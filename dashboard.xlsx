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wayair\Desktop\"/>
    </mc:Choice>
  </mc:AlternateContent>
  <xr:revisionPtr revIDLastSave="0" documentId="8_{6CD83DE8-89D3-4D01-A958-C7CA9C99E1BA}" xr6:coauthVersionLast="47" xr6:coauthVersionMax="47" xr10:uidLastSave="{00000000-0000-0000-0000-000000000000}"/>
  <bookViews>
    <workbookView xWindow="28680" yWindow="-120" windowWidth="29040" windowHeight="15720" xr2:uid="{1D62C05C-0386-4A71-A104-83EBFBD04EE3}"/>
  </bookViews>
  <sheets>
    <sheet name="Sheet1" sheetId="1" r:id="rId1"/>
  </sheets>
  <definedNames>
    <definedName name="_xlnm._FilterDatabase" localSheetId="0" hidden="1">Sheet1!$A$1:$L$7339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339" i="1" l="1"/>
  <c r="L7339" i="1" s="1" a="1"/>
  <c r="L7339" i="1" s="1"/>
  <c r="K7338" i="1"/>
  <c r="L7338" i="1" s="1" a="1"/>
  <c r="L7338" i="1" s="1"/>
  <c r="K7337" i="1"/>
  <c r="L7337" i="1" s="1" a="1"/>
  <c r="L7337" i="1" s="1"/>
  <c r="L7336" i="1" a="1"/>
  <c r="L7336" i="1" s="1"/>
  <c r="K7336" i="1"/>
  <c r="K7335" i="1"/>
  <c r="L7335" i="1" s="1" a="1"/>
  <c r="L7335" i="1" s="1"/>
  <c r="K7334" i="1"/>
  <c r="L7334" i="1" s="1" a="1"/>
  <c r="L7334" i="1" s="1"/>
  <c r="K7333" i="1"/>
  <c r="L7333" i="1" s="1" a="1"/>
  <c r="L7333" i="1" s="1"/>
  <c r="L7332" i="1" a="1"/>
  <c r="L7332" i="1" s="1"/>
  <c r="K7332" i="1"/>
  <c r="K7331" i="1"/>
  <c r="L7331" i="1" s="1" a="1"/>
  <c r="L7331" i="1" s="1"/>
  <c r="K7330" i="1"/>
  <c r="L7330" i="1" s="1" a="1"/>
  <c r="L7330" i="1" s="1"/>
  <c r="K7329" i="1"/>
  <c r="L7329" i="1" s="1" a="1"/>
  <c r="L7329" i="1" s="1"/>
  <c r="K7328" i="1"/>
  <c r="L7328" i="1" s="1" a="1"/>
  <c r="L7328" i="1" s="1"/>
  <c r="K7327" i="1"/>
  <c r="L7327" i="1" s="1" a="1"/>
  <c r="L7327" i="1" s="1"/>
  <c r="K7326" i="1"/>
  <c r="L7326" i="1" s="1" a="1"/>
  <c r="L7326" i="1" s="1"/>
  <c r="K7325" i="1"/>
  <c r="L7325" i="1" s="1" a="1"/>
  <c r="L7325" i="1" s="1"/>
  <c r="K7324" i="1"/>
  <c r="L7324" i="1" s="1" a="1"/>
  <c r="L7324" i="1" s="1"/>
  <c r="K7323" i="1"/>
  <c r="L7323" i="1" s="1" a="1"/>
  <c r="L7323" i="1" s="1"/>
  <c r="K7322" i="1"/>
  <c r="L7322" i="1" s="1" a="1"/>
  <c r="L7322" i="1" s="1"/>
  <c r="K7321" i="1"/>
  <c r="L7321" i="1" s="1" a="1"/>
  <c r="L7321" i="1" s="1"/>
  <c r="L7320" i="1" a="1"/>
  <c r="L7320" i="1" s="1"/>
  <c r="K7320" i="1"/>
  <c r="K7319" i="1"/>
  <c r="L7319" i="1" s="1" a="1"/>
  <c r="L7319" i="1" s="1"/>
  <c r="K7318" i="1"/>
  <c r="L7318" i="1" s="1" a="1"/>
  <c r="L7318" i="1" s="1"/>
  <c r="K7317" i="1"/>
  <c r="L7317" i="1" s="1" a="1"/>
  <c r="L7317" i="1" s="1"/>
  <c r="K7316" i="1"/>
  <c r="L7316" i="1" s="1" a="1"/>
  <c r="L7316" i="1" s="1"/>
  <c r="K7315" i="1"/>
  <c r="L7315" i="1" s="1" a="1"/>
  <c r="L7315" i="1" s="1"/>
  <c r="K7314" i="1"/>
  <c r="L7314" i="1" s="1" a="1"/>
  <c r="L7314" i="1" s="1"/>
  <c r="K7313" i="1"/>
  <c r="L7313" i="1" s="1" a="1"/>
  <c r="L7313" i="1" s="1"/>
  <c r="K7312" i="1"/>
  <c r="L7312" i="1" s="1" a="1"/>
  <c r="L7312" i="1" s="1"/>
  <c r="K7311" i="1"/>
  <c r="L7311" i="1" s="1" a="1"/>
  <c r="L7311" i="1" s="1"/>
  <c r="K7310" i="1"/>
  <c r="L7310" i="1" s="1" a="1"/>
  <c r="L7310" i="1" s="1"/>
  <c r="K7309" i="1"/>
  <c r="L7309" i="1" s="1" a="1"/>
  <c r="L7309" i="1" s="1"/>
  <c r="K7308" i="1"/>
  <c r="L7308" i="1" s="1" a="1"/>
  <c r="L7308" i="1" s="1"/>
  <c r="K7307" i="1"/>
  <c r="L7307" i="1" s="1" a="1"/>
  <c r="L7307" i="1" s="1"/>
  <c r="K7306" i="1"/>
  <c r="L7306" i="1" s="1" a="1"/>
  <c r="L7306" i="1" s="1"/>
  <c r="K7305" i="1"/>
  <c r="L7305" i="1" s="1" a="1"/>
  <c r="L7305" i="1" s="1"/>
  <c r="K7304" i="1"/>
  <c r="L7304" i="1" s="1" a="1"/>
  <c r="L7304" i="1" s="1"/>
  <c r="K7303" i="1"/>
  <c r="L7303" i="1" s="1" a="1"/>
  <c r="L7303" i="1" s="1"/>
  <c r="K7302" i="1"/>
  <c r="L7302" i="1" s="1" a="1"/>
  <c r="L7302" i="1" s="1"/>
  <c r="K7301" i="1"/>
  <c r="L7301" i="1" s="1" a="1"/>
  <c r="L7301" i="1" s="1"/>
  <c r="K7300" i="1"/>
  <c r="L7300" i="1" s="1" a="1"/>
  <c r="L7300" i="1" s="1"/>
  <c r="K7299" i="1"/>
  <c r="L7299" i="1" s="1" a="1"/>
  <c r="L7299" i="1" s="1"/>
  <c r="K7298" i="1"/>
  <c r="L7298" i="1" s="1" a="1"/>
  <c r="L7298" i="1" s="1"/>
  <c r="K7297" i="1"/>
  <c r="L7297" i="1" s="1" a="1"/>
  <c r="L7297" i="1" s="1"/>
  <c r="K7296" i="1"/>
  <c r="L7296" i="1" s="1" a="1"/>
  <c r="L7296" i="1" s="1"/>
  <c r="L7295" i="1" a="1"/>
  <c r="L7295" i="1" s="1"/>
  <c r="K7295" i="1"/>
  <c r="K7294" i="1"/>
  <c r="L7294" i="1" s="1" a="1"/>
  <c r="L7294" i="1" s="1"/>
  <c r="K7293" i="1"/>
  <c r="L7293" i="1" s="1" a="1"/>
  <c r="L7293" i="1" s="1"/>
  <c r="L7292" i="1" a="1"/>
  <c r="L7292" i="1" s="1"/>
  <c r="K7292" i="1"/>
  <c r="L7291" i="1" a="1"/>
  <c r="L7291" i="1" s="1"/>
  <c r="K7291" i="1"/>
  <c r="K7290" i="1"/>
  <c r="L7290" i="1" s="1" a="1"/>
  <c r="L7290" i="1" s="1"/>
  <c r="K7289" i="1"/>
  <c r="L7289" i="1" s="1" a="1"/>
  <c r="L7289" i="1" s="1"/>
  <c r="K7288" i="1"/>
  <c r="L7288" i="1" s="1" a="1"/>
  <c r="L7288" i="1" s="1"/>
  <c r="L7287" i="1" a="1"/>
  <c r="L7287" i="1" s="1"/>
  <c r="K7287" i="1"/>
  <c r="K7286" i="1"/>
  <c r="L7286" i="1" s="1" a="1"/>
  <c r="L7286" i="1" s="1"/>
  <c r="K7285" i="1"/>
  <c r="L7285" i="1" s="1" a="1"/>
  <c r="L7285" i="1" s="1"/>
  <c r="L7284" i="1" a="1"/>
  <c r="L7284" i="1" s="1"/>
  <c r="K7284" i="1"/>
  <c r="L7283" i="1" a="1"/>
  <c r="L7283" i="1" s="1"/>
  <c r="K7283" i="1"/>
  <c r="K7282" i="1"/>
  <c r="L7282" i="1" s="1" a="1"/>
  <c r="L7282" i="1" s="1"/>
  <c r="K7281" i="1"/>
  <c r="L7281" i="1" s="1" a="1"/>
  <c r="L7281" i="1" s="1"/>
  <c r="K7280" i="1"/>
  <c r="L7280" i="1" s="1" a="1"/>
  <c r="L7280" i="1" s="1"/>
  <c r="L7279" i="1" a="1"/>
  <c r="L7279" i="1" s="1"/>
  <c r="K7279" i="1"/>
  <c r="K7278" i="1"/>
  <c r="L7278" i="1" s="1" a="1"/>
  <c r="L7278" i="1" s="1"/>
  <c r="K7277" i="1"/>
  <c r="L7277" i="1" s="1" a="1"/>
  <c r="L7277" i="1" s="1"/>
  <c r="L7276" i="1" a="1"/>
  <c r="L7276" i="1" s="1"/>
  <c r="K7276" i="1"/>
  <c r="L7275" i="1" a="1"/>
  <c r="L7275" i="1" s="1"/>
  <c r="K7275" i="1"/>
  <c r="K7274" i="1"/>
  <c r="L7274" i="1" s="1" a="1"/>
  <c r="L7274" i="1" s="1"/>
  <c r="K7273" i="1"/>
  <c r="L7273" i="1" s="1" a="1"/>
  <c r="L7273" i="1" s="1"/>
  <c r="K7272" i="1"/>
  <c r="L7272" i="1" s="1" a="1"/>
  <c r="L7272" i="1" s="1"/>
  <c r="L7271" i="1" a="1"/>
  <c r="L7271" i="1" s="1"/>
  <c r="K7271" i="1"/>
  <c r="K7270" i="1"/>
  <c r="L7270" i="1" s="1" a="1"/>
  <c r="L7270" i="1" s="1"/>
  <c r="K7269" i="1"/>
  <c r="L7269" i="1" s="1" a="1"/>
  <c r="L7269" i="1" s="1"/>
  <c r="L7268" i="1" a="1"/>
  <c r="L7268" i="1" s="1"/>
  <c r="K7268" i="1"/>
  <c r="L7267" i="1" a="1"/>
  <c r="L7267" i="1" s="1"/>
  <c r="K7267" i="1"/>
  <c r="K7266" i="1"/>
  <c r="L7266" i="1" s="1" a="1"/>
  <c r="L7266" i="1" s="1"/>
  <c r="K7265" i="1"/>
  <c r="L7265" i="1" s="1" a="1"/>
  <c r="L7265" i="1" s="1"/>
  <c r="K7264" i="1"/>
  <c r="L7264" i="1" s="1" a="1"/>
  <c r="L7264" i="1" s="1"/>
  <c r="L7263" i="1" a="1"/>
  <c r="L7263" i="1" s="1"/>
  <c r="K7263" i="1"/>
  <c r="K7262" i="1"/>
  <c r="L7262" i="1" s="1" a="1"/>
  <c r="L7262" i="1" s="1"/>
  <c r="K7261" i="1"/>
  <c r="L7261" i="1" s="1" a="1"/>
  <c r="L7261" i="1" s="1"/>
  <c r="L7260" i="1" a="1"/>
  <c r="L7260" i="1" s="1"/>
  <c r="K7260" i="1"/>
  <c r="L7259" i="1" a="1"/>
  <c r="L7259" i="1" s="1"/>
  <c r="K7259" i="1"/>
  <c r="K7258" i="1"/>
  <c r="L7258" i="1" s="1" a="1"/>
  <c r="L7258" i="1" s="1"/>
  <c r="K7257" i="1"/>
  <c r="L7257" i="1" s="1" a="1"/>
  <c r="L7257" i="1" s="1"/>
  <c r="K7256" i="1"/>
  <c r="L7256" i="1" s="1" a="1"/>
  <c r="L7256" i="1" s="1"/>
  <c r="L7255" i="1" a="1"/>
  <c r="L7255" i="1" s="1"/>
  <c r="K7255" i="1"/>
  <c r="K7254" i="1"/>
  <c r="L7254" i="1" s="1" a="1"/>
  <c r="L7254" i="1" s="1"/>
  <c r="K7253" i="1"/>
  <c r="L7253" i="1" s="1" a="1"/>
  <c r="L7253" i="1" s="1"/>
  <c r="L7252" i="1" a="1"/>
  <c r="L7252" i="1" s="1"/>
  <c r="K7252" i="1"/>
  <c r="L7251" i="1" a="1"/>
  <c r="L7251" i="1" s="1"/>
  <c r="K7251" i="1"/>
  <c r="K7250" i="1"/>
  <c r="L7250" i="1" s="1" a="1"/>
  <c r="L7250" i="1" s="1"/>
  <c r="K7249" i="1"/>
  <c r="L7249" i="1" s="1" a="1"/>
  <c r="L7249" i="1" s="1"/>
  <c r="L7248" i="1" a="1"/>
  <c r="L7248" i="1" s="1"/>
  <c r="K7248" i="1"/>
  <c r="L7247" i="1" a="1"/>
  <c r="L7247" i="1" s="1"/>
  <c r="K7247" i="1"/>
  <c r="K7246" i="1"/>
  <c r="L7246" i="1" s="1" a="1"/>
  <c r="L7246" i="1" s="1"/>
  <c r="K7245" i="1"/>
  <c r="L7245" i="1" s="1" a="1"/>
  <c r="L7245" i="1" s="1"/>
  <c r="L7244" i="1" a="1"/>
  <c r="L7244" i="1" s="1"/>
  <c r="K7244" i="1"/>
  <c r="L7243" i="1" a="1"/>
  <c r="L7243" i="1" s="1"/>
  <c r="K7243" i="1"/>
  <c r="K7242" i="1"/>
  <c r="L7242" i="1" s="1" a="1"/>
  <c r="L7242" i="1" s="1"/>
  <c r="K7241" i="1"/>
  <c r="L7241" i="1" s="1" a="1"/>
  <c r="L7241" i="1" s="1"/>
  <c r="L7240" i="1" a="1"/>
  <c r="L7240" i="1" s="1"/>
  <c r="K7240" i="1"/>
  <c r="L7239" i="1" a="1"/>
  <c r="L7239" i="1" s="1"/>
  <c r="K7239" i="1"/>
  <c r="K7238" i="1"/>
  <c r="L7238" i="1" s="1" a="1"/>
  <c r="L7238" i="1" s="1"/>
  <c r="K7237" i="1"/>
  <c r="L7237" i="1" s="1" a="1"/>
  <c r="L7237" i="1" s="1"/>
  <c r="L7236" i="1" a="1"/>
  <c r="L7236" i="1" s="1"/>
  <c r="K7236" i="1"/>
  <c r="L7235" i="1" a="1"/>
  <c r="L7235" i="1" s="1"/>
  <c r="K7235" i="1"/>
  <c r="K7234" i="1"/>
  <c r="L7234" i="1" s="1" a="1"/>
  <c r="L7234" i="1" s="1"/>
  <c r="K7233" i="1"/>
  <c r="L7233" i="1" s="1" a="1"/>
  <c r="L7233" i="1" s="1"/>
  <c r="L7232" i="1" a="1"/>
  <c r="L7232" i="1" s="1"/>
  <c r="K7232" i="1"/>
  <c r="L7231" i="1" a="1"/>
  <c r="L7231" i="1" s="1"/>
  <c r="K7231" i="1"/>
  <c r="K7230" i="1"/>
  <c r="L7230" i="1" s="1" a="1"/>
  <c r="L7230" i="1" s="1"/>
  <c r="K7229" i="1"/>
  <c r="L7229" i="1" s="1" a="1"/>
  <c r="L7229" i="1" s="1"/>
  <c r="L7228" i="1" a="1"/>
  <c r="L7228" i="1" s="1"/>
  <c r="K7228" i="1"/>
  <c r="L7227" i="1" a="1"/>
  <c r="L7227" i="1" s="1"/>
  <c r="K7227" i="1"/>
  <c r="K7226" i="1"/>
  <c r="L7226" i="1" s="1" a="1"/>
  <c r="L7226" i="1" s="1"/>
  <c r="K7225" i="1"/>
  <c r="L7225" i="1" s="1" a="1"/>
  <c r="L7225" i="1" s="1"/>
  <c r="L7224" i="1" a="1"/>
  <c r="L7224" i="1" s="1"/>
  <c r="K7224" i="1"/>
  <c r="L7223" i="1" a="1"/>
  <c r="L7223" i="1" s="1"/>
  <c r="K7223" i="1"/>
  <c r="K7222" i="1"/>
  <c r="L7222" i="1" s="1" a="1"/>
  <c r="L7222" i="1" s="1"/>
  <c r="K7221" i="1"/>
  <c r="L7221" i="1" s="1" a="1"/>
  <c r="L7221" i="1" s="1"/>
  <c r="L7220" i="1" a="1"/>
  <c r="L7220" i="1" s="1"/>
  <c r="K7220" i="1"/>
  <c r="L7219" i="1" a="1"/>
  <c r="L7219" i="1" s="1"/>
  <c r="K7219" i="1"/>
  <c r="K7218" i="1"/>
  <c r="L7218" i="1" s="1" a="1"/>
  <c r="L7218" i="1" s="1"/>
  <c r="K7217" i="1"/>
  <c r="L7217" i="1" s="1" a="1"/>
  <c r="L7217" i="1" s="1"/>
  <c r="L7216" i="1" a="1"/>
  <c r="L7216" i="1" s="1"/>
  <c r="K7216" i="1"/>
  <c r="L7215" i="1" a="1"/>
  <c r="L7215" i="1" s="1"/>
  <c r="K7215" i="1"/>
  <c r="K7214" i="1"/>
  <c r="L7214" i="1" s="1" a="1"/>
  <c r="L7214" i="1" s="1"/>
  <c r="K7213" i="1"/>
  <c r="L7213" i="1" s="1" a="1"/>
  <c r="L7213" i="1" s="1"/>
  <c r="L7212" i="1" a="1"/>
  <c r="L7212" i="1" s="1"/>
  <c r="K7212" i="1"/>
  <c r="L7211" i="1" a="1"/>
  <c r="L7211" i="1" s="1"/>
  <c r="K7211" i="1"/>
  <c r="K7210" i="1"/>
  <c r="L7210" i="1" s="1" a="1"/>
  <c r="L7210" i="1" s="1"/>
  <c r="K7209" i="1"/>
  <c r="L7209" i="1" s="1" a="1"/>
  <c r="L7209" i="1" s="1"/>
  <c r="L7208" i="1" a="1"/>
  <c r="L7208" i="1" s="1"/>
  <c r="K7208" i="1"/>
  <c r="L7207" i="1" a="1"/>
  <c r="L7207" i="1" s="1"/>
  <c r="K7207" i="1"/>
  <c r="K7206" i="1"/>
  <c r="L7206" i="1" s="1" a="1"/>
  <c r="L7206" i="1" s="1"/>
  <c r="K7205" i="1"/>
  <c r="L7205" i="1" s="1" a="1"/>
  <c r="L7205" i="1" s="1"/>
  <c r="L7204" i="1" a="1"/>
  <c r="L7204" i="1" s="1"/>
  <c r="K7204" i="1"/>
  <c r="L7203" i="1" a="1"/>
  <c r="L7203" i="1" s="1"/>
  <c r="K7203" i="1"/>
  <c r="K7202" i="1"/>
  <c r="L7202" i="1" s="1" a="1"/>
  <c r="L7202" i="1" s="1"/>
  <c r="K7201" i="1"/>
  <c r="L7201" i="1" s="1" a="1"/>
  <c r="L7201" i="1" s="1"/>
  <c r="L7200" i="1" a="1"/>
  <c r="L7200" i="1" s="1"/>
  <c r="K7200" i="1"/>
  <c r="L7199" i="1" a="1"/>
  <c r="L7199" i="1" s="1"/>
  <c r="K7199" i="1"/>
  <c r="K7198" i="1"/>
  <c r="L7198" i="1" s="1" a="1"/>
  <c r="L7198" i="1" s="1"/>
  <c r="K7197" i="1"/>
  <c r="L7197" i="1" s="1" a="1"/>
  <c r="L7197" i="1" s="1"/>
  <c r="L7196" i="1" a="1"/>
  <c r="L7196" i="1" s="1"/>
  <c r="K7196" i="1"/>
  <c r="L7195" i="1" a="1"/>
  <c r="L7195" i="1" s="1"/>
  <c r="K7195" i="1"/>
  <c r="K7194" i="1"/>
  <c r="L7194" i="1" s="1" a="1"/>
  <c r="L7194" i="1" s="1"/>
  <c r="K7193" i="1"/>
  <c r="L7193" i="1" s="1" a="1"/>
  <c r="L7193" i="1" s="1"/>
  <c r="L7192" i="1" a="1"/>
  <c r="L7192" i="1" s="1"/>
  <c r="K7192" i="1"/>
  <c r="L7191" i="1" a="1"/>
  <c r="L7191" i="1" s="1"/>
  <c r="K7191" i="1"/>
  <c r="K7190" i="1"/>
  <c r="L7190" i="1" s="1" a="1"/>
  <c r="L7190" i="1" s="1"/>
  <c r="K7189" i="1"/>
  <c r="L7189" i="1" s="1" a="1"/>
  <c r="L7189" i="1" s="1"/>
  <c r="L7188" i="1" a="1"/>
  <c r="L7188" i="1" s="1"/>
  <c r="K7188" i="1"/>
  <c r="L7187" i="1" a="1"/>
  <c r="L7187" i="1" s="1"/>
  <c r="K7187" i="1"/>
  <c r="K7186" i="1"/>
  <c r="L7186" i="1" s="1" a="1"/>
  <c r="L7186" i="1" s="1"/>
  <c r="K7185" i="1"/>
  <c r="L7185" i="1" s="1" a="1"/>
  <c r="L7185" i="1" s="1"/>
  <c r="L7184" i="1" a="1"/>
  <c r="L7184" i="1" s="1"/>
  <c r="K7184" i="1"/>
  <c r="L7183" i="1" a="1"/>
  <c r="L7183" i="1" s="1"/>
  <c r="K7183" i="1"/>
  <c r="K7182" i="1"/>
  <c r="L7182" i="1" s="1" a="1"/>
  <c r="L7182" i="1" s="1"/>
  <c r="K7181" i="1"/>
  <c r="L7181" i="1" s="1" a="1"/>
  <c r="L7181" i="1" s="1"/>
  <c r="L7180" i="1" a="1"/>
  <c r="L7180" i="1" s="1"/>
  <c r="K7180" i="1"/>
  <c r="L7179" i="1" a="1"/>
  <c r="L7179" i="1" s="1"/>
  <c r="K7179" i="1"/>
  <c r="K7178" i="1"/>
  <c r="L7178" i="1" s="1" a="1"/>
  <c r="L7178" i="1" s="1"/>
  <c r="K7177" i="1"/>
  <c r="L7177" i="1" s="1" a="1"/>
  <c r="L7177" i="1" s="1"/>
  <c r="L7176" i="1" a="1"/>
  <c r="L7176" i="1" s="1"/>
  <c r="K7176" i="1"/>
  <c r="L7175" i="1" a="1"/>
  <c r="L7175" i="1" s="1"/>
  <c r="K7175" i="1"/>
  <c r="K7174" i="1"/>
  <c r="L7174" i="1" s="1" a="1"/>
  <c r="L7174" i="1" s="1"/>
  <c r="K7173" i="1"/>
  <c r="L7173" i="1" s="1" a="1"/>
  <c r="L7173" i="1" s="1"/>
  <c r="L7172" i="1" a="1"/>
  <c r="L7172" i="1" s="1"/>
  <c r="K7172" i="1"/>
  <c r="L7171" i="1" a="1"/>
  <c r="L7171" i="1" s="1"/>
  <c r="K7171" i="1"/>
  <c r="K7170" i="1"/>
  <c r="L7170" i="1" s="1" a="1"/>
  <c r="L7170" i="1" s="1"/>
  <c r="K7169" i="1"/>
  <c r="L7169" i="1" s="1" a="1"/>
  <c r="L7169" i="1" s="1"/>
  <c r="L7168" i="1" a="1"/>
  <c r="L7168" i="1" s="1"/>
  <c r="K7168" i="1"/>
  <c r="L7167" i="1" a="1"/>
  <c r="L7167" i="1" s="1"/>
  <c r="K7167" i="1"/>
  <c r="K7166" i="1"/>
  <c r="L7166" i="1" s="1" a="1"/>
  <c r="L7166" i="1" s="1"/>
  <c r="K7165" i="1"/>
  <c r="L7165" i="1" s="1" a="1"/>
  <c r="L7165" i="1" s="1"/>
  <c r="L7164" i="1" a="1"/>
  <c r="L7164" i="1" s="1"/>
  <c r="K7164" i="1"/>
  <c r="L7163" i="1" a="1"/>
  <c r="L7163" i="1" s="1"/>
  <c r="K7163" i="1"/>
  <c r="K7162" i="1"/>
  <c r="L7162" i="1" s="1" a="1"/>
  <c r="L7162" i="1" s="1"/>
  <c r="K7161" i="1"/>
  <c r="L7161" i="1" s="1" a="1"/>
  <c r="L7161" i="1" s="1"/>
  <c r="L7160" i="1" a="1"/>
  <c r="L7160" i="1" s="1"/>
  <c r="K7160" i="1"/>
  <c r="L7159" i="1" a="1"/>
  <c r="L7159" i="1" s="1"/>
  <c r="K7159" i="1"/>
  <c r="K7158" i="1"/>
  <c r="L7158" i="1" s="1" a="1"/>
  <c r="L7158" i="1" s="1"/>
  <c r="K7157" i="1"/>
  <c r="L7157" i="1" s="1" a="1"/>
  <c r="L7157" i="1" s="1"/>
  <c r="L7156" i="1" a="1"/>
  <c r="L7156" i="1" s="1"/>
  <c r="K7156" i="1"/>
  <c r="L7155" i="1" a="1"/>
  <c r="L7155" i="1" s="1"/>
  <c r="K7155" i="1"/>
  <c r="K7154" i="1"/>
  <c r="L7154" i="1" s="1" a="1"/>
  <c r="L7154" i="1" s="1"/>
  <c r="K7153" i="1"/>
  <c r="L7153" i="1" s="1" a="1"/>
  <c r="L7153" i="1" s="1"/>
  <c r="L7152" i="1" a="1"/>
  <c r="L7152" i="1" s="1"/>
  <c r="K7152" i="1"/>
  <c r="L7151" i="1" a="1"/>
  <c r="L7151" i="1" s="1"/>
  <c r="K7151" i="1"/>
  <c r="K7150" i="1"/>
  <c r="L7150" i="1" s="1" a="1"/>
  <c r="L7150" i="1" s="1"/>
  <c r="K7149" i="1"/>
  <c r="L7149" i="1" s="1" a="1"/>
  <c r="L7149" i="1" s="1"/>
  <c r="L7148" i="1" a="1"/>
  <c r="L7148" i="1" s="1"/>
  <c r="K7148" i="1"/>
  <c r="L7147" i="1" a="1"/>
  <c r="L7147" i="1" s="1"/>
  <c r="K7147" i="1"/>
  <c r="K7146" i="1"/>
  <c r="L7146" i="1" s="1" a="1"/>
  <c r="L7146" i="1" s="1"/>
  <c r="K7145" i="1"/>
  <c r="L7145" i="1" s="1" a="1"/>
  <c r="L7145" i="1" s="1"/>
  <c r="L7144" i="1" a="1"/>
  <c r="L7144" i="1" s="1"/>
  <c r="K7144" i="1"/>
  <c r="L7143" i="1" a="1"/>
  <c r="L7143" i="1" s="1"/>
  <c r="K7143" i="1"/>
  <c r="K7142" i="1"/>
  <c r="L7142" i="1" s="1" a="1"/>
  <c r="L7142" i="1" s="1"/>
  <c r="K7141" i="1"/>
  <c r="L7141" i="1" s="1" a="1"/>
  <c r="L7141" i="1" s="1"/>
  <c r="L7140" i="1" a="1"/>
  <c r="L7140" i="1" s="1"/>
  <c r="K7140" i="1"/>
  <c r="L7139" i="1" a="1"/>
  <c r="L7139" i="1" s="1"/>
  <c r="K7139" i="1"/>
  <c r="K7138" i="1"/>
  <c r="L7138" i="1" s="1" a="1"/>
  <c r="L7138" i="1" s="1"/>
  <c r="K7137" i="1"/>
  <c r="L7137" i="1" s="1" a="1"/>
  <c r="L7137" i="1" s="1"/>
  <c r="L7136" i="1" a="1"/>
  <c r="L7136" i="1" s="1"/>
  <c r="K7136" i="1"/>
  <c r="L7135" i="1" a="1"/>
  <c r="L7135" i="1" s="1"/>
  <c r="K7135" i="1"/>
  <c r="K7134" i="1"/>
  <c r="L7134" i="1" s="1" a="1"/>
  <c r="L7134" i="1" s="1"/>
  <c r="K7133" i="1"/>
  <c r="L7133" i="1" s="1" a="1"/>
  <c r="L7133" i="1" s="1"/>
  <c r="L7132" i="1" a="1"/>
  <c r="L7132" i="1" s="1"/>
  <c r="K7132" i="1"/>
  <c r="L7131" i="1" a="1"/>
  <c r="L7131" i="1" s="1"/>
  <c r="K7131" i="1"/>
  <c r="K7130" i="1"/>
  <c r="L7130" i="1" s="1" a="1"/>
  <c r="L7130" i="1" s="1"/>
  <c r="K7129" i="1"/>
  <c r="L7129" i="1" s="1" a="1"/>
  <c r="L7129" i="1" s="1"/>
  <c r="L7128" i="1" a="1"/>
  <c r="L7128" i="1" s="1"/>
  <c r="K7128" i="1"/>
  <c r="L7127" i="1" a="1"/>
  <c r="L7127" i="1" s="1"/>
  <c r="K7127" i="1"/>
  <c r="K7126" i="1"/>
  <c r="L7126" i="1" s="1" a="1"/>
  <c r="L7126" i="1" s="1"/>
  <c r="K7125" i="1"/>
  <c r="L7125" i="1" s="1" a="1"/>
  <c r="L7125" i="1" s="1"/>
  <c r="L7124" i="1" a="1"/>
  <c r="L7124" i="1" s="1"/>
  <c r="K7124" i="1"/>
  <c r="L7123" i="1" a="1"/>
  <c r="L7123" i="1" s="1"/>
  <c r="K7123" i="1"/>
  <c r="K7122" i="1"/>
  <c r="L7122" i="1" s="1" a="1"/>
  <c r="L7122" i="1" s="1"/>
  <c r="K7121" i="1"/>
  <c r="L7121" i="1" s="1" a="1"/>
  <c r="L7121" i="1" s="1"/>
  <c r="L7120" i="1" a="1"/>
  <c r="L7120" i="1" s="1"/>
  <c r="K7120" i="1"/>
  <c r="L7119" i="1" a="1"/>
  <c r="L7119" i="1" s="1"/>
  <c r="K7119" i="1"/>
  <c r="K7118" i="1"/>
  <c r="L7118" i="1" s="1" a="1"/>
  <c r="L7118" i="1" s="1"/>
  <c r="K7117" i="1"/>
  <c r="L7117" i="1" s="1" a="1"/>
  <c r="L7117" i="1" s="1"/>
  <c r="L7116" i="1" a="1"/>
  <c r="L7116" i="1" s="1"/>
  <c r="K7116" i="1"/>
  <c r="L7115" i="1" a="1"/>
  <c r="L7115" i="1" s="1"/>
  <c r="K7115" i="1"/>
  <c r="K7114" i="1"/>
  <c r="L7114" i="1" s="1" a="1"/>
  <c r="L7114" i="1" s="1"/>
  <c r="K7113" i="1"/>
  <c r="L7113" i="1" s="1" a="1"/>
  <c r="L7113" i="1" s="1"/>
  <c r="L7112" i="1" a="1"/>
  <c r="L7112" i="1" s="1"/>
  <c r="K7112" i="1"/>
  <c r="L7111" i="1" a="1"/>
  <c r="L7111" i="1" s="1"/>
  <c r="K7111" i="1"/>
  <c r="K7110" i="1"/>
  <c r="L7110" i="1" s="1" a="1"/>
  <c r="L7110" i="1" s="1"/>
  <c r="K7109" i="1"/>
  <c r="L7109" i="1" s="1" a="1"/>
  <c r="L7109" i="1" s="1"/>
  <c r="K7108" i="1"/>
  <c r="L7108" i="1" s="1" a="1"/>
  <c r="L7108" i="1" s="1"/>
  <c r="L7107" i="1" a="1"/>
  <c r="L7107" i="1" s="1"/>
  <c r="K7107" i="1"/>
  <c r="K7106" i="1"/>
  <c r="L7106" i="1" s="1" a="1"/>
  <c r="L7106" i="1" s="1"/>
  <c r="L7105" i="1" a="1"/>
  <c r="L7105" i="1" s="1"/>
  <c r="K7105" i="1"/>
  <c r="L7104" i="1" a="1"/>
  <c r="L7104" i="1" s="1"/>
  <c r="K7104" i="1"/>
  <c r="L7103" i="1" a="1"/>
  <c r="L7103" i="1" s="1"/>
  <c r="K7103" i="1"/>
  <c r="K7102" i="1"/>
  <c r="L7102" i="1" s="1" a="1"/>
  <c r="L7102" i="1" s="1"/>
  <c r="K7101" i="1"/>
  <c r="L7101" i="1" s="1" a="1"/>
  <c r="L7101" i="1" s="1"/>
  <c r="K7100" i="1"/>
  <c r="L7100" i="1" s="1" a="1"/>
  <c r="L7100" i="1" s="1"/>
  <c r="L7099" i="1" a="1"/>
  <c r="L7099" i="1" s="1"/>
  <c r="K7099" i="1"/>
  <c r="K7098" i="1"/>
  <c r="L7098" i="1" s="1" a="1"/>
  <c r="L7098" i="1" s="1"/>
  <c r="L7097" i="1" a="1"/>
  <c r="L7097" i="1" s="1"/>
  <c r="K7097" i="1"/>
  <c r="K7096" i="1"/>
  <c r="L7096" i="1" s="1" a="1"/>
  <c r="L7096" i="1" s="1"/>
  <c r="L7095" i="1" a="1"/>
  <c r="L7095" i="1" s="1"/>
  <c r="K7095" i="1"/>
  <c r="K7094" i="1"/>
  <c r="L7094" i="1" s="1" a="1"/>
  <c r="L7094" i="1" s="1"/>
  <c r="K7093" i="1"/>
  <c r="L7093" i="1" s="1" a="1"/>
  <c r="L7093" i="1" s="1"/>
  <c r="L7092" i="1" a="1"/>
  <c r="L7092" i="1" s="1"/>
  <c r="K7092" i="1"/>
  <c r="L7091" i="1" a="1"/>
  <c r="L7091" i="1" s="1"/>
  <c r="K7091" i="1"/>
  <c r="K7090" i="1"/>
  <c r="L7090" i="1" s="1" a="1"/>
  <c r="L7090" i="1" s="1"/>
  <c r="K7089" i="1"/>
  <c r="L7089" i="1" s="1" a="1"/>
  <c r="L7089" i="1" s="1"/>
  <c r="L7088" i="1" a="1"/>
  <c r="L7088" i="1" s="1"/>
  <c r="K7088" i="1"/>
  <c r="L7087" i="1" a="1"/>
  <c r="L7087" i="1" s="1"/>
  <c r="K7087" i="1"/>
  <c r="K7086" i="1"/>
  <c r="L7086" i="1" s="1" a="1"/>
  <c r="L7086" i="1" s="1"/>
  <c r="L7085" i="1" a="1"/>
  <c r="L7085" i="1" s="1"/>
  <c r="K7085" i="1"/>
  <c r="K7084" i="1"/>
  <c r="L7084" i="1" s="1" a="1"/>
  <c r="L7084" i="1" s="1"/>
  <c r="L7083" i="1" a="1"/>
  <c r="L7083" i="1" s="1"/>
  <c r="K7083" i="1"/>
  <c r="K7082" i="1"/>
  <c r="L7082" i="1" s="1" a="1"/>
  <c r="L7082" i="1" s="1"/>
  <c r="K7081" i="1"/>
  <c r="L7081" i="1" s="1" a="1"/>
  <c r="L7081" i="1" s="1"/>
  <c r="K7080" i="1"/>
  <c r="L7080" i="1" s="1" a="1"/>
  <c r="L7080" i="1" s="1"/>
  <c r="L7079" i="1" a="1"/>
  <c r="L7079" i="1" s="1"/>
  <c r="K7079" i="1"/>
  <c r="K7078" i="1"/>
  <c r="L7078" i="1" s="1" a="1"/>
  <c r="L7078" i="1" s="1"/>
  <c r="K7077" i="1"/>
  <c r="L7077" i="1" s="1" a="1"/>
  <c r="L7077" i="1" s="1"/>
  <c r="K7076" i="1"/>
  <c r="L7076" i="1" s="1" a="1"/>
  <c r="L7076" i="1" s="1"/>
  <c r="L7075" i="1" a="1"/>
  <c r="L7075" i="1" s="1"/>
  <c r="K7075" i="1"/>
  <c r="K7074" i="1"/>
  <c r="L7074" i="1" s="1" a="1"/>
  <c r="L7074" i="1" s="1"/>
  <c r="L7073" i="1" a="1"/>
  <c r="L7073" i="1" s="1"/>
  <c r="K7073" i="1"/>
  <c r="K7072" i="1"/>
  <c r="L7072" i="1" s="1" a="1"/>
  <c r="L7072" i="1" s="1"/>
  <c r="K7071" i="1"/>
  <c r="L7071" i="1" s="1" a="1"/>
  <c r="L7071" i="1" s="1"/>
  <c r="L7070" i="1" a="1"/>
  <c r="L7070" i="1" s="1"/>
  <c r="K7070" i="1"/>
  <c r="K7069" i="1"/>
  <c r="L7069" i="1" s="1" a="1"/>
  <c r="L7069" i="1" s="1"/>
  <c r="K7068" i="1"/>
  <c r="L7068" i="1" s="1" a="1"/>
  <c r="L7068" i="1" s="1"/>
  <c r="L7067" i="1" a="1"/>
  <c r="L7067" i="1" s="1"/>
  <c r="K7067" i="1"/>
  <c r="K7066" i="1"/>
  <c r="L7066" i="1" s="1" a="1"/>
  <c r="L7066" i="1" s="1"/>
  <c r="K7065" i="1"/>
  <c r="L7065" i="1" s="1" a="1"/>
  <c r="L7065" i="1" s="1"/>
  <c r="K7064" i="1"/>
  <c r="L7064" i="1" s="1" a="1"/>
  <c r="L7064" i="1" s="1"/>
  <c r="K7063" i="1"/>
  <c r="L7063" i="1" s="1" a="1"/>
  <c r="L7063" i="1" s="1"/>
  <c r="K7062" i="1"/>
  <c r="L7062" i="1" s="1" a="1"/>
  <c r="L7062" i="1" s="1"/>
  <c r="L7061" i="1" a="1"/>
  <c r="L7061" i="1" s="1"/>
  <c r="K7061" i="1"/>
  <c r="K7060" i="1"/>
  <c r="L7060" i="1" s="1" a="1"/>
  <c r="L7060" i="1" s="1"/>
  <c r="K7059" i="1"/>
  <c r="L7059" i="1" s="1" a="1"/>
  <c r="L7059" i="1" s="1"/>
  <c r="L7058" i="1" a="1"/>
  <c r="L7058" i="1" s="1"/>
  <c r="K7058" i="1"/>
  <c r="L7057" i="1" a="1"/>
  <c r="L7057" i="1" s="1"/>
  <c r="K7057" i="1"/>
  <c r="K7056" i="1"/>
  <c r="L7056" i="1" s="1" a="1"/>
  <c r="L7056" i="1" s="1"/>
  <c r="L7055" i="1" a="1"/>
  <c r="L7055" i="1" s="1"/>
  <c r="K7055" i="1"/>
  <c r="L7054" i="1" a="1"/>
  <c r="L7054" i="1" s="1"/>
  <c r="K7054" i="1"/>
  <c r="K7053" i="1"/>
  <c r="L7053" i="1" s="1" a="1"/>
  <c r="L7053" i="1" s="1"/>
  <c r="K7052" i="1"/>
  <c r="L7052" i="1" s="1" a="1"/>
  <c r="L7052" i="1" s="1"/>
  <c r="K7051" i="1"/>
  <c r="L7051" i="1" s="1" a="1"/>
  <c r="L7051" i="1" s="1"/>
  <c r="K7050" i="1"/>
  <c r="L7050" i="1" s="1" a="1"/>
  <c r="L7050" i="1" s="1"/>
  <c r="L7049" i="1" a="1"/>
  <c r="L7049" i="1" s="1"/>
  <c r="K7049" i="1"/>
  <c r="K7048" i="1"/>
  <c r="L7048" i="1" s="1" a="1"/>
  <c r="L7048" i="1" s="1"/>
  <c r="L7047" i="1" a="1"/>
  <c r="L7047" i="1" s="1"/>
  <c r="K7047" i="1"/>
  <c r="L7046" i="1" a="1"/>
  <c r="L7046" i="1" s="1"/>
  <c r="K7046" i="1"/>
  <c r="L7045" i="1" a="1"/>
  <c r="L7045" i="1" s="1"/>
  <c r="K7045" i="1"/>
  <c r="K7044" i="1"/>
  <c r="L7044" i="1" s="1" a="1"/>
  <c r="L7044" i="1" s="1"/>
  <c r="K7043" i="1"/>
  <c r="L7043" i="1" s="1" a="1"/>
  <c r="L7043" i="1" s="1"/>
  <c r="K7042" i="1"/>
  <c r="L7042" i="1" s="1" a="1"/>
  <c r="L7042" i="1" s="1"/>
  <c r="L7041" i="1" a="1"/>
  <c r="L7041" i="1" s="1"/>
  <c r="K7041" i="1"/>
  <c r="L7040" i="1" a="1"/>
  <c r="L7040" i="1" s="1"/>
  <c r="K7040" i="1"/>
  <c r="L7039" i="1" a="1"/>
  <c r="L7039" i="1" s="1"/>
  <c r="K7039" i="1"/>
  <c r="L7038" i="1" a="1"/>
  <c r="L7038" i="1" s="1"/>
  <c r="K7038" i="1"/>
  <c r="K7037" i="1"/>
  <c r="L7037" i="1" s="1" a="1"/>
  <c r="L7037" i="1" s="1"/>
  <c r="K7036" i="1"/>
  <c r="L7036" i="1" s="1" a="1"/>
  <c r="L7036" i="1" s="1"/>
  <c r="K7035" i="1"/>
  <c r="L7035" i="1" s="1" a="1"/>
  <c r="L7035" i="1" s="1"/>
  <c r="L7034" i="1" a="1"/>
  <c r="L7034" i="1" s="1"/>
  <c r="K7034" i="1"/>
  <c r="L7033" i="1" a="1"/>
  <c r="L7033" i="1" s="1"/>
  <c r="K7033" i="1"/>
  <c r="K7032" i="1"/>
  <c r="L7032" i="1" s="1" a="1"/>
  <c r="L7032" i="1" s="1"/>
  <c r="L7031" i="1" a="1"/>
  <c r="L7031" i="1" s="1"/>
  <c r="K7031" i="1"/>
  <c r="L7030" i="1" a="1"/>
  <c r="L7030" i="1" s="1"/>
  <c r="K7030" i="1"/>
  <c r="L7029" i="1" a="1"/>
  <c r="L7029" i="1" s="1"/>
  <c r="K7029" i="1"/>
  <c r="K7028" i="1"/>
  <c r="L7028" i="1" s="1" a="1"/>
  <c r="L7028" i="1" s="1"/>
  <c r="K7027" i="1"/>
  <c r="L7027" i="1" s="1" a="1"/>
  <c r="L7027" i="1" s="1"/>
  <c r="L7026" i="1" a="1"/>
  <c r="L7026" i="1" s="1"/>
  <c r="K7026" i="1"/>
  <c r="L7025" i="1" a="1"/>
  <c r="L7025" i="1" s="1"/>
  <c r="K7025" i="1"/>
  <c r="K7024" i="1"/>
  <c r="L7024" i="1" s="1" a="1"/>
  <c r="L7024" i="1" s="1"/>
  <c r="L7023" i="1" a="1"/>
  <c r="L7023" i="1" s="1"/>
  <c r="K7023" i="1"/>
  <c r="L7022" i="1" a="1"/>
  <c r="L7022" i="1" s="1"/>
  <c r="K7022" i="1"/>
  <c r="L7021" i="1"/>
  <c r="L7021" i="1" a="1"/>
  <c r="K7021" i="1"/>
  <c r="K7020" i="1"/>
  <c r="L7020" i="1" s="1" a="1"/>
  <c r="L7020" i="1" s="1"/>
  <c r="K7019" i="1"/>
  <c r="L7019" i="1" s="1" a="1"/>
  <c r="L7019" i="1" s="1"/>
  <c r="K7018" i="1"/>
  <c r="L7018" i="1" s="1" a="1"/>
  <c r="L7018" i="1" s="1"/>
  <c r="L7017" i="1" a="1"/>
  <c r="L7017" i="1" s="1"/>
  <c r="K7017" i="1"/>
  <c r="K7016" i="1"/>
  <c r="L7016" i="1" s="1" a="1"/>
  <c r="L7016" i="1" s="1"/>
  <c r="L7015" i="1" a="1"/>
  <c r="L7015" i="1" s="1"/>
  <c r="K7015" i="1"/>
  <c r="L7014" i="1" a="1"/>
  <c r="L7014" i="1" s="1"/>
  <c r="K7014" i="1"/>
  <c r="L7013" i="1" a="1"/>
  <c r="L7013" i="1" s="1"/>
  <c r="K7013" i="1"/>
  <c r="K7012" i="1"/>
  <c r="L7012" i="1" s="1" a="1"/>
  <c r="L7012" i="1" s="1"/>
  <c r="K7011" i="1"/>
  <c r="L7011" i="1" s="1" a="1"/>
  <c r="L7011" i="1" s="1"/>
  <c r="K7010" i="1"/>
  <c r="L7010" i="1" s="1" a="1"/>
  <c r="L7010" i="1" s="1"/>
  <c r="L7009" i="1" a="1"/>
  <c r="L7009" i="1" s="1"/>
  <c r="K7009" i="1"/>
  <c r="L7008" i="1" a="1"/>
  <c r="L7008" i="1" s="1"/>
  <c r="K7008" i="1"/>
  <c r="L7007" i="1" a="1"/>
  <c r="L7007" i="1" s="1"/>
  <c r="K7007" i="1"/>
  <c r="L7006" i="1" a="1"/>
  <c r="L7006" i="1" s="1"/>
  <c r="K7006" i="1"/>
  <c r="L7005" i="1" a="1"/>
  <c r="L7005" i="1" s="1"/>
  <c r="K7005" i="1"/>
  <c r="K7004" i="1"/>
  <c r="L7004" i="1" s="1" a="1"/>
  <c r="L7004" i="1" s="1"/>
  <c r="K7003" i="1"/>
  <c r="L7003" i="1" s="1" a="1"/>
  <c r="L7003" i="1" s="1"/>
  <c r="L7002" i="1" a="1"/>
  <c r="L7002" i="1" s="1"/>
  <c r="K7002" i="1"/>
  <c r="L7001" i="1" a="1"/>
  <c r="L7001" i="1" s="1"/>
  <c r="K7001" i="1"/>
  <c r="K7000" i="1"/>
  <c r="L7000" i="1" s="1" a="1"/>
  <c r="L7000" i="1" s="1"/>
  <c r="K6999" i="1"/>
  <c r="L6999" i="1" s="1" a="1"/>
  <c r="L6999" i="1" s="1"/>
  <c r="L6998" i="1" a="1"/>
  <c r="L6998" i="1" s="1"/>
  <c r="K6998" i="1"/>
  <c r="K6997" i="1"/>
  <c r="L6997" i="1" s="1" a="1"/>
  <c r="L6997" i="1" s="1"/>
  <c r="K6996" i="1"/>
  <c r="L6996" i="1" s="1" a="1"/>
  <c r="L6996" i="1" s="1"/>
  <c r="L6995" i="1"/>
  <c r="K6995" i="1"/>
  <c r="L6995" i="1" s="1" a="1"/>
  <c r="K6994" i="1"/>
  <c r="L6994" i="1" s="1" a="1"/>
  <c r="L6994" i="1" s="1"/>
  <c r="K6993" i="1"/>
  <c r="L6993" i="1" s="1" a="1"/>
  <c r="L6993" i="1" s="1"/>
  <c r="L6992" i="1" a="1"/>
  <c r="L6992" i="1" s="1"/>
  <c r="K6992" i="1"/>
  <c r="K6991" i="1"/>
  <c r="L6991" i="1" s="1" a="1"/>
  <c r="L6991" i="1" s="1"/>
  <c r="K6990" i="1"/>
  <c r="L6990" i="1" s="1" a="1"/>
  <c r="L6990" i="1" s="1"/>
  <c r="K6989" i="1"/>
  <c r="L6989" i="1" s="1" a="1"/>
  <c r="L6989" i="1" s="1"/>
  <c r="K6988" i="1"/>
  <c r="L6988" i="1" s="1" a="1"/>
  <c r="L6988" i="1" s="1"/>
  <c r="K6987" i="1"/>
  <c r="L6987" i="1" s="1" a="1"/>
  <c r="L6987" i="1" s="1"/>
  <c r="L6986" i="1" a="1"/>
  <c r="L6986" i="1" s="1"/>
  <c r="K6986" i="1"/>
  <c r="K6985" i="1"/>
  <c r="L6985" i="1" s="1" a="1"/>
  <c r="L6985" i="1" s="1"/>
  <c r="L6984" i="1" a="1"/>
  <c r="L6984" i="1" s="1"/>
  <c r="K6984" i="1"/>
  <c r="K6983" i="1"/>
  <c r="L6983" i="1" s="1" a="1"/>
  <c r="L6983" i="1" s="1"/>
  <c r="K6982" i="1"/>
  <c r="L6982" i="1" s="1" a="1"/>
  <c r="L6982" i="1" s="1"/>
  <c r="K6981" i="1"/>
  <c r="L6981" i="1" s="1" a="1"/>
  <c r="L6981" i="1" s="1"/>
  <c r="L6980" i="1" a="1"/>
  <c r="L6980" i="1" s="1"/>
  <c r="K6980" i="1"/>
  <c r="K6979" i="1"/>
  <c r="L6979" i="1" s="1" a="1"/>
  <c r="L6979" i="1" s="1"/>
  <c r="K6978" i="1"/>
  <c r="L6978" i="1" s="1" a="1"/>
  <c r="L6978" i="1" s="1"/>
  <c r="K6977" i="1"/>
  <c r="L6977" i="1" s="1" a="1"/>
  <c r="L6977" i="1" s="1"/>
  <c r="K6976" i="1"/>
  <c r="L6976" i="1" s="1" a="1"/>
  <c r="L6976" i="1" s="1"/>
  <c r="K6975" i="1"/>
  <c r="L6975" i="1" s="1" a="1"/>
  <c r="L6975" i="1" s="1"/>
  <c r="L6974" i="1" a="1"/>
  <c r="L6974" i="1" s="1"/>
  <c r="K6974" i="1"/>
  <c r="K6973" i="1"/>
  <c r="L6973" i="1" s="1" a="1"/>
  <c r="L6973" i="1" s="1"/>
  <c r="K6972" i="1"/>
  <c r="L6972" i="1" s="1" a="1"/>
  <c r="L6972" i="1" s="1"/>
  <c r="K6971" i="1"/>
  <c r="L6971" i="1" s="1" a="1"/>
  <c r="L6971" i="1" s="1"/>
  <c r="K6970" i="1"/>
  <c r="L6970" i="1" s="1" a="1"/>
  <c r="L6970" i="1" s="1"/>
  <c r="K6969" i="1"/>
  <c r="L6969" i="1" s="1" a="1"/>
  <c r="L6969" i="1" s="1"/>
  <c r="L6968" i="1" a="1"/>
  <c r="L6968" i="1" s="1"/>
  <c r="K6968" i="1"/>
  <c r="K6967" i="1"/>
  <c r="L6967" i="1" s="1" a="1"/>
  <c r="L6967" i="1" s="1"/>
  <c r="L6966" i="1" a="1"/>
  <c r="L6966" i="1" s="1"/>
  <c r="K6966" i="1"/>
  <c r="K6965" i="1"/>
  <c r="L6965" i="1" s="1" a="1"/>
  <c r="L6965" i="1" s="1"/>
  <c r="K6964" i="1"/>
  <c r="L6964" i="1" s="1" a="1"/>
  <c r="L6964" i="1" s="1"/>
  <c r="K6963" i="1"/>
  <c r="L6963" i="1" s="1" a="1"/>
  <c r="L6963" i="1" s="1"/>
  <c r="L6962" i="1" a="1"/>
  <c r="L6962" i="1" s="1"/>
  <c r="K6962" i="1"/>
  <c r="K6961" i="1"/>
  <c r="L6961" i="1" s="1" a="1"/>
  <c r="L6961" i="1" s="1"/>
  <c r="K6960" i="1"/>
  <c r="L6960" i="1" s="1" a="1"/>
  <c r="L6960" i="1" s="1"/>
  <c r="K6959" i="1"/>
  <c r="L6959" i="1" s="1" a="1"/>
  <c r="L6959" i="1" s="1"/>
  <c r="K6958" i="1"/>
  <c r="L6958" i="1" s="1" a="1"/>
  <c r="L6958" i="1" s="1"/>
  <c r="K6957" i="1"/>
  <c r="L6957" i="1" s="1" a="1"/>
  <c r="L6957" i="1" s="1"/>
  <c r="L6956" i="1" a="1"/>
  <c r="L6956" i="1" s="1"/>
  <c r="K6956" i="1"/>
  <c r="K6955" i="1"/>
  <c r="L6955" i="1" s="1" a="1"/>
  <c r="L6955" i="1" s="1"/>
  <c r="K6954" i="1"/>
  <c r="L6954" i="1" s="1" a="1"/>
  <c r="L6954" i="1" s="1"/>
  <c r="K6953" i="1"/>
  <c r="L6953" i="1" s="1" a="1"/>
  <c r="L6953" i="1" s="1"/>
  <c r="K6952" i="1"/>
  <c r="L6952" i="1" s="1" a="1"/>
  <c r="L6952" i="1" s="1"/>
  <c r="K6951" i="1"/>
  <c r="L6951" i="1" s="1" a="1"/>
  <c r="L6951" i="1" s="1"/>
  <c r="L6950" i="1" a="1"/>
  <c r="L6950" i="1" s="1"/>
  <c r="K6950" i="1"/>
  <c r="K6949" i="1"/>
  <c r="L6949" i="1" s="1" a="1"/>
  <c r="L6949" i="1" s="1"/>
  <c r="L6948" i="1" a="1"/>
  <c r="L6948" i="1" s="1"/>
  <c r="K6948" i="1"/>
  <c r="K6947" i="1"/>
  <c r="L6947" i="1" s="1" a="1"/>
  <c r="L6947" i="1" s="1"/>
  <c r="K6946" i="1"/>
  <c r="L6946" i="1" s="1" a="1"/>
  <c r="L6946" i="1" s="1"/>
  <c r="K6945" i="1"/>
  <c r="L6945" i="1" s="1" a="1"/>
  <c r="L6945" i="1" s="1"/>
  <c r="L6944" i="1" a="1"/>
  <c r="L6944" i="1" s="1"/>
  <c r="K6944" i="1"/>
  <c r="K6943" i="1"/>
  <c r="L6943" i="1" s="1" a="1"/>
  <c r="L6943" i="1" s="1"/>
  <c r="K6942" i="1"/>
  <c r="L6942" i="1" s="1" a="1"/>
  <c r="L6942" i="1" s="1"/>
  <c r="K6941" i="1"/>
  <c r="L6941" i="1" s="1" a="1"/>
  <c r="L6941" i="1" s="1"/>
  <c r="K6940" i="1"/>
  <c r="L6940" i="1" s="1" a="1"/>
  <c r="L6940" i="1" s="1"/>
  <c r="K6939" i="1"/>
  <c r="L6939" i="1" s="1" a="1"/>
  <c r="L6939" i="1" s="1"/>
  <c r="L6938" i="1" a="1"/>
  <c r="L6938" i="1" s="1"/>
  <c r="K6938" i="1"/>
  <c r="K6937" i="1"/>
  <c r="L6937" i="1" s="1" a="1"/>
  <c r="L6937" i="1" s="1"/>
  <c r="K6936" i="1"/>
  <c r="L6936" i="1" s="1" a="1"/>
  <c r="L6936" i="1" s="1"/>
  <c r="K6935" i="1"/>
  <c r="L6935" i="1" s="1" a="1"/>
  <c r="L6935" i="1" s="1"/>
  <c r="K6934" i="1"/>
  <c r="L6934" i="1" s="1" a="1"/>
  <c r="L6934" i="1" s="1"/>
  <c r="K6933" i="1"/>
  <c r="L6933" i="1" s="1" a="1"/>
  <c r="L6933" i="1" s="1"/>
  <c r="L6932" i="1" a="1"/>
  <c r="L6932" i="1" s="1"/>
  <c r="K6932" i="1"/>
  <c r="K6931" i="1"/>
  <c r="L6931" i="1" s="1" a="1"/>
  <c r="L6931" i="1" s="1"/>
  <c r="L6930" i="1" a="1"/>
  <c r="L6930" i="1" s="1"/>
  <c r="K6930" i="1"/>
  <c r="K6929" i="1"/>
  <c r="L6929" i="1" s="1" a="1"/>
  <c r="L6929" i="1" s="1"/>
  <c r="K6928" i="1"/>
  <c r="L6928" i="1" s="1" a="1"/>
  <c r="L6928" i="1" s="1"/>
  <c r="K6927" i="1"/>
  <c r="L6927" i="1" s="1" a="1"/>
  <c r="L6927" i="1" s="1"/>
  <c r="L6926" i="1" a="1"/>
  <c r="L6926" i="1" s="1"/>
  <c r="K6926" i="1"/>
  <c r="K6925" i="1"/>
  <c r="L6925" i="1" s="1" a="1"/>
  <c r="L6925" i="1" s="1"/>
  <c r="L6924" i="1" a="1"/>
  <c r="L6924" i="1" s="1"/>
  <c r="K6924" i="1"/>
  <c r="K6923" i="1"/>
  <c r="L6923" i="1" s="1" a="1"/>
  <c r="L6923" i="1" s="1"/>
  <c r="K6922" i="1"/>
  <c r="L6922" i="1" s="1" a="1"/>
  <c r="L6922" i="1" s="1"/>
  <c r="K6921" i="1"/>
  <c r="L6921" i="1" s="1" a="1"/>
  <c r="L6921" i="1" s="1"/>
  <c r="L6920" i="1" a="1"/>
  <c r="L6920" i="1" s="1"/>
  <c r="K6920" i="1"/>
  <c r="K6919" i="1"/>
  <c r="L6919" i="1" s="1" a="1"/>
  <c r="L6919" i="1" s="1"/>
  <c r="K6918" i="1"/>
  <c r="L6918" i="1" s="1" a="1"/>
  <c r="L6918" i="1" s="1"/>
  <c r="K6917" i="1"/>
  <c r="L6917" i="1" s="1" a="1"/>
  <c r="L6917" i="1" s="1"/>
  <c r="K6916" i="1"/>
  <c r="L6916" i="1" s="1" a="1"/>
  <c r="L6916" i="1" s="1"/>
  <c r="K6915" i="1"/>
  <c r="L6915" i="1" s="1" a="1"/>
  <c r="L6915" i="1" s="1"/>
  <c r="L6914" i="1" a="1"/>
  <c r="L6914" i="1" s="1"/>
  <c r="K6914" i="1"/>
  <c r="K6913" i="1"/>
  <c r="L6913" i="1" s="1" a="1"/>
  <c r="L6913" i="1" s="1"/>
  <c r="L6912" i="1" a="1"/>
  <c r="L6912" i="1" s="1"/>
  <c r="K6912" i="1"/>
  <c r="K6911" i="1"/>
  <c r="L6911" i="1" s="1" a="1"/>
  <c r="L6911" i="1" s="1"/>
  <c r="K6910" i="1"/>
  <c r="L6910" i="1" s="1" a="1"/>
  <c r="L6910" i="1" s="1"/>
  <c r="K6909" i="1"/>
  <c r="L6909" i="1" s="1" a="1"/>
  <c r="L6909" i="1" s="1"/>
  <c r="L6908" i="1" a="1"/>
  <c r="L6908" i="1" s="1"/>
  <c r="K6908" i="1"/>
  <c r="K6907" i="1"/>
  <c r="L6907" i="1" s="1" a="1"/>
  <c r="L6907" i="1" s="1"/>
  <c r="K6906" i="1"/>
  <c r="L6906" i="1" s="1" a="1"/>
  <c r="L6906" i="1" s="1"/>
  <c r="K6905" i="1"/>
  <c r="L6905" i="1" s="1" a="1"/>
  <c r="L6905" i="1" s="1"/>
  <c r="K6904" i="1"/>
  <c r="L6904" i="1" s="1" a="1"/>
  <c r="L6904" i="1" s="1"/>
  <c r="K6903" i="1"/>
  <c r="L6903" i="1" s="1" a="1"/>
  <c r="L6903" i="1" s="1"/>
  <c r="L6902" i="1" a="1"/>
  <c r="L6902" i="1" s="1"/>
  <c r="K6902" i="1"/>
  <c r="K6901" i="1"/>
  <c r="L6901" i="1" s="1" a="1"/>
  <c r="L6901" i="1" s="1"/>
  <c r="K6900" i="1"/>
  <c r="L6900" i="1" s="1" a="1"/>
  <c r="L6900" i="1" s="1"/>
  <c r="K6899" i="1"/>
  <c r="L6899" i="1" s="1" a="1"/>
  <c r="L6899" i="1" s="1"/>
  <c r="K6898" i="1"/>
  <c r="L6898" i="1" s="1" a="1"/>
  <c r="L6898" i="1" s="1"/>
  <c r="K6897" i="1"/>
  <c r="L6897" i="1" s="1" a="1"/>
  <c r="L6897" i="1" s="1"/>
  <c r="L6896" i="1" a="1"/>
  <c r="L6896" i="1" s="1"/>
  <c r="K6896" i="1"/>
  <c r="K6895" i="1"/>
  <c r="L6895" i="1" s="1" a="1"/>
  <c r="L6895" i="1" s="1"/>
  <c r="L6894" i="1" a="1"/>
  <c r="L6894" i="1" s="1"/>
  <c r="K6894" i="1"/>
  <c r="K6893" i="1"/>
  <c r="L6893" i="1" s="1" a="1"/>
  <c r="L6893" i="1" s="1"/>
  <c r="K6892" i="1"/>
  <c r="L6892" i="1" s="1" a="1"/>
  <c r="L6892" i="1" s="1"/>
  <c r="K6891" i="1"/>
  <c r="L6891" i="1" s="1" a="1"/>
  <c r="L6891" i="1" s="1"/>
  <c r="L6890" i="1" a="1"/>
  <c r="L6890" i="1" s="1"/>
  <c r="K6890" i="1"/>
  <c r="K6889" i="1"/>
  <c r="L6889" i="1" s="1" a="1"/>
  <c r="L6889" i="1" s="1"/>
  <c r="K6888" i="1"/>
  <c r="L6888" i="1" s="1" a="1"/>
  <c r="L6888" i="1" s="1"/>
  <c r="K6887" i="1"/>
  <c r="L6887" i="1" s="1" a="1"/>
  <c r="L6887" i="1" s="1"/>
  <c r="K6886" i="1"/>
  <c r="L6886" i="1" s="1" a="1"/>
  <c r="L6886" i="1" s="1"/>
  <c r="K6885" i="1"/>
  <c r="L6885" i="1" s="1" a="1"/>
  <c r="L6885" i="1" s="1"/>
  <c r="L6884" i="1" a="1"/>
  <c r="L6884" i="1" s="1"/>
  <c r="K6884" i="1"/>
  <c r="K6883" i="1"/>
  <c r="L6883" i="1" s="1" a="1"/>
  <c r="L6883" i="1" s="1"/>
  <c r="K6882" i="1"/>
  <c r="L6882" i="1" s="1" a="1"/>
  <c r="L6882" i="1" s="1"/>
  <c r="K6881" i="1"/>
  <c r="L6881" i="1" s="1" a="1"/>
  <c r="L6881" i="1" s="1"/>
  <c r="K6880" i="1"/>
  <c r="L6880" i="1" s="1" a="1"/>
  <c r="L6880" i="1" s="1"/>
  <c r="K6879" i="1"/>
  <c r="L6879" i="1" s="1" a="1"/>
  <c r="L6879" i="1" s="1"/>
  <c r="L6878" i="1" a="1"/>
  <c r="L6878" i="1" s="1"/>
  <c r="K6878" i="1"/>
  <c r="K6877" i="1"/>
  <c r="L6877" i="1" s="1" a="1"/>
  <c r="L6877" i="1" s="1"/>
  <c r="L6876" i="1" a="1"/>
  <c r="L6876" i="1" s="1"/>
  <c r="K6876" i="1"/>
  <c r="K6875" i="1"/>
  <c r="L6875" i="1" s="1" a="1"/>
  <c r="L6875" i="1" s="1"/>
  <c r="K6874" i="1"/>
  <c r="L6874" i="1" s="1" a="1"/>
  <c r="L6874" i="1" s="1"/>
  <c r="K6873" i="1"/>
  <c r="L6873" i="1" s="1" a="1"/>
  <c r="L6873" i="1" s="1"/>
  <c r="L6872" i="1" a="1"/>
  <c r="L6872" i="1" s="1"/>
  <c r="K6872" i="1"/>
  <c r="K6871" i="1"/>
  <c r="L6871" i="1" s="1" a="1"/>
  <c r="L6871" i="1" s="1"/>
  <c r="K6870" i="1"/>
  <c r="L6870" i="1" s="1" a="1"/>
  <c r="L6870" i="1" s="1"/>
  <c r="K6869" i="1"/>
  <c r="L6869" i="1" s="1" a="1"/>
  <c r="L6869" i="1" s="1"/>
  <c r="K6868" i="1"/>
  <c r="L6868" i="1" s="1" a="1"/>
  <c r="L6868" i="1" s="1"/>
  <c r="K6867" i="1"/>
  <c r="L6867" i="1" s="1" a="1"/>
  <c r="L6867" i="1" s="1"/>
  <c r="L6866" i="1" a="1"/>
  <c r="L6866" i="1" s="1"/>
  <c r="K6866" i="1"/>
  <c r="K6865" i="1"/>
  <c r="L6865" i="1" s="1" a="1"/>
  <c r="L6865" i="1" s="1"/>
  <c r="K6864" i="1"/>
  <c r="L6864" i="1" s="1" a="1"/>
  <c r="L6864" i="1" s="1"/>
  <c r="K6863" i="1"/>
  <c r="L6863" i="1" s="1" a="1"/>
  <c r="L6863" i="1" s="1"/>
  <c r="K6862" i="1"/>
  <c r="L6862" i="1" s="1" a="1"/>
  <c r="L6862" i="1" s="1"/>
  <c r="K6861" i="1"/>
  <c r="L6861" i="1" s="1" a="1"/>
  <c r="L6861" i="1" s="1"/>
  <c r="L6860" i="1" a="1"/>
  <c r="L6860" i="1" s="1"/>
  <c r="K6860" i="1"/>
  <c r="K6859" i="1"/>
  <c r="L6859" i="1" s="1" a="1"/>
  <c r="L6859" i="1" s="1"/>
  <c r="L6858" i="1" a="1"/>
  <c r="L6858" i="1" s="1"/>
  <c r="K6858" i="1"/>
  <c r="K6857" i="1"/>
  <c r="L6857" i="1" s="1" a="1"/>
  <c r="L6857" i="1" s="1"/>
  <c r="K6856" i="1"/>
  <c r="L6856" i="1" s="1" a="1"/>
  <c r="L6856" i="1" s="1"/>
  <c r="K6855" i="1"/>
  <c r="L6855" i="1" s="1" a="1"/>
  <c r="L6855" i="1" s="1"/>
  <c r="L6854" i="1" a="1"/>
  <c r="L6854" i="1" s="1"/>
  <c r="K6854" i="1"/>
  <c r="K6853" i="1"/>
  <c r="L6853" i="1" s="1" a="1"/>
  <c r="L6853" i="1" s="1"/>
  <c r="K6852" i="1"/>
  <c r="L6852" i="1" s="1" a="1"/>
  <c r="L6852" i="1" s="1"/>
  <c r="K6851" i="1"/>
  <c r="L6851" i="1" s="1" a="1"/>
  <c r="L6851" i="1" s="1"/>
  <c r="K6850" i="1"/>
  <c r="L6850" i="1" s="1" a="1"/>
  <c r="L6850" i="1" s="1"/>
  <c r="K6849" i="1"/>
  <c r="L6849" i="1" s="1" a="1"/>
  <c r="L6849" i="1" s="1"/>
  <c r="L6848" i="1" a="1"/>
  <c r="L6848" i="1" s="1"/>
  <c r="K6848" i="1"/>
  <c r="K6847" i="1"/>
  <c r="L6847" i="1" s="1" a="1"/>
  <c r="L6847" i="1" s="1"/>
  <c r="K6846" i="1"/>
  <c r="L6846" i="1" s="1" a="1"/>
  <c r="L6846" i="1" s="1"/>
  <c r="K6845" i="1"/>
  <c r="L6845" i="1" s="1" a="1"/>
  <c r="L6845" i="1" s="1"/>
  <c r="K6844" i="1"/>
  <c r="L6844" i="1" s="1" a="1"/>
  <c r="L6844" i="1" s="1"/>
  <c r="K6843" i="1"/>
  <c r="L6843" i="1" s="1" a="1"/>
  <c r="L6843" i="1" s="1"/>
  <c r="L6842" i="1" a="1"/>
  <c r="L6842" i="1" s="1"/>
  <c r="K6842" i="1"/>
  <c r="K6841" i="1"/>
  <c r="L6841" i="1" s="1" a="1"/>
  <c r="L6841" i="1" s="1"/>
  <c r="L6840" i="1" a="1"/>
  <c r="L6840" i="1" s="1"/>
  <c r="K6840" i="1"/>
  <c r="K6839" i="1"/>
  <c r="L6839" i="1" s="1" a="1"/>
  <c r="L6839" i="1" s="1"/>
  <c r="K6838" i="1"/>
  <c r="L6838" i="1" s="1" a="1"/>
  <c r="L6838" i="1" s="1"/>
  <c r="K6837" i="1"/>
  <c r="L6837" i="1" s="1" a="1"/>
  <c r="L6837" i="1" s="1"/>
  <c r="L6836" i="1" a="1"/>
  <c r="L6836" i="1" s="1"/>
  <c r="K6836" i="1"/>
  <c r="K6835" i="1"/>
  <c r="L6835" i="1" s="1" a="1"/>
  <c r="L6835" i="1" s="1"/>
  <c r="L6834" i="1" a="1"/>
  <c r="L6834" i="1" s="1"/>
  <c r="K6834" i="1"/>
  <c r="K6833" i="1"/>
  <c r="L6833" i="1" s="1" a="1"/>
  <c r="L6833" i="1" s="1"/>
  <c r="K6832" i="1"/>
  <c r="L6832" i="1" s="1" a="1"/>
  <c r="L6832" i="1" s="1"/>
  <c r="K6831" i="1"/>
  <c r="L6831" i="1" s="1" a="1"/>
  <c r="L6831" i="1" s="1"/>
  <c r="L6830" i="1" a="1"/>
  <c r="L6830" i="1" s="1"/>
  <c r="K6830" i="1"/>
  <c r="K6829" i="1"/>
  <c r="L6829" i="1" s="1" a="1"/>
  <c r="L6829" i="1" s="1"/>
  <c r="K6828" i="1"/>
  <c r="L6828" i="1" s="1" a="1"/>
  <c r="L6828" i="1" s="1"/>
  <c r="K6827" i="1"/>
  <c r="L6827" i="1" s="1" a="1"/>
  <c r="L6827" i="1" s="1"/>
  <c r="K6826" i="1"/>
  <c r="L6826" i="1" s="1" a="1"/>
  <c r="L6826" i="1" s="1"/>
  <c r="K6825" i="1"/>
  <c r="L6825" i="1" s="1" a="1"/>
  <c r="L6825" i="1" s="1"/>
  <c r="L6824" i="1" a="1"/>
  <c r="L6824" i="1" s="1"/>
  <c r="K6824" i="1"/>
  <c r="K6823" i="1"/>
  <c r="L6823" i="1" s="1" a="1"/>
  <c r="L6823" i="1" s="1"/>
  <c r="L6822" i="1" a="1"/>
  <c r="L6822" i="1" s="1"/>
  <c r="K6822" i="1"/>
  <c r="K6821" i="1"/>
  <c r="L6821" i="1" s="1" a="1"/>
  <c r="L6821" i="1" s="1"/>
  <c r="K6820" i="1"/>
  <c r="L6820" i="1" s="1" a="1"/>
  <c r="L6820" i="1" s="1"/>
  <c r="K6819" i="1"/>
  <c r="L6819" i="1" s="1" a="1"/>
  <c r="L6819" i="1" s="1"/>
  <c r="L6818" i="1" a="1"/>
  <c r="L6818" i="1" s="1"/>
  <c r="K6818" i="1"/>
  <c r="K6817" i="1"/>
  <c r="L6817" i="1" s="1" a="1"/>
  <c r="L6817" i="1" s="1"/>
  <c r="K6816" i="1"/>
  <c r="L6816" i="1" s="1" a="1"/>
  <c r="L6816" i="1" s="1"/>
  <c r="K6815" i="1"/>
  <c r="L6815" i="1" s="1" a="1"/>
  <c r="L6815" i="1" s="1"/>
  <c r="K6814" i="1"/>
  <c r="L6814" i="1" s="1" a="1"/>
  <c r="L6814" i="1" s="1"/>
  <c r="K6813" i="1"/>
  <c r="L6813" i="1" s="1" a="1"/>
  <c r="L6813" i="1" s="1"/>
  <c r="L6812" i="1" a="1"/>
  <c r="L6812" i="1" s="1"/>
  <c r="K6812" i="1"/>
  <c r="K6811" i="1"/>
  <c r="L6811" i="1" s="1" a="1"/>
  <c r="L6811" i="1" s="1"/>
  <c r="K6810" i="1"/>
  <c r="L6810" i="1" s="1" a="1"/>
  <c r="L6810" i="1" s="1"/>
  <c r="K6809" i="1"/>
  <c r="L6809" i="1" s="1" a="1"/>
  <c r="L6809" i="1" s="1"/>
  <c r="K6808" i="1"/>
  <c r="L6808" i="1" s="1" a="1"/>
  <c r="L6808" i="1" s="1"/>
  <c r="K6807" i="1"/>
  <c r="L6807" i="1" s="1" a="1"/>
  <c r="L6807" i="1" s="1"/>
  <c r="L6806" i="1" a="1"/>
  <c r="L6806" i="1" s="1"/>
  <c r="K6806" i="1"/>
  <c r="K6805" i="1"/>
  <c r="L6805" i="1" s="1" a="1"/>
  <c r="L6805" i="1" s="1"/>
  <c r="L6804" i="1" a="1"/>
  <c r="L6804" i="1" s="1"/>
  <c r="K6804" i="1"/>
  <c r="K6803" i="1"/>
  <c r="L6803" i="1" s="1" a="1"/>
  <c r="L6803" i="1" s="1"/>
  <c r="K6802" i="1"/>
  <c r="L6802" i="1" s="1" a="1"/>
  <c r="L6802" i="1" s="1"/>
  <c r="K6801" i="1"/>
  <c r="L6801" i="1" s="1" a="1"/>
  <c r="L6801" i="1" s="1"/>
  <c r="L6800" i="1" a="1"/>
  <c r="L6800" i="1" s="1"/>
  <c r="K6800" i="1"/>
  <c r="K6799" i="1"/>
  <c r="L6799" i="1" s="1" a="1"/>
  <c r="L6799" i="1" s="1"/>
  <c r="K6798" i="1"/>
  <c r="L6798" i="1" s="1" a="1"/>
  <c r="L6798" i="1" s="1"/>
  <c r="K6797" i="1"/>
  <c r="L6797" i="1" s="1" a="1"/>
  <c r="L6797" i="1" s="1"/>
  <c r="K6796" i="1"/>
  <c r="L6796" i="1" s="1" a="1"/>
  <c r="L6796" i="1" s="1"/>
  <c r="K6795" i="1"/>
  <c r="L6795" i="1" s="1" a="1"/>
  <c r="L6795" i="1" s="1"/>
  <c r="L6794" i="1" a="1"/>
  <c r="L6794" i="1" s="1"/>
  <c r="K6794" i="1"/>
  <c r="K6793" i="1"/>
  <c r="L6793" i="1" s="1" a="1"/>
  <c r="L6793" i="1" s="1"/>
  <c r="K6792" i="1"/>
  <c r="L6792" i="1" s="1" a="1"/>
  <c r="L6792" i="1" s="1"/>
  <c r="K6791" i="1"/>
  <c r="L6791" i="1" s="1" a="1"/>
  <c r="L6791" i="1" s="1"/>
  <c r="K6790" i="1"/>
  <c r="L6790" i="1" s="1" a="1"/>
  <c r="L6790" i="1" s="1"/>
  <c r="K6789" i="1"/>
  <c r="L6789" i="1" s="1" a="1"/>
  <c r="L6789" i="1" s="1"/>
  <c r="L6788" i="1" a="1"/>
  <c r="L6788" i="1" s="1"/>
  <c r="K6788" i="1"/>
  <c r="K6787" i="1"/>
  <c r="L6787" i="1" s="1" a="1"/>
  <c r="L6787" i="1" s="1"/>
  <c r="L6786" i="1" a="1"/>
  <c r="L6786" i="1" s="1"/>
  <c r="K6786" i="1"/>
  <c r="K6785" i="1"/>
  <c r="L6785" i="1" s="1" a="1"/>
  <c r="L6785" i="1" s="1"/>
  <c r="K6784" i="1"/>
  <c r="L6784" i="1" s="1" a="1"/>
  <c r="L6784" i="1" s="1"/>
  <c r="K6783" i="1"/>
  <c r="L6783" i="1" s="1" a="1"/>
  <c r="L6783" i="1" s="1"/>
  <c r="L6782" i="1" a="1"/>
  <c r="L6782" i="1" s="1"/>
  <c r="K6782" i="1"/>
  <c r="K6781" i="1"/>
  <c r="L6781" i="1" s="1" a="1"/>
  <c r="L6781" i="1" s="1"/>
  <c r="K6780" i="1"/>
  <c r="L6780" i="1" s="1" a="1"/>
  <c r="L6780" i="1" s="1"/>
  <c r="K6779" i="1"/>
  <c r="L6779" i="1" s="1" a="1"/>
  <c r="L6779" i="1" s="1"/>
  <c r="K6778" i="1"/>
  <c r="L6778" i="1" s="1" a="1"/>
  <c r="L6778" i="1" s="1"/>
  <c r="K6777" i="1"/>
  <c r="L6777" i="1" s="1" a="1"/>
  <c r="L6777" i="1" s="1"/>
  <c r="L6776" i="1" a="1"/>
  <c r="L6776" i="1" s="1"/>
  <c r="K6776" i="1"/>
  <c r="K6775" i="1"/>
  <c r="L6775" i="1" s="1" a="1"/>
  <c r="L6775" i="1" s="1"/>
  <c r="K6774" i="1"/>
  <c r="L6774" i="1" s="1" a="1"/>
  <c r="L6774" i="1" s="1"/>
  <c r="K6773" i="1"/>
  <c r="L6773" i="1" s="1" a="1"/>
  <c r="L6773" i="1" s="1"/>
  <c r="K6772" i="1"/>
  <c r="L6772" i="1" s="1" a="1"/>
  <c r="L6772" i="1" s="1"/>
  <c r="K6771" i="1"/>
  <c r="L6771" i="1" s="1" a="1"/>
  <c r="L6771" i="1" s="1"/>
  <c r="L6770" i="1" a="1"/>
  <c r="L6770" i="1" s="1"/>
  <c r="K6770" i="1"/>
  <c r="K6769" i="1"/>
  <c r="L6769" i="1" s="1" a="1"/>
  <c r="L6769" i="1" s="1"/>
  <c r="L6768" i="1" a="1"/>
  <c r="L6768" i="1" s="1"/>
  <c r="K6768" i="1"/>
  <c r="K6767" i="1"/>
  <c r="L6767" i="1" s="1" a="1"/>
  <c r="L6767" i="1" s="1"/>
  <c r="K6766" i="1"/>
  <c r="L6766" i="1" s="1" a="1"/>
  <c r="L6766" i="1" s="1"/>
  <c r="K6765" i="1"/>
  <c r="L6765" i="1" s="1" a="1"/>
  <c r="L6765" i="1" s="1"/>
  <c r="L6764" i="1" a="1"/>
  <c r="L6764" i="1" s="1"/>
  <c r="K6764" i="1"/>
  <c r="K6763" i="1"/>
  <c r="L6763" i="1" s="1" a="1"/>
  <c r="L6763" i="1" s="1"/>
  <c r="K6762" i="1"/>
  <c r="L6762" i="1" s="1" a="1"/>
  <c r="L6762" i="1" s="1"/>
  <c r="K6761" i="1"/>
  <c r="L6761" i="1" s="1" a="1"/>
  <c r="L6761" i="1" s="1"/>
  <c r="K6760" i="1"/>
  <c r="L6760" i="1" s="1" a="1"/>
  <c r="L6760" i="1" s="1"/>
  <c r="K6759" i="1"/>
  <c r="L6759" i="1" s="1" a="1"/>
  <c r="L6759" i="1" s="1"/>
  <c r="L6758" i="1" a="1"/>
  <c r="L6758" i="1" s="1"/>
  <c r="K6758" i="1"/>
  <c r="K6757" i="1"/>
  <c r="L6757" i="1" s="1" a="1"/>
  <c r="L6757" i="1" s="1"/>
  <c r="L6756" i="1" a="1"/>
  <c r="L6756" i="1" s="1"/>
  <c r="K6756" i="1"/>
  <c r="L6755" i="1"/>
  <c r="K6755" i="1"/>
  <c r="L6755" i="1" s="1" a="1"/>
  <c r="L6754" i="1" a="1"/>
  <c r="L6754" i="1" s="1"/>
  <c r="K6754" i="1"/>
  <c r="L6753" i="1"/>
  <c r="K6753" i="1"/>
  <c r="L6753" i="1" s="1" a="1"/>
  <c r="K6752" i="1"/>
  <c r="L6752" i="1" s="1" a="1"/>
  <c r="L6752" i="1" s="1"/>
  <c r="L6751" i="1"/>
  <c r="K6751" i="1"/>
  <c r="L6751" i="1" s="1" a="1"/>
  <c r="K6750" i="1"/>
  <c r="L6750" i="1" s="1" a="1"/>
  <c r="L6750" i="1" s="1"/>
  <c r="K6749" i="1"/>
  <c r="L6749" i="1" s="1" a="1"/>
  <c r="L6749" i="1" s="1"/>
  <c r="K6748" i="1"/>
  <c r="L6748" i="1" s="1" a="1"/>
  <c r="L6748" i="1" s="1"/>
  <c r="K6747" i="1"/>
  <c r="L6747" i="1" s="1" a="1"/>
  <c r="L6747" i="1" s="1"/>
  <c r="K6746" i="1"/>
  <c r="L6746" i="1" s="1" a="1"/>
  <c r="L6746" i="1" s="1"/>
  <c r="L6745" i="1"/>
  <c r="K6745" i="1"/>
  <c r="L6745" i="1" s="1" a="1"/>
  <c r="K6744" i="1"/>
  <c r="L6744" i="1" s="1" a="1"/>
  <c r="L6744" i="1" s="1"/>
  <c r="K6743" i="1"/>
  <c r="L6743" i="1" s="1" a="1"/>
  <c r="L6743" i="1" s="1"/>
  <c r="L6742" i="1" a="1"/>
  <c r="L6742" i="1" s="1"/>
  <c r="K6742" i="1"/>
  <c r="K6741" i="1"/>
  <c r="L6741" i="1" s="1" a="1"/>
  <c r="L6741" i="1" s="1"/>
  <c r="L6740" i="1"/>
  <c r="L6740" i="1" a="1"/>
  <c r="K6740" i="1"/>
  <c r="L6739" i="1"/>
  <c r="K6739" i="1"/>
  <c r="L6739" i="1" s="1" a="1"/>
  <c r="L6738" i="1" a="1"/>
  <c r="L6738" i="1" s="1"/>
  <c r="K6738" i="1"/>
  <c r="K6737" i="1"/>
  <c r="L6737" i="1" s="1" a="1"/>
  <c r="L6737" i="1" s="1"/>
  <c r="K6736" i="1"/>
  <c r="L6736" i="1" s="1" a="1"/>
  <c r="L6736" i="1" s="1"/>
  <c r="L6735" i="1"/>
  <c r="K6735" i="1"/>
  <c r="L6735" i="1" s="1" a="1"/>
  <c r="K6734" i="1"/>
  <c r="L6734" i="1" s="1" a="1"/>
  <c r="L6734" i="1" s="1"/>
  <c r="K6733" i="1"/>
  <c r="L6733" i="1" s="1" a="1"/>
  <c r="L6733" i="1" s="1"/>
  <c r="L6732" i="1" a="1"/>
  <c r="L6732" i="1" s="1"/>
  <c r="K6732" i="1"/>
  <c r="K6731" i="1"/>
  <c r="L6731" i="1" s="1" a="1"/>
  <c r="L6731" i="1" s="1"/>
  <c r="L6730" i="1" a="1"/>
  <c r="L6730" i="1" s="1"/>
  <c r="K6730" i="1"/>
  <c r="L6729" i="1"/>
  <c r="K6729" i="1"/>
  <c r="L6729" i="1" s="1" a="1"/>
  <c r="K6728" i="1"/>
  <c r="L6728" i="1" s="1" a="1"/>
  <c r="L6728" i="1" s="1"/>
  <c r="K6727" i="1"/>
  <c r="L6727" i="1" s="1" a="1"/>
  <c r="L6727" i="1" s="1"/>
  <c r="L6726" i="1" a="1"/>
  <c r="L6726" i="1" s="1"/>
  <c r="K6726" i="1"/>
  <c r="L6725" i="1"/>
  <c r="K6725" i="1"/>
  <c r="L6725" i="1" s="1" a="1"/>
  <c r="L6724" i="1" a="1"/>
  <c r="L6724" i="1" s="1"/>
  <c r="K6724" i="1"/>
  <c r="L6723" i="1"/>
  <c r="K6723" i="1"/>
  <c r="L6723" i="1" s="1" a="1"/>
  <c r="L6722" i="1" a="1"/>
  <c r="L6722" i="1" s="1"/>
  <c r="K6722" i="1"/>
  <c r="L6721" i="1"/>
  <c r="K6721" i="1"/>
  <c r="L6721" i="1" s="1" a="1"/>
  <c r="L6720" i="1" a="1"/>
  <c r="L6720" i="1" s="1"/>
  <c r="K6720" i="1"/>
  <c r="K6719" i="1"/>
  <c r="L6719" i="1" s="1" a="1"/>
  <c r="L6719" i="1" s="1"/>
  <c r="K6718" i="1"/>
  <c r="L6718" i="1" s="1" a="1"/>
  <c r="L6718" i="1" s="1"/>
  <c r="K6717" i="1"/>
  <c r="L6717" i="1" s="1" a="1"/>
  <c r="L6717" i="1" s="1"/>
  <c r="L6716" i="1" a="1"/>
  <c r="L6716" i="1" s="1"/>
  <c r="K6716" i="1"/>
  <c r="K6715" i="1"/>
  <c r="L6715" i="1" s="1" a="1"/>
  <c r="L6715" i="1" s="1"/>
  <c r="L6714" i="1" a="1"/>
  <c r="L6714" i="1" s="1"/>
  <c r="K6714" i="1"/>
  <c r="K6713" i="1"/>
  <c r="L6713" i="1" s="1" a="1"/>
  <c r="L6713" i="1" s="1"/>
  <c r="L6712" i="1" a="1"/>
  <c r="L6712" i="1" s="1"/>
  <c r="K6712" i="1"/>
  <c r="L6711" i="1" a="1"/>
  <c r="L6711" i="1" s="1"/>
  <c r="K6711" i="1"/>
  <c r="L6710" i="1" a="1"/>
  <c r="L6710" i="1" s="1"/>
  <c r="K6710" i="1"/>
  <c r="L6709" i="1" a="1"/>
  <c r="L6709" i="1" s="1"/>
  <c r="K6709" i="1"/>
  <c r="K6708" i="1"/>
  <c r="L6708" i="1" s="1" a="1"/>
  <c r="L6708" i="1" s="1"/>
  <c r="L6707" i="1" a="1"/>
  <c r="L6707" i="1" s="1"/>
  <c r="K6707" i="1"/>
  <c r="K6706" i="1"/>
  <c r="L6706" i="1" s="1" a="1"/>
  <c r="L6706" i="1" s="1"/>
  <c r="K6705" i="1"/>
  <c r="L6705" i="1" s="1" a="1"/>
  <c r="L6705" i="1" s="1"/>
  <c r="L6704" i="1" a="1"/>
  <c r="L6704" i="1" s="1"/>
  <c r="K6704" i="1"/>
  <c r="K6703" i="1"/>
  <c r="L6703" i="1" s="1" a="1"/>
  <c r="L6703" i="1" s="1"/>
  <c r="K6702" i="1"/>
  <c r="L6702" i="1" s="1" a="1"/>
  <c r="L6702" i="1" s="1"/>
  <c r="K6701" i="1"/>
  <c r="L6701" i="1" s="1" a="1"/>
  <c r="L6701" i="1" s="1"/>
  <c r="L6700" i="1" a="1"/>
  <c r="L6700" i="1" s="1"/>
  <c r="K6700" i="1"/>
  <c r="L6699" i="1"/>
  <c r="K6699" i="1"/>
  <c r="L6699" i="1" s="1" a="1"/>
  <c r="K6698" i="1"/>
  <c r="L6698" i="1" s="1" a="1"/>
  <c r="L6698" i="1" s="1"/>
  <c r="L6697" i="1"/>
  <c r="K6697" i="1"/>
  <c r="L6697" i="1" s="1" a="1"/>
  <c r="L6696" i="1" a="1"/>
  <c r="L6696" i="1" s="1"/>
  <c r="K6696" i="1"/>
  <c r="K6695" i="1"/>
  <c r="L6695" i="1" s="1" a="1"/>
  <c r="L6695" i="1" s="1"/>
  <c r="K6694" i="1"/>
  <c r="L6694" i="1" s="1" a="1"/>
  <c r="L6694" i="1" s="1"/>
  <c r="K6693" i="1"/>
  <c r="L6693" i="1" s="1" a="1"/>
  <c r="L6693" i="1" s="1"/>
  <c r="L6692" i="1" a="1"/>
  <c r="L6692" i="1" s="1"/>
  <c r="K6692" i="1"/>
  <c r="L6691" i="1"/>
  <c r="K6691" i="1"/>
  <c r="L6691" i="1" s="1" a="1"/>
  <c r="K6690" i="1"/>
  <c r="L6690" i="1" s="1" a="1"/>
  <c r="L6690" i="1" s="1"/>
  <c r="K6689" i="1"/>
  <c r="L6689" i="1" s="1" a="1"/>
  <c r="L6689" i="1" s="1"/>
  <c r="L6688" i="1" a="1"/>
  <c r="L6688" i="1" s="1"/>
  <c r="K6688" i="1"/>
  <c r="K6687" i="1"/>
  <c r="L6687" i="1" s="1" a="1"/>
  <c r="L6687" i="1" s="1"/>
  <c r="K6686" i="1"/>
  <c r="L6686" i="1" s="1" a="1"/>
  <c r="L6686" i="1" s="1"/>
  <c r="K6685" i="1"/>
  <c r="L6685" i="1" s="1" a="1"/>
  <c r="L6685" i="1" s="1"/>
  <c r="L6684" i="1" a="1"/>
  <c r="L6684" i="1" s="1"/>
  <c r="K6684" i="1"/>
  <c r="L6683" i="1"/>
  <c r="K6683" i="1"/>
  <c r="L6683" i="1" s="1" a="1"/>
  <c r="K6682" i="1"/>
  <c r="L6682" i="1" s="1" a="1"/>
  <c r="L6682" i="1" s="1"/>
  <c r="L6681" i="1"/>
  <c r="K6681" i="1"/>
  <c r="L6681" i="1" s="1" a="1"/>
  <c r="L6680" i="1" a="1"/>
  <c r="L6680" i="1" s="1"/>
  <c r="K6680" i="1"/>
  <c r="K6679" i="1"/>
  <c r="L6679" i="1" s="1" a="1"/>
  <c r="L6679" i="1" s="1"/>
  <c r="K6678" i="1"/>
  <c r="L6678" i="1" s="1" a="1"/>
  <c r="L6678" i="1" s="1"/>
  <c r="K6677" i="1"/>
  <c r="L6677" i="1" s="1" a="1"/>
  <c r="L6677" i="1" s="1"/>
  <c r="L6676" i="1" a="1"/>
  <c r="L6676" i="1" s="1"/>
  <c r="K6676" i="1"/>
  <c r="L6675" i="1"/>
  <c r="K6675" i="1"/>
  <c r="L6675" i="1" s="1" a="1"/>
  <c r="K6674" i="1"/>
  <c r="L6674" i="1" s="1" a="1"/>
  <c r="L6674" i="1" s="1"/>
  <c r="K6673" i="1"/>
  <c r="L6673" i="1" s="1" a="1"/>
  <c r="L6673" i="1" s="1"/>
  <c r="L6672" i="1" a="1"/>
  <c r="L6672" i="1" s="1"/>
  <c r="K6672" i="1"/>
  <c r="K6671" i="1"/>
  <c r="L6671" i="1" s="1" a="1"/>
  <c r="L6671" i="1" s="1"/>
  <c r="K6670" i="1"/>
  <c r="L6670" i="1" s="1" a="1"/>
  <c r="L6670" i="1" s="1"/>
  <c r="K6669" i="1"/>
  <c r="L6669" i="1" s="1" a="1"/>
  <c r="L6669" i="1" s="1"/>
  <c r="L6668" i="1" a="1"/>
  <c r="L6668" i="1" s="1"/>
  <c r="K6668" i="1"/>
  <c r="L6667" i="1"/>
  <c r="K6667" i="1"/>
  <c r="L6667" i="1" s="1" a="1"/>
  <c r="K6666" i="1"/>
  <c r="L6666" i="1" s="1" a="1"/>
  <c r="L6666" i="1" s="1"/>
  <c r="L6665" i="1"/>
  <c r="K6665" i="1"/>
  <c r="L6665" i="1" s="1" a="1"/>
  <c r="L6664" i="1" a="1"/>
  <c r="L6664" i="1" s="1"/>
  <c r="K6664" i="1"/>
  <c r="K6663" i="1"/>
  <c r="L6663" i="1" s="1" a="1"/>
  <c r="L6663" i="1" s="1"/>
  <c r="K6662" i="1"/>
  <c r="L6662" i="1" s="1" a="1"/>
  <c r="L6662" i="1" s="1"/>
  <c r="K6661" i="1"/>
  <c r="L6661" i="1" s="1" a="1"/>
  <c r="L6661" i="1" s="1"/>
  <c r="L6660" i="1" a="1"/>
  <c r="L6660" i="1" s="1"/>
  <c r="K6660" i="1"/>
  <c r="L6659" i="1"/>
  <c r="K6659" i="1"/>
  <c r="L6659" i="1" s="1" a="1"/>
  <c r="K6658" i="1"/>
  <c r="L6658" i="1" s="1" a="1"/>
  <c r="L6658" i="1" s="1"/>
  <c r="K6657" i="1"/>
  <c r="L6657" i="1" s="1" a="1"/>
  <c r="L6657" i="1" s="1"/>
  <c r="L6656" i="1" a="1"/>
  <c r="L6656" i="1" s="1"/>
  <c r="K6656" i="1"/>
  <c r="K6655" i="1"/>
  <c r="L6655" i="1" s="1" a="1"/>
  <c r="L6655" i="1" s="1"/>
  <c r="K6654" i="1"/>
  <c r="L6654" i="1" s="1" a="1"/>
  <c r="L6654" i="1" s="1"/>
  <c r="K6653" i="1"/>
  <c r="L6653" i="1" s="1" a="1"/>
  <c r="L6653" i="1" s="1"/>
  <c r="L6652" i="1" a="1"/>
  <c r="L6652" i="1" s="1"/>
  <c r="K6652" i="1"/>
  <c r="L6651" i="1"/>
  <c r="K6651" i="1"/>
  <c r="L6651" i="1" s="1" a="1"/>
  <c r="K6650" i="1"/>
  <c r="L6650" i="1" s="1" a="1"/>
  <c r="L6650" i="1" s="1"/>
  <c r="L6649" i="1"/>
  <c r="K6649" i="1"/>
  <c r="L6649" i="1" s="1" a="1"/>
  <c r="L6648" i="1" a="1"/>
  <c r="L6648" i="1" s="1"/>
  <c r="K6648" i="1"/>
  <c r="K6647" i="1"/>
  <c r="L6647" i="1" s="1" a="1"/>
  <c r="L6647" i="1" s="1"/>
  <c r="K6646" i="1"/>
  <c r="L6646" i="1" s="1" a="1"/>
  <c r="L6646" i="1" s="1"/>
  <c r="K6645" i="1"/>
  <c r="L6645" i="1" s="1" a="1"/>
  <c r="L6645" i="1" s="1"/>
  <c r="L6644" i="1" a="1"/>
  <c r="L6644" i="1" s="1"/>
  <c r="K6644" i="1"/>
  <c r="L6643" i="1"/>
  <c r="K6643" i="1"/>
  <c r="L6643" i="1" s="1" a="1"/>
  <c r="K6642" i="1"/>
  <c r="L6642" i="1" s="1" a="1"/>
  <c r="L6642" i="1" s="1"/>
  <c r="L6641" i="1" a="1"/>
  <c r="L6641" i="1" s="1"/>
  <c r="K6641" i="1"/>
  <c r="L6640" i="1" a="1"/>
  <c r="L6640" i="1" s="1"/>
  <c r="K6640" i="1"/>
  <c r="L6639" i="1"/>
  <c r="K6639" i="1"/>
  <c r="L6639" i="1" s="1" a="1"/>
  <c r="L6638" i="1"/>
  <c r="L6638" i="1" a="1"/>
  <c r="K6638" i="1"/>
  <c r="L6637" i="1" a="1"/>
  <c r="L6637" i="1" s="1"/>
  <c r="K6637" i="1"/>
  <c r="L6636" i="1" a="1"/>
  <c r="L6636" i="1" s="1"/>
  <c r="K6636" i="1"/>
  <c r="K6635" i="1"/>
  <c r="L6635" i="1" s="1" a="1"/>
  <c r="L6635" i="1" s="1"/>
  <c r="K6634" i="1"/>
  <c r="L6634" i="1" s="1" a="1"/>
  <c r="L6634" i="1" s="1"/>
  <c r="K6633" i="1"/>
  <c r="L6633" i="1" s="1" a="1"/>
  <c r="L6633" i="1" s="1"/>
  <c r="L6632" i="1" a="1"/>
  <c r="L6632" i="1" s="1"/>
  <c r="K6632" i="1"/>
  <c r="L6631" i="1"/>
  <c r="K6631" i="1"/>
  <c r="L6631" i="1" s="1" a="1"/>
  <c r="L6630" i="1" a="1"/>
  <c r="L6630" i="1" s="1"/>
  <c r="K6630" i="1"/>
  <c r="K6629" i="1"/>
  <c r="L6629" i="1" s="1" a="1"/>
  <c r="L6629" i="1" s="1"/>
  <c r="L6628" i="1" a="1"/>
  <c r="L6628" i="1" s="1"/>
  <c r="K6628" i="1"/>
  <c r="L6627" i="1"/>
  <c r="K6627" i="1"/>
  <c r="L6627" i="1" s="1" a="1"/>
  <c r="K6626" i="1"/>
  <c r="L6626" i="1" s="1" a="1"/>
  <c r="L6626" i="1" s="1"/>
  <c r="L6625" i="1" a="1"/>
  <c r="L6625" i="1" s="1"/>
  <c r="K6625" i="1"/>
  <c r="L6624" i="1" a="1"/>
  <c r="L6624" i="1" s="1"/>
  <c r="K6624" i="1"/>
  <c r="K6623" i="1"/>
  <c r="L6623" i="1" s="1" a="1"/>
  <c r="L6623" i="1" s="1"/>
  <c r="K6622" i="1"/>
  <c r="L6622" i="1" s="1" a="1"/>
  <c r="L6622" i="1" s="1"/>
  <c r="K6621" i="1"/>
  <c r="L6621" i="1" s="1" a="1"/>
  <c r="L6621" i="1" s="1"/>
  <c r="L6620" i="1" a="1"/>
  <c r="L6620" i="1" s="1"/>
  <c r="K6620" i="1"/>
  <c r="L6619" i="1"/>
  <c r="K6619" i="1"/>
  <c r="L6619" i="1" s="1" a="1"/>
  <c r="K6618" i="1"/>
  <c r="L6618" i="1" s="1" a="1"/>
  <c r="L6618" i="1" s="1"/>
  <c r="L6617" i="1" a="1"/>
  <c r="L6617" i="1" s="1"/>
  <c r="K6617" i="1"/>
  <c r="K6616" i="1"/>
  <c r="L6616" i="1" s="1" a="1"/>
  <c r="L6616" i="1" s="1"/>
  <c r="L6615" i="1"/>
  <c r="K6615" i="1"/>
  <c r="L6615" i="1" s="1" a="1"/>
  <c r="L6614" i="1"/>
  <c r="L6614" i="1" a="1"/>
  <c r="K6614" i="1"/>
  <c r="L6613" i="1" a="1"/>
  <c r="L6613" i="1" s="1"/>
  <c r="K6613" i="1"/>
  <c r="L6612" i="1" a="1"/>
  <c r="L6612" i="1" s="1"/>
  <c r="K6612" i="1"/>
  <c r="K6611" i="1"/>
  <c r="L6611" i="1" s="1" a="1"/>
  <c r="L6611" i="1" s="1"/>
  <c r="L6610" i="1"/>
  <c r="K6610" i="1"/>
  <c r="L6610" i="1" s="1" a="1"/>
  <c r="K6609" i="1"/>
  <c r="L6609" i="1" s="1" a="1"/>
  <c r="L6609" i="1" s="1"/>
  <c r="L6608" i="1" a="1"/>
  <c r="L6608" i="1" s="1"/>
  <c r="K6608" i="1"/>
  <c r="L6607" i="1"/>
  <c r="K6607" i="1"/>
  <c r="L6607" i="1" s="1" a="1"/>
  <c r="K6606" i="1"/>
  <c r="L6606" i="1" s="1" a="1"/>
  <c r="L6606" i="1" s="1"/>
  <c r="L6605" i="1" a="1"/>
  <c r="L6605" i="1" s="1"/>
  <c r="K6605" i="1"/>
  <c r="K6604" i="1"/>
  <c r="L6604" i="1" s="1" a="1"/>
  <c r="L6604" i="1" s="1"/>
  <c r="L6603" i="1"/>
  <c r="K6603" i="1"/>
  <c r="L6603" i="1" s="1" a="1"/>
  <c r="K6602" i="1"/>
  <c r="L6602" i="1" s="1" a="1"/>
  <c r="L6602" i="1" s="1"/>
  <c r="L6601" i="1" a="1"/>
  <c r="L6601" i="1" s="1"/>
  <c r="K6601" i="1"/>
  <c r="L6600" i="1" a="1"/>
  <c r="L6600" i="1" s="1"/>
  <c r="K6600" i="1"/>
  <c r="K6599" i="1"/>
  <c r="L6599" i="1" s="1" a="1"/>
  <c r="L6599" i="1" s="1"/>
  <c r="K6598" i="1"/>
  <c r="L6598" i="1" s="1" a="1"/>
  <c r="L6598" i="1" s="1"/>
  <c r="K6597" i="1"/>
  <c r="L6597" i="1" s="1" a="1"/>
  <c r="L6597" i="1" s="1"/>
  <c r="L6596" i="1" a="1"/>
  <c r="L6596" i="1" s="1"/>
  <c r="K6596" i="1"/>
  <c r="L6595" i="1"/>
  <c r="K6595" i="1"/>
  <c r="L6595" i="1" s="1" a="1"/>
  <c r="K6594" i="1"/>
  <c r="L6594" i="1" s="1" a="1"/>
  <c r="L6594" i="1" s="1"/>
  <c r="L6593" i="1" a="1"/>
  <c r="L6593" i="1" s="1"/>
  <c r="K6593" i="1"/>
  <c r="K6592" i="1"/>
  <c r="L6592" i="1" s="1" a="1"/>
  <c r="L6592" i="1" s="1"/>
  <c r="L6591" i="1"/>
  <c r="K6591" i="1"/>
  <c r="L6591" i="1" s="1" a="1"/>
  <c r="L6590" i="1"/>
  <c r="L6590" i="1" a="1"/>
  <c r="K6590" i="1"/>
  <c r="L6589" i="1" a="1"/>
  <c r="L6589" i="1" s="1"/>
  <c r="K6589" i="1"/>
  <c r="L6588" i="1" a="1"/>
  <c r="L6588" i="1" s="1"/>
  <c r="K6588" i="1"/>
  <c r="K6587" i="1"/>
  <c r="L6587" i="1" s="1" a="1"/>
  <c r="L6587" i="1" s="1"/>
  <c r="L6586" i="1"/>
  <c r="K6586" i="1"/>
  <c r="L6586" i="1" s="1" a="1"/>
  <c r="K6585" i="1"/>
  <c r="L6585" i="1" s="1" a="1"/>
  <c r="L6585" i="1" s="1"/>
  <c r="L6584" i="1" a="1"/>
  <c r="L6584" i="1" s="1"/>
  <c r="K6584" i="1"/>
  <c r="L6583" i="1"/>
  <c r="K6583" i="1"/>
  <c r="L6583" i="1" s="1" a="1"/>
  <c r="L6582" i="1" a="1"/>
  <c r="L6582" i="1" s="1"/>
  <c r="K6582" i="1"/>
  <c r="L6581" i="1" a="1"/>
  <c r="L6581" i="1" s="1"/>
  <c r="K6581" i="1"/>
  <c r="K6580" i="1"/>
  <c r="L6580" i="1" s="1" a="1"/>
  <c r="L6580" i="1" s="1"/>
  <c r="L6579" i="1"/>
  <c r="K6579" i="1"/>
  <c r="L6579" i="1" s="1" a="1"/>
  <c r="L6578" i="1"/>
  <c r="L6578" i="1" a="1"/>
  <c r="K6578" i="1"/>
  <c r="L6577" i="1" a="1"/>
  <c r="L6577" i="1" s="1"/>
  <c r="K6577" i="1"/>
  <c r="L6576" i="1" a="1"/>
  <c r="L6576" i="1" s="1"/>
  <c r="K6576" i="1"/>
  <c r="K6575" i="1"/>
  <c r="L6575" i="1" s="1" a="1"/>
  <c r="L6575" i="1" s="1"/>
  <c r="K6574" i="1"/>
  <c r="L6574" i="1" s="1" a="1"/>
  <c r="L6574" i="1" s="1"/>
  <c r="K6573" i="1"/>
  <c r="L6573" i="1" s="1" a="1"/>
  <c r="L6573" i="1" s="1"/>
  <c r="L6572" i="1" a="1"/>
  <c r="L6572" i="1" s="1"/>
  <c r="K6572" i="1"/>
  <c r="L6571" i="1"/>
  <c r="K6571" i="1"/>
  <c r="L6571" i="1" s="1" a="1"/>
  <c r="K6570" i="1"/>
  <c r="L6570" i="1" s="1" a="1"/>
  <c r="L6570" i="1" s="1"/>
  <c r="L6569" i="1" a="1"/>
  <c r="L6569" i="1" s="1"/>
  <c r="K6569" i="1"/>
  <c r="K6568" i="1"/>
  <c r="L6568" i="1" s="1" a="1"/>
  <c r="L6568" i="1" s="1"/>
  <c r="L6567" i="1"/>
  <c r="K6567" i="1"/>
  <c r="L6567" i="1" s="1" a="1"/>
  <c r="K6566" i="1"/>
  <c r="L6566" i="1" s="1" a="1"/>
  <c r="L6566" i="1" s="1"/>
  <c r="K6565" i="1"/>
  <c r="L6565" i="1" s="1" a="1"/>
  <c r="L6565" i="1" s="1"/>
  <c r="L6564" i="1" a="1"/>
  <c r="L6564" i="1" s="1"/>
  <c r="K6564" i="1"/>
  <c r="L6563" i="1" a="1"/>
  <c r="L6563" i="1" s="1"/>
  <c r="K6563" i="1"/>
  <c r="L6562" i="1"/>
  <c r="L6562" i="1" a="1"/>
  <c r="K6562" i="1"/>
  <c r="L6561" i="1" a="1"/>
  <c r="L6561" i="1" s="1"/>
  <c r="K6561" i="1"/>
  <c r="L6560" i="1"/>
  <c r="L6560" i="1" a="1"/>
  <c r="K6560" i="1"/>
  <c r="L6559" i="1" a="1"/>
  <c r="L6559" i="1" s="1"/>
  <c r="K6559" i="1"/>
  <c r="L6558" i="1"/>
  <c r="L6558" i="1" a="1"/>
  <c r="K6558" i="1"/>
  <c r="L6557" i="1" a="1"/>
  <c r="L6557" i="1" s="1"/>
  <c r="K6557" i="1"/>
  <c r="L6556" i="1"/>
  <c r="L6556" i="1" a="1"/>
  <c r="K6556" i="1"/>
  <c r="L6555" i="1"/>
  <c r="L6555" i="1" a="1"/>
  <c r="K6555" i="1"/>
  <c r="L6554" i="1" a="1"/>
  <c r="L6554" i="1" s="1"/>
  <c r="K6554" i="1"/>
  <c r="L6553" i="1" a="1"/>
  <c r="L6553" i="1" s="1"/>
  <c r="K6553" i="1"/>
  <c r="L6552" i="1"/>
  <c r="L6552" i="1" a="1"/>
  <c r="K6552" i="1"/>
  <c r="L6551" i="1" a="1"/>
  <c r="L6551" i="1" s="1"/>
  <c r="K6551" i="1"/>
  <c r="L6550" i="1" a="1"/>
  <c r="L6550" i="1" s="1"/>
  <c r="K6550" i="1"/>
  <c r="L6549" i="1" a="1"/>
  <c r="L6549" i="1" s="1"/>
  <c r="K6549" i="1"/>
  <c r="L6548" i="1"/>
  <c r="L6548" i="1" a="1"/>
  <c r="K6548" i="1"/>
  <c r="L6547" i="1"/>
  <c r="L6547" i="1" a="1"/>
  <c r="K6547" i="1"/>
  <c r="L6546" i="1" a="1"/>
  <c r="L6546" i="1" s="1"/>
  <c r="K6546" i="1"/>
  <c r="L6545" i="1" a="1"/>
  <c r="L6545" i="1" s="1"/>
  <c r="K6545" i="1"/>
  <c r="L6544" i="1"/>
  <c r="L6544" i="1" a="1"/>
  <c r="K6544" i="1"/>
  <c r="L6543" i="1"/>
  <c r="L6543" i="1" a="1"/>
  <c r="K6543" i="1"/>
  <c r="L6542" i="1" a="1"/>
  <c r="L6542" i="1" s="1"/>
  <c r="K6542" i="1"/>
  <c r="L6541" i="1" a="1"/>
  <c r="L6541" i="1" s="1"/>
  <c r="K6541" i="1"/>
  <c r="L6540" i="1"/>
  <c r="L6540" i="1" a="1"/>
  <c r="K6540" i="1"/>
  <c r="L6539" i="1" a="1"/>
  <c r="L6539" i="1" s="1"/>
  <c r="K6539" i="1"/>
  <c r="L6538" i="1" a="1"/>
  <c r="L6538" i="1" s="1"/>
  <c r="K6538" i="1"/>
  <c r="L6537" i="1" a="1"/>
  <c r="L6537" i="1" s="1"/>
  <c r="K6537" i="1"/>
  <c r="L6536" i="1"/>
  <c r="L6536" i="1" a="1"/>
  <c r="K6536" i="1"/>
  <c r="L6535" i="1" a="1"/>
  <c r="L6535" i="1" s="1"/>
  <c r="K6535" i="1"/>
  <c r="L6534" i="1" a="1"/>
  <c r="L6534" i="1" s="1"/>
  <c r="K6534" i="1"/>
  <c r="L6533" i="1" a="1"/>
  <c r="L6533" i="1" s="1"/>
  <c r="K6533" i="1"/>
  <c r="L6532" i="1"/>
  <c r="L6532" i="1" a="1"/>
  <c r="K6532" i="1"/>
  <c r="L6531" i="1"/>
  <c r="L6531" i="1" a="1"/>
  <c r="K6531" i="1"/>
  <c r="L6530" i="1" a="1"/>
  <c r="L6530" i="1" s="1"/>
  <c r="K6530" i="1"/>
  <c r="L6529" i="1" a="1"/>
  <c r="L6529" i="1" s="1"/>
  <c r="K6529" i="1"/>
  <c r="L6528" i="1"/>
  <c r="L6528" i="1" a="1"/>
  <c r="K6528" i="1"/>
  <c r="L6527" i="1"/>
  <c r="L6527" i="1" a="1"/>
  <c r="K6527" i="1"/>
  <c r="L6526" i="1" a="1"/>
  <c r="L6526" i="1" s="1"/>
  <c r="K6526" i="1"/>
  <c r="L6525" i="1" a="1"/>
  <c r="L6525" i="1" s="1"/>
  <c r="K6525" i="1"/>
  <c r="L6524" i="1"/>
  <c r="L6524" i="1" a="1"/>
  <c r="K6524" i="1"/>
  <c r="L6523" i="1" a="1"/>
  <c r="L6523" i="1" s="1"/>
  <c r="K6523" i="1"/>
  <c r="L6522" i="1" a="1"/>
  <c r="L6522" i="1" s="1"/>
  <c r="K6522" i="1"/>
  <c r="L6521" i="1" a="1"/>
  <c r="L6521" i="1" s="1"/>
  <c r="K6521" i="1"/>
  <c r="L6520" i="1" a="1"/>
  <c r="L6520" i="1" s="1"/>
  <c r="K6520" i="1"/>
  <c r="L6519" i="1"/>
  <c r="L6519" i="1" a="1"/>
  <c r="K6519" i="1"/>
  <c r="L6518" i="1" a="1"/>
  <c r="L6518" i="1" s="1"/>
  <c r="K6518" i="1"/>
  <c r="L6517" i="1" a="1"/>
  <c r="L6517" i="1" s="1"/>
  <c r="K6517" i="1"/>
  <c r="L6516" i="1" a="1"/>
  <c r="L6516" i="1" s="1"/>
  <c r="K6516" i="1"/>
  <c r="L6515" i="1" a="1"/>
  <c r="L6515" i="1" s="1"/>
  <c r="K6515" i="1"/>
  <c r="L6514" i="1" a="1"/>
  <c r="L6514" i="1" s="1"/>
  <c r="K6514" i="1"/>
  <c r="L6513" i="1" a="1"/>
  <c r="L6513" i="1" s="1"/>
  <c r="K6513" i="1"/>
  <c r="L6512" i="1" a="1"/>
  <c r="L6512" i="1" s="1"/>
  <c r="K6512" i="1"/>
  <c r="L6511" i="1"/>
  <c r="L6511" i="1" a="1"/>
  <c r="K6511" i="1"/>
  <c r="L6510" i="1" a="1"/>
  <c r="L6510" i="1" s="1"/>
  <c r="K6510" i="1"/>
  <c r="L6509" i="1" a="1"/>
  <c r="L6509" i="1" s="1"/>
  <c r="K6509" i="1"/>
  <c r="L6508" i="1" a="1"/>
  <c r="L6508" i="1" s="1"/>
  <c r="K6508" i="1"/>
  <c r="L6507" i="1" a="1"/>
  <c r="L6507" i="1" s="1"/>
  <c r="K6507" i="1"/>
  <c r="L6506" i="1" a="1"/>
  <c r="L6506" i="1" s="1"/>
  <c r="K6506" i="1"/>
  <c r="L6505" i="1" a="1"/>
  <c r="L6505" i="1" s="1"/>
  <c r="K6505" i="1"/>
  <c r="L6504" i="1" a="1"/>
  <c r="L6504" i="1" s="1"/>
  <c r="K6504" i="1"/>
  <c r="L6503" i="1"/>
  <c r="L6503" i="1" a="1"/>
  <c r="K6503" i="1"/>
  <c r="L6502" i="1" a="1"/>
  <c r="L6502" i="1" s="1"/>
  <c r="K6502" i="1"/>
  <c r="L6501" i="1" a="1"/>
  <c r="L6501" i="1" s="1"/>
  <c r="K6501" i="1"/>
  <c r="L6500" i="1" a="1"/>
  <c r="L6500" i="1" s="1"/>
  <c r="K6500" i="1"/>
  <c r="L6499" i="1" a="1"/>
  <c r="L6499" i="1" s="1"/>
  <c r="K6499" i="1"/>
  <c r="L6498" i="1" a="1"/>
  <c r="L6498" i="1" s="1"/>
  <c r="K6498" i="1"/>
  <c r="L6497" i="1" a="1"/>
  <c r="L6497" i="1" s="1"/>
  <c r="K6497" i="1"/>
  <c r="L6496" i="1" a="1"/>
  <c r="L6496" i="1" s="1"/>
  <c r="K6496" i="1"/>
  <c r="L6495" i="1"/>
  <c r="L6495" i="1" a="1"/>
  <c r="K6495" i="1"/>
  <c r="L6494" i="1" a="1"/>
  <c r="L6494" i="1" s="1"/>
  <c r="K6494" i="1"/>
  <c r="L6493" i="1" a="1"/>
  <c r="L6493" i="1" s="1"/>
  <c r="K6493" i="1"/>
  <c r="L6492" i="1" a="1"/>
  <c r="L6492" i="1" s="1"/>
  <c r="K6492" i="1"/>
  <c r="L6491" i="1" a="1"/>
  <c r="L6491" i="1" s="1"/>
  <c r="K6491" i="1"/>
  <c r="L6490" i="1" a="1"/>
  <c r="L6490" i="1" s="1"/>
  <c r="K6490" i="1"/>
  <c r="L6489" i="1" a="1"/>
  <c r="L6489" i="1" s="1"/>
  <c r="K6489" i="1"/>
  <c r="L6488" i="1" a="1"/>
  <c r="L6488" i="1" s="1"/>
  <c r="K6488" i="1"/>
  <c r="L6487" i="1"/>
  <c r="L6487" i="1" a="1"/>
  <c r="K6487" i="1"/>
  <c r="L6486" i="1" a="1"/>
  <c r="L6486" i="1" s="1"/>
  <c r="K6486" i="1"/>
  <c r="L6485" i="1" a="1"/>
  <c r="L6485" i="1" s="1"/>
  <c r="K6485" i="1"/>
  <c r="L6484" i="1" a="1"/>
  <c r="L6484" i="1" s="1"/>
  <c r="K6484" i="1"/>
  <c r="L6483" i="1" a="1"/>
  <c r="L6483" i="1" s="1"/>
  <c r="K6483" i="1"/>
  <c r="L6482" i="1" a="1"/>
  <c r="L6482" i="1" s="1"/>
  <c r="K6482" i="1"/>
  <c r="L6481" i="1" a="1"/>
  <c r="L6481" i="1" s="1"/>
  <c r="K6481" i="1"/>
  <c r="L6480" i="1" a="1"/>
  <c r="L6480" i="1" s="1"/>
  <c r="K6480" i="1"/>
  <c r="L6479" i="1"/>
  <c r="L6479" i="1" a="1"/>
  <c r="K6479" i="1"/>
  <c r="L6478" i="1" a="1"/>
  <c r="L6478" i="1" s="1"/>
  <c r="K6478" i="1"/>
  <c r="L6477" i="1" a="1"/>
  <c r="L6477" i="1" s="1"/>
  <c r="K6477" i="1"/>
  <c r="L6476" i="1" a="1"/>
  <c r="L6476" i="1" s="1"/>
  <c r="K6476" i="1"/>
  <c r="L6475" i="1" a="1"/>
  <c r="L6475" i="1" s="1"/>
  <c r="K6475" i="1"/>
  <c r="L6474" i="1" a="1"/>
  <c r="L6474" i="1" s="1"/>
  <c r="K6474" i="1"/>
  <c r="L6473" i="1" a="1"/>
  <c r="L6473" i="1" s="1"/>
  <c r="K6473" i="1"/>
  <c r="L6472" i="1" a="1"/>
  <c r="L6472" i="1" s="1"/>
  <c r="K6472" i="1"/>
  <c r="L6471" i="1"/>
  <c r="L6471" i="1" a="1"/>
  <c r="K6471" i="1"/>
  <c r="L6470" i="1" a="1"/>
  <c r="L6470" i="1" s="1"/>
  <c r="K6470" i="1"/>
  <c r="L6469" i="1" a="1"/>
  <c r="L6469" i="1" s="1"/>
  <c r="K6469" i="1"/>
  <c r="L6468" i="1" a="1"/>
  <c r="L6468" i="1" s="1"/>
  <c r="K6468" i="1"/>
  <c r="L6467" i="1" a="1"/>
  <c r="L6467" i="1" s="1"/>
  <c r="K6467" i="1"/>
  <c r="L6466" i="1" a="1"/>
  <c r="L6466" i="1" s="1"/>
  <c r="K6466" i="1"/>
  <c r="L6465" i="1" a="1"/>
  <c r="L6465" i="1" s="1"/>
  <c r="K6465" i="1"/>
  <c r="L6464" i="1" a="1"/>
  <c r="L6464" i="1" s="1"/>
  <c r="K6464" i="1"/>
  <c r="L6463" i="1"/>
  <c r="L6463" i="1" a="1"/>
  <c r="K6463" i="1"/>
  <c r="L6462" i="1" a="1"/>
  <c r="L6462" i="1" s="1"/>
  <c r="K6462" i="1"/>
  <c r="L6461" i="1" a="1"/>
  <c r="L6461" i="1" s="1"/>
  <c r="K6461" i="1"/>
  <c r="L6460" i="1" a="1"/>
  <c r="L6460" i="1" s="1"/>
  <c r="K6460" i="1"/>
  <c r="L6459" i="1" a="1"/>
  <c r="L6459" i="1" s="1"/>
  <c r="K6459" i="1"/>
  <c r="L6458" i="1" a="1"/>
  <c r="L6458" i="1" s="1"/>
  <c r="K6458" i="1"/>
  <c r="L6457" i="1" a="1"/>
  <c r="L6457" i="1" s="1"/>
  <c r="K6457" i="1"/>
  <c r="L6456" i="1" a="1"/>
  <c r="L6456" i="1" s="1"/>
  <c r="K6456" i="1"/>
  <c r="L6455" i="1"/>
  <c r="L6455" i="1" a="1"/>
  <c r="K6455" i="1"/>
  <c r="L6454" i="1" a="1"/>
  <c r="L6454" i="1" s="1"/>
  <c r="K6454" i="1"/>
  <c r="L6453" i="1" a="1"/>
  <c r="L6453" i="1" s="1"/>
  <c r="K6453" i="1"/>
  <c r="L6452" i="1" a="1"/>
  <c r="L6452" i="1" s="1"/>
  <c r="K6452" i="1"/>
  <c r="L6451" i="1" a="1"/>
  <c r="L6451" i="1" s="1"/>
  <c r="K6451" i="1"/>
  <c r="L6450" i="1" a="1"/>
  <c r="L6450" i="1" s="1"/>
  <c r="K6450" i="1"/>
  <c r="L6449" i="1" a="1"/>
  <c r="L6449" i="1" s="1"/>
  <c r="K6449" i="1"/>
  <c r="L6448" i="1" a="1"/>
  <c r="L6448" i="1" s="1"/>
  <c r="K6448" i="1"/>
  <c r="L6447" i="1"/>
  <c r="L6447" i="1" a="1"/>
  <c r="K6447" i="1"/>
  <c r="L6446" i="1" a="1"/>
  <c r="L6446" i="1" s="1"/>
  <c r="K6446" i="1"/>
  <c r="L6445" i="1" a="1"/>
  <c r="L6445" i="1" s="1"/>
  <c r="K6445" i="1"/>
  <c r="L6444" i="1" a="1"/>
  <c r="L6444" i="1" s="1"/>
  <c r="K6444" i="1"/>
  <c r="L6443" i="1" a="1"/>
  <c r="L6443" i="1" s="1"/>
  <c r="K6443" i="1"/>
  <c r="L6442" i="1" a="1"/>
  <c r="L6442" i="1" s="1"/>
  <c r="K6442" i="1"/>
  <c r="L6441" i="1" a="1"/>
  <c r="L6441" i="1" s="1"/>
  <c r="K6441" i="1"/>
  <c r="L6440" i="1" a="1"/>
  <c r="L6440" i="1" s="1"/>
  <c r="K6440" i="1"/>
  <c r="L6439" i="1"/>
  <c r="L6439" i="1" a="1"/>
  <c r="K6439" i="1"/>
  <c r="L6438" i="1" a="1"/>
  <c r="L6438" i="1" s="1"/>
  <c r="K6438" i="1"/>
  <c r="L6437" i="1" a="1"/>
  <c r="L6437" i="1" s="1"/>
  <c r="K6437" i="1"/>
  <c r="L6436" i="1" a="1"/>
  <c r="L6436" i="1" s="1"/>
  <c r="K6436" i="1"/>
  <c r="L6435" i="1" a="1"/>
  <c r="L6435" i="1" s="1"/>
  <c r="K6435" i="1"/>
  <c r="L6434" i="1" a="1"/>
  <c r="L6434" i="1" s="1"/>
  <c r="K6434" i="1"/>
  <c r="L6433" i="1" a="1"/>
  <c r="L6433" i="1" s="1"/>
  <c r="K6433" i="1"/>
  <c r="L6432" i="1" a="1"/>
  <c r="L6432" i="1" s="1"/>
  <c r="K6432" i="1"/>
  <c r="L6431" i="1"/>
  <c r="L6431" i="1" a="1"/>
  <c r="K6431" i="1"/>
  <c r="L6430" i="1" a="1"/>
  <c r="L6430" i="1" s="1"/>
  <c r="K6430" i="1"/>
  <c r="L6429" i="1" a="1"/>
  <c r="L6429" i="1" s="1"/>
  <c r="K6429" i="1"/>
  <c r="L6428" i="1" a="1"/>
  <c r="L6428" i="1" s="1"/>
  <c r="K6428" i="1"/>
  <c r="L6427" i="1" a="1"/>
  <c r="L6427" i="1" s="1"/>
  <c r="K6427" i="1"/>
  <c r="L6426" i="1" a="1"/>
  <c r="L6426" i="1" s="1"/>
  <c r="K6426" i="1"/>
  <c r="L6425" i="1" a="1"/>
  <c r="L6425" i="1" s="1"/>
  <c r="K6425" i="1"/>
  <c r="L6424" i="1" a="1"/>
  <c r="L6424" i="1" s="1"/>
  <c r="K6424" i="1"/>
  <c r="L6423" i="1"/>
  <c r="L6423" i="1" a="1"/>
  <c r="K6423" i="1"/>
  <c r="L6422" i="1" a="1"/>
  <c r="L6422" i="1" s="1"/>
  <c r="K6422" i="1"/>
  <c r="L6421" i="1" a="1"/>
  <c r="L6421" i="1" s="1"/>
  <c r="K6421" i="1"/>
  <c r="L6420" i="1" a="1"/>
  <c r="L6420" i="1" s="1"/>
  <c r="K6420" i="1"/>
  <c r="L6419" i="1" a="1"/>
  <c r="L6419" i="1" s="1"/>
  <c r="K6419" i="1"/>
  <c r="L6418" i="1" a="1"/>
  <c r="L6418" i="1" s="1"/>
  <c r="K6418" i="1"/>
  <c r="L6417" i="1" a="1"/>
  <c r="L6417" i="1" s="1"/>
  <c r="K6417" i="1"/>
  <c r="L6416" i="1" a="1"/>
  <c r="L6416" i="1" s="1"/>
  <c r="K6416" i="1"/>
  <c r="L6415" i="1"/>
  <c r="L6415" i="1" a="1"/>
  <c r="K6415" i="1"/>
  <c r="L6414" i="1" a="1"/>
  <c r="L6414" i="1" s="1"/>
  <c r="K6414" i="1"/>
  <c r="L6413" i="1" a="1"/>
  <c r="L6413" i="1" s="1"/>
  <c r="K6413" i="1"/>
  <c r="L6412" i="1" a="1"/>
  <c r="L6412" i="1" s="1"/>
  <c r="K6412" i="1"/>
  <c r="L6411" i="1" a="1"/>
  <c r="L6411" i="1" s="1"/>
  <c r="K6411" i="1"/>
  <c r="L6410" i="1" a="1"/>
  <c r="L6410" i="1" s="1"/>
  <c r="K6410" i="1"/>
  <c r="L6409" i="1" a="1"/>
  <c r="L6409" i="1" s="1"/>
  <c r="K6409" i="1"/>
  <c r="L6408" i="1" a="1"/>
  <c r="L6408" i="1" s="1"/>
  <c r="K6408" i="1"/>
  <c r="L6407" i="1"/>
  <c r="L6407" i="1" a="1"/>
  <c r="K6407" i="1"/>
  <c r="L6406" i="1" a="1"/>
  <c r="L6406" i="1" s="1"/>
  <c r="K6406" i="1"/>
  <c r="L6405" i="1" a="1"/>
  <c r="L6405" i="1" s="1"/>
  <c r="K6405" i="1"/>
  <c r="L6404" i="1" a="1"/>
  <c r="L6404" i="1" s="1"/>
  <c r="K6404" i="1"/>
  <c r="L6403" i="1" a="1"/>
  <c r="L6403" i="1" s="1"/>
  <c r="K6403" i="1"/>
  <c r="L6402" i="1" a="1"/>
  <c r="L6402" i="1" s="1"/>
  <c r="K6402" i="1"/>
  <c r="L6401" i="1" a="1"/>
  <c r="L6401" i="1" s="1"/>
  <c r="K6401" i="1"/>
  <c r="L6400" i="1" a="1"/>
  <c r="L6400" i="1" s="1"/>
  <c r="K6400" i="1"/>
  <c r="L6399" i="1"/>
  <c r="L6399" i="1" a="1"/>
  <c r="K6399" i="1"/>
  <c r="L6398" i="1" a="1"/>
  <c r="L6398" i="1" s="1"/>
  <c r="K6398" i="1"/>
  <c r="L6397" i="1" a="1"/>
  <c r="L6397" i="1" s="1"/>
  <c r="K6397" i="1"/>
  <c r="L6396" i="1" a="1"/>
  <c r="L6396" i="1" s="1"/>
  <c r="K6396" i="1"/>
  <c r="L6395" i="1" a="1"/>
  <c r="L6395" i="1" s="1"/>
  <c r="K6395" i="1"/>
  <c r="L6394" i="1" a="1"/>
  <c r="L6394" i="1" s="1"/>
  <c r="K6394" i="1"/>
  <c r="L6393" i="1" a="1"/>
  <c r="L6393" i="1" s="1"/>
  <c r="K6393" i="1"/>
  <c r="L6392" i="1" a="1"/>
  <c r="L6392" i="1" s="1"/>
  <c r="K6392" i="1"/>
  <c r="L6391" i="1"/>
  <c r="L6391" i="1" a="1"/>
  <c r="K6391" i="1"/>
  <c r="L6390" i="1" a="1"/>
  <c r="L6390" i="1" s="1"/>
  <c r="K6390" i="1"/>
  <c r="L6389" i="1" a="1"/>
  <c r="L6389" i="1" s="1"/>
  <c r="K6389" i="1"/>
  <c r="L6388" i="1" a="1"/>
  <c r="L6388" i="1" s="1"/>
  <c r="K6388" i="1"/>
  <c r="L6387" i="1" a="1"/>
  <c r="L6387" i="1" s="1"/>
  <c r="K6387" i="1"/>
  <c r="L6386" i="1" a="1"/>
  <c r="L6386" i="1" s="1"/>
  <c r="K6386" i="1"/>
  <c r="L6385" i="1" a="1"/>
  <c r="L6385" i="1" s="1"/>
  <c r="K6385" i="1"/>
  <c r="L6384" i="1" a="1"/>
  <c r="L6384" i="1" s="1"/>
  <c r="K6384" i="1"/>
  <c r="L6383" i="1"/>
  <c r="L6383" i="1" a="1"/>
  <c r="K6383" i="1"/>
  <c r="L6382" i="1" a="1"/>
  <c r="L6382" i="1" s="1"/>
  <c r="K6382" i="1"/>
  <c r="L6381" i="1" a="1"/>
  <c r="L6381" i="1" s="1"/>
  <c r="K6381" i="1"/>
  <c r="L6380" i="1" a="1"/>
  <c r="L6380" i="1" s="1"/>
  <c r="K6380" i="1"/>
  <c r="L6379" i="1" a="1"/>
  <c r="L6379" i="1" s="1"/>
  <c r="K6379" i="1"/>
  <c r="L6378" i="1" a="1"/>
  <c r="L6378" i="1" s="1"/>
  <c r="K6378" i="1"/>
  <c r="L6377" i="1" a="1"/>
  <c r="L6377" i="1" s="1"/>
  <c r="K6377" i="1"/>
  <c r="L6376" i="1" a="1"/>
  <c r="L6376" i="1" s="1"/>
  <c r="K6376" i="1"/>
  <c r="L6375" i="1"/>
  <c r="L6375" i="1" a="1"/>
  <c r="K6375" i="1"/>
  <c r="L6374" i="1" a="1"/>
  <c r="L6374" i="1" s="1"/>
  <c r="K6374" i="1"/>
  <c r="L6373" i="1" a="1"/>
  <c r="L6373" i="1" s="1"/>
  <c r="K6373" i="1"/>
  <c r="L6372" i="1" a="1"/>
  <c r="L6372" i="1" s="1"/>
  <c r="K6372" i="1"/>
  <c r="L6371" i="1" a="1"/>
  <c r="L6371" i="1" s="1"/>
  <c r="K6371" i="1"/>
  <c r="L6370" i="1" a="1"/>
  <c r="L6370" i="1" s="1"/>
  <c r="K6370" i="1"/>
  <c r="L6369" i="1" a="1"/>
  <c r="L6369" i="1" s="1"/>
  <c r="K6369" i="1"/>
  <c r="L6368" i="1" a="1"/>
  <c r="L6368" i="1" s="1"/>
  <c r="K6368" i="1"/>
  <c r="L6367" i="1"/>
  <c r="L6367" i="1" a="1"/>
  <c r="K6367" i="1"/>
  <c r="L6366" i="1" a="1"/>
  <c r="L6366" i="1" s="1"/>
  <c r="K6366" i="1"/>
  <c r="L6365" i="1" a="1"/>
  <c r="L6365" i="1" s="1"/>
  <c r="K6365" i="1"/>
  <c r="L6364" i="1" a="1"/>
  <c r="L6364" i="1" s="1"/>
  <c r="K6364" i="1"/>
  <c r="L6363" i="1" a="1"/>
  <c r="L6363" i="1" s="1"/>
  <c r="K6363" i="1"/>
  <c r="L6362" i="1" a="1"/>
  <c r="L6362" i="1" s="1"/>
  <c r="K6362" i="1"/>
  <c r="L6361" i="1" a="1"/>
  <c r="L6361" i="1" s="1"/>
  <c r="K6361" i="1"/>
  <c r="L6360" i="1" a="1"/>
  <c r="L6360" i="1" s="1"/>
  <c r="K6360" i="1"/>
  <c r="L6359" i="1"/>
  <c r="L6359" i="1" a="1"/>
  <c r="K6359" i="1"/>
  <c r="L6358" i="1" a="1"/>
  <c r="L6358" i="1" s="1"/>
  <c r="K6358" i="1"/>
  <c r="L6357" i="1" a="1"/>
  <c r="L6357" i="1" s="1"/>
  <c r="K6357" i="1"/>
  <c r="L6356" i="1"/>
  <c r="L6356" i="1" a="1"/>
  <c r="K6356" i="1"/>
  <c r="L6355" i="1"/>
  <c r="L6355" i="1" a="1"/>
  <c r="K6355" i="1"/>
  <c r="L6354" i="1" a="1"/>
  <c r="L6354" i="1" s="1"/>
  <c r="K6354" i="1"/>
  <c r="L6353" i="1" a="1"/>
  <c r="L6353" i="1" s="1"/>
  <c r="K6353" i="1"/>
  <c r="L6352" i="1" a="1"/>
  <c r="L6352" i="1" s="1"/>
  <c r="K6352" i="1"/>
  <c r="L6351" i="1"/>
  <c r="L6351" i="1" a="1"/>
  <c r="K6351" i="1"/>
  <c r="L6350" i="1" a="1"/>
  <c r="L6350" i="1" s="1"/>
  <c r="K6350" i="1"/>
  <c r="L6349" i="1" a="1"/>
  <c r="L6349" i="1" s="1"/>
  <c r="K6349" i="1"/>
  <c r="L6348" i="1" a="1"/>
  <c r="L6348" i="1" s="1"/>
  <c r="K6348" i="1"/>
  <c r="L6347" i="1"/>
  <c r="L6347" i="1" a="1"/>
  <c r="K6347" i="1"/>
  <c r="L6346" i="1" a="1"/>
  <c r="L6346" i="1" s="1"/>
  <c r="K6346" i="1"/>
  <c r="L6345" i="1" a="1"/>
  <c r="L6345" i="1" s="1"/>
  <c r="K6345" i="1"/>
  <c r="L6344" i="1"/>
  <c r="L6344" i="1" a="1"/>
  <c r="K6344" i="1"/>
  <c r="L6343" i="1" a="1"/>
  <c r="L6343" i="1" s="1"/>
  <c r="K6343" i="1"/>
  <c r="L6342" i="1" a="1"/>
  <c r="L6342" i="1" s="1"/>
  <c r="K6342" i="1"/>
  <c r="L6341" i="1" a="1"/>
  <c r="L6341" i="1" s="1"/>
  <c r="K6341" i="1"/>
  <c r="L6340" i="1"/>
  <c r="L6340" i="1" a="1"/>
  <c r="K6340" i="1"/>
  <c r="L6339" i="1" a="1"/>
  <c r="L6339" i="1" s="1"/>
  <c r="K6339" i="1"/>
  <c r="L6338" i="1" a="1"/>
  <c r="L6338" i="1" s="1"/>
  <c r="K6338" i="1"/>
  <c r="L6337" i="1" a="1"/>
  <c r="L6337" i="1" s="1"/>
  <c r="K6337" i="1"/>
  <c r="L6336" i="1" a="1"/>
  <c r="L6336" i="1" s="1"/>
  <c r="K6336" i="1"/>
  <c r="L6335" i="1" a="1"/>
  <c r="L6335" i="1" s="1"/>
  <c r="K6335" i="1"/>
  <c r="L6334" i="1" a="1"/>
  <c r="L6334" i="1" s="1"/>
  <c r="K6334" i="1"/>
  <c r="L6333" i="1" a="1"/>
  <c r="L6333" i="1" s="1"/>
  <c r="K6333" i="1"/>
  <c r="L6332" i="1"/>
  <c r="L6332" i="1" a="1"/>
  <c r="K6332" i="1"/>
  <c r="L6331" i="1"/>
  <c r="L6331" i="1" a="1"/>
  <c r="K6331" i="1"/>
  <c r="L6330" i="1" a="1"/>
  <c r="L6330" i="1" s="1"/>
  <c r="K6330" i="1"/>
  <c r="L6329" i="1" a="1"/>
  <c r="L6329" i="1" s="1"/>
  <c r="K6329" i="1"/>
  <c r="L6328" i="1" a="1"/>
  <c r="L6328" i="1" s="1"/>
  <c r="K6328" i="1"/>
  <c r="L6327" i="1" a="1"/>
  <c r="L6327" i="1" s="1"/>
  <c r="K6327" i="1"/>
  <c r="L6326" i="1" a="1"/>
  <c r="L6326" i="1" s="1"/>
  <c r="K6326" i="1"/>
  <c r="L6325" i="1" a="1"/>
  <c r="L6325" i="1" s="1"/>
  <c r="K6325" i="1"/>
  <c r="L6324" i="1" a="1"/>
  <c r="L6324" i="1" s="1"/>
  <c r="K6324" i="1"/>
  <c r="L6323" i="1"/>
  <c r="L6323" i="1" a="1"/>
  <c r="K6323" i="1"/>
  <c r="L6322" i="1" a="1"/>
  <c r="L6322" i="1" s="1"/>
  <c r="K6322" i="1"/>
  <c r="L6321" i="1" a="1"/>
  <c r="L6321" i="1" s="1"/>
  <c r="K6321" i="1"/>
  <c r="L6320" i="1"/>
  <c r="L6320" i="1" a="1"/>
  <c r="K6320" i="1"/>
  <c r="L6319" i="1" a="1"/>
  <c r="L6319" i="1" s="1"/>
  <c r="K6319" i="1"/>
  <c r="L6318" i="1" a="1"/>
  <c r="L6318" i="1" s="1"/>
  <c r="K6318" i="1"/>
  <c r="L6317" i="1" a="1"/>
  <c r="L6317" i="1" s="1"/>
  <c r="K6317" i="1"/>
  <c r="L6316" i="1"/>
  <c r="L6316" i="1" a="1"/>
  <c r="K6316" i="1"/>
  <c r="L6315" i="1" a="1"/>
  <c r="L6315" i="1" s="1"/>
  <c r="K6315" i="1"/>
  <c r="L6314" i="1" a="1"/>
  <c r="L6314" i="1" s="1"/>
  <c r="K6314" i="1"/>
  <c r="L6313" i="1" a="1"/>
  <c r="L6313" i="1" s="1"/>
  <c r="K6313" i="1"/>
  <c r="L6312" i="1" a="1"/>
  <c r="L6312" i="1" s="1"/>
  <c r="K6312" i="1"/>
  <c r="L6311" i="1" a="1"/>
  <c r="L6311" i="1" s="1"/>
  <c r="K6311" i="1"/>
  <c r="L6310" i="1" a="1"/>
  <c r="L6310" i="1" s="1"/>
  <c r="K6310" i="1"/>
  <c r="L6309" i="1" a="1"/>
  <c r="L6309" i="1" s="1"/>
  <c r="K6309" i="1"/>
  <c r="L6308" i="1"/>
  <c r="L6308" i="1" a="1"/>
  <c r="K6308" i="1"/>
  <c r="L6307" i="1"/>
  <c r="L6307" i="1" a="1"/>
  <c r="K6307" i="1"/>
  <c r="L6306" i="1" a="1"/>
  <c r="L6306" i="1" s="1"/>
  <c r="K6306" i="1"/>
  <c r="L6305" i="1" a="1"/>
  <c r="L6305" i="1" s="1"/>
  <c r="K6305" i="1"/>
  <c r="L6304" i="1" a="1"/>
  <c r="L6304" i="1" s="1"/>
  <c r="K6304" i="1"/>
  <c r="L6303" i="1" a="1"/>
  <c r="L6303" i="1" s="1"/>
  <c r="K6303" i="1"/>
  <c r="L6302" i="1" a="1"/>
  <c r="L6302" i="1" s="1"/>
  <c r="K6302" i="1"/>
  <c r="L6301" i="1" a="1"/>
  <c r="L6301" i="1" s="1"/>
  <c r="K6301" i="1"/>
  <c r="L6300" i="1" a="1"/>
  <c r="L6300" i="1" s="1"/>
  <c r="K6300" i="1"/>
  <c r="L6299" i="1"/>
  <c r="L6299" i="1" a="1"/>
  <c r="K6299" i="1"/>
  <c r="L6298" i="1" a="1"/>
  <c r="L6298" i="1" s="1"/>
  <c r="K6298" i="1"/>
  <c r="L6297" i="1" a="1"/>
  <c r="L6297" i="1" s="1"/>
  <c r="K6297" i="1"/>
  <c r="L6296" i="1"/>
  <c r="L6296" i="1" a="1"/>
  <c r="K6296" i="1"/>
  <c r="L6295" i="1" a="1"/>
  <c r="L6295" i="1" s="1"/>
  <c r="K6295" i="1"/>
  <c r="L6294" i="1" a="1"/>
  <c r="L6294" i="1" s="1"/>
  <c r="K6294" i="1"/>
  <c r="L6293" i="1" a="1"/>
  <c r="L6293" i="1" s="1"/>
  <c r="K6293" i="1"/>
  <c r="L6292" i="1"/>
  <c r="L6292" i="1" a="1"/>
  <c r="K6292" i="1"/>
  <c r="L6291" i="1" a="1"/>
  <c r="L6291" i="1" s="1"/>
  <c r="K6291" i="1"/>
  <c r="L6290" i="1" a="1"/>
  <c r="L6290" i="1" s="1"/>
  <c r="K6290" i="1"/>
  <c r="L6289" i="1" a="1"/>
  <c r="L6289" i="1" s="1"/>
  <c r="K6289" i="1"/>
  <c r="L6288" i="1" a="1"/>
  <c r="L6288" i="1" s="1"/>
  <c r="K6288" i="1"/>
  <c r="L6287" i="1" a="1"/>
  <c r="L6287" i="1" s="1"/>
  <c r="K6287" i="1"/>
  <c r="L6286" i="1" a="1"/>
  <c r="L6286" i="1" s="1"/>
  <c r="K6286" i="1"/>
  <c r="L6285" i="1" a="1"/>
  <c r="L6285" i="1" s="1"/>
  <c r="K6285" i="1"/>
  <c r="L6284" i="1"/>
  <c r="L6284" i="1" a="1"/>
  <c r="K6284" i="1"/>
  <c r="L6283" i="1" a="1"/>
  <c r="L6283" i="1" s="1"/>
  <c r="K6283" i="1"/>
  <c r="L6282" i="1" a="1"/>
  <c r="L6282" i="1" s="1"/>
  <c r="K6282" i="1"/>
  <c r="L6281" i="1" a="1"/>
  <c r="L6281" i="1" s="1"/>
  <c r="K6281" i="1"/>
  <c r="L6280" i="1" a="1"/>
  <c r="L6280" i="1" s="1"/>
  <c r="K6280" i="1"/>
  <c r="L6279" i="1" a="1"/>
  <c r="L6279" i="1" s="1"/>
  <c r="K6279" i="1"/>
  <c r="L6278" i="1" a="1"/>
  <c r="L6278" i="1" s="1"/>
  <c r="K6278" i="1"/>
  <c r="L6277" i="1" a="1"/>
  <c r="L6277" i="1" s="1"/>
  <c r="K6277" i="1"/>
  <c r="L6276" i="1" a="1"/>
  <c r="L6276" i="1" s="1"/>
  <c r="K6276" i="1"/>
  <c r="L6275" i="1"/>
  <c r="L6275" i="1" a="1"/>
  <c r="K6275" i="1"/>
  <c r="L6274" i="1" a="1"/>
  <c r="L6274" i="1" s="1"/>
  <c r="K6274" i="1"/>
  <c r="L6273" i="1" a="1"/>
  <c r="L6273" i="1" s="1"/>
  <c r="K6273" i="1"/>
  <c r="L6272" i="1"/>
  <c r="L6272" i="1" a="1"/>
  <c r="K6272" i="1"/>
  <c r="L6271" i="1" a="1"/>
  <c r="L6271" i="1" s="1"/>
  <c r="K6271" i="1"/>
  <c r="L6270" i="1" a="1"/>
  <c r="L6270" i="1" s="1"/>
  <c r="K6270" i="1"/>
  <c r="L6269" i="1" a="1"/>
  <c r="L6269" i="1" s="1"/>
  <c r="K6269" i="1"/>
  <c r="L6268" i="1"/>
  <c r="L6268" i="1" a="1"/>
  <c r="K6268" i="1"/>
  <c r="L6267" i="1" a="1"/>
  <c r="L6267" i="1" s="1"/>
  <c r="K6267" i="1"/>
  <c r="L6266" i="1" a="1"/>
  <c r="L6266" i="1" s="1"/>
  <c r="K6266" i="1"/>
  <c r="L6265" i="1" a="1"/>
  <c r="L6265" i="1" s="1"/>
  <c r="K6265" i="1"/>
  <c r="L6264" i="1" a="1"/>
  <c r="L6264" i="1" s="1"/>
  <c r="K6264" i="1"/>
  <c r="L6263" i="1" a="1"/>
  <c r="L6263" i="1" s="1"/>
  <c r="K6263" i="1"/>
  <c r="L6262" i="1" a="1"/>
  <c r="L6262" i="1" s="1"/>
  <c r="K6262" i="1"/>
  <c r="L6261" i="1" a="1"/>
  <c r="L6261" i="1" s="1"/>
  <c r="K6261" i="1"/>
  <c r="L6260" i="1"/>
  <c r="L6260" i="1" a="1"/>
  <c r="K6260" i="1"/>
  <c r="L6259" i="1" a="1"/>
  <c r="L6259" i="1" s="1"/>
  <c r="K6259" i="1"/>
  <c r="L6258" i="1" a="1"/>
  <c r="L6258" i="1" s="1"/>
  <c r="K6258" i="1"/>
  <c r="L6257" i="1" a="1"/>
  <c r="L6257" i="1" s="1"/>
  <c r="K6257" i="1"/>
  <c r="L6256" i="1" a="1"/>
  <c r="L6256" i="1" s="1"/>
  <c r="K6256" i="1"/>
  <c r="L6255" i="1" a="1"/>
  <c r="L6255" i="1" s="1"/>
  <c r="K6255" i="1"/>
  <c r="L6254" i="1" a="1"/>
  <c r="L6254" i="1" s="1"/>
  <c r="K6254" i="1"/>
  <c r="L6253" i="1" a="1"/>
  <c r="L6253" i="1" s="1"/>
  <c r="K6253" i="1"/>
  <c r="L6252" i="1"/>
  <c r="L6252" i="1" a="1"/>
  <c r="K6252" i="1"/>
  <c r="L6251" i="1"/>
  <c r="L6251" i="1" a="1"/>
  <c r="K6251" i="1"/>
  <c r="L6250" i="1" a="1"/>
  <c r="L6250" i="1" s="1"/>
  <c r="K6250" i="1"/>
  <c r="L6249" i="1" a="1"/>
  <c r="L6249" i="1" s="1"/>
  <c r="K6249" i="1"/>
  <c r="L6248" i="1"/>
  <c r="L6248" i="1" a="1"/>
  <c r="K6248" i="1"/>
  <c r="L6247" i="1" a="1"/>
  <c r="L6247" i="1" s="1"/>
  <c r="K6247" i="1"/>
  <c r="L6246" i="1" a="1"/>
  <c r="L6246" i="1" s="1"/>
  <c r="K6246" i="1"/>
  <c r="L6245" i="1" a="1"/>
  <c r="L6245" i="1" s="1"/>
  <c r="K6245" i="1"/>
  <c r="L6244" i="1"/>
  <c r="L6244" i="1" a="1"/>
  <c r="K6244" i="1"/>
  <c r="L6243" i="1" a="1"/>
  <c r="L6243" i="1" s="1"/>
  <c r="K6243" i="1"/>
  <c r="L6242" i="1" a="1"/>
  <c r="L6242" i="1" s="1"/>
  <c r="K6242" i="1"/>
  <c r="L6241" i="1" a="1"/>
  <c r="L6241" i="1" s="1"/>
  <c r="K6241" i="1"/>
  <c r="L6240" i="1" a="1"/>
  <c r="L6240" i="1" s="1"/>
  <c r="K6240" i="1"/>
  <c r="L6239" i="1" a="1"/>
  <c r="L6239" i="1" s="1"/>
  <c r="K6239" i="1"/>
  <c r="L6238" i="1"/>
  <c r="L6238" i="1" a="1"/>
  <c r="K6238" i="1"/>
  <c r="L6237" i="1" a="1"/>
  <c r="L6237" i="1" s="1"/>
  <c r="K6237" i="1"/>
  <c r="L6236" i="1" a="1"/>
  <c r="L6236" i="1" s="1"/>
  <c r="K6236" i="1"/>
  <c r="L6235" i="1"/>
  <c r="L6235" i="1" a="1"/>
  <c r="K6235" i="1"/>
  <c r="L6234" i="1" a="1"/>
  <c r="L6234" i="1" s="1"/>
  <c r="K6234" i="1"/>
  <c r="L6233" i="1" a="1"/>
  <c r="L6233" i="1" s="1"/>
  <c r="K6233" i="1"/>
  <c r="L6232" i="1"/>
  <c r="L6232" i="1" a="1"/>
  <c r="K6232" i="1"/>
  <c r="L6231" i="1" a="1"/>
  <c r="L6231" i="1" s="1"/>
  <c r="K6231" i="1"/>
  <c r="L6230" i="1"/>
  <c r="L6230" i="1" a="1"/>
  <c r="K6230" i="1"/>
  <c r="L6229" i="1" a="1"/>
  <c r="L6229" i="1" s="1"/>
  <c r="K6229" i="1"/>
  <c r="L6228" i="1"/>
  <c r="L6228" i="1" a="1"/>
  <c r="K6228" i="1"/>
  <c r="L6227" i="1" a="1"/>
  <c r="L6227" i="1" s="1"/>
  <c r="K6227" i="1"/>
  <c r="L6226" i="1" a="1"/>
  <c r="L6226" i="1" s="1"/>
  <c r="K6226" i="1"/>
  <c r="L6225" i="1" a="1"/>
  <c r="L6225" i="1" s="1"/>
  <c r="K6225" i="1"/>
  <c r="L6224" i="1" a="1"/>
  <c r="L6224" i="1" s="1"/>
  <c r="K6224" i="1"/>
  <c r="L6223" i="1" a="1"/>
  <c r="L6223" i="1" s="1"/>
  <c r="K6223" i="1"/>
  <c r="L6222" i="1"/>
  <c r="L6222" i="1" a="1"/>
  <c r="K6222" i="1"/>
  <c r="L6221" i="1" a="1"/>
  <c r="L6221" i="1" s="1"/>
  <c r="K6221" i="1"/>
  <c r="L6220" i="1" a="1"/>
  <c r="L6220" i="1" s="1"/>
  <c r="K6220" i="1"/>
  <c r="L6219" i="1"/>
  <c r="L6219" i="1" a="1"/>
  <c r="K6219" i="1"/>
  <c r="L6218" i="1" a="1"/>
  <c r="L6218" i="1" s="1"/>
  <c r="K6218" i="1"/>
  <c r="L6217" i="1" a="1"/>
  <c r="L6217" i="1" s="1"/>
  <c r="K6217" i="1"/>
  <c r="L6216" i="1" a="1"/>
  <c r="L6216" i="1" s="1"/>
  <c r="K6216" i="1"/>
  <c r="L6215" i="1"/>
  <c r="L6215" i="1" a="1"/>
  <c r="K6215" i="1"/>
  <c r="L6214" i="1" a="1"/>
  <c r="L6214" i="1" s="1"/>
  <c r="K6214" i="1"/>
  <c r="L6213" i="1" a="1"/>
  <c r="L6213" i="1" s="1"/>
  <c r="K6213" i="1"/>
  <c r="L6212" i="1" a="1"/>
  <c r="L6212" i="1" s="1"/>
  <c r="K6212" i="1"/>
  <c r="L6211" i="1" a="1"/>
  <c r="L6211" i="1" s="1"/>
  <c r="K6211" i="1"/>
  <c r="L6210" i="1" a="1"/>
  <c r="L6210" i="1" s="1"/>
  <c r="K6210" i="1"/>
  <c r="L6209" i="1" a="1"/>
  <c r="L6209" i="1" s="1"/>
  <c r="K6209" i="1"/>
  <c r="L6208" i="1"/>
  <c r="L6208" i="1" a="1"/>
  <c r="K6208" i="1"/>
  <c r="L6207" i="1" a="1"/>
  <c r="L6207" i="1" s="1"/>
  <c r="K6207" i="1"/>
  <c r="L6206" i="1"/>
  <c r="L6206" i="1" a="1"/>
  <c r="K6206" i="1"/>
  <c r="L6205" i="1" a="1"/>
  <c r="L6205" i="1" s="1"/>
  <c r="K6205" i="1"/>
  <c r="L6204" i="1" a="1"/>
  <c r="L6204" i="1" s="1"/>
  <c r="K6204" i="1"/>
  <c r="L6203" i="1" a="1"/>
  <c r="L6203" i="1" s="1"/>
  <c r="K6203" i="1"/>
  <c r="L6202" i="1"/>
  <c r="L6202" i="1" a="1"/>
  <c r="K6202" i="1"/>
  <c r="L6201" i="1" a="1"/>
  <c r="L6201" i="1" s="1"/>
  <c r="K6201" i="1"/>
  <c r="L6200" i="1"/>
  <c r="L6200" i="1" a="1"/>
  <c r="K6200" i="1"/>
  <c r="L6199" i="1" a="1"/>
  <c r="L6199" i="1" s="1"/>
  <c r="K6199" i="1"/>
  <c r="L6198" i="1"/>
  <c r="L6198" i="1" a="1"/>
  <c r="K6198" i="1"/>
  <c r="L6197" i="1" a="1"/>
  <c r="L6197" i="1" s="1"/>
  <c r="K6197" i="1"/>
  <c r="L6196" i="1" a="1"/>
  <c r="L6196" i="1" s="1"/>
  <c r="K6196" i="1"/>
  <c r="L6195" i="1"/>
  <c r="L6195" i="1" a="1"/>
  <c r="K6195" i="1"/>
  <c r="L6194" i="1" a="1"/>
  <c r="L6194" i="1" s="1"/>
  <c r="K6194" i="1"/>
  <c r="L6193" i="1" a="1"/>
  <c r="L6193" i="1" s="1"/>
  <c r="K6193" i="1"/>
  <c r="L6192" i="1" a="1"/>
  <c r="L6192" i="1" s="1"/>
  <c r="K6192" i="1"/>
  <c r="L6191" i="1" a="1"/>
  <c r="L6191" i="1" s="1"/>
  <c r="K6191" i="1"/>
  <c r="L6190" i="1" a="1"/>
  <c r="L6190" i="1" s="1"/>
  <c r="K6190" i="1"/>
  <c r="L6189" i="1" a="1"/>
  <c r="L6189" i="1" s="1"/>
  <c r="K6189" i="1"/>
  <c r="L6188" i="1" a="1"/>
  <c r="L6188" i="1" s="1"/>
  <c r="K6188" i="1"/>
  <c r="L6187" i="1"/>
  <c r="L6187" i="1" a="1"/>
  <c r="K6187" i="1"/>
  <c r="L6186" i="1" a="1"/>
  <c r="L6186" i="1" s="1"/>
  <c r="K6186" i="1"/>
  <c r="L6185" i="1" a="1"/>
  <c r="L6185" i="1" s="1"/>
  <c r="K6185" i="1"/>
  <c r="L6184" i="1"/>
  <c r="L6184" i="1" a="1"/>
  <c r="K6184" i="1"/>
  <c r="L6183" i="1" a="1"/>
  <c r="L6183" i="1" s="1"/>
  <c r="K6183" i="1"/>
  <c r="L6182" i="1"/>
  <c r="L6182" i="1" a="1"/>
  <c r="K6182" i="1"/>
  <c r="L6181" i="1" a="1"/>
  <c r="L6181" i="1" s="1"/>
  <c r="K6181" i="1"/>
  <c r="L6180" i="1"/>
  <c r="L6180" i="1" a="1"/>
  <c r="K6180" i="1"/>
  <c r="L6179" i="1" a="1"/>
  <c r="L6179" i="1" s="1"/>
  <c r="K6179" i="1"/>
  <c r="L6178" i="1" a="1"/>
  <c r="L6178" i="1" s="1"/>
  <c r="K6178" i="1"/>
  <c r="L6177" i="1" a="1"/>
  <c r="L6177" i="1" s="1"/>
  <c r="K6177" i="1"/>
  <c r="L6176" i="1"/>
  <c r="L6176" i="1" a="1"/>
  <c r="K6176" i="1"/>
  <c r="L6175" i="1" a="1"/>
  <c r="L6175" i="1" s="1"/>
  <c r="K6175" i="1"/>
  <c r="L6174" i="1"/>
  <c r="L6174" i="1" a="1"/>
  <c r="K6174" i="1"/>
  <c r="L6173" i="1" a="1"/>
  <c r="L6173" i="1" s="1"/>
  <c r="K6173" i="1"/>
  <c r="L6172" i="1" a="1"/>
  <c r="L6172" i="1" s="1"/>
  <c r="K6172" i="1"/>
  <c r="L6171" i="1"/>
  <c r="L6171" i="1" a="1"/>
  <c r="K6171" i="1"/>
  <c r="L6170" i="1" a="1"/>
  <c r="L6170" i="1" s="1"/>
  <c r="K6170" i="1"/>
  <c r="L6169" i="1" a="1"/>
  <c r="L6169" i="1" s="1"/>
  <c r="K6169" i="1"/>
  <c r="L6168" i="1" a="1"/>
  <c r="L6168" i="1" s="1"/>
  <c r="K6168" i="1"/>
  <c r="L6167" i="1"/>
  <c r="L6167" i="1" a="1"/>
  <c r="K6167" i="1"/>
  <c r="L6166" i="1" a="1"/>
  <c r="L6166" i="1" s="1"/>
  <c r="K6166" i="1"/>
  <c r="L6165" i="1" a="1"/>
  <c r="L6165" i="1" s="1"/>
  <c r="K6165" i="1"/>
  <c r="L6164" i="1" a="1"/>
  <c r="L6164" i="1" s="1"/>
  <c r="K6164" i="1"/>
  <c r="L6163" i="1"/>
  <c r="L6163" i="1" a="1"/>
  <c r="K6163" i="1"/>
  <c r="L6162" i="1" a="1"/>
  <c r="L6162" i="1" s="1"/>
  <c r="K6162" i="1"/>
  <c r="L6161" i="1" a="1"/>
  <c r="L6161" i="1" s="1"/>
  <c r="K6161" i="1"/>
  <c r="L6160" i="1"/>
  <c r="L6160" i="1" a="1"/>
  <c r="K6160" i="1"/>
  <c r="L6159" i="1" a="1"/>
  <c r="L6159" i="1" s="1"/>
  <c r="K6159" i="1"/>
  <c r="L6158" i="1"/>
  <c r="L6158" i="1" a="1"/>
  <c r="K6158" i="1"/>
  <c r="L6157" i="1" a="1"/>
  <c r="L6157" i="1" s="1"/>
  <c r="K6157" i="1"/>
  <c r="L6156" i="1" a="1"/>
  <c r="L6156" i="1" s="1"/>
  <c r="K6156" i="1"/>
  <c r="L6155" i="1" a="1"/>
  <c r="L6155" i="1" s="1"/>
  <c r="K6155" i="1"/>
  <c r="L6154" i="1"/>
  <c r="L6154" i="1" a="1"/>
  <c r="K6154" i="1"/>
  <c r="L6153" i="1" a="1"/>
  <c r="L6153" i="1" s="1"/>
  <c r="K6153" i="1"/>
  <c r="L6152" i="1"/>
  <c r="L6152" i="1" a="1"/>
  <c r="K6152" i="1"/>
  <c r="L6151" i="1" a="1"/>
  <c r="L6151" i="1" s="1"/>
  <c r="K6151" i="1"/>
  <c r="L6150" i="1"/>
  <c r="L6150" i="1" a="1"/>
  <c r="K6150" i="1"/>
  <c r="L6149" i="1" a="1"/>
  <c r="L6149" i="1" s="1"/>
  <c r="K6149" i="1"/>
  <c r="L6148" i="1" a="1"/>
  <c r="L6148" i="1" s="1"/>
  <c r="K6148" i="1"/>
  <c r="L6147" i="1"/>
  <c r="L6147" i="1" a="1"/>
  <c r="K6147" i="1"/>
  <c r="L6146" i="1" a="1"/>
  <c r="L6146" i="1" s="1"/>
  <c r="K6146" i="1"/>
  <c r="L6145" i="1" a="1"/>
  <c r="L6145" i="1" s="1"/>
  <c r="K6145" i="1"/>
  <c r="L6144" i="1" a="1"/>
  <c r="L6144" i="1" s="1"/>
  <c r="K6144" i="1"/>
  <c r="L6143" i="1" a="1"/>
  <c r="L6143" i="1" s="1"/>
  <c r="K6143" i="1"/>
  <c r="L6142" i="1" a="1"/>
  <c r="L6142" i="1" s="1"/>
  <c r="K6142" i="1"/>
  <c r="L6141" i="1" a="1"/>
  <c r="L6141" i="1" s="1"/>
  <c r="K6141" i="1"/>
  <c r="L6140" i="1" a="1"/>
  <c r="L6140" i="1" s="1"/>
  <c r="K6140" i="1"/>
  <c r="L6139" i="1"/>
  <c r="L6139" i="1" a="1"/>
  <c r="K6139" i="1"/>
  <c r="L6138" i="1" a="1"/>
  <c r="L6138" i="1" s="1"/>
  <c r="K6138" i="1"/>
  <c r="L6137" i="1" a="1"/>
  <c r="L6137" i="1" s="1"/>
  <c r="K6137" i="1"/>
  <c r="L6136" i="1"/>
  <c r="L6136" i="1" a="1"/>
  <c r="K6136" i="1"/>
  <c r="L6135" i="1" a="1"/>
  <c r="L6135" i="1" s="1"/>
  <c r="K6135" i="1"/>
  <c r="L6134" i="1"/>
  <c r="L6134" i="1" a="1"/>
  <c r="K6134" i="1"/>
  <c r="L6133" i="1" a="1"/>
  <c r="L6133" i="1" s="1"/>
  <c r="K6133" i="1"/>
  <c r="L6132" i="1"/>
  <c r="L6132" i="1" a="1"/>
  <c r="K6132" i="1"/>
  <c r="L6131" i="1" a="1"/>
  <c r="L6131" i="1" s="1"/>
  <c r="K6131" i="1"/>
  <c r="L6130" i="1" a="1"/>
  <c r="L6130" i="1" s="1"/>
  <c r="K6130" i="1"/>
  <c r="L6129" i="1" a="1"/>
  <c r="L6129" i="1" s="1"/>
  <c r="K6129" i="1"/>
  <c r="L6128" i="1" a="1"/>
  <c r="L6128" i="1" s="1"/>
  <c r="K6128" i="1"/>
  <c r="L6127" i="1" a="1"/>
  <c r="L6127" i="1" s="1"/>
  <c r="K6127" i="1"/>
  <c r="L6126" i="1"/>
  <c r="L6126" i="1" a="1"/>
  <c r="K6126" i="1"/>
  <c r="L6125" i="1" a="1"/>
  <c r="L6125" i="1" s="1"/>
  <c r="K6125" i="1"/>
  <c r="L6124" i="1" a="1"/>
  <c r="L6124" i="1" s="1"/>
  <c r="K6124" i="1"/>
  <c r="L6123" i="1"/>
  <c r="L6123" i="1" a="1"/>
  <c r="K6123" i="1"/>
  <c r="L6122" i="1" a="1"/>
  <c r="L6122" i="1" s="1"/>
  <c r="K6122" i="1"/>
  <c r="L6121" i="1" a="1"/>
  <c r="L6121" i="1" s="1"/>
  <c r="K6121" i="1"/>
  <c r="L6120" i="1" a="1"/>
  <c r="L6120" i="1" s="1"/>
  <c r="K6120" i="1"/>
  <c r="L6119" i="1"/>
  <c r="L6119" i="1" a="1"/>
  <c r="K6119" i="1"/>
  <c r="L6118" i="1" a="1"/>
  <c r="L6118" i="1" s="1"/>
  <c r="K6118" i="1"/>
  <c r="L6117" i="1" a="1"/>
  <c r="L6117" i="1" s="1"/>
  <c r="K6117" i="1"/>
  <c r="L6116" i="1" a="1"/>
  <c r="L6116" i="1" s="1"/>
  <c r="K6116" i="1"/>
  <c r="L6115" i="1" a="1"/>
  <c r="L6115" i="1" s="1"/>
  <c r="K6115" i="1"/>
  <c r="L6114" i="1" a="1"/>
  <c r="L6114" i="1" s="1"/>
  <c r="K6114" i="1"/>
  <c r="L6113" i="1" a="1"/>
  <c r="L6113" i="1" s="1"/>
  <c r="K6113" i="1"/>
  <c r="L6112" i="1"/>
  <c r="L6112" i="1" a="1"/>
  <c r="K6112" i="1"/>
  <c r="L6111" i="1" a="1"/>
  <c r="L6111" i="1" s="1"/>
  <c r="K6111" i="1"/>
  <c r="L6110" i="1"/>
  <c r="L6110" i="1" a="1"/>
  <c r="K6110" i="1"/>
  <c r="L6109" i="1" a="1"/>
  <c r="L6109" i="1" s="1"/>
  <c r="K6109" i="1"/>
  <c r="L6108" i="1" a="1"/>
  <c r="L6108" i="1" s="1"/>
  <c r="K6108" i="1"/>
  <c r="L6107" i="1" a="1"/>
  <c r="L6107" i="1" s="1"/>
  <c r="K6107" i="1"/>
  <c r="L6106" i="1"/>
  <c r="L6106" i="1" a="1"/>
  <c r="K6106" i="1"/>
  <c r="L6105" i="1" a="1"/>
  <c r="L6105" i="1" s="1"/>
  <c r="K6105" i="1"/>
  <c r="L6104" i="1"/>
  <c r="L6104" i="1" a="1"/>
  <c r="K6104" i="1"/>
  <c r="L6103" i="1" a="1"/>
  <c r="L6103" i="1" s="1"/>
  <c r="K6103" i="1"/>
  <c r="L6102" i="1"/>
  <c r="L6102" i="1" a="1"/>
  <c r="K6102" i="1"/>
  <c r="L6101" i="1" a="1"/>
  <c r="L6101" i="1" s="1"/>
  <c r="K6101" i="1"/>
  <c r="L6100" i="1" a="1"/>
  <c r="L6100" i="1" s="1"/>
  <c r="K6100" i="1"/>
  <c r="L6099" i="1"/>
  <c r="L6099" i="1" a="1"/>
  <c r="K6099" i="1"/>
  <c r="L6098" i="1" a="1"/>
  <c r="L6098" i="1" s="1"/>
  <c r="K6098" i="1"/>
  <c r="L6097" i="1" a="1"/>
  <c r="L6097" i="1" s="1"/>
  <c r="K6097" i="1"/>
  <c r="L6096" i="1" a="1"/>
  <c r="L6096" i="1" s="1"/>
  <c r="K6096" i="1"/>
  <c r="L6095" i="1" a="1"/>
  <c r="L6095" i="1" s="1"/>
  <c r="K6095" i="1"/>
  <c r="L6094" i="1" a="1"/>
  <c r="L6094" i="1" s="1"/>
  <c r="K6094" i="1"/>
  <c r="L6093" i="1" a="1"/>
  <c r="L6093" i="1" s="1"/>
  <c r="K6093" i="1"/>
  <c r="L6092" i="1" a="1"/>
  <c r="L6092" i="1" s="1"/>
  <c r="K6092" i="1"/>
  <c r="L6091" i="1"/>
  <c r="L6091" i="1" a="1"/>
  <c r="K6091" i="1"/>
  <c r="L6090" i="1" a="1"/>
  <c r="L6090" i="1" s="1"/>
  <c r="K6090" i="1"/>
  <c r="L6089" i="1" a="1"/>
  <c r="L6089" i="1" s="1"/>
  <c r="K6089" i="1"/>
  <c r="L6088" i="1"/>
  <c r="L6088" i="1" a="1"/>
  <c r="K6088" i="1"/>
  <c r="L6087" i="1" a="1"/>
  <c r="L6087" i="1" s="1"/>
  <c r="K6087" i="1"/>
  <c r="L6086" i="1"/>
  <c r="L6086" i="1" a="1"/>
  <c r="K6086" i="1"/>
  <c r="L6085" i="1" a="1"/>
  <c r="L6085" i="1" s="1"/>
  <c r="K6085" i="1"/>
  <c r="L6084" i="1"/>
  <c r="L6084" i="1" a="1"/>
  <c r="K6084" i="1"/>
  <c r="L6083" i="1" a="1"/>
  <c r="L6083" i="1" s="1"/>
  <c r="K6083" i="1"/>
  <c r="L6082" i="1" a="1"/>
  <c r="L6082" i="1" s="1"/>
  <c r="K6082" i="1"/>
  <c r="L6081" i="1" a="1"/>
  <c r="L6081" i="1" s="1"/>
  <c r="K6081" i="1"/>
  <c r="L6080" i="1" a="1"/>
  <c r="L6080" i="1" s="1"/>
  <c r="K6080" i="1"/>
  <c r="L6079" i="1" a="1"/>
  <c r="L6079" i="1" s="1"/>
  <c r="K6079" i="1"/>
  <c r="L6078" i="1"/>
  <c r="L6078" i="1" a="1"/>
  <c r="K6078" i="1"/>
  <c r="L6077" i="1" a="1"/>
  <c r="L6077" i="1" s="1"/>
  <c r="K6077" i="1"/>
  <c r="L6076" i="1" a="1"/>
  <c r="L6076" i="1" s="1"/>
  <c r="K6076" i="1"/>
  <c r="L6075" i="1"/>
  <c r="L6075" i="1" a="1"/>
  <c r="K6075" i="1"/>
  <c r="L6074" i="1" a="1"/>
  <c r="L6074" i="1" s="1"/>
  <c r="K6074" i="1"/>
  <c r="L6073" i="1" a="1"/>
  <c r="L6073" i="1" s="1"/>
  <c r="K6073" i="1"/>
  <c r="L6072" i="1" a="1"/>
  <c r="L6072" i="1" s="1"/>
  <c r="K6072" i="1"/>
  <c r="L6071" i="1"/>
  <c r="L6071" i="1" a="1"/>
  <c r="K6071" i="1"/>
  <c r="L6070" i="1" a="1"/>
  <c r="L6070" i="1" s="1"/>
  <c r="K6070" i="1"/>
  <c r="L6069" i="1" a="1"/>
  <c r="L6069" i="1" s="1"/>
  <c r="K6069" i="1"/>
  <c r="L6068" i="1" a="1"/>
  <c r="L6068" i="1" s="1"/>
  <c r="K6068" i="1"/>
  <c r="L6067" i="1" a="1"/>
  <c r="L6067" i="1" s="1"/>
  <c r="K6067" i="1"/>
  <c r="L6066" i="1" a="1"/>
  <c r="L6066" i="1" s="1"/>
  <c r="K6066" i="1"/>
  <c r="L6065" i="1" a="1"/>
  <c r="L6065" i="1" s="1"/>
  <c r="K6065" i="1"/>
  <c r="L6064" i="1"/>
  <c r="L6064" i="1" a="1"/>
  <c r="K6064" i="1"/>
  <c r="L6063" i="1" a="1"/>
  <c r="L6063" i="1" s="1"/>
  <c r="K6063" i="1"/>
  <c r="L6062" i="1"/>
  <c r="L6062" i="1" a="1"/>
  <c r="K6062" i="1"/>
  <c r="L6061" i="1" a="1"/>
  <c r="L6061" i="1" s="1"/>
  <c r="K6061" i="1"/>
  <c r="L6060" i="1" a="1"/>
  <c r="L6060" i="1" s="1"/>
  <c r="K6060" i="1"/>
  <c r="L6059" i="1" a="1"/>
  <c r="L6059" i="1" s="1"/>
  <c r="K6059" i="1"/>
  <c r="L6058" i="1"/>
  <c r="L6058" i="1" a="1"/>
  <c r="K6058" i="1"/>
  <c r="L6057" i="1" a="1"/>
  <c r="L6057" i="1" s="1"/>
  <c r="K6057" i="1"/>
  <c r="L6056" i="1"/>
  <c r="L6056" i="1" a="1"/>
  <c r="K6056" i="1"/>
  <c r="L6055" i="1" a="1"/>
  <c r="L6055" i="1" s="1"/>
  <c r="K6055" i="1"/>
  <c r="L6054" i="1" a="1"/>
  <c r="L6054" i="1" s="1"/>
  <c r="K6054" i="1"/>
  <c r="L6053" i="1" a="1"/>
  <c r="L6053" i="1" s="1"/>
  <c r="K6053" i="1"/>
  <c r="L6052" i="1" a="1"/>
  <c r="L6052" i="1" s="1"/>
  <c r="K6052" i="1"/>
  <c r="L6051" i="1"/>
  <c r="L6051" i="1" a="1"/>
  <c r="K6051" i="1"/>
  <c r="L6050" i="1" a="1"/>
  <c r="L6050" i="1" s="1"/>
  <c r="K6050" i="1"/>
  <c r="L6049" i="1" a="1"/>
  <c r="L6049" i="1" s="1"/>
  <c r="K6049" i="1"/>
  <c r="L6048" i="1" a="1"/>
  <c r="L6048" i="1" s="1"/>
  <c r="K6048" i="1"/>
  <c r="L6047" i="1" a="1"/>
  <c r="L6047" i="1" s="1"/>
  <c r="K6047" i="1"/>
  <c r="L6046" i="1" a="1"/>
  <c r="L6046" i="1" s="1"/>
  <c r="K6046" i="1"/>
  <c r="L6045" i="1" a="1"/>
  <c r="L6045" i="1" s="1"/>
  <c r="K6045" i="1"/>
  <c r="L6044" i="1" a="1"/>
  <c r="L6044" i="1" s="1"/>
  <c r="K6044" i="1"/>
  <c r="L6043" i="1"/>
  <c r="L6043" i="1" a="1"/>
  <c r="K6043" i="1"/>
  <c r="L6042" i="1" a="1"/>
  <c r="L6042" i="1" s="1"/>
  <c r="K6042" i="1"/>
  <c r="L6041" i="1" a="1"/>
  <c r="L6041" i="1" s="1"/>
  <c r="K6041" i="1"/>
  <c r="L6040" i="1"/>
  <c r="L6040" i="1" a="1"/>
  <c r="K6040" i="1"/>
  <c r="L6039" i="1" a="1"/>
  <c r="L6039" i="1" s="1"/>
  <c r="K6039" i="1"/>
  <c r="L6038" i="1"/>
  <c r="L6038" i="1" a="1"/>
  <c r="K6038" i="1"/>
  <c r="L6037" i="1" a="1"/>
  <c r="L6037" i="1" s="1"/>
  <c r="K6037" i="1"/>
  <c r="L6036" i="1"/>
  <c r="L6036" i="1" a="1"/>
  <c r="K6036" i="1"/>
  <c r="L6035" i="1" a="1"/>
  <c r="L6035" i="1" s="1"/>
  <c r="K6035" i="1"/>
  <c r="L6034" i="1" a="1"/>
  <c r="L6034" i="1" s="1"/>
  <c r="K6034" i="1"/>
  <c r="L6033" i="1" a="1"/>
  <c r="L6033" i="1" s="1"/>
  <c r="K6033" i="1"/>
  <c r="L6032" i="1" a="1"/>
  <c r="L6032" i="1" s="1"/>
  <c r="K6032" i="1"/>
  <c r="L6031" i="1" a="1"/>
  <c r="L6031" i="1" s="1"/>
  <c r="K6031" i="1"/>
  <c r="L6030" i="1"/>
  <c r="L6030" i="1" a="1"/>
  <c r="K6030" i="1"/>
  <c r="L6029" i="1" a="1"/>
  <c r="L6029" i="1" s="1"/>
  <c r="K6029" i="1"/>
  <c r="L6028" i="1" a="1"/>
  <c r="L6028" i="1" s="1"/>
  <c r="K6028" i="1"/>
  <c r="L6027" i="1"/>
  <c r="L6027" i="1" a="1"/>
  <c r="K6027" i="1"/>
  <c r="L6026" i="1"/>
  <c r="L6026" i="1" a="1"/>
  <c r="K6026" i="1"/>
  <c r="L6025" i="1" a="1"/>
  <c r="L6025" i="1" s="1"/>
  <c r="K6025" i="1"/>
  <c r="L6024" i="1"/>
  <c r="L6024" i="1" a="1"/>
  <c r="K6024" i="1"/>
  <c r="L6023" i="1"/>
  <c r="L6023" i="1" a="1"/>
  <c r="K6023" i="1"/>
  <c r="L6022" i="1" a="1"/>
  <c r="L6022" i="1" s="1"/>
  <c r="K6022" i="1"/>
  <c r="L6021" i="1" a="1"/>
  <c r="L6021" i="1" s="1"/>
  <c r="K6021" i="1"/>
  <c r="L6020" i="1" a="1"/>
  <c r="L6020" i="1" s="1"/>
  <c r="K6020" i="1"/>
  <c r="L6019" i="1"/>
  <c r="L6019" i="1" a="1"/>
  <c r="K6019" i="1"/>
  <c r="L6018" i="1" a="1"/>
  <c r="L6018" i="1" s="1"/>
  <c r="K6018" i="1"/>
  <c r="L6017" i="1" a="1"/>
  <c r="L6017" i="1" s="1"/>
  <c r="K6017" i="1"/>
  <c r="L6016" i="1"/>
  <c r="L6016" i="1" a="1"/>
  <c r="K6016" i="1"/>
  <c r="L6015" i="1" a="1"/>
  <c r="L6015" i="1" s="1"/>
  <c r="K6015" i="1"/>
  <c r="L6014" i="1"/>
  <c r="L6014" i="1" a="1"/>
  <c r="K6014" i="1"/>
  <c r="L6013" i="1" a="1"/>
  <c r="L6013" i="1" s="1"/>
  <c r="K6013" i="1"/>
  <c r="L6012" i="1" a="1"/>
  <c r="L6012" i="1" s="1"/>
  <c r="K6012" i="1"/>
  <c r="L6011" i="1" a="1"/>
  <c r="L6011" i="1" s="1"/>
  <c r="K6011" i="1"/>
  <c r="L6010" i="1"/>
  <c r="L6010" i="1" a="1"/>
  <c r="K6010" i="1"/>
  <c r="L6009" i="1" a="1"/>
  <c r="L6009" i="1" s="1"/>
  <c r="K6009" i="1"/>
  <c r="K6008" i="1"/>
  <c r="L6008" i="1" s="1" a="1"/>
  <c r="L6008" i="1" s="1"/>
  <c r="L6007" i="1" a="1"/>
  <c r="L6007" i="1" s="1"/>
  <c r="K6007" i="1"/>
  <c r="L6006" i="1"/>
  <c r="L6006" i="1" a="1"/>
  <c r="K6006" i="1"/>
  <c r="L6005" i="1" a="1"/>
  <c r="L6005" i="1" s="1"/>
  <c r="K6005" i="1"/>
  <c r="L6004" i="1"/>
  <c r="L6004" i="1" a="1"/>
  <c r="K6004" i="1"/>
  <c r="L6003" i="1"/>
  <c r="L6003" i="1" a="1"/>
  <c r="K6003" i="1"/>
  <c r="L6002" i="1" a="1"/>
  <c r="L6002" i="1" s="1"/>
  <c r="K6002" i="1"/>
  <c r="L6001" i="1" a="1"/>
  <c r="L6001" i="1" s="1"/>
  <c r="K6001" i="1"/>
  <c r="L6000" i="1" a="1"/>
  <c r="L6000" i="1" s="1"/>
  <c r="K6000" i="1"/>
  <c r="L5999" i="1" a="1"/>
  <c r="L5999" i="1" s="1"/>
  <c r="K5999" i="1"/>
  <c r="L5998" i="1" a="1"/>
  <c r="L5998" i="1" s="1"/>
  <c r="K5998" i="1"/>
  <c r="L5997" i="1" a="1"/>
  <c r="L5997" i="1" s="1"/>
  <c r="K5997" i="1"/>
  <c r="K5996" i="1"/>
  <c r="L5996" i="1" s="1" a="1"/>
  <c r="L5996" i="1" s="1"/>
  <c r="L5995" i="1"/>
  <c r="L5995" i="1" a="1"/>
  <c r="K5995" i="1"/>
  <c r="L5994" i="1" a="1"/>
  <c r="L5994" i="1" s="1"/>
  <c r="K5994" i="1"/>
  <c r="L5993" i="1" a="1"/>
  <c r="L5993" i="1" s="1"/>
  <c r="K5993" i="1"/>
  <c r="L5992" i="1"/>
  <c r="K5992" i="1"/>
  <c r="L5992" i="1" s="1" a="1"/>
  <c r="L5991" i="1"/>
  <c r="L5991" i="1" a="1"/>
  <c r="K5991" i="1"/>
  <c r="L5990" i="1"/>
  <c r="L5990" i="1" a="1"/>
  <c r="K5990" i="1"/>
  <c r="L5989" i="1" a="1"/>
  <c r="L5989" i="1" s="1"/>
  <c r="K5989" i="1"/>
  <c r="L5988" i="1" a="1"/>
  <c r="L5988" i="1" s="1"/>
  <c r="K5988" i="1"/>
  <c r="L5987" i="1" a="1"/>
  <c r="L5987" i="1" s="1"/>
  <c r="K5987" i="1"/>
  <c r="L5986" i="1" a="1"/>
  <c r="L5986" i="1" s="1"/>
  <c r="K5986" i="1"/>
  <c r="L5985" i="1" a="1"/>
  <c r="L5985" i="1" s="1"/>
  <c r="K5985" i="1"/>
  <c r="L5984" i="1" a="1"/>
  <c r="L5984" i="1" s="1"/>
  <c r="K5984" i="1"/>
  <c r="L5983" i="1" a="1"/>
  <c r="L5983" i="1" s="1"/>
  <c r="K5983" i="1"/>
  <c r="L5982" i="1"/>
  <c r="L5982" i="1" a="1"/>
  <c r="K5982" i="1"/>
  <c r="L5981" i="1" a="1"/>
  <c r="L5981" i="1" s="1"/>
  <c r="K5981" i="1"/>
  <c r="L5980" i="1" a="1"/>
  <c r="L5980" i="1" s="1"/>
  <c r="K5980" i="1"/>
  <c r="L5979" i="1"/>
  <c r="L5979" i="1" a="1"/>
  <c r="K5979" i="1"/>
  <c r="L5978" i="1"/>
  <c r="L5978" i="1" a="1"/>
  <c r="K5978" i="1"/>
  <c r="L5977" i="1" a="1"/>
  <c r="L5977" i="1" s="1"/>
  <c r="K5977" i="1"/>
  <c r="K5976" i="1"/>
  <c r="L5976" i="1" s="1" a="1"/>
  <c r="L5976" i="1" s="1"/>
  <c r="L5975" i="1" a="1"/>
  <c r="L5975" i="1" s="1"/>
  <c r="K5975" i="1"/>
  <c r="L5974" i="1" a="1"/>
  <c r="L5974" i="1" s="1"/>
  <c r="K5974" i="1"/>
  <c r="L5973" i="1" a="1"/>
  <c r="L5973" i="1" s="1"/>
  <c r="K5973" i="1"/>
  <c r="L5972" i="1" a="1"/>
  <c r="L5972" i="1" s="1"/>
  <c r="K5972" i="1"/>
  <c r="L5971" i="1" a="1"/>
  <c r="L5971" i="1" s="1"/>
  <c r="K5971" i="1"/>
  <c r="L5970" i="1" a="1"/>
  <c r="L5970" i="1" s="1"/>
  <c r="K5970" i="1"/>
  <c r="L5969" i="1" a="1"/>
  <c r="L5969" i="1" s="1"/>
  <c r="K5969" i="1"/>
  <c r="L5968" i="1"/>
  <c r="K5968" i="1"/>
  <c r="L5968" i="1" s="1" a="1"/>
  <c r="L5967" i="1" a="1"/>
  <c r="L5967" i="1" s="1"/>
  <c r="K5967" i="1"/>
  <c r="L5966" i="1"/>
  <c r="L5966" i="1" a="1"/>
  <c r="K5966" i="1"/>
  <c r="L5965" i="1" a="1"/>
  <c r="L5965" i="1" s="1"/>
  <c r="K5965" i="1"/>
  <c r="L5964" i="1" a="1"/>
  <c r="L5964" i="1" s="1"/>
  <c r="K5964" i="1"/>
  <c r="L5963" i="1"/>
  <c r="L5963" i="1" a="1"/>
  <c r="K5963" i="1"/>
  <c r="L5962" i="1" a="1"/>
  <c r="L5962" i="1" s="1"/>
  <c r="K5962" i="1"/>
  <c r="L5961" i="1" a="1"/>
  <c r="L5961" i="1" s="1"/>
  <c r="K5961" i="1"/>
  <c r="K5960" i="1"/>
  <c r="L5960" i="1" s="1" a="1"/>
  <c r="L5960" i="1" s="1"/>
  <c r="L5959" i="1" a="1"/>
  <c r="L5959" i="1" s="1"/>
  <c r="K5959" i="1"/>
  <c r="L5958" i="1" a="1"/>
  <c r="L5958" i="1" s="1"/>
  <c r="K5958" i="1"/>
  <c r="L5957" i="1" a="1"/>
  <c r="L5957" i="1" s="1"/>
  <c r="K5957" i="1"/>
  <c r="L5956" i="1"/>
  <c r="L5956" i="1" a="1"/>
  <c r="K5956" i="1"/>
  <c r="L5955" i="1"/>
  <c r="L5955" i="1" a="1"/>
  <c r="K5955" i="1"/>
  <c r="L5954" i="1" a="1"/>
  <c r="L5954" i="1" s="1"/>
  <c r="K5954" i="1"/>
  <c r="L5953" i="1" a="1"/>
  <c r="L5953" i="1" s="1"/>
  <c r="K5953" i="1"/>
  <c r="K5952" i="1"/>
  <c r="L5952" i="1" s="1" a="1"/>
  <c r="L5952" i="1" s="1"/>
  <c r="L5951" i="1" a="1"/>
  <c r="L5951" i="1" s="1"/>
  <c r="K5951" i="1"/>
  <c r="L5950" i="1"/>
  <c r="L5950" i="1" a="1"/>
  <c r="K5950" i="1"/>
  <c r="L5949" i="1" a="1"/>
  <c r="L5949" i="1" s="1"/>
  <c r="K5949" i="1"/>
  <c r="K5948" i="1"/>
  <c r="L5948" i="1" s="1" a="1"/>
  <c r="L5948" i="1" s="1"/>
  <c r="L5947" i="1"/>
  <c r="L5947" i="1" a="1"/>
  <c r="K5947" i="1"/>
  <c r="L5946" i="1" a="1"/>
  <c r="L5946" i="1" s="1"/>
  <c r="K5946" i="1"/>
  <c r="L5945" i="1" a="1"/>
  <c r="L5945" i="1" s="1"/>
  <c r="K5945" i="1"/>
  <c r="K5944" i="1"/>
  <c r="L5944" i="1" s="1" a="1"/>
  <c r="L5944" i="1" s="1"/>
  <c r="L5943" i="1"/>
  <c r="L5943" i="1" a="1"/>
  <c r="K5943" i="1"/>
  <c r="L5942" i="1"/>
  <c r="K5942" i="1"/>
  <c r="L5942" i="1" s="1" a="1"/>
  <c r="K5941" i="1"/>
  <c r="L5941" i="1" s="1" a="1"/>
  <c r="L5941" i="1" s="1"/>
  <c r="K5940" i="1"/>
  <c r="L5940" i="1" s="1" a="1"/>
  <c r="L5940" i="1" s="1"/>
  <c r="L5939" i="1" a="1"/>
  <c r="L5939" i="1" s="1"/>
  <c r="K5939" i="1"/>
  <c r="K5938" i="1"/>
  <c r="L5938" i="1" s="1" a="1"/>
  <c r="L5938" i="1" s="1"/>
  <c r="K5937" i="1"/>
  <c r="L5937" i="1" s="1" a="1"/>
  <c r="L5937" i="1" s="1"/>
  <c r="K5936" i="1"/>
  <c r="L5936" i="1" s="1" a="1"/>
  <c r="L5936" i="1" s="1"/>
  <c r="L5935" i="1" a="1"/>
  <c r="L5935" i="1" s="1"/>
  <c r="K5935" i="1"/>
  <c r="K5934" i="1"/>
  <c r="L5934" i="1" s="1" a="1"/>
  <c r="L5934" i="1" s="1"/>
  <c r="L5933" i="1" a="1"/>
  <c r="L5933" i="1" s="1"/>
  <c r="K5933" i="1"/>
  <c r="K5932" i="1"/>
  <c r="L5932" i="1" s="1" a="1"/>
  <c r="L5932" i="1" s="1"/>
  <c r="L5931" i="1" a="1"/>
  <c r="L5931" i="1" s="1"/>
  <c r="K5931" i="1"/>
  <c r="K5930" i="1"/>
  <c r="L5930" i="1" s="1" a="1"/>
  <c r="L5930" i="1" s="1"/>
  <c r="L5929" i="1" a="1"/>
  <c r="L5929" i="1" s="1"/>
  <c r="K5929" i="1"/>
  <c r="L5928" i="1"/>
  <c r="K5928" i="1"/>
  <c r="L5928" i="1" s="1" a="1"/>
  <c r="L5927" i="1" a="1"/>
  <c r="L5927" i="1" s="1"/>
  <c r="K5927" i="1"/>
  <c r="L5926" i="1"/>
  <c r="K5926" i="1"/>
  <c r="L5926" i="1" s="1" a="1"/>
  <c r="K5925" i="1"/>
  <c r="L5925" i="1" s="1" a="1"/>
  <c r="L5925" i="1" s="1"/>
  <c r="L5924" i="1"/>
  <c r="K5924" i="1"/>
  <c r="L5924" i="1" s="1" a="1"/>
  <c r="L5923" i="1" a="1"/>
  <c r="L5923" i="1" s="1"/>
  <c r="K5923" i="1"/>
  <c r="K5922" i="1"/>
  <c r="L5922" i="1" s="1" a="1"/>
  <c r="L5922" i="1" s="1"/>
  <c r="L5921" i="1"/>
  <c r="K5921" i="1"/>
  <c r="L5921" i="1" s="1" a="1"/>
  <c r="K5920" i="1"/>
  <c r="L5920" i="1" s="1" a="1"/>
  <c r="L5920" i="1" s="1"/>
  <c r="L5919" i="1"/>
  <c r="L5919" i="1" a="1"/>
  <c r="K5919" i="1"/>
  <c r="L5918" i="1"/>
  <c r="K5918" i="1"/>
  <c r="L5918" i="1" s="1" a="1"/>
  <c r="K5917" i="1"/>
  <c r="L5917" i="1" s="1" a="1"/>
  <c r="L5917" i="1" s="1"/>
  <c r="K5916" i="1"/>
  <c r="L5916" i="1" s="1" a="1"/>
  <c r="L5916" i="1" s="1"/>
  <c r="L5915" i="1" a="1"/>
  <c r="L5915" i="1" s="1"/>
  <c r="K5915" i="1"/>
  <c r="K5914" i="1"/>
  <c r="L5914" i="1" s="1" a="1"/>
  <c r="L5914" i="1" s="1"/>
  <c r="K5913" i="1"/>
  <c r="L5913" i="1" s="1" a="1"/>
  <c r="L5913" i="1" s="1"/>
  <c r="L5912" i="1"/>
  <c r="K5912" i="1"/>
  <c r="L5912" i="1" s="1" a="1"/>
  <c r="L5911" i="1" a="1"/>
  <c r="L5911" i="1" s="1"/>
  <c r="K5911" i="1"/>
  <c r="K5910" i="1"/>
  <c r="L5910" i="1" s="1" a="1"/>
  <c r="L5910" i="1" s="1"/>
  <c r="L5909" i="1" a="1"/>
  <c r="L5909" i="1" s="1"/>
  <c r="K5909" i="1"/>
  <c r="K5908" i="1"/>
  <c r="L5908" i="1" s="1" a="1"/>
  <c r="L5908" i="1" s="1"/>
  <c r="L5907" i="1" a="1"/>
  <c r="L5907" i="1" s="1"/>
  <c r="K5907" i="1"/>
  <c r="L5906" i="1"/>
  <c r="K5906" i="1"/>
  <c r="L5906" i="1" s="1" a="1"/>
  <c r="L5905" i="1" a="1"/>
  <c r="L5905" i="1" s="1"/>
  <c r="K5905" i="1"/>
  <c r="L5904" i="1"/>
  <c r="K5904" i="1"/>
  <c r="L5904" i="1" s="1" a="1"/>
  <c r="L5903" i="1" a="1"/>
  <c r="L5903" i="1" s="1"/>
  <c r="K5903" i="1"/>
  <c r="L5902" i="1"/>
  <c r="K5902" i="1"/>
  <c r="L5902" i="1" s="1" a="1"/>
  <c r="K5901" i="1"/>
  <c r="L5901" i="1" s="1" a="1"/>
  <c r="L5901" i="1" s="1"/>
  <c r="L5900" i="1"/>
  <c r="K5900" i="1"/>
  <c r="L5900" i="1" s="1" a="1"/>
  <c r="L5899" i="1"/>
  <c r="L5899" i="1" a="1"/>
  <c r="K5899" i="1"/>
  <c r="K5898" i="1"/>
  <c r="L5898" i="1" s="1" a="1"/>
  <c r="L5898" i="1" s="1"/>
  <c r="L5897" i="1"/>
  <c r="K5897" i="1"/>
  <c r="L5897" i="1" s="1" a="1"/>
  <c r="K5896" i="1"/>
  <c r="L5896" i="1" s="1" a="1"/>
  <c r="L5896" i="1" s="1"/>
  <c r="L5895" i="1"/>
  <c r="L5895" i="1" a="1"/>
  <c r="K5895" i="1"/>
  <c r="L5894" i="1"/>
  <c r="K5894" i="1"/>
  <c r="L5894" i="1" s="1" a="1"/>
  <c r="K5893" i="1"/>
  <c r="L5893" i="1" s="1" a="1"/>
  <c r="L5893" i="1" s="1"/>
  <c r="K5892" i="1"/>
  <c r="L5892" i="1" s="1" a="1"/>
  <c r="L5892" i="1" s="1"/>
  <c r="L5891" i="1" a="1"/>
  <c r="L5891" i="1" s="1"/>
  <c r="K5891" i="1"/>
  <c r="K5890" i="1"/>
  <c r="L5890" i="1" s="1" a="1"/>
  <c r="L5890" i="1" s="1"/>
  <c r="K5889" i="1"/>
  <c r="L5889" i="1" s="1" a="1"/>
  <c r="L5889" i="1" s="1"/>
  <c r="K5888" i="1"/>
  <c r="L5888" i="1" s="1" a="1"/>
  <c r="L5888" i="1" s="1"/>
  <c r="L5887" i="1" a="1"/>
  <c r="L5887" i="1" s="1"/>
  <c r="K5887" i="1"/>
  <c r="K5886" i="1"/>
  <c r="L5886" i="1" s="1" a="1"/>
  <c r="L5886" i="1" s="1"/>
  <c r="L5885" i="1" a="1"/>
  <c r="L5885" i="1" s="1"/>
  <c r="K5885" i="1"/>
  <c r="K5884" i="1"/>
  <c r="L5884" i="1" s="1" a="1"/>
  <c r="L5884" i="1" s="1"/>
  <c r="L5883" i="1"/>
  <c r="L5883" i="1" a="1"/>
  <c r="K5883" i="1"/>
  <c r="L5882" i="1"/>
  <c r="K5882" i="1"/>
  <c r="L5882" i="1" s="1" a="1"/>
  <c r="L5881" i="1" a="1"/>
  <c r="L5881" i="1" s="1"/>
  <c r="K5881" i="1"/>
  <c r="L5880" i="1"/>
  <c r="K5880" i="1"/>
  <c r="L5880" i="1" s="1" a="1"/>
  <c r="L5879" i="1" a="1"/>
  <c r="L5879" i="1" s="1"/>
  <c r="K5879" i="1"/>
  <c r="L5878" i="1"/>
  <c r="K5878" i="1"/>
  <c r="L5878" i="1" s="1" a="1"/>
  <c r="K5877" i="1"/>
  <c r="L5877" i="1" s="1" a="1"/>
  <c r="L5877" i="1" s="1"/>
  <c r="L5876" i="1"/>
  <c r="K5876" i="1"/>
  <c r="L5876" i="1" s="1" a="1"/>
  <c r="L5875" i="1" a="1"/>
  <c r="L5875" i="1" s="1"/>
  <c r="K5875" i="1"/>
  <c r="K5874" i="1"/>
  <c r="L5874" i="1" s="1" a="1"/>
  <c r="L5874" i="1" s="1"/>
  <c r="K5873" i="1"/>
  <c r="L5873" i="1" s="1" a="1"/>
  <c r="L5873" i="1" s="1"/>
  <c r="K5872" i="1"/>
  <c r="L5872" i="1" s="1" a="1"/>
  <c r="L5872" i="1" s="1"/>
  <c r="L5871" i="1"/>
  <c r="K5871" i="1"/>
  <c r="L5871" i="1" s="1" a="1"/>
  <c r="L5870" i="1"/>
  <c r="K5870" i="1"/>
  <c r="L5870" i="1" s="1" a="1"/>
  <c r="K5869" i="1"/>
  <c r="L5869" i="1" s="1" a="1"/>
  <c r="L5869" i="1" s="1"/>
  <c r="K5868" i="1"/>
  <c r="L5868" i="1" s="1" a="1"/>
  <c r="L5868" i="1" s="1"/>
  <c r="K5867" i="1"/>
  <c r="L5867" i="1" s="1" a="1"/>
  <c r="L5867" i="1" s="1"/>
  <c r="K5866" i="1"/>
  <c r="L5866" i="1" s="1" a="1"/>
  <c r="L5866" i="1" s="1"/>
  <c r="K5865" i="1"/>
  <c r="L5865" i="1" s="1" a="1"/>
  <c r="L5865" i="1" s="1"/>
  <c r="L5864" i="1"/>
  <c r="K5864" i="1"/>
  <c r="L5864" i="1" s="1" a="1"/>
  <c r="L5863" i="1" a="1"/>
  <c r="L5863" i="1" s="1"/>
  <c r="K5863" i="1"/>
  <c r="K5862" i="1"/>
  <c r="L5862" i="1" s="1" a="1"/>
  <c r="L5862" i="1" s="1"/>
  <c r="L5861" i="1" a="1"/>
  <c r="L5861" i="1" s="1"/>
  <c r="K5861" i="1"/>
  <c r="K5860" i="1"/>
  <c r="L5860" i="1" s="1" a="1"/>
  <c r="L5860" i="1" s="1"/>
  <c r="L5859" i="1" a="1"/>
  <c r="L5859" i="1" s="1"/>
  <c r="K5859" i="1"/>
  <c r="L5858" i="1"/>
  <c r="K5858" i="1"/>
  <c r="L5858" i="1" s="1" a="1"/>
  <c r="L5857" i="1" a="1"/>
  <c r="L5857" i="1" s="1"/>
  <c r="K5857" i="1"/>
  <c r="K5856" i="1"/>
  <c r="L5856" i="1" s="1" a="1"/>
  <c r="L5856" i="1" s="1"/>
  <c r="K5855" i="1"/>
  <c r="L5855" i="1" s="1" a="1"/>
  <c r="L5855" i="1" s="1"/>
  <c r="L5854" i="1"/>
  <c r="K5854" i="1"/>
  <c r="L5854" i="1" s="1" a="1"/>
  <c r="K5853" i="1"/>
  <c r="L5853" i="1" s="1" a="1"/>
  <c r="L5853" i="1" s="1"/>
  <c r="L5852" i="1"/>
  <c r="K5852" i="1"/>
  <c r="L5852" i="1" s="1" a="1"/>
  <c r="L5851" i="1" a="1"/>
  <c r="L5851" i="1" s="1"/>
  <c r="K5851" i="1"/>
  <c r="K5850" i="1"/>
  <c r="L5850" i="1" s="1" a="1"/>
  <c r="L5850" i="1" s="1"/>
  <c r="L5849" i="1"/>
  <c r="K5849" i="1"/>
  <c r="L5849" i="1" s="1" a="1"/>
  <c r="K5848" i="1"/>
  <c r="L5848" i="1" s="1" a="1"/>
  <c r="L5848" i="1" s="1"/>
  <c r="L5847" i="1"/>
  <c r="K5847" i="1"/>
  <c r="L5847" i="1" s="1" a="1"/>
  <c r="L5846" i="1"/>
  <c r="K5846" i="1"/>
  <c r="L5846" i="1" s="1" a="1"/>
  <c r="K5845" i="1"/>
  <c r="L5845" i="1" s="1" a="1"/>
  <c r="L5845" i="1" s="1"/>
  <c r="K5844" i="1"/>
  <c r="L5844" i="1" s="1" a="1"/>
  <c r="L5844" i="1" s="1"/>
  <c r="K5843" i="1"/>
  <c r="L5843" i="1" s="1" a="1"/>
  <c r="L5843" i="1" s="1"/>
  <c r="K5842" i="1"/>
  <c r="L5842" i="1" s="1" a="1"/>
  <c r="L5842" i="1" s="1"/>
  <c r="K5841" i="1"/>
  <c r="L5841" i="1" s="1" a="1"/>
  <c r="L5841" i="1" s="1"/>
  <c r="L5840" i="1"/>
  <c r="K5840" i="1"/>
  <c r="L5840" i="1" s="1" a="1"/>
  <c r="L5839" i="1" a="1"/>
  <c r="L5839" i="1" s="1"/>
  <c r="K5839" i="1"/>
  <c r="K5838" i="1"/>
  <c r="L5838" i="1" s="1" a="1"/>
  <c r="L5838" i="1" s="1"/>
  <c r="L5837" i="1" a="1"/>
  <c r="L5837" i="1" s="1"/>
  <c r="K5837" i="1"/>
  <c r="K5836" i="1"/>
  <c r="L5836" i="1" s="1" a="1"/>
  <c r="L5836" i="1" s="1"/>
  <c r="L5835" i="1"/>
  <c r="L5835" i="1" a="1"/>
  <c r="K5835" i="1"/>
  <c r="L5834" i="1"/>
  <c r="K5834" i="1"/>
  <c r="L5834" i="1" s="1" a="1"/>
  <c r="L5833" i="1" a="1"/>
  <c r="L5833" i="1" s="1"/>
  <c r="K5833" i="1"/>
  <c r="K5832" i="1"/>
  <c r="L5832" i="1" s="1" a="1"/>
  <c r="L5832" i="1" s="1"/>
  <c r="K5831" i="1"/>
  <c r="L5831" i="1" s="1" a="1"/>
  <c r="L5831" i="1" s="1"/>
  <c r="L5830" i="1"/>
  <c r="K5830" i="1"/>
  <c r="L5830" i="1" s="1" a="1"/>
  <c r="K5829" i="1"/>
  <c r="L5829" i="1" s="1" a="1"/>
  <c r="L5829" i="1" s="1"/>
  <c r="L5828" i="1"/>
  <c r="K5828" i="1"/>
  <c r="L5828" i="1" s="1" a="1"/>
  <c r="L5827" i="1" a="1"/>
  <c r="L5827" i="1" s="1"/>
  <c r="K5827" i="1"/>
  <c r="K5826" i="1"/>
  <c r="L5826" i="1" s="1" a="1"/>
  <c r="L5826" i="1" s="1"/>
  <c r="L5825" i="1"/>
  <c r="K5825" i="1"/>
  <c r="L5825" i="1" s="1" a="1"/>
  <c r="K5824" i="1"/>
  <c r="L5824" i="1" s="1" a="1"/>
  <c r="L5824" i="1" s="1"/>
  <c r="K5823" i="1"/>
  <c r="L5823" i="1" s="1" a="1"/>
  <c r="L5823" i="1" s="1"/>
  <c r="L5822" i="1"/>
  <c r="K5822" i="1"/>
  <c r="L5822" i="1" s="1" a="1"/>
  <c r="L5821" i="1" a="1"/>
  <c r="L5821" i="1" s="1"/>
  <c r="K5821" i="1"/>
  <c r="K5820" i="1"/>
  <c r="L5820" i="1" s="1" a="1"/>
  <c r="L5820" i="1" s="1"/>
  <c r="K5819" i="1"/>
  <c r="L5819" i="1" s="1" a="1"/>
  <c r="L5819" i="1" s="1"/>
  <c r="K5818" i="1"/>
  <c r="L5818" i="1" s="1" a="1"/>
  <c r="L5818" i="1" s="1"/>
  <c r="K5817" i="1"/>
  <c r="L5817" i="1" s="1" a="1"/>
  <c r="L5817" i="1" s="1"/>
  <c r="L5816" i="1"/>
  <c r="K5816" i="1"/>
  <c r="L5816" i="1" s="1" a="1"/>
  <c r="L5815" i="1" a="1"/>
  <c r="L5815" i="1" s="1"/>
  <c r="K5815" i="1"/>
  <c r="K5814" i="1"/>
  <c r="L5814" i="1" s="1" a="1"/>
  <c r="L5814" i="1" s="1"/>
  <c r="L5813" i="1" a="1"/>
  <c r="L5813" i="1" s="1"/>
  <c r="K5813" i="1"/>
  <c r="K5812" i="1"/>
  <c r="L5812" i="1" s="1" a="1"/>
  <c r="L5812" i="1" s="1"/>
  <c r="L5811" i="1"/>
  <c r="L5811" i="1" a="1"/>
  <c r="K5811" i="1"/>
  <c r="L5810" i="1"/>
  <c r="K5810" i="1"/>
  <c r="L5810" i="1" s="1" a="1"/>
  <c r="L5809" i="1" a="1"/>
  <c r="L5809" i="1" s="1"/>
  <c r="K5809" i="1"/>
  <c r="K5808" i="1"/>
  <c r="L5808" i="1" s="1" a="1"/>
  <c r="L5808" i="1" s="1"/>
  <c r="K5807" i="1"/>
  <c r="L5807" i="1" s="1" a="1"/>
  <c r="L5807" i="1" s="1"/>
  <c r="L5806" i="1"/>
  <c r="K5806" i="1"/>
  <c r="L5806" i="1" s="1" a="1"/>
  <c r="K5805" i="1"/>
  <c r="L5805" i="1" s="1" a="1"/>
  <c r="L5805" i="1" s="1"/>
  <c r="L5804" i="1"/>
  <c r="K5804" i="1"/>
  <c r="L5804" i="1" s="1" a="1"/>
  <c r="L5803" i="1" a="1"/>
  <c r="L5803" i="1" s="1"/>
  <c r="K5803" i="1"/>
  <c r="K5802" i="1"/>
  <c r="L5802" i="1" s="1" a="1"/>
  <c r="L5802" i="1" s="1"/>
  <c r="L5801" i="1"/>
  <c r="K5801" i="1"/>
  <c r="L5801" i="1" s="1" a="1"/>
  <c r="K5800" i="1"/>
  <c r="L5800" i="1" s="1" a="1"/>
  <c r="L5800" i="1" s="1"/>
  <c r="K5799" i="1"/>
  <c r="L5799" i="1" s="1" a="1"/>
  <c r="L5799" i="1" s="1"/>
  <c r="L5798" i="1"/>
  <c r="K5798" i="1"/>
  <c r="L5798" i="1" s="1" a="1"/>
  <c r="K5797" i="1"/>
  <c r="L5797" i="1" s="1" a="1"/>
  <c r="L5797" i="1" s="1"/>
  <c r="K5796" i="1"/>
  <c r="L5796" i="1" s="1" a="1"/>
  <c r="L5796" i="1" s="1"/>
  <c r="K5795" i="1"/>
  <c r="L5795" i="1" s="1" a="1"/>
  <c r="L5795" i="1" s="1"/>
  <c r="K5794" i="1"/>
  <c r="L5794" i="1" s="1" a="1"/>
  <c r="L5794" i="1" s="1"/>
  <c r="K5793" i="1"/>
  <c r="L5793" i="1" s="1" a="1"/>
  <c r="L5793" i="1" s="1"/>
  <c r="K5792" i="1"/>
  <c r="L5792" i="1" s="1" a="1"/>
  <c r="L5792" i="1" s="1"/>
  <c r="L5791" i="1" a="1"/>
  <c r="L5791" i="1" s="1"/>
  <c r="K5791" i="1"/>
  <c r="K5790" i="1"/>
  <c r="L5790" i="1" s="1" a="1"/>
  <c r="L5790" i="1" s="1"/>
  <c r="K5789" i="1"/>
  <c r="L5789" i="1" s="1" a="1"/>
  <c r="L5789" i="1" s="1"/>
  <c r="K5788" i="1"/>
  <c r="L5788" i="1" s="1" a="1"/>
  <c r="L5788" i="1" s="1"/>
  <c r="L5787" i="1" a="1"/>
  <c r="L5787" i="1" s="1"/>
  <c r="K5787" i="1"/>
  <c r="L5786" i="1"/>
  <c r="K5786" i="1"/>
  <c r="L5786" i="1" s="1" a="1"/>
  <c r="L5785" i="1" a="1"/>
  <c r="L5785" i="1" s="1"/>
  <c r="K5785" i="1"/>
  <c r="K5784" i="1"/>
  <c r="L5784" i="1" s="1" a="1"/>
  <c r="L5784" i="1" s="1"/>
  <c r="K5783" i="1"/>
  <c r="L5783" i="1" s="1" a="1"/>
  <c r="L5783" i="1" s="1"/>
  <c r="L5782" i="1"/>
  <c r="K5782" i="1"/>
  <c r="L5782" i="1" s="1" a="1"/>
  <c r="K5781" i="1"/>
  <c r="L5781" i="1" s="1" a="1"/>
  <c r="L5781" i="1" s="1"/>
  <c r="L5780" i="1"/>
  <c r="K5780" i="1"/>
  <c r="L5780" i="1" s="1" a="1"/>
  <c r="L5779" i="1" a="1"/>
  <c r="L5779" i="1" s="1"/>
  <c r="K5779" i="1"/>
  <c r="K5778" i="1"/>
  <c r="L5778" i="1" s="1" a="1"/>
  <c r="L5778" i="1" s="1"/>
  <c r="K5777" i="1"/>
  <c r="L5777" i="1" s="1" a="1"/>
  <c r="L5777" i="1" s="1"/>
  <c r="K5776" i="1"/>
  <c r="L5776" i="1" s="1" a="1"/>
  <c r="L5776" i="1" s="1"/>
  <c r="K5775" i="1"/>
  <c r="L5775" i="1" s="1" a="1"/>
  <c r="L5775" i="1" s="1"/>
  <c r="L5774" i="1"/>
  <c r="K5774" i="1"/>
  <c r="L5774" i="1" s="1" a="1"/>
  <c r="K5773" i="1"/>
  <c r="L5773" i="1" s="1" a="1"/>
  <c r="L5773" i="1" s="1"/>
  <c r="K5772" i="1"/>
  <c r="L5772" i="1" s="1" a="1"/>
  <c r="L5772" i="1" s="1"/>
  <c r="K5771" i="1"/>
  <c r="L5771" i="1" s="1" a="1"/>
  <c r="L5771" i="1" s="1"/>
  <c r="K5770" i="1"/>
  <c r="L5770" i="1" s="1" a="1"/>
  <c r="L5770" i="1" s="1"/>
  <c r="K5769" i="1"/>
  <c r="L5769" i="1" s="1" a="1"/>
  <c r="L5769" i="1" s="1"/>
  <c r="L5768" i="1"/>
  <c r="K5768" i="1"/>
  <c r="L5768" i="1" s="1" a="1"/>
  <c r="L5767" i="1" a="1"/>
  <c r="L5767" i="1" s="1"/>
  <c r="K5767" i="1"/>
  <c r="K5766" i="1"/>
  <c r="L5766" i="1" s="1" a="1"/>
  <c r="L5766" i="1" s="1"/>
  <c r="K5765" i="1"/>
  <c r="L5765" i="1" s="1" a="1"/>
  <c r="L5765" i="1" s="1"/>
  <c r="K5764" i="1"/>
  <c r="L5764" i="1" s="1" a="1"/>
  <c r="L5764" i="1" s="1"/>
  <c r="L5763" i="1"/>
  <c r="L5763" i="1" a="1"/>
  <c r="K5763" i="1"/>
  <c r="L5762" i="1"/>
  <c r="K5762" i="1"/>
  <c r="L5762" i="1" s="1" a="1"/>
  <c r="L5761" i="1" a="1"/>
  <c r="L5761" i="1" s="1"/>
  <c r="K5761" i="1"/>
  <c r="K5760" i="1"/>
  <c r="L5760" i="1" s="1" a="1"/>
  <c r="L5760" i="1" s="1"/>
  <c r="K5759" i="1"/>
  <c r="L5759" i="1" s="1" a="1"/>
  <c r="L5759" i="1" s="1"/>
  <c r="L5758" i="1"/>
  <c r="K5758" i="1"/>
  <c r="L5758" i="1" s="1" a="1"/>
  <c r="K5757" i="1"/>
  <c r="L5757" i="1" s="1" a="1"/>
  <c r="L5757" i="1" s="1"/>
  <c r="L5756" i="1"/>
  <c r="K5756" i="1"/>
  <c r="L5756" i="1" s="1" a="1"/>
  <c r="L5755" i="1" a="1"/>
  <c r="L5755" i="1" s="1"/>
  <c r="K5755" i="1"/>
  <c r="K5754" i="1"/>
  <c r="L5754" i="1" s="1" a="1"/>
  <c r="L5754" i="1" s="1"/>
  <c r="L5753" i="1"/>
  <c r="K5753" i="1"/>
  <c r="L5753" i="1" s="1" a="1"/>
  <c r="K5752" i="1"/>
  <c r="L5752" i="1" s="1" a="1"/>
  <c r="L5752" i="1" s="1"/>
  <c r="L5751" i="1"/>
  <c r="K5751" i="1"/>
  <c r="L5751" i="1" s="1" a="1"/>
  <c r="L5750" i="1"/>
  <c r="K5750" i="1"/>
  <c r="L5750" i="1" s="1" a="1"/>
  <c r="L5749" i="1" a="1"/>
  <c r="L5749" i="1" s="1"/>
  <c r="K5749" i="1"/>
  <c r="K5748" i="1"/>
  <c r="L5748" i="1" s="1" a="1"/>
  <c r="L5748" i="1" s="1"/>
  <c r="K5747" i="1"/>
  <c r="L5747" i="1" s="1" a="1"/>
  <c r="L5747" i="1" s="1"/>
  <c r="K5746" i="1"/>
  <c r="L5746" i="1" s="1" a="1"/>
  <c r="L5746" i="1" s="1"/>
  <c r="K5745" i="1"/>
  <c r="L5745" i="1" s="1" a="1"/>
  <c r="L5745" i="1" s="1"/>
  <c r="K5744" i="1"/>
  <c r="L5744" i="1" s="1" a="1"/>
  <c r="L5744" i="1" s="1"/>
  <c r="L5743" i="1" a="1"/>
  <c r="L5743" i="1" s="1"/>
  <c r="K5743" i="1"/>
  <c r="K5742" i="1"/>
  <c r="L5742" i="1" s="1" a="1"/>
  <c r="L5742" i="1" s="1"/>
  <c r="K5741" i="1"/>
  <c r="L5741" i="1" s="1" a="1"/>
  <c r="L5741" i="1" s="1"/>
  <c r="K5740" i="1"/>
  <c r="L5740" i="1" s="1" a="1"/>
  <c r="L5740" i="1" s="1"/>
  <c r="L5739" i="1"/>
  <c r="L5739" i="1" a="1"/>
  <c r="K5739" i="1"/>
  <c r="L5738" i="1"/>
  <c r="K5738" i="1"/>
  <c r="L5738" i="1" s="1" a="1"/>
  <c r="L5737" i="1" a="1"/>
  <c r="L5737" i="1" s="1"/>
  <c r="K5737" i="1"/>
  <c r="K5736" i="1"/>
  <c r="L5736" i="1" s="1" a="1"/>
  <c r="L5736" i="1" s="1"/>
  <c r="K5735" i="1"/>
  <c r="L5735" i="1" s="1" a="1"/>
  <c r="L5735" i="1" s="1"/>
  <c r="L5734" i="1"/>
  <c r="K5734" i="1"/>
  <c r="L5734" i="1" s="1" a="1"/>
  <c r="K5733" i="1"/>
  <c r="L5733" i="1" s="1" a="1"/>
  <c r="L5733" i="1" s="1"/>
  <c r="L5732" i="1"/>
  <c r="K5732" i="1"/>
  <c r="L5732" i="1" s="1" a="1"/>
  <c r="L5731" i="1" a="1"/>
  <c r="L5731" i="1" s="1"/>
  <c r="K5731" i="1"/>
  <c r="K5730" i="1"/>
  <c r="L5730" i="1" s="1" a="1"/>
  <c r="L5730" i="1" s="1"/>
  <c r="K5729" i="1"/>
  <c r="L5729" i="1" s="1" a="1"/>
  <c r="L5729" i="1" s="1"/>
  <c r="K5728" i="1"/>
  <c r="L5728" i="1" s="1" a="1"/>
  <c r="L5728" i="1" s="1"/>
  <c r="K5727" i="1"/>
  <c r="L5727" i="1" s="1" a="1"/>
  <c r="L5727" i="1" s="1"/>
  <c r="L5726" i="1"/>
  <c r="K5726" i="1"/>
  <c r="L5726" i="1" s="1" a="1"/>
  <c r="K5725" i="1"/>
  <c r="L5725" i="1" s="1" a="1"/>
  <c r="L5725" i="1" s="1"/>
  <c r="K5724" i="1"/>
  <c r="L5724" i="1" s="1" a="1"/>
  <c r="L5724" i="1" s="1"/>
  <c r="K5723" i="1"/>
  <c r="L5723" i="1" s="1" a="1"/>
  <c r="L5723" i="1" s="1"/>
  <c r="K5722" i="1"/>
  <c r="L5722" i="1" s="1" a="1"/>
  <c r="L5722" i="1" s="1"/>
  <c r="K5721" i="1"/>
  <c r="L5721" i="1" s="1" a="1"/>
  <c r="L5721" i="1" s="1"/>
  <c r="K5720" i="1"/>
  <c r="L5720" i="1" s="1" a="1"/>
  <c r="L5720" i="1" s="1"/>
  <c r="L5719" i="1" a="1"/>
  <c r="L5719" i="1" s="1"/>
  <c r="K5719" i="1"/>
  <c r="K5718" i="1"/>
  <c r="L5718" i="1" s="1" a="1"/>
  <c r="L5718" i="1" s="1"/>
  <c r="K5717" i="1"/>
  <c r="L5717" i="1" s="1" a="1"/>
  <c r="L5717" i="1" s="1"/>
  <c r="K5716" i="1"/>
  <c r="L5716" i="1" s="1" a="1"/>
  <c r="L5716" i="1" s="1"/>
  <c r="L5715" i="1"/>
  <c r="K5715" i="1"/>
  <c r="L5715" i="1" s="1" a="1"/>
  <c r="K5714" i="1"/>
  <c r="L5714" i="1" s="1" a="1"/>
  <c r="L5714" i="1" s="1"/>
  <c r="L5713" i="1"/>
  <c r="K5713" i="1"/>
  <c r="L5713" i="1" s="1" a="1"/>
  <c r="K5712" i="1"/>
  <c r="L5712" i="1" s="1" a="1"/>
  <c r="L5712" i="1" s="1"/>
  <c r="L5711" i="1"/>
  <c r="L5711" i="1" a="1"/>
  <c r="K5711" i="1"/>
  <c r="K5710" i="1"/>
  <c r="L5710" i="1" s="1" a="1"/>
  <c r="L5710" i="1" s="1"/>
  <c r="L5709" i="1"/>
  <c r="K5709" i="1"/>
  <c r="L5709" i="1" s="1" a="1"/>
  <c r="K5708" i="1"/>
  <c r="L5708" i="1" s="1" a="1"/>
  <c r="L5708" i="1" s="1"/>
  <c r="L5707" i="1"/>
  <c r="L5707" i="1" a="1"/>
  <c r="K5707" i="1"/>
  <c r="K5706" i="1"/>
  <c r="L5706" i="1" s="1" a="1"/>
  <c r="L5706" i="1" s="1"/>
  <c r="K5705" i="1"/>
  <c r="L5705" i="1" s="1" a="1"/>
  <c r="L5705" i="1" s="1"/>
  <c r="K5704" i="1"/>
  <c r="L5704" i="1" s="1" a="1"/>
  <c r="L5704" i="1" s="1"/>
  <c r="L5703" i="1" a="1"/>
  <c r="L5703" i="1" s="1"/>
  <c r="K5703" i="1"/>
  <c r="K5702" i="1"/>
  <c r="L5702" i="1" s="1" a="1"/>
  <c r="L5702" i="1" s="1"/>
  <c r="L5701" i="1"/>
  <c r="K5701" i="1"/>
  <c r="L5701" i="1" s="1" a="1"/>
  <c r="K5700" i="1"/>
  <c r="L5700" i="1" s="1" a="1"/>
  <c r="L5700" i="1" s="1"/>
  <c r="L5699" i="1" a="1"/>
  <c r="L5699" i="1" s="1"/>
  <c r="K5699" i="1"/>
  <c r="K5698" i="1"/>
  <c r="L5698" i="1" s="1" a="1"/>
  <c r="L5698" i="1" s="1"/>
  <c r="K5697" i="1"/>
  <c r="L5697" i="1" s="1" a="1"/>
  <c r="L5697" i="1" s="1"/>
  <c r="K5696" i="1"/>
  <c r="L5696" i="1" s="1" a="1"/>
  <c r="L5696" i="1" s="1"/>
  <c r="L5695" i="1"/>
  <c r="L5695" i="1" a="1"/>
  <c r="K5695" i="1"/>
  <c r="K5694" i="1"/>
  <c r="L5694" i="1" s="1" a="1"/>
  <c r="L5694" i="1" s="1"/>
  <c r="K5693" i="1"/>
  <c r="L5693" i="1" s="1" a="1"/>
  <c r="L5693" i="1" s="1"/>
  <c r="K5692" i="1"/>
  <c r="L5692" i="1" s="1" a="1"/>
  <c r="L5692" i="1" s="1"/>
  <c r="L5691" i="1" a="1"/>
  <c r="L5691" i="1" s="1"/>
  <c r="K5691" i="1"/>
  <c r="K5690" i="1"/>
  <c r="L5690" i="1" s="1" a="1"/>
  <c r="L5690" i="1" s="1"/>
  <c r="K5689" i="1"/>
  <c r="L5689" i="1" s="1" a="1"/>
  <c r="L5689" i="1" s="1"/>
  <c r="K5688" i="1"/>
  <c r="L5688" i="1" s="1" a="1"/>
  <c r="L5688" i="1" s="1"/>
  <c r="L5687" i="1"/>
  <c r="L5687" i="1" a="1"/>
  <c r="K5687" i="1"/>
  <c r="K5686" i="1"/>
  <c r="L5686" i="1" s="1" a="1"/>
  <c r="L5686" i="1" s="1"/>
  <c r="K5685" i="1"/>
  <c r="L5685" i="1" s="1" a="1"/>
  <c r="L5685" i="1" s="1"/>
  <c r="K5684" i="1"/>
  <c r="L5684" i="1" s="1" a="1"/>
  <c r="L5684" i="1" s="1"/>
  <c r="L5683" i="1" a="1"/>
  <c r="L5683" i="1" s="1"/>
  <c r="K5683" i="1"/>
  <c r="K5682" i="1"/>
  <c r="L5682" i="1" s="1" a="1"/>
  <c r="L5682" i="1" s="1"/>
  <c r="K5681" i="1"/>
  <c r="L5681" i="1" s="1" a="1"/>
  <c r="L5681" i="1" s="1"/>
  <c r="K5680" i="1"/>
  <c r="L5680" i="1" s="1" a="1"/>
  <c r="L5680" i="1" s="1"/>
  <c r="L5679" i="1" a="1"/>
  <c r="L5679" i="1" s="1"/>
  <c r="K5679" i="1"/>
  <c r="K5678" i="1"/>
  <c r="L5678" i="1" s="1" a="1"/>
  <c r="L5678" i="1" s="1"/>
  <c r="L5677" i="1"/>
  <c r="K5677" i="1"/>
  <c r="L5677" i="1" s="1" a="1"/>
  <c r="K5676" i="1"/>
  <c r="L5676" i="1" s="1" a="1"/>
  <c r="L5676" i="1" s="1"/>
  <c r="L5675" i="1" a="1"/>
  <c r="L5675" i="1" s="1"/>
  <c r="K5675" i="1"/>
  <c r="K5674" i="1"/>
  <c r="L5674" i="1" s="1" a="1"/>
  <c r="L5674" i="1" s="1"/>
  <c r="L5673" i="1"/>
  <c r="K5673" i="1"/>
  <c r="L5673" i="1" s="1" a="1"/>
  <c r="K5672" i="1"/>
  <c r="L5672" i="1" s="1" a="1"/>
  <c r="L5672" i="1" s="1"/>
  <c r="L5671" i="1" a="1"/>
  <c r="L5671" i="1" s="1"/>
  <c r="K5671" i="1"/>
  <c r="K5670" i="1"/>
  <c r="L5670" i="1" s="1" a="1"/>
  <c r="L5670" i="1" s="1"/>
  <c r="L5669" i="1"/>
  <c r="K5669" i="1"/>
  <c r="L5669" i="1" s="1" a="1"/>
  <c r="K5668" i="1"/>
  <c r="L5668" i="1" s="1" a="1"/>
  <c r="L5668" i="1" s="1"/>
  <c r="L5667" i="1" a="1"/>
  <c r="L5667" i="1" s="1"/>
  <c r="K5667" i="1"/>
  <c r="K5666" i="1"/>
  <c r="L5666" i="1" s="1" a="1"/>
  <c r="L5666" i="1" s="1"/>
  <c r="L5665" i="1"/>
  <c r="K5665" i="1"/>
  <c r="L5665" i="1" s="1" a="1"/>
  <c r="K5664" i="1"/>
  <c r="L5664" i="1" s="1" a="1"/>
  <c r="L5664" i="1" s="1"/>
  <c r="L5663" i="1"/>
  <c r="L5663" i="1" a="1"/>
  <c r="K5663" i="1"/>
  <c r="K5662" i="1"/>
  <c r="L5662" i="1" s="1" a="1"/>
  <c r="L5662" i="1" s="1"/>
  <c r="L5661" i="1"/>
  <c r="K5661" i="1"/>
  <c r="L5661" i="1" s="1" a="1"/>
  <c r="K5660" i="1"/>
  <c r="L5660" i="1" s="1" a="1"/>
  <c r="L5660" i="1" s="1"/>
  <c r="L5659" i="1"/>
  <c r="L5659" i="1" a="1"/>
  <c r="K5659" i="1"/>
  <c r="K5658" i="1"/>
  <c r="L5658" i="1" s="1" a="1"/>
  <c r="L5658" i="1" s="1"/>
  <c r="L5657" i="1"/>
  <c r="K5657" i="1"/>
  <c r="L5657" i="1" s="1" a="1"/>
  <c r="K5656" i="1"/>
  <c r="L5656" i="1" s="1" a="1"/>
  <c r="L5656" i="1" s="1"/>
  <c r="L5655" i="1"/>
  <c r="L5655" i="1" a="1"/>
  <c r="K5655" i="1"/>
  <c r="K5654" i="1"/>
  <c r="L5654" i="1" s="1" a="1"/>
  <c r="L5654" i="1" s="1"/>
  <c r="L5653" i="1"/>
  <c r="K5653" i="1"/>
  <c r="L5653" i="1" s="1" a="1"/>
  <c r="K5652" i="1"/>
  <c r="L5652" i="1" s="1" a="1"/>
  <c r="L5652" i="1" s="1"/>
  <c r="L5651" i="1" a="1"/>
  <c r="L5651" i="1" s="1"/>
  <c r="K5651" i="1"/>
  <c r="K5650" i="1"/>
  <c r="L5650" i="1" s="1" a="1"/>
  <c r="L5650" i="1" s="1"/>
  <c r="K5649" i="1"/>
  <c r="L5649" i="1" s="1" a="1"/>
  <c r="L5649" i="1" s="1"/>
  <c r="K5648" i="1"/>
  <c r="L5648" i="1" s="1" a="1"/>
  <c r="L5648" i="1" s="1"/>
  <c r="L5647" i="1"/>
  <c r="L5647" i="1" a="1"/>
  <c r="K5647" i="1"/>
  <c r="K5646" i="1"/>
  <c r="L5646" i="1" s="1" a="1"/>
  <c r="L5646" i="1" s="1"/>
  <c r="K5645" i="1"/>
  <c r="L5645" i="1" s="1" a="1"/>
  <c r="L5645" i="1" s="1"/>
  <c r="K5644" i="1"/>
  <c r="L5644" i="1" s="1" a="1"/>
  <c r="L5644" i="1" s="1"/>
  <c r="L5643" i="1" a="1"/>
  <c r="L5643" i="1" s="1"/>
  <c r="K5643" i="1"/>
  <c r="K5642" i="1"/>
  <c r="L5642" i="1" s="1" a="1"/>
  <c r="L5642" i="1" s="1"/>
  <c r="L5641" i="1"/>
  <c r="K5641" i="1"/>
  <c r="L5641" i="1" s="1" a="1"/>
  <c r="K5640" i="1"/>
  <c r="L5640" i="1" s="1" a="1"/>
  <c r="L5640" i="1" s="1"/>
  <c r="L5639" i="1"/>
  <c r="L5639" i="1" a="1"/>
  <c r="K5639" i="1"/>
  <c r="K5638" i="1"/>
  <c r="L5638" i="1" s="1" a="1"/>
  <c r="L5638" i="1" s="1"/>
  <c r="K5637" i="1"/>
  <c r="L5637" i="1" s="1" a="1"/>
  <c r="L5637" i="1" s="1"/>
  <c r="K5636" i="1"/>
  <c r="L5636" i="1" s="1" a="1"/>
  <c r="L5636" i="1" s="1"/>
  <c r="L5635" i="1" a="1"/>
  <c r="L5635" i="1" s="1"/>
  <c r="K5635" i="1"/>
  <c r="K5634" i="1"/>
  <c r="L5634" i="1" s="1" a="1"/>
  <c r="L5634" i="1" s="1"/>
  <c r="K5633" i="1"/>
  <c r="L5633" i="1" s="1" a="1"/>
  <c r="L5633" i="1" s="1"/>
  <c r="K5632" i="1"/>
  <c r="L5632" i="1" s="1" a="1"/>
  <c r="L5632" i="1" s="1"/>
  <c r="L5631" i="1" a="1"/>
  <c r="L5631" i="1" s="1"/>
  <c r="K5631" i="1"/>
  <c r="K5630" i="1"/>
  <c r="L5630" i="1" s="1" a="1"/>
  <c r="L5630" i="1" s="1"/>
  <c r="L5629" i="1"/>
  <c r="K5629" i="1"/>
  <c r="L5629" i="1" s="1" a="1"/>
  <c r="K5628" i="1"/>
  <c r="L5628" i="1" s="1" a="1"/>
  <c r="L5628" i="1" s="1"/>
  <c r="L5627" i="1" a="1"/>
  <c r="L5627" i="1" s="1"/>
  <c r="K5627" i="1"/>
  <c r="K5626" i="1"/>
  <c r="L5626" i="1" s="1" a="1"/>
  <c r="L5626" i="1" s="1"/>
  <c r="L5625" i="1"/>
  <c r="K5625" i="1"/>
  <c r="L5625" i="1" s="1" a="1"/>
  <c r="K5624" i="1"/>
  <c r="L5624" i="1" s="1" a="1"/>
  <c r="L5624" i="1" s="1"/>
  <c r="L5623" i="1" a="1"/>
  <c r="L5623" i="1" s="1"/>
  <c r="K5623" i="1"/>
  <c r="K5622" i="1"/>
  <c r="L5622" i="1" s="1" a="1"/>
  <c r="L5622" i="1" s="1"/>
  <c r="K5621" i="1"/>
  <c r="L5621" i="1" s="1" a="1"/>
  <c r="L5621" i="1" s="1"/>
  <c r="K5620" i="1"/>
  <c r="L5620" i="1" s="1" a="1"/>
  <c r="L5620" i="1" s="1"/>
  <c r="L5619" i="1" a="1"/>
  <c r="L5619" i="1" s="1"/>
  <c r="K5619" i="1"/>
  <c r="K5618" i="1"/>
  <c r="L5618" i="1" s="1" a="1"/>
  <c r="L5618" i="1" s="1"/>
  <c r="L5617" i="1"/>
  <c r="K5617" i="1"/>
  <c r="L5617" i="1" s="1" a="1"/>
  <c r="K5616" i="1"/>
  <c r="L5616" i="1" s="1" a="1"/>
  <c r="L5616" i="1" s="1"/>
  <c r="L5615" i="1" a="1"/>
  <c r="L5615" i="1" s="1"/>
  <c r="K5615" i="1"/>
  <c r="K5614" i="1"/>
  <c r="L5614" i="1" s="1" a="1"/>
  <c r="L5614" i="1" s="1"/>
  <c r="L5613" i="1"/>
  <c r="K5613" i="1"/>
  <c r="L5613" i="1" s="1" a="1"/>
  <c r="K5612" i="1"/>
  <c r="L5612" i="1" s="1" a="1"/>
  <c r="L5612" i="1" s="1"/>
  <c r="L5611" i="1"/>
  <c r="L5611" i="1" a="1"/>
  <c r="K5611" i="1"/>
  <c r="K5610" i="1"/>
  <c r="L5610" i="1" s="1" a="1"/>
  <c r="L5610" i="1" s="1"/>
  <c r="L5609" i="1"/>
  <c r="K5609" i="1"/>
  <c r="L5609" i="1" s="1" a="1"/>
  <c r="K5608" i="1"/>
  <c r="L5608" i="1" s="1" a="1"/>
  <c r="L5608" i="1" s="1"/>
  <c r="L5607" i="1"/>
  <c r="L5607" i="1" a="1"/>
  <c r="K5607" i="1"/>
  <c r="K5606" i="1"/>
  <c r="L5606" i="1" s="1" a="1"/>
  <c r="L5606" i="1" s="1"/>
  <c r="L5605" i="1"/>
  <c r="K5605" i="1"/>
  <c r="L5605" i="1" s="1" a="1"/>
  <c r="K5604" i="1"/>
  <c r="L5604" i="1" s="1" a="1"/>
  <c r="L5604" i="1" s="1"/>
  <c r="L5603" i="1" a="1"/>
  <c r="L5603" i="1" s="1"/>
  <c r="K5603" i="1"/>
  <c r="K5602" i="1"/>
  <c r="L5602" i="1" s="1" a="1"/>
  <c r="L5602" i="1" s="1"/>
  <c r="K5601" i="1"/>
  <c r="L5601" i="1" s="1" a="1"/>
  <c r="L5601" i="1" s="1"/>
  <c r="K5600" i="1"/>
  <c r="L5600" i="1" s="1" a="1"/>
  <c r="L5600" i="1" s="1"/>
  <c r="L5599" i="1"/>
  <c r="L5599" i="1" a="1"/>
  <c r="K5599" i="1"/>
  <c r="K5598" i="1"/>
  <c r="L5598" i="1" s="1" a="1"/>
  <c r="L5598" i="1" s="1"/>
  <c r="K5597" i="1"/>
  <c r="L5597" i="1" s="1" a="1"/>
  <c r="L5597" i="1" s="1"/>
  <c r="K5596" i="1"/>
  <c r="L5596" i="1" s="1" a="1"/>
  <c r="L5596" i="1" s="1"/>
  <c r="L5595" i="1" a="1"/>
  <c r="L5595" i="1" s="1"/>
  <c r="K5595" i="1"/>
  <c r="K5594" i="1"/>
  <c r="L5594" i="1" s="1" a="1"/>
  <c r="L5594" i="1" s="1"/>
  <c r="K5593" i="1"/>
  <c r="L5593" i="1" s="1" a="1"/>
  <c r="L5593" i="1" s="1"/>
  <c r="K5592" i="1"/>
  <c r="L5592" i="1" s="1" a="1"/>
  <c r="L5592" i="1" s="1"/>
  <c r="L5591" i="1"/>
  <c r="L5591" i="1" a="1"/>
  <c r="K5591" i="1"/>
  <c r="K5590" i="1"/>
  <c r="L5590" i="1" s="1" a="1"/>
  <c r="L5590" i="1" s="1"/>
  <c r="K5589" i="1"/>
  <c r="L5589" i="1" s="1" a="1"/>
  <c r="L5589" i="1" s="1"/>
  <c r="K5588" i="1"/>
  <c r="L5588" i="1" s="1" a="1"/>
  <c r="L5588" i="1" s="1"/>
  <c r="L5587" i="1" a="1"/>
  <c r="L5587" i="1" s="1"/>
  <c r="K5587" i="1"/>
  <c r="K5586" i="1"/>
  <c r="L5586" i="1" s="1" a="1"/>
  <c r="L5586" i="1" s="1"/>
  <c r="K5585" i="1"/>
  <c r="L5585" i="1" s="1" a="1"/>
  <c r="L5585" i="1" s="1"/>
  <c r="K5584" i="1"/>
  <c r="L5584" i="1" s="1" a="1"/>
  <c r="L5584" i="1" s="1"/>
  <c r="L5583" i="1" a="1"/>
  <c r="L5583" i="1" s="1"/>
  <c r="K5583" i="1"/>
  <c r="K5582" i="1"/>
  <c r="L5582" i="1" s="1" a="1"/>
  <c r="L5582" i="1" s="1"/>
  <c r="L5581" i="1"/>
  <c r="K5581" i="1"/>
  <c r="L5581" i="1" s="1" a="1"/>
  <c r="K5580" i="1"/>
  <c r="L5580" i="1" s="1" a="1"/>
  <c r="L5580" i="1" s="1"/>
  <c r="L5579" i="1"/>
  <c r="L5579" i="1" a="1"/>
  <c r="K5579" i="1"/>
  <c r="K5578" i="1"/>
  <c r="L5578" i="1" s="1" a="1"/>
  <c r="L5578" i="1" s="1"/>
  <c r="K5577" i="1"/>
  <c r="L5577" i="1" s="1" a="1"/>
  <c r="L5577" i="1" s="1"/>
  <c r="K5576" i="1"/>
  <c r="L5576" i="1" s="1" a="1"/>
  <c r="L5576" i="1" s="1"/>
  <c r="L5575" i="1" a="1"/>
  <c r="L5575" i="1" s="1"/>
  <c r="K5575" i="1"/>
  <c r="K5574" i="1"/>
  <c r="L5574" i="1" s="1" a="1"/>
  <c r="L5574" i="1" s="1"/>
  <c r="K5573" i="1"/>
  <c r="L5573" i="1" s="1" a="1"/>
  <c r="L5573" i="1" s="1"/>
  <c r="K5572" i="1"/>
  <c r="L5572" i="1" s="1" a="1"/>
  <c r="L5572" i="1" s="1"/>
  <c r="L5571" i="1" a="1"/>
  <c r="L5571" i="1" s="1"/>
  <c r="K5571" i="1"/>
  <c r="K5570" i="1"/>
  <c r="L5570" i="1" s="1" a="1"/>
  <c r="L5570" i="1" s="1"/>
  <c r="L5569" i="1"/>
  <c r="K5569" i="1"/>
  <c r="L5569" i="1" s="1" a="1"/>
  <c r="K5568" i="1"/>
  <c r="L5568" i="1" s="1" a="1"/>
  <c r="L5568" i="1" s="1"/>
  <c r="L5567" i="1" a="1"/>
  <c r="L5567" i="1" s="1"/>
  <c r="K5567" i="1"/>
  <c r="K5566" i="1"/>
  <c r="L5566" i="1" s="1" a="1"/>
  <c r="L5566" i="1" s="1"/>
  <c r="L5565" i="1"/>
  <c r="K5565" i="1"/>
  <c r="L5565" i="1" s="1" a="1"/>
  <c r="K5564" i="1"/>
  <c r="L5564" i="1" s="1" a="1"/>
  <c r="L5564" i="1" s="1"/>
  <c r="L5563" i="1" a="1"/>
  <c r="L5563" i="1" s="1"/>
  <c r="K5563" i="1"/>
  <c r="K5562" i="1"/>
  <c r="L5562" i="1" s="1" a="1"/>
  <c r="L5562" i="1" s="1"/>
  <c r="L5561" i="1"/>
  <c r="K5561" i="1"/>
  <c r="L5561" i="1" s="1" a="1"/>
  <c r="K5560" i="1"/>
  <c r="L5560" i="1" s="1" a="1"/>
  <c r="L5560" i="1" s="1"/>
  <c r="L5559" i="1"/>
  <c r="L5559" i="1" a="1"/>
  <c r="K5559" i="1"/>
  <c r="K5558" i="1"/>
  <c r="L5558" i="1" s="1" a="1"/>
  <c r="L5558" i="1" s="1"/>
  <c r="L5557" i="1"/>
  <c r="K5557" i="1"/>
  <c r="L5557" i="1" s="1" a="1"/>
  <c r="K5556" i="1"/>
  <c r="L5556" i="1" s="1" a="1"/>
  <c r="L5556" i="1" s="1"/>
  <c r="L5555" i="1" a="1"/>
  <c r="L5555" i="1" s="1"/>
  <c r="K5555" i="1"/>
  <c r="K5554" i="1"/>
  <c r="L5554" i="1" s="1" a="1"/>
  <c r="L5554" i="1" s="1"/>
  <c r="K5553" i="1"/>
  <c r="L5553" i="1" s="1" a="1"/>
  <c r="L5553" i="1" s="1"/>
  <c r="K5552" i="1"/>
  <c r="L5552" i="1" s="1" a="1"/>
  <c r="L5552" i="1" s="1"/>
  <c r="L5551" i="1"/>
  <c r="L5551" i="1" a="1"/>
  <c r="K5551" i="1"/>
  <c r="K5550" i="1"/>
  <c r="L5550" i="1" s="1" a="1"/>
  <c r="L5550" i="1" s="1"/>
  <c r="L5549" i="1"/>
  <c r="K5549" i="1"/>
  <c r="L5549" i="1" s="1" a="1"/>
  <c r="K5548" i="1"/>
  <c r="L5548" i="1" s="1" a="1"/>
  <c r="L5548" i="1" s="1"/>
  <c r="L5547" i="1" a="1"/>
  <c r="L5547" i="1" s="1"/>
  <c r="K5547" i="1"/>
  <c r="K5546" i="1"/>
  <c r="L5546" i="1" s="1" a="1"/>
  <c r="L5546" i="1" s="1"/>
  <c r="K5545" i="1"/>
  <c r="L5545" i="1" s="1" a="1"/>
  <c r="L5545" i="1" s="1"/>
  <c r="K5544" i="1"/>
  <c r="L5544" i="1" s="1" a="1"/>
  <c r="L5544" i="1" s="1"/>
  <c r="L5543" i="1"/>
  <c r="L5543" i="1" a="1"/>
  <c r="K5543" i="1"/>
  <c r="K5542" i="1"/>
  <c r="L5542" i="1" s="1" a="1"/>
  <c r="L5542" i="1" s="1"/>
  <c r="K5541" i="1"/>
  <c r="L5541" i="1" s="1" a="1"/>
  <c r="L5541" i="1" s="1"/>
  <c r="K5540" i="1"/>
  <c r="L5540" i="1" s="1" a="1"/>
  <c r="L5540" i="1" s="1"/>
  <c r="L5539" i="1" a="1"/>
  <c r="L5539" i="1" s="1"/>
  <c r="K5539" i="1"/>
  <c r="K5538" i="1"/>
  <c r="L5538" i="1" s="1" a="1"/>
  <c r="L5538" i="1" s="1"/>
  <c r="K5537" i="1"/>
  <c r="L5537" i="1" s="1" a="1"/>
  <c r="L5537" i="1" s="1"/>
  <c r="K5536" i="1"/>
  <c r="L5536" i="1" s="1" a="1"/>
  <c r="L5536" i="1" s="1"/>
  <c r="L5535" i="1"/>
  <c r="L5535" i="1" a="1"/>
  <c r="K5535" i="1"/>
  <c r="K5534" i="1"/>
  <c r="L5534" i="1" s="1" a="1"/>
  <c r="L5534" i="1" s="1"/>
  <c r="K5533" i="1"/>
  <c r="L5533" i="1" s="1" a="1"/>
  <c r="L5533" i="1" s="1"/>
  <c r="K5532" i="1"/>
  <c r="L5532" i="1" s="1" a="1"/>
  <c r="L5532" i="1" s="1"/>
  <c r="L5531" i="1" a="1"/>
  <c r="L5531" i="1" s="1"/>
  <c r="K5531" i="1"/>
  <c r="L5530" i="1"/>
  <c r="K5530" i="1"/>
  <c r="L5530" i="1" s="1" a="1"/>
  <c r="K5529" i="1"/>
  <c r="L5529" i="1" s="1" a="1"/>
  <c r="L5529" i="1" s="1"/>
  <c r="L5528" i="1"/>
  <c r="K5528" i="1"/>
  <c r="L5528" i="1" s="1" a="1"/>
  <c r="L5527" i="1" a="1"/>
  <c r="L5527" i="1" s="1"/>
  <c r="K5527" i="1"/>
  <c r="K5526" i="1"/>
  <c r="L5526" i="1" s="1" a="1"/>
  <c r="L5526" i="1" s="1"/>
  <c r="K5525" i="1"/>
  <c r="L5525" i="1" s="1" a="1"/>
  <c r="L5525" i="1" s="1"/>
  <c r="L5524" i="1"/>
  <c r="K5524" i="1"/>
  <c r="L5524" i="1" s="1" a="1"/>
  <c r="L5523" i="1" a="1"/>
  <c r="L5523" i="1" s="1"/>
  <c r="K5523" i="1"/>
  <c r="L5522" i="1"/>
  <c r="K5522" i="1"/>
  <c r="L5522" i="1" s="1" a="1"/>
  <c r="L5521" i="1"/>
  <c r="K5521" i="1"/>
  <c r="L5521" i="1" s="1" a="1"/>
  <c r="L5520" i="1"/>
  <c r="K5520" i="1"/>
  <c r="L5520" i="1" s="1" a="1"/>
  <c r="L5519" i="1"/>
  <c r="L5519" i="1" a="1"/>
  <c r="K5519" i="1"/>
  <c r="K5518" i="1"/>
  <c r="L5518" i="1" s="1" a="1"/>
  <c r="L5518" i="1" s="1"/>
  <c r="K5517" i="1"/>
  <c r="L5517" i="1" s="1" a="1"/>
  <c r="L5517" i="1" s="1"/>
  <c r="K5516" i="1"/>
  <c r="L5516" i="1" s="1" a="1"/>
  <c r="L5516" i="1" s="1"/>
  <c r="L5515" i="1" a="1"/>
  <c r="L5515" i="1" s="1"/>
  <c r="K5515" i="1"/>
  <c r="L5514" i="1"/>
  <c r="K5514" i="1"/>
  <c r="L5514" i="1" s="1" a="1"/>
  <c r="K5513" i="1"/>
  <c r="L5513" i="1" s="1" a="1"/>
  <c r="L5513" i="1" s="1"/>
  <c r="L5512" i="1"/>
  <c r="K5512" i="1"/>
  <c r="L5512" i="1" s="1" a="1"/>
  <c r="L5511" i="1" a="1"/>
  <c r="L5511" i="1" s="1"/>
  <c r="K5511" i="1"/>
  <c r="K5510" i="1"/>
  <c r="L5510" i="1" s="1" a="1"/>
  <c r="L5510" i="1" s="1"/>
  <c r="K5509" i="1"/>
  <c r="L5509" i="1" s="1" a="1"/>
  <c r="L5509" i="1" s="1"/>
  <c r="L5508" i="1"/>
  <c r="K5508" i="1"/>
  <c r="L5508" i="1" s="1" a="1"/>
  <c r="L5507" i="1" a="1"/>
  <c r="L5507" i="1" s="1"/>
  <c r="K5507" i="1"/>
  <c r="L5506" i="1"/>
  <c r="K5506" i="1"/>
  <c r="L5506" i="1" s="1" a="1"/>
  <c r="L5505" i="1"/>
  <c r="K5505" i="1"/>
  <c r="L5505" i="1" s="1" a="1"/>
  <c r="L5504" i="1"/>
  <c r="K5504" i="1"/>
  <c r="L5504" i="1" s="1" a="1"/>
  <c r="L5503" i="1"/>
  <c r="L5503" i="1" a="1"/>
  <c r="K5503" i="1"/>
  <c r="K5502" i="1"/>
  <c r="L5502" i="1" s="1" a="1"/>
  <c r="L5502" i="1" s="1"/>
  <c r="K5501" i="1"/>
  <c r="L5501" i="1" s="1" a="1"/>
  <c r="L5501" i="1" s="1"/>
  <c r="K5500" i="1"/>
  <c r="L5500" i="1" s="1" a="1"/>
  <c r="L5500" i="1" s="1"/>
  <c r="L5499" i="1" a="1"/>
  <c r="L5499" i="1" s="1"/>
  <c r="K5499" i="1"/>
  <c r="L5498" i="1"/>
  <c r="K5498" i="1"/>
  <c r="L5498" i="1" s="1" a="1"/>
  <c r="K5497" i="1"/>
  <c r="L5497" i="1" s="1" a="1"/>
  <c r="L5497" i="1" s="1"/>
  <c r="L5496" i="1"/>
  <c r="K5496" i="1"/>
  <c r="L5496" i="1" s="1" a="1"/>
  <c r="L5495" i="1"/>
  <c r="L5495" i="1" a="1"/>
  <c r="K5495" i="1"/>
  <c r="K5494" i="1"/>
  <c r="L5494" i="1" s="1" a="1"/>
  <c r="L5494" i="1" s="1"/>
  <c r="K5493" i="1"/>
  <c r="L5493" i="1" s="1" a="1"/>
  <c r="L5493" i="1" s="1"/>
  <c r="K5492" i="1"/>
  <c r="L5492" i="1" s="1" a="1"/>
  <c r="L5492" i="1" s="1"/>
  <c r="L5491" i="1"/>
  <c r="L5491" i="1" a="1"/>
  <c r="K5491" i="1"/>
  <c r="L5490" i="1"/>
  <c r="L5490" i="1" a="1"/>
  <c r="K5490" i="1"/>
  <c r="L5489" i="1"/>
  <c r="K5489" i="1"/>
  <c r="L5489" i="1" s="1" a="1"/>
  <c r="L5488" i="1"/>
  <c r="L5488" i="1" a="1"/>
  <c r="K5488" i="1"/>
  <c r="L5487" i="1" a="1"/>
  <c r="L5487" i="1" s="1"/>
  <c r="K5487" i="1"/>
  <c r="K5486" i="1"/>
  <c r="L5486" i="1" s="1" a="1"/>
  <c r="L5486" i="1" s="1"/>
  <c r="L5485" i="1" a="1"/>
  <c r="L5485" i="1" s="1"/>
  <c r="K5485" i="1"/>
  <c r="L5484" i="1" a="1"/>
  <c r="L5484" i="1" s="1"/>
  <c r="K5484" i="1"/>
  <c r="L5483" i="1" a="1"/>
  <c r="L5483" i="1" s="1"/>
  <c r="K5483" i="1"/>
  <c r="K5482" i="1"/>
  <c r="L5482" i="1" s="1" a="1"/>
  <c r="L5482" i="1" s="1"/>
  <c r="L5481" i="1" a="1"/>
  <c r="L5481" i="1" s="1"/>
  <c r="K5481" i="1"/>
  <c r="L5480" i="1" a="1"/>
  <c r="L5480" i="1" s="1"/>
  <c r="K5480" i="1"/>
  <c r="L5479" i="1" a="1"/>
  <c r="L5479" i="1" s="1"/>
  <c r="K5479" i="1"/>
  <c r="K5478" i="1"/>
  <c r="L5478" i="1" s="1" a="1"/>
  <c r="L5478" i="1" s="1"/>
  <c r="L5477" i="1" a="1"/>
  <c r="L5477" i="1" s="1"/>
  <c r="K5477" i="1"/>
  <c r="L5476" i="1" a="1"/>
  <c r="L5476" i="1" s="1"/>
  <c r="K5476" i="1"/>
  <c r="L5475" i="1" a="1"/>
  <c r="L5475" i="1" s="1"/>
  <c r="K5475" i="1"/>
  <c r="L5474" i="1" a="1"/>
  <c r="L5474" i="1" s="1"/>
  <c r="K5474" i="1"/>
  <c r="L5473" i="1" a="1"/>
  <c r="L5473" i="1" s="1"/>
  <c r="K5473" i="1"/>
  <c r="L5472" i="1" a="1"/>
  <c r="L5472" i="1" s="1"/>
  <c r="K5472" i="1"/>
  <c r="L5471" i="1" a="1"/>
  <c r="L5471" i="1" s="1"/>
  <c r="K5471" i="1"/>
  <c r="K5470" i="1"/>
  <c r="L5470" i="1" s="1" a="1"/>
  <c r="L5470" i="1" s="1"/>
  <c r="L5469" i="1" a="1"/>
  <c r="L5469" i="1" s="1"/>
  <c r="K5469" i="1"/>
  <c r="L5468" i="1" a="1"/>
  <c r="L5468" i="1" s="1"/>
  <c r="K5468" i="1"/>
  <c r="L5467" i="1" a="1"/>
  <c r="L5467" i="1" s="1"/>
  <c r="K5467" i="1"/>
  <c r="K5466" i="1"/>
  <c r="L5466" i="1" s="1" a="1"/>
  <c r="L5466" i="1" s="1"/>
  <c r="L5465" i="1" a="1"/>
  <c r="L5465" i="1" s="1"/>
  <c r="K5465" i="1"/>
  <c r="L5464" i="1" a="1"/>
  <c r="L5464" i="1" s="1"/>
  <c r="K5464" i="1"/>
  <c r="L5463" i="1" a="1"/>
  <c r="L5463" i="1" s="1"/>
  <c r="K5463" i="1"/>
  <c r="K5462" i="1"/>
  <c r="L5462" i="1" s="1" a="1"/>
  <c r="L5462" i="1" s="1"/>
  <c r="L5461" i="1" a="1"/>
  <c r="L5461" i="1" s="1"/>
  <c r="K5461" i="1"/>
  <c r="L5460" i="1" a="1"/>
  <c r="L5460" i="1" s="1"/>
  <c r="K5460" i="1"/>
  <c r="L5459" i="1" a="1"/>
  <c r="L5459" i="1" s="1"/>
  <c r="K5459" i="1"/>
  <c r="L5458" i="1" a="1"/>
  <c r="L5458" i="1" s="1"/>
  <c r="K5458" i="1"/>
  <c r="L5457" i="1" a="1"/>
  <c r="L5457" i="1" s="1"/>
  <c r="K5457" i="1"/>
  <c r="L5456" i="1" a="1"/>
  <c r="L5456" i="1" s="1"/>
  <c r="K5456" i="1"/>
  <c r="L5455" i="1" a="1"/>
  <c r="L5455" i="1" s="1"/>
  <c r="K5455" i="1"/>
  <c r="K5454" i="1"/>
  <c r="L5454" i="1" s="1" a="1"/>
  <c r="L5454" i="1" s="1"/>
  <c r="L5453" i="1" a="1"/>
  <c r="L5453" i="1" s="1"/>
  <c r="K5453" i="1"/>
  <c r="L5452" i="1" a="1"/>
  <c r="L5452" i="1" s="1"/>
  <c r="K5452" i="1"/>
  <c r="L5451" i="1" a="1"/>
  <c r="L5451" i="1" s="1"/>
  <c r="K5451" i="1"/>
  <c r="K5450" i="1"/>
  <c r="L5450" i="1" s="1" a="1"/>
  <c r="L5450" i="1" s="1"/>
  <c r="L5449" i="1" a="1"/>
  <c r="L5449" i="1" s="1"/>
  <c r="K5449" i="1"/>
  <c r="L5448" i="1" a="1"/>
  <c r="L5448" i="1" s="1"/>
  <c r="K5448" i="1"/>
  <c r="L5447" i="1" a="1"/>
  <c r="L5447" i="1" s="1"/>
  <c r="K5447" i="1"/>
  <c r="K5446" i="1"/>
  <c r="L5446" i="1" s="1" a="1"/>
  <c r="L5446" i="1" s="1"/>
  <c r="L5445" i="1" a="1"/>
  <c r="L5445" i="1" s="1"/>
  <c r="K5445" i="1"/>
  <c r="L5444" i="1" a="1"/>
  <c r="L5444" i="1" s="1"/>
  <c r="K5444" i="1"/>
  <c r="L5443" i="1" a="1"/>
  <c r="L5443" i="1" s="1"/>
  <c r="K5443" i="1"/>
  <c r="L5442" i="1" a="1"/>
  <c r="L5442" i="1" s="1"/>
  <c r="K5442" i="1"/>
  <c r="L5441" i="1" a="1"/>
  <c r="L5441" i="1" s="1"/>
  <c r="K5441" i="1"/>
  <c r="L5440" i="1" a="1"/>
  <c r="L5440" i="1" s="1"/>
  <c r="K5440" i="1"/>
  <c r="L5439" i="1" a="1"/>
  <c r="L5439" i="1" s="1"/>
  <c r="K5439" i="1"/>
  <c r="K5438" i="1"/>
  <c r="L5438" i="1" s="1" a="1"/>
  <c r="L5438" i="1" s="1"/>
  <c r="L5437" i="1" a="1"/>
  <c r="L5437" i="1" s="1"/>
  <c r="K5437" i="1"/>
  <c r="L5436" i="1" a="1"/>
  <c r="L5436" i="1" s="1"/>
  <c r="K5436" i="1"/>
  <c r="L5435" i="1" a="1"/>
  <c r="L5435" i="1" s="1"/>
  <c r="K5435" i="1"/>
  <c r="K5434" i="1"/>
  <c r="L5434" i="1" s="1" a="1"/>
  <c r="L5434" i="1" s="1"/>
  <c r="L5433" i="1" a="1"/>
  <c r="L5433" i="1" s="1"/>
  <c r="K5433" i="1"/>
  <c r="L5432" i="1" a="1"/>
  <c r="L5432" i="1" s="1"/>
  <c r="K5432" i="1"/>
  <c r="L5431" i="1" a="1"/>
  <c r="L5431" i="1" s="1"/>
  <c r="K5431" i="1"/>
  <c r="K5430" i="1"/>
  <c r="L5430" i="1" s="1" a="1"/>
  <c r="L5430" i="1" s="1"/>
  <c r="L5429" i="1" a="1"/>
  <c r="L5429" i="1" s="1"/>
  <c r="K5429" i="1"/>
  <c r="L5428" i="1" a="1"/>
  <c r="L5428" i="1" s="1"/>
  <c r="K5428" i="1"/>
  <c r="L5427" i="1" a="1"/>
  <c r="L5427" i="1" s="1"/>
  <c r="K5427" i="1"/>
  <c r="L5426" i="1" a="1"/>
  <c r="L5426" i="1" s="1"/>
  <c r="K5426" i="1"/>
  <c r="L5425" i="1" a="1"/>
  <c r="L5425" i="1" s="1"/>
  <c r="K5425" i="1"/>
  <c r="L5424" i="1" a="1"/>
  <c r="L5424" i="1" s="1"/>
  <c r="K5424" i="1"/>
  <c r="L5423" i="1" a="1"/>
  <c r="L5423" i="1" s="1"/>
  <c r="K5423" i="1"/>
  <c r="K5422" i="1"/>
  <c r="L5422" i="1" s="1" a="1"/>
  <c r="L5422" i="1" s="1"/>
  <c r="L5421" i="1" a="1"/>
  <c r="L5421" i="1" s="1"/>
  <c r="K5421" i="1"/>
  <c r="L5420" i="1" a="1"/>
  <c r="L5420" i="1" s="1"/>
  <c r="K5420" i="1"/>
  <c r="L5419" i="1" a="1"/>
  <c r="L5419" i="1" s="1"/>
  <c r="K5419" i="1"/>
  <c r="K5418" i="1"/>
  <c r="L5418" i="1" s="1" a="1"/>
  <c r="L5418" i="1" s="1"/>
  <c r="L5417" i="1" a="1"/>
  <c r="L5417" i="1" s="1"/>
  <c r="K5417" i="1"/>
  <c r="L5416" i="1" a="1"/>
  <c r="L5416" i="1" s="1"/>
  <c r="K5416" i="1"/>
  <c r="L5415" i="1" a="1"/>
  <c r="L5415" i="1" s="1"/>
  <c r="K5415" i="1"/>
  <c r="K5414" i="1"/>
  <c r="L5414" i="1" s="1" a="1"/>
  <c r="L5414" i="1" s="1"/>
  <c r="L5413" i="1" a="1"/>
  <c r="L5413" i="1" s="1"/>
  <c r="K5413" i="1"/>
  <c r="L5412" i="1" a="1"/>
  <c r="L5412" i="1" s="1"/>
  <c r="K5412" i="1"/>
  <c r="L5411" i="1" a="1"/>
  <c r="L5411" i="1" s="1"/>
  <c r="K5411" i="1"/>
  <c r="L5410" i="1" a="1"/>
  <c r="L5410" i="1" s="1"/>
  <c r="K5410" i="1"/>
  <c r="L5409" i="1" a="1"/>
  <c r="L5409" i="1" s="1"/>
  <c r="K5409" i="1"/>
  <c r="L5408" i="1" a="1"/>
  <c r="L5408" i="1" s="1"/>
  <c r="K5408" i="1"/>
  <c r="L5407" i="1" a="1"/>
  <c r="L5407" i="1" s="1"/>
  <c r="K5407" i="1"/>
  <c r="K5406" i="1"/>
  <c r="L5406" i="1" s="1" a="1"/>
  <c r="L5406" i="1" s="1"/>
  <c r="L5405" i="1" a="1"/>
  <c r="L5405" i="1" s="1"/>
  <c r="K5405" i="1"/>
  <c r="L5404" i="1" a="1"/>
  <c r="L5404" i="1" s="1"/>
  <c r="K5404" i="1"/>
  <c r="L5403" i="1" a="1"/>
  <c r="L5403" i="1" s="1"/>
  <c r="K5403" i="1"/>
  <c r="K5402" i="1"/>
  <c r="L5402" i="1" s="1" a="1"/>
  <c r="L5402" i="1" s="1"/>
  <c r="L5401" i="1" a="1"/>
  <c r="L5401" i="1" s="1"/>
  <c r="K5401" i="1"/>
  <c r="L5400" i="1" a="1"/>
  <c r="L5400" i="1" s="1"/>
  <c r="K5400" i="1"/>
  <c r="L5399" i="1" a="1"/>
  <c r="L5399" i="1" s="1"/>
  <c r="K5399" i="1"/>
  <c r="K5398" i="1"/>
  <c r="L5398" i="1" s="1" a="1"/>
  <c r="L5398" i="1" s="1"/>
  <c r="L5397" i="1" a="1"/>
  <c r="L5397" i="1" s="1"/>
  <c r="K5397" i="1"/>
  <c r="L5396" i="1" a="1"/>
  <c r="L5396" i="1" s="1"/>
  <c r="K5396" i="1"/>
  <c r="L5395" i="1" a="1"/>
  <c r="L5395" i="1" s="1"/>
  <c r="K5395" i="1"/>
  <c r="L5394" i="1" a="1"/>
  <c r="L5394" i="1" s="1"/>
  <c r="K5394" i="1"/>
  <c r="L5393" i="1" a="1"/>
  <c r="L5393" i="1" s="1"/>
  <c r="K5393" i="1"/>
  <c r="L5392" i="1" a="1"/>
  <c r="L5392" i="1" s="1"/>
  <c r="K5392" i="1"/>
  <c r="L5391" i="1" a="1"/>
  <c r="L5391" i="1" s="1"/>
  <c r="K5391" i="1"/>
  <c r="K5390" i="1"/>
  <c r="L5390" i="1" s="1" a="1"/>
  <c r="L5390" i="1" s="1"/>
  <c r="L5389" i="1" a="1"/>
  <c r="L5389" i="1" s="1"/>
  <c r="K5389" i="1"/>
  <c r="L5388" i="1" a="1"/>
  <c r="L5388" i="1" s="1"/>
  <c r="K5388" i="1"/>
  <c r="L5387" i="1" a="1"/>
  <c r="L5387" i="1" s="1"/>
  <c r="K5387" i="1"/>
  <c r="K5386" i="1"/>
  <c r="L5386" i="1" s="1" a="1"/>
  <c r="L5386" i="1" s="1"/>
  <c r="L5385" i="1" a="1"/>
  <c r="L5385" i="1" s="1"/>
  <c r="K5385" i="1"/>
  <c r="L5384" i="1" a="1"/>
  <c r="L5384" i="1" s="1"/>
  <c r="K5384" i="1"/>
  <c r="L5383" i="1" a="1"/>
  <c r="L5383" i="1" s="1"/>
  <c r="K5383" i="1"/>
  <c r="K5382" i="1"/>
  <c r="L5382" i="1" s="1" a="1"/>
  <c r="L5382" i="1" s="1"/>
  <c r="L5381" i="1" a="1"/>
  <c r="L5381" i="1" s="1"/>
  <c r="K5381" i="1"/>
  <c r="L5380" i="1" a="1"/>
  <c r="L5380" i="1" s="1"/>
  <c r="K5380" i="1"/>
  <c r="L5379" i="1" a="1"/>
  <c r="L5379" i="1" s="1"/>
  <c r="K5379" i="1"/>
  <c r="L5378" i="1" a="1"/>
  <c r="L5378" i="1" s="1"/>
  <c r="K5378" i="1"/>
  <c r="L5377" i="1" a="1"/>
  <c r="L5377" i="1" s="1"/>
  <c r="K5377" i="1"/>
  <c r="L5376" i="1" a="1"/>
  <c r="L5376" i="1" s="1"/>
  <c r="K5376" i="1"/>
  <c r="L5375" i="1" a="1"/>
  <c r="L5375" i="1" s="1"/>
  <c r="K5375" i="1"/>
  <c r="K5374" i="1"/>
  <c r="L5374" i="1" s="1" a="1"/>
  <c r="L5374" i="1" s="1"/>
  <c r="L5373" i="1" a="1"/>
  <c r="L5373" i="1" s="1"/>
  <c r="K5373" i="1"/>
  <c r="L5372" i="1" a="1"/>
  <c r="L5372" i="1" s="1"/>
  <c r="K5372" i="1"/>
  <c r="L5371" i="1" a="1"/>
  <c r="L5371" i="1" s="1"/>
  <c r="K5371" i="1"/>
  <c r="K5370" i="1"/>
  <c r="L5370" i="1" s="1" a="1"/>
  <c r="L5370" i="1" s="1"/>
  <c r="L5369" i="1" a="1"/>
  <c r="L5369" i="1" s="1"/>
  <c r="K5369" i="1"/>
  <c r="L5368" i="1" a="1"/>
  <c r="L5368" i="1" s="1"/>
  <c r="K5368" i="1"/>
  <c r="L5367" i="1" a="1"/>
  <c r="L5367" i="1" s="1"/>
  <c r="K5367" i="1"/>
  <c r="K5366" i="1"/>
  <c r="L5366" i="1" s="1" a="1"/>
  <c r="L5366" i="1" s="1"/>
  <c r="L5365" i="1" a="1"/>
  <c r="L5365" i="1" s="1"/>
  <c r="K5365" i="1"/>
  <c r="L5364" i="1" a="1"/>
  <c r="L5364" i="1" s="1"/>
  <c r="K5364" i="1"/>
  <c r="L5363" i="1" a="1"/>
  <c r="L5363" i="1" s="1"/>
  <c r="K5363" i="1"/>
  <c r="L5362" i="1" a="1"/>
  <c r="L5362" i="1" s="1"/>
  <c r="K5362" i="1"/>
  <c r="L5361" i="1" a="1"/>
  <c r="L5361" i="1" s="1"/>
  <c r="K5361" i="1"/>
  <c r="L5360" i="1" a="1"/>
  <c r="L5360" i="1" s="1"/>
  <c r="K5360" i="1"/>
  <c r="L5359" i="1" a="1"/>
  <c r="L5359" i="1" s="1"/>
  <c r="K5359" i="1"/>
  <c r="K5358" i="1"/>
  <c r="L5358" i="1" s="1" a="1"/>
  <c r="L5358" i="1" s="1"/>
  <c r="L5357" i="1" a="1"/>
  <c r="L5357" i="1" s="1"/>
  <c r="K5357" i="1"/>
  <c r="L5356" i="1" a="1"/>
  <c r="L5356" i="1" s="1"/>
  <c r="K5356" i="1"/>
  <c r="L5355" i="1" a="1"/>
  <c r="L5355" i="1" s="1"/>
  <c r="K5355" i="1"/>
  <c r="K5354" i="1"/>
  <c r="L5354" i="1" s="1" a="1"/>
  <c r="L5354" i="1" s="1"/>
  <c r="L5353" i="1" a="1"/>
  <c r="L5353" i="1" s="1"/>
  <c r="K5353" i="1"/>
  <c r="L5352" i="1" a="1"/>
  <c r="L5352" i="1" s="1"/>
  <c r="K5352" i="1"/>
  <c r="L5351" i="1" a="1"/>
  <c r="L5351" i="1" s="1"/>
  <c r="K5351" i="1"/>
  <c r="K5350" i="1"/>
  <c r="L5350" i="1" s="1" a="1"/>
  <c r="L5350" i="1" s="1"/>
  <c r="L5349" i="1" a="1"/>
  <c r="L5349" i="1" s="1"/>
  <c r="K5349" i="1"/>
  <c r="L5348" i="1" a="1"/>
  <c r="L5348" i="1" s="1"/>
  <c r="K5348" i="1"/>
  <c r="L5347" i="1" a="1"/>
  <c r="L5347" i="1" s="1"/>
  <c r="K5347" i="1"/>
  <c r="L5346" i="1" a="1"/>
  <c r="L5346" i="1" s="1"/>
  <c r="K5346" i="1"/>
  <c r="L5345" i="1" a="1"/>
  <c r="L5345" i="1" s="1"/>
  <c r="K5345" i="1"/>
  <c r="L5344" i="1" a="1"/>
  <c r="L5344" i="1" s="1"/>
  <c r="K5344" i="1"/>
  <c r="L5343" i="1" a="1"/>
  <c r="L5343" i="1" s="1"/>
  <c r="K5343" i="1"/>
  <c r="K5342" i="1"/>
  <c r="L5342" i="1" s="1" a="1"/>
  <c r="L5342" i="1" s="1"/>
  <c r="L5341" i="1" a="1"/>
  <c r="L5341" i="1" s="1"/>
  <c r="K5341" i="1"/>
  <c r="L5340" i="1" a="1"/>
  <c r="L5340" i="1" s="1"/>
  <c r="K5340" i="1"/>
  <c r="L5339" i="1" a="1"/>
  <c r="L5339" i="1" s="1"/>
  <c r="K5339" i="1"/>
  <c r="K5338" i="1"/>
  <c r="L5338" i="1" s="1" a="1"/>
  <c r="L5338" i="1" s="1"/>
  <c r="L5337" i="1" a="1"/>
  <c r="L5337" i="1" s="1"/>
  <c r="K5337" i="1"/>
  <c r="L5336" i="1" a="1"/>
  <c r="L5336" i="1" s="1"/>
  <c r="K5336" i="1"/>
  <c r="L5335" i="1" a="1"/>
  <c r="L5335" i="1" s="1"/>
  <c r="K5335" i="1"/>
  <c r="K5334" i="1"/>
  <c r="L5334" i="1" s="1" a="1"/>
  <c r="L5334" i="1" s="1"/>
  <c r="L5333" i="1" a="1"/>
  <c r="L5333" i="1" s="1"/>
  <c r="K5333" i="1"/>
  <c r="L5332" i="1" a="1"/>
  <c r="L5332" i="1" s="1"/>
  <c r="K5332" i="1"/>
  <c r="L5331" i="1" a="1"/>
  <c r="L5331" i="1" s="1"/>
  <c r="K5331" i="1"/>
  <c r="L5330" i="1" a="1"/>
  <c r="L5330" i="1" s="1"/>
  <c r="K5330" i="1"/>
  <c r="L5329" i="1" a="1"/>
  <c r="L5329" i="1" s="1"/>
  <c r="K5329" i="1"/>
  <c r="L5328" i="1" a="1"/>
  <c r="L5328" i="1" s="1"/>
  <c r="K5328" i="1"/>
  <c r="L5327" i="1" a="1"/>
  <c r="L5327" i="1" s="1"/>
  <c r="K5327" i="1"/>
  <c r="K5326" i="1"/>
  <c r="L5326" i="1" s="1" a="1"/>
  <c r="L5326" i="1" s="1"/>
  <c r="L5325" i="1" a="1"/>
  <c r="L5325" i="1" s="1"/>
  <c r="K5325" i="1"/>
  <c r="L5324" i="1" a="1"/>
  <c r="L5324" i="1" s="1"/>
  <c r="K5324" i="1"/>
  <c r="L5323" i="1" a="1"/>
  <c r="L5323" i="1" s="1"/>
  <c r="K5323" i="1"/>
  <c r="K5322" i="1"/>
  <c r="L5322" i="1" s="1" a="1"/>
  <c r="L5322" i="1" s="1"/>
  <c r="L5321" i="1" a="1"/>
  <c r="L5321" i="1" s="1"/>
  <c r="K5321" i="1"/>
  <c r="L5320" i="1" a="1"/>
  <c r="L5320" i="1" s="1"/>
  <c r="K5320" i="1"/>
  <c r="L5319" i="1" a="1"/>
  <c r="L5319" i="1" s="1"/>
  <c r="K5319" i="1"/>
  <c r="K5318" i="1"/>
  <c r="L5318" i="1" s="1" a="1"/>
  <c r="L5318" i="1" s="1"/>
  <c r="L5317" i="1" a="1"/>
  <c r="L5317" i="1" s="1"/>
  <c r="K5317" i="1"/>
  <c r="L5316" i="1" a="1"/>
  <c r="L5316" i="1" s="1"/>
  <c r="K5316" i="1"/>
  <c r="L5315" i="1" a="1"/>
  <c r="L5315" i="1" s="1"/>
  <c r="K5315" i="1"/>
  <c r="L5314" i="1" a="1"/>
  <c r="L5314" i="1" s="1"/>
  <c r="K5314" i="1"/>
  <c r="L5313" i="1" a="1"/>
  <c r="L5313" i="1" s="1"/>
  <c r="K5313" i="1"/>
  <c r="L5312" i="1" a="1"/>
  <c r="L5312" i="1" s="1"/>
  <c r="K5312" i="1"/>
  <c r="L5311" i="1" a="1"/>
  <c r="L5311" i="1" s="1"/>
  <c r="K5311" i="1"/>
  <c r="K5310" i="1"/>
  <c r="L5310" i="1" s="1" a="1"/>
  <c r="L5310" i="1" s="1"/>
  <c r="L5309" i="1" a="1"/>
  <c r="L5309" i="1" s="1"/>
  <c r="K5309" i="1"/>
  <c r="L5308" i="1" a="1"/>
  <c r="L5308" i="1" s="1"/>
  <c r="K5308" i="1"/>
  <c r="L5307" i="1" a="1"/>
  <c r="L5307" i="1" s="1"/>
  <c r="K5307" i="1"/>
  <c r="K5306" i="1"/>
  <c r="L5306" i="1" s="1" a="1"/>
  <c r="L5306" i="1" s="1"/>
  <c r="L5305" i="1" a="1"/>
  <c r="L5305" i="1" s="1"/>
  <c r="K5305" i="1"/>
  <c r="L5304" i="1" a="1"/>
  <c r="L5304" i="1" s="1"/>
  <c r="K5304" i="1"/>
  <c r="L5303" i="1" a="1"/>
  <c r="L5303" i="1" s="1"/>
  <c r="K5303" i="1"/>
  <c r="K5302" i="1"/>
  <c r="L5302" i="1" s="1" a="1"/>
  <c r="L5302" i="1" s="1"/>
  <c r="L5301" i="1" a="1"/>
  <c r="L5301" i="1" s="1"/>
  <c r="K5301" i="1"/>
  <c r="L5300" i="1" a="1"/>
  <c r="L5300" i="1" s="1"/>
  <c r="K5300" i="1"/>
  <c r="L5299" i="1" a="1"/>
  <c r="L5299" i="1" s="1"/>
  <c r="K5299" i="1"/>
  <c r="L5298" i="1" a="1"/>
  <c r="L5298" i="1" s="1"/>
  <c r="K5298" i="1"/>
  <c r="L5297" i="1" a="1"/>
  <c r="L5297" i="1" s="1"/>
  <c r="K5297" i="1"/>
  <c r="L5296" i="1" a="1"/>
  <c r="L5296" i="1" s="1"/>
  <c r="K5296" i="1"/>
  <c r="L5295" i="1" a="1"/>
  <c r="L5295" i="1" s="1"/>
  <c r="K5295" i="1"/>
  <c r="K5294" i="1"/>
  <c r="L5294" i="1" s="1" a="1"/>
  <c r="L5294" i="1" s="1"/>
  <c r="L5293" i="1" a="1"/>
  <c r="L5293" i="1" s="1"/>
  <c r="K5293" i="1"/>
  <c r="L5292" i="1" a="1"/>
  <c r="L5292" i="1" s="1"/>
  <c r="K5292" i="1"/>
  <c r="L5291" i="1" a="1"/>
  <c r="L5291" i="1" s="1"/>
  <c r="K5291" i="1"/>
  <c r="K5290" i="1"/>
  <c r="L5290" i="1" s="1" a="1"/>
  <c r="L5290" i="1" s="1"/>
  <c r="L5289" i="1" a="1"/>
  <c r="L5289" i="1" s="1"/>
  <c r="K5289" i="1"/>
  <c r="L5288" i="1" a="1"/>
  <c r="L5288" i="1" s="1"/>
  <c r="K5288" i="1"/>
  <c r="L5287" i="1" a="1"/>
  <c r="L5287" i="1" s="1"/>
  <c r="K5287" i="1"/>
  <c r="K5286" i="1"/>
  <c r="L5286" i="1" s="1" a="1"/>
  <c r="L5286" i="1" s="1"/>
  <c r="L5285" i="1" a="1"/>
  <c r="L5285" i="1" s="1"/>
  <c r="K5285" i="1"/>
  <c r="L5284" i="1" a="1"/>
  <c r="L5284" i="1" s="1"/>
  <c r="K5284" i="1"/>
  <c r="L5283" i="1" a="1"/>
  <c r="L5283" i="1" s="1"/>
  <c r="K5283" i="1"/>
  <c r="L5282" i="1" a="1"/>
  <c r="L5282" i="1" s="1"/>
  <c r="K5282" i="1"/>
  <c r="L5281" i="1" a="1"/>
  <c r="L5281" i="1" s="1"/>
  <c r="K5281" i="1"/>
  <c r="L5280" i="1" a="1"/>
  <c r="L5280" i="1" s="1"/>
  <c r="K5280" i="1"/>
  <c r="L5279" i="1" a="1"/>
  <c r="L5279" i="1" s="1"/>
  <c r="K5279" i="1"/>
  <c r="K5278" i="1"/>
  <c r="L5278" i="1" s="1" a="1"/>
  <c r="L5278" i="1" s="1"/>
  <c r="L5277" i="1" a="1"/>
  <c r="L5277" i="1" s="1"/>
  <c r="K5277" i="1"/>
  <c r="L5276" i="1" a="1"/>
  <c r="L5276" i="1" s="1"/>
  <c r="K5276" i="1"/>
  <c r="L5275" i="1" a="1"/>
  <c r="L5275" i="1" s="1"/>
  <c r="K5275" i="1"/>
  <c r="K5274" i="1"/>
  <c r="L5274" i="1" s="1" a="1"/>
  <c r="L5274" i="1" s="1"/>
  <c r="L5273" i="1" a="1"/>
  <c r="L5273" i="1" s="1"/>
  <c r="K5273" i="1"/>
  <c r="L5272" i="1" a="1"/>
  <c r="L5272" i="1" s="1"/>
  <c r="K5272" i="1"/>
  <c r="L5271" i="1" a="1"/>
  <c r="L5271" i="1" s="1"/>
  <c r="K5271" i="1"/>
  <c r="K5270" i="1"/>
  <c r="L5270" i="1" s="1" a="1"/>
  <c r="L5270" i="1" s="1"/>
  <c r="L5269" i="1" a="1"/>
  <c r="L5269" i="1" s="1"/>
  <c r="K5269" i="1"/>
  <c r="L5268" i="1" a="1"/>
  <c r="L5268" i="1" s="1"/>
  <c r="K5268" i="1"/>
  <c r="L5267" i="1" a="1"/>
  <c r="L5267" i="1" s="1"/>
  <c r="K5267" i="1"/>
  <c r="L5266" i="1" a="1"/>
  <c r="L5266" i="1" s="1"/>
  <c r="K5266" i="1"/>
  <c r="L5265" i="1" a="1"/>
  <c r="L5265" i="1" s="1"/>
  <c r="K5265" i="1"/>
  <c r="L5264" i="1" a="1"/>
  <c r="L5264" i="1" s="1"/>
  <c r="K5264" i="1"/>
  <c r="L5263" i="1" a="1"/>
  <c r="L5263" i="1" s="1"/>
  <c r="K5263" i="1"/>
  <c r="K5262" i="1"/>
  <c r="L5262" i="1" s="1" a="1"/>
  <c r="L5262" i="1" s="1"/>
  <c r="L5261" i="1" a="1"/>
  <c r="L5261" i="1" s="1"/>
  <c r="K5261" i="1"/>
  <c r="L5260" i="1" a="1"/>
  <c r="L5260" i="1" s="1"/>
  <c r="K5260" i="1"/>
  <c r="L5259" i="1" a="1"/>
  <c r="L5259" i="1" s="1"/>
  <c r="K5259" i="1"/>
  <c r="K5258" i="1"/>
  <c r="L5258" i="1" s="1" a="1"/>
  <c r="L5258" i="1" s="1"/>
  <c r="L5257" i="1" a="1"/>
  <c r="L5257" i="1" s="1"/>
  <c r="K5257" i="1"/>
  <c r="L5256" i="1" a="1"/>
  <c r="L5256" i="1" s="1"/>
  <c r="K5256" i="1"/>
  <c r="L5255" i="1" a="1"/>
  <c r="L5255" i="1" s="1"/>
  <c r="K5255" i="1"/>
  <c r="K5254" i="1"/>
  <c r="L5254" i="1" s="1" a="1"/>
  <c r="L5254" i="1" s="1"/>
  <c r="L5253" i="1" a="1"/>
  <c r="L5253" i="1" s="1"/>
  <c r="K5253" i="1"/>
  <c r="L5252" i="1" a="1"/>
  <c r="L5252" i="1" s="1"/>
  <c r="K5252" i="1"/>
  <c r="L5251" i="1" a="1"/>
  <c r="L5251" i="1" s="1"/>
  <c r="K5251" i="1"/>
  <c r="L5250" i="1" a="1"/>
  <c r="L5250" i="1" s="1"/>
  <c r="K5250" i="1"/>
  <c r="L5249" i="1" a="1"/>
  <c r="L5249" i="1" s="1"/>
  <c r="K5249" i="1"/>
  <c r="L5248" i="1" a="1"/>
  <c r="L5248" i="1" s="1"/>
  <c r="K5248" i="1"/>
  <c r="L5247" i="1" a="1"/>
  <c r="L5247" i="1" s="1"/>
  <c r="K5247" i="1"/>
  <c r="K5246" i="1"/>
  <c r="L5246" i="1" s="1" a="1"/>
  <c r="L5246" i="1" s="1"/>
  <c r="L5245" i="1" a="1"/>
  <c r="L5245" i="1" s="1"/>
  <c r="K5245" i="1"/>
  <c r="L5244" i="1" a="1"/>
  <c r="L5244" i="1" s="1"/>
  <c r="K5244" i="1"/>
  <c r="K5243" i="1"/>
  <c r="L5243" i="1" s="1" a="1"/>
  <c r="L5243" i="1" s="1"/>
  <c r="K5242" i="1"/>
  <c r="L5242" i="1" s="1" a="1"/>
  <c r="L5242" i="1" s="1"/>
  <c r="L5241" i="1" a="1"/>
  <c r="L5241" i="1" s="1"/>
  <c r="K5241" i="1"/>
  <c r="L5240" i="1" a="1"/>
  <c r="L5240" i="1" s="1"/>
  <c r="K5240" i="1"/>
  <c r="L5239" i="1" a="1"/>
  <c r="L5239" i="1" s="1"/>
  <c r="K5239" i="1"/>
  <c r="K5238" i="1"/>
  <c r="L5238" i="1" s="1" a="1"/>
  <c r="L5238" i="1" s="1"/>
  <c r="L5237" i="1" a="1"/>
  <c r="L5237" i="1" s="1"/>
  <c r="K5237" i="1"/>
  <c r="L5236" i="1" a="1"/>
  <c r="L5236" i="1" s="1"/>
  <c r="K5236" i="1"/>
  <c r="L5235" i="1" a="1"/>
  <c r="L5235" i="1" s="1"/>
  <c r="K5235" i="1"/>
  <c r="L5234" i="1" a="1"/>
  <c r="L5234" i="1" s="1"/>
  <c r="K5234" i="1"/>
  <c r="L5233" i="1" a="1"/>
  <c r="L5233" i="1" s="1"/>
  <c r="K5233" i="1"/>
  <c r="K5232" i="1"/>
  <c r="L5232" i="1" s="1" a="1"/>
  <c r="L5232" i="1" s="1"/>
  <c r="K5231" i="1"/>
  <c r="L5231" i="1" s="1" a="1"/>
  <c r="L5231" i="1" s="1"/>
  <c r="K5230" i="1"/>
  <c r="L5230" i="1" s="1" a="1"/>
  <c r="L5230" i="1" s="1"/>
  <c r="K5229" i="1"/>
  <c r="L5229" i="1" s="1" a="1"/>
  <c r="L5229" i="1" s="1"/>
  <c r="K5228" i="1"/>
  <c r="L5228" i="1" s="1" a="1"/>
  <c r="L5228" i="1" s="1"/>
  <c r="K5227" i="1"/>
  <c r="L5227" i="1" s="1" a="1"/>
  <c r="L5227" i="1" s="1"/>
  <c r="L5226" i="1"/>
  <c r="K5226" i="1"/>
  <c r="L5226" i="1" s="1" a="1"/>
  <c r="K5225" i="1"/>
  <c r="L5225" i="1" s="1" a="1"/>
  <c r="L5225" i="1" s="1"/>
  <c r="L5224" i="1" a="1"/>
  <c r="L5224" i="1" s="1"/>
  <c r="K5224" i="1"/>
  <c r="L5223" i="1" a="1"/>
  <c r="L5223" i="1" s="1"/>
  <c r="K5223" i="1"/>
  <c r="K5222" i="1"/>
  <c r="L5222" i="1" s="1" a="1"/>
  <c r="L5222" i="1" s="1"/>
  <c r="L5221" i="1" a="1"/>
  <c r="L5221" i="1" s="1"/>
  <c r="K5221" i="1"/>
  <c r="L5220" i="1" a="1"/>
  <c r="L5220" i="1" s="1"/>
  <c r="K5220" i="1"/>
  <c r="L5219" i="1" a="1"/>
  <c r="L5219" i="1" s="1"/>
  <c r="K5219" i="1"/>
  <c r="L5218" i="1" a="1"/>
  <c r="L5218" i="1" s="1"/>
  <c r="K5218" i="1"/>
  <c r="L5217" i="1" a="1"/>
  <c r="L5217" i="1" s="1"/>
  <c r="K5217" i="1"/>
  <c r="K5216" i="1"/>
  <c r="L5216" i="1" s="1" a="1"/>
  <c r="L5216" i="1" s="1"/>
  <c r="K5215" i="1"/>
  <c r="L5215" i="1" s="1" a="1"/>
  <c r="L5215" i="1" s="1"/>
  <c r="K5214" i="1"/>
  <c r="L5214" i="1" s="1" a="1"/>
  <c r="L5214" i="1" s="1"/>
  <c r="K5213" i="1"/>
  <c r="L5213" i="1" s="1" a="1"/>
  <c r="L5213" i="1" s="1"/>
  <c r="K5212" i="1"/>
  <c r="L5212" i="1" s="1" a="1"/>
  <c r="L5212" i="1" s="1"/>
  <c r="K5211" i="1"/>
  <c r="L5211" i="1" s="1" a="1"/>
  <c r="L5211" i="1" s="1"/>
  <c r="K5210" i="1"/>
  <c r="L5210" i="1" s="1" a="1"/>
  <c r="L5210" i="1" s="1"/>
  <c r="K5209" i="1"/>
  <c r="L5209" i="1" s="1" a="1"/>
  <c r="L5209" i="1" s="1"/>
  <c r="L5208" i="1" a="1"/>
  <c r="L5208" i="1" s="1"/>
  <c r="K5208" i="1"/>
  <c r="L5207" i="1" a="1"/>
  <c r="L5207" i="1" s="1"/>
  <c r="K5207" i="1"/>
  <c r="K5206" i="1"/>
  <c r="L5206" i="1" s="1" a="1"/>
  <c r="L5206" i="1" s="1"/>
  <c r="L5205" i="1" a="1"/>
  <c r="L5205" i="1" s="1"/>
  <c r="K5205" i="1"/>
  <c r="L5204" i="1"/>
  <c r="K5204" i="1"/>
  <c r="L5204" i="1" s="1" a="1"/>
  <c r="L5203" i="1" a="1"/>
  <c r="L5203" i="1" s="1"/>
  <c r="K5203" i="1"/>
  <c r="K5202" i="1"/>
  <c r="L5202" i="1" s="1" a="1"/>
  <c r="L5202" i="1" s="1"/>
  <c r="K5201" i="1"/>
  <c r="L5201" i="1" s="1" a="1"/>
  <c r="L5201" i="1" s="1"/>
  <c r="L5200" i="1" a="1"/>
  <c r="L5200" i="1" s="1"/>
  <c r="K5200" i="1"/>
  <c r="L5199" i="1" a="1"/>
  <c r="L5199" i="1" s="1"/>
  <c r="K5199" i="1"/>
  <c r="L5198" i="1"/>
  <c r="K5198" i="1"/>
  <c r="L5198" i="1" s="1" a="1"/>
  <c r="K5197" i="1"/>
  <c r="L5197" i="1" s="1" a="1"/>
  <c r="L5197" i="1" s="1"/>
  <c r="L5196" i="1" a="1"/>
  <c r="L5196" i="1" s="1"/>
  <c r="K5196" i="1"/>
  <c r="L5195" i="1" a="1"/>
  <c r="L5195" i="1" s="1"/>
  <c r="K5195" i="1"/>
  <c r="K5194" i="1"/>
  <c r="L5194" i="1" s="1" a="1"/>
  <c r="L5194" i="1" s="1"/>
  <c r="K5193" i="1"/>
  <c r="L5193" i="1" s="1" a="1"/>
  <c r="L5193" i="1" s="1"/>
  <c r="L5192" i="1" a="1"/>
  <c r="L5192" i="1" s="1"/>
  <c r="K5192" i="1"/>
  <c r="L5191" i="1"/>
  <c r="L5191" i="1" a="1"/>
  <c r="K5191" i="1"/>
  <c r="K5190" i="1"/>
  <c r="L5190" i="1" s="1" a="1"/>
  <c r="L5190" i="1" s="1"/>
  <c r="K5189" i="1"/>
  <c r="L5189" i="1" s="1" a="1"/>
  <c r="L5189" i="1" s="1"/>
  <c r="L5188" i="1" a="1"/>
  <c r="L5188" i="1" s="1"/>
  <c r="K5188" i="1"/>
  <c r="L5187" i="1" a="1"/>
  <c r="L5187" i="1" s="1"/>
  <c r="K5187" i="1"/>
  <c r="L5186" i="1"/>
  <c r="K5186" i="1"/>
  <c r="L5186" i="1" s="1" a="1"/>
  <c r="K5185" i="1"/>
  <c r="L5185" i="1" s="1" a="1"/>
  <c r="L5185" i="1" s="1"/>
  <c r="L5184" i="1" a="1"/>
  <c r="L5184" i="1" s="1"/>
  <c r="K5184" i="1"/>
  <c r="L5183" i="1" a="1"/>
  <c r="L5183" i="1" s="1"/>
  <c r="K5183" i="1"/>
  <c r="K5182" i="1"/>
  <c r="L5182" i="1" s="1" a="1"/>
  <c r="L5182" i="1" s="1"/>
  <c r="K5181" i="1"/>
  <c r="L5181" i="1" s="1" a="1"/>
  <c r="L5181" i="1" s="1"/>
  <c r="L5180" i="1" a="1"/>
  <c r="L5180" i="1" s="1"/>
  <c r="K5180" i="1"/>
  <c r="L5179" i="1" a="1"/>
  <c r="L5179" i="1" s="1"/>
  <c r="K5179" i="1"/>
  <c r="K5178" i="1"/>
  <c r="L5178" i="1" s="1" a="1"/>
  <c r="L5178" i="1" s="1"/>
  <c r="K5177" i="1"/>
  <c r="L5177" i="1" s="1" a="1"/>
  <c r="L5177" i="1" s="1"/>
  <c r="L5176" i="1" a="1"/>
  <c r="L5176" i="1" s="1"/>
  <c r="K5176" i="1"/>
  <c r="L5175" i="1" a="1"/>
  <c r="L5175" i="1" s="1"/>
  <c r="K5175" i="1"/>
  <c r="L5174" i="1"/>
  <c r="L5174" i="1" a="1"/>
  <c r="K5174" i="1"/>
  <c r="K5173" i="1"/>
  <c r="L5173" i="1" s="1" a="1"/>
  <c r="L5173" i="1" s="1"/>
  <c r="L5172" i="1" a="1"/>
  <c r="L5172" i="1" s="1"/>
  <c r="K5172" i="1"/>
  <c r="L5171" i="1"/>
  <c r="L5171" i="1" a="1"/>
  <c r="K5171" i="1"/>
  <c r="L5170" i="1"/>
  <c r="L5170" i="1" a="1"/>
  <c r="K5170" i="1"/>
  <c r="K5169" i="1"/>
  <c r="L5169" i="1" s="1" a="1"/>
  <c r="L5169" i="1" s="1"/>
  <c r="L5168" i="1" a="1"/>
  <c r="L5168" i="1" s="1"/>
  <c r="K5168" i="1"/>
  <c r="L5167" i="1"/>
  <c r="L5167" i="1" a="1"/>
  <c r="K5167" i="1"/>
  <c r="L5166" i="1"/>
  <c r="L5166" i="1" a="1"/>
  <c r="K5166" i="1"/>
  <c r="K5165" i="1"/>
  <c r="L5165" i="1" s="1" a="1"/>
  <c r="L5165" i="1" s="1"/>
  <c r="L5164" i="1" a="1"/>
  <c r="L5164" i="1" s="1"/>
  <c r="K5164" i="1"/>
  <c r="L5163" i="1"/>
  <c r="L5163" i="1" a="1"/>
  <c r="K5163" i="1"/>
  <c r="L5162" i="1"/>
  <c r="L5162" i="1" a="1"/>
  <c r="K5162" i="1"/>
  <c r="K5161" i="1"/>
  <c r="L5161" i="1" s="1" a="1"/>
  <c r="L5161" i="1" s="1"/>
  <c r="L5160" i="1" a="1"/>
  <c r="L5160" i="1" s="1"/>
  <c r="K5160" i="1"/>
  <c r="L5159" i="1" a="1"/>
  <c r="L5159" i="1" s="1"/>
  <c r="K5159" i="1"/>
  <c r="L5158" i="1"/>
  <c r="L5158" i="1" a="1"/>
  <c r="K5158" i="1"/>
  <c r="K5157" i="1"/>
  <c r="L5157" i="1" s="1" a="1"/>
  <c r="L5157" i="1" s="1"/>
  <c r="L5156" i="1" a="1"/>
  <c r="L5156" i="1" s="1"/>
  <c r="K5156" i="1"/>
  <c r="L5155" i="1"/>
  <c r="L5155" i="1" a="1"/>
  <c r="K5155" i="1"/>
  <c r="L5154" i="1"/>
  <c r="L5154" i="1" a="1"/>
  <c r="K5154" i="1"/>
  <c r="K5153" i="1"/>
  <c r="L5153" i="1" s="1" a="1"/>
  <c r="L5153" i="1" s="1"/>
  <c r="L5152" i="1" a="1"/>
  <c r="L5152" i="1" s="1"/>
  <c r="K5152" i="1"/>
  <c r="L5151" i="1"/>
  <c r="L5151" i="1" a="1"/>
  <c r="K5151" i="1"/>
  <c r="L5150" i="1"/>
  <c r="L5150" i="1" a="1"/>
  <c r="K5150" i="1"/>
  <c r="K5149" i="1"/>
  <c r="L5149" i="1" s="1" a="1"/>
  <c r="L5149" i="1" s="1"/>
  <c r="L5148" i="1" a="1"/>
  <c r="L5148" i="1" s="1"/>
  <c r="K5148" i="1"/>
  <c r="L5147" i="1"/>
  <c r="L5147" i="1" a="1"/>
  <c r="K5147" i="1"/>
  <c r="L5146" i="1"/>
  <c r="L5146" i="1" a="1"/>
  <c r="K5146" i="1"/>
  <c r="K5145" i="1"/>
  <c r="L5145" i="1" s="1" a="1"/>
  <c r="L5145" i="1" s="1"/>
  <c r="L5144" i="1" a="1"/>
  <c r="L5144" i="1" s="1"/>
  <c r="K5144" i="1"/>
  <c r="L5143" i="1" a="1"/>
  <c r="L5143" i="1" s="1"/>
  <c r="K5143" i="1"/>
  <c r="L5142" i="1"/>
  <c r="L5142" i="1" a="1"/>
  <c r="K5142" i="1"/>
  <c r="K5141" i="1"/>
  <c r="L5141" i="1" s="1" a="1"/>
  <c r="L5141" i="1" s="1"/>
  <c r="L5140" i="1" a="1"/>
  <c r="L5140" i="1" s="1"/>
  <c r="K5140" i="1"/>
  <c r="L5139" i="1"/>
  <c r="L5139" i="1" a="1"/>
  <c r="K5139" i="1"/>
  <c r="L5138" i="1" a="1"/>
  <c r="L5138" i="1" s="1"/>
  <c r="K5138" i="1"/>
  <c r="K5137" i="1"/>
  <c r="L5137" i="1" s="1" a="1"/>
  <c r="L5137" i="1" s="1"/>
  <c r="L5136" i="1" a="1"/>
  <c r="L5136" i="1" s="1"/>
  <c r="K5136" i="1"/>
  <c r="L5135" i="1"/>
  <c r="L5135" i="1" a="1"/>
  <c r="K5135" i="1"/>
  <c r="L5134" i="1"/>
  <c r="L5134" i="1" a="1"/>
  <c r="K5134" i="1"/>
  <c r="K5133" i="1"/>
  <c r="L5133" i="1" s="1" a="1"/>
  <c r="L5133" i="1" s="1"/>
  <c r="L5132" i="1" a="1"/>
  <c r="L5132" i="1" s="1"/>
  <c r="K5132" i="1"/>
  <c r="L5131" i="1"/>
  <c r="L5131" i="1" a="1"/>
  <c r="K5131" i="1"/>
  <c r="L5130" i="1"/>
  <c r="L5130" i="1" a="1"/>
  <c r="K5130" i="1"/>
  <c r="K5129" i="1"/>
  <c r="L5129" i="1" s="1" a="1"/>
  <c r="L5129" i="1" s="1"/>
  <c r="L5128" i="1" a="1"/>
  <c r="L5128" i="1" s="1"/>
  <c r="K5128" i="1"/>
  <c r="L5127" i="1" a="1"/>
  <c r="L5127" i="1" s="1"/>
  <c r="K5127" i="1"/>
  <c r="L5126" i="1"/>
  <c r="L5126" i="1" a="1"/>
  <c r="K5126" i="1"/>
  <c r="K5125" i="1"/>
  <c r="L5125" i="1" s="1" a="1"/>
  <c r="L5125" i="1" s="1"/>
  <c r="L5124" i="1" a="1"/>
  <c r="L5124" i="1" s="1"/>
  <c r="K5124" i="1"/>
  <c r="L5123" i="1"/>
  <c r="L5123" i="1" a="1"/>
  <c r="K5123" i="1"/>
  <c r="L5122" i="1" a="1"/>
  <c r="L5122" i="1" s="1"/>
  <c r="K5122" i="1"/>
  <c r="K5121" i="1"/>
  <c r="L5121" i="1" s="1" a="1"/>
  <c r="L5121" i="1" s="1"/>
  <c r="L5120" i="1" a="1"/>
  <c r="L5120" i="1" s="1"/>
  <c r="K5120" i="1"/>
  <c r="L5119" i="1"/>
  <c r="L5119" i="1" a="1"/>
  <c r="K5119" i="1"/>
  <c r="L5118" i="1"/>
  <c r="L5118" i="1" a="1"/>
  <c r="K5118" i="1"/>
  <c r="K5117" i="1"/>
  <c r="L5117" i="1" s="1" a="1"/>
  <c r="L5117" i="1" s="1"/>
  <c r="L5116" i="1" a="1"/>
  <c r="L5116" i="1" s="1"/>
  <c r="K5116" i="1"/>
  <c r="L5115" i="1"/>
  <c r="L5115" i="1" a="1"/>
  <c r="K5115" i="1"/>
  <c r="L5114" i="1"/>
  <c r="L5114" i="1" a="1"/>
  <c r="K5114" i="1"/>
  <c r="K5113" i="1"/>
  <c r="L5113" i="1" s="1" a="1"/>
  <c r="L5113" i="1" s="1"/>
  <c r="L5112" i="1" a="1"/>
  <c r="L5112" i="1" s="1"/>
  <c r="K5112" i="1"/>
  <c r="L5111" i="1" a="1"/>
  <c r="L5111" i="1" s="1"/>
  <c r="K5111" i="1"/>
  <c r="L5110" i="1"/>
  <c r="L5110" i="1" a="1"/>
  <c r="K5110" i="1"/>
  <c r="K5109" i="1"/>
  <c r="L5109" i="1" s="1" a="1"/>
  <c r="L5109" i="1" s="1"/>
  <c r="L5108" i="1" a="1"/>
  <c r="L5108" i="1" s="1"/>
  <c r="K5108" i="1"/>
  <c r="L5107" i="1"/>
  <c r="L5107" i="1" a="1"/>
  <c r="K5107" i="1"/>
  <c r="L5106" i="1" a="1"/>
  <c r="L5106" i="1" s="1"/>
  <c r="K5106" i="1"/>
  <c r="K5105" i="1"/>
  <c r="L5105" i="1" s="1" a="1"/>
  <c r="L5105" i="1" s="1"/>
  <c r="L5104" i="1" a="1"/>
  <c r="L5104" i="1" s="1"/>
  <c r="K5104" i="1"/>
  <c r="L5103" i="1"/>
  <c r="L5103" i="1" a="1"/>
  <c r="K5103" i="1"/>
  <c r="L5102" i="1"/>
  <c r="L5102" i="1" a="1"/>
  <c r="K5102" i="1"/>
  <c r="K5101" i="1"/>
  <c r="L5101" i="1" s="1" a="1"/>
  <c r="L5101" i="1" s="1"/>
  <c r="L5100" i="1" a="1"/>
  <c r="L5100" i="1" s="1"/>
  <c r="K5100" i="1"/>
  <c r="L5099" i="1" a="1"/>
  <c r="L5099" i="1" s="1"/>
  <c r="K5099" i="1"/>
  <c r="L5098" i="1"/>
  <c r="L5098" i="1" a="1"/>
  <c r="K5098" i="1"/>
  <c r="K5097" i="1"/>
  <c r="L5097" i="1" s="1" a="1"/>
  <c r="L5097" i="1" s="1"/>
  <c r="L5096" i="1" a="1"/>
  <c r="L5096" i="1" s="1"/>
  <c r="K5096" i="1"/>
  <c r="L5095" i="1" a="1"/>
  <c r="L5095" i="1" s="1"/>
  <c r="K5095" i="1"/>
  <c r="L5094" i="1" a="1"/>
  <c r="L5094" i="1" s="1"/>
  <c r="K5094" i="1"/>
  <c r="K5093" i="1"/>
  <c r="L5093" i="1" s="1" a="1"/>
  <c r="L5093" i="1" s="1"/>
  <c r="L5092" i="1" a="1"/>
  <c r="L5092" i="1" s="1"/>
  <c r="K5092" i="1"/>
  <c r="L5091" i="1"/>
  <c r="L5091" i="1" a="1"/>
  <c r="K5091" i="1"/>
  <c r="L5090" i="1" a="1"/>
  <c r="L5090" i="1" s="1"/>
  <c r="K5090" i="1"/>
  <c r="K5089" i="1"/>
  <c r="L5089" i="1" s="1" a="1"/>
  <c r="L5089" i="1" s="1"/>
  <c r="L5088" i="1" a="1"/>
  <c r="L5088" i="1" s="1"/>
  <c r="K5088" i="1"/>
  <c r="L5087" i="1" a="1"/>
  <c r="L5087" i="1" s="1"/>
  <c r="K5087" i="1"/>
  <c r="L5086" i="1"/>
  <c r="L5086" i="1" a="1"/>
  <c r="K5086" i="1"/>
  <c r="L5085" i="1" a="1"/>
  <c r="L5085" i="1" s="1"/>
  <c r="K5085" i="1"/>
  <c r="L5084" i="1" a="1"/>
  <c r="L5084" i="1" s="1"/>
  <c r="K5084" i="1"/>
  <c r="L5083" i="1" a="1"/>
  <c r="L5083" i="1" s="1"/>
  <c r="K5083" i="1"/>
  <c r="L5082" i="1" a="1"/>
  <c r="L5082" i="1" s="1"/>
  <c r="K5082" i="1"/>
  <c r="K5081" i="1"/>
  <c r="L5081" i="1" s="1" a="1"/>
  <c r="L5081" i="1" s="1"/>
  <c r="L5080" i="1" a="1"/>
  <c r="L5080" i="1" s="1"/>
  <c r="K5080" i="1"/>
  <c r="L5079" i="1" a="1"/>
  <c r="L5079" i="1" s="1"/>
  <c r="K5079" i="1"/>
  <c r="L5078" i="1"/>
  <c r="L5078" i="1" a="1"/>
  <c r="K5078" i="1"/>
  <c r="L5077" i="1" a="1"/>
  <c r="L5077" i="1" s="1"/>
  <c r="K5077" i="1"/>
  <c r="L5076" i="1" a="1"/>
  <c r="L5076" i="1" s="1"/>
  <c r="K5076" i="1"/>
  <c r="L5075" i="1"/>
  <c r="L5075" i="1" a="1"/>
  <c r="K5075" i="1"/>
  <c r="L5074" i="1"/>
  <c r="L5074" i="1" a="1"/>
  <c r="K5074" i="1"/>
  <c r="K5073" i="1"/>
  <c r="L5073" i="1" s="1" a="1"/>
  <c r="L5073" i="1" s="1"/>
  <c r="L5072" i="1" a="1"/>
  <c r="L5072" i="1" s="1"/>
  <c r="K5072" i="1"/>
  <c r="L5071" i="1" a="1"/>
  <c r="L5071" i="1" s="1"/>
  <c r="K5071" i="1"/>
  <c r="L5070" i="1" a="1"/>
  <c r="L5070" i="1" s="1"/>
  <c r="K5070" i="1"/>
  <c r="K5069" i="1"/>
  <c r="L5069" i="1" s="1" a="1"/>
  <c r="L5069" i="1" s="1"/>
  <c r="L5068" i="1" a="1"/>
  <c r="L5068" i="1" s="1"/>
  <c r="K5068" i="1"/>
  <c r="L5067" i="1"/>
  <c r="L5067" i="1" a="1"/>
  <c r="K5067" i="1"/>
  <c r="L5066" i="1" a="1"/>
  <c r="L5066" i="1" s="1"/>
  <c r="K5066" i="1"/>
  <c r="K5065" i="1"/>
  <c r="L5065" i="1" s="1" a="1"/>
  <c r="L5065" i="1" s="1"/>
  <c r="L5064" i="1" a="1"/>
  <c r="L5064" i="1" s="1"/>
  <c r="K5064" i="1"/>
  <c r="L5063" i="1" a="1"/>
  <c r="L5063" i="1" s="1"/>
  <c r="K5063" i="1"/>
  <c r="L5062" i="1"/>
  <c r="L5062" i="1" a="1"/>
  <c r="K5062" i="1"/>
  <c r="L5061" i="1" a="1"/>
  <c r="L5061" i="1" s="1"/>
  <c r="K5061" i="1"/>
  <c r="L5060" i="1" a="1"/>
  <c r="L5060" i="1" s="1"/>
  <c r="K5060" i="1"/>
  <c r="L5059" i="1" a="1"/>
  <c r="L5059" i="1" s="1"/>
  <c r="K5059" i="1"/>
  <c r="L5058" i="1" a="1"/>
  <c r="L5058" i="1" s="1"/>
  <c r="K5058" i="1"/>
  <c r="K5057" i="1"/>
  <c r="L5057" i="1" s="1" a="1"/>
  <c r="L5057" i="1" s="1"/>
  <c r="L5056" i="1" a="1"/>
  <c r="L5056" i="1" s="1"/>
  <c r="K5056" i="1"/>
  <c r="L5055" i="1" a="1"/>
  <c r="L5055" i="1" s="1"/>
  <c r="K5055" i="1"/>
  <c r="L5054" i="1"/>
  <c r="L5054" i="1" a="1"/>
  <c r="K5054" i="1"/>
  <c r="L5053" i="1" a="1"/>
  <c r="L5053" i="1" s="1"/>
  <c r="K5053" i="1"/>
  <c r="L5052" i="1" a="1"/>
  <c r="L5052" i="1" s="1"/>
  <c r="K5052" i="1"/>
  <c r="L5051" i="1"/>
  <c r="L5051" i="1" a="1"/>
  <c r="K5051" i="1"/>
  <c r="L5050" i="1"/>
  <c r="L5050" i="1" a="1"/>
  <c r="K5050" i="1"/>
  <c r="K5049" i="1"/>
  <c r="L5049" i="1" s="1" a="1"/>
  <c r="L5049" i="1" s="1"/>
  <c r="L5048" i="1" a="1"/>
  <c r="L5048" i="1" s="1"/>
  <c r="K5048" i="1"/>
  <c r="L5047" i="1" a="1"/>
  <c r="L5047" i="1" s="1"/>
  <c r="K5047" i="1"/>
  <c r="L5046" i="1" a="1"/>
  <c r="L5046" i="1" s="1"/>
  <c r="K5046" i="1"/>
  <c r="K5045" i="1"/>
  <c r="L5045" i="1" s="1" a="1"/>
  <c r="L5045" i="1" s="1"/>
  <c r="K5044" i="1"/>
  <c r="L5044" i="1" s="1" a="1"/>
  <c r="L5044" i="1" s="1"/>
  <c r="L5043" i="1"/>
  <c r="L5043" i="1" a="1"/>
  <c r="K5043" i="1"/>
  <c r="L5042" i="1" a="1"/>
  <c r="L5042" i="1" s="1"/>
  <c r="K5042" i="1"/>
  <c r="L5041" i="1" a="1"/>
  <c r="L5041" i="1" s="1"/>
  <c r="K5041" i="1"/>
  <c r="K5040" i="1"/>
  <c r="L5040" i="1" s="1" a="1"/>
  <c r="L5040" i="1" s="1"/>
  <c r="K5039" i="1"/>
  <c r="L5039" i="1" s="1" a="1"/>
  <c r="L5039" i="1" s="1"/>
  <c r="K5038" i="1"/>
  <c r="L5038" i="1" s="1" a="1"/>
  <c r="L5038" i="1" s="1"/>
  <c r="L5037" i="1" a="1"/>
  <c r="L5037" i="1" s="1"/>
  <c r="K5037" i="1"/>
  <c r="L5036" i="1" a="1"/>
  <c r="L5036" i="1" s="1"/>
  <c r="K5036" i="1"/>
  <c r="L5035" i="1" a="1"/>
  <c r="L5035" i="1" s="1"/>
  <c r="K5035" i="1"/>
  <c r="L5034" i="1"/>
  <c r="L5034" i="1" a="1"/>
  <c r="K5034" i="1"/>
  <c r="K5033" i="1"/>
  <c r="L5033" i="1" s="1" a="1"/>
  <c r="L5033" i="1" s="1"/>
  <c r="L5032" i="1" a="1"/>
  <c r="L5032" i="1" s="1"/>
  <c r="K5032" i="1"/>
  <c r="L5031" i="1"/>
  <c r="L5031" i="1" a="1"/>
  <c r="K5031" i="1"/>
  <c r="K5030" i="1"/>
  <c r="L5030" i="1" s="1" a="1"/>
  <c r="L5030" i="1" s="1"/>
  <c r="L5029" i="1" a="1"/>
  <c r="L5029" i="1" s="1"/>
  <c r="K5029" i="1"/>
  <c r="K5028" i="1"/>
  <c r="L5028" i="1" s="1" a="1"/>
  <c r="L5028" i="1" s="1"/>
  <c r="K5027" i="1"/>
  <c r="L5027" i="1" s="1" a="1"/>
  <c r="L5027" i="1" s="1"/>
  <c r="K5026" i="1"/>
  <c r="L5026" i="1" s="1" a="1"/>
  <c r="L5026" i="1" s="1"/>
  <c r="K5025" i="1"/>
  <c r="L5025" i="1" s="1" a="1"/>
  <c r="L5025" i="1" s="1"/>
  <c r="L5024" i="1" a="1"/>
  <c r="L5024" i="1" s="1"/>
  <c r="K5024" i="1"/>
  <c r="K5023" i="1"/>
  <c r="L5023" i="1" s="1" a="1"/>
  <c r="L5023" i="1" s="1"/>
  <c r="L5022" i="1" a="1"/>
  <c r="L5022" i="1" s="1"/>
  <c r="K5022" i="1"/>
  <c r="K5021" i="1"/>
  <c r="L5021" i="1" s="1" a="1"/>
  <c r="L5021" i="1" s="1"/>
  <c r="K5020" i="1"/>
  <c r="L5020" i="1" s="1" a="1"/>
  <c r="L5020" i="1" s="1"/>
  <c r="L5019" i="1"/>
  <c r="L5019" i="1" a="1"/>
  <c r="K5019" i="1"/>
  <c r="L5018" i="1" a="1"/>
  <c r="L5018" i="1" s="1"/>
  <c r="K5018" i="1"/>
  <c r="L5017" i="1" a="1"/>
  <c r="L5017" i="1" s="1"/>
  <c r="K5017" i="1"/>
  <c r="K5016" i="1"/>
  <c r="L5016" i="1" s="1" a="1"/>
  <c r="L5016" i="1" s="1"/>
  <c r="K5015" i="1"/>
  <c r="L5015" i="1" s="1" a="1"/>
  <c r="L5015" i="1" s="1"/>
  <c r="K5014" i="1"/>
  <c r="L5014" i="1" s="1" a="1"/>
  <c r="L5014" i="1" s="1"/>
  <c r="L5013" i="1" a="1"/>
  <c r="L5013" i="1" s="1"/>
  <c r="K5013" i="1"/>
  <c r="L5012" i="1" a="1"/>
  <c r="L5012" i="1" s="1"/>
  <c r="K5012" i="1"/>
  <c r="L5011" i="1" a="1"/>
  <c r="L5011" i="1" s="1"/>
  <c r="K5011" i="1"/>
  <c r="L5010" i="1" a="1"/>
  <c r="L5010" i="1" s="1"/>
  <c r="K5010" i="1"/>
  <c r="K5009" i="1"/>
  <c r="L5009" i="1" s="1" a="1"/>
  <c r="L5009" i="1" s="1"/>
  <c r="L5008" i="1" a="1"/>
  <c r="L5008" i="1" s="1"/>
  <c r="K5008" i="1"/>
  <c r="L5007" i="1"/>
  <c r="L5007" i="1" a="1"/>
  <c r="K5007" i="1"/>
  <c r="K5006" i="1"/>
  <c r="L5006" i="1" s="1" a="1"/>
  <c r="L5006" i="1" s="1"/>
  <c r="L5005" i="1" a="1"/>
  <c r="L5005" i="1" s="1"/>
  <c r="K5005" i="1"/>
  <c r="K5004" i="1"/>
  <c r="L5004" i="1" s="1" a="1"/>
  <c r="L5004" i="1" s="1"/>
  <c r="K5003" i="1"/>
  <c r="L5003" i="1" s="1" a="1"/>
  <c r="L5003" i="1" s="1"/>
  <c r="K5002" i="1"/>
  <c r="L5002" i="1" s="1" a="1"/>
  <c r="L5002" i="1" s="1"/>
  <c r="K5001" i="1"/>
  <c r="L5001" i="1" s="1" a="1"/>
  <c r="L5001" i="1" s="1"/>
  <c r="L5000" i="1" a="1"/>
  <c r="L5000" i="1" s="1"/>
  <c r="K5000" i="1"/>
  <c r="K4999" i="1"/>
  <c r="L4999" i="1" s="1" a="1"/>
  <c r="L4999" i="1" s="1"/>
  <c r="L4998" i="1" a="1"/>
  <c r="L4998" i="1" s="1"/>
  <c r="K4998" i="1"/>
  <c r="K4997" i="1"/>
  <c r="L4997" i="1" s="1" a="1"/>
  <c r="L4997" i="1" s="1"/>
  <c r="K4996" i="1"/>
  <c r="L4996" i="1" s="1" a="1"/>
  <c r="L4996" i="1" s="1"/>
  <c r="L4995" i="1"/>
  <c r="L4995" i="1" a="1"/>
  <c r="K4995" i="1"/>
  <c r="L4994" i="1" a="1"/>
  <c r="L4994" i="1" s="1"/>
  <c r="K4994" i="1"/>
  <c r="L4993" i="1" a="1"/>
  <c r="L4993" i="1" s="1"/>
  <c r="K4993" i="1"/>
  <c r="K4992" i="1"/>
  <c r="L4992" i="1" s="1" a="1"/>
  <c r="L4992" i="1" s="1"/>
  <c r="K4991" i="1"/>
  <c r="L4991" i="1" s="1" a="1"/>
  <c r="L4991" i="1" s="1"/>
  <c r="K4990" i="1"/>
  <c r="L4990" i="1" s="1" a="1"/>
  <c r="L4990" i="1" s="1"/>
  <c r="L4989" i="1" a="1"/>
  <c r="L4989" i="1" s="1"/>
  <c r="K4989" i="1"/>
  <c r="L4988" i="1" a="1"/>
  <c r="L4988" i="1" s="1"/>
  <c r="K4988" i="1"/>
  <c r="L4987" i="1" a="1"/>
  <c r="L4987" i="1" s="1"/>
  <c r="K4987" i="1"/>
  <c r="L4986" i="1" a="1"/>
  <c r="L4986" i="1" s="1"/>
  <c r="K4986" i="1"/>
  <c r="K4985" i="1"/>
  <c r="L4985" i="1" s="1" a="1"/>
  <c r="L4985" i="1" s="1"/>
  <c r="L4984" i="1" a="1"/>
  <c r="L4984" i="1" s="1"/>
  <c r="K4984" i="1"/>
  <c r="L4983" i="1"/>
  <c r="L4983" i="1" a="1"/>
  <c r="K4983" i="1"/>
  <c r="L4982" i="1"/>
  <c r="K4982" i="1"/>
  <c r="L4982" i="1" s="1" a="1"/>
  <c r="L4981" i="1" a="1"/>
  <c r="L4981" i="1" s="1"/>
  <c r="K4981" i="1"/>
  <c r="K4980" i="1"/>
  <c r="L4980" i="1" s="1" a="1"/>
  <c r="L4980" i="1" s="1"/>
  <c r="K4979" i="1"/>
  <c r="L4979" i="1" s="1" a="1"/>
  <c r="L4979" i="1" s="1"/>
  <c r="K4978" i="1"/>
  <c r="L4978" i="1" s="1" a="1"/>
  <c r="L4978" i="1" s="1"/>
  <c r="K4977" i="1"/>
  <c r="L4977" i="1" s="1" a="1"/>
  <c r="L4977" i="1" s="1"/>
  <c r="L4976" i="1" a="1"/>
  <c r="L4976" i="1" s="1"/>
  <c r="K4976" i="1"/>
  <c r="K4975" i="1"/>
  <c r="L4975" i="1" s="1" a="1"/>
  <c r="L4975" i="1" s="1"/>
  <c r="L4974" i="1" a="1"/>
  <c r="L4974" i="1" s="1"/>
  <c r="K4974" i="1"/>
  <c r="K4973" i="1"/>
  <c r="L4973" i="1" s="1" a="1"/>
  <c r="L4973" i="1" s="1"/>
  <c r="K4972" i="1"/>
  <c r="L4972" i="1" s="1" a="1"/>
  <c r="L4972" i="1" s="1"/>
  <c r="L4971" i="1"/>
  <c r="L4971" i="1" a="1"/>
  <c r="K4971" i="1"/>
  <c r="L4970" i="1" a="1"/>
  <c r="L4970" i="1" s="1"/>
  <c r="K4970" i="1"/>
  <c r="L4969" i="1" a="1"/>
  <c r="L4969" i="1" s="1"/>
  <c r="K4969" i="1"/>
  <c r="K4968" i="1"/>
  <c r="L4968" i="1" s="1" a="1"/>
  <c r="L4968" i="1" s="1"/>
  <c r="L4967" i="1" a="1"/>
  <c r="L4967" i="1" s="1"/>
  <c r="K4967" i="1"/>
  <c r="K4966" i="1"/>
  <c r="L4966" i="1" s="1" a="1"/>
  <c r="L4966" i="1" s="1"/>
  <c r="L4965" i="1" a="1"/>
  <c r="L4965" i="1" s="1"/>
  <c r="K4965" i="1"/>
  <c r="L4964" i="1" a="1"/>
  <c r="L4964" i="1" s="1"/>
  <c r="K4964" i="1"/>
  <c r="L4963" i="1" a="1"/>
  <c r="L4963" i="1" s="1"/>
  <c r="K4963" i="1"/>
  <c r="L4962" i="1" a="1"/>
  <c r="L4962" i="1" s="1"/>
  <c r="K4962" i="1"/>
  <c r="K4961" i="1"/>
  <c r="L4961" i="1" s="1" a="1"/>
  <c r="L4961" i="1" s="1"/>
  <c r="L4960" i="1" a="1"/>
  <c r="L4960" i="1" s="1"/>
  <c r="K4960" i="1"/>
  <c r="L4959" i="1"/>
  <c r="L4959" i="1" a="1"/>
  <c r="K4959" i="1"/>
  <c r="L4958" i="1"/>
  <c r="K4958" i="1"/>
  <c r="L4958" i="1" s="1" a="1"/>
  <c r="L4957" i="1" a="1"/>
  <c r="L4957" i="1" s="1"/>
  <c r="K4957" i="1"/>
  <c r="K4956" i="1"/>
  <c r="L4956" i="1" s="1" a="1"/>
  <c r="L4956" i="1" s="1"/>
  <c r="K4955" i="1"/>
  <c r="L4955" i="1" s="1" a="1"/>
  <c r="L4955" i="1" s="1"/>
  <c r="K4954" i="1"/>
  <c r="L4954" i="1" s="1" a="1"/>
  <c r="L4954" i="1" s="1"/>
  <c r="K4953" i="1"/>
  <c r="L4953" i="1" s="1" a="1"/>
  <c r="L4953" i="1" s="1"/>
  <c r="L4952" i="1"/>
  <c r="L4952" i="1" a="1"/>
  <c r="K4952" i="1"/>
  <c r="L4951" i="1" a="1"/>
  <c r="L4951" i="1" s="1"/>
  <c r="K4951" i="1"/>
  <c r="L4950" i="1"/>
  <c r="L4950" i="1" a="1"/>
  <c r="K4950" i="1"/>
  <c r="L4949" i="1"/>
  <c r="K4949" i="1"/>
  <c r="L4949" i="1" s="1" a="1"/>
  <c r="L4948" i="1"/>
  <c r="L4948" i="1" a="1"/>
  <c r="K4948" i="1"/>
  <c r="L4947" i="1" a="1"/>
  <c r="L4947" i="1" s="1"/>
  <c r="K4947" i="1"/>
  <c r="L4946" i="1"/>
  <c r="L4946" i="1" a="1"/>
  <c r="K4946" i="1"/>
  <c r="K4945" i="1"/>
  <c r="L4945" i="1" s="1" a="1"/>
  <c r="L4945" i="1" s="1"/>
  <c r="L4944" i="1"/>
  <c r="L4944" i="1" a="1"/>
  <c r="K4944" i="1"/>
  <c r="L4943" i="1" a="1"/>
  <c r="L4943" i="1" s="1"/>
  <c r="K4943" i="1"/>
  <c r="L4942" i="1"/>
  <c r="L4942" i="1" a="1"/>
  <c r="K4942" i="1"/>
  <c r="L4941" i="1"/>
  <c r="K4941" i="1"/>
  <c r="L4941" i="1" s="1" a="1"/>
  <c r="L4940" i="1"/>
  <c r="L4940" i="1" a="1"/>
  <c r="K4940" i="1"/>
  <c r="L4939" i="1" a="1"/>
  <c r="L4939" i="1" s="1"/>
  <c r="K4939" i="1"/>
  <c r="L4938" i="1"/>
  <c r="L4938" i="1" a="1"/>
  <c r="K4938" i="1"/>
  <c r="K4937" i="1"/>
  <c r="L4937" i="1" s="1" a="1"/>
  <c r="L4937" i="1" s="1"/>
  <c r="L4936" i="1"/>
  <c r="L4936" i="1" a="1"/>
  <c r="K4936" i="1"/>
  <c r="L4935" i="1" a="1"/>
  <c r="L4935" i="1" s="1"/>
  <c r="K4935" i="1"/>
  <c r="L4934" i="1" a="1"/>
  <c r="L4934" i="1" s="1"/>
  <c r="K4934" i="1"/>
  <c r="L4933" i="1"/>
  <c r="K4933" i="1"/>
  <c r="L4933" i="1" s="1" a="1"/>
  <c r="L4932" i="1"/>
  <c r="L4932" i="1" a="1"/>
  <c r="K4932" i="1"/>
  <c r="L4931" i="1" a="1"/>
  <c r="L4931" i="1" s="1"/>
  <c r="K4931" i="1"/>
  <c r="L4930" i="1" a="1"/>
  <c r="L4930" i="1" s="1"/>
  <c r="K4930" i="1"/>
  <c r="L4929" i="1"/>
  <c r="K4929" i="1"/>
  <c r="L4929" i="1" s="1" a="1"/>
  <c r="L4928" i="1"/>
  <c r="L4928" i="1" a="1"/>
  <c r="K4928" i="1"/>
  <c r="L4927" i="1" a="1"/>
  <c r="L4927" i="1" s="1"/>
  <c r="K4927" i="1"/>
  <c r="L4926" i="1" a="1"/>
  <c r="L4926" i="1" s="1"/>
  <c r="K4926" i="1"/>
  <c r="L4925" i="1"/>
  <c r="K4925" i="1"/>
  <c r="L4925" i="1" s="1" a="1"/>
  <c r="L4924" i="1"/>
  <c r="L4924" i="1" a="1"/>
  <c r="K4924" i="1"/>
  <c r="L4923" i="1" a="1"/>
  <c r="L4923" i="1" s="1"/>
  <c r="K4923" i="1"/>
  <c r="L4922" i="1" a="1"/>
  <c r="L4922" i="1" s="1"/>
  <c r="K4922" i="1"/>
  <c r="K4921" i="1"/>
  <c r="L4921" i="1" s="1" a="1"/>
  <c r="L4921" i="1" s="1"/>
  <c r="L4920" i="1"/>
  <c r="L4920" i="1" a="1"/>
  <c r="K4920" i="1"/>
  <c r="L4919" i="1" a="1"/>
  <c r="L4919" i="1" s="1"/>
  <c r="K4919" i="1"/>
  <c r="L4918" i="1" a="1"/>
  <c r="L4918" i="1" s="1"/>
  <c r="K4918" i="1"/>
  <c r="L4917" i="1"/>
  <c r="K4917" i="1"/>
  <c r="L4917" i="1" s="1" a="1"/>
  <c r="L4916" i="1"/>
  <c r="L4916" i="1" a="1"/>
  <c r="K4916" i="1"/>
  <c r="L4915" i="1" a="1"/>
  <c r="L4915" i="1" s="1"/>
  <c r="K4915" i="1"/>
  <c r="L4914" i="1" a="1"/>
  <c r="L4914" i="1" s="1"/>
  <c r="K4914" i="1"/>
  <c r="L4913" i="1"/>
  <c r="K4913" i="1"/>
  <c r="L4913" i="1" s="1" a="1"/>
  <c r="L4912" i="1"/>
  <c r="L4912" i="1" a="1"/>
  <c r="K4912" i="1"/>
  <c r="L4911" i="1" a="1"/>
  <c r="L4911" i="1" s="1"/>
  <c r="K4911" i="1"/>
  <c r="L4910" i="1" a="1"/>
  <c r="L4910" i="1" s="1"/>
  <c r="K4910" i="1"/>
  <c r="K4909" i="1"/>
  <c r="L4909" i="1" s="1" a="1"/>
  <c r="L4909" i="1" s="1"/>
  <c r="L4908" i="1" a="1"/>
  <c r="L4908" i="1" s="1"/>
  <c r="K4908" i="1"/>
  <c r="L4907" i="1" a="1"/>
  <c r="L4907" i="1" s="1"/>
  <c r="K4907" i="1"/>
  <c r="L4906" i="1" a="1"/>
  <c r="L4906" i="1" s="1"/>
  <c r="K4906" i="1"/>
  <c r="K4905" i="1"/>
  <c r="L4905" i="1" s="1" a="1"/>
  <c r="L4905" i="1" s="1"/>
  <c r="L4904" i="1"/>
  <c r="L4904" i="1" a="1"/>
  <c r="K4904" i="1"/>
  <c r="L4903" i="1" a="1"/>
  <c r="L4903" i="1" s="1"/>
  <c r="K4903" i="1"/>
  <c r="L4902" i="1" a="1"/>
  <c r="L4902" i="1" s="1"/>
  <c r="K4902" i="1"/>
  <c r="L4901" i="1"/>
  <c r="K4901" i="1"/>
  <c r="L4901" i="1" s="1" a="1"/>
  <c r="L4900" i="1"/>
  <c r="L4900" i="1" a="1"/>
  <c r="K4900" i="1"/>
  <c r="L4899" i="1" a="1"/>
  <c r="L4899" i="1" s="1"/>
  <c r="K4899" i="1"/>
  <c r="L4898" i="1" a="1"/>
  <c r="L4898" i="1" s="1"/>
  <c r="K4898" i="1"/>
  <c r="L4897" i="1"/>
  <c r="K4897" i="1"/>
  <c r="L4897" i="1" s="1" a="1"/>
  <c r="L4896" i="1"/>
  <c r="L4896" i="1" a="1"/>
  <c r="K4896" i="1"/>
  <c r="L4895" i="1" a="1"/>
  <c r="L4895" i="1" s="1"/>
  <c r="K4895" i="1"/>
  <c r="L4894" i="1" a="1"/>
  <c r="L4894" i="1" s="1"/>
  <c r="K4894" i="1"/>
  <c r="K4893" i="1"/>
  <c r="L4893" i="1" s="1" a="1"/>
  <c r="L4893" i="1" s="1"/>
  <c r="L4892" i="1" a="1"/>
  <c r="L4892" i="1" s="1"/>
  <c r="K4892" i="1"/>
  <c r="L4891" i="1" a="1"/>
  <c r="L4891" i="1" s="1"/>
  <c r="K4891" i="1"/>
  <c r="L4890" i="1" a="1"/>
  <c r="L4890" i="1" s="1"/>
  <c r="K4890" i="1"/>
  <c r="K4889" i="1"/>
  <c r="L4889" i="1" s="1" a="1"/>
  <c r="L4889" i="1" s="1"/>
  <c r="L4888" i="1"/>
  <c r="L4888" i="1" a="1"/>
  <c r="K4888" i="1"/>
  <c r="L4887" i="1" a="1"/>
  <c r="L4887" i="1" s="1"/>
  <c r="K4887" i="1"/>
  <c r="L4886" i="1" a="1"/>
  <c r="L4886" i="1" s="1"/>
  <c r="K4886" i="1"/>
  <c r="L4885" i="1"/>
  <c r="K4885" i="1"/>
  <c r="L4885" i="1" s="1" a="1"/>
  <c r="L4884" i="1"/>
  <c r="L4884" i="1" a="1"/>
  <c r="K4884" i="1"/>
  <c r="L4883" i="1" a="1"/>
  <c r="L4883" i="1" s="1"/>
  <c r="K4883" i="1"/>
  <c r="L4882" i="1" a="1"/>
  <c r="L4882" i="1" s="1"/>
  <c r="K4882" i="1"/>
  <c r="L4881" i="1"/>
  <c r="K4881" i="1"/>
  <c r="L4881" i="1" s="1" a="1"/>
  <c r="L4880" i="1" a="1"/>
  <c r="L4880" i="1" s="1"/>
  <c r="K4880" i="1"/>
  <c r="L4879" i="1" a="1"/>
  <c r="L4879" i="1" s="1"/>
  <c r="K4879" i="1"/>
  <c r="L4878" i="1" a="1"/>
  <c r="L4878" i="1" s="1"/>
  <c r="K4878" i="1"/>
  <c r="K4877" i="1"/>
  <c r="L4877" i="1" s="1" a="1"/>
  <c r="L4877" i="1" s="1"/>
  <c r="L4876" i="1" a="1"/>
  <c r="L4876" i="1" s="1"/>
  <c r="K4876" i="1"/>
  <c r="L4875" i="1" a="1"/>
  <c r="L4875" i="1" s="1"/>
  <c r="K4875" i="1"/>
  <c r="L4874" i="1" a="1"/>
  <c r="L4874" i="1" s="1"/>
  <c r="K4874" i="1"/>
  <c r="K4873" i="1"/>
  <c r="L4873" i="1" s="1" a="1"/>
  <c r="L4873" i="1" s="1"/>
  <c r="L4872" i="1"/>
  <c r="L4872" i="1" a="1"/>
  <c r="K4872" i="1"/>
  <c r="L4871" i="1" a="1"/>
  <c r="L4871" i="1" s="1"/>
  <c r="K4871" i="1"/>
  <c r="L4870" i="1" a="1"/>
  <c r="L4870" i="1" s="1"/>
  <c r="K4870" i="1"/>
  <c r="L4869" i="1"/>
  <c r="K4869" i="1"/>
  <c r="L4869" i="1" s="1" a="1"/>
  <c r="L4868" i="1" a="1"/>
  <c r="L4868" i="1" s="1"/>
  <c r="K4868" i="1"/>
  <c r="L4867" i="1" a="1"/>
  <c r="L4867" i="1" s="1"/>
  <c r="K4867" i="1"/>
  <c r="L4866" i="1" a="1"/>
  <c r="L4866" i="1" s="1"/>
  <c r="K4866" i="1"/>
  <c r="L4865" i="1"/>
  <c r="K4865" i="1"/>
  <c r="L4865" i="1" s="1" a="1"/>
  <c r="L4864" i="1" a="1"/>
  <c r="L4864" i="1" s="1"/>
  <c r="K4864" i="1"/>
  <c r="L4863" i="1" a="1"/>
  <c r="L4863" i="1" s="1"/>
  <c r="K4863" i="1"/>
  <c r="L4862" i="1" a="1"/>
  <c r="L4862" i="1" s="1"/>
  <c r="K4862" i="1"/>
  <c r="K4861" i="1"/>
  <c r="L4861" i="1" s="1" a="1"/>
  <c r="L4861" i="1" s="1"/>
  <c r="L4860" i="1" a="1"/>
  <c r="L4860" i="1" s="1"/>
  <c r="K4860" i="1"/>
  <c r="L4859" i="1" a="1"/>
  <c r="L4859" i="1" s="1"/>
  <c r="K4859" i="1"/>
  <c r="L4858" i="1" a="1"/>
  <c r="L4858" i="1" s="1"/>
  <c r="K4858" i="1"/>
  <c r="K4857" i="1"/>
  <c r="L4857" i="1" s="1" a="1"/>
  <c r="L4857" i="1" s="1"/>
  <c r="L4856" i="1"/>
  <c r="L4856" i="1" a="1"/>
  <c r="K4856" i="1"/>
  <c r="L4855" i="1" a="1"/>
  <c r="L4855" i="1" s="1"/>
  <c r="K4855" i="1"/>
  <c r="L4854" i="1" a="1"/>
  <c r="L4854" i="1" s="1"/>
  <c r="K4854" i="1"/>
  <c r="L4853" i="1"/>
  <c r="K4853" i="1"/>
  <c r="L4853" i="1" s="1" a="1"/>
  <c r="L4852" i="1"/>
  <c r="L4852" i="1" a="1"/>
  <c r="K4852" i="1"/>
  <c r="L4851" i="1" a="1"/>
  <c r="L4851" i="1" s="1"/>
  <c r="K4851" i="1"/>
  <c r="L4850" i="1" a="1"/>
  <c r="L4850" i="1" s="1"/>
  <c r="K4850" i="1"/>
  <c r="L4849" i="1"/>
  <c r="K4849" i="1"/>
  <c r="L4849" i="1" s="1" a="1"/>
  <c r="L4848" i="1" a="1"/>
  <c r="L4848" i="1" s="1"/>
  <c r="K4848" i="1"/>
  <c r="L4847" i="1" a="1"/>
  <c r="L4847" i="1" s="1"/>
  <c r="K4847" i="1"/>
  <c r="L4846" i="1" a="1"/>
  <c r="L4846" i="1" s="1"/>
  <c r="K4846" i="1"/>
  <c r="K4845" i="1"/>
  <c r="L4845" i="1" s="1" a="1"/>
  <c r="L4845" i="1" s="1"/>
  <c r="L4844" i="1" a="1"/>
  <c r="L4844" i="1" s="1"/>
  <c r="K4844" i="1"/>
  <c r="L4843" i="1" a="1"/>
  <c r="L4843" i="1" s="1"/>
  <c r="K4843" i="1"/>
  <c r="L4842" i="1" a="1"/>
  <c r="L4842" i="1" s="1"/>
  <c r="K4842" i="1"/>
  <c r="K4841" i="1"/>
  <c r="L4841" i="1" s="1" a="1"/>
  <c r="L4841" i="1" s="1"/>
  <c r="L4840" i="1"/>
  <c r="L4840" i="1" a="1"/>
  <c r="K4840" i="1"/>
  <c r="L4839" i="1" a="1"/>
  <c r="L4839" i="1" s="1"/>
  <c r="K4839" i="1"/>
  <c r="L4838" i="1" a="1"/>
  <c r="L4838" i="1" s="1"/>
  <c r="K4838" i="1"/>
  <c r="L4837" i="1"/>
  <c r="K4837" i="1"/>
  <c r="L4837" i="1" s="1" a="1"/>
  <c r="L4836" i="1"/>
  <c r="L4836" i="1" a="1"/>
  <c r="K4836" i="1"/>
  <c r="L4835" i="1" a="1"/>
  <c r="L4835" i="1" s="1"/>
  <c r="K4835" i="1"/>
  <c r="L4834" i="1" a="1"/>
  <c r="L4834" i="1" s="1"/>
  <c r="K4834" i="1"/>
  <c r="L4833" i="1"/>
  <c r="K4833" i="1"/>
  <c r="L4833" i="1" s="1" a="1"/>
  <c r="L4832" i="1" a="1"/>
  <c r="L4832" i="1" s="1"/>
  <c r="K4832" i="1"/>
  <c r="L4831" i="1" a="1"/>
  <c r="L4831" i="1" s="1"/>
  <c r="K4831" i="1"/>
  <c r="L4830" i="1" a="1"/>
  <c r="L4830" i="1" s="1"/>
  <c r="K4830" i="1"/>
  <c r="K4829" i="1"/>
  <c r="L4829" i="1" s="1" a="1"/>
  <c r="L4829" i="1" s="1"/>
  <c r="L4828" i="1" a="1"/>
  <c r="L4828" i="1" s="1"/>
  <c r="K4828" i="1"/>
  <c r="L4827" i="1" a="1"/>
  <c r="L4827" i="1" s="1"/>
  <c r="K4827" i="1"/>
  <c r="L4826" i="1" a="1"/>
  <c r="L4826" i="1" s="1"/>
  <c r="K4826" i="1"/>
  <c r="K4825" i="1"/>
  <c r="L4825" i="1" s="1" a="1"/>
  <c r="L4825" i="1" s="1"/>
  <c r="L4824" i="1"/>
  <c r="L4824" i="1" a="1"/>
  <c r="K4824" i="1"/>
  <c r="L4823" i="1" a="1"/>
  <c r="L4823" i="1" s="1"/>
  <c r="K4823" i="1"/>
  <c r="L4822" i="1" a="1"/>
  <c r="L4822" i="1" s="1"/>
  <c r="K4822" i="1"/>
  <c r="L4821" i="1"/>
  <c r="K4821" i="1"/>
  <c r="L4821" i="1" s="1" a="1"/>
  <c r="L4820" i="1"/>
  <c r="L4820" i="1" a="1"/>
  <c r="K4820" i="1"/>
  <c r="L4819" i="1" a="1"/>
  <c r="L4819" i="1" s="1"/>
  <c r="K4819" i="1"/>
  <c r="L4818" i="1" a="1"/>
  <c r="L4818" i="1" s="1"/>
  <c r="K4818" i="1"/>
  <c r="L4817" i="1"/>
  <c r="K4817" i="1"/>
  <c r="L4817" i="1" s="1" a="1"/>
  <c r="L4816" i="1" a="1"/>
  <c r="L4816" i="1" s="1"/>
  <c r="K4816" i="1"/>
  <c r="L4815" i="1" a="1"/>
  <c r="L4815" i="1" s="1"/>
  <c r="K4815" i="1"/>
  <c r="L4814" i="1" a="1"/>
  <c r="L4814" i="1" s="1"/>
  <c r="K4814" i="1"/>
  <c r="K4813" i="1"/>
  <c r="L4813" i="1" s="1" a="1"/>
  <c r="L4813" i="1" s="1"/>
  <c r="L4812" i="1" a="1"/>
  <c r="L4812" i="1" s="1"/>
  <c r="K4812" i="1"/>
  <c r="L4811" i="1" a="1"/>
  <c r="L4811" i="1" s="1"/>
  <c r="K4811" i="1"/>
  <c r="L4810" i="1" a="1"/>
  <c r="L4810" i="1" s="1"/>
  <c r="K4810" i="1"/>
  <c r="K4809" i="1"/>
  <c r="L4809" i="1" s="1" a="1"/>
  <c r="L4809" i="1" s="1"/>
  <c r="L4808" i="1"/>
  <c r="L4808" i="1" a="1"/>
  <c r="K4808" i="1"/>
  <c r="L4807" i="1" a="1"/>
  <c r="L4807" i="1" s="1"/>
  <c r="K4807" i="1"/>
  <c r="L4806" i="1" a="1"/>
  <c r="L4806" i="1" s="1"/>
  <c r="K4806" i="1"/>
  <c r="L4805" i="1"/>
  <c r="K4805" i="1"/>
  <c r="L4805" i="1" s="1" a="1"/>
  <c r="L4804" i="1"/>
  <c r="L4804" i="1" a="1"/>
  <c r="K4804" i="1"/>
  <c r="L4803" i="1" a="1"/>
  <c r="L4803" i="1" s="1"/>
  <c r="K4803" i="1"/>
  <c r="L4802" i="1" a="1"/>
  <c r="L4802" i="1" s="1"/>
  <c r="K4802" i="1"/>
  <c r="L4801" i="1"/>
  <c r="K4801" i="1"/>
  <c r="L4801" i="1" s="1" a="1"/>
  <c r="L4800" i="1" a="1"/>
  <c r="L4800" i="1" s="1"/>
  <c r="K4800" i="1"/>
  <c r="L4799" i="1" a="1"/>
  <c r="L4799" i="1" s="1"/>
  <c r="K4799" i="1"/>
  <c r="L4798" i="1" a="1"/>
  <c r="L4798" i="1" s="1"/>
  <c r="K4798" i="1"/>
  <c r="K4797" i="1"/>
  <c r="L4797" i="1" s="1" a="1"/>
  <c r="L4797" i="1" s="1"/>
  <c r="L4796" i="1" a="1"/>
  <c r="L4796" i="1" s="1"/>
  <c r="K4796" i="1"/>
  <c r="L4795" i="1" a="1"/>
  <c r="L4795" i="1" s="1"/>
  <c r="K4795" i="1"/>
  <c r="L4794" i="1" a="1"/>
  <c r="L4794" i="1" s="1"/>
  <c r="K4794" i="1"/>
  <c r="K4793" i="1"/>
  <c r="L4793" i="1" s="1" a="1"/>
  <c r="L4793" i="1" s="1"/>
  <c r="L4792" i="1"/>
  <c r="L4792" i="1" a="1"/>
  <c r="K4792" i="1"/>
  <c r="L4791" i="1" a="1"/>
  <c r="L4791" i="1" s="1"/>
  <c r="K4791" i="1"/>
  <c r="L4790" i="1" a="1"/>
  <c r="L4790" i="1" s="1"/>
  <c r="K4790" i="1"/>
  <c r="L4789" i="1"/>
  <c r="K4789" i="1"/>
  <c r="L4789" i="1" s="1" a="1"/>
  <c r="L4788" i="1"/>
  <c r="L4788" i="1" a="1"/>
  <c r="K4788" i="1"/>
  <c r="L4787" i="1" a="1"/>
  <c r="L4787" i="1" s="1"/>
  <c r="K4787" i="1"/>
  <c r="L4786" i="1" a="1"/>
  <c r="L4786" i="1" s="1"/>
  <c r="K4786" i="1"/>
  <c r="L4785" i="1"/>
  <c r="K4785" i="1"/>
  <c r="L4785" i="1" s="1" a="1"/>
  <c r="L4784" i="1" a="1"/>
  <c r="L4784" i="1" s="1"/>
  <c r="K4784" i="1"/>
  <c r="L4783" i="1" a="1"/>
  <c r="L4783" i="1" s="1"/>
  <c r="K4783" i="1"/>
  <c r="L4782" i="1" a="1"/>
  <c r="L4782" i="1" s="1"/>
  <c r="K4782" i="1"/>
  <c r="K4781" i="1"/>
  <c r="L4781" i="1" s="1" a="1"/>
  <c r="L4781" i="1" s="1"/>
  <c r="L4780" i="1" a="1"/>
  <c r="L4780" i="1" s="1"/>
  <c r="K4780" i="1"/>
  <c r="L4779" i="1" a="1"/>
  <c r="L4779" i="1" s="1"/>
  <c r="K4779" i="1"/>
  <c r="L4778" i="1" a="1"/>
  <c r="L4778" i="1" s="1"/>
  <c r="K4778" i="1"/>
  <c r="K4777" i="1"/>
  <c r="L4777" i="1" s="1" a="1"/>
  <c r="L4777" i="1" s="1"/>
  <c r="L4776" i="1"/>
  <c r="L4776" i="1" a="1"/>
  <c r="K4776" i="1"/>
  <c r="L4775" i="1" a="1"/>
  <c r="L4775" i="1" s="1"/>
  <c r="K4775" i="1"/>
  <c r="L4774" i="1" a="1"/>
  <c r="L4774" i="1" s="1"/>
  <c r="K4774" i="1"/>
  <c r="L4773" i="1"/>
  <c r="K4773" i="1"/>
  <c r="L4773" i="1" s="1" a="1"/>
  <c r="L4772" i="1"/>
  <c r="L4772" i="1" a="1"/>
  <c r="K4772" i="1"/>
  <c r="L4771" i="1" a="1"/>
  <c r="L4771" i="1" s="1"/>
  <c r="K4771" i="1"/>
  <c r="L4770" i="1" a="1"/>
  <c r="L4770" i="1" s="1"/>
  <c r="K4770" i="1"/>
  <c r="L4769" i="1"/>
  <c r="K4769" i="1"/>
  <c r="L4769" i="1" s="1" a="1"/>
  <c r="L4768" i="1" a="1"/>
  <c r="L4768" i="1" s="1"/>
  <c r="K4768" i="1"/>
  <c r="L4767" i="1" a="1"/>
  <c r="L4767" i="1" s="1"/>
  <c r="K4767" i="1"/>
  <c r="L4766" i="1" a="1"/>
  <c r="L4766" i="1" s="1"/>
  <c r="K4766" i="1"/>
  <c r="K4765" i="1"/>
  <c r="L4765" i="1" s="1" a="1"/>
  <c r="L4765" i="1" s="1"/>
  <c r="L4764" i="1" a="1"/>
  <c r="L4764" i="1" s="1"/>
  <c r="K4764" i="1"/>
  <c r="L4763" i="1" a="1"/>
  <c r="L4763" i="1" s="1"/>
  <c r="K4763" i="1"/>
  <c r="L4762" i="1" a="1"/>
  <c r="L4762" i="1" s="1"/>
  <c r="K4762" i="1"/>
  <c r="K4761" i="1"/>
  <c r="L4761" i="1" s="1" a="1"/>
  <c r="L4761" i="1" s="1"/>
  <c r="L4760" i="1"/>
  <c r="L4760" i="1" a="1"/>
  <c r="K4760" i="1"/>
  <c r="L4759" i="1" a="1"/>
  <c r="L4759" i="1" s="1"/>
  <c r="K4759" i="1"/>
  <c r="L4758" i="1" a="1"/>
  <c r="L4758" i="1" s="1"/>
  <c r="K4758" i="1"/>
  <c r="L4757" i="1"/>
  <c r="K4757" i="1"/>
  <c r="L4757" i="1" s="1" a="1"/>
  <c r="L4756" i="1"/>
  <c r="L4756" i="1" a="1"/>
  <c r="K4756" i="1"/>
  <c r="L4755" i="1" a="1"/>
  <c r="L4755" i="1" s="1"/>
  <c r="K4755" i="1"/>
  <c r="L4754" i="1" a="1"/>
  <c r="L4754" i="1" s="1"/>
  <c r="K4754" i="1"/>
  <c r="L4753" i="1"/>
  <c r="K4753" i="1"/>
  <c r="L4753" i="1" s="1" a="1"/>
  <c r="L4752" i="1" a="1"/>
  <c r="L4752" i="1" s="1"/>
  <c r="K4752" i="1"/>
  <c r="L4751" i="1" a="1"/>
  <c r="L4751" i="1" s="1"/>
  <c r="K4751" i="1"/>
  <c r="L4750" i="1" a="1"/>
  <c r="L4750" i="1" s="1"/>
  <c r="K4750" i="1"/>
  <c r="K4749" i="1"/>
  <c r="L4749" i="1" s="1" a="1"/>
  <c r="L4749" i="1" s="1"/>
  <c r="L4748" i="1" a="1"/>
  <c r="L4748" i="1" s="1"/>
  <c r="K4748" i="1"/>
  <c r="L4747" i="1" a="1"/>
  <c r="L4747" i="1" s="1"/>
  <c r="K4747" i="1"/>
  <c r="L4746" i="1" a="1"/>
  <c r="L4746" i="1" s="1"/>
  <c r="K4746" i="1"/>
  <c r="K4745" i="1"/>
  <c r="L4745" i="1" s="1" a="1"/>
  <c r="L4745" i="1" s="1"/>
  <c r="L4744" i="1"/>
  <c r="L4744" i="1" a="1"/>
  <c r="K4744" i="1"/>
  <c r="L4743" i="1" a="1"/>
  <c r="L4743" i="1" s="1"/>
  <c r="K4743" i="1"/>
  <c r="L4742" i="1" a="1"/>
  <c r="L4742" i="1" s="1"/>
  <c r="K4742" i="1"/>
  <c r="L4741" i="1"/>
  <c r="K4741" i="1"/>
  <c r="L4741" i="1" s="1" a="1"/>
  <c r="L4740" i="1" a="1"/>
  <c r="L4740" i="1" s="1"/>
  <c r="K4740" i="1"/>
  <c r="L4739" i="1" a="1"/>
  <c r="L4739" i="1" s="1"/>
  <c r="K4739" i="1"/>
  <c r="L4738" i="1" a="1"/>
  <c r="L4738" i="1" s="1"/>
  <c r="K4738" i="1"/>
  <c r="L4737" i="1"/>
  <c r="K4737" i="1"/>
  <c r="L4737" i="1" s="1" a="1"/>
  <c r="L4736" i="1"/>
  <c r="L4736" i="1" a="1"/>
  <c r="K4736" i="1"/>
  <c r="L4735" i="1" a="1"/>
  <c r="L4735" i="1" s="1"/>
  <c r="K4735" i="1"/>
  <c r="L4734" i="1" a="1"/>
  <c r="L4734" i="1" s="1"/>
  <c r="K4734" i="1"/>
  <c r="K4733" i="1"/>
  <c r="L4733" i="1" s="1" a="1"/>
  <c r="L4733" i="1" s="1"/>
  <c r="L4732" i="1" a="1"/>
  <c r="L4732" i="1" s="1"/>
  <c r="K4732" i="1"/>
  <c r="L4731" i="1" a="1"/>
  <c r="L4731" i="1" s="1"/>
  <c r="K4731" i="1"/>
  <c r="L4730" i="1" a="1"/>
  <c r="L4730" i="1" s="1"/>
  <c r="K4730" i="1"/>
  <c r="K4729" i="1"/>
  <c r="L4729" i="1" s="1" a="1"/>
  <c r="L4729" i="1" s="1"/>
  <c r="L4728" i="1"/>
  <c r="L4728" i="1" a="1"/>
  <c r="K4728" i="1"/>
  <c r="L4727" i="1" a="1"/>
  <c r="L4727" i="1" s="1"/>
  <c r="K4727" i="1"/>
  <c r="L4726" i="1" a="1"/>
  <c r="L4726" i="1" s="1"/>
  <c r="K4726" i="1"/>
  <c r="L4725" i="1"/>
  <c r="K4725" i="1"/>
  <c r="L4725" i="1" s="1" a="1"/>
  <c r="L4724" i="1" a="1"/>
  <c r="L4724" i="1" s="1"/>
  <c r="K4724" i="1"/>
  <c r="L4723" i="1" a="1"/>
  <c r="L4723" i="1" s="1"/>
  <c r="K4723" i="1"/>
  <c r="L4722" i="1" a="1"/>
  <c r="L4722" i="1" s="1"/>
  <c r="K4722" i="1"/>
  <c r="L4721" i="1"/>
  <c r="K4721" i="1"/>
  <c r="L4721" i="1" s="1" a="1"/>
  <c r="L4720" i="1"/>
  <c r="L4720" i="1" a="1"/>
  <c r="K4720" i="1"/>
  <c r="L4719" i="1" a="1"/>
  <c r="L4719" i="1" s="1"/>
  <c r="K4719" i="1"/>
  <c r="L4718" i="1" a="1"/>
  <c r="L4718" i="1" s="1"/>
  <c r="K4718" i="1"/>
  <c r="L4717" i="1" a="1"/>
  <c r="L4717" i="1" s="1"/>
  <c r="K4717" i="1"/>
  <c r="L4716" i="1"/>
  <c r="L4716" i="1" a="1"/>
  <c r="K4716" i="1"/>
  <c r="L4715" i="1" a="1"/>
  <c r="L4715" i="1" s="1"/>
  <c r="K4715" i="1"/>
  <c r="L4714" i="1" a="1"/>
  <c r="L4714" i="1" s="1"/>
  <c r="K4714" i="1"/>
  <c r="L4713" i="1"/>
  <c r="L4713" i="1" a="1"/>
  <c r="K4713" i="1"/>
  <c r="L4712" i="1"/>
  <c r="L4712" i="1" a="1"/>
  <c r="K4712" i="1"/>
  <c r="L4711" i="1" a="1"/>
  <c r="L4711" i="1" s="1"/>
  <c r="K4711" i="1"/>
  <c r="L4710" i="1" a="1"/>
  <c r="L4710" i="1" s="1"/>
  <c r="K4710" i="1"/>
  <c r="K4709" i="1"/>
  <c r="L4709" i="1" s="1" a="1"/>
  <c r="L4709" i="1" s="1"/>
  <c r="L4708" i="1"/>
  <c r="L4708" i="1" a="1"/>
  <c r="K4708" i="1"/>
  <c r="L4707" i="1" a="1"/>
  <c r="L4707" i="1" s="1"/>
  <c r="K4707" i="1"/>
  <c r="L4706" i="1" a="1"/>
  <c r="L4706" i="1" s="1"/>
  <c r="K4706" i="1"/>
  <c r="L4705" i="1"/>
  <c r="L4705" i="1" a="1"/>
  <c r="K4705" i="1"/>
  <c r="L4704" i="1" a="1"/>
  <c r="L4704" i="1" s="1"/>
  <c r="K4704" i="1"/>
  <c r="L4703" i="1" a="1"/>
  <c r="L4703" i="1" s="1"/>
  <c r="K4703" i="1"/>
  <c r="L4702" i="1" a="1"/>
  <c r="L4702" i="1" s="1"/>
  <c r="K4702" i="1"/>
  <c r="L4701" i="1" a="1"/>
  <c r="L4701" i="1" s="1"/>
  <c r="K4701" i="1"/>
  <c r="L4700" i="1"/>
  <c r="L4700" i="1" a="1"/>
  <c r="K4700" i="1"/>
  <c r="L4699" i="1" a="1"/>
  <c r="L4699" i="1" s="1"/>
  <c r="K4699" i="1"/>
  <c r="L4698" i="1" a="1"/>
  <c r="L4698" i="1" s="1"/>
  <c r="K4698" i="1"/>
  <c r="L4697" i="1" a="1"/>
  <c r="L4697" i="1" s="1"/>
  <c r="K4697" i="1"/>
  <c r="L4696" i="1" a="1"/>
  <c r="L4696" i="1" s="1"/>
  <c r="K4696" i="1"/>
  <c r="L4695" i="1" a="1"/>
  <c r="L4695" i="1" s="1"/>
  <c r="K4695" i="1"/>
  <c r="L4694" i="1" a="1"/>
  <c r="L4694" i="1" s="1"/>
  <c r="K4694" i="1"/>
  <c r="L4693" i="1" a="1"/>
  <c r="L4693" i="1" s="1"/>
  <c r="K4693" i="1"/>
  <c r="L4692" i="1"/>
  <c r="L4692" i="1" a="1"/>
  <c r="K4692" i="1"/>
  <c r="L4691" i="1" a="1"/>
  <c r="L4691" i="1" s="1"/>
  <c r="K4691" i="1"/>
  <c r="L4690" i="1" a="1"/>
  <c r="L4690" i="1" s="1"/>
  <c r="K4690" i="1"/>
  <c r="L4689" i="1"/>
  <c r="L4689" i="1" a="1"/>
  <c r="K4689" i="1"/>
  <c r="L4688" i="1"/>
  <c r="L4688" i="1" a="1"/>
  <c r="K4688" i="1"/>
  <c r="L4687" i="1" a="1"/>
  <c r="L4687" i="1" s="1"/>
  <c r="K4687" i="1"/>
  <c r="L4686" i="1" a="1"/>
  <c r="L4686" i="1" s="1"/>
  <c r="K4686" i="1"/>
  <c r="K4685" i="1"/>
  <c r="L4685" i="1" s="1" a="1"/>
  <c r="L4685" i="1" s="1"/>
  <c r="L4684" i="1"/>
  <c r="L4684" i="1" a="1"/>
  <c r="K4684" i="1"/>
  <c r="L4683" i="1" a="1"/>
  <c r="L4683" i="1" s="1"/>
  <c r="K4683" i="1"/>
  <c r="L4682" i="1" a="1"/>
  <c r="L4682" i="1" s="1"/>
  <c r="K4682" i="1"/>
  <c r="L4681" i="1"/>
  <c r="L4681" i="1" a="1"/>
  <c r="K4681" i="1"/>
  <c r="L4680" i="1" a="1"/>
  <c r="L4680" i="1" s="1"/>
  <c r="K4680" i="1"/>
  <c r="L4679" i="1" a="1"/>
  <c r="L4679" i="1" s="1"/>
  <c r="K4679" i="1"/>
  <c r="L4678" i="1" a="1"/>
  <c r="L4678" i="1" s="1"/>
  <c r="K4678" i="1"/>
  <c r="L4677" i="1" a="1"/>
  <c r="L4677" i="1" s="1"/>
  <c r="K4677" i="1"/>
  <c r="L4676" i="1"/>
  <c r="L4676" i="1" a="1"/>
  <c r="K4676" i="1"/>
  <c r="L4675" i="1" a="1"/>
  <c r="L4675" i="1" s="1"/>
  <c r="K4675" i="1"/>
  <c r="L4674" i="1" a="1"/>
  <c r="L4674" i="1" s="1"/>
  <c r="K4674" i="1"/>
  <c r="L4673" i="1" a="1"/>
  <c r="L4673" i="1" s="1"/>
  <c r="K4673" i="1"/>
  <c r="L4672" i="1"/>
  <c r="L4672" i="1" a="1"/>
  <c r="K4672" i="1"/>
  <c r="L4671" i="1" a="1"/>
  <c r="L4671" i="1" s="1"/>
  <c r="K4671" i="1"/>
  <c r="L4670" i="1" a="1"/>
  <c r="L4670" i="1" s="1"/>
  <c r="K4670" i="1"/>
  <c r="L4669" i="1" a="1"/>
  <c r="L4669" i="1" s="1"/>
  <c r="K4669" i="1"/>
  <c r="L4668" i="1"/>
  <c r="L4668" i="1" a="1"/>
  <c r="K4668" i="1"/>
  <c r="L4667" i="1" a="1"/>
  <c r="L4667" i="1" s="1"/>
  <c r="K4667" i="1"/>
  <c r="L4666" i="1" a="1"/>
  <c r="L4666" i="1" s="1"/>
  <c r="K4666" i="1"/>
  <c r="K4665" i="1"/>
  <c r="L4665" i="1" s="1" a="1"/>
  <c r="L4665" i="1" s="1"/>
  <c r="L4664" i="1"/>
  <c r="L4664" i="1" a="1"/>
  <c r="K4664" i="1"/>
  <c r="L4663" i="1" a="1"/>
  <c r="L4663" i="1" s="1"/>
  <c r="K4663" i="1"/>
  <c r="L4662" i="1" a="1"/>
  <c r="L4662" i="1" s="1"/>
  <c r="K4662" i="1"/>
  <c r="K4661" i="1"/>
  <c r="L4661" i="1" s="1" a="1"/>
  <c r="L4661" i="1" s="1"/>
  <c r="L4660" i="1" a="1"/>
  <c r="L4660" i="1" s="1"/>
  <c r="K4660" i="1"/>
  <c r="L4659" i="1" a="1"/>
  <c r="L4659" i="1" s="1"/>
  <c r="K4659" i="1"/>
  <c r="L4658" i="1" a="1"/>
  <c r="L4658" i="1" s="1"/>
  <c r="K4658" i="1"/>
  <c r="L4657" i="1"/>
  <c r="L4657" i="1" a="1"/>
  <c r="K4657" i="1"/>
  <c r="L4656" i="1" a="1"/>
  <c r="L4656" i="1" s="1"/>
  <c r="K4656" i="1"/>
  <c r="L4655" i="1" a="1"/>
  <c r="L4655" i="1" s="1"/>
  <c r="K4655" i="1"/>
  <c r="L4654" i="1" a="1"/>
  <c r="L4654" i="1" s="1"/>
  <c r="K4654" i="1"/>
  <c r="L4653" i="1" a="1"/>
  <c r="L4653" i="1" s="1"/>
  <c r="K4653" i="1"/>
  <c r="L4652" i="1"/>
  <c r="L4652" i="1" a="1"/>
  <c r="K4652" i="1"/>
  <c r="L4651" i="1" a="1"/>
  <c r="L4651" i="1" s="1"/>
  <c r="K4651" i="1"/>
  <c r="L4650" i="1" a="1"/>
  <c r="L4650" i="1" s="1"/>
  <c r="K4650" i="1"/>
  <c r="L4649" i="1" a="1"/>
  <c r="L4649" i="1" s="1"/>
  <c r="K4649" i="1"/>
  <c r="L4648" i="1"/>
  <c r="L4648" i="1" a="1"/>
  <c r="K4648" i="1"/>
  <c r="L4647" i="1" a="1"/>
  <c r="L4647" i="1" s="1"/>
  <c r="K4647" i="1"/>
  <c r="L4646" i="1" a="1"/>
  <c r="L4646" i="1" s="1"/>
  <c r="K4646" i="1"/>
  <c r="L4645" i="1" a="1"/>
  <c r="L4645" i="1" s="1"/>
  <c r="K4645" i="1"/>
  <c r="L4644" i="1"/>
  <c r="L4644" i="1" a="1"/>
  <c r="K4644" i="1"/>
  <c r="L4643" i="1" a="1"/>
  <c r="L4643" i="1" s="1"/>
  <c r="K4643" i="1"/>
  <c r="L4642" i="1" a="1"/>
  <c r="L4642" i="1" s="1"/>
  <c r="K4642" i="1"/>
  <c r="K4641" i="1"/>
  <c r="L4641" i="1" s="1" a="1"/>
  <c r="L4641" i="1" s="1"/>
  <c r="L4640" i="1"/>
  <c r="L4640" i="1" a="1"/>
  <c r="K4640" i="1"/>
  <c r="L4639" i="1" a="1"/>
  <c r="L4639" i="1" s="1"/>
  <c r="K4639" i="1"/>
  <c r="L4638" i="1" a="1"/>
  <c r="L4638" i="1" s="1"/>
  <c r="K4638" i="1"/>
  <c r="K4637" i="1"/>
  <c r="L4637" i="1" s="1" a="1"/>
  <c r="L4637" i="1" s="1"/>
  <c r="L4636" i="1" a="1"/>
  <c r="L4636" i="1" s="1"/>
  <c r="K4636" i="1"/>
  <c r="L4635" i="1" a="1"/>
  <c r="L4635" i="1" s="1"/>
  <c r="K4635" i="1"/>
  <c r="L4634" i="1" a="1"/>
  <c r="L4634" i="1" s="1"/>
  <c r="K4634" i="1"/>
  <c r="L4633" i="1"/>
  <c r="L4633" i="1" a="1"/>
  <c r="K4633" i="1"/>
  <c r="L4632" i="1" a="1"/>
  <c r="L4632" i="1" s="1"/>
  <c r="K4632" i="1"/>
  <c r="L4631" i="1" a="1"/>
  <c r="L4631" i="1" s="1"/>
  <c r="K4631" i="1"/>
  <c r="L4630" i="1" a="1"/>
  <c r="L4630" i="1" s="1"/>
  <c r="K4630" i="1"/>
  <c r="L4629" i="1" a="1"/>
  <c r="L4629" i="1" s="1"/>
  <c r="K4629" i="1"/>
  <c r="L4628" i="1"/>
  <c r="L4628" i="1" a="1"/>
  <c r="K4628" i="1"/>
  <c r="L4627" i="1" a="1"/>
  <c r="L4627" i="1" s="1"/>
  <c r="K4627" i="1"/>
  <c r="L4626" i="1" a="1"/>
  <c r="L4626" i="1" s="1"/>
  <c r="K4626" i="1"/>
  <c r="L4625" i="1" a="1"/>
  <c r="L4625" i="1" s="1"/>
  <c r="K4625" i="1"/>
  <c r="L4624" i="1" a="1"/>
  <c r="L4624" i="1" s="1"/>
  <c r="K4624" i="1"/>
  <c r="L4623" i="1" a="1"/>
  <c r="L4623" i="1" s="1"/>
  <c r="K4623" i="1"/>
  <c r="L4622" i="1" a="1"/>
  <c r="L4622" i="1" s="1"/>
  <c r="K4622" i="1"/>
  <c r="L4621" i="1" a="1"/>
  <c r="L4621" i="1" s="1"/>
  <c r="K4621" i="1"/>
  <c r="L4620" i="1"/>
  <c r="L4620" i="1" a="1"/>
  <c r="K4620" i="1"/>
  <c r="L4619" i="1" a="1"/>
  <c r="L4619" i="1" s="1"/>
  <c r="K4619" i="1"/>
  <c r="L4618" i="1"/>
  <c r="L4618" i="1" a="1"/>
  <c r="K4618" i="1"/>
  <c r="K4617" i="1"/>
  <c r="L4617" i="1" s="1" a="1"/>
  <c r="L4617" i="1" s="1"/>
  <c r="L4616" i="1" a="1"/>
  <c r="L4616" i="1" s="1"/>
  <c r="K4616" i="1"/>
  <c r="L4615" i="1" a="1"/>
  <c r="L4615" i="1" s="1"/>
  <c r="K4615" i="1"/>
  <c r="L4614" i="1"/>
  <c r="L4614" i="1" a="1"/>
  <c r="K4614" i="1"/>
  <c r="K4613" i="1"/>
  <c r="L4613" i="1" s="1" a="1"/>
  <c r="L4613" i="1" s="1"/>
  <c r="L4612" i="1"/>
  <c r="L4612" i="1" a="1"/>
  <c r="K4612" i="1"/>
  <c r="L4611" i="1" a="1"/>
  <c r="L4611" i="1" s="1"/>
  <c r="K4611" i="1"/>
  <c r="L4610" i="1"/>
  <c r="L4610" i="1" a="1"/>
  <c r="K4610" i="1"/>
  <c r="L4609" i="1" a="1"/>
  <c r="L4609" i="1" s="1"/>
  <c r="K4609" i="1"/>
  <c r="L4608" i="1" a="1"/>
  <c r="L4608" i="1" s="1"/>
  <c r="K4608" i="1"/>
  <c r="L4607" i="1" a="1"/>
  <c r="L4607" i="1" s="1"/>
  <c r="K4607" i="1"/>
  <c r="L4606" i="1"/>
  <c r="L4606" i="1" a="1"/>
  <c r="K4606" i="1"/>
  <c r="K4605" i="1"/>
  <c r="L4605" i="1" s="1" a="1"/>
  <c r="L4605" i="1" s="1"/>
  <c r="L4604" i="1" a="1"/>
  <c r="L4604" i="1" s="1"/>
  <c r="K4604" i="1"/>
  <c r="L4603" i="1" a="1"/>
  <c r="L4603" i="1" s="1"/>
  <c r="K4603" i="1"/>
  <c r="L4602" i="1" a="1"/>
  <c r="L4602" i="1" s="1"/>
  <c r="K4602" i="1"/>
  <c r="L4601" i="1"/>
  <c r="L4601" i="1" a="1"/>
  <c r="K4601" i="1"/>
  <c r="L4600" i="1"/>
  <c r="L4600" i="1" a="1"/>
  <c r="K4600" i="1"/>
  <c r="L4599" i="1" a="1"/>
  <c r="L4599" i="1" s="1"/>
  <c r="K4599" i="1"/>
  <c r="L4598" i="1"/>
  <c r="L4598" i="1" a="1"/>
  <c r="K4598" i="1"/>
  <c r="L4597" i="1"/>
  <c r="L4597" i="1" a="1"/>
  <c r="K4597" i="1"/>
  <c r="L4596" i="1" a="1"/>
  <c r="L4596" i="1" s="1"/>
  <c r="K4596" i="1"/>
  <c r="L4595" i="1" a="1"/>
  <c r="L4595" i="1" s="1"/>
  <c r="K4595" i="1"/>
  <c r="L4594" i="1" a="1"/>
  <c r="L4594" i="1" s="1"/>
  <c r="K4594" i="1"/>
  <c r="L4593" i="1"/>
  <c r="L4593" i="1" a="1"/>
  <c r="K4593" i="1"/>
  <c r="L4592" i="1"/>
  <c r="L4592" i="1" a="1"/>
  <c r="K4592" i="1"/>
  <c r="L4591" i="1" a="1"/>
  <c r="L4591" i="1" s="1"/>
  <c r="K4591" i="1"/>
  <c r="L4590" i="1"/>
  <c r="L4590" i="1" a="1"/>
  <c r="K4590" i="1"/>
  <c r="L4589" i="1" a="1"/>
  <c r="L4589" i="1" s="1"/>
  <c r="K4589" i="1"/>
  <c r="L4588" i="1"/>
  <c r="L4588" i="1" a="1"/>
  <c r="K4588" i="1"/>
  <c r="L4587" i="1" a="1"/>
  <c r="L4587" i="1" s="1"/>
  <c r="K4587" i="1"/>
  <c r="L4586" i="1" a="1"/>
  <c r="L4586" i="1" s="1"/>
  <c r="K4586" i="1"/>
  <c r="L4585" i="1"/>
  <c r="K4585" i="1"/>
  <c r="L4585" i="1" s="1" a="1"/>
  <c r="L4584" i="1"/>
  <c r="L4584" i="1" a="1"/>
  <c r="K4584" i="1"/>
  <c r="L4583" i="1" a="1"/>
  <c r="L4583" i="1" s="1"/>
  <c r="K4583" i="1"/>
  <c r="L4582" i="1" a="1"/>
  <c r="L4582" i="1" s="1"/>
  <c r="K4582" i="1"/>
  <c r="L4581" i="1" a="1"/>
  <c r="L4581" i="1" s="1"/>
  <c r="K4581" i="1"/>
  <c r="L4580" i="1" a="1"/>
  <c r="L4580" i="1" s="1"/>
  <c r="K4580" i="1"/>
  <c r="L4579" i="1" a="1"/>
  <c r="L4579" i="1" s="1"/>
  <c r="K4579" i="1"/>
  <c r="L4578" i="1"/>
  <c r="L4578" i="1" a="1"/>
  <c r="K4578" i="1"/>
  <c r="K4577" i="1"/>
  <c r="L4577" i="1" s="1" a="1"/>
  <c r="L4577" i="1" s="1"/>
  <c r="L4576" i="1" a="1"/>
  <c r="L4576" i="1" s="1"/>
  <c r="K4576" i="1"/>
  <c r="L4575" i="1" a="1"/>
  <c r="L4575" i="1" s="1"/>
  <c r="K4575" i="1"/>
  <c r="L4574" i="1" a="1"/>
  <c r="L4574" i="1" s="1"/>
  <c r="K4574" i="1"/>
  <c r="L4573" i="1" a="1"/>
  <c r="L4573" i="1" s="1"/>
  <c r="K4573" i="1"/>
  <c r="L4572" i="1"/>
  <c r="L4572" i="1" a="1"/>
  <c r="K4572" i="1"/>
  <c r="L4571" i="1" a="1"/>
  <c r="L4571" i="1" s="1"/>
  <c r="K4571" i="1"/>
  <c r="L4570" i="1"/>
  <c r="L4570" i="1" a="1"/>
  <c r="K4570" i="1"/>
  <c r="K4569" i="1"/>
  <c r="L4569" i="1" s="1" a="1"/>
  <c r="L4569" i="1" s="1"/>
  <c r="L4568" i="1" a="1"/>
  <c r="L4568" i="1" s="1"/>
  <c r="K4568" i="1"/>
  <c r="L4567" i="1" a="1"/>
  <c r="L4567" i="1" s="1"/>
  <c r="K4567" i="1"/>
  <c r="L4566" i="1"/>
  <c r="L4566" i="1" a="1"/>
  <c r="K4566" i="1"/>
  <c r="K4565" i="1"/>
  <c r="L4565" i="1" s="1" a="1"/>
  <c r="L4565" i="1" s="1"/>
  <c r="L4564" i="1"/>
  <c r="L4564" i="1" a="1"/>
  <c r="K4564" i="1"/>
  <c r="L4563" i="1" a="1"/>
  <c r="L4563" i="1" s="1"/>
  <c r="K4563" i="1"/>
  <c r="L4562" i="1"/>
  <c r="L4562" i="1" a="1"/>
  <c r="K4562" i="1"/>
  <c r="L4561" i="1" a="1"/>
  <c r="L4561" i="1" s="1"/>
  <c r="K4561" i="1"/>
  <c r="L4560" i="1" a="1"/>
  <c r="L4560" i="1" s="1"/>
  <c r="K4560" i="1"/>
  <c r="L4559" i="1" a="1"/>
  <c r="L4559" i="1" s="1"/>
  <c r="K4559" i="1"/>
  <c r="L4558" i="1" a="1"/>
  <c r="L4558" i="1" s="1"/>
  <c r="K4558" i="1"/>
  <c r="K4557" i="1"/>
  <c r="L4557" i="1" s="1" a="1"/>
  <c r="L4557" i="1" s="1"/>
  <c r="L4556" i="1" a="1"/>
  <c r="L4556" i="1" s="1"/>
  <c r="K4556" i="1"/>
  <c r="L4555" i="1" a="1"/>
  <c r="L4555" i="1" s="1"/>
  <c r="K4555" i="1"/>
  <c r="L4554" i="1"/>
  <c r="L4554" i="1" a="1"/>
  <c r="K4554" i="1"/>
  <c r="L4553" i="1"/>
  <c r="L4553" i="1" a="1"/>
  <c r="K4553" i="1"/>
  <c r="L4552" i="1"/>
  <c r="L4552" i="1" a="1"/>
  <c r="K4552" i="1"/>
  <c r="L4551" i="1" a="1"/>
  <c r="L4551" i="1" s="1"/>
  <c r="K4551" i="1"/>
  <c r="L4550" i="1"/>
  <c r="L4550" i="1" a="1"/>
  <c r="K4550" i="1"/>
  <c r="L4549" i="1"/>
  <c r="L4549" i="1" a="1"/>
  <c r="K4549" i="1"/>
  <c r="L4548" i="1" a="1"/>
  <c r="L4548" i="1" s="1"/>
  <c r="K4548" i="1"/>
  <c r="L4547" i="1" a="1"/>
  <c r="L4547" i="1" s="1"/>
  <c r="K4547" i="1"/>
  <c r="L4546" i="1" a="1"/>
  <c r="L4546" i="1" s="1"/>
  <c r="K4546" i="1"/>
  <c r="L4545" i="1"/>
  <c r="L4545" i="1" a="1"/>
  <c r="K4545" i="1"/>
  <c r="L4544" i="1"/>
  <c r="L4544" i="1" a="1"/>
  <c r="K4544" i="1"/>
  <c r="L4543" i="1" a="1"/>
  <c r="L4543" i="1" s="1"/>
  <c r="K4543" i="1"/>
  <c r="L4542" i="1"/>
  <c r="L4542" i="1" a="1"/>
  <c r="K4542" i="1"/>
  <c r="K4541" i="1"/>
  <c r="L4541" i="1" s="1" a="1"/>
  <c r="L4541" i="1" s="1"/>
  <c r="L4540" i="1"/>
  <c r="L4540" i="1" a="1"/>
  <c r="K4540" i="1"/>
  <c r="L4539" i="1" a="1"/>
  <c r="L4539" i="1" s="1"/>
  <c r="K4539" i="1"/>
  <c r="L4538" i="1" a="1"/>
  <c r="L4538" i="1" s="1"/>
  <c r="K4538" i="1"/>
  <c r="L4537" i="1"/>
  <c r="L4537" i="1" a="1"/>
  <c r="K4537" i="1"/>
  <c r="L4536" i="1"/>
  <c r="L4536" i="1" a="1"/>
  <c r="K4536" i="1"/>
  <c r="L4535" i="1" a="1"/>
  <c r="L4535" i="1" s="1"/>
  <c r="K4535" i="1"/>
  <c r="L4534" i="1" a="1"/>
  <c r="L4534" i="1" s="1"/>
  <c r="K4534" i="1"/>
  <c r="L4533" i="1" a="1"/>
  <c r="L4533" i="1" s="1"/>
  <c r="K4533" i="1"/>
  <c r="L4532" i="1"/>
  <c r="L4532" i="1" a="1"/>
  <c r="K4532" i="1"/>
  <c r="L4531" i="1" a="1"/>
  <c r="L4531" i="1" s="1"/>
  <c r="K4531" i="1"/>
  <c r="L4530" i="1"/>
  <c r="L4530" i="1" a="1"/>
  <c r="K4530" i="1"/>
  <c r="K4529" i="1"/>
  <c r="L4529" i="1" s="1" a="1"/>
  <c r="L4529" i="1" s="1"/>
  <c r="L4528" i="1"/>
  <c r="L4528" i="1" a="1"/>
  <c r="K4528" i="1"/>
  <c r="L4527" i="1" a="1"/>
  <c r="L4527" i="1" s="1"/>
  <c r="K4527" i="1"/>
  <c r="L4526" i="1" a="1"/>
  <c r="L4526" i="1" s="1"/>
  <c r="K4526" i="1"/>
  <c r="L4525" i="1" a="1"/>
  <c r="L4525" i="1" s="1"/>
  <c r="K4525" i="1"/>
  <c r="L4524" i="1" a="1"/>
  <c r="L4524" i="1" s="1"/>
  <c r="K4524" i="1"/>
  <c r="L4523" i="1" a="1"/>
  <c r="L4523" i="1" s="1"/>
  <c r="K4523" i="1"/>
  <c r="L4522" i="1"/>
  <c r="L4522" i="1" a="1"/>
  <c r="K4522" i="1"/>
  <c r="K4521" i="1"/>
  <c r="L4521" i="1" s="1" a="1"/>
  <c r="L4521" i="1" s="1"/>
  <c r="L4520" i="1" a="1"/>
  <c r="L4520" i="1" s="1"/>
  <c r="K4520" i="1"/>
  <c r="L4519" i="1" a="1"/>
  <c r="L4519" i="1" s="1"/>
  <c r="K4519" i="1"/>
  <c r="L4518" i="1"/>
  <c r="L4518" i="1" a="1"/>
  <c r="K4518" i="1"/>
  <c r="L4517" i="1"/>
  <c r="K4517" i="1"/>
  <c r="L4517" i="1" s="1" a="1"/>
  <c r="L4516" i="1"/>
  <c r="L4516" i="1" a="1"/>
  <c r="K4516" i="1"/>
  <c r="L4515" i="1" a="1"/>
  <c r="L4515" i="1" s="1"/>
  <c r="K4515" i="1"/>
  <c r="L4514" i="1"/>
  <c r="L4514" i="1" a="1"/>
  <c r="K4514" i="1"/>
  <c r="L4513" i="1" a="1"/>
  <c r="L4513" i="1" s="1"/>
  <c r="K4513" i="1"/>
  <c r="L4512" i="1" a="1"/>
  <c r="L4512" i="1" s="1"/>
  <c r="K4512" i="1"/>
  <c r="L4511" i="1" a="1"/>
  <c r="L4511" i="1" s="1"/>
  <c r="K4511" i="1"/>
  <c r="L4510" i="1" a="1"/>
  <c r="L4510" i="1" s="1"/>
  <c r="K4510" i="1"/>
  <c r="K4509" i="1"/>
  <c r="L4509" i="1" s="1" a="1"/>
  <c r="L4509" i="1" s="1"/>
  <c r="L4508" i="1" a="1"/>
  <c r="L4508" i="1" s="1"/>
  <c r="K4508" i="1"/>
  <c r="L4507" i="1" a="1"/>
  <c r="L4507" i="1" s="1"/>
  <c r="K4507" i="1"/>
  <c r="L4506" i="1"/>
  <c r="L4506" i="1" a="1"/>
  <c r="K4506" i="1"/>
  <c r="L4505" i="1"/>
  <c r="L4505" i="1" a="1"/>
  <c r="K4505" i="1"/>
  <c r="L4504" i="1"/>
  <c r="L4504" i="1" a="1"/>
  <c r="K4504" i="1"/>
  <c r="L4503" i="1" a="1"/>
  <c r="L4503" i="1" s="1"/>
  <c r="K4503" i="1"/>
  <c r="L4502" i="1"/>
  <c r="L4502" i="1" a="1"/>
  <c r="K4502" i="1"/>
  <c r="L4501" i="1"/>
  <c r="L4501" i="1" a="1"/>
  <c r="K4501" i="1"/>
  <c r="L4500" i="1" a="1"/>
  <c r="L4500" i="1" s="1"/>
  <c r="K4500" i="1"/>
  <c r="L4499" i="1" a="1"/>
  <c r="L4499" i="1" s="1"/>
  <c r="K4499" i="1"/>
  <c r="L4498" i="1" a="1"/>
  <c r="L4498" i="1" s="1"/>
  <c r="K4498" i="1"/>
  <c r="L4497" i="1"/>
  <c r="L4497" i="1" a="1"/>
  <c r="K4497" i="1"/>
  <c r="L4496" i="1"/>
  <c r="L4496" i="1" a="1"/>
  <c r="K4496" i="1"/>
  <c r="L4495" i="1" a="1"/>
  <c r="L4495" i="1" s="1"/>
  <c r="K4495" i="1"/>
  <c r="L4494" i="1"/>
  <c r="L4494" i="1" a="1"/>
  <c r="K4494" i="1"/>
  <c r="L4493" i="1" a="1"/>
  <c r="L4493" i="1" s="1"/>
  <c r="K4493" i="1"/>
  <c r="L4492" i="1"/>
  <c r="L4492" i="1" a="1"/>
  <c r="K4492" i="1"/>
  <c r="L4491" i="1" a="1"/>
  <c r="L4491" i="1" s="1"/>
  <c r="K4491" i="1"/>
  <c r="L4490" i="1" a="1"/>
  <c r="L4490" i="1" s="1"/>
  <c r="K4490" i="1"/>
  <c r="L4489" i="1" a="1"/>
  <c r="L4489" i="1" s="1"/>
  <c r="K4489" i="1"/>
  <c r="L4488" i="1"/>
  <c r="L4488" i="1" a="1"/>
  <c r="K4488" i="1"/>
  <c r="L4487" i="1" a="1"/>
  <c r="L4487" i="1" s="1"/>
  <c r="K4487" i="1"/>
  <c r="L4486" i="1" a="1"/>
  <c r="L4486" i="1" s="1"/>
  <c r="K4486" i="1"/>
  <c r="L4485" i="1" a="1"/>
  <c r="L4485" i="1" s="1"/>
  <c r="K4485" i="1"/>
  <c r="L4484" i="1" a="1"/>
  <c r="L4484" i="1" s="1"/>
  <c r="K4484" i="1"/>
  <c r="L4483" i="1" a="1"/>
  <c r="L4483" i="1" s="1"/>
  <c r="K4483" i="1"/>
  <c r="L4482" i="1"/>
  <c r="L4482" i="1" a="1"/>
  <c r="K4482" i="1"/>
  <c r="K4481" i="1"/>
  <c r="L4481" i="1" s="1" a="1"/>
  <c r="L4481" i="1" s="1"/>
  <c r="L4480" i="1"/>
  <c r="L4480" i="1" a="1"/>
  <c r="K4480" i="1"/>
  <c r="K4479" i="1"/>
  <c r="L4479" i="1" s="1" a="1"/>
  <c r="L4479" i="1" s="1"/>
  <c r="L4478" i="1" a="1"/>
  <c r="L4478" i="1" s="1"/>
  <c r="K4478" i="1"/>
  <c r="L4477" i="1" a="1"/>
  <c r="L4477" i="1" s="1"/>
  <c r="K4477" i="1"/>
  <c r="L4476" i="1" a="1"/>
  <c r="L4476" i="1" s="1"/>
  <c r="K4476" i="1"/>
  <c r="L4475" i="1" a="1"/>
  <c r="L4475" i="1" s="1"/>
  <c r="K4475" i="1"/>
  <c r="K4474" i="1"/>
  <c r="L4474" i="1" s="1" a="1"/>
  <c r="L4474" i="1" s="1"/>
  <c r="K4473" i="1"/>
  <c r="L4473" i="1" s="1" a="1"/>
  <c r="L4473" i="1" s="1"/>
  <c r="L4472" i="1" a="1"/>
  <c r="L4472" i="1" s="1"/>
  <c r="K4472" i="1"/>
  <c r="K4471" i="1"/>
  <c r="L4471" i="1" s="1" a="1"/>
  <c r="L4471" i="1" s="1"/>
  <c r="L4470" i="1" a="1"/>
  <c r="L4470" i="1" s="1"/>
  <c r="K4470" i="1"/>
  <c r="L4469" i="1"/>
  <c r="K4469" i="1"/>
  <c r="L4469" i="1" s="1" a="1"/>
  <c r="L4468" i="1"/>
  <c r="L4468" i="1" a="1"/>
  <c r="K4468" i="1"/>
  <c r="K4467" i="1"/>
  <c r="L4467" i="1" s="1" a="1"/>
  <c r="L4467" i="1" s="1"/>
  <c r="L4466" i="1"/>
  <c r="K4466" i="1"/>
  <c r="L4466" i="1" s="1" a="1"/>
  <c r="L4465" i="1" a="1"/>
  <c r="L4465" i="1" s="1"/>
  <c r="K4465" i="1"/>
  <c r="L4464" i="1" a="1"/>
  <c r="L4464" i="1" s="1"/>
  <c r="K4464" i="1"/>
  <c r="L4463" i="1" a="1"/>
  <c r="L4463" i="1" s="1"/>
  <c r="K4463" i="1"/>
  <c r="L4462" i="1"/>
  <c r="L4462" i="1" a="1"/>
  <c r="K4462" i="1"/>
  <c r="K4461" i="1"/>
  <c r="L4461" i="1" s="1" a="1"/>
  <c r="L4461" i="1" s="1"/>
  <c r="K4460" i="1"/>
  <c r="L4460" i="1" s="1" a="1"/>
  <c r="L4460" i="1" s="1"/>
  <c r="K4459" i="1"/>
  <c r="L4459" i="1" s="1" a="1"/>
  <c r="L4459" i="1" s="1"/>
  <c r="L4458" i="1"/>
  <c r="L4458" i="1" a="1"/>
  <c r="K4458" i="1"/>
  <c r="L4457" i="1" a="1"/>
  <c r="L4457" i="1" s="1"/>
  <c r="K4457" i="1"/>
  <c r="K4456" i="1"/>
  <c r="L4456" i="1" s="1" a="1"/>
  <c r="L4456" i="1" s="1"/>
  <c r="K4455" i="1"/>
  <c r="L4455" i="1" s="1" a="1"/>
  <c r="L4455" i="1" s="1"/>
  <c r="K4454" i="1"/>
  <c r="L4454" i="1" s="1" a="1"/>
  <c r="L4454" i="1" s="1"/>
  <c r="L4453" i="1" a="1"/>
  <c r="L4453" i="1" s="1"/>
  <c r="K4453" i="1"/>
  <c r="L4452" i="1"/>
  <c r="K4452" i="1"/>
  <c r="L4452" i="1" s="1" a="1"/>
  <c r="K4451" i="1"/>
  <c r="L4451" i="1" s="1" a="1"/>
  <c r="L4451" i="1" s="1"/>
  <c r="K4450" i="1"/>
  <c r="L4450" i="1" s="1" a="1"/>
  <c r="L4450" i="1" s="1"/>
  <c r="L4449" i="1" a="1"/>
  <c r="L4449" i="1" s="1"/>
  <c r="K4449" i="1"/>
  <c r="K4448" i="1"/>
  <c r="L4448" i="1" s="1" a="1"/>
  <c r="L4448" i="1" s="1"/>
  <c r="K4447" i="1"/>
  <c r="L4447" i="1" s="1" a="1"/>
  <c r="L4447" i="1" s="1"/>
  <c r="L4446" i="1"/>
  <c r="L4446" i="1" a="1"/>
  <c r="K4446" i="1"/>
  <c r="L4445" i="1" a="1"/>
  <c r="L4445" i="1" s="1"/>
  <c r="K4445" i="1"/>
  <c r="K4444" i="1"/>
  <c r="L4444" i="1" s="1" a="1"/>
  <c r="L4444" i="1" s="1"/>
  <c r="K4443" i="1"/>
  <c r="L4443" i="1" s="1" a="1"/>
  <c r="L4443" i="1" s="1"/>
  <c r="K4442" i="1"/>
  <c r="L4442" i="1" s="1" a="1"/>
  <c r="L4442" i="1" s="1"/>
  <c r="L4441" i="1" a="1"/>
  <c r="L4441" i="1" s="1"/>
  <c r="K4441" i="1"/>
  <c r="L4440" i="1"/>
  <c r="K4440" i="1"/>
  <c r="L4440" i="1" s="1" a="1"/>
  <c r="K4439" i="1"/>
  <c r="L4439" i="1" s="1" a="1"/>
  <c r="L4439" i="1" s="1"/>
  <c r="K4438" i="1"/>
  <c r="L4438" i="1" s="1" a="1"/>
  <c r="L4438" i="1" s="1"/>
  <c r="L4437" i="1" a="1"/>
  <c r="L4437" i="1" s="1"/>
  <c r="K4437" i="1"/>
  <c r="K4436" i="1"/>
  <c r="L4436" i="1" s="1" a="1"/>
  <c r="L4436" i="1" s="1"/>
  <c r="K4435" i="1"/>
  <c r="L4435" i="1" s="1" a="1"/>
  <c r="L4435" i="1" s="1"/>
  <c r="L4434" i="1"/>
  <c r="L4434" i="1" a="1"/>
  <c r="K4434" i="1"/>
  <c r="L4433" i="1" a="1"/>
  <c r="L4433" i="1" s="1"/>
  <c r="K4433" i="1"/>
  <c r="K4432" i="1"/>
  <c r="L4432" i="1" s="1" a="1"/>
  <c r="L4432" i="1" s="1"/>
  <c r="K4431" i="1"/>
  <c r="L4431" i="1" s="1" a="1"/>
  <c r="L4431" i="1" s="1"/>
  <c r="K4430" i="1"/>
  <c r="L4430" i="1" s="1" a="1"/>
  <c r="L4430" i="1" s="1"/>
  <c r="L4429" i="1" a="1"/>
  <c r="L4429" i="1" s="1"/>
  <c r="K4429" i="1"/>
  <c r="L4428" i="1"/>
  <c r="K4428" i="1"/>
  <c r="L4428" i="1" s="1" a="1"/>
  <c r="K4427" i="1"/>
  <c r="L4427" i="1" s="1" a="1"/>
  <c r="L4427" i="1" s="1"/>
  <c r="K4426" i="1"/>
  <c r="L4426" i="1" s="1" a="1"/>
  <c r="L4426" i="1" s="1"/>
  <c r="L4425" i="1" a="1"/>
  <c r="L4425" i="1" s="1"/>
  <c r="K4425" i="1"/>
  <c r="K4424" i="1"/>
  <c r="L4424" i="1" s="1" a="1"/>
  <c r="L4424" i="1" s="1"/>
  <c r="K4423" i="1"/>
  <c r="L4423" i="1" s="1" a="1"/>
  <c r="L4423" i="1" s="1"/>
  <c r="L4422" i="1"/>
  <c r="L4422" i="1" a="1"/>
  <c r="K4422" i="1"/>
  <c r="L4421" i="1" a="1"/>
  <c r="L4421" i="1" s="1"/>
  <c r="K4421" i="1"/>
  <c r="K4420" i="1"/>
  <c r="L4420" i="1" s="1" a="1"/>
  <c r="L4420" i="1" s="1"/>
  <c r="K4419" i="1"/>
  <c r="L4419" i="1" s="1" a="1"/>
  <c r="L4419" i="1" s="1"/>
  <c r="K4418" i="1"/>
  <c r="L4418" i="1" s="1" a="1"/>
  <c r="L4418" i="1" s="1"/>
  <c r="L4417" i="1" a="1"/>
  <c r="L4417" i="1" s="1"/>
  <c r="K4417" i="1"/>
  <c r="L4416" i="1"/>
  <c r="K4416" i="1"/>
  <c r="L4416" i="1" s="1" a="1"/>
  <c r="K4415" i="1"/>
  <c r="L4415" i="1" s="1" a="1"/>
  <c r="L4415" i="1" s="1"/>
  <c r="K4414" i="1"/>
  <c r="L4414" i="1" s="1" a="1"/>
  <c r="L4414" i="1" s="1"/>
  <c r="L4413" i="1" a="1"/>
  <c r="L4413" i="1" s="1"/>
  <c r="K4413" i="1"/>
  <c r="K4412" i="1"/>
  <c r="L4412" i="1" s="1" a="1"/>
  <c r="L4412" i="1" s="1"/>
  <c r="K4411" i="1"/>
  <c r="L4411" i="1" s="1" a="1"/>
  <c r="L4411" i="1" s="1"/>
  <c r="L4410" i="1"/>
  <c r="L4410" i="1" a="1"/>
  <c r="K4410" i="1"/>
  <c r="L4409" i="1" a="1"/>
  <c r="L4409" i="1" s="1"/>
  <c r="K4409" i="1"/>
  <c r="K4408" i="1"/>
  <c r="L4408" i="1" s="1" a="1"/>
  <c r="L4408" i="1" s="1"/>
  <c r="K4407" i="1"/>
  <c r="L4407" i="1" s="1" a="1"/>
  <c r="L4407" i="1" s="1"/>
  <c r="K4406" i="1"/>
  <c r="L4406" i="1" s="1" a="1"/>
  <c r="L4406" i="1" s="1"/>
  <c r="L4405" i="1" a="1"/>
  <c r="L4405" i="1" s="1"/>
  <c r="K4405" i="1"/>
  <c r="L4404" i="1"/>
  <c r="K4404" i="1"/>
  <c r="L4404" i="1" s="1" a="1"/>
  <c r="K4403" i="1"/>
  <c r="L4403" i="1" s="1" a="1"/>
  <c r="L4403" i="1" s="1"/>
  <c r="K4402" i="1"/>
  <c r="L4402" i="1" s="1" a="1"/>
  <c r="L4402" i="1" s="1"/>
  <c r="L4401" i="1" a="1"/>
  <c r="L4401" i="1" s="1"/>
  <c r="K4401" i="1"/>
  <c r="K4400" i="1"/>
  <c r="L4400" i="1" s="1" a="1"/>
  <c r="L4400" i="1" s="1"/>
  <c r="K4399" i="1"/>
  <c r="L4399" i="1" s="1" a="1"/>
  <c r="L4399" i="1" s="1"/>
  <c r="L4398" i="1"/>
  <c r="L4398" i="1" a="1"/>
  <c r="K4398" i="1"/>
  <c r="L4397" i="1" a="1"/>
  <c r="L4397" i="1" s="1"/>
  <c r="K4397" i="1"/>
  <c r="K4396" i="1"/>
  <c r="L4396" i="1" s="1" a="1"/>
  <c r="L4396" i="1" s="1"/>
  <c r="K4395" i="1"/>
  <c r="L4395" i="1" s="1" a="1"/>
  <c r="L4395" i="1" s="1"/>
  <c r="K4394" i="1"/>
  <c r="L4394" i="1" s="1" a="1"/>
  <c r="L4394" i="1" s="1"/>
  <c r="L4393" i="1" a="1"/>
  <c r="L4393" i="1" s="1"/>
  <c r="K4393" i="1"/>
  <c r="L4392" i="1"/>
  <c r="K4392" i="1"/>
  <c r="L4392" i="1" s="1" a="1"/>
  <c r="K4391" i="1"/>
  <c r="L4391" i="1" s="1" a="1"/>
  <c r="L4391" i="1" s="1"/>
  <c r="K4390" i="1"/>
  <c r="L4390" i="1" s="1" a="1"/>
  <c r="L4390" i="1" s="1"/>
  <c r="L4389" i="1" a="1"/>
  <c r="L4389" i="1" s="1"/>
  <c r="K4389" i="1"/>
  <c r="K4388" i="1"/>
  <c r="L4388" i="1" s="1" a="1"/>
  <c r="L4388" i="1" s="1"/>
  <c r="K4387" i="1"/>
  <c r="L4387" i="1" s="1" a="1"/>
  <c r="L4387" i="1" s="1"/>
  <c r="L4386" i="1" a="1"/>
  <c r="L4386" i="1" s="1"/>
  <c r="K4386" i="1"/>
  <c r="L4385" i="1" a="1"/>
  <c r="L4385" i="1" s="1"/>
  <c r="K4385" i="1"/>
  <c r="K4384" i="1"/>
  <c r="L4384" i="1" s="1" a="1"/>
  <c r="L4384" i="1" s="1"/>
  <c r="K4383" i="1"/>
  <c r="L4383" i="1" s="1" a="1"/>
  <c r="L4383" i="1" s="1"/>
  <c r="K4382" i="1"/>
  <c r="L4382" i="1" s="1" a="1"/>
  <c r="L4382" i="1" s="1"/>
  <c r="L4381" i="1" a="1"/>
  <c r="L4381" i="1" s="1"/>
  <c r="K4381" i="1"/>
  <c r="L4380" i="1"/>
  <c r="K4380" i="1"/>
  <c r="L4380" i="1" s="1" a="1"/>
  <c r="K4379" i="1"/>
  <c r="L4379" i="1" s="1" a="1"/>
  <c r="L4379" i="1" s="1"/>
  <c r="K4378" i="1"/>
  <c r="L4378" i="1" s="1" a="1"/>
  <c r="L4378" i="1" s="1"/>
  <c r="L4377" i="1" a="1"/>
  <c r="L4377" i="1" s="1"/>
  <c r="K4377" i="1"/>
  <c r="K4376" i="1"/>
  <c r="L4376" i="1" s="1" a="1"/>
  <c r="L4376" i="1" s="1"/>
  <c r="K4375" i="1"/>
  <c r="L4375" i="1" s="1" a="1"/>
  <c r="L4375" i="1" s="1"/>
  <c r="L4374" i="1" a="1"/>
  <c r="L4374" i="1" s="1"/>
  <c r="K4374" i="1"/>
  <c r="L4373" i="1" a="1"/>
  <c r="L4373" i="1" s="1"/>
  <c r="K4373" i="1"/>
  <c r="K4372" i="1"/>
  <c r="L4372" i="1" s="1" a="1"/>
  <c r="L4372" i="1" s="1"/>
  <c r="K4371" i="1"/>
  <c r="L4371" i="1" s="1" a="1"/>
  <c r="L4371" i="1" s="1"/>
  <c r="K4370" i="1"/>
  <c r="L4370" i="1" s="1" a="1"/>
  <c r="L4370" i="1" s="1"/>
  <c r="L4369" i="1" a="1"/>
  <c r="L4369" i="1" s="1"/>
  <c r="K4369" i="1"/>
  <c r="L4368" i="1"/>
  <c r="K4368" i="1"/>
  <c r="L4368" i="1" s="1" a="1"/>
  <c r="K4367" i="1"/>
  <c r="L4367" i="1" s="1" a="1"/>
  <c r="L4367" i="1" s="1"/>
  <c r="K4366" i="1"/>
  <c r="L4366" i="1" s="1" a="1"/>
  <c r="L4366" i="1" s="1"/>
  <c r="L4365" i="1" a="1"/>
  <c r="L4365" i="1" s="1"/>
  <c r="K4365" i="1"/>
  <c r="K4364" i="1"/>
  <c r="L4364" i="1" s="1" a="1"/>
  <c r="L4364" i="1" s="1"/>
  <c r="K4363" i="1"/>
  <c r="L4363" i="1" s="1" a="1"/>
  <c r="L4363" i="1" s="1"/>
  <c r="L4362" i="1" a="1"/>
  <c r="L4362" i="1" s="1"/>
  <c r="K4362" i="1"/>
  <c r="L4361" i="1" a="1"/>
  <c r="L4361" i="1" s="1"/>
  <c r="K4361" i="1"/>
  <c r="K4360" i="1"/>
  <c r="L4360" i="1" s="1" a="1"/>
  <c r="L4360" i="1" s="1"/>
  <c r="K4359" i="1"/>
  <c r="L4359" i="1" s="1" a="1"/>
  <c r="L4359" i="1" s="1"/>
  <c r="K4358" i="1"/>
  <c r="L4358" i="1" s="1" a="1"/>
  <c r="L4358" i="1" s="1"/>
  <c r="L4357" i="1" a="1"/>
  <c r="L4357" i="1" s="1"/>
  <c r="K4357" i="1"/>
  <c r="L4356" i="1"/>
  <c r="K4356" i="1"/>
  <c r="L4356" i="1" s="1" a="1"/>
  <c r="K4355" i="1"/>
  <c r="L4355" i="1" s="1" a="1"/>
  <c r="L4355" i="1" s="1"/>
  <c r="K4354" i="1"/>
  <c r="L4354" i="1" s="1" a="1"/>
  <c r="L4354" i="1" s="1"/>
  <c r="L4353" i="1" a="1"/>
  <c r="L4353" i="1" s="1"/>
  <c r="K4353" i="1"/>
  <c r="K4352" i="1"/>
  <c r="L4352" i="1" s="1" a="1"/>
  <c r="L4352" i="1" s="1"/>
  <c r="K4351" i="1"/>
  <c r="L4351" i="1" s="1" a="1"/>
  <c r="L4351" i="1" s="1"/>
  <c r="L4350" i="1" a="1"/>
  <c r="L4350" i="1" s="1"/>
  <c r="K4350" i="1"/>
  <c r="L4349" i="1" a="1"/>
  <c r="L4349" i="1" s="1"/>
  <c r="K4349" i="1"/>
  <c r="K4348" i="1"/>
  <c r="L4348" i="1" s="1" a="1"/>
  <c r="L4348" i="1" s="1"/>
  <c r="K4347" i="1"/>
  <c r="L4347" i="1" s="1" a="1"/>
  <c r="L4347" i="1" s="1"/>
  <c r="K4346" i="1"/>
  <c r="L4346" i="1" s="1" a="1"/>
  <c r="L4346" i="1" s="1"/>
  <c r="L4345" i="1" a="1"/>
  <c r="L4345" i="1" s="1"/>
  <c r="K4345" i="1"/>
  <c r="L4344" i="1"/>
  <c r="K4344" i="1"/>
  <c r="L4344" i="1" s="1" a="1"/>
  <c r="K4343" i="1"/>
  <c r="L4343" i="1" s="1" a="1"/>
  <c r="L4343" i="1" s="1"/>
  <c r="K4342" i="1"/>
  <c r="L4342" i="1" s="1" a="1"/>
  <c r="L4342" i="1" s="1"/>
  <c r="L4341" i="1" a="1"/>
  <c r="L4341" i="1" s="1"/>
  <c r="K4341" i="1"/>
  <c r="K4340" i="1"/>
  <c r="L4340" i="1" s="1" a="1"/>
  <c r="L4340" i="1" s="1"/>
  <c r="K4339" i="1"/>
  <c r="L4339" i="1" s="1" a="1"/>
  <c r="L4339" i="1" s="1"/>
  <c r="L4338" i="1" a="1"/>
  <c r="L4338" i="1" s="1"/>
  <c r="K4338" i="1"/>
  <c r="L4337" i="1" a="1"/>
  <c r="L4337" i="1" s="1"/>
  <c r="K4337" i="1"/>
  <c r="K4336" i="1"/>
  <c r="L4336" i="1" s="1" a="1"/>
  <c r="L4336" i="1" s="1"/>
  <c r="K4335" i="1"/>
  <c r="L4335" i="1" s="1" a="1"/>
  <c r="L4335" i="1" s="1"/>
  <c r="K4334" i="1"/>
  <c r="L4334" i="1" s="1" a="1"/>
  <c r="L4334" i="1" s="1"/>
  <c r="L4333" i="1" a="1"/>
  <c r="L4333" i="1" s="1"/>
  <c r="K4333" i="1"/>
  <c r="L4332" i="1"/>
  <c r="K4332" i="1"/>
  <c r="L4332" i="1" s="1" a="1"/>
  <c r="K4331" i="1"/>
  <c r="L4331" i="1" s="1" a="1"/>
  <c r="L4331" i="1" s="1"/>
  <c r="K4330" i="1"/>
  <c r="L4330" i="1" s="1" a="1"/>
  <c r="L4330" i="1" s="1"/>
  <c r="L4329" i="1" a="1"/>
  <c r="L4329" i="1" s="1"/>
  <c r="K4329" i="1"/>
  <c r="K4328" i="1"/>
  <c r="L4328" i="1" s="1" a="1"/>
  <c r="L4328" i="1" s="1"/>
  <c r="K4327" i="1"/>
  <c r="L4327" i="1" s="1" a="1"/>
  <c r="L4327" i="1" s="1"/>
  <c r="L4326" i="1" a="1"/>
  <c r="L4326" i="1" s="1"/>
  <c r="K4326" i="1"/>
  <c r="L4325" i="1" a="1"/>
  <c r="L4325" i="1" s="1"/>
  <c r="K4325" i="1"/>
  <c r="K4324" i="1"/>
  <c r="L4324" i="1" s="1" a="1"/>
  <c r="L4324" i="1" s="1"/>
  <c r="K4323" i="1"/>
  <c r="L4323" i="1" s="1" a="1"/>
  <c r="L4323" i="1" s="1"/>
  <c r="K4322" i="1"/>
  <c r="L4322" i="1" s="1" a="1"/>
  <c r="L4322" i="1" s="1"/>
  <c r="L4321" i="1" a="1"/>
  <c r="L4321" i="1" s="1"/>
  <c r="K4321" i="1"/>
  <c r="L4320" i="1"/>
  <c r="K4320" i="1"/>
  <c r="L4320" i="1" s="1" a="1"/>
  <c r="K4319" i="1"/>
  <c r="L4319" i="1" s="1" a="1"/>
  <c r="L4319" i="1" s="1"/>
  <c r="K4318" i="1"/>
  <c r="L4318" i="1" s="1" a="1"/>
  <c r="L4318" i="1" s="1"/>
  <c r="L4317" i="1" a="1"/>
  <c r="L4317" i="1" s="1"/>
  <c r="K4317" i="1"/>
  <c r="K4316" i="1"/>
  <c r="L4316" i="1" s="1" a="1"/>
  <c r="L4316" i="1" s="1"/>
  <c r="K4315" i="1"/>
  <c r="L4315" i="1" s="1" a="1"/>
  <c r="L4315" i="1" s="1"/>
  <c r="L4314" i="1" a="1"/>
  <c r="L4314" i="1" s="1"/>
  <c r="K4314" i="1"/>
  <c r="L4313" i="1" a="1"/>
  <c r="L4313" i="1" s="1"/>
  <c r="K4313" i="1"/>
  <c r="K4312" i="1"/>
  <c r="L4312" i="1" s="1" a="1"/>
  <c r="L4312" i="1" s="1"/>
  <c r="K4311" i="1"/>
  <c r="L4311" i="1" s="1" a="1"/>
  <c r="L4311" i="1" s="1"/>
  <c r="K4310" i="1"/>
  <c r="L4310" i="1" s="1" a="1"/>
  <c r="L4310" i="1" s="1"/>
  <c r="L4309" i="1" a="1"/>
  <c r="L4309" i="1" s="1"/>
  <c r="K4309" i="1"/>
  <c r="L4308" i="1"/>
  <c r="K4308" i="1"/>
  <c r="L4308" i="1" s="1" a="1"/>
  <c r="K4307" i="1"/>
  <c r="L4307" i="1" s="1" a="1"/>
  <c r="L4307" i="1" s="1"/>
  <c r="K4306" i="1"/>
  <c r="L4306" i="1" s="1" a="1"/>
  <c r="L4306" i="1" s="1"/>
  <c r="L4305" i="1" a="1"/>
  <c r="L4305" i="1" s="1"/>
  <c r="K4305" i="1"/>
  <c r="L4304" i="1"/>
  <c r="L4304" i="1" a="1"/>
  <c r="K4304" i="1"/>
  <c r="K4303" i="1"/>
  <c r="L4303" i="1" s="1" a="1"/>
  <c r="L4303" i="1" s="1"/>
  <c r="K4302" i="1"/>
  <c r="L4302" i="1" s="1" a="1"/>
  <c r="L4302" i="1" s="1"/>
  <c r="L4301" i="1" a="1"/>
  <c r="L4301" i="1" s="1"/>
  <c r="K4301" i="1"/>
  <c r="L4300" i="1"/>
  <c r="L4300" i="1" a="1"/>
  <c r="K4300" i="1"/>
  <c r="K4299" i="1"/>
  <c r="L4299" i="1" s="1" a="1"/>
  <c r="L4299" i="1" s="1"/>
  <c r="L4298" i="1" a="1"/>
  <c r="L4298" i="1" s="1"/>
  <c r="K4298" i="1"/>
  <c r="L4297" i="1" a="1"/>
  <c r="L4297" i="1" s="1"/>
  <c r="K4297" i="1"/>
  <c r="L4296" i="1"/>
  <c r="L4296" i="1" a="1"/>
  <c r="K4296" i="1"/>
  <c r="K4295" i="1"/>
  <c r="L4295" i="1" s="1" a="1"/>
  <c r="L4295" i="1" s="1"/>
  <c r="K4294" i="1"/>
  <c r="L4294" i="1" s="1" a="1"/>
  <c r="L4294" i="1" s="1"/>
  <c r="L4293" i="1" a="1"/>
  <c r="L4293" i="1" s="1"/>
  <c r="K4293" i="1"/>
  <c r="L4292" i="1"/>
  <c r="L4292" i="1" a="1"/>
  <c r="K4292" i="1"/>
  <c r="K4291" i="1"/>
  <c r="L4291" i="1" s="1" a="1"/>
  <c r="L4291" i="1" s="1"/>
  <c r="K4290" i="1"/>
  <c r="L4290" i="1" s="1" a="1"/>
  <c r="L4290" i="1" s="1"/>
  <c r="L4289" i="1" a="1"/>
  <c r="L4289" i="1" s="1"/>
  <c r="K4289" i="1"/>
  <c r="L4288" i="1"/>
  <c r="L4288" i="1" a="1"/>
  <c r="K4288" i="1"/>
  <c r="K4287" i="1"/>
  <c r="L4287" i="1" s="1" a="1"/>
  <c r="L4287" i="1" s="1"/>
  <c r="K4286" i="1"/>
  <c r="L4286" i="1" s="1" a="1"/>
  <c r="L4286" i="1" s="1"/>
  <c r="L4285" i="1" a="1"/>
  <c r="L4285" i="1" s="1"/>
  <c r="K4285" i="1"/>
  <c r="L4284" i="1"/>
  <c r="L4284" i="1" a="1"/>
  <c r="K4284" i="1"/>
  <c r="K4283" i="1"/>
  <c r="L4283" i="1" s="1" a="1"/>
  <c r="L4283" i="1" s="1"/>
  <c r="L4282" i="1" a="1"/>
  <c r="L4282" i="1" s="1"/>
  <c r="K4282" i="1"/>
  <c r="L4281" i="1" a="1"/>
  <c r="L4281" i="1" s="1"/>
  <c r="K4281" i="1"/>
  <c r="L4280" i="1"/>
  <c r="L4280" i="1" a="1"/>
  <c r="K4280" i="1"/>
  <c r="K4279" i="1"/>
  <c r="L4279" i="1" s="1" a="1"/>
  <c r="L4279" i="1" s="1"/>
  <c r="K4278" i="1"/>
  <c r="L4278" i="1" s="1" a="1"/>
  <c r="L4278" i="1" s="1"/>
  <c r="L4277" i="1" a="1"/>
  <c r="L4277" i="1" s="1"/>
  <c r="K4277" i="1"/>
  <c r="L4276" i="1" a="1"/>
  <c r="L4276" i="1" s="1"/>
  <c r="K4276" i="1"/>
  <c r="K4275" i="1"/>
  <c r="L4275" i="1" s="1" a="1"/>
  <c r="L4275" i="1" s="1"/>
  <c r="K4274" i="1"/>
  <c r="L4274" i="1" s="1" a="1"/>
  <c r="L4274" i="1" s="1"/>
  <c r="L4273" i="1" a="1"/>
  <c r="L4273" i="1" s="1"/>
  <c r="K4273" i="1"/>
  <c r="L4272" i="1" a="1"/>
  <c r="L4272" i="1" s="1"/>
  <c r="K4272" i="1"/>
  <c r="K4271" i="1"/>
  <c r="L4271" i="1" s="1" a="1"/>
  <c r="L4271" i="1" s="1"/>
  <c r="K4270" i="1"/>
  <c r="L4270" i="1" s="1" a="1"/>
  <c r="L4270" i="1" s="1"/>
  <c r="L4269" i="1" a="1"/>
  <c r="L4269" i="1" s="1"/>
  <c r="K4269" i="1"/>
  <c r="L4268" i="1" a="1"/>
  <c r="L4268" i="1" s="1"/>
  <c r="K4268" i="1"/>
  <c r="K4267" i="1"/>
  <c r="L4267" i="1" s="1" a="1"/>
  <c r="L4267" i="1" s="1"/>
  <c r="L4266" i="1" a="1"/>
  <c r="L4266" i="1" s="1"/>
  <c r="K4266" i="1"/>
  <c r="L4265" i="1" a="1"/>
  <c r="L4265" i="1" s="1"/>
  <c r="K4265" i="1"/>
  <c r="L4264" i="1"/>
  <c r="L4264" i="1" a="1"/>
  <c r="K4264" i="1"/>
  <c r="K4263" i="1"/>
  <c r="L4263" i="1" s="1" a="1"/>
  <c r="L4263" i="1" s="1"/>
  <c r="K4262" i="1"/>
  <c r="L4262" i="1" s="1" a="1"/>
  <c r="L4262" i="1" s="1"/>
  <c r="L4261" i="1" a="1"/>
  <c r="L4261" i="1" s="1"/>
  <c r="K4261" i="1"/>
  <c r="L4260" i="1" a="1"/>
  <c r="L4260" i="1" s="1"/>
  <c r="K4260" i="1"/>
  <c r="K4259" i="1"/>
  <c r="L4259" i="1" s="1" a="1"/>
  <c r="L4259" i="1" s="1"/>
  <c r="K4258" i="1"/>
  <c r="L4258" i="1" s="1" a="1"/>
  <c r="L4258" i="1" s="1"/>
  <c r="L4257" i="1" a="1"/>
  <c r="L4257" i="1" s="1"/>
  <c r="K4257" i="1"/>
  <c r="L4256" i="1" a="1"/>
  <c r="L4256" i="1" s="1"/>
  <c r="K4256" i="1"/>
  <c r="K4255" i="1"/>
  <c r="L4255" i="1" s="1" a="1"/>
  <c r="L4255" i="1" s="1"/>
  <c r="K4254" i="1"/>
  <c r="L4254" i="1" s="1" a="1"/>
  <c r="L4254" i="1" s="1"/>
  <c r="L4253" i="1" a="1"/>
  <c r="L4253" i="1" s="1"/>
  <c r="K4253" i="1"/>
  <c r="L4252" i="1"/>
  <c r="L4252" i="1" a="1"/>
  <c r="K4252" i="1"/>
  <c r="K4251" i="1"/>
  <c r="L4251" i="1" s="1" a="1"/>
  <c r="L4251" i="1" s="1"/>
  <c r="K4250" i="1"/>
  <c r="L4250" i="1" s="1" a="1"/>
  <c r="L4250" i="1" s="1"/>
  <c r="L4249" i="1" a="1"/>
  <c r="L4249" i="1" s="1"/>
  <c r="K4249" i="1"/>
  <c r="L4248" i="1"/>
  <c r="L4248" i="1" a="1"/>
  <c r="K4248" i="1"/>
  <c r="L4247" i="1" a="1"/>
  <c r="L4247" i="1" s="1"/>
  <c r="K4247" i="1"/>
  <c r="K4246" i="1"/>
  <c r="L4246" i="1" s="1" a="1"/>
  <c r="L4246" i="1" s="1"/>
  <c r="L4245" i="1" a="1"/>
  <c r="L4245" i="1" s="1"/>
  <c r="K4245" i="1"/>
  <c r="L4244" i="1" a="1"/>
  <c r="L4244" i="1" s="1"/>
  <c r="K4244" i="1"/>
  <c r="K4243" i="1"/>
  <c r="L4243" i="1" s="1" a="1"/>
  <c r="L4243" i="1" s="1"/>
  <c r="L4242" i="1"/>
  <c r="K4242" i="1"/>
  <c r="L4242" i="1" s="1" a="1"/>
  <c r="L4241" i="1" a="1"/>
  <c r="L4241" i="1" s="1"/>
  <c r="K4241" i="1"/>
  <c r="L4240" i="1" a="1"/>
  <c r="L4240" i="1" s="1"/>
  <c r="K4240" i="1"/>
  <c r="L4239" i="1" a="1"/>
  <c r="L4239" i="1" s="1"/>
  <c r="K4239" i="1"/>
  <c r="K4238" i="1"/>
  <c r="L4238" i="1" s="1" a="1"/>
  <c r="L4238" i="1" s="1"/>
  <c r="L4237" i="1" a="1"/>
  <c r="L4237" i="1" s="1"/>
  <c r="K4237" i="1"/>
  <c r="L4236" i="1" a="1"/>
  <c r="L4236" i="1" s="1"/>
  <c r="K4236" i="1"/>
  <c r="L4235" i="1" a="1"/>
  <c r="L4235" i="1" s="1"/>
  <c r="K4235" i="1"/>
  <c r="L4234" i="1"/>
  <c r="L4234" i="1" a="1"/>
  <c r="K4234" i="1"/>
  <c r="L4233" i="1" a="1"/>
  <c r="L4233" i="1" s="1"/>
  <c r="K4233" i="1"/>
  <c r="L4232" i="1" a="1"/>
  <c r="L4232" i="1" s="1"/>
  <c r="K4232" i="1"/>
  <c r="L4231" i="1" a="1"/>
  <c r="L4231" i="1" s="1"/>
  <c r="K4231" i="1"/>
  <c r="K4230" i="1"/>
  <c r="L4230" i="1" s="1" a="1"/>
  <c r="L4230" i="1" s="1"/>
  <c r="L4229" i="1" a="1"/>
  <c r="L4229" i="1" s="1"/>
  <c r="K4229" i="1"/>
  <c r="L4228" i="1" a="1"/>
  <c r="L4228" i="1" s="1"/>
  <c r="K4228" i="1"/>
  <c r="K4227" i="1"/>
  <c r="L4227" i="1" s="1" a="1"/>
  <c r="L4227" i="1" s="1"/>
  <c r="K4226" i="1"/>
  <c r="L4226" i="1" s="1" a="1"/>
  <c r="L4226" i="1" s="1"/>
  <c r="L4225" i="1" a="1"/>
  <c r="L4225" i="1" s="1"/>
  <c r="K4225" i="1"/>
  <c r="L4224" i="1"/>
  <c r="L4224" i="1" a="1"/>
  <c r="K4224" i="1"/>
  <c r="L4223" i="1" a="1"/>
  <c r="L4223" i="1" s="1"/>
  <c r="K4223" i="1"/>
  <c r="K4222" i="1"/>
  <c r="L4222" i="1" s="1" a="1"/>
  <c r="L4222" i="1" s="1"/>
  <c r="L4221" i="1" a="1"/>
  <c r="L4221" i="1" s="1"/>
  <c r="K4221" i="1"/>
  <c r="L4220" i="1" a="1"/>
  <c r="L4220" i="1" s="1"/>
  <c r="K4220" i="1"/>
  <c r="K4219" i="1"/>
  <c r="L4219" i="1" s="1" a="1"/>
  <c r="L4219" i="1" s="1"/>
  <c r="K4218" i="1"/>
  <c r="L4218" i="1" s="1" a="1"/>
  <c r="L4218" i="1" s="1"/>
  <c r="L4217" i="1" a="1"/>
  <c r="L4217" i="1" s="1"/>
  <c r="K4217" i="1"/>
  <c r="L4216" i="1" a="1"/>
  <c r="L4216" i="1" s="1"/>
  <c r="K4216" i="1"/>
  <c r="L4215" i="1" a="1"/>
  <c r="L4215" i="1" s="1"/>
  <c r="K4215" i="1"/>
  <c r="K4214" i="1"/>
  <c r="L4214" i="1" s="1" a="1"/>
  <c r="L4214" i="1" s="1"/>
  <c r="L4213" i="1" a="1"/>
  <c r="L4213" i="1" s="1"/>
  <c r="K4213" i="1"/>
  <c r="L4212" i="1" a="1"/>
  <c r="L4212" i="1" s="1"/>
  <c r="K4212" i="1"/>
  <c r="L4211" i="1" a="1"/>
  <c r="L4211" i="1" s="1"/>
  <c r="K4211" i="1"/>
  <c r="L4210" i="1"/>
  <c r="L4210" i="1" a="1"/>
  <c r="K4210" i="1"/>
  <c r="L4209" i="1" a="1"/>
  <c r="L4209" i="1" s="1"/>
  <c r="K4209" i="1"/>
  <c r="L4208" i="1" a="1"/>
  <c r="L4208" i="1" s="1"/>
  <c r="K4208" i="1"/>
  <c r="L4207" i="1" a="1"/>
  <c r="L4207" i="1" s="1"/>
  <c r="K4207" i="1"/>
  <c r="K4206" i="1"/>
  <c r="L4206" i="1" s="1" a="1"/>
  <c r="L4206" i="1" s="1"/>
  <c r="L4205" i="1" a="1"/>
  <c r="L4205" i="1" s="1"/>
  <c r="K4205" i="1"/>
  <c r="L4204" i="1"/>
  <c r="L4204" i="1" a="1"/>
  <c r="K4204" i="1"/>
  <c r="K4203" i="1"/>
  <c r="L4203" i="1" s="1" a="1"/>
  <c r="L4203" i="1" s="1"/>
  <c r="K4202" i="1"/>
  <c r="L4202" i="1" s="1" a="1"/>
  <c r="L4202" i="1" s="1"/>
  <c r="L4201" i="1" a="1"/>
  <c r="L4201" i="1" s="1"/>
  <c r="K4201" i="1"/>
  <c r="L4200" i="1"/>
  <c r="L4200" i="1" a="1"/>
  <c r="K4200" i="1"/>
  <c r="L4199" i="1" a="1"/>
  <c r="L4199" i="1" s="1"/>
  <c r="K4199" i="1"/>
  <c r="K4198" i="1"/>
  <c r="L4198" i="1" s="1" a="1"/>
  <c r="L4198" i="1" s="1"/>
  <c r="L4197" i="1" a="1"/>
  <c r="L4197" i="1" s="1"/>
  <c r="K4197" i="1"/>
  <c r="L4196" i="1" a="1"/>
  <c r="L4196" i="1" s="1"/>
  <c r="K4196" i="1"/>
  <c r="K4195" i="1"/>
  <c r="L4195" i="1" s="1" a="1"/>
  <c r="L4195" i="1" s="1"/>
  <c r="K4194" i="1"/>
  <c r="L4194" i="1" s="1" a="1"/>
  <c r="L4194" i="1" s="1"/>
  <c r="L4193" i="1" a="1"/>
  <c r="L4193" i="1" s="1"/>
  <c r="K4193" i="1"/>
  <c r="L4192" i="1" a="1"/>
  <c r="L4192" i="1" s="1"/>
  <c r="K4192" i="1"/>
  <c r="L4191" i="1" a="1"/>
  <c r="L4191" i="1" s="1"/>
  <c r="K4191" i="1"/>
  <c r="K4190" i="1"/>
  <c r="L4190" i="1" s="1" a="1"/>
  <c r="L4190" i="1" s="1"/>
  <c r="L4189" i="1" a="1"/>
  <c r="L4189" i="1" s="1"/>
  <c r="K4189" i="1"/>
  <c r="L4188" i="1" a="1"/>
  <c r="L4188" i="1" s="1"/>
  <c r="K4188" i="1"/>
  <c r="L4187" i="1" a="1"/>
  <c r="L4187" i="1" s="1"/>
  <c r="K4187" i="1"/>
  <c r="L4186" i="1"/>
  <c r="L4186" i="1" a="1"/>
  <c r="K4186" i="1"/>
  <c r="L4185" i="1" a="1"/>
  <c r="L4185" i="1" s="1"/>
  <c r="K4185" i="1"/>
  <c r="L4184" i="1" a="1"/>
  <c r="L4184" i="1" s="1"/>
  <c r="K4184" i="1"/>
  <c r="L4183" i="1" a="1"/>
  <c r="L4183" i="1" s="1"/>
  <c r="K4183" i="1"/>
  <c r="L4182" i="1"/>
  <c r="K4182" i="1"/>
  <c r="L4182" i="1" s="1" a="1"/>
  <c r="L4181" i="1" a="1"/>
  <c r="L4181" i="1" s="1"/>
  <c r="K4181" i="1"/>
  <c r="L4180" i="1" a="1"/>
  <c r="L4180" i="1" s="1"/>
  <c r="K4180" i="1"/>
  <c r="K4179" i="1"/>
  <c r="L4179" i="1" s="1" a="1"/>
  <c r="L4179" i="1" s="1"/>
  <c r="L4178" i="1"/>
  <c r="K4178" i="1"/>
  <c r="L4178" i="1" s="1" a="1"/>
  <c r="L4177" i="1" a="1"/>
  <c r="L4177" i="1" s="1"/>
  <c r="K4177" i="1"/>
  <c r="L4176" i="1"/>
  <c r="L4176" i="1" a="1"/>
  <c r="K4176" i="1"/>
  <c r="L4175" i="1" a="1"/>
  <c r="L4175" i="1" s="1"/>
  <c r="K4175" i="1"/>
  <c r="K4174" i="1"/>
  <c r="L4174" i="1" s="1" a="1"/>
  <c r="L4174" i="1" s="1"/>
  <c r="L4173" i="1" a="1"/>
  <c r="L4173" i="1" s="1"/>
  <c r="K4173" i="1"/>
  <c r="L4172" i="1" a="1"/>
  <c r="L4172" i="1" s="1"/>
  <c r="K4172" i="1"/>
  <c r="K4171" i="1"/>
  <c r="L4171" i="1" s="1" a="1"/>
  <c r="L4171" i="1" s="1"/>
  <c r="K4170" i="1"/>
  <c r="L4170" i="1" s="1" a="1"/>
  <c r="L4170" i="1" s="1"/>
  <c r="L4169" i="1" a="1"/>
  <c r="L4169" i="1" s="1"/>
  <c r="K4169" i="1"/>
  <c r="L4168" i="1" a="1"/>
  <c r="L4168" i="1" s="1"/>
  <c r="K4168" i="1"/>
  <c r="L4167" i="1" a="1"/>
  <c r="L4167" i="1" s="1"/>
  <c r="K4167" i="1"/>
  <c r="K4166" i="1"/>
  <c r="L4166" i="1" s="1" a="1"/>
  <c r="L4166" i="1" s="1"/>
  <c r="L4165" i="1" a="1"/>
  <c r="L4165" i="1" s="1"/>
  <c r="K4165" i="1"/>
  <c r="L4164" i="1" a="1"/>
  <c r="L4164" i="1" s="1"/>
  <c r="K4164" i="1"/>
  <c r="L4163" i="1" a="1"/>
  <c r="L4163" i="1" s="1"/>
  <c r="K4163" i="1"/>
  <c r="L4162" i="1"/>
  <c r="L4162" i="1" a="1"/>
  <c r="K4162" i="1"/>
  <c r="L4161" i="1" a="1"/>
  <c r="L4161" i="1" s="1"/>
  <c r="K4161" i="1"/>
  <c r="L4160" i="1" a="1"/>
  <c r="L4160" i="1" s="1"/>
  <c r="K4160" i="1"/>
  <c r="L4159" i="1" a="1"/>
  <c r="L4159" i="1" s="1"/>
  <c r="K4159" i="1"/>
  <c r="L4158" i="1"/>
  <c r="K4158" i="1"/>
  <c r="L4158" i="1" s="1" a="1"/>
  <c r="L4157" i="1" a="1"/>
  <c r="L4157" i="1" s="1"/>
  <c r="K4157" i="1"/>
  <c r="L4156" i="1" a="1"/>
  <c r="L4156" i="1" s="1"/>
  <c r="K4156" i="1"/>
  <c r="K4155" i="1"/>
  <c r="L4155" i="1" s="1" a="1"/>
  <c r="L4155" i="1" s="1"/>
  <c r="L4154" i="1"/>
  <c r="K4154" i="1"/>
  <c r="L4154" i="1" s="1" a="1"/>
  <c r="L4153" i="1" a="1"/>
  <c r="L4153" i="1" s="1"/>
  <c r="K4153" i="1"/>
  <c r="L4152" i="1"/>
  <c r="L4152" i="1" a="1"/>
  <c r="K4152" i="1"/>
  <c r="L4151" i="1" a="1"/>
  <c r="L4151" i="1" s="1"/>
  <c r="K4151" i="1"/>
  <c r="K4150" i="1"/>
  <c r="L4150" i="1" s="1" a="1"/>
  <c r="L4150" i="1" s="1"/>
  <c r="L4149" i="1" a="1"/>
  <c r="L4149" i="1" s="1"/>
  <c r="K4149" i="1"/>
  <c r="L4148" i="1" a="1"/>
  <c r="L4148" i="1" s="1"/>
  <c r="K4148" i="1"/>
  <c r="K4147" i="1"/>
  <c r="L4147" i="1" s="1" a="1"/>
  <c r="L4147" i="1" s="1"/>
  <c r="K4146" i="1"/>
  <c r="L4146" i="1" s="1" a="1"/>
  <c r="L4146" i="1" s="1"/>
  <c r="L4145" i="1" a="1"/>
  <c r="L4145" i="1" s="1"/>
  <c r="K4145" i="1"/>
  <c r="L4144" i="1" a="1"/>
  <c r="L4144" i="1" s="1"/>
  <c r="K4144" i="1"/>
  <c r="L4143" i="1" a="1"/>
  <c r="L4143" i="1" s="1"/>
  <c r="K4143" i="1"/>
  <c r="K4142" i="1"/>
  <c r="L4142" i="1" s="1" a="1"/>
  <c r="L4142" i="1" s="1"/>
  <c r="K4141" i="1"/>
  <c r="L4141" i="1" s="1" a="1"/>
  <c r="L4141" i="1" s="1"/>
  <c r="L4140" i="1"/>
  <c r="L4140" i="1" a="1"/>
  <c r="K4140" i="1"/>
  <c r="L4139" i="1" a="1"/>
  <c r="L4139" i="1" s="1"/>
  <c r="K4139" i="1"/>
  <c r="L4138" i="1"/>
  <c r="L4138" i="1" a="1"/>
  <c r="K4138" i="1"/>
  <c r="L4137" i="1" a="1"/>
  <c r="L4137" i="1" s="1"/>
  <c r="K4137" i="1"/>
  <c r="K4136" i="1"/>
  <c r="L4136" i="1" s="1" a="1"/>
  <c r="L4136" i="1" s="1"/>
  <c r="K4135" i="1"/>
  <c r="L4135" i="1" s="1" a="1"/>
  <c r="L4135" i="1" s="1"/>
  <c r="L4134" i="1" a="1"/>
  <c r="L4134" i="1" s="1"/>
  <c r="K4134" i="1"/>
  <c r="K4133" i="1"/>
  <c r="L4133" i="1" s="1" a="1"/>
  <c r="L4133" i="1" s="1"/>
  <c r="K4132" i="1"/>
  <c r="L4132" i="1" s="1" a="1"/>
  <c r="L4132" i="1" s="1"/>
  <c r="K4131" i="1"/>
  <c r="L4131" i="1" s="1" a="1"/>
  <c r="L4131" i="1" s="1"/>
  <c r="L4130" i="1" a="1"/>
  <c r="L4130" i="1" s="1"/>
  <c r="K4130" i="1"/>
  <c r="L4129" i="1" a="1"/>
  <c r="L4129" i="1" s="1"/>
  <c r="K4129" i="1"/>
  <c r="K4128" i="1"/>
  <c r="L4128" i="1" s="1" a="1"/>
  <c r="L4128" i="1" s="1"/>
  <c r="K4127" i="1"/>
  <c r="L4127" i="1" s="1" a="1"/>
  <c r="L4127" i="1" s="1"/>
  <c r="L4126" i="1" a="1"/>
  <c r="L4126" i="1" s="1"/>
  <c r="K4126" i="1"/>
  <c r="L4125" i="1" a="1"/>
  <c r="L4125" i="1" s="1"/>
  <c r="K4125" i="1"/>
  <c r="K4124" i="1"/>
  <c r="L4124" i="1" s="1" a="1"/>
  <c r="L4124" i="1" s="1"/>
  <c r="L4123" i="1"/>
  <c r="K4123" i="1"/>
  <c r="L4123" i="1" s="1" a="1"/>
  <c r="L4122" i="1" a="1"/>
  <c r="L4122" i="1" s="1"/>
  <c r="K4122" i="1"/>
  <c r="L4121" i="1" a="1"/>
  <c r="L4121" i="1" s="1"/>
  <c r="K4121" i="1"/>
  <c r="K4120" i="1"/>
  <c r="L4120" i="1" s="1" a="1"/>
  <c r="L4120" i="1" s="1"/>
  <c r="K4119" i="1"/>
  <c r="L4119" i="1" s="1" a="1"/>
  <c r="L4119" i="1" s="1"/>
  <c r="L4118" i="1" a="1"/>
  <c r="L4118" i="1" s="1"/>
  <c r="K4118" i="1"/>
  <c r="K4117" i="1"/>
  <c r="L4117" i="1" s="1" a="1"/>
  <c r="L4117" i="1" s="1"/>
  <c r="K4116" i="1"/>
  <c r="L4116" i="1" s="1" a="1"/>
  <c r="L4116" i="1" s="1"/>
  <c r="L4115" i="1"/>
  <c r="K4115" i="1"/>
  <c r="L4115" i="1" s="1" a="1"/>
  <c r="L4114" i="1" a="1"/>
  <c r="L4114" i="1" s="1"/>
  <c r="K4114" i="1"/>
  <c r="L4113" i="1" a="1"/>
  <c r="L4113" i="1" s="1"/>
  <c r="K4113" i="1"/>
  <c r="K4112" i="1"/>
  <c r="L4112" i="1" s="1" a="1"/>
  <c r="L4112" i="1" s="1"/>
  <c r="L4111" i="1"/>
  <c r="K4111" i="1"/>
  <c r="L4111" i="1" s="1" a="1"/>
  <c r="L4110" i="1" a="1"/>
  <c r="L4110" i="1" s="1"/>
  <c r="K4110" i="1"/>
  <c r="K4109" i="1"/>
  <c r="L4109" i="1" s="1" a="1"/>
  <c r="L4109" i="1" s="1"/>
  <c r="K4108" i="1"/>
  <c r="L4108" i="1" s="1" a="1"/>
  <c r="L4108" i="1" s="1"/>
  <c r="L4107" i="1"/>
  <c r="K4107" i="1"/>
  <c r="L4107" i="1" s="1" a="1"/>
  <c r="L4106" i="1" a="1"/>
  <c r="L4106" i="1" s="1"/>
  <c r="K4106" i="1"/>
  <c r="K4105" i="1"/>
  <c r="L4105" i="1" s="1" a="1"/>
  <c r="L4105" i="1" s="1"/>
  <c r="K4104" i="1"/>
  <c r="L4104" i="1" s="1" a="1"/>
  <c r="L4104" i="1" s="1"/>
  <c r="L4103" i="1"/>
  <c r="L4103" i="1" a="1"/>
  <c r="K4103" i="1"/>
  <c r="L4102" i="1" a="1"/>
  <c r="L4102" i="1" s="1"/>
  <c r="K4102" i="1"/>
  <c r="L4101" i="1" a="1"/>
  <c r="L4101" i="1" s="1"/>
  <c r="K4101" i="1"/>
  <c r="K4100" i="1"/>
  <c r="L4100" i="1" s="1" a="1"/>
  <c r="L4100" i="1" s="1"/>
  <c r="K4099" i="1"/>
  <c r="L4099" i="1" s="1" a="1"/>
  <c r="L4099" i="1" s="1"/>
  <c r="L4098" i="1" a="1"/>
  <c r="L4098" i="1" s="1"/>
  <c r="K4098" i="1"/>
  <c r="L4097" i="1" a="1"/>
  <c r="L4097" i="1" s="1"/>
  <c r="K4097" i="1"/>
  <c r="K4096" i="1"/>
  <c r="L4096" i="1" s="1" a="1"/>
  <c r="L4096" i="1" s="1"/>
  <c r="L4095" i="1" a="1"/>
  <c r="L4095" i="1" s="1"/>
  <c r="K4095" i="1"/>
  <c r="L4094" i="1" a="1"/>
  <c r="L4094" i="1" s="1"/>
  <c r="K4094" i="1"/>
  <c r="K4093" i="1"/>
  <c r="L4093" i="1" s="1" a="1"/>
  <c r="L4093" i="1" s="1"/>
  <c r="K4092" i="1"/>
  <c r="L4092" i="1" s="1" a="1"/>
  <c r="L4092" i="1" s="1"/>
  <c r="L4091" i="1" a="1"/>
  <c r="L4091" i="1" s="1"/>
  <c r="K4091" i="1"/>
  <c r="L4090" i="1" a="1"/>
  <c r="L4090" i="1" s="1"/>
  <c r="K4090" i="1"/>
  <c r="L4089" i="1" a="1"/>
  <c r="L4089" i="1" s="1"/>
  <c r="K4089" i="1"/>
  <c r="K4088" i="1"/>
  <c r="L4088" i="1" s="1" a="1"/>
  <c r="L4088" i="1" s="1"/>
  <c r="K4087" i="1"/>
  <c r="L4087" i="1" s="1" a="1"/>
  <c r="L4087" i="1" s="1"/>
  <c r="L4086" i="1" a="1"/>
  <c r="L4086" i="1" s="1"/>
  <c r="K4086" i="1"/>
  <c r="L4085" i="1" a="1"/>
  <c r="L4085" i="1" s="1"/>
  <c r="K4085" i="1"/>
  <c r="K4084" i="1"/>
  <c r="L4084" i="1" s="1" a="1"/>
  <c r="L4084" i="1" s="1"/>
  <c r="L4083" i="1" a="1"/>
  <c r="L4083" i="1" s="1"/>
  <c r="K4083" i="1"/>
  <c r="L4082" i="1" a="1"/>
  <c r="L4082" i="1" s="1"/>
  <c r="K4082" i="1"/>
  <c r="K4081" i="1"/>
  <c r="L4081" i="1" s="1" a="1"/>
  <c r="L4081" i="1" s="1"/>
  <c r="K4080" i="1"/>
  <c r="L4080" i="1" s="1" a="1"/>
  <c r="L4080" i="1" s="1"/>
  <c r="L4079" i="1"/>
  <c r="L4079" i="1" a="1"/>
  <c r="K4079" i="1"/>
  <c r="L4078" i="1" a="1"/>
  <c r="L4078" i="1" s="1"/>
  <c r="K4078" i="1"/>
  <c r="L4077" i="1" a="1"/>
  <c r="L4077" i="1" s="1"/>
  <c r="K4077" i="1"/>
  <c r="K4076" i="1"/>
  <c r="L4076" i="1" s="1" a="1"/>
  <c r="L4076" i="1" s="1"/>
  <c r="K4075" i="1"/>
  <c r="L4075" i="1" s="1" a="1"/>
  <c r="L4075" i="1" s="1"/>
  <c r="L4074" i="1" a="1"/>
  <c r="L4074" i="1" s="1"/>
  <c r="K4074" i="1"/>
  <c r="L4073" i="1" a="1"/>
  <c r="L4073" i="1" s="1"/>
  <c r="K4073" i="1"/>
  <c r="K4072" i="1"/>
  <c r="L4072" i="1" s="1" a="1"/>
  <c r="L4072" i="1" s="1"/>
  <c r="L4071" i="1" a="1"/>
  <c r="L4071" i="1" s="1"/>
  <c r="K4071" i="1"/>
  <c r="L4070" i="1" a="1"/>
  <c r="L4070" i="1" s="1"/>
  <c r="K4070" i="1"/>
  <c r="K4069" i="1"/>
  <c r="L4069" i="1" s="1" a="1"/>
  <c r="L4069" i="1" s="1"/>
  <c r="K4068" i="1"/>
  <c r="L4068" i="1" s="1" a="1"/>
  <c r="L4068" i="1" s="1"/>
  <c r="L4067" i="1"/>
  <c r="L4067" i="1" a="1"/>
  <c r="K4067" i="1"/>
  <c r="L4066" i="1" a="1"/>
  <c r="L4066" i="1" s="1"/>
  <c r="K4066" i="1"/>
  <c r="L4065" i="1" a="1"/>
  <c r="L4065" i="1" s="1"/>
  <c r="K4065" i="1"/>
  <c r="K4064" i="1"/>
  <c r="L4064" i="1" s="1" a="1"/>
  <c r="L4064" i="1" s="1"/>
  <c r="K4063" i="1"/>
  <c r="L4063" i="1" s="1" a="1"/>
  <c r="L4063" i="1" s="1"/>
  <c r="L4062" i="1" a="1"/>
  <c r="L4062" i="1" s="1"/>
  <c r="K4062" i="1"/>
  <c r="L4061" i="1" a="1"/>
  <c r="L4061" i="1" s="1"/>
  <c r="K4061" i="1"/>
  <c r="K4060" i="1"/>
  <c r="L4060" i="1" s="1" a="1"/>
  <c r="L4060" i="1" s="1"/>
  <c r="L4059" i="1" a="1"/>
  <c r="L4059" i="1" s="1"/>
  <c r="K4059" i="1"/>
  <c r="L4058" i="1" a="1"/>
  <c r="L4058" i="1" s="1"/>
  <c r="K4058" i="1"/>
  <c r="K4057" i="1"/>
  <c r="L4057" i="1" s="1" a="1"/>
  <c r="L4057" i="1" s="1"/>
  <c r="K4056" i="1"/>
  <c r="L4056" i="1" s="1" a="1"/>
  <c r="L4056" i="1" s="1"/>
  <c r="L4055" i="1" a="1"/>
  <c r="L4055" i="1" s="1"/>
  <c r="K4055" i="1"/>
  <c r="L4054" i="1" a="1"/>
  <c r="L4054" i="1" s="1"/>
  <c r="K4054" i="1"/>
  <c r="L4053" i="1" a="1"/>
  <c r="L4053" i="1" s="1"/>
  <c r="K4053" i="1"/>
  <c r="K4052" i="1"/>
  <c r="L4052" i="1" s="1" a="1"/>
  <c r="L4052" i="1" s="1"/>
  <c r="K4051" i="1"/>
  <c r="L4051" i="1" s="1" a="1"/>
  <c r="L4051" i="1" s="1"/>
  <c r="L4050" i="1" a="1"/>
  <c r="L4050" i="1" s="1"/>
  <c r="K4050" i="1"/>
  <c r="L4049" i="1" a="1"/>
  <c r="L4049" i="1" s="1"/>
  <c r="K4049" i="1"/>
  <c r="K4048" i="1"/>
  <c r="L4048" i="1" s="1" a="1"/>
  <c r="L4048" i="1" s="1"/>
  <c r="L4047" i="1" a="1"/>
  <c r="L4047" i="1" s="1"/>
  <c r="K4047" i="1"/>
  <c r="L4046" i="1" a="1"/>
  <c r="L4046" i="1" s="1"/>
  <c r="K4046" i="1"/>
  <c r="K4045" i="1"/>
  <c r="L4045" i="1" s="1" a="1"/>
  <c r="L4045" i="1" s="1"/>
  <c r="K4044" i="1"/>
  <c r="L4044" i="1" s="1" a="1"/>
  <c r="L4044" i="1" s="1"/>
  <c r="L4043" i="1"/>
  <c r="L4043" i="1" a="1"/>
  <c r="K4043" i="1"/>
  <c r="L4042" i="1" a="1"/>
  <c r="L4042" i="1" s="1"/>
  <c r="K4042" i="1"/>
  <c r="L4041" i="1" a="1"/>
  <c r="L4041" i="1" s="1"/>
  <c r="K4041" i="1"/>
  <c r="K4040" i="1"/>
  <c r="L4040" i="1" s="1" a="1"/>
  <c r="L4040" i="1" s="1"/>
  <c r="K4039" i="1"/>
  <c r="L4039" i="1" s="1" a="1"/>
  <c r="L4039" i="1" s="1"/>
  <c r="L4038" i="1" a="1"/>
  <c r="L4038" i="1" s="1"/>
  <c r="K4038" i="1"/>
  <c r="L4037" i="1" a="1"/>
  <c r="L4037" i="1" s="1"/>
  <c r="K4037" i="1"/>
  <c r="K4036" i="1"/>
  <c r="L4036" i="1" s="1" a="1"/>
  <c r="L4036" i="1" s="1"/>
  <c r="L4035" i="1" a="1"/>
  <c r="L4035" i="1" s="1"/>
  <c r="K4035" i="1"/>
  <c r="L4034" i="1" a="1"/>
  <c r="L4034" i="1" s="1"/>
  <c r="K4034" i="1"/>
  <c r="K4033" i="1"/>
  <c r="L4033" i="1" s="1" a="1"/>
  <c r="L4033" i="1" s="1"/>
  <c r="K4032" i="1"/>
  <c r="L4032" i="1" s="1" a="1"/>
  <c r="L4032" i="1" s="1"/>
  <c r="L4031" i="1"/>
  <c r="L4031" i="1" a="1"/>
  <c r="K4031" i="1"/>
  <c r="L4030" i="1" a="1"/>
  <c r="L4030" i="1" s="1"/>
  <c r="K4030" i="1"/>
  <c r="L4029" i="1" a="1"/>
  <c r="L4029" i="1" s="1"/>
  <c r="K4029" i="1"/>
  <c r="K4028" i="1"/>
  <c r="L4028" i="1" s="1" a="1"/>
  <c r="L4028" i="1" s="1"/>
  <c r="K4027" i="1"/>
  <c r="L4027" i="1" s="1" a="1"/>
  <c r="L4027" i="1" s="1"/>
  <c r="L4026" i="1" a="1"/>
  <c r="L4026" i="1" s="1"/>
  <c r="K4026" i="1"/>
  <c r="L4025" i="1" a="1"/>
  <c r="L4025" i="1" s="1"/>
  <c r="K4025" i="1"/>
  <c r="K4024" i="1"/>
  <c r="L4024" i="1" s="1" a="1"/>
  <c r="L4024" i="1" s="1"/>
  <c r="L4023" i="1" a="1"/>
  <c r="L4023" i="1" s="1"/>
  <c r="K4023" i="1"/>
  <c r="L4022" i="1" a="1"/>
  <c r="L4022" i="1" s="1"/>
  <c r="K4022" i="1"/>
  <c r="K4021" i="1"/>
  <c r="L4021" i="1" s="1" a="1"/>
  <c r="L4021" i="1" s="1"/>
  <c r="K4020" i="1"/>
  <c r="L4020" i="1" s="1" a="1"/>
  <c r="L4020" i="1" s="1"/>
  <c r="L4019" i="1" a="1"/>
  <c r="L4019" i="1" s="1"/>
  <c r="K4019" i="1"/>
  <c r="L4018" i="1" a="1"/>
  <c r="L4018" i="1" s="1"/>
  <c r="K4018" i="1"/>
  <c r="L4017" i="1" a="1"/>
  <c r="L4017" i="1" s="1"/>
  <c r="K4017" i="1"/>
  <c r="K4016" i="1"/>
  <c r="L4016" i="1" s="1" a="1"/>
  <c r="L4016" i="1" s="1"/>
  <c r="K4015" i="1"/>
  <c r="L4015" i="1" s="1" a="1"/>
  <c r="L4015" i="1" s="1"/>
  <c r="L4014" i="1" a="1"/>
  <c r="L4014" i="1" s="1"/>
  <c r="K4014" i="1"/>
  <c r="L4013" i="1" a="1"/>
  <c r="L4013" i="1" s="1"/>
  <c r="K4013" i="1"/>
  <c r="K4012" i="1"/>
  <c r="L4012" i="1" s="1" a="1"/>
  <c r="L4012" i="1" s="1"/>
  <c r="L4011" i="1" a="1"/>
  <c r="L4011" i="1" s="1"/>
  <c r="K4011" i="1"/>
  <c r="L4010" i="1" a="1"/>
  <c r="L4010" i="1" s="1"/>
  <c r="K4010" i="1"/>
  <c r="K4009" i="1"/>
  <c r="L4009" i="1" s="1" a="1"/>
  <c r="L4009" i="1" s="1"/>
  <c r="K4008" i="1"/>
  <c r="L4008" i="1" s="1" a="1"/>
  <c r="L4008" i="1" s="1"/>
  <c r="L4007" i="1"/>
  <c r="L4007" i="1" a="1"/>
  <c r="K4007" i="1"/>
  <c r="L4006" i="1" a="1"/>
  <c r="L4006" i="1" s="1"/>
  <c r="K4006" i="1"/>
  <c r="L4005" i="1" a="1"/>
  <c r="L4005" i="1" s="1"/>
  <c r="K4005" i="1"/>
  <c r="K4004" i="1"/>
  <c r="L4004" i="1" s="1" a="1"/>
  <c r="L4004" i="1" s="1"/>
  <c r="K4003" i="1"/>
  <c r="L4003" i="1" s="1" a="1"/>
  <c r="L4003" i="1" s="1"/>
  <c r="L4002" i="1" a="1"/>
  <c r="L4002" i="1" s="1"/>
  <c r="K4002" i="1"/>
  <c r="L4001" i="1" a="1"/>
  <c r="L4001" i="1" s="1"/>
  <c r="K4001" i="1"/>
  <c r="K4000" i="1"/>
  <c r="L4000" i="1" s="1" a="1"/>
  <c r="L4000" i="1" s="1"/>
  <c r="L3999" i="1" a="1"/>
  <c r="L3999" i="1" s="1"/>
  <c r="K3999" i="1"/>
  <c r="L3998" i="1" a="1"/>
  <c r="L3998" i="1" s="1"/>
  <c r="K3998" i="1"/>
  <c r="K3997" i="1"/>
  <c r="L3997" i="1" s="1" a="1"/>
  <c r="L3997" i="1" s="1"/>
  <c r="K3996" i="1"/>
  <c r="L3996" i="1" s="1" a="1"/>
  <c r="L3996" i="1" s="1"/>
  <c r="L3995" i="1"/>
  <c r="L3995" i="1" a="1"/>
  <c r="K3995" i="1"/>
  <c r="L3994" i="1" a="1"/>
  <c r="L3994" i="1" s="1"/>
  <c r="K3994" i="1"/>
  <c r="L3993" i="1" a="1"/>
  <c r="L3993" i="1" s="1"/>
  <c r="K3993" i="1"/>
  <c r="K3992" i="1"/>
  <c r="L3992" i="1" s="1" a="1"/>
  <c r="L3992" i="1" s="1"/>
  <c r="K3991" i="1"/>
  <c r="L3991" i="1" s="1" a="1"/>
  <c r="L3991" i="1" s="1"/>
  <c r="L3990" i="1" a="1"/>
  <c r="L3990" i="1" s="1"/>
  <c r="K3990" i="1"/>
  <c r="L3989" i="1" a="1"/>
  <c r="L3989" i="1" s="1"/>
  <c r="K3989" i="1"/>
  <c r="K3988" i="1"/>
  <c r="L3988" i="1" s="1" a="1"/>
  <c r="L3988" i="1" s="1"/>
  <c r="L3987" i="1" a="1"/>
  <c r="L3987" i="1" s="1"/>
  <c r="K3987" i="1"/>
  <c r="L3986" i="1" a="1"/>
  <c r="L3986" i="1" s="1"/>
  <c r="K3986" i="1"/>
  <c r="K3985" i="1"/>
  <c r="L3985" i="1" s="1" a="1"/>
  <c r="L3985" i="1" s="1"/>
  <c r="K3984" i="1"/>
  <c r="L3984" i="1" s="1" a="1"/>
  <c r="L3984" i="1" s="1"/>
  <c r="L3983" i="1" a="1"/>
  <c r="L3983" i="1" s="1"/>
  <c r="K3983" i="1"/>
  <c r="L3982" i="1" a="1"/>
  <c r="L3982" i="1" s="1"/>
  <c r="K3982" i="1"/>
  <c r="L3981" i="1" a="1"/>
  <c r="L3981" i="1" s="1"/>
  <c r="K3981" i="1"/>
  <c r="K3980" i="1"/>
  <c r="L3980" i="1" s="1" a="1"/>
  <c r="L3980" i="1" s="1"/>
  <c r="K3979" i="1"/>
  <c r="L3979" i="1" s="1" a="1"/>
  <c r="L3979" i="1" s="1"/>
  <c r="L3978" i="1" a="1"/>
  <c r="L3978" i="1" s="1"/>
  <c r="K3978" i="1"/>
  <c r="L3977" i="1" a="1"/>
  <c r="L3977" i="1" s="1"/>
  <c r="K3977" i="1"/>
  <c r="K3976" i="1"/>
  <c r="L3976" i="1" s="1" a="1"/>
  <c r="L3976" i="1" s="1"/>
  <c r="L3975" i="1" a="1"/>
  <c r="L3975" i="1" s="1"/>
  <c r="K3975" i="1"/>
  <c r="L3974" i="1" a="1"/>
  <c r="L3974" i="1" s="1"/>
  <c r="K3974" i="1"/>
  <c r="K3973" i="1"/>
  <c r="L3973" i="1" s="1" a="1"/>
  <c r="L3973" i="1" s="1"/>
  <c r="K3972" i="1"/>
  <c r="L3972" i="1" s="1" a="1"/>
  <c r="L3972" i="1" s="1"/>
  <c r="L3971" i="1" a="1"/>
  <c r="L3971" i="1" s="1"/>
  <c r="K3971" i="1"/>
  <c r="L3970" i="1" a="1"/>
  <c r="L3970" i="1" s="1"/>
  <c r="K3970" i="1"/>
  <c r="L3969" i="1" a="1"/>
  <c r="L3969" i="1" s="1"/>
  <c r="K3969" i="1"/>
  <c r="K3968" i="1"/>
  <c r="L3968" i="1" s="1" a="1"/>
  <c r="L3968" i="1" s="1"/>
  <c r="K3967" i="1"/>
  <c r="L3967" i="1" s="1" a="1"/>
  <c r="L3967" i="1" s="1"/>
  <c r="L3966" i="1" a="1"/>
  <c r="L3966" i="1" s="1"/>
  <c r="K3966" i="1"/>
  <c r="L3965" i="1" a="1"/>
  <c r="L3965" i="1" s="1"/>
  <c r="K3965" i="1"/>
  <c r="K3964" i="1"/>
  <c r="L3964" i="1" s="1" a="1"/>
  <c r="L3964" i="1" s="1"/>
  <c r="L3963" i="1" a="1"/>
  <c r="L3963" i="1" s="1"/>
  <c r="K3963" i="1"/>
  <c r="L3962" i="1" a="1"/>
  <c r="L3962" i="1" s="1"/>
  <c r="K3962" i="1"/>
  <c r="K3961" i="1"/>
  <c r="L3961" i="1" s="1" a="1"/>
  <c r="L3961" i="1" s="1"/>
  <c r="K3960" i="1"/>
  <c r="L3960" i="1" s="1" a="1"/>
  <c r="L3960" i="1" s="1"/>
  <c r="L3959" i="1"/>
  <c r="L3959" i="1" a="1"/>
  <c r="K3959" i="1"/>
  <c r="L3958" i="1" a="1"/>
  <c r="L3958" i="1" s="1"/>
  <c r="K3958" i="1"/>
  <c r="L3957" i="1" a="1"/>
  <c r="L3957" i="1" s="1"/>
  <c r="K3957" i="1"/>
  <c r="K3956" i="1"/>
  <c r="L3956" i="1" s="1" a="1"/>
  <c r="L3956" i="1" s="1"/>
  <c r="K3955" i="1"/>
  <c r="L3955" i="1" s="1" a="1"/>
  <c r="L3955" i="1" s="1"/>
  <c r="L3954" i="1" a="1"/>
  <c r="L3954" i="1" s="1"/>
  <c r="K3954" i="1"/>
  <c r="L3953" i="1" a="1"/>
  <c r="L3953" i="1" s="1"/>
  <c r="K3953" i="1"/>
  <c r="K3952" i="1"/>
  <c r="L3952" i="1" s="1" a="1"/>
  <c r="L3952" i="1" s="1"/>
  <c r="L3951" i="1" a="1"/>
  <c r="L3951" i="1" s="1"/>
  <c r="K3951" i="1"/>
  <c r="L3950" i="1" a="1"/>
  <c r="L3950" i="1" s="1"/>
  <c r="K3950" i="1"/>
  <c r="K3949" i="1"/>
  <c r="L3949" i="1" s="1" a="1"/>
  <c r="L3949" i="1" s="1"/>
  <c r="K3948" i="1"/>
  <c r="L3948" i="1" s="1" a="1"/>
  <c r="L3948" i="1" s="1"/>
  <c r="L3947" i="1" a="1"/>
  <c r="L3947" i="1" s="1"/>
  <c r="K3947" i="1"/>
  <c r="L3946" i="1" a="1"/>
  <c r="L3946" i="1" s="1"/>
  <c r="K3946" i="1"/>
  <c r="L3945" i="1" a="1"/>
  <c r="L3945" i="1" s="1"/>
  <c r="K3945" i="1"/>
  <c r="K3944" i="1"/>
  <c r="L3944" i="1" s="1" a="1"/>
  <c r="L3944" i="1" s="1"/>
  <c r="K3943" i="1"/>
  <c r="L3943" i="1" s="1" a="1"/>
  <c r="L3943" i="1" s="1"/>
  <c r="L3942" i="1" a="1"/>
  <c r="L3942" i="1" s="1"/>
  <c r="K3942" i="1"/>
  <c r="L3941" i="1" a="1"/>
  <c r="L3941" i="1" s="1"/>
  <c r="K3941" i="1"/>
  <c r="K3940" i="1"/>
  <c r="L3940" i="1" s="1" a="1"/>
  <c r="L3940" i="1" s="1"/>
  <c r="L3939" i="1" a="1"/>
  <c r="L3939" i="1" s="1"/>
  <c r="K3939" i="1"/>
  <c r="L3938" i="1" a="1"/>
  <c r="L3938" i="1" s="1"/>
  <c r="K3938" i="1"/>
  <c r="K3937" i="1"/>
  <c r="L3937" i="1" s="1" a="1"/>
  <c r="L3937" i="1" s="1"/>
  <c r="K3936" i="1"/>
  <c r="L3936" i="1" s="1" a="1"/>
  <c r="L3936" i="1" s="1"/>
  <c r="L3935" i="1" a="1"/>
  <c r="L3935" i="1" s="1"/>
  <c r="K3935" i="1"/>
  <c r="L3934" i="1" a="1"/>
  <c r="L3934" i="1" s="1"/>
  <c r="K3934" i="1"/>
  <c r="L3933" i="1" a="1"/>
  <c r="L3933" i="1" s="1"/>
  <c r="K3933" i="1"/>
  <c r="K3932" i="1"/>
  <c r="L3932" i="1" s="1" a="1"/>
  <c r="L3932" i="1" s="1"/>
  <c r="K3931" i="1"/>
  <c r="L3931" i="1" s="1" a="1"/>
  <c r="L3931" i="1" s="1"/>
  <c r="L3930" i="1" a="1"/>
  <c r="L3930" i="1" s="1"/>
  <c r="K3930" i="1"/>
  <c r="L3929" i="1" a="1"/>
  <c r="L3929" i="1" s="1"/>
  <c r="K3929" i="1"/>
  <c r="K3928" i="1"/>
  <c r="L3928" i="1" s="1" a="1"/>
  <c r="L3928" i="1" s="1"/>
  <c r="L3927" i="1" a="1"/>
  <c r="L3927" i="1" s="1"/>
  <c r="K3927" i="1"/>
  <c r="L3926" i="1" a="1"/>
  <c r="L3926" i="1" s="1"/>
  <c r="K3926" i="1"/>
  <c r="K3925" i="1"/>
  <c r="L3925" i="1" s="1" a="1"/>
  <c r="L3925" i="1" s="1"/>
  <c r="K3924" i="1"/>
  <c r="L3924" i="1" s="1" a="1"/>
  <c r="L3924" i="1" s="1"/>
  <c r="L3923" i="1"/>
  <c r="L3923" i="1" a="1"/>
  <c r="K3923" i="1"/>
  <c r="L3922" i="1" a="1"/>
  <c r="L3922" i="1" s="1"/>
  <c r="K3922" i="1"/>
  <c r="L3921" i="1" a="1"/>
  <c r="L3921" i="1" s="1"/>
  <c r="K3921" i="1"/>
  <c r="K3920" i="1"/>
  <c r="L3920" i="1" s="1" a="1"/>
  <c r="L3920" i="1" s="1"/>
  <c r="K3919" i="1"/>
  <c r="L3919" i="1" s="1" a="1"/>
  <c r="L3919" i="1" s="1"/>
  <c r="K3918" i="1"/>
  <c r="L3918" i="1" s="1" a="1"/>
  <c r="L3918" i="1" s="1"/>
  <c r="L3917" i="1" a="1"/>
  <c r="L3917" i="1" s="1"/>
  <c r="K3917" i="1"/>
  <c r="K3916" i="1"/>
  <c r="L3916" i="1" s="1" a="1"/>
  <c r="L3916" i="1" s="1"/>
  <c r="L3915" i="1" a="1"/>
  <c r="L3915" i="1" s="1"/>
  <c r="K3915" i="1"/>
  <c r="L3914" i="1" a="1"/>
  <c r="L3914" i="1" s="1"/>
  <c r="K3914" i="1"/>
  <c r="K3913" i="1"/>
  <c r="L3913" i="1" s="1" a="1"/>
  <c r="L3913" i="1" s="1"/>
  <c r="K3912" i="1"/>
  <c r="L3912" i="1" s="1" a="1"/>
  <c r="L3912" i="1" s="1"/>
  <c r="L3911" i="1" a="1"/>
  <c r="L3911" i="1" s="1"/>
  <c r="K3911" i="1"/>
  <c r="L3910" i="1" a="1"/>
  <c r="L3910" i="1" s="1"/>
  <c r="K3910" i="1"/>
  <c r="L3909" i="1" a="1"/>
  <c r="L3909" i="1" s="1"/>
  <c r="K3909" i="1"/>
  <c r="L3908" i="1" a="1"/>
  <c r="L3908" i="1" s="1"/>
  <c r="K3908" i="1"/>
  <c r="K3907" i="1"/>
  <c r="L3907" i="1" s="1" a="1"/>
  <c r="L3907" i="1" s="1"/>
  <c r="L3906" i="1" a="1"/>
  <c r="L3906" i="1" s="1"/>
  <c r="K3906" i="1"/>
  <c r="K3905" i="1"/>
  <c r="L3905" i="1" s="1" a="1"/>
  <c r="L3905" i="1" s="1"/>
  <c r="K3904" i="1"/>
  <c r="L3904" i="1" s="1" a="1"/>
  <c r="L3904" i="1" s="1"/>
  <c r="L3903" i="1" a="1"/>
  <c r="L3903" i="1" s="1"/>
  <c r="K3903" i="1"/>
  <c r="K3902" i="1"/>
  <c r="L3902" i="1" s="1" a="1"/>
  <c r="L3902" i="1" s="1"/>
  <c r="L3901" i="1" a="1"/>
  <c r="L3901" i="1" s="1"/>
  <c r="K3901" i="1"/>
  <c r="L3900" i="1" a="1"/>
  <c r="L3900" i="1" s="1"/>
  <c r="K3900" i="1"/>
  <c r="K3899" i="1"/>
  <c r="L3899" i="1" s="1" a="1"/>
  <c r="L3899" i="1" s="1"/>
  <c r="K3898" i="1"/>
  <c r="L3898" i="1" s="1" a="1"/>
  <c r="L3898" i="1" s="1"/>
  <c r="K3897" i="1"/>
  <c r="L3897" i="1" s="1" a="1"/>
  <c r="L3897" i="1" s="1"/>
  <c r="K3896" i="1"/>
  <c r="L3896" i="1" s="1" a="1"/>
  <c r="L3896" i="1" s="1"/>
  <c r="L3895" i="1" a="1"/>
  <c r="L3895" i="1" s="1"/>
  <c r="K3895" i="1"/>
  <c r="L3894" i="1" a="1"/>
  <c r="L3894" i="1" s="1"/>
  <c r="K3894" i="1"/>
  <c r="L3893" i="1" a="1"/>
  <c r="L3893" i="1" s="1"/>
  <c r="K3893" i="1"/>
  <c r="L3892" i="1" a="1"/>
  <c r="L3892" i="1" s="1"/>
  <c r="K3892" i="1"/>
  <c r="K3891" i="1"/>
  <c r="L3891" i="1" s="1" a="1"/>
  <c r="L3891" i="1" s="1"/>
  <c r="K3890" i="1"/>
  <c r="L3890" i="1" s="1" a="1"/>
  <c r="L3890" i="1" s="1"/>
  <c r="K3889" i="1"/>
  <c r="L3889" i="1" s="1" a="1"/>
  <c r="L3889" i="1" s="1"/>
  <c r="K3888" i="1"/>
  <c r="L3888" i="1" s="1" a="1"/>
  <c r="L3888" i="1" s="1"/>
  <c r="L3887" i="1" a="1"/>
  <c r="L3887" i="1" s="1"/>
  <c r="K3887" i="1"/>
  <c r="K3886" i="1"/>
  <c r="L3886" i="1" s="1" a="1"/>
  <c r="L3886" i="1" s="1"/>
  <c r="L3885" i="1" a="1"/>
  <c r="L3885" i="1" s="1"/>
  <c r="K3885" i="1"/>
  <c r="L3884" i="1" a="1"/>
  <c r="L3884" i="1" s="1"/>
  <c r="K3884" i="1"/>
  <c r="K3883" i="1"/>
  <c r="L3883" i="1" s="1" a="1"/>
  <c r="L3883" i="1" s="1"/>
  <c r="K3882" i="1"/>
  <c r="L3882" i="1" s="1" a="1"/>
  <c r="L3882" i="1" s="1"/>
  <c r="K3881" i="1"/>
  <c r="L3881" i="1" s="1" a="1"/>
  <c r="L3881" i="1" s="1"/>
  <c r="K3880" i="1"/>
  <c r="L3880" i="1" s="1" a="1"/>
  <c r="L3880" i="1" s="1"/>
  <c r="L3879" i="1"/>
  <c r="L3879" i="1" a="1"/>
  <c r="K3879" i="1"/>
  <c r="L3878" i="1" a="1"/>
  <c r="L3878" i="1" s="1"/>
  <c r="K3878" i="1"/>
  <c r="L3877" i="1" a="1"/>
  <c r="L3877" i="1" s="1"/>
  <c r="K3877" i="1"/>
  <c r="L3876" i="1" a="1"/>
  <c r="L3876" i="1" s="1"/>
  <c r="K3876" i="1"/>
  <c r="K3875" i="1"/>
  <c r="L3875" i="1" s="1" a="1"/>
  <c r="L3875" i="1" s="1"/>
  <c r="K3874" i="1"/>
  <c r="L3874" i="1" s="1" a="1"/>
  <c r="L3874" i="1" s="1"/>
  <c r="K3873" i="1"/>
  <c r="L3873" i="1" s="1" a="1"/>
  <c r="L3873" i="1" s="1"/>
  <c r="K3872" i="1"/>
  <c r="L3872" i="1" s="1" a="1"/>
  <c r="L3872" i="1" s="1"/>
  <c r="L3871" i="1" a="1"/>
  <c r="L3871" i="1" s="1"/>
  <c r="K3871" i="1"/>
  <c r="K3870" i="1"/>
  <c r="L3870" i="1" s="1" a="1"/>
  <c r="L3870" i="1" s="1"/>
  <c r="L3869" i="1" a="1"/>
  <c r="L3869" i="1" s="1"/>
  <c r="K3869" i="1"/>
  <c r="L3868" i="1" a="1"/>
  <c r="L3868" i="1" s="1"/>
  <c r="K3868" i="1"/>
  <c r="K3867" i="1"/>
  <c r="L3867" i="1" s="1" a="1"/>
  <c r="L3867" i="1" s="1"/>
  <c r="K3866" i="1"/>
  <c r="L3866" i="1" s="1" a="1"/>
  <c r="L3866" i="1" s="1"/>
  <c r="K3865" i="1"/>
  <c r="L3865" i="1" s="1" a="1"/>
  <c r="L3865" i="1" s="1"/>
  <c r="K3864" i="1"/>
  <c r="L3864" i="1" s="1" a="1"/>
  <c r="L3864" i="1" s="1"/>
  <c r="L3863" i="1" a="1"/>
  <c r="L3863" i="1" s="1"/>
  <c r="K3863" i="1"/>
  <c r="L3862" i="1" a="1"/>
  <c r="L3862" i="1" s="1"/>
  <c r="K3862" i="1"/>
  <c r="L3861" i="1" a="1"/>
  <c r="L3861" i="1" s="1"/>
  <c r="K3861" i="1"/>
  <c r="L3860" i="1" a="1"/>
  <c r="L3860" i="1" s="1"/>
  <c r="K3860" i="1"/>
  <c r="K3859" i="1"/>
  <c r="L3859" i="1" s="1" a="1"/>
  <c r="L3859" i="1" s="1"/>
  <c r="L3858" i="1" a="1"/>
  <c r="L3858" i="1" s="1"/>
  <c r="K3858" i="1"/>
  <c r="K3857" i="1"/>
  <c r="L3857" i="1" s="1" a="1"/>
  <c r="L3857" i="1" s="1"/>
  <c r="K3856" i="1"/>
  <c r="L3856" i="1" s="1" a="1"/>
  <c r="L3856" i="1" s="1"/>
  <c r="L3855" i="1" a="1"/>
  <c r="L3855" i="1" s="1"/>
  <c r="K3855" i="1"/>
  <c r="K3854" i="1"/>
  <c r="L3854" i="1" s="1" a="1"/>
  <c r="L3854" i="1" s="1"/>
  <c r="K3853" i="1"/>
  <c r="L3853" i="1" s="1" a="1"/>
  <c r="L3853" i="1" s="1"/>
  <c r="L3852" i="1" a="1"/>
  <c r="L3852" i="1" s="1"/>
  <c r="K3852" i="1"/>
  <c r="K3851" i="1"/>
  <c r="L3851" i="1" s="1" a="1"/>
  <c r="L3851" i="1" s="1"/>
  <c r="K3850" i="1"/>
  <c r="L3850" i="1" s="1" a="1"/>
  <c r="L3850" i="1" s="1"/>
  <c r="K3849" i="1"/>
  <c r="L3849" i="1" s="1" a="1"/>
  <c r="L3849" i="1" s="1"/>
  <c r="K3848" i="1"/>
  <c r="L3848" i="1" s="1" a="1"/>
  <c r="L3848" i="1" s="1"/>
  <c r="L3847" i="1" a="1"/>
  <c r="L3847" i="1" s="1"/>
  <c r="K3847" i="1"/>
  <c r="L3846" i="1" a="1"/>
  <c r="L3846" i="1" s="1"/>
  <c r="K3846" i="1"/>
  <c r="L3845" i="1" a="1"/>
  <c r="L3845" i="1" s="1"/>
  <c r="K3845" i="1"/>
  <c r="L3844" i="1" a="1"/>
  <c r="L3844" i="1" s="1"/>
  <c r="K3844" i="1"/>
  <c r="K3843" i="1"/>
  <c r="L3843" i="1" s="1" a="1"/>
  <c r="L3843" i="1" s="1"/>
  <c r="K3842" i="1"/>
  <c r="L3842" i="1" s="1" a="1"/>
  <c r="L3842" i="1" s="1"/>
  <c r="K3841" i="1"/>
  <c r="L3841" i="1" s="1" a="1"/>
  <c r="L3841" i="1" s="1"/>
  <c r="K3840" i="1"/>
  <c r="L3840" i="1" s="1" a="1"/>
  <c r="L3840" i="1" s="1"/>
  <c r="L3839" i="1" a="1"/>
  <c r="L3839" i="1" s="1"/>
  <c r="K3839" i="1"/>
  <c r="K3838" i="1"/>
  <c r="L3838" i="1" s="1" a="1"/>
  <c r="L3838" i="1" s="1"/>
  <c r="K3837" i="1"/>
  <c r="L3837" i="1" s="1" a="1"/>
  <c r="L3837" i="1" s="1"/>
  <c r="L3836" i="1" a="1"/>
  <c r="L3836" i="1" s="1"/>
  <c r="K3836" i="1"/>
  <c r="L3835" i="1"/>
  <c r="K3835" i="1"/>
  <c r="L3835" i="1" s="1" a="1"/>
  <c r="K3834" i="1"/>
  <c r="L3834" i="1" s="1" a="1"/>
  <c r="L3834" i="1" s="1"/>
  <c r="K3833" i="1"/>
  <c r="L3833" i="1" s="1" a="1"/>
  <c r="L3833" i="1" s="1"/>
  <c r="K3832" i="1"/>
  <c r="L3832" i="1" s="1" a="1"/>
  <c r="L3832" i="1" s="1"/>
  <c r="L3831" i="1" a="1"/>
  <c r="L3831" i="1" s="1"/>
  <c r="K3831" i="1"/>
  <c r="L3830" i="1" a="1"/>
  <c r="L3830" i="1" s="1"/>
  <c r="K3830" i="1"/>
  <c r="L3829" i="1" a="1"/>
  <c r="L3829" i="1" s="1"/>
  <c r="K3829" i="1"/>
  <c r="L3828" i="1" a="1"/>
  <c r="L3828" i="1" s="1"/>
  <c r="K3828" i="1"/>
  <c r="K3827" i="1"/>
  <c r="L3827" i="1" s="1" a="1"/>
  <c r="L3827" i="1" s="1"/>
  <c r="K3826" i="1"/>
  <c r="L3826" i="1" s="1" a="1"/>
  <c r="L3826" i="1" s="1"/>
  <c r="K3825" i="1"/>
  <c r="L3825" i="1" s="1" a="1"/>
  <c r="L3825" i="1" s="1"/>
  <c r="K3824" i="1"/>
  <c r="L3824" i="1" s="1" a="1"/>
  <c r="L3824" i="1" s="1"/>
  <c r="L3823" i="1" a="1"/>
  <c r="L3823" i="1" s="1"/>
  <c r="K3823" i="1"/>
  <c r="K3822" i="1"/>
  <c r="L3822" i="1" s="1" a="1"/>
  <c r="L3822" i="1" s="1"/>
  <c r="K3821" i="1"/>
  <c r="L3821" i="1" s="1" a="1"/>
  <c r="L3821" i="1" s="1"/>
  <c r="L3820" i="1" a="1"/>
  <c r="L3820" i="1" s="1"/>
  <c r="K3820" i="1"/>
  <c r="L3819" i="1"/>
  <c r="K3819" i="1"/>
  <c r="L3819" i="1" s="1" a="1"/>
  <c r="K3818" i="1"/>
  <c r="L3818" i="1" s="1" a="1"/>
  <c r="L3818" i="1" s="1"/>
  <c r="K3817" i="1"/>
  <c r="L3817" i="1" s="1" a="1"/>
  <c r="L3817" i="1" s="1"/>
  <c r="K3816" i="1"/>
  <c r="L3816" i="1" s="1" a="1"/>
  <c r="L3816" i="1" s="1"/>
  <c r="L3815" i="1" a="1"/>
  <c r="L3815" i="1" s="1"/>
  <c r="K3815" i="1"/>
  <c r="L3814" i="1" a="1"/>
  <c r="L3814" i="1" s="1"/>
  <c r="K3814" i="1"/>
  <c r="L3813" i="1" a="1"/>
  <c r="L3813" i="1" s="1"/>
  <c r="K3813" i="1"/>
  <c r="L3812" i="1" a="1"/>
  <c r="L3812" i="1" s="1"/>
  <c r="K3812" i="1"/>
  <c r="K3811" i="1"/>
  <c r="L3811" i="1" s="1" a="1"/>
  <c r="L3811" i="1" s="1"/>
  <c r="K3810" i="1"/>
  <c r="L3810" i="1" s="1" a="1"/>
  <c r="L3810" i="1" s="1"/>
  <c r="K3809" i="1"/>
  <c r="L3809" i="1" s="1" a="1"/>
  <c r="L3809" i="1" s="1"/>
  <c r="K3808" i="1"/>
  <c r="L3808" i="1" s="1" a="1"/>
  <c r="L3808" i="1" s="1"/>
  <c r="L3807" i="1" a="1"/>
  <c r="L3807" i="1" s="1"/>
  <c r="K3807" i="1"/>
  <c r="K3806" i="1"/>
  <c r="L3806" i="1" s="1" a="1"/>
  <c r="L3806" i="1" s="1"/>
  <c r="L3805" i="1" a="1"/>
  <c r="L3805" i="1" s="1"/>
  <c r="K3805" i="1"/>
  <c r="L3804" i="1" a="1"/>
  <c r="L3804" i="1" s="1"/>
  <c r="K3804" i="1"/>
  <c r="L3803" i="1"/>
  <c r="K3803" i="1"/>
  <c r="L3803" i="1" s="1" a="1"/>
  <c r="K3802" i="1"/>
  <c r="L3802" i="1" s="1" a="1"/>
  <c r="L3802" i="1" s="1"/>
  <c r="K3801" i="1"/>
  <c r="L3801" i="1" s="1" a="1"/>
  <c r="L3801" i="1" s="1"/>
  <c r="K3800" i="1"/>
  <c r="L3800" i="1" s="1" a="1"/>
  <c r="L3800" i="1" s="1"/>
  <c r="L3799" i="1" a="1"/>
  <c r="L3799" i="1" s="1"/>
  <c r="K3799" i="1"/>
  <c r="L3798" i="1" a="1"/>
  <c r="L3798" i="1" s="1"/>
  <c r="K3798" i="1"/>
  <c r="L3797" i="1" a="1"/>
  <c r="L3797" i="1" s="1"/>
  <c r="K3797" i="1"/>
  <c r="L3796" i="1" a="1"/>
  <c r="L3796" i="1" s="1"/>
  <c r="K3796" i="1"/>
  <c r="K3795" i="1"/>
  <c r="L3795" i="1" s="1" a="1"/>
  <c r="L3795" i="1" s="1"/>
  <c r="K3794" i="1"/>
  <c r="L3794" i="1" s="1" a="1"/>
  <c r="L3794" i="1" s="1"/>
  <c r="K3793" i="1"/>
  <c r="L3793" i="1" s="1" a="1"/>
  <c r="L3793" i="1" s="1"/>
  <c r="K3792" i="1"/>
  <c r="L3792" i="1" s="1" a="1"/>
  <c r="L3792" i="1" s="1"/>
  <c r="L3791" i="1" a="1"/>
  <c r="L3791" i="1" s="1"/>
  <c r="K3791" i="1"/>
  <c r="K3790" i="1"/>
  <c r="L3790" i="1" s="1" a="1"/>
  <c r="L3790" i="1" s="1"/>
  <c r="L3789" i="1" a="1"/>
  <c r="L3789" i="1" s="1"/>
  <c r="K3789" i="1"/>
  <c r="L3788" i="1" a="1"/>
  <c r="L3788" i="1" s="1"/>
  <c r="K3788" i="1"/>
  <c r="L3787" i="1"/>
  <c r="K3787" i="1"/>
  <c r="L3787" i="1" s="1" a="1"/>
  <c r="K3786" i="1"/>
  <c r="L3786" i="1" s="1" a="1"/>
  <c r="L3786" i="1" s="1"/>
  <c r="K3785" i="1"/>
  <c r="L3785" i="1" s="1" a="1"/>
  <c r="L3785" i="1" s="1"/>
  <c r="K3784" i="1"/>
  <c r="L3784" i="1" s="1" a="1"/>
  <c r="L3784" i="1" s="1"/>
  <c r="L3783" i="1"/>
  <c r="L3783" i="1" a="1"/>
  <c r="K3783" i="1"/>
  <c r="L3782" i="1" a="1"/>
  <c r="L3782" i="1" s="1"/>
  <c r="K3782" i="1"/>
  <c r="L3781" i="1" a="1"/>
  <c r="L3781" i="1" s="1"/>
  <c r="K3781" i="1"/>
  <c r="L3780" i="1" a="1"/>
  <c r="L3780" i="1" s="1"/>
  <c r="K3780" i="1"/>
  <c r="K3779" i="1"/>
  <c r="L3779" i="1" s="1" a="1"/>
  <c r="L3779" i="1" s="1"/>
  <c r="L3778" i="1" a="1"/>
  <c r="L3778" i="1" s="1"/>
  <c r="K3778" i="1"/>
  <c r="K3777" i="1"/>
  <c r="L3777" i="1" s="1" a="1"/>
  <c r="L3777" i="1" s="1"/>
  <c r="K3776" i="1"/>
  <c r="L3776" i="1" s="1" a="1"/>
  <c r="L3776" i="1" s="1"/>
  <c r="L3775" i="1" a="1"/>
  <c r="L3775" i="1" s="1"/>
  <c r="K3775" i="1"/>
  <c r="K3774" i="1"/>
  <c r="L3774" i="1" s="1" a="1"/>
  <c r="L3774" i="1" s="1"/>
  <c r="L3773" i="1" a="1"/>
  <c r="L3773" i="1" s="1"/>
  <c r="K3773" i="1"/>
  <c r="L3772" i="1" a="1"/>
  <c r="L3772" i="1" s="1"/>
  <c r="K3772" i="1"/>
  <c r="K3771" i="1"/>
  <c r="L3771" i="1" s="1" a="1"/>
  <c r="L3771" i="1" s="1"/>
  <c r="K3770" i="1"/>
  <c r="L3770" i="1" s="1" a="1"/>
  <c r="L3770" i="1" s="1"/>
  <c r="K3769" i="1"/>
  <c r="L3769" i="1" s="1" a="1"/>
  <c r="L3769" i="1" s="1"/>
  <c r="K3768" i="1"/>
  <c r="L3768" i="1" s="1" a="1"/>
  <c r="L3768" i="1" s="1"/>
  <c r="L3767" i="1" a="1"/>
  <c r="L3767" i="1" s="1"/>
  <c r="K3767" i="1"/>
  <c r="L3766" i="1" a="1"/>
  <c r="L3766" i="1" s="1"/>
  <c r="K3766" i="1"/>
  <c r="L3765" i="1" a="1"/>
  <c r="L3765" i="1" s="1"/>
  <c r="K3765" i="1"/>
  <c r="L3764" i="1" a="1"/>
  <c r="L3764" i="1" s="1"/>
  <c r="K3764" i="1"/>
  <c r="K3763" i="1"/>
  <c r="L3763" i="1" s="1" a="1"/>
  <c r="L3763" i="1" s="1"/>
  <c r="L3762" i="1" a="1"/>
  <c r="L3762" i="1" s="1"/>
  <c r="K3762" i="1"/>
  <c r="K3761" i="1"/>
  <c r="L3761" i="1" s="1" a="1"/>
  <c r="L3761" i="1" s="1"/>
  <c r="K3760" i="1"/>
  <c r="L3760" i="1" s="1" a="1"/>
  <c r="L3760" i="1" s="1"/>
  <c r="L3759" i="1" a="1"/>
  <c r="L3759" i="1" s="1"/>
  <c r="K3759" i="1"/>
  <c r="K3758" i="1"/>
  <c r="L3758" i="1" s="1" a="1"/>
  <c r="L3758" i="1" s="1"/>
  <c r="L3757" i="1" a="1"/>
  <c r="L3757" i="1" s="1"/>
  <c r="K3757" i="1"/>
  <c r="L3756" i="1" a="1"/>
  <c r="L3756" i="1" s="1"/>
  <c r="K3756" i="1"/>
  <c r="K3755" i="1"/>
  <c r="L3755" i="1" s="1" a="1"/>
  <c r="L3755" i="1" s="1"/>
  <c r="K3754" i="1"/>
  <c r="L3754" i="1" s="1" a="1"/>
  <c r="L3754" i="1" s="1"/>
  <c r="K3753" i="1"/>
  <c r="L3753" i="1" s="1" a="1"/>
  <c r="L3753" i="1" s="1"/>
  <c r="K3752" i="1"/>
  <c r="L3752" i="1" s="1" a="1"/>
  <c r="L3752" i="1" s="1"/>
  <c r="L3751" i="1" a="1"/>
  <c r="L3751" i="1" s="1"/>
  <c r="K3751" i="1"/>
  <c r="L3750" i="1" a="1"/>
  <c r="L3750" i="1" s="1"/>
  <c r="K3750" i="1"/>
  <c r="L3749" i="1" a="1"/>
  <c r="L3749" i="1" s="1"/>
  <c r="K3749" i="1"/>
  <c r="L3748" i="1" a="1"/>
  <c r="L3748" i="1" s="1"/>
  <c r="K3748" i="1"/>
  <c r="K3747" i="1"/>
  <c r="L3747" i="1" s="1" a="1"/>
  <c r="L3747" i="1" s="1"/>
  <c r="K3746" i="1"/>
  <c r="L3746" i="1" s="1" a="1"/>
  <c r="L3746" i="1" s="1"/>
  <c r="K3745" i="1"/>
  <c r="L3745" i="1" s="1" a="1"/>
  <c r="L3745" i="1" s="1"/>
  <c r="K3744" i="1"/>
  <c r="L3744" i="1" s="1" a="1"/>
  <c r="L3744" i="1" s="1"/>
  <c r="L3743" i="1" a="1"/>
  <c r="L3743" i="1" s="1"/>
  <c r="K3743" i="1"/>
  <c r="K3742" i="1"/>
  <c r="L3742" i="1" s="1" a="1"/>
  <c r="L3742" i="1" s="1"/>
  <c r="K3741" i="1"/>
  <c r="L3741" i="1" s="1" a="1"/>
  <c r="L3741" i="1" s="1"/>
  <c r="L3740" i="1" a="1"/>
  <c r="L3740" i="1" s="1"/>
  <c r="K3740" i="1"/>
  <c r="L3739" i="1"/>
  <c r="K3739" i="1"/>
  <c r="L3739" i="1" s="1" a="1"/>
  <c r="K3738" i="1"/>
  <c r="L3738" i="1" s="1" a="1"/>
  <c r="L3738" i="1" s="1"/>
  <c r="K3737" i="1"/>
  <c r="L3737" i="1" s="1" a="1"/>
  <c r="L3737" i="1" s="1"/>
  <c r="K3736" i="1"/>
  <c r="L3736" i="1" s="1" a="1"/>
  <c r="L3736" i="1" s="1"/>
  <c r="L3735" i="1" a="1"/>
  <c r="L3735" i="1" s="1"/>
  <c r="K3735" i="1"/>
  <c r="L3734" i="1" a="1"/>
  <c r="L3734" i="1" s="1"/>
  <c r="K3734" i="1"/>
  <c r="L3733" i="1" a="1"/>
  <c r="L3733" i="1" s="1"/>
  <c r="K3733" i="1"/>
  <c r="L3732" i="1" a="1"/>
  <c r="L3732" i="1" s="1"/>
  <c r="K3732" i="1"/>
  <c r="K3731" i="1"/>
  <c r="L3731" i="1" s="1" a="1"/>
  <c r="L3731" i="1" s="1"/>
  <c r="K3730" i="1"/>
  <c r="L3730" i="1" s="1" a="1"/>
  <c r="L3730" i="1" s="1"/>
  <c r="K3729" i="1"/>
  <c r="L3729" i="1" s="1" a="1"/>
  <c r="L3729" i="1" s="1"/>
  <c r="K3728" i="1"/>
  <c r="L3728" i="1" s="1" a="1"/>
  <c r="L3728" i="1" s="1"/>
  <c r="L3727" i="1" a="1"/>
  <c r="L3727" i="1" s="1"/>
  <c r="K3727" i="1"/>
  <c r="K3726" i="1"/>
  <c r="L3726" i="1" s="1" a="1"/>
  <c r="L3726" i="1" s="1"/>
  <c r="K3725" i="1"/>
  <c r="L3725" i="1" s="1" a="1"/>
  <c r="L3725" i="1" s="1"/>
  <c r="L3724" i="1" a="1"/>
  <c r="L3724" i="1" s="1"/>
  <c r="K3724" i="1"/>
  <c r="L3723" i="1"/>
  <c r="K3723" i="1"/>
  <c r="L3723" i="1" s="1" a="1"/>
  <c r="K3722" i="1"/>
  <c r="L3722" i="1" s="1" a="1"/>
  <c r="L3722" i="1" s="1"/>
  <c r="K3721" i="1"/>
  <c r="L3721" i="1" s="1" a="1"/>
  <c r="L3721" i="1" s="1"/>
  <c r="K3720" i="1"/>
  <c r="L3720" i="1" s="1" a="1"/>
  <c r="L3720" i="1" s="1"/>
  <c r="L3719" i="1" a="1"/>
  <c r="L3719" i="1" s="1"/>
  <c r="K3719" i="1"/>
  <c r="L3718" i="1" a="1"/>
  <c r="L3718" i="1" s="1"/>
  <c r="K3718" i="1"/>
  <c r="L3717" i="1" a="1"/>
  <c r="L3717" i="1" s="1"/>
  <c r="K3717" i="1"/>
  <c r="L3716" i="1" a="1"/>
  <c r="L3716" i="1" s="1"/>
  <c r="K3716" i="1"/>
  <c r="K3715" i="1"/>
  <c r="L3715" i="1" s="1" a="1"/>
  <c r="L3715" i="1" s="1"/>
  <c r="K3714" i="1"/>
  <c r="L3714" i="1" s="1" a="1"/>
  <c r="L3714" i="1" s="1"/>
  <c r="K3713" i="1"/>
  <c r="L3713" i="1" s="1" a="1"/>
  <c r="L3713" i="1" s="1"/>
  <c r="K3712" i="1"/>
  <c r="L3712" i="1" s="1" a="1"/>
  <c r="L3712" i="1" s="1"/>
  <c r="L3711" i="1" a="1"/>
  <c r="L3711" i="1" s="1"/>
  <c r="K3711" i="1"/>
  <c r="K3710" i="1"/>
  <c r="L3710" i="1" s="1" a="1"/>
  <c r="L3710" i="1" s="1"/>
  <c r="L3709" i="1" a="1"/>
  <c r="L3709" i="1" s="1"/>
  <c r="K3709" i="1"/>
  <c r="L3708" i="1" a="1"/>
  <c r="L3708" i="1" s="1"/>
  <c r="K3708" i="1"/>
  <c r="L3707" i="1"/>
  <c r="K3707" i="1"/>
  <c r="L3707" i="1" s="1" a="1"/>
  <c r="K3706" i="1"/>
  <c r="L3706" i="1" s="1" a="1"/>
  <c r="L3706" i="1" s="1"/>
  <c r="K3705" i="1"/>
  <c r="L3705" i="1" s="1" a="1"/>
  <c r="L3705" i="1" s="1"/>
  <c r="K3704" i="1"/>
  <c r="L3704" i="1" s="1" a="1"/>
  <c r="L3704" i="1" s="1"/>
  <c r="L3703" i="1" a="1"/>
  <c r="L3703" i="1" s="1"/>
  <c r="K3703" i="1"/>
  <c r="L3702" i="1" a="1"/>
  <c r="L3702" i="1" s="1"/>
  <c r="K3702" i="1"/>
  <c r="L3701" i="1" a="1"/>
  <c r="L3701" i="1" s="1"/>
  <c r="K3701" i="1"/>
  <c r="L3700" i="1" a="1"/>
  <c r="L3700" i="1" s="1"/>
  <c r="K3700" i="1"/>
  <c r="K3699" i="1"/>
  <c r="L3699" i="1" s="1" a="1"/>
  <c r="L3699" i="1" s="1"/>
  <c r="K3698" i="1"/>
  <c r="L3698" i="1" s="1" a="1"/>
  <c r="L3698" i="1" s="1"/>
  <c r="K3697" i="1"/>
  <c r="L3697" i="1" s="1" a="1"/>
  <c r="L3697" i="1" s="1"/>
  <c r="K3696" i="1"/>
  <c r="L3696" i="1" s="1" a="1"/>
  <c r="L3696" i="1" s="1"/>
  <c r="L3695" i="1" a="1"/>
  <c r="L3695" i="1" s="1"/>
  <c r="K3695" i="1"/>
  <c r="K3694" i="1"/>
  <c r="L3694" i="1" s="1" a="1"/>
  <c r="L3694" i="1" s="1"/>
  <c r="L3693" i="1" a="1"/>
  <c r="L3693" i="1" s="1"/>
  <c r="K3693" i="1"/>
  <c r="L3692" i="1" a="1"/>
  <c r="L3692" i="1" s="1"/>
  <c r="K3692" i="1"/>
  <c r="L3691" i="1"/>
  <c r="K3691" i="1"/>
  <c r="L3691" i="1" s="1" a="1"/>
  <c r="K3690" i="1"/>
  <c r="L3690" i="1" s="1" a="1"/>
  <c r="L3690" i="1" s="1"/>
  <c r="K3689" i="1"/>
  <c r="L3689" i="1" s="1" a="1"/>
  <c r="L3689" i="1" s="1"/>
  <c r="K3688" i="1"/>
  <c r="L3688" i="1" s="1" a="1"/>
  <c r="L3688" i="1" s="1"/>
  <c r="L3687" i="1"/>
  <c r="L3687" i="1" a="1"/>
  <c r="K3687" i="1"/>
  <c r="L3686" i="1" a="1"/>
  <c r="L3686" i="1" s="1"/>
  <c r="K3686" i="1"/>
  <c r="L3685" i="1" a="1"/>
  <c r="L3685" i="1" s="1"/>
  <c r="K3685" i="1"/>
  <c r="L3684" i="1" a="1"/>
  <c r="L3684" i="1" s="1"/>
  <c r="K3684" i="1"/>
  <c r="K3683" i="1"/>
  <c r="L3683" i="1" s="1" a="1"/>
  <c r="L3683" i="1" s="1"/>
  <c r="L3682" i="1" a="1"/>
  <c r="L3682" i="1" s="1"/>
  <c r="K3682" i="1"/>
  <c r="K3681" i="1"/>
  <c r="L3681" i="1" s="1" a="1"/>
  <c r="L3681" i="1" s="1"/>
  <c r="K3680" i="1"/>
  <c r="L3680" i="1" s="1" a="1"/>
  <c r="L3680" i="1" s="1"/>
  <c r="L3679" i="1" a="1"/>
  <c r="L3679" i="1" s="1"/>
  <c r="K3679" i="1"/>
  <c r="K3678" i="1"/>
  <c r="L3678" i="1" s="1" a="1"/>
  <c r="L3678" i="1" s="1"/>
  <c r="L3677" i="1" a="1"/>
  <c r="L3677" i="1" s="1"/>
  <c r="K3677" i="1"/>
  <c r="L3676" i="1" a="1"/>
  <c r="L3676" i="1" s="1"/>
  <c r="K3676" i="1"/>
  <c r="K3675" i="1"/>
  <c r="L3675" i="1" s="1" a="1"/>
  <c r="L3675" i="1" s="1"/>
  <c r="K3674" i="1"/>
  <c r="L3674" i="1" s="1" a="1"/>
  <c r="L3674" i="1" s="1"/>
  <c r="K3673" i="1"/>
  <c r="L3673" i="1" s="1" a="1"/>
  <c r="L3673" i="1" s="1"/>
  <c r="K3672" i="1"/>
  <c r="L3672" i="1" s="1" a="1"/>
  <c r="L3672" i="1" s="1"/>
  <c r="L3671" i="1" a="1"/>
  <c r="L3671" i="1" s="1"/>
  <c r="K3671" i="1"/>
  <c r="L3670" i="1" a="1"/>
  <c r="L3670" i="1" s="1"/>
  <c r="K3670" i="1"/>
  <c r="L3669" i="1" a="1"/>
  <c r="L3669" i="1" s="1"/>
  <c r="K3669" i="1"/>
  <c r="L3668" i="1" a="1"/>
  <c r="L3668" i="1" s="1"/>
  <c r="K3668" i="1"/>
  <c r="K3667" i="1"/>
  <c r="L3667" i="1" s="1" a="1"/>
  <c r="L3667" i="1" s="1"/>
  <c r="L3666" i="1" a="1"/>
  <c r="L3666" i="1" s="1"/>
  <c r="K3666" i="1"/>
  <c r="K3665" i="1"/>
  <c r="L3665" i="1" s="1" a="1"/>
  <c r="L3665" i="1" s="1"/>
  <c r="K3664" i="1"/>
  <c r="L3664" i="1" s="1" a="1"/>
  <c r="L3664" i="1" s="1"/>
  <c r="L3663" i="1" a="1"/>
  <c r="L3663" i="1" s="1"/>
  <c r="K3663" i="1"/>
  <c r="K3662" i="1"/>
  <c r="L3662" i="1" s="1" a="1"/>
  <c r="L3662" i="1" s="1"/>
  <c r="L3661" i="1" a="1"/>
  <c r="L3661" i="1" s="1"/>
  <c r="K3661" i="1"/>
  <c r="L3660" i="1" a="1"/>
  <c r="L3660" i="1" s="1"/>
  <c r="K3660" i="1"/>
  <c r="K3659" i="1"/>
  <c r="L3659" i="1" s="1" a="1"/>
  <c r="L3659" i="1" s="1"/>
  <c r="K3658" i="1"/>
  <c r="L3658" i="1" s="1" a="1"/>
  <c r="L3658" i="1" s="1"/>
  <c r="K3657" i="1"/>
  <c r="L3657" i="1" s="1" a="1"/>
  <c r="L3657" i="1" s="1"/>
  <c r="K3656" i="1"/>
  <c r="L3656" i="1" s="1" a="1"/>
  <c r="L3656" i="1" s="1"/>
  <c r="L3655" i="1" a="1"/>
  <c r="L3655" i="1" s="1"/>
  <c r="K3655" i="1"/>
  <c r="L3654" i="1" a="1"/>
  <c r="L3654" i="1" s="1"/>
  <c r="K3654" i="1"/>
  <c r="L3653" i="1" a="1"/>
  <c r="L3653" i="1" s="1"/>
  <c r="K3653" i="1"/>
  <c r="L3652" i="1" a="1"/>
  <c r="L3652" i="1" s="1"/>
  <c r="K3652" i="1"/>
  <c r="K3651" i="1"/>
  <c r="L3651" i="1" s="1" a="1"/>
  <c r="L3651" i="1" s="1"/>
  <c r="K3650" i="1"/>
  <c r="L3650" i="1" s="1" a="1"/>
  <c r="L3650" i="1" s="1"/>
  <c r="K3649" i="1"/>
  <c r="L3649" i="1" s="1" a="1"/>
  <c r="L3649" i="1" s="1"/>
  <c r="K3648" i="1"/>
  <c r="L3648" i="1" s="1" a="1"/>
  <c r="L3648" i="1" s="1"/>
  <c r="L3647" i="1" a="1"/>
  <c r="L3647" i="1" s="1"/>
  <c r="K3647" i="1"/>
  <c r="K3646" i="1"/>
  <c r="L3646" i="1" s="1" a="1"/>
  <c r="L3646" i="1" s="1"/>
  <c r="K3645" i="1"/>
  <c r="L3645" i="1" s="1" a="1"/>
  <c r="L3645" i="1" s="1"/>
  <c r="L3644" i="1" a="1"/>
  <c r="L3644" i="1" s="1"/>
  <c r="K3644" i="1"/>
  <c r="L3643" i="1"/>
  <c r="K3643" i="1"/>
  <c r="L3643" i="1" s="1" a="1"/>
  <c r="K3642" i="1"/>
  <c r="L3642" i="1" s="1" a="1"/>
  <c r="L3642" i="1" s="1"/>
  <c r="K3641" i="1"/>
  <c r="L3641" i="1" s="1" a="1"/>
  <c r="L3641" i="1" s="1"/>
  <c r="L3640" i="1" a="1"/>
  <c r="L3640" i="1" s="1"/>
  <c r="K3640" i="1"/>
  <c r="L3639" i="1"/>
  <c r="L3639" i="1" a="1"/>
  <c r="K3639" i="1"/>
  <c r="L3638" i="1" a="1"/>
  <c r="L3638" i="1" s="1"/>
  <c r="K3638" i="1"/>
  <c r="L3637" i="1" a="1"/>
  <c r="L3637" i="1" s="1"/>
  <c r="K3637" i="1"/>
  <c r="L3636" i="1" a="1"/>
  <c r="L3636" i="1" s="1"/>
  <c r="K3636" i="1"/>
  <c r="K3635" i="1"/>
  <c r="L3635" i="1" s="1" a="1"/>
  <c r="L3635" i="1" s="1"/>
  <c r="K3634" i="1"/>
  <c r="L3634" i="1" s="1" a="1"/>
  <c r="L3634" i="1" s="1"/>
  <c r="K3633" i="1"/>
  <c r="L3633" i="1" s="1" a="1"/>
  <c r="L3633" i="1" s="1"/>
  <c r="K3632" i="1"/>
  <c r="L3632" i="1" s="1" a="1"/>
  <c r="L3632" i="1" s="1"/>
  <c r="L3631" i="1" a="1"/>
  <c r="L3631" i="1" s="1"/>
  <c r="K3631" i="1"/>
  <c r="K3630" i="1"/>
  <c r="L3630" i="1" s="1" a="1"/>
  <c r="L3630" i="1" s="1"/>
  <c r="L3629" i="1" a="1"/>
  <c r="L3629" i="1" s="1"/>
  <c r="K3629" i="1"/>
  <c r="L3628" i="1" a="1"/>
  <c r="L3628" i="1" s="1"/>
  <c r="K3628" i="1"/>
  <c r="L3627" i="1"/>
  <c r="K3627" i="1"/>
  <c r="L3627" i="1" s="1" a="1"/>
  <c r="K3626" i="1"/>
  <c r="L3626" i="1" s="1" a="1"/>
  <c r="L3626" i="1" s="1"/>
  <c r="K3625" i="1"/>
  <c r="L3625" i="1" s="1" a="1"/>
  <c r="L3625" i="1" s="1"/>
  <c r="K3624" i="1"/>
  <c r="L3624" i="1" s="1" a="1"/>
  <c r="L3624" i="1" s="1"/>
  <c r="L3623" i="1"/>
  <c r="K3623" i="1"/>
  <c r="L3623" i="1" s="1" a="1"/>
  <c r="L3622" i="1" a="1"/>
  <c r="L3622" i="1" s="1"/>
  <c r="K3622" i="1"/>
  <c r="L3621" i="1"/>
  <c r="K3621" i="1"/>
  <c r="L3621" i="1" s="1" a="1"/>
  <c r="K3620" i="1"/>
  <c r="L3620" i="1" s="1" a="1"/>
  <c r="L3620" i="1" s="1"/>
  <c r="K3619" i="1"/>
  <c r="L3619" i="1" s="1" a="1"/>
  <c r="L3619" i="1" s="1"/>
  <c r="L3618" i="1" a="1"/>
  <c r="L3618" i="1" s="1"/>
  <c r="K3618" i="1"/>
  <c r="L3617" i="1"/>
  <c r="K3617" i="1"/>
  <c r="L3617" i="1" s="1" a="1"/>
  <c r="L3616" i="1" a="1"/>
  <c r="L3616" i="1" s="1"/>
  <c r="K3616" i="1"/>
  <c r="L3615" i="1"/>
  <c r="K3615" i="1"/>
  <c r="L3615" i="1" s="1" a="1"/>
  <c r="L3614" i="1" a="1"/>
  <c r="L3614" i="1" s="1"/>
  <c r="K3614" i="1"/>
  <c r="K3613" i="1"/>
  <c r="L3613" i="1" s="1" a="1"/>
  <c r="L3613" i="1" s="1"/>
  <c r="L3612" i="1"/>
  <c r="L3612" i="1" a="1"/>
  <c r="K3612" i="1"/>
  <c r="K3611" i="1"/>
  <c r="L3611" i="1" s="1" a="1"/>
  <c r="L3611" i="1" s="1"/>
  <c r="L3610" i="1" a="1"/>
  <c r="L3610" i="1" s="1"/>
  <c r="K3610" i="1"/>
  <c r="K3609" i="1"/>
  <c r="L3609" i="1" s="1" a="1"/>
  <c r="L3609" i="1" s="1"/>
  <c r="K3608" i="1"/>
  <c r="L3608" i="1" s="1" a="1"/>
  <c r="L3608" i="1" s="1"/>
  <c r="K3607" i="1"/>
  <c r="L3607" i="1" s="1" a="1"/>
  <c r="L3607" i="1" s="1"/>
  <c r="L3606" i="1" a="1"/>
  <c r="L3606" i="1" s="1"/>
  <c r="K3606" i="1"/>
  <c r="L3605" i="1"/>
  <c r="K3605" i="1"/>
  <c r="L3605" i="1" s="1" a="1"/>
  <c r="K3604" i="1"/>
  <c r="L3604" i="1" s="1" a="1"/>
  <c r="L3604" i="1" s="1"/>
  <c r="K3603" i="1"/>
  <c r="L3603" i="1" s="1" a="1"/>
  <c r="L3603" i="1" s="1"/>
  <c r="L3602" i="1" a="1"/>
  <c r="L3602" i="1" s="1"/>
  <c r="K3602" i="1"/>
  <c r="L3601" i="1"/>
  <c r="K3601" i="1"/>
  <c r="L3601" i="1" s="1" a="1"/>
  <c r="L3600" i="1" a="1"/>
  <c r="L3600" i="1" s="1"/>
  <c r="K3600" i="1"/>
  <c r="L3599" i="1"/>
  <c r="K3599" i="1"/>
  <c r="L3599" i="1" s="1" a="1"/>
  <c r="L3598" i="1" a="1"/>
  <c r="L3598" i="1" s="1"/>
  <c r="K3598" i="1"/>
  <c r="K3597" i="1"/>
  <c r="L3597" i="1" s="1" a="1"/>
  <c r="L3597" i="1" s="1"/>
  <c r="L3596" i="1"/>
  <c r="L3596" i="1" a="1"/>
  <c r="K3596" i="1"/>
  <c r="K3595" i="1"/>
  <c r="L3595" i="1" s="1" a="1"/>
  <c r="L3595" i="1" s="1"/>
  <c r="L3594" i="1" a="1"/>
  <c r="L3594" i="1" s="1"/>
  <c r="K3594" i="1"/>
  <c r="K3593" i="1"/>
  <c r="L3593" i="1" s="1" a="1"/>
  <c r="L3593" i="1" s="1"/>
  <c r="K3592" i="1"/>
  <c r="L3592" i="1" s="1" a="1"/>
  <c r="L3592" i="1" s="1"/>
  <c r="K3591" i="1"/>
  <c r="L3591" i="1" s="1" a="1"/>
  <c r="L3591" i="1" s="1"/>
  <c r="L3590" i="1" a="1"/>
  <c r="L3590" i="1" s="1"/>
  <c r="K3590" i="1"/>
  <c r="L3589" i="1"/>
  <c r="K3589" i="1"/>
  <c r="L3589" i="1" s="1" a="1"/>
  <c r="K3588" i="1"/>
  <c r="L3588" i="1" s="1" a="1"/>
  <c r="L3588" i="1" s="1"/>
  <c r="K3587" i="1"/>
  <c r="L3587" i="1" s="1" a="1"/>
  <c r="L3587" i="1" s="1"/>
  <c r="L3586" i="1" a="1"/>
  <c r="L3586" i="1" s="1"/>
  <c r="K3586" i="1"/>
  <c r="L3585" i="1"/>
  <c r="K3585" i="1"/>
  <c r="L3585" i="1" s="1" a="1"/>
  <c r="L3584" i="1" a="1"/>
  <c r="L3584" i="1" s="1"/>
  <c r="K3584" i="1"/>
  <c r="L3583" i="1"/>
  <c r="K3583" i="1"/>
  <c r="L3583" i="1" s="1" a="1"/>
  <c r="L3582" i="1" a="1"/>
  <c r="L3582" i="1" s="1"/>
  <c r="K3582" i="1"/>
  <c r="K3581" i="1"/>
  <c r="L3581" i="1" s="1" a="1"/>
  <c r="L3581" i="1" s="1"/>
  <c r="L3580" i="1" a="1"/>
  <c r="L3580" i="1" s="1"/>
  <c r="K3580" i="1"/>
  <c r="K3579" i="1"/>
  <c r="L3579" i="1" s="1" a="1"/>
  <c r="L3579" i="1" s="1"/>
  <c r="L3578" i="1" a="1"/>
  <c r="L3578" i="1" s="1"/>
  <c r="K3578" i="1"/>
  <c r="K3577" i="1"/>
  <c r="L3577" i="1" s="1" a="1"/>
  <c r="L3577" i="1" s="1"/>
  <c r="K3576" i="1"/>
  <c r="L3576" i="1" s="1" a="1"/>
  <c r="L3576" i="1" s="1"/>
  <c r="L3575" i="1"/>
  <c r="K3575" i="1"/>
  <c r="L3575" i="1" s="1" a="1"/>
  <c r="L3574" i="1" a="1"/>
  <c r="L3574" i="1" s="1"/>
  <c r="K3574" i="1"/>
  <c r="L3573" i="1"/>
  <c r="K3573" i="1"/>
  <c r="L3573" i="1" s="1" a="1"/>
  <c r="K3572" i="1"/>
  <c r="L3572" i="1" s="1" a="1"/>
  <c r="L3572" i="1" s="1"/>
  <c r="K3571" i="1"/>
  <c r="L3571" i="1" s="1" a="1"/>
  <c r="L3571" i="1" s="1"/>
  <c r="L3570" i="1" a="1"/>
  <c r="L3570" i="1" s="1"/>
  <c r="K3570" i="1"/>
  <c r="L3569" i="1"/>
  <c r="K3569" i="1"/>
  <c r="L3569" i="1" s="1" a="1"/>
  <c r="L3568" i="1" a="1"/>
  <c r="L3568" i="1" s="1"/>
  <c r="K3568" i="1"/>
  <c r="L3567" i="1"/>
  <c r="K3567" i="1"/>
  <c r="L3567" i="1" s="1" a="1"/>
  <c r="L3566" i="1" a="1"/>
  <c r="L3566" i="1" s="1"/>
  <c r="K3566" i="1"/>
  <c r="K3565" i="1"/>
  <c r="L3565" i="1" s="1" a="1"/>
  <c r="L3565" i="1" s="1"/>
  <c r="L3564" i="1" a="1"/>
  <c r="L3564" i="1" s="1"/>
  <c r="K3564" i="1"/>
  <c r="K3563" i="1"/>
  <c r="L3563" i="1" s="1" a="1"/>
  <c r="L3563" i="1" s="1"/>
  <c r="L3562" i="1" a="1"/>
  <c r="L3562" i="1" s="1"/>
  <c r="K3562" i="1"/>
  <c r="K3561" i="1"/>
  <c r="L3561" i="1" s="1" a="1"/>
  <c r="L3561" i="1" s="1"/>
  <c r="K3560" i="1"/>
  <c r="L3560" i="1" s="1" a="1"/>
  <c r="L3560" i="1" s="1"/>
  <c r="L3559" i="1"/>
  <c r="K3559" i="1"/>
  <c r="L3559" i="1" s="1" a="1"/>
  <c r="L3558" i="1" a="1"/>
  <c r="L3558" i="1" s="1"/>
  <c r="K3558" i="1"/>
  <c r="L3557" i="1"/>
  <c r="K3557" i="1"/>
  <c r="L3557" i="1" s="1" a="1"/>
  <c r="K3556" i="1"/>
  <c r="L3556" i="1" s="1" a="1"/>
  <c r="L3556" i="1" s="1"/>
  <c r="K3555" i="1"/>
  <c r="L3555" i="1" s="1" a="1"/>
  <c r="L3555" i="1" s="1"/>
  <c r="L3554" i="1" a="1"/>
  <c r="L3554" i="1" s="1"/>
  <c r="K3554" i="1"/>
  <c r="L3553" i="1"/>
  <c r="K3553" i="1"/>
  <c r="L3553" i="1" s="1" a="1"/>
  <c r="L3552" i="1" a="1"/>
  <c r="L3552" i="1" s="1"/>
  <c r="K3552" i="1"/>
  <c r="L3551" i="1"/>
  <c r="K3551" i="1"/>
  <c r="L3551" i="1" s="1" a="1"/>
  <c r="L3550" i="1" a="1"/>
  <c r="L3550" i="1" s="1"/>
  <c r="K3550" i="1"/>
  <c r="K3549" i="1"/>
  <c r="L3549" i="1" s="1" a="1"/>
  <c r="L3549" i="1" s="1"/>
  <c r="L3548" i="1"/>
  <c r="L3548" i="1" a="1"/>
  <c r="K3548" i="1"/>
  <c r="K3547" i="1"/>
  <c r="L3547" i="1" s="1" a="1"/>
  <c r="L3547" i="1" s="1"/>
  <c r="L3546" i="1" a="1"/>
  <c r="L3546" i="1" s="1"/>
  <c r="K3546" i="1"/>
  <c r="K3545" i="1"/>
  <c r="L3545" i="1" s="1" a="1"/>
  <c r="L3545" i="1" s="1"/>
  <c r="K3544" i="1"/>
  <c r="L3544" i="1" s="1" a="1"/>
  <c r="L3544" i="1" s="1"/>
  <c r="K3543" i="1"/>
  <c r="L3543" i="1" s="1" a="1"/>
  <c r="L3543" i="1" s="1"/>
  <c r="L3542" i="1" a="1"/>
  <c r="L3542" i="1" s="1"/>
  <c r="K3542" i="1"/>
  <c r="L3541" i="1"/>
  <c r="K3541" i="1"/>
  <c r="L3541" i="1" s="1" a="1"/>
  <c r="K3540" i="1"/>
  <c r="L3540" i="1" s="1" a="1"/>
  <c r="L3540" i="1" s="1"/>
  <c r="K3539" i="1"/>
  <c r="L3539" i="1" s="1" a="1"/>
  <c r="L3539" i="1" s="1"/>
  <c r="L3538" i="1" a="1"/>
  <c r="L3538" i="1" s="1"/>
  <c r="K3538" i="1"/>
  <c r="L3537" i="1"/>
  <c r="K3537" i="1"/>
  <c r="L3537" i="1" s="1" a="1"/>
  <c r="L3536" i="1" a="1"/>
  <c r="L3536" i="1" s="1"/>
  <c r="K3536" i="1"/>
  <c r="L3535" i="1"/>
  <c r="K3535" i="1"/>
  <c r="L3535" i="1" s="1" a="1"/>
  <c r="L3534" i="1" a="1"/>
  <c r="L3534" i="1" s="1"/>
  <c r="K3534" i="1"/>
  <c r="K3533" i="1"/>
  <c r="L3533" i="1" s="1" a="1"/>
  <c r="L3533" i="1" s="1"/>
  <c r="L3532" i="1"/>
  <c r="L3532" i="1" a="1"/>
  <c r="K3532" i="1"/>
  <c r="K3531" i="1"/>
  <c r="L3531" i="1" s="1" a="1"/>
  <c r="L3531" i="1" s="1"/>
  <c r="L3530" i="1" a="1"/>
  <c r="L3530" i="1" s="1"/>
  <c r="K3530" i="1"/>
  <c r="K3529" i="1"/>
  <c r="L3529" i="1" s="1" a="1"/>
  <c r="L3529" i="1" s="1"/>
  <c r="K3528" i="1"/>
  <c r="L3528" i="1" s="1" a="1"/>
  <c r="L3528" i="1" s="1"/>
  <c r="K3527" i="1"/>
  <c r="L3527" i="1" s="1" a="1"/>
  <c r="L3527" i="1" s="1"/>
  <c r="L3526" i="1" a="1"/>
  <c r="L3526" i="1" s="1"/>
  <c r="K3526" i="1"/>
  <c r="L3525" i="1"/>
  <c r="K3525" i="1"/>
  <c r="L3525" i="1" s="1" a="1"/>
  <c r="K3524" i="1"/>
  <c r="L3524" i="1" s="1" a="1"/>
  <c r="L3524" i="1" s="1"/>
  <c r="K3523" i="1"/>
  <c r="L3523" i="1" s="1" a="1"/>
  <c r="L3523" i="1" s="1"/>
  <c r="L3522" i="1" a="1"/>
  <c r="L3522" i="1" s="1"/>
  <c r="K3522" i="1"/>
  <c r="L3521" i="1"/>
  <c r="K3521" i="1"/>
  <c r="L3521" i="1" s="1" a="1"/>
  <c r="L3520" i="1" a="1"/>
  <c r="L3520" i="1" s="1"/>
  <c r="K3520" i="1"/>
  <c r="L3519" i="1"/>
  <c r="K3519" i="1"/>
  <c r="L3519" i="1" s="1" a="1"/>
  <c r="L3518" i="1" a="1"/>
  <c r="L3518" i="1" s="1"/>
  <c r="K3518" i="1"/>
  <c r="K3517" i="1"/>
  <c r="L3517" i="1" s="1" a="1"/>
  <c r="L3517" i="1" s="1"/>
  <c r="L3516" i="1" a="1"/>
  <c r="L3516" i="1" s="1"/>
  <c r="K3516" i="1"/>
  <c r="K3515" i="1"/>
  <c r="L3515" i="1" s="1" a="1"/>
  <c r="L3515" i="1" s="1"/>
  <c r="L3514" i="1" a="1"/>
  <c r="L3514" i="1" s="1"/>
  <c r="K3514" i="1"/>
  <c r="K3513" i="1"/>
  <c r="L3513" i="1" s="1" a="1"/>
  <c r="L3513" i="1" s="1"/>
  <c r="K3512" i="1"/>
  <c r="L3512" i="1" s="1" a="1"/>
  <c r="L3512" i="1" s="1"/>
  <c r="K3511" i="1"/>
  <c r="L3511" i="1" s="1" a="1"/>
  <c r="L3511" i="1" s="1"/>
  <c r="L3510" i="1" a="1"/>
  <c r="L3510" i="1" s="1"/>
  <c r="K3510" i="1"/>
  <c r="L3509" i="1"/>
  <c r="K3509" i="1"/>
  <c r="L3509" i="1" s="1" a="1"/>
  <c r="K3508" i="1"/>
  <c r="L3508" i="1" s="1" a="1"/>
  <c r="L3508" i="1" s="1"/>
  <c r="K3507" i="1"/>
  <c r="L3507" i="1" s="1" a="1"/>
  <c r="L3507" i="1" s="1"/>
  <c r="L3506" i="1" a="1"/>
  <c r="L3506" i="1" s="1"/>
  <c r="K3506" i="1"/>
  <c r="L3505" i="1"/>
  <c r="K3505" i="1"/>
  <c r="L3505" i="1" s="1" a="1"/>
  <c r="L3504" i="1" a="1"/>
  <c r="L3504" i="1" s="1"/>
  <c r="K3504" i="1"/>
  <c r="L3503" i="1"/>
  <c r="K3503" i="1"/>
  <c r="L3503" i="1" s="1" a="1"/>
  <c r="L3502" i="1" a="1"/>
  <c r="L3502" i="1" s="1"/>
  <c r="K3502" i="1"/>
  <c r="K3501" i="1"/>
  <c r="L3501" i="1" s="1" a="1"/>
  <c r="L3501" i="1" s="1"/>
  <c r="L3500" i="1" a="1"/>
  <c r="L3500" i="1" s="1"/>
  <c r="K3500" i="1"/>
  <c r="K3499" i="1"/>
  <c r="L3499" i="1" s="1" a="1"/>
  <c r="L3499" i="1" s="1"/>
  <c r="L3498" i="1" a="1"/>
  <c r="L3498" i="1" s="1"/>
  <c r="K3498" i="1"/>
  <c r="K3497" i="1"/>
  <c r="L3497" i="1" s="1" a="1"/>
  <c r="L3497" i="1" s="1"/>
  <c r="K3496" i="1"/>
  <c r="L3496" i="1" s="1" a="1"/>
  <c r="L3496" i="1" s="1"/>
  <c r="L3495" i="1"/>
  <c r="K3495" i="1"/>
  <c r="L3495" i="1" s="1" a="1"/>
  <c r="L3494" i="1" a="1"/>
  <c r="L3494" i="1" s="1"/>
  <c r="K3494" i="1"/>
  <c r="L3493" i="1"/>
  <c r="K3493" i="1"/>
  <c r="L3493" i="1" s="1" a="1"/>
  <c r="K3492" i="1"/>
  <c r="L3492" i="1" s="1" a="1"/>
  <c r="L3492" i="1" s="1"/>
  <c r="K3491" i="1"/>
  <c r="L3491" i="1" s="1" a="1"/>
  <c r="L3491" i="1" s="1"/>
  <c r="L3490" i="1" a="1"/>
  <c r="L3490" i="1" s="1"/>
  <c r="K3490" i="1"/>
  <c r="L3489" i="1"/>
  <c r="K3489" i="1"/>
  <c r="L3489" i="1" s="1" a="1"/>
  <c r="L3488" i="1" a="1"/>
  <c r="L3488" i="1" s="1"/>
  <c r="K3488" i="1"/>
  <c r="L3487" i="1"/>
  <c r="K3487" i="1"/>
  <c r="L3487" i="1" s="1" a="1"/>
  <c r="L3486" i="1" a="1"/>
  <c r="L3486" i="1" s="1"/>
  <c r="K3486" i="1"/>
  <c r="K3485" i="1"/>
  <c r="L3485" i="1" s="1" a="1"/>
  <c r="L3485" i="1" s="1"/>
  <c r="L3484" i="1"/>
  <c r="L3484" i="1" a="1"/>
  <c r="K3484" i="1"/>
  <c r="K3483" i="1"/>
  <c r="L3483" i="1" s="1" a="1"/>
  <c r="L3483" i="1" s="1"/>
  <c r="L3482" i="1" a="1"/>
  <c r="L3482" i="1" s="1"/>
  <c r="K3482" i="1"/>
  <c r="K3481" i="1"/>
  <c r="L3481" i="1" s="1" a="1"/>
  <c r="L3481" i="1" s="1"/>
  <c r="K3480" i="1"/>
  <c r="L3480" i="1" s="1" a="1"/>
  <c r="L3480" i="1" s="1"/>
  <c r="K3479" i="1"/>
  <c r="L3479" i="1" s="1" a="1"/>
  <c r="L3479" i="1" s="1"/>
  <c r="L3478" i="1" a="1"/>
  <c r="L3478" i="1" s="1"/>
  <c r="K3478" i="1"/>
  <c r="L3477" i="1"/>
  <c r="K3477" i="1"/>
  <c r="L3477" i="1" s="1" a="1"/>
  <c r="K3476" i="1"/>
  <c r="L3476" i="1" s="1" a="1"/>
  <c r="L3476" i="1" s="1"/>
  <c r="K3475" i="1"/>
  <c r="L3475" i="1" s="1" a="1"/>
  <c r="L3475" i="1" s="1"/>
  <c r="L3474" i="1" a="1"/>
  <c r="L3474" i="1" s="1"/>
  <c r="K3474" i="1"/>
  <c r="L3473" i="1"/>
  <c r="K3473" i="1"/>
  <c r="L3473" i="1" s="1" a="1"/>
  <c r="L3472" i="1" a="1"/>
  <c r="L3472" i="1" s="1"/>
  <c r="K3472" i="1"/>
  <c r="K3471" i="1"/>
  <c r="L3471" i="1" s="1" a="1"/>
  <c r="L3471" i="1" s="1"/>
  <c r="L3470" i="1" a="1"/>
  <c r="L3470" i="1" s="1"/>
  <c r="K3470" i="1"/>
  <c r="K3469" i="1"/>
  <c r="L3469" i="1" s="1" a="1"/>
  <c r="L3469" i="1" s="1"/>
  <c r="L3468" i="1"/>
  <c r="L3468" i="1" a="1"/>
  <c r="K3468" i="1"/>
  <c r="K3467" i="1"/>
  <c r="L3467" i="1" s="1" a="1"/>
  <c r="L3467" i="1" s="1"/>
  <c r="L3466" i="1" a="1"/>
  <c r="L3466" i="1" s="1"/>
  <c r="K3466" i="1"/>
  <c r="K3465" i="1"/>
  <c r="L3465" i="1" s="1" a="1"/>
  <c r="L3465" i="1" s="1"/>
  <c r="K3464" i="1"/>
  <c r="L3464" i="1" s="1" a="1"/>
  <c r="L3464" i="1" s="1"/>
  <c r="L3463" i="1"/>
  <c r="K3463" i="1"/>
  <c r="L3463" i="1" s="1" a="1"/>
  <c r="L3462" i="1" a="1"/>
  <c r="L3462" i="1" s="1"/>
  <c r="K3462" i="1"/>
  <c r="L3461" i="1"/>
  <c r="K3461" i="1"/>
  <c r="L3461" i="1" s="1" a="1"/>
  <c r="K3460" i="1"/>
  <c r="L3460" i="1" s="1" a="1"/>
  <c r="L3460" i="1" s="1"/>
  <c r="K3459" i="1"/>
  <c r="L3459" i="1" s="1" a="1"/>
  <c r="L3459" i="1" s="1"/>
  <c r="L3458" i="1" a="1"/>
  <c r="L3458" i="1" s="1"/>
  <c r="K3458" i="1"/>
  <c r="L3457" i="1"/>
  <c r="K3457" i="1"/>
  <c r="L3457" i="1" s="1" a="1"/>
  <c r="L3456" i="1" a="1"/>
  <c r="L3456" i="1" s="1"/>
  <c r="K3456" i="1"/>
  <c r="K3455" i="1"/>
  <c r="L3455" i="1" s="1" a="1"/>
  <c r="L3455" i="1" s="1"/>
  <c r="L3454" i="1" a="1"/>
  <c r="L3454" i="1" s="1"/>
  <c r="K3454" i="1"/>
  <c r="K3453" i="1"/>
  <c r="L3453" i="1" s="1" a="1"/>
  <c r="L3453" i="1" s="1"/>
  <c r="L3452" i="1"/>
  <c r="L3452" i="1" a="1"/>
  <c r="K3452" i="1"/>
  <c r="K3451" i="1"/>
  <c r="L3451" i="1" s="1" a="1"/>
  <c r="L3451" i="1" s="1"/>
  <c r="L3450" i="1" a="1"/>
  <c r="L3450" i="1" s="1"/>
  <c r="K3450" i="1"/>
  <c r="K3449" i="1"/>
  <c r="L3449" i="1" s="1" a="1"/>
  <c r="L3449" i="1" s="1"/>
  <c r="K3448" i="1"/>
  <c r="L3448" i="1" s="1" a="1"/>
  <c r="L3448" i="1" s="1"/>
  <c r="L3447" i="1"/>
  <c r="K3447" i="1"/>
  <c r="L3447" i="1" s="1" a="1"/>
  <c r="L3446" i="1" a="1"/>
  <c r="L3446" i="1" s="1"/>
  <c r="K3446" i="1"/>
  <c r="L3445" i="1"/>
  <c r="K3445" i="1"/>
  <c r="L3445" i="1" s="1" a="1"/>
  <c r="K3444" i="1"/>
  <c r="L3444" i="1" s="1" a="1"/>
  <c r="L3444" i="1" s="1"/>
  <c r="K3443" i="1"/>
  <c r="L3443" i="1" s="1" a="1"/>
  <c r="L3443" i="1" s="1"/>
  <c r="L3442" i="1" a="1"/>
  <c r="L3442" i="1" s="1"/>
  <c r="K3442" i="1"/>
  <c r="L3441" i="1"/>
  <c r="K3441" i="1"/>
  <c r="L3441" i="1" s="1" a="1"/>
  <c r="L3440" i="1" a="1"/>
  <c r="L3440" i="1" s="1"/>
  <c r="K3440" i="1"/>
  <c r="K3439" i="1"/>
  <c r="L3439" i="1" s="1" a="1"/>
  <c r="L3439" i="1" s="1"/>
  <c r="L3438" i="1" a="1"/>
  <c r="L3438" i="1" s="1"/>
  <c r="K3438" i="1"/>
  <c r="K3437" i="1"/>
  <c r="L3437" i="1" s="1" a="1"/>
  <c r="L3437" i="1" s="1"/>
  <c r="L3436" i="1" a="1"/>
  <c r="L3436" i="1" s="1"/>
  <c r="K3436" i="1"/>
  <c r="K3435" i="1"/>
  <c r="L3435" i="1" s="1" a="1"/>
  <c r="L3435" i="1" s="1"/>
  <c r="L3434" i="1" a="1"/>
  <c r="L3434" i="1" s="1"/>
  <c r="K3434" i="1"/>
  <c r="K3433" i="1"/>
  <c r="L3433" i="1" s="1" a="1"/>
  <c r="L3433" i="1" s="1"/>
  <c r="K3432" i="1"/>
  <c r="L3432" i="1" s="1" a="1"/>
  <c r="L3432" i="1" s="1"/>
  <c r="L3431" i="1"/>
  <c r="K3431" i="1"/>
  <c r="L3431" i="1" s="1" a="1"/>
  <c r="L3430" i="1" a="1"/>
  <c r="L3430" i="1" s="1"/>
  <c r="K3430" i="1"/>
  <c r="L3429" i="1"/>
  <c r="K3429" i="1"/>
  <c r="L3429" i="1" s="1" a="1"/>
  <c r="K3428" i="1"/>
  <c r="L3428" i="1" s="1" a="1"/>
  <c r="L3428" i="1" s="1"/>
  <c r="K3427" i="1"/>
  <c r="L3427" i="1" s="1" a="1"/>
  <c r="L3427" i="1" s="1"/>
  <c r="L3426" i="1" a="1"/>
  <c r="L3426" i="1" s="1"/>
  <c r="K3426" i="1"/>
  <c r="L3425" i="1"/>
  <c r="K3425" i="1"/>
  <c r="L3425" i="1" s="1" a="1"/>
  <c r="L3424" i="1" a="1"/>
  <c r="L3424" i="1" s="1"/>
  <c r="K3424" i="1"/>
  <c r="K3423" i="1"/>
  <c r="L3423" i="1" s="1" a="1"/>
  <c r="L3423" i="1" s="1"/>
  <c r="L3422" i="1" a="1"/>
  <c r="L3422" i="1" s="1"/>
  <c r="K3422" i="1"/>
  <c r="K3421" i="1"/>
  <c r="L3421" i="1" s="1" a="1"/>
  <c r="L3421" i="1" s="1"/>
  <c r="L3420" i="1" a="1"/>
  <c r="L3420" i="1" s="1"/>
  <c r="K3420" i="1"/>
  <c r="K3419" i="1"/>
  <c r="L3419" i="1" s="1" a="1"/>
  <c r="L3419" i="1" s="1"/>
  <c r="L3418" i="1" a="1"/>
  <c r="L3418" i="1" s="1"/>
  <c r="K3418" i="1"/>
  <c r="K3417" i="1"/>
  <c r="L3417" i="1" s="1" a="1"/>
  <c r="L3417" i="1" s="1"/>
  <c r="K3416" i="1"/>
  <c r="L3416" i="1" s="1" a="1"/>
  <c r="L3416" i="1" s="1"/>
  <c r="K3415" i="1"/>
  <c r="L3415" i="1" s="1" a="1"/>
  <c r="L3415" i="1" s="1"/>
  <c r="L3414" i="1" a="1"/>
  <c r="L3414" i="1" s="1"/>
  <c r="K3414" i="1"/>
  <c r="L3413" i="1"/>
  <c r="K3413" i="1"/>
  <c r="L3413" i="1" s="1" a="1"/>
  <c r="K3412" i="1"/>
  <c r="L3412" i="1" s="1" a="1"/>
  <c r="L3412" i="1" s="1"/>
  <c r="K3411" i="1"/>
  <c r="L3411" i="1" s="1" a="1"/>
  <c r="L3411" i="1" s="1"/>
  <c r="L3410" i="1" a="1"/>
  <c r="L3410" i="1" s="1"/>
  <c r="K3410" i="1"/>
  <c r="L3409" i="1"/>
  <c r="K3409" i="1"/>
  <c r="L3409" i="1" s="1" a="1"/>
  <c r="L3408" i="1" a="1"/>
  <c r="L3408" i="1" s="1"/>
  <c r="K3408" i="1"/>
  <c r="K3407" i="1"/>
  <c r="L3407" i="1" s="1" a="1"/>
  <c r="L3407" i="1" s="1"/>
  <c r="L3406" i="1" a="1"/>
  <c r="L3406" i="1" s="1"/>
  <c r="K3406" i="1"/>
  <c r="K3405" i="1"/>
  <c r="L3405" i="1" s="1" a="1"/>
  <c r="L3405" i="1" s="1"/>
  <c r="L3404" i="1"/>
  <c r="L3404" i="1" a="1"/>
  <c r="K3404" i="1"/>
  <c r="K3403" i="1"/>
  <c r="L3403" i="1" s="1" a="1"/>
  <c r="L3403" i="1" s="1"/>
  <c r="L3402" i="1" a="1"/>
  <c r="L3402" i="1" s="1"/>
  <c r="K3402" i="1"/>
  <c r="K3401" i="1"/>
  <c r="L3401" i="1" s="1" a="1"/>
  <c r="L3401" i="1" s="1"/>
  <c r="K3400" i="1"/>
  <c r="L3400" i="1" s="1" a="1"/>
  <c r="L3400" i="1" s="1"/>
  <c r="K3399" i="1"/>
  <c r="L3399" i="1" s="1" a="1"/>
  <c r="L3399" i="1" s="1"/>
  <c r="L3398" i="1" a="1"/>
  <c r="L3398" i="1" s="1"/>
  <c r="K3398" i="1"/>
  <c r="L3397" i="1"/>
  <c r="K3397" i="1"/>
  <c r="L3397" i="1" s="1" a="1"/>
  <c r="K3396" i="1"/>
  <c r="L3396" i="1" s="1" a="1"/>
  <c r="L3396" i="1" s="1"/>
  <c r="K3395" i="1"/>
  <c r="L3395" i="1" s="1" a="1"/>
  <c r="L3395" i="1" s="1"/>
  <c r="L3394" i="1" a="1"/>
  <c r="L3394" i="1" s="1"/>
  <c r="K3394" i="1"/>
  <c r="L3393" i="1"/>
  <c r="K3393" i="1"/>
  <c r="L3393" i="1" s="1" a="1"/>
  <c r="L3392" i="1" a="1"/>
  <c r="L3392" i="1" s="1"/>
  <c r="K3392" i="1"/>
  <c r="K3391" i="1"/>
  <c r="L3391" i="1" s="1" a="1"/>
  <c r="L3391" i="1" s="1"/>
  <c r="L3390" i="1" a="1"/>
  <c r="L3390" i="1" s="1"/>
  <c r="K3390" i="1"/>
  <c r="K3389" i="1"/>
  <c r="L3389" i="1" s="1" a="1"/>
  <c r="L3389" i="1" s="1"/>
  <c r="L3388" i="1"/>
  <c r="L3388" i="1" a="1"/>
  <c r="K3388" i="1"/>
  <c r="K3387" i="1"/>
  <c r="L3387" i="1" s="1" a="1"/>
  <c r="L3387" i="1" s="1"/>
  <c r="L3386" i="1" a="1"/>
  <c r="L3386" i="1" s="1"/>
  <c r="K3386" i="1"/>
  <c r="K3385" i="1"/>
  <c r="L3385" i="1" s="1" a="1"/>
  <c r="L3385" i="1" s="1"/>
  <c r="K3384" i="1"/>
  <c r="L3384" i="1" s="1" a="1"/>
  <c r="L3384" i="1" s="1"/>
  <c r="K3383" i="1"/>
  <c r="L3383" i="1" s="1" a="1"/>
  <c r="L3383" i="1" s="1"/>
  <c r="L3382" i="1" a="1"/>
  <c r="L3382" i="1" s="1"/>
  <c r="K3382" i="1"/>
  <c r="L3381" i="1"/>
  <c r="K3381" i="1"/>
  <c r="L3381" i="1" s="1" a="1"/>
  <c r="K3380" i="1"/>
  <c r="L3380" i="1" s="1" a="1"/>
  <c r="L3380" i="1" s="1"/>
  <c r="K3379" i="1"/>
  <c r="L3379" i="1" s="1" a="1"/>
  <c r="L3379" i="1" s="1"/>
  <c r="L3378" i="1" a="1"/>
  <c r="L3378" i="1" s="1"/>
  <c r="K3378" i="1"/>
  <c r="L3377" i="1"/>
  <c r="K3377" i="1"/>
  <c r="L3377" i="1" s="1" a="1"/>
  <c r="L3376" i="1" a="1"/>
  <c r="L3376" i="1" s="1"/>
  <c r="K3376" i="1"/>
  <c r="K3375" i="1"/>
  <c r="L3375" i="1" s="1" a="1"/>
  <c r="L3375" i="1" s="1"/>
  <c r="L3374" i="1" a="1"/>
  <c r="L3374" i="1" s="1"/>
  <c r="K3374" i="1"/>
  <c r="K3373" i="1"/>
  <c r="L3373" i="1" s="1" a="1"/>
  <c r="L3373" i="1" s="1"/>
  <c r="L3372" i="1" a="1"/>
  <c r="L3372" i="1" s="1"/>
  <c r="K3372" i="1"/>
  <c r="K3371" i="1"/>
  <c r="L3371" i="1" s="1" a="1"/>
  <c r="L3371" i="1" s="1"/>
  <c r="L3370" i="1" a="1"/>
  <c r="L3370" i="1" s="1"/>
  <c r="K3370" i="1"/>
  <c r="K3369" i="1"/>
  <c r="L3369" i="1" s="1" a="1"/>
  <c r="L3369" i="1" s="1"/>
  <c r="K3368" i="1"/>
  <c r="L3368" i="1" s="1" a="1"/>
  <c r="L3368" i="1" s="1"/>
  <c r="K3367" i="1"/>
  <c r="L3367" i="1" s="1" a="1"/>
  <c r="L3367" i="1" s="1"/>
  <c r="L3366" i="1" a="1"/>
  <c r="L3366" i="1" s="1"/>
  <c r="K3366" i="1"/>
  <c r="L3365" i="1"/>
  <c r="K3365" i="1"/>
  <c r="L3365" i="1" s="1" a="1"/>
  <c r="K3364" i="1"/>
  <c r="L3364" i="1" s="1" a="1"/>
  <c r="L3364" i="1" s="1"/>
  <c r="K3363" i="1"/>
  <c r="L3363" i="1" s="1" a="1"/>
  <c r="L3363" i="1" s="1"/>
  <c r="L3362" i="1" a="1"/>
  <c r="L3362" i="1" s="1"/>
  <c r="K3362" i="1"/>
  <c r="L3361" i="1"/>
  <c r="K3361" i="1"/>
  <c r="L3361" i="1" s="1" a="1"/>
  <c r="L3360" i="1" a="1"/>
  <c r="L3360" i="1" s="1"/>
  <c r="K3360" i="1"/>
  <c r="K3359" i="1"/>
  <c r="L3359" i="1" s="1" a="1"/>
  <c r="L3359" i="1" s="1"/>
  <c r="L3358" i="1" a="1"/>
  <c r="L3358" i="1" s="1"/>
  <c r="K3358" i="1"/>
  <c r="K3357" i="1"/>
  <c r="L3357" i="1" s="1" a="1"/>
  <c r="L3357" i="1" s="1"/>
  <c r="L3356" i="1" a="1"/>
  <c r="L3356" i="1" s="1"/>
  <c r="K3356" i="1"/>
  <c r="K3355" i="1"/>
  <c r="L3355" i="1" s="1" a="1"/>
  <c r="L3355" i="1" s="1"/>
  <c r="L3354" i="1" a="1"/>
  <c r="L3354" i="1" s="1"/>
  <c r="K3354" i="1"/>
  <c r="K3353" i="1"/>
  <c r="L3353" i="1" s="1" a="1"/>
  <c r="L3353" i="1" s="1"/>
  <c r="K3352" i="1"/>
  <c r="L3352" i="1" s="1" a="1"/>
  <c r="L3352" i="1" s="1"/>
  <c r="L3351" i="1"/>
  <c r="K3351" i="1"/>
  <c r="L3351" i="1" s="1" a="1"/>
  <c r="L3350" i="1" a="1"/>
  <c r="L3350" i="1" s="1"/>
  <c r="K3350" i="1"/>
  <c r="L3349" i="1"/>
  <c r="K3349" i="1"/>
  <c r="L3349" i="1" s="1" a="1"/>
  <c r="K3348" i="1"/>
  <c r="L3348" i="1" s="1" a="1"/>
  <c r="L3348" i="1" s="1"/>
  <c r="K3347" i="1"/>
  <c r="L3347" i="1" s="1" a="1"/>
  <c r="L3347" i="1" s="1"/>
  <c r="L3346" i="1" a="1"/>
  <c r="L3346" i="1" s="1"/>
  <c r="K3346" i="1"/>
  <c r="L3345" i="1"/>
  <c r="K3345" i="1"/>
  <c r="L3345" i="1" s="1" a="1"/>
  <c r="L3344" i="1" a="1"/>
  <c r="L3344" i="1" s="1"/>
  <c r="K3344" i="1"/>
  <c r="K3343" i="1"/>
  <c r="L3343" i="1" s="1" a="1"/>
  <c r="L3343" i="1" s="1"/>
  <c r="L3342" i="1" a="1"/>
  <c r="L3342" i="1" s="1"/>
  <c r="K3342" i="1"/>
  <c r="K3341" i="1"/>
  <c r="L3341" i="1" s="1" a="1"/>
  <c r="L3341" i="1" s="1"/>
  <c r="L3340" i="1" a="1"/>
  <c r="L3340" i="1" s="1"/>
  <c r="K3340" i="1"/>
  <c r="K3339" i="1"/>
  <c r="L3339" i="1" s="1" a="1"/>
  <c r="L3339" i="1" s="1"/>
  <c r="L3338" i="1" a="1"/>
  <c r="L3338" i="1" s="1"/>
  <c r="K3338" i="1"/>
  <c r="K3337" i="1"/>
  <c r="L3337" i="1" s="1" a="1"/>
  <c r="L3337" i="1" s="1"/>
  <c r="K3336" i="1"/>
  <c r="L3336" i="1" s="1" a="1"/>
  <c r="L3336" i="1" s="1"/>
  <c r="K3335" i="1"/>
  <c r="L3335" i="1" s="1" a="1"/>
  <c r="L3335" i="1" s="1"/>
  <c r="L3334" i="1" a="1"/>
  <c r="L3334" i="1" s="1"/>
  <c r="K3334" i="1"/>
  <c r="L3333" i="1"/>
  <c r="K3333" i="1"/>
  <c r="L3333" i="1" s="1" a="1"/>
  <c r="K3332" i="1"/>
  <c r="L3332" i="1" s="1" a="1"/>
  <c r="L3332" i="1" s="1"/>
  <c r="K3331" i="1"/>
  <c r="L3331" i="1" s="1" a="1"/>
  <c r="L3331" i="1" s="1"/>
  <c r="L3330" i="1" a="1"/>
  <c r="L3330" i="1" s="1"/>
  <c r="K3330" i="1"/>
  <c r="L3329" i="1"/>
  <c r="K3329" i="1"/>
  <c r="L3329" i="1" s="1" a="1"/>
  <c r="L3328" i="1" a="1"/>
  <c r="L3328" i="1" s="1"/>
  <c r="K3328" i="1"/>
  <c r="K3327" i="1"/>
  <c r="L3327" i="1" s="1" a="1"/>
  <c r="L3327" i="1" s="1"/>
  <c r="L3326" i="1" a="1"/>
  <c r="L3326" i="1" s="1"/>
  <c r="K3326" i="1"/>
  <c r="K3325" i="1"/>
  <c r="L3325" i="1" s="1" a="1"/>
  <c r="L3325" i="1" s="1"/>
  <c r="L3324" i="1" a="1"/>
  <c r="L3324" i="1" s="1"/>
  <c r="K3324" i="1"/>
  <c r="K3323" i="1"/>
  <c r="L3323" i="1" s="1" a="1"/>
  <c r="L3323" i="1" s="1"/>
  <c r="L3322" i="1" a="1"/>
  <c r="L3322" i="1" s="1"/>
  <c r="K3322" i="1"/>
  <c r="K3321" i="1"/>
  <c r="L3321" i="1" s="1" a="1"/>
  <c r="L3321" i="1" s="1"/>
  <c r="K3320" i="1"/>
  <c r="L3320" i="1" s="1" a="1"/>
  <c r="L3320" i="1" s="1"/>
  <c r="K3319" i="1"/>
  <c r="L3319" i="1" s="1" a="1"/>
  <c r="L3319" i="1" s="1"/>
  <c r="L3318" i="1" a="1"/>
  <c r="L3318" i="1" s="1"/>
  <c r="K3318" i="1"/>
  <c r="L3317" i="1"/>
  <c r="K3317" i="1"/>
  <c r="L3317" i="1" s="1" a="1"/>
  <c r="K3316" i="1"/>
  <c r="L3316" i="1" s="1" a="1"/>
  <c r="L3316" i="1" s="1"/>
  <c r="K3315" i="1"/>
  <c r="L3315" i="1" s="1" a="1"/>
  <c r="L3315" i="1" s="1"/>
  <c r="L3314" i="1" a="1"/>
  <c r="L3314" i="1" s="1"/>
  <c r="K3314" i="1"/>
  <c r="L3313" i="1"/>
  <c r="K3313" i="1"/>
  <c r="L3313" i="1" s="1" a="1"/>
  <c r="L3312" i="1" a="1"/>
  <c r="L3312" i="1" s="1"/>
  <c r="K3312" i="1"/>
  <c r="K3311" i="1"/>
  <c r="L3311" i="1" s="1" a="1"/>
  <c r="L3311" i="1" s="1"/>
  <c r="L3310" i="1" a="1"/>
  <c r="L3310" i="1" s="1"/>
  <c r="K3310" i="1"/>
  <c r="K3309" i="1"/>
  <c r="L3309" i="1" s="1" a="1"/>
  <c r="L3309" i="1" s="1"/>
  <c r="L3308" i="1" a="1"/>
  <c r="L3308" i="1" s="1"/>
  <c r="K3308" i="1"/>
  <c r="K3307" i="1"/>
  <c r="L3307" i="1" s="1" a="1"/>
  <c r="L3307" i="1" s="1"/>
  <c r="L3306" i="1" a="1"/>
  <c r="L3306" i="1" s="1"/>
  <c r="K3306" i="1"/>
  <c r="K3305" i="1"/>
  <c r="L3305" i="1" s="1" a="1"/>
  <c r="L3305" i="1" s="1"/>
  <c r="K3304" i="1"/>
  <c r="L3304" i="1" s="1" a="1"/>
  <c r="L3304" i="1" s="1"/>
  <c r="K3303" i="1"/>
  <c r="L3303" i="1" s="1" a="1"/>
  <c r="L3303" i="1" s="1"/>
  <c r="L3302" i="1" a="1"/>
  <c r="L3302" i="1" s="1"/>
  <c r="K3302" i="1"/>
  <c r="L3301" i="1"/>
  <c r="K3301" i="1"/>
  <c r="L3301" i="1" s="1" a="1"/>
  <c r="K3300" i="1"/>
  <c r="L3300" i="1" s="1" a="1"/>
  <c r="L3300" i="1" s="1"/>
  <c r="K3299" i="1"/>
  <c r="L3299" i="1" s="1" a="1"/>
  <c r="L3299" i="1" s="1"/>
  <c r="L3298" i="1" a="1"/>
  <c r="L3298" i="1" s="1"/>
  <c r="K3298" i="1"/>
  <c r="L3297" i="1"/>
  <c r="K3297" i="1"/>
  <c r="L3297" i="1" s="1" a="1"/>
  <c r="L3296" i="1" a="1"/>
  <c r="L3296" i="1" s="1"/>
  <c r="K3296" i="1"/>
  <c r="K3295" i="1"/>
  <c r="L3295" i="1" s="1" a="1"/>
  <c r="L3295" i="1" s="1"/>
  <c r="L3294" i="1" a="1"/>
  <c r="L3294" i="1" s="1"/>
  <c r="K3294" i="1"/>
  <c r="K3293" i="1"/>
  <c r="L3293" i="1" s="1" a="1"/>
  <c r="L3293" i="1" s="1"/>
  <c r="L3292" i="1"/>
  <c r="L3292" i="1" a="1"/>
  <c r="K3292" i="1"/>
  <c r="K3291" i="1"/>
  <c r="L3291" i="1" s="1" a="1"/>
  <c r="L3291" i="1" s="1"/>
  <c r="L3290" i="1" a="1"/>
  <c r="L3290" i="1" s="1"/>
  <c r="K3290" i="1"/>
  <c r="K3289" i="1"/>
  <c r="L3289" i="1" s="1" a="1"/>
  <c r="L3289" i="1" s="1"/>
  <c r="K3288" i="1"/>
  <c r="L3288" i="1" s="1" a="1"/>
  <c r="L3288" i="1" s="1"/>
  <c r="K3287" i="1"/>
  <c r="L3287" i="1" s="1" a="1"/>
  <c r="L3287" i="1" s="1"/>
  <c r="L3286" i="1" a="1"/>
  <c r="L3286" i="1" s="1"/>
  <c r="K3286" i="1"/>
  <c r="L3285" i="1"/>
  <c r="K3285" i="1"/>
  <c r="L3285" i="1" s="1" a="1"/>
  <c r="K3284" i="1"/>
  <c r="L3284" i="1" s="1" a="1"/>
  <c r="L3284" i="1" s="1"/>
  <c r="K3283" i="1"/>
  <c r="L3283" i="1" s="1" a="1"/>
  <c r="L3283" i="1" s="1"/>
  <c r="L3282" i="1" a="1"/>
  <c r="L3282" i="1" s="1"/>
  <c r="K3282" i="1"/>
  <c r="L3281" i="1"/>
  <c r="K3281" i="1"/>
  <c r="L3281" i="1" s="1" a="1"/>
  <c r="L3280" i="1" a="1"/>
  <c r="L3280" i="1" s="1"/>
  <c r="K3280" i="1"/>
  <c r="K3279" i="1"/>
  <c r="L3279" i="1" s="1" a="1"/>
  <c r="L3279" i="1" s="1"/>
  <c r="L3278" i="1" a="1"/>
  <c r="L3278" i="1" s="1"/>
  <c r="K3278" i="1"/>
  <c r="K3277" i="1"/>
  <c r="L3277" i="1" s="1" a="1"/>
  <c r="L3277" i="1" s="1"/>
  <c r="L3276" i="1"/>
  <c r="L3276" i="1" a="1"/>
  <c r="K3276" i="1"/>
  <c r="K3275" i="1"/>
  <c r="L3275" i="1" s="1" a="1"/>
  <c r="L3275" i="1" s="1"/>
  <c r="L3274" i="1" a="1"/>
  <c r="L3274" i="1" s="1"/>
  <c r="K3274" i="1"/>
  <c r="K3273" i="1"/>
  <c r="L3273" i="1" s="1" a="1"/>
  <c r="L3273" i="1" s="1"/>
  <c r="K3272" i="1"/>
  <c r="L3272" i="1" s="1" a="1"/>
  <c r="L3272" i="1" s="1"/>
  <c r="K3271" i="1"/>
  <c r="L3271" i="1" s="1" a="1"/>
  <c r="L3271" i="1" s="1"/>
  <c r="L3270" i="1" a="1"/>
  <c r="L3270" i="1" s="1"/>
  <c r="K3270" i="1"/>
  <c r="L3269" i="1"/>
  <c r="K3269" i="1"/>
  <c r="L3269" i="1" s="1" a="1"/>
  <c r="K3268" i="1"/>
  <c r="L3268" i="1" s="1" a="1"/>
  <c r="L3268" i="1" s="1"/>
  <c r="K3267" i="1"/>
  <c r="L3267" i="1" s="1" a="1"/>
  <c r="L3267" i="1" s="1"/>
  <c r="L3266" i="1" a="1"/>
  <c r="L3266" i="1" s="1"/>
  <c r="K3266" i="1"/>
  <c r="L3265" i="1"/>
  <c r="K3265" i="1"/>
  <c r="L3265" i="1" s="1" a="1"/>
  <c r="L3264" i="1" a="1"/>
  <c r="L3264" i="1" s="1"/>
  <c r="K3264" i="1"/>
  <c r="K3263" i="1"/>
  <c r="L3263" i="1" s="1" a="1"/>
  <c r="L3263" i="1" s="1"/>
  <c r="L3262" i="1" a="1"/>
  <c r="L3262" i="1" s="1"/>
  <c r="K3262" i="1"/>
  <c r="K3261" i="1"/>
  <c r="L3261" i="1" s="1" a="1"/>
  <c r="L3261" i="1" s="1"/>
  <c r="L3260" i="1" a="1"/>
  <c r="L3260" i="1" s="1"/>
  <c r="K3260" i="1"/>
  <c r="K3259" i="1"/>
  <c r="L3259" i="1" s="1" a="1"/>
  <c r="L3259" i="1" s="1"/>
  <c r="L3258" i="1" a="1"/>
  <c r="L3258" i="1" s="1"/>
  <c r="K3258" i="1"/>
  <c r="K3257" i="1"/>
  <c r="L3257" i="1" s="1" a="1"/>
  <c r="L3257" i="1" s="1"/>
  <c r="K3256" i="1"/>
  <c r="L3256" i="1" s="1" a="1"/>
  <c r="L3256" i="1" s="1"/>
  <c r="L3255" i="1"/>
  <c r="K3255" i="1"/>
  <c r="L3255" i="1" s="1" a="1"/>
  <c r="L3254" i="1" a="1"/>
  <c r="L3254" i="1" s="1"/>
  <c r="K3254" i="1"/>
  <c r="L3253" i="1"/>
  <c r="K3253" i="1"/>
  <c r="L3253" i="1" s="1" a="1"/>
  <c r="K3252" i="1"/>
  <c r="L3252" i="1" s="1" a="1"/>
  <c r="L3252" i="1" s="1"/>
  <c r="K3251" i="1"/>
  <c r="L3251" i="1" s="1" a="1"/>
  <c r="L3251" i="1" s="1"/>
  <c r="L3250" i="1" a="1"/>
  <c r="L3250" i="1" s="1"/>
  <c r="K3250" i="1"/>
  <c r="K3249" i="1"/>
  <c r="L3249" i="1" s="1" a="1"/>
  <c r="L3249" i="1" s="1"/>
  <c r="L3248" i="1" a="1"/>
  <c r="L3248" i="1" s="1"/>
  <c r="K3248" i="1"/>
  <c r="K3247" i="1"/>
  <c r="L3247" i="1" s="1" a="1"/>
  <c r="L3247" i="1" s="1"/>
  <c r="L3246" i="1" a="1"/>
  <c r="L3246" i="1" s="1"/>
  <c r="K3246" i="1"/>
  <c r="K3245" i="1"/>
  <c r="L3245" i="1" s="1" a="1"/>
  <c r="L3245" i="1" s="1"/>
  <c r="L3244" i="1" a="1"/>
  <c r="L3244" i="1" s="1"/>
  <c r="K3244" i="1"/>
  <c r="K3243" i="1"/>
  <c r="L3243" i="1" s="1" a="1"/>
  <c r="L3243" i="1" s="1"/>
  <c r="L3242" i="1" a="1"/>
  <c r="L3242" i="1" s="1"/>
  <c r="K3242" i="1"/>
  <c r="K3241" i="1"/>
  <c r="L3241" i="1" s="1" a="1"/>
  <c r="L3241" i="1" s="1"/>
  <c r="K3240" i="1"/>
  <c r="L3240" i="1" s="1" a="1"/>
  <c r="L3240" i="1" s="1"/>
  <c r="K3239" i="1"/>
  <c r="L3239" i="1" s="1" a="1"/>
  <c r="L3239" i="1" s="1"/>
  <c r="L3238" i="1" a="1"/>
  <c r="L3238" i="1" s="1"/>
  <c r="K3238" i="1"/>
  <c r="L3237" i="1"/>
  <c r="K3237" i="1"/>
  <c r="L3237" i="1" s="1" a="1"/>
  <c r="K3236" i="1"/>
  <c r="L3236" i="1" s="1" a="1"/>
  <c r="L3236" i="1" s="1"/>
  <c r="K3235" i="1"/>
  <c r="L3235" i="1" s="1" a="1"/>
  <c r="L3235" i="1" s="1"/>
  <c r="L3234" i="1" a="1"/>
  <c r="L3234" i="1" s="1"/>
  <c r="K3234" i="1"/>
  <c r="L3233" i="1"/>
  <c r="K3233" i="1"/>
  <c r="L3233" i="1" s="1" a="1"/>
  <c r="L3232" i="1" a="1"/>
  <c r="L3232" i="1" s="1"/>
  <c r="K3232" i="1"/>
  <c r="K3231" i="1"/>
  <c r="L3231" i="1" s="1" a="1"/>
  <c r="L3231" i="1" s="1"/>
  <c r="L3230" i="1" a="1"/>
  <c r="L3230" i="1" s="1"/>
  <c r="K3230" i="1"/>
  <c r="K3229" i="1"/>
  <c r="L3229" i="1" s="1" a="1"/>
  <c r="L3229" i="1" s="1"/>
  <c r="K3228" i="1"/>
  <c r="L3228" i="1" s="1" a="1"/>
  <c r="L3228" i="1" s="1"/>
  <c r="K3227" i="1"/>
  <c r="L3227" i="1" s="1" a="1"/>
  <c r="L3227" i="1" s="1"/>
  <c r="L3226" i="1" a="1"/>
  <c r="L3226" i="1" s="1"/>
  <c r="K3226" i="1"/>
  <c r="K3225" i="1"/>
  <c r="L3225" i="1" s="1" a="1"/>
  <c r="L3225" i="1" s="1"/>
  <c r="K3224" i="1"/>
  <c r="L3224" i="1" s="1" a="1"/>
  <c r="L3224" i="1" s="1"/>
  <c r="K3223" i="1"/>
  <c r="L3223" i="1" s="1" a="1"/>
  <c r="L3223" i="1" s="1"/>
  <c r="L3222" i="1" a="1"/>
  <c r="L3222" i="1" s="1"/>
  <c r="K3222" i="1"/>
  <c r="L3221" i="1"/>
  <c r="K3221" i="1"/>
  <c r="L3221" i="1" s="1" a="1"/>
  <c r="K3220" i="1"/>
  <c r="L3220" i="1" s="1" a="1"/>
  <c r="L3220" i="1" s="1"/>
  <c r="K3219" i="1"/>
  <c r="L3219" i="1" s="1" a="1"/>
  <c r="L3219" i="1" s="1"/>
  <c r="L3218" i="1" a="1"/>
  <c r="L3218" i="1" s="1"/>
  <c r="K3218" i="1"/>
  <c r="K3217" i="1"/>
  <c r="L3217" i="1" s="1" a="1"/>
  <c r="L3217" i="1" s="1"/>
  <c r="L3216" i="1" a="1"/>
  <c r="L3216" i="1" s="1"/>
  <c r="K3216" i="1"/>
  <c r="K3215" i="1"/>
  <c r="L3215" i="1" s="1" a="1"/>
  <c r="L3215" i="1" s="1"/>
  <c r="L3214" i="1" a="1"/>
  <c r="L3214" i="1" s="1"/>
  <c r="K3214" i="1"/>
  <c r="K3213" i="1"/>
  <c r="L3213" i="1" s="1" a="1"/>
  <c r="L3213" i="1" s="1"/>
  <c r="K3212" i="1"/>
  <c r="L3212" i="1" s="1" a="1"/>
  <c r="L3212" i="1" s="1"/>
  <c r="K3211" i="1"/>
  <c r="L3211" i="1" s="1" a="1"/>
  <c r="L3211" i="1" s="1"/>
  <c r="L3210" i="1" a="1"/>
  <c r="L3210" i="1" s="1"/>
  <c r="K3210" i="1"/>
  <c r="K3209" i="1"/>
  <c r="L3209" i="1" s="1" a="1"/>
  <c r="L3209" i="1" s="1"/>
  <c r="K3208" i="1"/>
  <c r="L3208" i="1" s="1" a="1"/>
  <c r="L3208" i="1" s="1"/>
  <c r="K3207" i="1"/>
  <c r="L3207" i="1" s="1" a="1"/>
  <c r="L3207" i="1" s="1"/>
  <c r="L3206" i="1" a="1"/>
  <c r="L3206" i="1" s="1"/>
  <c r="K3206" i="1"/>
  <c r="L3205" i="1"/>
  <c r="K3205" i="1"/>
  <c r="L3205" i="1" s="1" a="1"/>
  <c r="K3204" i="1"/>
  <c r="L3204" i="1" s="1" a="1"/>
  <c r="L3204" i="1" s="1"/>
  <c r="K3203" i="1"/>
  <c r="L3203" i="1" s="1" a="1"/>
  <c r="L3203" i="1" s="1"/>
  <c r="L3202" i="1" a="1"/>
  <c r="L3202" i="1" s="1"/>
  <c r="K3202" i="1"/>
  <c r="K3201" i="1"/>
  <c r="L3201" i="1" s="1" a="1"/>
  <c r="L3201" i="1" s="1"/>
  <c r="L3200" i="1" a="1"/>
  <c r="L3200" i="1" s="1"/>
  <c r="K3200" i="1"/>
  <c r="K3199" i="1"/>
  <c r="L3199" i="1" s="1" a="1"/>
  <c r="L3199" i="1" s="1"/>
  <c r="L3198" i="1" a="1"/>
  <c r="L3198" i="1" s="1"/>
  <c r="K3198" i="1"/>
  <c r="K3197" i="1"/>
  <c r="L3197" i="1" s="1" a="1"/>
  <c r="L3197" i="1" s="1"/>
  <c r="K3196" i="1"/>
  <c r="L3196" i="1" s="1" a="1"/>
  <c r="L3196" i="1" s="1"/>
  <c r="K3195" i="1"/>
  <c r="L3195" i="1" s="1" a="1"/>
  <c r="L3195" i="1" s="1"/>
  <c r="L3194" i="1" a="1"/>
  <c r="L3194" i="1" s="1"/>
  <c r="K3194" i="1"/>
  <c r="K3193" i="1"/>
  <c r="L3193" i="1" s="1" a="1"/>
  <c r="L3193" i="1" s="1"/>
  <c r="K3192" i="1"/>
  <c r="L3192" i="1" s="1" a="1"/>
  <c r="L3192" i="1" s="1"/>
  <c r="K3191" i="1"/>
  <c r="L3191" i="1" s="1" a="1"/>
  <c r="L3191" i="1" s="1"/>
  <c r="L3190" i="1" a="1"/>
  <c r="L3190" i="1" s="1"/>
  <c r="K3190" i="1"/>
  <c r="L3189" i="1"/>
  <c r="K3189" i="1"/>
  <c r="L3189" i="1" s="1" a="1"/>
  <c r="K3188" i="1"/>
  <c r="L3188" i="1" s="1" a="1"/>
  <c r="L3188" i="1" s="1"/>
  <c r="K3187" i="1"/>
  <c r="L3187" i="1" s="1" a="1"/>
  <c r="L3187" i="1" s="1"/>
  <c r="K3186" i="1"/>
  <c r="L3186" i="1" s="1" a="1"/>
  <c r="L3186" i="1" s="1"/>
  <c r="K3185" i="1"/>
  <c r="L3185" i="1" s="1" a="1"/>
  <c r="L3185" i="1" s="1"/>
  <c r="L3184" i="1" a="1"/>
  <c r="L3184" i="1" s="1"/>
  <c r="K3184" i="1"/>
  <c r="K3183" i="1"/>
  <c r="L3183" i="1" s="1" a="1"/>
  <c r="L3183" i="1" s="1"/>
  <c r="L3182" i="1" a="1"/>
  <c r="L3182" i="1" s="1"/>
  <c r="K3182" i="1"/>
  <c r="K3181" i="1"/>
  <c r="L3181" i="1" s="1" a="1"/>
  <c r="L3181" i="1" s="1"/>
  <c r="L3180" i="1" a="1"/>
  <c r="L3180" i="1" s="1"/>
  <c r="K3180" i="1"/>
  <c r="K3179" i="1"/>
  <c r="L3179" i="1" s="1" a="1"/>
  <c r="L3179" i="1" s="1"/>
  <c r="L3178" i="1" a="1"/>
  <c r="L3178" i="1" s="1"/>
  <c r="K3178" i="1"/>
  <c r="K3177" i="1"/>
  <c r="L3177" i="1" s="1" a="1"/>
  <c r="L3177" i="1" s="1"/>
  <c r="K3176" i="1"/>
  <c r="L3176" i="1" s="1" a="1"/>
  <c r="L3176" i="1" s="1"/>
  <c r="K3175" i="1"/>
  <c r="L3175" i="1" s="1" a="1"/>
  <c r="L3175" i="1" s="1"/>
  <c r="L3174" i="1" a="1"/>
  <c r="L3174" i="1" s="1"/>
  <c r="K3174" i="1"/>
  <c r="L3173" i="1"/>
  <c r="K3173" i="1"/>
  <c r="L3173" i="1" s="1" a="1"/>
  <c r="K3172" i="1"/>
  <c r="L3172" i="1" s="1" a="1"/>
  <c r="L3172" i="1" s="1"/>
  <c r="K3171" i="1"/>
  <c r="L3171" i="1" s="1" a="1"/>
  <c r="L3171" i="1" s="1"/>
  <c r="K3170" i="1"/>
  <c r="L3170" i="1" s="1" a="1"/>
  <c r="L3170" i="1" s="1"/>
  <c r="K3169" i="1"/>
  <c r="L3169" i="1" s="1" a="1"/>
  <c r="L3169" i="1" s="1"/>
  <c r="L3168" i="1" a="1"/>
  <c r="L3168" i="1" s="1"/>
  <c r="K3168" i="1"/>
  <c r="K3167" i="1"/>
  <c r="L3167" i="1" s="1" a="1"/>
  <c r="L3167" i="1" s="1"/>
  <c r="L3166" i="1" a="1"/>
  <c r="L3166" i="1" s="1"/>
  <c r="K3166" i="1"/>
  <c r="K3165" i="1"/>
  <c r="L3165" i="1" s="1" a="1"/>
  <c r="L3165" i="1" s="1"/>
  <c r="L3164" i="1" a="1"/>
  <c r="L3164" i="1" s="1"/>
  <c r="K3164" i="1"/>
  <c r="K3163" i="1"/>
  <c r="L3163" i="1" s="1" a="1"/>
  <c r="L3163" i="1" s="1"/>
  <c r="K3162" i="1"/>
  <c r="L3162" i="1" s="1" a="1"/>
  <c r="L3162" i="1" s="1"/>
  <c r="L3161" i="1"/>
  <c r="K3161" i="1"/>
  <c r="L3161" i="1" s="1" a="1"/>
  <c r="K3160" i="1"/>
  <c r="L3160" i="1" s="1" a="1"/>
  <c r="L3160" i="1" s="1"/>
  <c r="K3159" i="1"/>
  <c r="L3159" i="1" s="1" a="1"/>
  <c r="L3159" i="1" s="1"/>
  <c r="L3158" i="1" a="1"/>
  <c r="L3158" i="1" s="1"/>
  <c r="K3158" i="1"/>
  <c r="K3157" i="1"/>
  <c r="L3157" i="1" s="1" a="1"/>
  <c r="L3157" i="1" s="1"/>
  <c r="K3156" i="1"/>
  <c r="L3156" i="1" s="1" a="1"/>
  <c r="L3156" i="1" s="1"/>
  <c r="K3155" i="1"/>
  <c r="L3155" i="1" s="1" a="1"/>
  <c r="L3155" i="1" s="1"/>
  <c r="L3154" i="1" a="1"/>
  <c r="L3154" i="1" s="1"/>
  <c r="K3154" i="1"/>
  <c r="L3153" i="1"/>
  <c r="K3153" i="1"/>
  <c r="L3153" i="1" s="1" a="1"/>
  <c r="K3152" i="1"/>
  <c r="L3152" i="1" s="1" a="1"/>
  <c r="L3152" i="1" s="1"/>
  <c r="K3151" i="1"/>
  <c r="L3151" i="1" s="1" a="1"/>
  <c r="L3151" i="1" s="1"/>
  <c r="K3150" i="1"/>
  <c r="L3150" i="1" s="1" a="1"/>
  <c r="L3150" i="1" s="1"/>
  <c r="L3149" i="1"/>
  <c r="K3149" i="1"/>
  <c r="L3149" i="1" s="1" a="1"/>
  <c r="L3148" i="1"/>
  <c r="L3148" i="1" a="1"/>
  <c r="K3148" i="1"/>
  <c r="K3147" i="1"/>
  <c r="L3147" i="1" s="1" a="1"/>
  <c r="L3147" i="1" s="1"/>
  <c r="K3146" i="1"/>
  <c r="L3146" i="1" s="1" a="1"/>
  <c r="L3146" i="1" s="1"/>
  <c r="L3145" i="1"/>
  <c r="K3145" i="1"/>
  <c r="L3145" i="1" s="1" a="1"/>
  <c r="L3144" i="1"/>
  <c r="K3144" i="1"/>
  <c r="L3144" i="1" s="1" a="1"/>
  <c r="L3143" i="1"/>
  <c r="K3143" i="1"/>
  <c r="L3143" i="1" s="1" a="1"/>
  <c r="L3142" i="1" a="1"/>
  <c r="L3142" i="1" s="1"/>
  <c r="K3142" i="1"/>
  <c r="K3141" i="1"/>
  <c r="L3141" i="1" s="1" a="1"/>
  <c r="L3141" i="1" s="1"/>
  <c r="K3140" i="1"/>
  <c r="L3140" i="1" s="1" a="1"/>
  <c r="L3140" i="1" s="1"/>
  <c r="K3139" i="1"/>
  <c r="L3139" i="1" s="1" a="1"/>
  <c r="L3139" i="1" s="1"/>
  <c r="K3138" i="1"/>
  <c r="L3138" i="1" s="1" a="1"/>
  <c r="L3138" i="1" s="1"/>
  <c r="L3137" i="1"/>
  <c r="K3137" i="1"/>
  <c r="L3137" i="1" s="1" a="1"/>
  <c r="K3136" i="1"/>
  <c r="L3136" i="1" s="1" a="1"/>
  <c r="L3136" i="1" s="1"/>
  <c r="K3135" i="1"/>
  <c r="L3135" i="1" s="1" a="1"/>
  <c r="L3135" i="1" s="1"/>
  <c r="L3134" i="1" a="1"/>
  <c r="L3134" i="1" s="1"/>
  <c r="K3134" i="1"/>
  <c r="K3133" i="1"/>
  <c r="L3133" i="1" s="1" a="1"/>
  <c r="L3133" i="1" s="1"/>
  <c r="L3132" i="1"/>
  <c r="K3132" i="1"/>
  <c r="L3132" i="1" s="1" a="1"/>
  <c r="L3131" i="1"/>
  <c r="K3131" i="1"/>
  <c r="L3131" i="1" s="1" a="1"/>
  <c r="L3130" i="1"/>
  <c r="L3130" i="1" a="1"/>
  <c r="K3130" i="1"/>
  <c r="K3129" i="1"/>
  <c r="L3129" i="1" s="1" a="1"/>
  <c r="L3129" i="1" s="1"/>
  <c r="K3128" i="1"/>
  <c r="L3128" i="1" s="1" a="1"/>
  <c r="L3128" i="1" s="1"/>
  <c r="K3127" i="1"/>
  <c r="L3127" i="1" s="1" a="1"/>
  <c r="L3127" i="1" s="1"/>
  <c r="L3126" i="1" a="1"/>
  <c r="L3126" i="1" s="1"/>
  <c r="K3126" i="1"/>
  <c r="L3125" i="1"/>
  <c r="K3125" i="1"/>
  <c r="L3125" i="1" s="1" a="1"/>
  <c r="L3124" i="1"/>
  <c r="L3124" i="1" a="1"/>
  <c r="K3124" i="1"/>
  <c r="K3123" i="1"/>
  <c r="L3123" i="1" s="1" a="1"/>
  <c r="L3123" i="1" s="1"/>
  <c r="K3122" i="1"/>
  <c r="L3122" i="1" s="1" a="1"/>
  <c r="L3122" i="1" s="1"/>
  <c r="L3121" i="1"/>
  <c r="K3121" i="1"/>
  <c r="L3121" i="1" s="1" a="1"/>
  <c r="K3120" i="1"/>
  <c r="L3120" i="1" s="1" a="1"/>
  <c r="L3120" i="1" s="1"/>
  <c r="L3119" i="1"/>
  <c r="K3119" i="1"/>
  <c r="L3119" i="1" s="1" a="1"/>
  <c r="L3118" i="1" a="1"/>
  <c r="L3118" i="1" s="1"/>
  <c r="K3118" i="1"/>
  <c r="K3117" i="1"/>
  <c r="L3117" i="1" s="1" a="1"/>
  <c r="L3117" i="1" s="1"/>
  <c r="K3116" i="1"/>
  <c r="L3116" i="1" s="1" a="1"/>
  <c r="L3116" i="1" s="1"/>
  <c r="K3115" i="1"/>
  <c r="L3115" i="1" s="1" a="1"/>
  <c r="L3115" i="1" s="1"/>
  <c r="K3114" i="1"/>
  <c r="L3114" i="1" s="1" a="1"/>
  <c r="L3114" i="1" s="1"/>
  <c r="L3113" i="1"/>
  <c r="K3113" i="1"/>
  <c r="L3113" i="1" s="1" a="1"/>
  <c r="L3112" i="1" a="1"/>
  <c r="L3112" i="1" s="1"/>
  <c r="K3112" i="1"/>
  <c r="L3111" i="1"/>
  <c r="K3111" i="1"/>
  <c r="L3111" i="1" s="1" a="1"/>
  <c r="K3110" i="1"/>
  <c r="L3110" i="1" s="1" a="1"/>
  <c r="L3110" i="1" s="1"/>
  <c r="K3109" i="1"/>
  <c r="L3109" i="1" s="1" a="1"/>
  <c r="L3109" i="1" s="1"/>
  <c r="L3108" i="1"/>
  <c r="K3108" i="1"/>
  <c r="L3108" i="1" s="1" a="1"/>
  <c r="K3107" i="1"/>
  <c r="L3107" i="1" s="1" a="1"/>
  <c r="L3107" i="1" s="1"/>
  <c r="L3106" i="1" a="1"/>
  <c r="L3106" i="1" s="1"/>
  <c r="K3106" i="1"/>
  <c r="L3105" i="1"/>
  <c r="K3105" i="1"/>
  <c r="L3105" i="1" s="1" a="1"/>
  <c r="K3104" i="1"/>
  <c r="L3104" i="1" s="1" a="1"/>
  <c r="L3104" i="1" s="1"/>
  <c r="K3103" i="1"/>
  <c r="L3103" i="1" s="1" a="1"/>
  <c r="L3103" i="1" s="1"/>
  <c r="L3102" i="1" a="1"/>
  <c r="L3102" i="1" s="1"/>
  <c r="K3102" i="1"/>
  <c r="L3101" i="1"/>
  <c r="K3101" i="1"/>
  <c r="L3101" i="1" s="1" a="1"/>
  <c r="L3100" i="1" a="1"/>
  <c r="L3100" i="1" s="1"/>
  <c r="K3100" i="1"/>
  <c r="K3099" i="1"/>
  <c r="L3099" i="1" s="1" a="1"/>
  <c r="L3099" i="1" s="1"/>
  <c r="K3098" i="1"/>
  <c r="L3098" i="1" s="1" a="1"/>
  <c r="L3098" i="1" s="1"/>
  <c r="K3097" i="1"/>
  <c r="L3097" i="1" s="1" a="1"/>
  <c r="L3097" i="1" s="1"/>
  <c r="L3096" i="1"/>
  <c r="K3096" i="1"/>
  <c r="L3096" i="1" s="1" a="1"/>
  <c r="L3095" i="1"/>
  <c r="K3095" i="1"/>
  <c r="L3095" i="1" s="1" a="1"/>
  <c r="L3094" i="1" a="1"/>
  <c r="L3094" i="1" s="1"/>
  <c r="K3094" i="1"/>
  <c r="L3093" i="1" a="1"/>
  <c r="L3093" i="1" s="1"/>
  <c r="K3093" i="1"/>
  <c r="L3092" i="1" a="1"/>
  <c r="L3092" i="1" s="1"/>
  <c r="K3092" i="1"/>
  <c r="L3091" i="1"/>
  <c r="L3091" i="1" a="1"/>
  <c r="K3091" i="1"/>
  <c r="L3090" i="1" a="1"/>
  <c r="L3090" i="1" s="1"/>
  <c r="K3090" i="1"/>
  <c r="K3089" i="1"/>
  <c r="L3089" i="1" s="1" a="1"/>
  <c r="L3089" i="1" s="1"/>
  <c r="L3088" i="1" a="1"/>
  <c r="L3088" i="1" s="1"/>
  <c r="K3088" i="1"/>
  <c r="L3087" i="1" a="1"/>
  <c r="L3087" i="1" s="1"/>
  <c r="K3087" i="1"/>
  <c r="L3086" i="1" a="1"/>
  <c r="L3086" i="1" s="1"/>
  <c r="K3086" i="1"/>
  <c r="L3085" i="1" a="1"/>
  <c r="L3085" i="1" s="1"/>
  <c r="K3085" i="1"/>
  <c r="L3084" i="1"/>
  <c r="L3084" i="1" a="1"/>
  <c r="K3084" i="1"/>
  <c r="L3083" i="1" a="1"/>
  <c r="L3083" i="1" s="1"/>
  <c r="K3083" i="1"/>
  <c r="L3082" i="1" a="1"/>
  <c r="L3082" i="1" s="1"/>
  <c r="K3082" i="1"/>
  <c r="K3081" i="1"/>
  <c r="L3081" i="1" s="1" a="1"/>
  <c r="L3081" i="1" s="1"/>
  <c r="L3080" i="1" a="1"/>
  <c r="L3080" i="1" s="1"/>
  <c r="K3080" i="1"/>
  <c r="L3079" i="1" a="1"/>
  <c r="L3079" i="1" s="1"/>
  <c r="K3079" i="1"/>
  <c r="L3078" i="1" a="1"/>
  <c r="L3078" i="1" s="1"/>
  <c r="K3078" i="1"/>
  <c r="L3077" i="1"/>
  <c r="L3077" i="1" a="1"/>
  <c r="K3077" i="1"/>
  <c r="L3076" i="1"/>
  <c r="L3076" i="1" a="1"/>
  <c r="K3076" i="1"/>
  <c r="L3075" i="1" a="1"/>
  <c r="L3075" i="1" s="1"/>
  <c r="K3075" i="1"/>
  <c r="L3074" i="1" a="1"/>
  <c r="L3074" i="1" s="1"/>
  <c r="K3074" i="1"/>
  <c r="K3073" i="1"/>
  <c r="L3073" i="1" s="1" a="1"/>
  <c r="L3073" i="1" s="1"/>
  <c r="L3072" i="1" a="1"/>
  <c r="L3072" i="1" s="1"/>
  <c r="K3072" i="1"/>
  <c r="L3071" i="1"/>
  <c r="L3071" i="1" a="1"/>
  <c r="K3071" i="1"/>
  <c r="L3070" i="1" a="1"/>
  <c r="L3070" i="1" s="1"/>
  <c r="K3070" i="1"/>
  <c r="K3069" i="1"/>
  <c r="L3069" i="1" s="1" a="1"/>
  <c r="L3069" i="1" s="1"/>
  <c r="L3068" i="1"/>
  <c r="L3068" i="1" a="1"/>
  <c r="K3068" i="1"/>
  <c r="L3067" i="1" a="1"/>
  <c r="L3067" i="1" s="1"/>
  <c r="K3067" i="1"/>
  <c r="L3066" i="1" a="1"/>
  <c r="L3066" i="1" s="1"/>
  <c r="K3066" i="1"/>
  <c r="L3065" i="1" a="1"/>
  <c r="L3065" i="1" s="1"/>
  <c r="K3065" i="1"/>
  <c r="L3064" i="1"/>
  <c r="L3064" i="1" a="1"/>
  <c r="K3064" i="1"/>
  <c r="L3063" i="1"/>
  <c r="L3063" i="1" a="1"/>
  <c r="K3063" i="1"/>
  <c r="L3062" i="1" a="1"/>
  <c r="L3062" i="1" s="1"/>
  <c r="K3062" i="1"/>
  <c r="K3061" i="1"/>
  <c r="L3061" i="1" s="1" a="1"/>
  <c r="L3061" i="1" s="1"/>
  <c r="L3060" i="1" a="1"/>
  <c r="L3060" i="1" s="1"/>
  <c r="K3060" i="1"/>
  <c r="L3059" i="1" a="1"/>
  <c r="L3059" i="1" s="1"/>
  <c r="K3059" i="1"/>
  <c r="L3058" i="1" a="1"/>
  <c r="L3058" i="1" s="1"/>
  <c r="K3058" i="1"/>
  <c r="K3057" i="1"/>
  <c r="L3057" i="1" s="1" a="1"/>
  <c r="L3057" i="1" s="1"/>
  <c r="L3056" i="1"/>
  <c r="L3056" i="1" a="1"/>
  <c r="K3056" i="1"/>
  <c r="L3055" i="1"/>
  <c r="L3055" i="1" a="1"/>
  <c r="K3055" i="1"/>
  <c r="L3054" i="1" a="1"/>
  <c r="L3054" i="1" s="1"/>
  <c r="K3054" i="1"/>
  <c r="K3053" i="1"/>
  <c r="L3053" i="1" s="1" a="1"/>
  <c r="L3053" i="1" s="1"/>
  <c r="L3052" i="1" a="1"/>
  <c r="L3052" i="1" s="1"/>
  <c r="K3052" i="1"/>
  <c r="L3051" i="1" a="1"/>
  <c r="L3051" i="1" s="1"/>
  <c r="K3051" i="1"/>
  <c r="L3050" i="1" a="1"/>
  <c r="L3050" i="1" s="1"/>
  <c r="K3050" i="1"/>
  <c r="K3049" i="1"/>
  <c r="L3049" i="1" s="1" a="1"/>
  <c r="L3049" i="1" s="1"/>
  <c r="L3048" i="1" a="1"/>
  <c r="L3048" i="1" s="1"/>
  <c r="K3048" i="1"/>
  <c r="L3047" i="1" a="1"/>
  <c r="L3047" i="1" s="1"/>
  <c r="K3047" i="1"/>
  <c r="L3046" i="1" a="1"/>
  <c r="L3046" i="1" s="1"/>
  <c r="K3046" i="1"/>
  <c r="L3045" i="1" a="1"/>
  <c r="L3045" i="1" s="1"/>
  <c r="K3045" i="1"/>
  <c r="L3044" i="1" a="1"/>
  <c r="L3044" i="1" s="1"/>
  <c r="K3044" i="1"/>
  <c r="L3043" i="1"/>
  <c r="L3043" i="1" a="1"/>
  <c r="K3043" i="1"/>
  <c r="L3042" i="1" a="1"/>
  <c r="L3042" i="1" s="1"/>
  <c r="K3042" i="1"/>
  <c r="K3041" i="1"/>
  <c r="L3041" i="1" s="1" a="1"/>
  <c r="L3041" i="1" s="1"/>
  <c r="L3040" i="1" a="1"/>
  <c r="L3040" i="1" s="1"/>
  <c r="K3040" i="1"/>
  <c r="L3039" i="1" a="1"/>
  <c r="L3039" i="1" s="1"/>
  <c r="K3039" i="1"/>
  <c r="L3038" i="1" a="1"/>
  <c r="L3038" i="1" s="1"/>
  <c r="K3038" i="1"/>
  <c r="L3037" i="1" a="1"/>
  <c r="L3037" i="1" s="1"/>
  <c r="K3037" i="1"/>
  <c r="L3036" i="1"/>
  <c r="L3036" i="1" a="1"/>
  <c r="K3036" i="1"/>
  <c r="L3035" i="1" a="1"/>
  <c r="L3035" i="1" s="1"/>
  <c r="K3035" i="1"/>
  <c r="L3034" i="1" a="1"/>
  <c r="L3034" i="1" s="1"/>
  <c r="K3034" i="1"/>
  <c r="L3033" i="1"/>
  <c r="K3033" i="1"/>
  <c r="L3033" i="1" s="1" a="1"/>
  <c r="L3032" i="1" a="1"/>
  <c r="L3032" i="1" s="1"/>
  <c r="K3032" i="1"/>
  <c r="L3031" i="1" a="1"/>
  <c r="L3031" i="1" s="1"/>
  <c r="K3031" i="1"/>
  <c r="L3030" i="1" a="1"/>
  <c r="L3030" i="1" s="1"/>
  <c r="K3030" i="1"/>
  <c r="L3029" i="1"/>
  <c r="L3029" i="1" a="1"/>
  <c r="K3029" i="1"/>
  <c r="L3028" i="1"/>
  <c r="L3028" i="1" a="1"/>
  <c r="K3028" i="1"/>
  <c r="L3027" i="1" a="1"/>
  <c r="L3027" i="1" s="1"/>
  <c r="K3027" i="1"/>
  <c r="L3026" i="1" a="1"/>
  <c r="L3026" i="1" s="1"/>
  <c r="K3026" i="1"/>
  <c r="K3025" i="1"/>
  <c r="L3025" i="1" s="1" a="1"/>
  <c r="L3025" i="1" s="1"/>
  <c r="L3024" i="1" a="1"/>
  <c r="L3024" i="1" s="1"/>
  <c r="K3024" i="1"/>
  <c r="L3023" i="1"/>
  <c r="L3023" i="1" a="1"/>
  <c r="K3023" i="1"/>
  <c r="L3022" i="1" a="1"/>
  <c r="L3022" i="1" s="1"/>
  <c r="K3022" i="1"/>
  <c r="K3021" i="1"/>
  <c r="L3021" i="1" s="1" a="1"/>
  <c r="L3021" i="1" s="1"/>
  <c r="L3020" i="1"/>
  <c r="L3020" i="1" a="1"/>
  <c r="K3020" i="1"/>
  <c r="L3019" i="1" a="1"/>
  <c r="L3019" i="1" s="1"/>
  <c r="K3019" i="1"/>
  <c r="L3018" i="1" a="1"/>
  <c r="L3018" i="1" s="1"/>
  <c r="K3018" i="1"/>
  <c r="L3017" i="1" a="1"/>
  <c r="L3017" i="1" s="1"/>
  <c r="K3017" i="1"/>
  <c r="L3016" i="1" a="1"/>
  <c r="L3016" i="1" s="1"/>
  <c r="K3016" i="1"/>
  <c r="L3015" i="1"/>
  <c r="L3015" i="1" a="1"/>
  <c r="K3015" i="1"/>
  <c r="L3014" i="1" a="1"/>
  <c r="L3014" i="1" s="1"/>
  <c r="K3014" i="1"/>
  <c r="K3013" i="1"/>
  <c r="L3013" i="1" s="1" a="1"/>
  <c r="L3013" i="1" s="1"/>
  <c r="L3012" i="1" a="1"/>
  <c r="L3012" i="1" s="1"/>
  <c r="K3012" i="1"/>
  <c r="L3011" i="1" a="1"/>
  <c r="L3011" i="1" s="1"/>
  <c r="K3011" i="1"/>
  <c r="L3010" i="1" a="1"/>
  <c r="L3010" i="1" s="1"/>
  <c r="K3010" i="1"/>
  <c r="K3009" i="1"/>
  <c r="L3009" i="1" s="1" a="1"/>
  <c r="L3009" i="1" s="1"/>
  <c r="L3008" i="1"/>
  <c r="L3008" i="1" a="1"/>
  <c r="K3008" i="1"/>
  <c r="L3007" i="1"/>
  <c r="L3007" i="1" a="1"/>
  <c r="K3007" i="1"/>
  <c r="L3006" i="1" a="1"/>
  <c r="L3006" i="1" s="1"/>
  <c r="K3006" i="1"/>
  <c r="K3005" i="1"/>
  <c r="L3005" i="1" s="1" a="1"/>
  <c r="L3005" i="1" s="1"/>
  <c r="L3004" i="1" a="1"/>
  <c r="L3004" i="1" s="1"/>
  <c r="K3004" i="1"/>
  <c r="L3003" i="1"/>
  <c r="L3003" i="1" a="1"/>
  <c r="K3003" i="1"/>
  <c r="L3002" i="1" a="1"/>
  <c r="L3002" i="1" s="1"/>
  <c r="K3002" i="1"/>
  <c r="K3001" i="1"/>
  <c r="L3001" i="1" s="1" a="1"/>
  <c r="L3001" i="1" s="1"/>
  <c r="L3000" i="1" a="1"/>
  <c r="L3000" i="1" s="1"/>
  <c r="K3000" i="1"/>
  <c r="L2999" i="1" a="1"/>
  <c r="L2999" i="1" s="1"/>
  <c r="K2999" i="1"/>
  <c r="L2998" i="1" a="1"/>
  <c r="L2998" i="1" s="1"/>
  <c r="K2998" i="1"/>
  <c r="L2997" i="1" a="1"/>
  <c r="L2997" i="1" s="1"/>
  <c r="K2997" i="1"/>
  <c r="L2996" i="1" a="1"/>
  <c r="L2996" i="1" s="1"/>
  <c r="K2996" i="1"/>
  <c r="L2995" i="1"/>
  <c r="L2995" i="1" a="1"/>
  <c r="K2995" i="1"/>
  <c r="L2994" i="1" a="1"/>
  <c r="L2994" i="1" s="1"/>
  <c r="K2994" i="1"/>
  <c r="K2993" i="1"/>
  <c r="L2993" i="1" s="1" a="1"/>
  <c r="L2993" i="1" s="1"/>
  <c r="L2992" i="1" a="1"/>
  <c r="L2992" i="1" s="1"/>
  <c r="K2992" i="1"/>
  <c r="L2991" i="1" a="1"/>
  <c r="L2991" i="1" s="1"/>
  <c r="K2991" i="1"/>
  <c r="L2990" i="1" a="1"/>
  <c r="L2990" i="1" s="1"/>
  <c r="K2990" i="1"/>
  <c r="L2989" i="1" a="1"/>
  <c r="L2989" i="1" s="1"/>
  <c r="K2989" i="1"/>
  <c r="L2988" i="1"/>
  <c r="L2988" i="1" a="1"/>
  <c r="K2988" i="1"/>
  <c r="L2987" i="1" a="1"/>
  <c r="L2987" i="1" s="1"/>
  <c r="K2987" i="1"/>
  <c r="L2986" i="1" a="1"/>
  <c r="L2986" i="1" s="1"/>
  <c r="K2986" i="1"/>
  <c r="K2985" i="1"/>
  <c r="L2985" i="1" s="1" a="1"/>
  <c r="L2985" i="1" s="1"/>
  <c r="L2984" i="1" a="1"/>
  <c r="L2984" i="1" s="1"/>
  <c r="K2984" i="1"/>
  <c r="L2983" i="1" a="1"/>
  <c r="L2983" i="1" s="1"/>
  <c r="K2983" i="1"/>
  <c r="L2982" i="1" a="1"/>
  <c r="L2982" i="1" s="1"/>
  <c r="K2982" i="1"/>
  <c r="L2981" i="1" a="1"/>
  <c r="L2981" i="1" s="1"/>
  <c r="K2981" i="1"/>
  <c r="L2980" i="1"/>
  <c r="L2980" i="1" a="1"/>
  <c r="K2980" i="1"/>
  <c r="L2979" i="1" a="1"/>
  <c r="L2979" i="1" s="1"/>
  <c r="K2979" i="1"/>
  <c r="L2978" i="1" a="1"/>
  <c r="L2978" i="1" s="1"/>
  <c r="K2978" i="1"/>
  <c r="K2977" i="1"/>
  <c r="L2977" i="1" s="1" a="1"/>
  <c r="L2977" i="1" s="1"/>
  <c r="L2976" i="1" a="1"/>
  <c r="L2976" i="1" s="1"/>
  <c r="K2976" i="1"/>
  <c r="L2975" i="1"/>
  <c r="L2975" i="1" a="1"/>
  <c r="K2975" i="1"/>
  <c r="L2974" i="1" a="1"/>
  <c r="L2974" i="1" s="1"/>
  <c r="K2974" i="1"/>
  <c r="K2973" i="1"/>
  <c r="L2973" i="1" s="1" a="1"/>
  <c r="L2973" i="1" s="1"/>
  <c r="L2972" i="1"/>
  <c r="L2972" i="1" a="1"/>
  <c r="K2972" i="1"/>
  <c r="L2971" i="1" a="1"/>
  <c r="L2971" i="1" s="1"/>
  <c r="K2971" i="1"/>
  <c r="L2970" i="1" a="1"/>
  <c r="L2970" i="1" s="1"/>
  <c r="K2970" i="1"/>
  <c r="L2969" i="1" a="1"/>
  <c r="L2969" i="1" s="1"/>
  <c r="K2969" i="1"/>
  <c r="L2968" i="1"/>
  <c r="L2968" i="1" a="1"/>
  <c r="K2968" i="1"/>
  <c r="L2967" i="1"/>
  <c r="L2967" i="1" a="1"/>
  <c r="K2967" i="1"/>
  <c r="L2966" i="1" a="1"/>
  <c r="L2966" i="1" s="1"/>
  <c r="K2966" i="1"/>
  <c r="K2965" i="1"/>
  <c r="L2965" i="1" s="1" a="1"/>
  <c r="L2965" i="1" s="1"/>
  <c r="L2964" i="1" a="1"/>
  <c r="L2964" i="1" s="1"/>
  <c r="K2964" i="1"/>
  <c r="L2963" i="1" a="1"/>
  <c r="L2963" i="1" s="1"/>
  <c r="K2963" i="1"/>
  <c r="L2962" i="1" a="1"/>
  <c r="L2962" i="1" s="1"/>
  <c r="K2962" i="1"/>
  <c r="K2961" i="1"/>
  <c r="L2961" i="1" s="1" a="1"/>
  <c r="L2961" i="1" s="1"/>
  <c r="L2960" i="1"/>
  <c r="L2960" i="1" a="1"/>
  <c r="K2960" i="1"/>
  <c r="L2959" i="1"/>
  <c r="L2959" i="1" a="1"/>
  <c r="K2959" i="1"/>
  <c r="L2958" i="1" a="1"/>
  <c r="L2958" i="1" s="1"/>
  <c r="K2958" i="1"/>
  <c r="K2957" i="1"/>
  <c r="L2957" i="1" s="1" a="1"/>
  <c r="L2957" i="1" s="1"/>
  <c r="L2956" i="1" a="1"/>
  <c r="L2956" i="1" s="1"/>
  <c r="K2956" i="1"/>
  <c r="L2955" i="1"/>
  <c r="L2955" i="1" a="1"/>
  <c r="K2955" i="1"/>
  <c r="L2954" i="1" a="1"/>
  <c r="L2954" i="1" s="1"/>
  <c r="K2954" i="1"/>
  <c r="K2953" i="1"/>
  <c r="L2953" i="1" s="1" a="1"/>
  <c r="L2953" i="1" s="1"/>
  <c r="L2952" i="1" a="1"/>
  <c r="L2952" i="1" s="1"/>
  <c r="K2952" i="1"/>
  <c r="L2951" i="1" a="1"/>
  <c r="L2951" i="1" s="1"/>
  <c r="K2951" i="1"/>
  <c r="L2950" i="1" a="1"/>
  <c r="L2950" i="1" s="1"/>
  <c r="K2950" i="1"/>
  <c r="L2949" i="1" a="1"/>
  <c r="L2949" i="1" s="1"/>
  <c r="K2949" i="1"/>
  <c r="L2948" i="1" a="1"/>
  <c r="L2948" i="1" s="1"/>
  <c r="K2948" i="1"/>
  <c r="L2947" i="1"/>
  <c r="L2947" i="1" a="1"/>
  <c r="K2947" i="1"/>
  <c r="L2946" i="1" a="1"/>
  <c r="L2946" i="1" s="1"/>
  <c r="K2946" i="1"/>
  <c r="K2945" i="1"/>
  <c r="L2945" i="1" s="1" a="1"/>
  <c r="L2945" i="1" s="1"/>
  <c r="L2944" i="1" a="1"/>
  <c r="L2944" i="1" s="1"/>
  <c r="K2944" i="1"/>
  <c r="L2943" i="1" a="1"/>
  <c r="L2943" i="1" s="1"/>
  <c r="K2943" i="1"/>
  <c r="L2942" i="1" a="1"/>
  <c r="L2942" i="1" s="1"/>
  <c r="K2942" i="1"/>
  <c r="L2941" i="1" a="1"/>
  <c r="L2941" i="1" s="1"/>
  <c r="K2941" i="1"/>
  <c r="L2940" i="1"/>
  <c r="L2940" i="1" a="1"/>
  <c r="K2940" i="1"/>
  <c r="L2939" i="1" a="1"/>
  <c r="L2939" i="1" s="1"/>
  <c r="K2939" i="1"/>
  <c r="L2938" i="1" a="1"/>
  <c r="L2938" i="1" s="1"/>
  <c r="K2938" i="1"/>
  <c r="L2937" i="1"/>
  <c r="K2937" i="1"/>
  <c r="L2937" i="1" s="1" a="1"/>
  <c r="L2936" i="1" a="1"/>
  <c r="L2936" i="1" s="1"/>
  <c r="K2936" i="1"/>
  <c r="L2935" i="1" a="1"/>
  <c r="L2935" i="1" s="1"/>
  <c r="K2935" i="1"/>
  <c r="L2934" i="1" a="1"/>
  <c r="L2934" i="1" s="1"/>
  <c r="K2934" i="1"/>
  <c r="L2933" i="1"/>
  <c r="L2933" i="1" a="1"/>
  <c r="K2933" i="1"/>
  <c r="L2932" i="1"/>
  <c r="L2932" i="1" a="1"/>
  <c r="K2932" i="1"/>
  <c r="L2931" i="1" a="1"/>
  <c r="L2931" i="1" s="1"/>
  <c r="K2931" i="1"/>
  <c r="L2930" i="1" a="1"/>
  <c r="L2930" i="1" s="1"/>
  <c r="K2930" i="1"/>
  <c r="L2929" i="1" a="1"/>
  <c r="L2929" i="1" s="1"/>
  <c r="K2929" i="1"/>
  <c r="L2928" i="1" a="1"/>
  <c r="L2928" i="1" s="1"/>
  <c r="K2928" i="1"/>
  <c r="L2927" i="1"/>
  <c r="L2927" i="1" a="1"/>
  <c r="K2927" i="1"/>
  <c r="L2926" i="1" a="1"/>
  <c r="L2926" i="1" s="1"/>
  <c r="K2926" i="1"/>
  <c r="K2925" i="1"/>
  <c r="L2925" i="1" s="1" a="1"/>
  <c r="L2925" i="1" s="1"/>
  <c r="L2924" i="1"/>
  <c r="L2924" i="1" a="1"/>
  <c r="K2924" i="1"/>
  <c r="L2923" i="1" a="1"/>
  <c r="L2923" i="1" s="1"/>
  <c r="K2923" i="1"/>
  <c r="L2922" i="1" a="1"/>
  <c r="L2922" i="1" s="1"/>
  <c r="K2922" i="1"/>
  <c r="L2921" i="1" a="1"/>
  <c r="L2921" i="1" s="1"/>
  <c r="K2921" i="1"/>
  <c r="L2920" i="1" a="1"/>
  <c r="L2920" i="1" s="1"/>
  <c r="K2920" i="1"/>
  <c r="L2919" i="1"/>
  <c r="L2919" i="1" a="1"/>
  <c r="K2919" i="1"/>
  <c r="L2918" i="1" a="1"/>
  <c r="L2918" i="1" s="1"/>
  <c r="K2918" i="1"/>
  <c r="K2917" i="1"/>
  <c r="L2917" i="1" s="1" a="1"/>
  <c r="L2917" i="1" s="1"/>
  <c r="L2916" i="1" a="1"/>
  <c r="L2916" i="1" s="1"/>
  <c r="K2916" i="1"/>
  <c r="L2915" i="1" a="1"/>
  <c r="L2915" i="1" s="1"/>
  <c r="K2915" i="1"/>
  <c r="L2914" i="1" a="1"/>
  <c r="L2914" i="1" s="1"/>
  <c r="K2914" i="1"/>
  <c r="K2913" i="1"/>
  <c r="L2913" i="1" s="1" a="1"/>
  <c r="L2913" i="1" s="1"/>
  <c r="L2912" i="1"/>
  <c r="L2912" i="1" a="1"/>
  <c r="K2912" i="1"/>
  <c r="L2911" i="1"/>
  <c r="L2911" i="1" a="1"/>
  <c r="K2911" i="1"/>
  <c r="L2910" i="1" a="1"/>
  <c r="L2910" i="1" s="1"/>
  <c r="K2910" i="1"/>
  <c r="L2909" i="1" a="1"/>
  <c r="L2909" i="1" s="1"/>
  <c r="K2909" i="1"/>
  <c r="L2908" i="1" a="1"/>
  <c r="L2908" i="1" s="1"/>
  <c r="K2908" i="1"/>
  <c r="L2907" i="1"/>
  <c r="L2907" i="1" a="1"/>
  <c r="K2907" i="1"/>
  <c r="L2906" i="1" a="1"/>
  <c r="L2906" i="1" s="1"/>
  <c r="K2906" i="1"/>
  <c r="K2905" i="1"/>
  <c r="L2905" i="1" s="1" a="1"/>
  <c r="L2905" i="1" s="1"/>
  <c r="L2904" i="1" a="1"/>
  <c r="L2904" i="1" s="1"/>
  <c r="K2904" i="1"/>
  <c r="L2903" i="1" a="1"/>
  <c r="L2903" i="1" s="1"/>
  <c r="K2903" i="1"/>
  <c r="L2902" i="1" a="1"/>
  <c r="L2902" i="1" s="1"/>
  <c r="K2902" i="1"/>
  <c r="L2901" i="1" a="1"/>
  <c r="L2901" i="1" s="1"/>
  <c r="K2901" i="1"/>
  <c r="L2900" i="1"/>
  <c r="L2900" i="1" a="1"/>
  <c r="K2900" i="1"/>
  <c r="L2899" i="1"/>
  <c r="L2899" i="1" a="1"/>
  <c r="K2899" i="1"/>
  <c r="L2898" i="1" a="1"/>
  <c r="L2898" i="1" s="1"/>
  <c r="K2898" i="1"/>
  <c r="K2897" i="1"/>
  <c r="L2897" i="1" s="1" a="1"/>
  <c r="L2897" i="1" s="1"/>
  <c r="L2896" i="1" a="1"/>
  <c r="L2896" i="1" s="1"/>
  <c r="K2896" i="1"/>
  <c r="L2895" i="1" a="1"/>
  <c r="L2895" i="1" s="1"/>
  <c r="K2895" i="1"/>
  <c r="L2894" i="1" a="1"/>
  <c r="L2894" i="1" s="1"/>
  <c r="K2894" i="1"/>
  <c r="L2893" i="1" a="1"/>
  <c r="L2893" i="1" s="1"/>
  <c r="K2893" i="1"/>
  <c r="L2892" i="1"/>
  <c r="L2892" i="1" a="1"/>
  <c r="K2892" i="1"/>
  <c r="L2891" i="1" a="1"/>
  <c r="L2891" i="1" s="1"/>
  <c r="K2891" i="1"/>
  <c r="L2890" i="1" a="1"/>
  <c r="L2890" i="1" s="1"/>
  <c r="K2890" i="1"/>
  <c r="K2889" i="1"/>
  <c r="L2889" i="1" s="1" a="1"/>
  <c r="L2889" i="1" s="1"/>
  <c r="L2888" i="1" a="1"/>
  <c r="L2888" i="1" s="1"/>
  <c r="K2888" i="1"/>
  <c r="L2887" i="1"/>
  <c r="L2887" i="1" a="1"/>
  <c r="K2887" i="1"/>
  <c r="L2886" i="1" a="1"/>
  <c r="L2886" i="1" s="1"/>
  <c r="K2886" i="1"/>
  <c r="L2885" i="1"/>
  <c r="L2885" i="1" a="1"/>
  <c r="K2885" i="1"/>
  <c r="L2884" i="1"/>
  <c r="L2884" i="1" a="1"/>
  <c r="K2884" i="1"/>
  <c r="L2883" i="1" a="1"/>
  <c r="L2883" i="1" s="1"/>
  <c r="K2883" i="1"/>
  <c r="L2882" i="1" a="1"/>
  <c r="L2882" i="1" s="1"/>
  <c r="K2882" i="1"/>
  <c r="L2881" i="1" a="1"/>
  <c r="L2881" i="1" s="1"/>
  <c r="K2881" i="1"/>
  <c r="L2880" i="1" a="1"/>
  <c r="L2880" i="1" s="1"/>
  <c r="K2880" i="1"/>
  <c r="L2879" i="1"/>
  <c r="L2879" i="1" a="1"/>
  <c r="K2879" i="1"/>
  <c r="L2878" i="1" a="1"/>
  <c r="L2878" i="1" s="1"/>
  <c r="K2878" i="1"/>
  <c r="L2877" i="1"/>
  <c r="K2877" i="1"/>
  <c r="L2877" i="1" s="1" a="1"/>
  <c r="L2876" i="1"/>
  <c r="L2876" i="1" a="1"/>
  <c r="K2876" i="1"/>
  <c r="L2875" i="1" a="1"/>
  <c r="L2875" i="1" s="1"/>
  <c r="K2875" i="1"/>
  <c r="L2874" i="1" a="1"/>
  <c r="L2874" i="1" s="1"/>
  <c r="K2874" i="1"/>
  <c r="L2873" i="1" a="1"/>
  <c r="L2873" i="1" s="1"/>
  <c r="K2873" i="1"/>
  <c r="L2872" i="1"/>
  <c r="L2872" i="1" a="1"/>
  <c r="K2872" i="1"/>
  <c r="L2871" i="1"/>
  <c r="L2871" i="1" a="1"/>
  <c r="K2871" i="1"/>
  <c r="L2870" i="1" a="1"/>
  <c r="L2870" i="1" s="1"/>
  <c r="K2870" i="1"/>
  <c r="K2869" i="1"/>
  <c r="L2869" i="1" s="1" a="1"/>
  <c r="L2869" i="1" s="1"/>
  <c r="L2868" i="1" a="1"/>
  <c r="L2868" i="1" s="1"/>
  <c r="K2868" i="1"/>
  <c r="L2867" i="1" a="1"/>
  <c r="L2867" i="1" s="1"/>
  <c r="K2867" i="1"/>
  <c r="L2866" i="1" a="1"/>
  <c r="L2866" i="1" s="1"/>
  <c r="K2866" i="1"/>
  <c r="K2865" i="1"/>
  <c r="L2865" i="1" s="1" a="1"/>
  <c r="L2865" i="1" s="1"/>
  <c r="L2864" i="1"/>
  <c r="L2864" i="1" a="1"/>
  <c r="K2864" i="1"/>
  <c r="L2863" i="1"/>
  <c r="L2863" i="1" a="1"/>
  <c r="K2863" i="1"/>
  <c r="L2862" i="1" a="1"/>
  <c r="L2862" i="1" s="1"/>
  <c r="K2862" i="1"/>
  <c r="L2861" i="1" a="1"/>
  <c r="L2861" i="1" s="1"/>
  <c r="K2861" i="1"/>
  <c r="L2860" i="1" a="1"/>
  <c r="L2860" i="1" s="1"/>
  <c r="K2860" i="1"/>
  <c r="L2859" i="1"/>
  <c r="L2859" i="1" a="1"/>
  <c r="K2859" i="1"/>
  <c r="L2858" i="1" a="1"/>
  <c r="L2858" i="1" s="1"/>
  <c r="K2858" i="1"/>
  <c r="K2857" i="1"/>
  <c r="L2857" i="1" s="1" a="1"/>
  <c r="L2857" i="1" s="1"/>
  <c r="L2856" i="1" a="1"/>
  <c r="L2856" i="1" s="1"/>
  <c r="K2856" i="1"/>
  <c r="L2855" i="1" a="1"/>
  <c r="L2855" i="1" s="1"/>
  <c r="K2855" i="1"/>
  <c r="L2854" i="1" a="1"/>
  <c r="L2854" i="1" s="1"/>
  <c r="K2854" i="1"/>
  <c r="L2853" i="1" a="1"/>
  <c r="L2853" i="1" s="1"/>
  <c r="K2853" i="1"/>
  <c r="L2852" i="1"/>
  <c r="L2852" i="1" a="1"/>
  <c r="K2852" i="1"/>
  <c r="L2851" i="1"/>
  <c r="L2851" i="1" a="1"/>
  <c r="K2851" i="1"/>
  <c r="L2850" i="1" a="1"/>
  <c r="L2850" i="1" s="1"/>
  <c r="K2850" i="1"/>
  <c r="K2849" i="1"/>
  <c r="L2849" i="1" s="1" a="1"/>
  <c r="L2849" i="1" s="1"/>
  <c r="L2848" i="1" a="1"/>
  <c r="L2848" i="1" s="1"/>
  <c r="K2848" i="1"/>
  <c r="L2847" i="1" a="1"/>
  <c r="L2847" i="1" s="1"/>
  <c r="K2847" i="1"/>
  <c r="L2846" i="1" a="1"/>
  <c r="L2846" i="1" s="1"/>
  <c r="K2846" i="1"/>
  <c r="L2845" i="1" a="1"/>
  <c r="L2845" i="1" s="1"/>
  <c r="K2845" i="1"/>
  <c r="L2844" i="1"/>
  <c r="L2844" i="1" a="1"/>
  <c r="K2844" i="1"/>
  <c r="L2843" i="1" a="1"/>
  <c r="L2843" i="1" s="1"/>
  <c r="K2843" i="1"/>
  <c r="L2842" i="1" a="1"/>
  <c r="L2842" i="1" s="1"/>
  <c r="K2842" i="1"/>
  <c r="L2841" i="1"/>
  <c r="K2841" i="1"/>
  <c r="L2841" i="1" s="1" a="1"/>
  <c r="L2840" i="1" a="1"/>
  <c r="L2840" i="1" s="1"/>
  <c r="K2840" i="1"/>
  <c r="L2839" i="1"/>
  <c r="L2839" i="1" a="1"/>
  <c r="K2839" i="1"/>
  <c r="L2838" i="1" a="1"/>
  <c r="L2838" i="1" s="1"/>
  <c r="K2838" i="1"/>
  <c r="L2837" i="1" a="1"/>
  <c r="L2837" i="1" s="1"/>
  <c r="K2837" i="1"/>
  <c r="L2836" i="1"/>
  <c r="L2836" i="1" a="1"/>
  <c r="K2836" i="1"/>
  <c r="L2835" i="1" a="1"/>
  <c r="L2835" i="1" s="1"/>
  <c r="K2835" i="1"/>
  <c r="L2834" i="1" a="1"/>
  <c r="L2834" i="1" s="1"/>
  <c r="K2834" i="1"/>
  <c r="L2833" i="1" a="1"/>
  <c r="L2833" i="1" s="1"/>
  <c r="K2833" i="1"/>
  <c r="L2832" i="1" a="1"/>
  <c r="L2832" i="1" s="1"/>
  <c r="K2832" i="1"/>
  <c r="L2831" i="1"/>
  <c r="L2831" i="1" a="1"/>
  <c r="K2831" i="1"/>
  <c r="L2830" i="1" a="1"/>
  <c r="L2830" i="1" s="1"/>
  <c r="K2830" i="1"/>
  <c r="L2829" i="1" a="1"/>
  <c r="L2829" i="1" s="1"/>
  <c r="K2829" i="1"/>
  <c r="L2828" i="1"/>
  <c r="L2828" i="1" a="1"/>
  <c r="K2828" i="1"/>
  <c r="L2827" i="1" a="1"/>
  <c r="L2827" i="1" s="1"/>
  <c r="K2827" i="1"/>
  <c r="L2826" i="1" a="1"/>
  <c r="L2826" i="1" s="1"/>
  <c r="K2826" i="1"/>
  <c r="L2825" i="1" a="1"/>
  <c r="L2825" i="1" s="1"/>
  <c r="K2825" i="1"/>
  <c r="L2824" i="1"/>
  <c r="L2824" i="1" a="1"/>
  <c r="K2824" i="1"/>
  <c r="L2823" i="1"/>
  <c r="L2823" i="1" a="1"/>
  <c r="K2823" i="1"/>
  <c r="L2822" i="1" a="1"/>
  <c r="L2822" i="1" s="1"/>
  <c r="K2822" i="1"/>
  <c r="L2821" i="1" a="1"/>
  <c r="L2821" i="1" s="1"/>
  <c r="K2821" i="1"/>
  <c r="L2820" i="1"/>
  <c r="L2820" i="1" a="1"/>
  <c r="K2820" i="1"/>
  <c r="L2819" i="1" a="1"/>
  <c r="L2819" i="1" s="1"/>
  <c r="K2819" i="1"/>
  <c r="L2818" i="1" a="1"/>
  <c r="L2818" i="1" s="1"/>
  <c r="K2818" i="1"/>
  <c r="K2817" i="1"/>
  <c r="L2817" i="1" s="1" a="1"/>
  <c r="L2817" i="1" s="1"/>
  <c r="L2816" i="1"/>
  <c r="L2816" i="1" a="1"/>
  <c r="K2816" i="1"/>
  <c r="L2815" i="1"/>
  <c r="L2815" i="1" a="1"/>
  <c r="K2815" i="1"/>
  <c r="L2814" i="1" a="1"/>
  <c r="L2814" i="1" s="1"/>
  <c r="K2814" i="1"/>
  <c r="L2813" i="1" a="1"/>
  <c r="L2813" i="1" s="1"/>
  <c r="K2813" i="1"/>
  <c r="L2812" i="1"/>
  <c r="L2812" i="1" a="1"/>
  <c r="K2812" i="1"/>
  <c r="L2811" i="1"/>
  <c r="L2811" i="1" a="1"/>
  <c r="K2811" i="1"/>
  <c r="L2810" i="1" a="1"/>
  <c r="L2810" i="1" s="1"/>
  <c r="K2810" i="1"/>
  <c r="K2809" i="1"/>
  <c r="L2809" i="1" s="1" a="1"/>
  <c r="L2809" i="1" s="1"/>
  <c r="L2808" i="1" a="1"/>
  <c r="L2808" i="1" s="1"/>
  <c r="K2808" i="1"/>
  <c r="L2807" i="1" a="1"/>
  <c r="L2807" i="1" s="1"/>
  <c r="K2807" i="1"/>
  <c r="L2806" i="1" a="1"/>
  <c r="L2806" i="1" s="1"/>
  <c r="K2806" i="1"/>
  <c r="L2805" i="1" a="1"/>
  <c r="L2805" i="1" s="1"/>
  <c r="K2805" i="1"/>
  <c r="L2804" i="1"/>
  <c r="L2804" i="1" a="1"/>
  <c r="K2804" i="1"/>
  <c r="L2803" i="1"/>
  <c r="L2803" i="1" a="1"/>
  <c r="K2803" i="1"/>
  <c r="L2802" i="1" a="1"/>
  <c r="L2802" i="1" s="1"/>
  <c r="K2802" i="1"/>
  <c r="K2801" i="1"/>
  <c r="L2801" i="1" s="1" a="1"/>
  <c r="L2801" i="1" s="1"/>
  <c r="L2800" i="1" a="1"/>
  <c r="L2800" i="1" s="1"/>
  <c r="K2800" i="1"/>
  <c r="L2799" i="1" a="1"/>
  <c r="L2799" i="1" s="1"/>
  <c r="K2799" i="1"/>
  <c r="L2798" i="1" a="1"/>
  <c r="L2798" i="1" s="1"/>
  <c r="K2798" i="1"/>
  <c r="L2797" i="1" a="1"/>
  <c r="L2797" i="1" s="1"/>
  <c r="K2797" i="1"/>
  <c r="L2796" i="1"/>
  <c r="L2796" i="1" a="1"/>
  <c r="K2796" i="1"/>
  <c r="L2795" i="1" a="1"/>
  <c r="L2795" i="1" s="1"/>
  <c r="K2795" i="1"/>
  <c r="L2794" i="1" a="1"/>
  <c r="L2794" i="1" s="1"/>
  <c r="K2794" i="1"/>
  <c r="K2793" i="1"/>
  <c r="L2793" i="1" s="1" a="1"/>
  <c r="L2793" i="1" s="1"/>
  <c r="L2792" i="1" a="1"/>
  <c r="L2792" i="1" s="1"/>
  <c r="K2792" i="1"/>
  <c r="L2791" i="1"/>
  <c r="L2791" i="1" a="1"/>
  <c r="K2791" i="1"/>
  <c r="L2790" i="1" a="1"/>
  <c r="L2790" i="1" s="1"/>
  <c r="K2790" i="1"/>
  <c r="L2789" i="1"/>
  <c r="L2789" i="1" a="1"/>
  <c r="K2789" i="1"/>
  <c r="L2788" i="1"/>
  <c r="L2788" i="1" a="1"/>
  <c r="K2788" i="1"/>
  <c r="L2787" i="1" a="1"/>
  <c r="L2787" i="1" s="1"/>
  <c r="K2787" i="1"/>
  <c r="L2786" i="1" a="1"/>
  <c r="L2786" i="1" s="1"/>
  <c r="K2786" i="1"/>
  <c r="L2785" i="1"/>
  <c r="L2785" i="1" a="1"/>
  <c r="K2785" i="1"/>
  <c r="L2784" i="1" a="1"/>
  <c r="L2784" i="1" s="1"/>
  <c r="K2784" i="1"/>
  <c r="L2783" i="1"/>
  <c r="L2783" i="1" a="1"/>
  <c r="K2783" i="1"/>
  <c r="L2782" i="1" a="1"/>
  <c r="L2782" i="1" s="1"/>
  <c r="K2782" i="1"/>
  <c r="L2781" i="1"/>
  <c r="K2781" i="1"/>
  <c r="L2781" i="1" s="1" a="1"/>
  <c r="L2780" i="1"/>
  <c r="L2780" i="1" a="1"/>
  <c r="K2780" i="1"/>
  <c r="L2779" i="1" a="1"/>
  <c r="L2779" i="1" s="1"/>
  <c r="K2779" i="1"/>
  <c r="L2778" i="1" a="1"/>
  <c r="L2778" i="1" s="1"/>
  <c r="K2778" i="1"/>
  <c r="K2777" i="1"/>
  <c r="L2777" i="1" s="1" a="1"/>
  <c r="L2777" i="1" s="1"/>
  <c r="L2776" i="1" a="1"/>
  <c r="L2776" i="1" s="1"/>
  <c r="K2776" i="1"/>
  <c r="L2775" i="1"/>
  <c r="L2775" i="1" a="1"/>
  <c r="K2775" i="1"/>
  <c r="L2774" i="1" a="1"/>
  <c r="L2774" i="1" s="1"/>
  <c r="K2774" i="1"/>
  <c r="L2773" i="1" a="1"/>
  <c r="L2773" i="1" s="1"/>
  <c r="K2773" i="1"/>
  <c r="L2772" i="1" a="1"/>
  <c r="L2772" i="1" s="1"/>
  <c r="K2772" i="1"/>
  <c r="L2771" i="1" a="1"/>
  <c r="L2771" i="1" s="1"/>
  <c r="K2771" i="1"/>
  <c r="L2770" i="1" a="1"/>
  <c r="L2770" i="1" s="1"/>
  <c r="K2770" i="1"/>
  <c r="L2769" i="1"/>
  <c r="K2769" i="1"/>
  <c r="L2769" i="1" s="1" a="1"/>
  <c r="L2768" i="1"/>
  <c r="L2768" i="1" a="1"/>
  <c r="K2768" i="1"/>
  <c r="L2767" i="1"/>
  <c r="L2767" i="1" a="1"/>
  <c r="K2767" i="1"/>
  <c r="L2766" i="1" a="1"/>
  <c r="L2766" i="1" s="1"/>
  <c r="K2766" i="1"/>
  <c r="L2765" i="1" a="1"/>
  <c r="L2765" i="1" s="1"/>
  <c r="K2765" i="1"/>
  <c r="L2764" i="1" a="1"/>
  <c r="L2764" i="1" s="1"/>
  <c r="K2764" i="1"/>
  <c r="L2763" i="1"/>
  <c r="L2763" i="1" a="1"/>
  <c r="K2763" i="1"/>
  <c r="L2762" i="1" a="1"/>
  <c r="L2762" i="1" s="1"/>
  <c r="K2762" i="1"/>
  <c r="L2761" i="1"/>
  <c r="K2761" i="1"/>
  <c r="L2761" i="1" s="1" a="1"/>
  <c r="L2760" i="1" a="1"/>
  <c r="L2760" i="1" s="1"/>
  <c r="K2760" i="1"/>
  <c r="L2759" i="1" a="1"/>
  <c r="L2759" i="1" s="1"/>
  <c r="K2759" i="1"/>
  <c r="L2758" i="1" a="1"/>
  <c r="L2758" i="1" s="1"/>
  <c r="K2758" i="1"/>
  <c r="L2757" i="1" a="1"/>
  <c r="L2757" i="1" s="1"/>
  <c r="K2757" i="1"/>
  <c r="L2756" i="1"/>
  <c r="L2756" i="1" a="1"/>
  <c r="K2756" i="1"/>
  <c r="L2755" i="1"/>
  <c r="L2755" i="1" a="1"/>
  <c r="K2755" i="1"/>
  <c r="L2754" i="1" a="1"/>
  <c r="L2754" i="1" s="1"/>
  <c r="K2754" i="1"/>
  <c r="K2753" i="1"/>
  <c r="L2753" i="1" s="1" a="1"/>
  <c r="L2753" i="1" s="1"/>
  <c r="L2752" i="1" a="1"/>
  <c r="L2752" i="1" s="1"/>
  <c r="K2752" i="1"/>
  <c r="L2751" i="1"/>
  <c r="L2751" i="1" a="1"/>
  <c r="K2751" i="1"/>
  <c r="L2750" i="1" a="1"/>
  <c r="L2750" i="1" s="1"/>
  <c r="K2750" i="1"/>
  <c r="L2749" i="1" a="1"/>
  <c r="L2749" i="1" s="1"/>
  <c r="K2749" i="1"/>
  <c r="L2748" i="1"/>
  <c r="L2748" i="1" a="1"/>
  <c r="K2748" i="1"/>
  <c r="L2747" i="1" a="1"/>
  <c r="L2747" i="1" s="1"/>
  <c r="K2747" i="1"/>
  <c r="L2746" i="1" a="1"/>
  <c r="L2746" i="1" s="1"/>
  <c r="K2746" i="1"/>
  <c r="L2745" i="1"/>
  <c r="K2745" i="1"/>
  <c r="L2745" i="1" s="1" a="1"/>
  <c r="L2744" i="1" a="1"/>
  <c r="L2744" i="1" s="1"/>
  <c r="K2744" i="1"/>
  <c r="L2743" i="1"/>
  <c r="L2743" i="1" a="1"/>
  <c r="K2743" i="1"/>
  <c r="L2742" i="1" a="1"/>
  <c r="L2742" i="1" s="1"/>
  <c r="K2742" i="1"/>
  <c r="L2741" i="1" a="1"/>
  <c r="L2741" i="1" s="1"/>
  <c r="K2741" i="1"/>
  <c r="L2740" i="1"/>
  <c r="L2740" i="1" a="1"/>
  <c r="K2740" i="1"/>
  <c r="L2739" i="1" a="1"/>
  <c r="L2739" i="1" s="1"/>
  <c r="K2739" i="1"/>
  <c r="L2738" i="1" a="1"/>
  <c r="L2738" i="1" s="1"/>
  <c r="K2738" i="1"/>
  <c r="L2737" i="1"/>
  <c r="L2737" i="1" a="1"/>
  <c r="K2737" i="1"/>
  <c r="L2736" i="1" a="1"/>
  <c r="L2736" i="1" s="1"/>
  <c r="K2736" i="1"/>
  <c r="L2735" i="1"/>
  <c r="L2735" i="1" a="1"/>
  <c r="K2735" i="1"/>
  <c r="L2734" i="1" a="1"/>
  <c r="L2734" i="1" s="1"/>
  <c r="K2734" i="1"/>
  <c r="L2733" i="1" a="1"/>
  <c r="L2733" i="1" s="1"/>
  <c r="K2733" i="1"/>
  <c r="L2732" i="1"/>
  <c r="L2732" i="1" a="1"/>
  <c r="K2732" i="1"/>
  <c r="L2731" i="1" a="1"/>
  <c r="L2731" i="1" s="1"/>
  <c r="K2731" i="1"/>
  <c r="L2730" i="1" a="1"/>
  <c r="L2730" i="1" s="1"/>
  <c r="K2730" i="1"/>
  <c r="K2729" i="1"/>
  <c r="L2729" i="1" s="1" a="1"/>
  <c r="L2729" i="1" s="1"/>
  <c r="L2728" i="1"/>
  <c r="L2728" i="1" a="1"/>
  <c r="K2728" i="1"/>
  <c r="L2727" i="1"/>
  <c r="L2727" i="1" a="1"/>
  <c r="K2727" i="1"/>
  <c r="L2726" i="1" a="1"/>
  <c r="L2726" i="1" s="1"/>
  <c r="K2726" i="1"/>
  <c r="L2725" i="1" a="1"/>
  <c r="L2725" i="1" s="1"/>
  <c r="K2725" i="1"/>
  <c r="L2724" i="1" a="1"/>
  <c r="L2724" i="1" s="1"/>
  <c r="K2724" i="1"/>
  <c r="L2723" i="1" a="1"/>
  <c r="L2723" i="1" s="1"/>
  <c r="K2723" i="1"/>
  <c r="L2722" i="1" a="1"/>
  <c r="L2722" i="1" s="1"/>
  <c r="K2722" i="1"/>
  <c r="L2721" i="1" a="1"/>
  <c r="L2721" i="1" s="1"/>
  <c r="K2721" i="1"/>
  <c r="L2720" i="1"/>
  <c r="L2720" i="1" a="1"/>
  <c r="K2720" i="1"/>
  <c r="L2719" i="1"/>
  <c r="L2719" i="1" a="1"/>
  <c r="K2719" i="1"/>
  <c r="L2718" i="1" a="1"/>
  <c r="L2718" i="1" s="1"/>
  <c r="K2718" i="1"/>
  <c r="K2717" i="1"/>
  <c r="L2717" i="1" s="1" a="1"/>
  <c r="L2717" i="1" s="1"/>
  <c r="L2716" i="1"/>
  <c r="L2716" i="1" a="1"/>
  <c r="K2716" i="1"/>
  <c r="L2715" i="1" a="1"/>
  <c r="L2715" i="1" s="1"/>
  <c r="K2715" i="1"/>
  <c r="L2714" i="1" a="1"/>
  <c r="L2714" i="1" s="1"/>
  <c r="K2714" i="1"/>
  <c r="L2713" i="1" a="1"/>
  <c r="L2713" i="1" s="1"/>
  <c r="K2713" i="1"/>
  <c r="L2712" i="1"/>
  <c r="L2712" i="1" a="1"/>
  <c r="K2712" i="1"/>
  <c r="L2711" i="1" a="1"/>
  <c r="L2711" i="1" s="1"/>
  <c r="K2711" i="1"/>
  <c r="L2710" i="1" a="1"/>
  <c r="L2710" i="1" s="1"/>
  <c r="K2710" i="1"/>
  <c r="L2709" i="1" a="1"/>
  <c r="L2709" i="1" s="1"/>
  <c r="K2709" i="1"/>
  <c r="L2708" i="1"/>
  <c r="L2708" i="1" a="1"/>
  <c r="K2708" i="1"/>
  <c r="L2707" i="1"/>
  <c r="L2707" i="1" a="1"/>
  <c r="K2707" i="1"/>
  <c r="L2706" i="1" a="1"/>
  <c r="L2706" i="1" s="1"/>
  <c r="K2706" i="1"/>
  <c r="L2705" i="1"/>
  <c r="K2705" i="1"/>
  <c r="L2705" i="1" s="1" a="1"/>
  <c r="L2704" i="1"/>
  <c r="L2704" i="1" a="1"/>
  <c r="K2704" i="1"/>
  <c r="L2703" i="1" a="1"/>
  <c r="L2703" i="1" s="1"/>
  <c r="K2703" i="1"/>
  <c r="L2702" i="1" a="1"/>
  <c r="L2702" i="1" s="1"/>
  <c r="K2702" i="1"/>
  <c r="L2701" i="1" a="1"/>
  <c r="L2701" i="1" s="1"/>
  <c r="K2701" i="1"/>
  <c r="L2700" i="1"/>
  <c r="L2700" i="1" a="1"/>
  <c r="K2700" i="1"/>
  <c r="L2699" i="1" a="1"/>
  <c r="L2699" i="1" s="1"/>
  <c r="K2699" i="1"/>
  <c r="L2698" i="1" a="1"/>
  <c r="L2698" i="1" s="1"/>
  <c r="K2698" i="1"/>
  <c r="L2697" i="1"/>
  <c r="K2697" i="1"/>
  <c r="L2697" i="1" s="1" a="1"/>
  <c r="L2696" i="1" a="1"/>
  <c r="L2696" i="1" s="1"/>
  <c r="K2696" i="1"/>
  <c r="L2695" i="1"/>
  <c r="L2695" i="1" a="1"/>
  <c r="K2695" i="1"/>
  <c r="L2694" i="1" a="1"/>
  <c r="L2694" i="1" s="1"/>
  <c r="K2694" i="1"/>
  <c r="L2693" i="1"/>
  <c r="K2693" i="1"/>
  <c r="L2693" i="1" s="1" a="1"/>
  <c r="L2692" i="1" a="1"/>
  <c r="L2692" i="1" s="1"/>
  <c r="K2692" i="1"/>
  <c r="L2691" i="1" a="1"/>
  <c r="L2691" i="1" s="1"/>
  <c r="K2691" i="1"/>
  <c r="L2690" i="1"/>
  <c r="L2690" i="1" a="1"/>
  <c r="K2690" i="1"/>
  <c r="L2689" i="1"/>
  <c r="K2689" i="1"/>
  <c r="L2689" i="1" s="1" a="1"/>
  <c r="L2688" i="1" a="1"/>
  <c r="L2688" i="1" s="1"/>
  <c r="K2688" i="1"/>
  <c r="L2687" i="1"/>
  <c r="L2687" i="1" a="1"/>
  <c r="K2687" i="1"/>
  <c r="L2686" i="1" a="1"/>
  <c r="L2686" i="1" s="1"/>
  <c r="K2686" i="1"/>
  <c r="L2685" i="1"/>
  <c r="K2685" i="1"/>
  <c r="L2685" i="1" s="1" a="1"/>
  <c r="L2684" i="1" a="1"/>
  <c r="L2684" i="1" s="1"/>
  <c r="K2684" i="1"/>
  <c r="L2683" i="1"/>
  <c r="L2683" i="1" a="1"/>
  <c r="K2683" i="1"/>
  <c r="L2682" i="1" a="1"/>
  <c r="L2682" i="1" s="1"/>
  <c r="K2682" i="1"/>
  <c r="L2681" i="1"/>
  <c r="K2681" i="1"/>
  <c r="L2681" i="1" s="1" a="1"/>
  <c r="L2680" i="1" a="1"/>
  <c r="L2680" i="1" s="1"/>
  <c r="K2680" i="1"/>
  <c r="L2679" i="1"/>
  <c r="L2679" i="1" a="1"/>
  <c r="K2679" i="1"/>
  <c r="L2678" i="1"/>
  <c r="L2678" i="1" a="1"/>
  <c r="K2678" i="1"/>
  <c r="K2677" i="1"/>
  <c r="L2677" i="1" s="1" a="1"/>
  <c r="L2677" i="1" s="1"/>
  <c r="L2676" i="1" a="1"/>
  <c r="L2676" i="1" s="1"/>
  <c r="K2676" i="1"/>
  <c r="L2675" i="1"/>
  <c r="L2675" i="1" a="1"/>
  <c r="K2675" i="1"/>
  <c r="L2674" i="1" a="1"/>
  <c r="L2674" i="1" s="1"/>
  <c r="K2674" i="1"/>
  <c r="L2673" i="1"/>
  <c r="K2673" i="1"/>
  <c r="L2673" i="1" s="1" a="1"/>
  <c r="L2672" i="1" a="1"/>
  <c r="L2672" i="1" s="1"/>
  <c r="K2672" i="1"/>
  <c r="L2671" i="1"/>
  <c r="L2671" i="1" a="1"/>
  <c r="K2671" i="1"/>
  <c r="L2670" i="1" a="1"/>
  <c r="L2670" i="1" s="1"/>
  <c r="K2670" i="1"/>
  <c r="L2669" i="1"/>
  <c r="K2669" i="1"/>
  <c r="L2669" i="1" s="1" a="1"/>
  <c r="L2668" i="1" a="1"/>
  <c r="L2668" i="1" s="1"/>
  <c r="K2668" i="1"/>
  <c r="L2667" i="1" a="1"/>
  <c r="L2667" i="1" s="1"/>
  <c r="K2667" i="1"/>
  <c r="L2666" i="1"/>
  <c r="L2666" i="1" a="1"/>
  <c r="K2666" i="1"/>
  <c r="L2665" i="1"/>
  <c r="K2665" i="1"/>
  <c r="L2665" i="1" s="1" a="1"/>
  <c r="L2664" i="1" a="1"/>
  <c r="L2664" i="1" s="1"/>
  <c r="K2664" i="1"/>
  <c r="L2663" i="1"/>
  <c r="L2663" i="1" a="1"/>
  <c r="K2663" i="1"/>
  <c r="L2662" i="1" a="1"/>
  <c r="L2662" i="1" s="1"/>
  <c r="K2662" i="1"/>
  <c r="L2661" i="1"/>
  <c r="K2661" i="1"/>
  <c r="L2661" i="1" s="1" a="1"/>
  <c r="L2660" i="1" a="1"/>
  <c r="L2660" i="1" s="1"/>
  <c r="K2660" i="1"/>
  <c r="L2659" i="1"/>
  <c r="L2659" i="1" a="1"/>
  <c r="K2659" i="1"/>
  <c r="L2658" i="1" a="1"/>
  <c r="L2658" i="1" s="1"/>
  <c r="K2658" i="1"/>
  <c r="L2657" i="1"/>
  <c r="K2657" i="1"/>
  <c r="L2657" i="1" s="1" a="1"/>
  <c r="L2656" i="1" a="1"/>
  <c r="L2656" i="1" s="1"/>
  <c r="K2656" i="1"/>
  <c r="L2655" i="1"/>
  <c r="L2655" i="1" a="1"/>
  <c r="K2655" i="1"/>
  <c r="L2654" i="1"/>
  <c r="L2654" i="1" a="1"/>
  <c r="K2654" i="1"/>
  <c r="K2653" i="1"/>
  <c r="L2653" i="1" s="1" a="1"/>
  <c r="L2653" i="1" s="1"/>
  <c r="L2652" i="1" a="1"/>
  <c r="L2652" i="1" s="1"/>
  <c r="K2652" i="1"/>
  <c r="L2651" i="1"/>
  <c r="L2651" i="1" a="1"/>
  <c r="K2651" i="1"/>
  <c r="L2650" i="1" a="1"/>
  <c r="L2650" i="1" s="1"/>
  <c r="K2650" i="1"/>
  <c r="L2649" i="1"/>
  <c r="K2649" i="1"/>
  <c r="L2649" i="1" s="1" a="1"/>
  <c r="L2648" i="1" a="1"/>
  <c r="L2648" i="1" s="1"/>
  <c r="K2648" i="1"/>
  <c r="L2647" i="1"/>
  <c r="L2647" i="1" a="1"/>
  <c r="K2647" i="1"/>
  <c r="L2646" i="1" a="1"/>
  <c r="L2646" i="1" s="1"/>
  <c r="K2646" i="1"/>
  <c r="L2645" i="1"/>
  <c r="K2645" i="1"/>
  <c r="L2645" i="1" s="1" a="1"/>
  <c r="L2644" i="1" a="1"/>
  <c r="L2644" i="1" s="1"/>
  <c r="K2644" i="1"/>
  <c r="L2643" i="1" a="1"/>
  <c r="L2643" i="1" s="1"/>
  <c r="K2643" i="1"/>
  <c r="L2642" i="1"/>
  <c r="L2642" i="1" a="1"/>
  <c r="K2642" i="1"/>
  <c r="L2641" i="1"/>
  <c r="K2641" i="1"/>
  <c r="L2641" i="1" s="1" a="1"/>
  <c r="L2640" i="1" a="1"/>
  <c r="L2640" i="1" s="1"/>
  <c r="K2640" i="1"/>
  <c r="L2639" i="1"/>
  <c r="L2639" i="1" a="1"/>
  <c r="K2639" i="1"/>
  <c r="L2638" i="1" a="1"/>
  <c r="L2638" i="1" s="1"/>
  <c r="K2638" i="1"/>
  <c r="L2637" i="1"/>
  <c r="K2637" i="1"/>
  <c r="L2637" i="1" s="1" a="1"/>
  <c r="L2636" i="1" a="1"/>
  <c r="L2636" i="1" s="1"/>
  <c r="K2636" i="1"/>
  <c r="L2635" i="1"/>
  <c r="L2635" i="1" a="1"/>
  <c r="K2635" i="1"/>
  <c r="L2634" i="1" a="1"/>
  <c r="L2634" i="1" s="1"/>
  <c r="K2634" i="1"/>
  <c r="L2633" i="1"/>
  <c r="K2633" i="1"/>
  <c r="L2633" i="1" s="1" a="1"/>
  <c r="L2632" i="1" a="1"/>
  <c r="L2632" i="1" s="1"/>
  <c r="K2632" i="1"/>
  <c r="L2631" i="1"/>
  <c r="L2631" i="1" a="1"/>
  <c r="K2631" i="1"/>
  <c r="L2630" i="1"/>
  <c r="L2630" i="1" a="1"/>
  <c r="K2630" i="1"/>
  <c r="K2629" i="1"/>
  <c r="L2629" i="1" s="1" a="1"/>
  <c r="L2629" i="1" s="1"/>
  <c r="L2628" i="1" a="1"/>
  <c r="L2628" i="1" s="1"/>
  <c r="K2628" i="1"/>
  <c r="L2627" i="1"/>
  <c r="L2627" i="1" a="1"/>
  <c r="K2627" i="1"/>
  <c r="L2626" i="1" a="1"/>
  <c r="L2626" i="1" s="1"/>
  <c r="K2626" i="1"/>
  <c r="L2625" i="1"/>
  <c r="K2625" i="1"/>
  <c r="L2625" i="1" s="1" a="1"/>
  <c r="L2624" i="1" a="1"/>
  <c r="L2624" i="1" s="1"/>
  <c r="K2624" i="1"/>
  <c r="L2623" i="1"/>
  <c r="L2623" i="1" a="1"/>
  <c r="K2623" i="1"/>
  <c r="L2622" i="1" a="1"/>
  <c r="L2622" i="1" s="1"/>
  <c r="K2622" i="1"/>
  <c r="L2621" i="1"/>
  <c r="K2621" i="1"/>
  <c r="L2621" i="1" s="1" a="1"/>
  <c r="L2620" i="1" a="1"/>
  <c r="L2620" i="1" s="1"/>
  <c r="K2620" i="1"/>
  <c r="L2619" i="1" a="1"/>
  <c r="L2619" i="1" s="1"/>
  <c r="K2619" i="1"/>
  <c r="L2618" i="1"/>
  <c r="L2618" i="1" a="1"/>
  <c r="K2618" i="1"/>
  <c r="L2617" i="1"/>
  <c r="K2617" i="1"/>
  <c r="L2617" i="1" s="1" a="1"/>
  <c r="L2616" i="1" a="1"/>
  <c r="L2616" i="1" s="1"/>
  <c r="K2616" i="1"/>
  <c r="L2615" i="1"/>
  <c r="L2615" i="1" a="1"/>
  <c r="K2615" i="1"/>
  <c r="L2614" i="1" a="1"/>
  <c r="L2614" i="1" s="1"/>
  <c r="K2614" i="1"/>
  <c r="L2613" i="1"/>
  <c r="K2613" i="1"/>
  <c r="L2613" i="1" s="1" a="1"/>
  <c r="L2612" i="1" a="1"/>
  <c r="L2612" i="1" s="1"/>
  <c r="K2612" i="1"/>
  <c r="L2611" i="1"/>
  <c r="L2611" i="1" a="1"/>
  <c r="K2611" i="1"/>
  <c r="L2610" i="1" a="1"/>
  <c r="L2610" i="1" s="1"/>
  <c r="K2610" i="1"/>
  <c r="L2609" i="1"/>
  <c r="K2609" i="1"/>
  <c r="L2609" i="1" s="1" a="1"/>
  <c r="L2608" i="1" a="1"/>
  <c r="L2608" i="1" s="1"/>
  <c r="K2608" i="1"/>
  <c r="L2607" i="1"/>
  <c r="L2607" i="1" a="1"/>
  <c r="K2607" i="1"/>
  <c r="L2606" i="1"/>
  <c r="L2606" i="1" a="1"/>
  <c r="K2606" i="1"/>
  <c r="K2605" i="1"/>
  <c r="L2605" i="1" s="1" a="1"/>
  <c r="L2605" i="1" s="1"/>
  <c r="L2604" i="1" a="1"/>
  <c r="L2604" i="1" s="1"/>
  <c r="K2604" i="1"/>
  <c r="L2603" i="1"/>
  <c r="L2603" i="1" a="1"/>
  <c r="K2603" i="1"/>
  <c r="L2602" i="1" a="1"/>
  <c r="L2602" i="1" s="1"/>
  <c r="K2602" i="1"/>
  <c r="L2601" i="1"/>
  <c r="K2601" i="1"/>
  <c r="L2601" i="1" s="1" a="1"/>
  <c r="L2600" i="1" a="1"/>
  <c r="L2600" i="1" s="1"/>
  <c r="K2600" i="1"/>
  <c r="L2599" i="1"/>
  <c r="L2599" i="1" a="1"/>
  <c r="K2599" i="1"/>
  <c r="L2598" i="1" a="1"/>
  <c r="L2598" i="1" s="1"/>
  <c r="K2598" i="1"/>
  <c r="L2597" i="1"/>
  <c r="K2597" i="1"/>
  <c r="L2597" i="1" s="1" a="1"/>
  <c r="L2596" i="1" a="1"/>
  <c r="L2596" i="1" s="1"/>
  <c r="K2596" i="1"/>
  <c r="L2595" i="1" a="1"/>
  <c r="L2595" i="1" s="1"/>
  <c r="K2595" i="1"/>
  <c r="L2594" i="1"/>
  <c r="L2594" i="1" a="1"/>
  <c r="K2594" i="1"/>
  <c r="L2593" i="1"/>
  <c r="K2593" i="1"/>
  <c r="L2593" i="1" s="1" a="1"/>
  <c r="L2592" i="1" a="1"/>
  <c r="L2592" i="1" s="1"/>
  <c r="K2592" i="1"/>
  <c r="L2591" i="1"/>
  <c r="L2591" i="1" a="1"/>
  <c r="K2591" i="1"/>
  <c r="L2590" i="1" a="1"/>
  <c r="L2590" i="1" s="1"/>
  <c r="K2590" i="1"/>
  <c r="L2589" i="1"/>
  <c r="K2589" i="1"/>
  <c r="L2589" i="1" s="1" a="1"/>
  <c r="L2588" i="1" a="1"/>
  <c r="L2588" i="1" s="1"/>
  <c r="K2588" i="1"/>
  <c r="L2587" i="1"/>
  <c r="L2587" i="1" a="1"/>
  <c r="K2587" i="1"/>
  <c r="L2586" i="1" a="1"/>
  <c r="L2586" i="1" s="1"/>
  <c r="K2586" i="1"/>
  <c r="L2585" i="1"/>
  <c r="K2585" i="1"/>
  <c r="L2585" i="1" s="1" a="1"/>
  <c r="L2584" i="1" a="1"/>
  <c r="L2584" i="1" s="1"/>
  <c r="K2584" i="1"/>
  <c r="L2583" i="1"/>
  <c r="L2583" i="1" a="1"/>
  <c r="K2583" i="1"/>
  <c r="L2582" i="1"/>
  <c r="L2582" i="1" a="1"/>
  <c r="K2582" i="1"/>
  <c r="K2581" i="1"/>
  <c r="L2581" i="1" s="1" a="1"/>
  <c r="L2581" i="1" s="1"/>
  <c r="L2580" i="1" a="1"/>
  <c r="L2580" i="1" s="1"/>
  <c r="K2580" i="1"/>
  <c r="L2579" i="1"/>
  <c r="L2579" i="1" a="1"/>
  <c r="K2579" i="1"/>
  <c r="L2578" i="1" a="1"/>
  <c r="L2578" i="1" s="1"/>
  <c r="K2578" i="1"/>
  <c r="L2577" i="1"/>
  <c r="K2577" i="1"/>
  <c r="L2577" i="1" s="1" a="1"/>
  <c r="L2576" i="1" a="1"/>
  <c r="L2576" i="1" s="1"/>
  <c r="K2576" i="1"/>
  <c r="L2575" i="1"/>
  <c r="L2575" i="1" a="1"/>
  <c r="K2575" i="1"/>
  <c r="L2574" i="1" a="1"/>
  <c r="L2574" i="1" s="1"/>
  <c r="K2574" i="1"/>
  <c r="L2573" i="1"/>
  <c r="K2573" i="1"/>
  <c r="L2573" i="1" s="1" a="1"/>
  <c r="L2572" i="1" a="1"/>
  <c r="L2572" i="1" s="1"/>
  <c r="K2572" i="1"/>
  <c r="L2571" i="1" a="1"/>
  <c r="L2571" i="1" s="1"/>
  <c r="K2571" i="1"/>
  <c r="L2570" i="1"/>
  <c r="L2570" i="1" a="1"/>
  <c r="K2570" i="1"/>
  <c r="L2569" i="1"/>
  <c r="K2569" i="1"/>
  <c r="L2569" i="1" s="1" a="1"/>
  <c r="L2568" i="1" a="1"/>
  <c r="L2568" i="1" s="1"/>
  <c r="K2568" i="1"/>
  <c r="L2567" i="1"/>
  <c r="L2567" i="1" a="1"/>
  <c r="K2567" i="1"/>
  <c r="L2566" i="1" a="1"/>
  <c r="L2566" i="1" s="1"/>
  <c r="K2566" i="1"/>
  <c r="L2565" i="1"/>
  <c r="K2565" i="1"/>
  <c r="L2565" i="1" s="1" a="1"/>
  <c r="L2564" i="1" a="1"/>
  <c r="L2564" i="1" s="1"/>
  <c r="K2564" i="1"/>
  <c r="L2563" i="1"/>
  <c r="L2563" i="1" a="1"/>
  <c r="K2563" i="1"/>
  <c r="L2562" i="1" a="1"/>
  <c r="L2562" i="1" s="1"/>
  <c r="K2562" i="1"/>
  <c r="L2561" i="1"/>
  <c r="K2561" i="1"/>
  <c r="L2561" i="1" s="1" a="1"/>
  <c r="L2560" i="1" a="1"/>
  <c r="L2560" i="1" s="1"/>
  <c r="K2560" i="1"/>
  <c r="L2559" i="1"/>
  <c r="L2559" i="1" a="1"/>
  <c r="K2559" i="1"/>
  <c r="L2558" i="1"/>
  <c r="L2558" i="1" a="1"/>
  <c r="K2558" i="1"/>
  <c r="K2557" i="1"/>
  <c r="L2557" i="1" s="1" a="1"/>
  <c r="L2557" i="1" s="1"/>
  <c r="L2556" i="1" a="1"/>
  <c r="L2556" i="1" s="1"/>
  <c r="K2556" i="1"/>
  <c r="L2555" i="1"/>
  <c r="L2555" i="1" a="1"/>
  <c r="K2555" i="1"/>
  <c r="L2554" i="1" a="1"/>
  <c r="L2554" i="1" s="1"/>
  <c r="K2554" i="1"/>
  <c r="L2553" i="1"/>
  <c r="K2553" i="1"/>
  <c r="L2553" i="1" s="1" a="1"/>
  <c r="L2552" i="1" a="1"/>
  <c r="L2552" i="1" s="1"/>
  <c r="K2552" i="1"/>
  <c r="L2551" i="1"/>
  <c r="L2551" i="1" a="1"/>
  <c r="K2551" i="1"/>
  <c r="L2550" i="1" a="1"/>
  <c r="L2550" i="1" s="1"/>
  <c r="K2550" i="1"/>
  <c r="L2549" i="1"/>
  <c r="K2549" i="1"/>
  <c r="L2549" i="1" s="1" a="1"/>
  <c r="L2548" i="1" a="1"/>
  <c r="L2548" i="1" s="1"/>
  <c r="K2548" i="1"/>
  <c r="L2547" i="1" a="1"/>
  <c r="L2547" i="1" s="1"/>
  <c r="K2547" i="1"/>
  <c r="L2546" i="1"/>
  <c r="L2546" i="1" a="1"/>
  <c r="K2546" i="1"/>
  <c r="L2545" i="1"/>
  <c r="K2545" i="1"/>
  <c r="L2545" i="1" s="1" a="1"/>
  <c r="L2544" i="1" a="1"/>
  <c r="L2544" i="1" s="1"/>
  <c r="K2544" i="1"/>
  <c r="L2543" i="1"/>
  <c r="L2543" i="1" a="1"/>
  <c r="K2543" i="1"/>
  <c r="L2542" i="1" a="1"/>
  <c r="L2542" i="1" s="1"/>
  <c r="K2542" i="1"/>
  <c r="L2541" i="1"/>
  <c r="K2541" i="1"/>
  <c r="L2541" i="1" s="1" a="1"/>
  <c r="L2540" i="1" a="1"/>
  <c r="L2540" i="1" s="1"/>
  <c r="K2540" i="1"/>
  <c r="L2539" i="1"/>
  <c r="L2539" i="1" a="1"/>
  <c r="K2539" i="1"/>
  <c r="L2538" i="1" a="1"/>
  <c r="L2538" i="1" s="1"/>
  <c r="K2538" i="1"/>
  <c r="L2537" i="1"/>
  <c r="K2537" i="1"/>
  <c r="L2537" i="1" s="1" a="1"/>
  <c r="L2536" i="1" a="1"/>
  <c r="L2536" i="1" s="1"/>
  <c r="K2536" i="1"/>
  <c r="L2535" i="1"/>
  <c r="L2535" i="1" a="1"/>
  <c r="K2535" i="1"/>
  <c r="L2534" i="1"/>
  <c r="L2534" i="1" a="1"/>
  <c r="K2534" i="1"/>
  <c r="K2533" i="1"/>
  <c r="L2533" i="1" s="1" a="1"/>
  <c r="L2533" i="1" s="1"/>
  <c r="L2532" i="1" a="1"/>
  <c r="L2532" i="1" s="1"/>
  <c r="K2532" i="1"/>
  <c r="L2531" i="1"/>
  <c r="L2531" i="1" a="1"/>
  <c r="K2531" i="1"/>
  <c r="L2530" i="1" a="1"/>
  <c r="L2530" i="1" s="1"/>
  <c r="K2530" i="1"/>
  <c r="L2529" i="1"/>
  <c r="K2529" i="1"/>
  <c r="L2529" i="1" s="1" a="1"/>
  <c r="L2528" i="1" a="1"/>
  <c r="L2528" i="1" s="1"/>
  <c r="K2528" i="1"/>
  <c r="L2527" i="1"/>
  <c r="L2527" i="1" a="1"/>
  <c r="K2527" i="1"/>
  <c r="L2526" i="1" a="1"/>
  <c r="L2526" i="1" s="1"/>
  <c r="K2526" i="1"/>
  <c r="L2525" i="1"/>
  <c r="K2525" i="1"/>
  <c r="L2525" i="1" s="1" a="1"/>
  <c r="L2524" i="1" a="1"/>
  <c r="L2524" i="1" s="1"/>
  <c r="K2524" i="1"/>
  <c r="L2523" i="1" a="1"/>
  <c r="L2523" i="1" s="1"/>
  <c r="K2523" i="1"/>
  <c r="L2522" i="1"/>
  <c r="L2522" i="1" a="1"/>
  <c r="K2522" i="1"/>
  <c r="L2521" i="1"/>
  <c r="K2521" i="1"/>
  <c r="L2521" i="1" s="1" a="1"/>
  <c r="L2520" i="1" a="1"/>
  <c r="L2520" i="1" s="1"/>
  <c r="K2520" i="1"/>
  <c r="L2519" i="1"/>
  <c r="L2519" i="1" a="1"/>
  <c r="K2519" i="1"/>
  <c r="L2518" i="1" a="1"/>
  <c r="L2518" i="1" s="1"/>
  <c r="K2518" i="1"/>
  <c r="L2517" i="1"/>
  <c r="K2517" i="1"/>
  <c r="L2517" i="1" s="1" a="1"/>
  <c r="L2516" i="1" a="1"/>
  <c r="L2516" i="1" s="1"/>
  <c r="K2516" i="1"/>
  <c r="L2515" i="1"/>
  <c r="L2515" i="1" a="1"/>
  <c r="K2515" i="1"/>
  <c r="L2514" i="1" a="1"/>
  <c r="L2514" i="1" s="1"/>
  <c r="K2514" i="1"/>
  <c r="L2513" i="1"/>
  <c r="K2513" i="1"/>
  <c r="L2513" i="1" s="1" a="1"/>
  <c r="L2512" i="1" a="1"/>
  <c r="L2512" i="1" s="1"/>
  <c r="K2512" i="1"/>
  <c r="L2511" i="1"/>
  <c r="L2511" i="1" a="1"/>
  <c r="K2511" i="1"/>
  <c r="L2510" i="1"/>
  <c r="L2510" i="1" a="1"/>
  <c r="K2510" i="1"/>
  <c r="K2509" i="1"/>
  <c r="L2509" i="1" s="1" a="1"/>
  <c r="L2509" i="1" s="1"/>
  <c r="L2508" i="1" a="1"/>
  <c r="L2508" i="1" s="1"/>
  <c r="K2508" i="1"/>
  <c r="L2507" i="1"/>
  <c r="L2507" i="1" a="1"/>
  <c r="K2507" i="1"/>
  <c r="L2506" i="1" a="1"/>
  <c r="L2506" i="1" s="1"/>
  <c r="K2506" i="1"/>
  <c r="L2505" i="1"/>
  <c r="K2505" i="1"/>
  <c r="L2505" i="1" s="1" a="1"/>
  <c r="L2504" i="1" a="1"/>
  <c r="L2504" i="1" s="1"/>
  <c r="K2504" i="1"/>
  <c r="L2503" i="1"/>
  <c r="L2503" i="1" a="1"/>
  <c r="K2503" i="1"/>
  <c r="L2502" i="1" a="1"/>
  <c r="L2502" i="1" s="1"/>
  <c r="K2502" i="1"/>
  <c r="L2501" i="1"/>
  <c r="K2501" i="1"/>
  <c r="L2501" i="1" s="1" a="1"/>
  <c r="L2500" i="1" a="1"/>
  <c r="L2500" i="1" s="1"/>
  <c r="K2500" i="1"/>
  <c r="L2499" i="1" a="1"/>
  <c r="L2499" i="1" s="1"/>
  <c r="K2499" i="1"/>
  <c r="L2498" i="1"/>
  <c r="L2498" i="1" a="1"/>
  <c r="K2498" i="1"/>
  <c r="L2497" i="1"/>
  <c r="K2497" i="1"/>
  <c r="L2497" i="1" s="1" a="1"/>
  <c r="L2496" i="1" a="1"/>
  <c r="L2496" i="1" s="1"/>
  <c r="K2496" i="1"/>
  <c r="L2495" i="1"/>
  <c r="L2495" i="1" a="1"/>
  <c r="K2495" i="1"/>
  <c r="L2494" i="1" a="1"/>
  <c r="L2494" i="1" s="1"/>
  <c r="K2494" i="1"/>
  <c r="L2493" i="1"/>
  <c r="K2493" i="1"/>
  <c r="L2493" i="1" s="1" a="1"/>
  <c r="L2492" i="1" a="1"/>
  <c r="L2492" i="1" s="1"/>
  <c r="K2492" i="1"/>
  <c r="L2491" i="1"/>
  <c r="L2491" i="1" a="1"/>
  <c r="K2491" i="1"/>
  <c r="L2490" i="1" a="1"/>
  <c r="L2490" i="1" s="1"/>
  <c r="K2490" i="1"/>
  <c r="L2489" i="1"/>
  <c r="L2489" i="1" a="1"/>
  <c r="K2489" i="1"/>
  <c r="L2488" i="1" a="1"/>
  <c r="L2488" i="1" s="1"/>
  <c r="K2488" i="1"/>
  <c r="L2487" i="1" a="1"/>
  <c r="L2487" i="1" s="1"/>
  <c r="K2487" i="1"/>
  <c r="L2486" i="1"/>
  <c r="L2486" i="1" a="1"/>
  <c r="K2486" i="1"/>
  <c r="L2485" i="1" a="1"/>
  <c r="L2485" i="1" s="1"/>
  <c r="K2485" i="1"/>
  <c r="L2484" i="1" a="1"/>
  <c r="L2484" i="1" s="1"/>
  <c r="K2484" i="1"/>
  <c r="L2483" i="1"/>
  <c r="L2483" i="1" a="1"/>
  <c r="K2483" i="1"/>
  <c r="L2482" i="1"/>
  <c r="L2482" i="1" a="1"/>
  <c r="K2482" i="1"/>
  <c r="K2481" i="1"/>
  <c r="L2481" i="1" s="1" a="1"/>
  <c r="L2481" i="1" s="1"/>
  <c r="L2480" i="1" a="1"/>
  <c r="L2480" i="1" s="1"/>
  <c r="K2480" i="1"/>
  <c r="L2479" i="1" a="1"/>
  <c r="L2479" i="1" s="1"/>
  <c r="K2479" i="1"/>
  <c r="L2478" i="1"/>
  <c r="L2478" i="1" a="1"/>
  <c r="K2478" i="1"/>
  <c r="K2477" i="1"/>
  <c r="L2477" i="1" s="1" a="1"/>
  <c r="L2477" i="1" s="1"/>
  <c r="L2476" i="1" a="1"/>
  <c r="L2476" i="1" s="1"/>
  <c r="K2476" i="1"/>
  <c r="L2475" i="1"/>
  <c r="L2475" i="1" a="1"/>
  <c r="K2475" i="1"/>
  <c r="L2474" i="1" a="1"/>
  <c r="L2474" i="1" s="1"/>
  <c r="K2474" i="1"/>
  <c r="K2473" i="1"/>
  <c r="L2473" i="1" s="1" a="1"/>
  <c r="L2473" i="1" s="1"/>
  <c r="L2472" i="1" a="1"/>
  <c r="L2472" i="1" s="1"/>
  <c r="K2472" i="1"/>
  <c r="L2471" i="1"/>
  <c r="L2471" i="1" a="1"/>
  <c r="K2471" i="1"/>
  <c r="L2470" i="1"/>
  <c r="L2470" i="1" a="1"/>
  <c r="K2470" i="1"/>
  <c r="L2469" i="1"/>
  <c r="L2469" i="1" a="1"/>
  <c r="K2469" i="1"/>
  <c r="L2468" i="1" a="1"/>
  <c r="L2468" i="1" s="1"/>
  <c r="K2468" i="1"/>
  <c r="L2467" i="1"/>
  <c r="L2467" i="1" a="1"/>
  <c r="K2467" i="1"/>
  <c r="L2466" i="1" a="1"/>
  <c r="L2466" i="1" s="1"/>
  <c r="K2466" i="1"/>
  <c r="L2465" i="1"/>
  <c r="L2465" i="1" a="1"/>
  <c r="K2465" i="1"/>
  <c r="L2464" i="1" a="1"/>
  <c r="L2464" i="1" s="1"/>
  <c r="K2464" i="1"/>
  <c r="L2463" i="1" a="1"/>
  <c r="L2463" i="1" s="1"/>
  <c r="K2463" i="1"/>
  <c r="L2462" i="1"/>
  <c r="L2462" i="1" a="1"/>
  <c r="K2462" i="1"/>
  <c r="L2461" i="1" a="1"/>
  <c r="L2461" i="1" s="1"/>
  <c r="K2461" i="1"/>
  <c r="L2460" i="1" a="1"/>
  <c r="L2460" i="1" s="1"/>
  <c r="K2460" i="1"/>
  <c r="L2459" i="1" a="1"/>
  <c r="L2459" i="1" s="1"/>
  <c r="K2459" i="1"/>
  <c r="L2458" i="1"/>
  <c r="L2458" i="1" a="1"/>
  <c r="K2458" i="1"/>
  <c r="L2457" i="1"/>
  <c r="K2457" i="1"/>
  <c r="L2457" i="1" s="1" a="1"/>
  <c r="L2456" i="1" a="1"/>
  <c r="L2456" i="1" s="1"/>
  <c r="K2456" i="1"/>
  <c r="L2455" i="1" a="1"/>
  <c r="L2455" i="1" s="1"/>
  <c r="K2455" i="1"/>
  <c r="L2454" i="1"/>
  <c r="L2454" i="1" a="1"/>
  <c r="K2454" i="1"/>
  <c r="L2453" i="1" a="1"/>
  <c r="L2453" i="1" s="1"/>
  <c r="K2453" i="1"/>
  <c r="L2452" i="1" a="1"/>
  <c r="L2452" i="1" s="1"/>
  <c r="K2452" i="1"/>
  <c r="L2451" i="1"/>
  <c r="L2451" i="1" a="1"/>
  <c r="K2451" i="1"/>
  <c r="L2450" i="1" a="1"/>
  <c r="L2450" i="1" s="1"/>
  <c r="K2450" i="1"/>
  <c r="K2449" i="1"/>
  <c r="L2449" i="1" s="1" a="1"/>
  <c r="L2449" i="1" s="1"/>
  <c r="L2448" i="1" a="1"/>
  <c r="L2448" i="1" s="1"/>
  <c r="K2448" i="1"/>
  <c r="L2447" i="1"/>
  <c r="L2447" i="1" a="1"/>
  <c r="K2447" i="1"/>
  <c r="L2446" i="1" a="1"/>
  <c r="L2446" i="1" s="1"/>
  <c r="K2446" i="1"/>
  <c r="L2445" i="1"/>
  <c r="L2445" i="1" a="1"/>
  <c r="K2445" i="1"/>
  <c r="L2444" i="1" a="1"/>
  <c r="L2444" i="1" s="1"/>
  <c r="K2444" i="1"/>
  <c r="L2443" i="1"/>
  <c r="L2443" i="1" a="1"/>
  <c r="K2443" i="1"/>
  <c r="L2442" i="1" a="1"/>
  <c r="L2442" i="1" s="1"/>
  <c r="K2442" i="1"/>
  <c r="L2441" i="1"/>
  <c r="L2441" i="1" a="1"/>
  <c r="K2441" i="1"/>
  <c r="L2440" i="1" a="1"/>
  <c r="L2440" i="1" s="1"/>
  <c r="K2440" i="1"/>
  <c r="L2439" i="1" a="1"/>
  <c r="L2439" i="1" s="1"/>
  <c r="K2439" i="1"/>
  <c r="L2438" i="1"/>
  <c r="L2438" i="1" a="1"/>
  <c r="K2438" i="1"/>
  <c r="L2437" i="1" a="1"/>
  <c r="L2437" i="1" s="1"/>
  <c r="K2437" i="1"/>
  <c r="L2436" i="1" a="1"/>
  <c r="L2436" i="1" s="1"/>
  <c r="K2436" i="1"/>
  <c r="L2435" i="1"/>
  <c r="L2435" i="1" a="1"/>
  <c r="K2435" i="1"/>
  <c r="L2434" i="1"/>
  <c r="L2434" i="1" a="1"/>
  <c r="K2434" i="1"/>
  <c r="K2433" i="1"/>
  <c r="L2433" i="1" s="1" a="1"/>
  <c r="L2433" i="1" s="1"/>
  <c r="L2432" i="1" a="1"/>
  <c r="L2432" i="1" s="1"/>
  <c r="K2432" i="1"/>
  <c r="L2431" i="1" a="1"/>
  <c r="L2431" i="1" s="1"/>
  <c r="K2431" i="1"/>
  <c r="L2430" i="1"/>
  <c r="L2430" i="1" a="1"/>
  <c r="K2430" i="1"/>
  <c r="K2429" i="1"/>
  <c r="L2429" i="1" s="1" a="1"/>
  <c r="L2429" i="1" s="1"/>
  <c r="L2428" i="1" a="1"/>
  <c r="L2428" i="1" s="1"/>
  <c r="K2428" i="1"/>
  <c r="L2427" i="1"/>
  <c r="L2427" i="1" a="1"/>
  <c r="K2427" i="1"/>
  <c r="L2426" i="1" a="1"/>
  <c r="L2426" i="1" s="1"/>
  <c r="K2426" i="1"/>
  <c r="K2425" i="1"/>
  <c r="L2425" i="1" s="1" a="1"/>
  <c r="L2425" i="1" s="1"/>
  <c r="L2424" i="1" a="1"/>
  <c r="L2424" i="1" s="1"/>
  <c r="K2424" i="1"/>
  <c r="L2423" i="1"/>
  <c r="L2423" i="1" a="1"/>
  <c r="K2423" i="1"/>
  <c r="L2422" i="1"/>
  <c r="L2422" i="1" a="1"/>
  <c r="K2422" i="1"/>
  <c r="L2421" i="1"/>
  <c r="L2421" i="1" a="1"/>
  <c r="K2421" i="1"/>
  <c r="L2420" i="1" a="1"/>
  <c r="L2420" i="1" s="1"/>
  <c r="K2420" i="1"/>
  <c r="L2419" i="1"/>
  <c r="L2419" i="1" a="1"/>
  <c r="K2419" i="1"/>
  <c r="L2418" i="1" a="1"/>
  <c r="L2418" i="1" s="1"/>
  <c r="K2418" i="1"/>
  <c r="L2417" i="1"/>
  <c r="L2417" i="1" a="1"/>
  <c r="K2417" i="1"/>
  <c r="L2416" i="1" a="1"/>
  <c r="L2416" i="1" s="1"/>
  <c r="K2416" i="1"/>
  <c r="L2415" i="1" a="1"/>
  <c r="L2415" i="1" s="1"/>
  <c r="K2415" i="1"/>
  <c r="L2414" i="1"/>
  <c r="L2414" i="1" a="1"/>
  <c r="K2414" i="1"/>
  <c r="L2413" i="1" a="1"/>
  <c r="L2413" i="1" s="1"/>
  <c r="K2413" i="1"/>
  <c r="L2412" i="1" a="1"/>
  <c r="L2412" i="1" s="1"/>
  <c r="K2412" i="1"/>
  <c r="L2411" i="1" a="1"/>
  <c r="L2411" i="1" s="1"/>
  <c r="K2411" i="1"/>
  <c r="L2410" i="1"/>
  <c r="L2410" i="1" a="1"/>
  <c r="K2410" i="1"/>
  <c r="K2409" i="1"/>
  <c r="L2409" i="1" s="1" a="1"/>
  <c r="L2409" i="1" s="1"/>
  <c r="L2408" i="1" a="1"/>
  <c r="L2408" i="1" s="1"/>
  <c r="K2408" i="1"/>
  <c r="L2407" i="1" a="1"/>
  <c r="L2407" i="1" s="1"/>
  <c r="K2407" i="1"/>
  <c r="L2406" i="1"/>
  <c r="L2406" i="1" a="1"/>
  <c r="K2406" i="1"/>
  <c r="L2405" i="1" a="1"/>
  <c r="L2405" i="1" s="1"/>
  <c r="K2405" i="1"/>
  <c r="L2404" i="1" a="1"/>
  <c r="L2404" i="1" s="1"/>
  <c r="K2404" i="1"/>
  <c r="L2403" i="1"/>
  <c r="L2403" i="1" a="1"/>
  <c r="K2403" i="1"/>
  <c r="L2402" i="1" a="1"/>
  <c r="L2402" i="1" s="1"/>
  <c r="K2402" i="1"/>
  <c r="K2401" i="1"/>
  <c r="L2401" i="1" s="1" a="1"/>
  <c r="L2401" i="1" s="1"/>
  <c r="L2400" i="1" a="1"/>
  <c r="L2400" i="1" s="1"/>
  <c r="K2400" i="1"/>
  <c r="L2399" i="1"/>
  <c r="L2399" i="1" a="1"/>
  <c r="K2399" i="1"/>
  <c r="L2398" i="1" a="1"/>
  <c r="L2398" i="1" s="1"/>
  <c r="K2398" i="1"/>
  <c r="L2397" i="1"/>
  <c r="L2397" i="1" a="1"/>
  <c r="K2397" i="1"/>
  <c r="L2396" i="1" a="1"/>
  <c r="L2396" i="1" s="1"/>
  <c r="K2396" i="1"/>
  <c r="L2395" i="1"/>
  <c r="L2395" i="1" a="1"/>
  <c r="K2395" i="1"/>
  <c r="L2394" i="1" a="1"/>
  <c r="L2394" i="1" s="1"/>
  <c r="K2394" i="1"/>
  <c r="L2393" i="1"/>
  <c r="L2393" i="1" a="1"/>
  <c r="K2393" i="1"/>
  <c r="L2392" i="1" a="1"/>
  <c r="L2392" i="1" s="1"/>
  <c r="K2392" i="1"/>
  <c r="L2391" i="1" a="1"/>
  <c r="L2391" i="1" s="1"/>
  <c r="K2391" i="1"/>
  <c r="L2390" i="1"/>
  <c r="L2390" i="1" a="1"/>
  <c r="K2390" i="1"/>
  <c r="L2389" i="1" a="1"/>
  <c r="L2389" i="1" s="1"/>
  <c r="K2389" i="1"/>
  <c r="L2388" i="1" a="1"/>
  <c r="L2388" i="1" s="1"/>
  <c r="K2388" i="1"/>
  <c r="L2387" i="1"/>
  <c r="L2387" i="1" a="1"/>
  <c r="K2387" i="1"/>
  <c r="L2386" i="1"/>
  <c r="L2386" i="1" a="1"/>
  <c r="K2386" i="1"/>
  <c r="K2385" i="1"/>
  <c r="L2385" i="1" s="1" a="1"/>
  <c r="L2385" i="1" s="1"/>
  <c r="L2384" i="1" a="1"/>
  <c r="L2384" i="1" s="1"/>
  <c r="K2384" i="1"/>
  <c r="L2383" i="1" a="1"/>
  <c r="L2383" i="1" s="1"/>
  <c r="K2383" i="1"/>
  <c r="L2382" i="1"/>
  <c r="L2382" i="1" a="1"/>
  <c r="K2382" i="1"/>
  <c r="K2381" i="1"/>
  <c r="L2381" i="1" s="1" a="1"/>
  <c r="L2381" i="1" s="1"/>
  <c r="L2380" i="1" a="1"/>
  <c r="L2380" i="1" s="1"/>
  <c r="K2380" i="1"/>
  <c r="L2379" i="1"/>
  <c r="L2379" i="1" a="1"/>
  <c r="K2379" i="1"/>
  <c r="L2378" i="1" a="1"/>
  <c r="L2378" i="1" s="1"/>
  <c r="K2378" i="1"/>
  <c r="K2377" i="1"/>
  <c r="L2377" i="1" s="1" a="1"/>
  <c r="L2377" i="1" s="1"/>
  <c r="L2376" i="1" a="1"/>
  <c r="L2376" i="1" s="1"/>
  <c r="K2376" i="1"/>
  <c r="L2375" i="1"/>
  <c r="L2375" i="1" a="1"/>
  <c r="K2375" i="1"/>
  <c r="L2374" i="1"/>
  <c r="L2374" i="1" a="1"/>
  <c r="K2374" i="1"/>
  <c r="L2373" i="1"/>
  <c r="L2373" i="1" a="1"/>
  <c r="K2373" i="1"/>
  <c r="L2372" i="1" a="1"/>
  <c r="L2372" i="1" s="1"/>
  <c r="K2372" i="1"/>
  <c r="L2371" i="1"/>
  <c r="L2371" i="1" a="1"/>
  <c r="K2371" i="1"/>
  <c r="L2370" i="1" a="1"/>
  <c r="L2370" i="1" s="1"/>
  <c r="K2370" i="1"/>
  <c r="L2369" i="1"/>
  <c r="L2369" i="1" a="1"/>
  <c r="K2369" i="1"/>
  <c r="L2368" i="1" a="1"/>
  <c r="L2368" i="1" s="1"/>
  <c r="K2368" i="1"/>
  <c r="L2367" i="1" a="1"/>
  <c r="L2367" i="1" s="1"/>
  <c r="K2367" i="1"/>
  <c r="L2366" i="1"/>
  <c r="L2366" i="1" a="1"/>
  <c r="K2366" i="1"/>
  <c r="L2365" i="1" a="1"/>
  <c r="L2365" i="1" s="1"/>
  <c r="K2365" i="1"/>
  <c r="L2364" i="1" a="1"/>
  <c r="L2364" i="1" s="1"/>
  <c r="K2364" i="1"/>
  <c r="L2363" i="1" a="1"/>
  <c r="L2363" i="1" s="1"/>
  <c r="K2363" i="1"/>
  <c r="L2362" i="1"/>
  <c r="L2362" i="1" a="1"/>
  <c r="K2362" i="1"/>
  <c r="L2361" i="1"/>
  <c r="K2361" i="1"/>
  <c r="L2361" i="1" s="1" a="1"/>
  <c r="L2360" i="1" a="1"/>
  <c r="L2360" i="1" s="1"/>
  <c r="K2360" i="1"/>
  <c r="L2359" i="1" a="1"/>
  <c r="L2359" i="1" s="1"/>
  <c r="K2359" i="1"/>
  <c r="L2358" i="1"/>
  <c r="L2358" i="1" a="1"/>
  <c r="K2358" i="1"/>
  <c r="L2357" i="1" a="1"/>
  <c r="L2357" i="1" s="1"/>
  <c r="K2357" i="1"/>
  <c r="L2356" i="1" a="1"/>
  <c r="L2356" i="1" s="1"/>
  <c r="K2356" i="1"/>
  <c r="L2355" i="1"/>
  <c r="L2355" i="1" a="1"/>
  <c r="K2355" i="1"/>
  <c r="L2354" i="1" a="1"/>
  <c r="L2354" i="1" s="1"/>
  <c r="K2354" i="1"/>
  <c r="K2353" i="1"/>
  <c r="L2353" i="1" s="1" a="1"/>
  <c r="L2353" i="1" s="1"/>
  <c r="L2352" i="1" a="1"/>
  <c r="L2352" i="1" s="1"/>
  <c r="K2352" i="1"/>
  <c r="L2351" i="1"/>
  <c r="L2351" i="1" a="1"/>
  <c r="K2351" i="1"/>
  <c r="L2350" i="1" a="1"/>
  <c r="L2350" i="1" s="1"/>
  <c r="K2350" i="1"/>
  <c r="L2349" i="1"/>
  <c r="L2349" i="1" a="1"/>
  <c r="K2349" i="1"/>
  <c r="L2348" i="1" a="1"/>
  <c r="L2348" i="1" s="1"/>
  <c r="K2348" i="1"/>
  <c r="L2347" i="1"/>
  <c r="L2347" i="1" a="1"/>
  <c r="K2347" i="1"/>
  <c r="L2346" i="1" a="1"/>
  <c r="L2346" i="1" s="1"/>
  <c r="K2346" i="1"/>
  <c r="L2345" i="1"/>
  <c r="L2345" i="1" a="1"/>
  <c r="K2345" i="1"/>
  <c r="L2344" i="1" a="1"/>
  <c r="L2344" i="1" s="1"/>
  <c r="K2344" i="1"/>
  <c r="L2343" i="1" a="1"/>
  <c r="L2343" i="1" s="1"/>
  <c r="K2343" i="1"/>
  <c r="L2342" i="1"/>
  <c r="L2342" i="1" a="1"/>
  <c r="K2342" i="1"/>
  <c r="L2341" i="1" a="1"/>
  <c r="L2341" i="1" s="1"/>
  <c r="K2341" i="1"/>
  <c r="L2340" i="1" a="1"/>
  <c r="L2340" i="1" s="1"/>
  <c r="K2340" i="1"/>
  <c r="L2339" i="1"/>
  <c r="L2339" i="1" a="1"/>
  <c r="K2339" i="1"/>
  <c r="L2338" i="1"/>
  <c r="L2338" i="1" a="1"/>
  <c r="K2338" i="1"/>
  <c r="K2337" i="1"/>
  <c r="L2337" i="1" s="1" a="1"/>
  <c r="L2337" i="1" s="1"/>
  <c r="L2336" i="1" a="1"/>
  <c r="L2336" i="1" s="1"/>
  <c r="K2336" i="1"/>
  <c r="L2335" i="1" a="1"/>
  <c r="L2335" i="1" s="1"/>
  <c r="K2335" i="1"/>
  <c r="L2334" i="1"/>
  <c r="L2334" i="1" a="1"/>
  <c r="K2334" i="1"/>
  <c r="K2333" i="1"/>
  <c r="L2333" i="1" s="1" a="1"/>
  <c r="L2333" i="1" s="1"/>
  <c r="L2332" i="1" a="1"/>
  <c r="L2332" i="1" s="1"/>
  <c r="K2332" i="1"/>
  <c r="L2331" i="1"/>
  <c r="L2331" i="1" a="1"/>
  <c r="K2331" i="1"/>
  <c r="L2330" i="1" a="1"/>
  <c r="L2330" i="1" s="1"/>
  <c r="K2330" i="1"/>
  <c r="K2329" i="1"/>
  <c r="L2329" i="1" s="1" a="1"/>
  <c r="L2329" i="1" s="1"/>
  <c r="L2328" i="1" a="1"/>
  <c r="L2328" i="1" s="1"/>
  <c r="K2328" i="1"/>
  <c r="L2327" i="1"/>
  <c r="L2327" i="1" a="1"/>
  <c r="K2327" i="1"/>
  <c r="L2326" i="1"/>
  <c r="L2326" i="1" a="1"/>
  <c r="K2326" i="1"/>
  <c r="L2325" i="1"/>
  <c r="L2325" i="1" a="1"/>
  <c r="K2325" i="1"/>
  <c r="L2324" i="1" a="1"/>
  <c r="L2324" i="1" s="1"/>
  <c r="K2324" i="1"/>
  <c r="L2323" i="1"/>
  <c r="L2323" i="1" a="1"/>
  <c r="K2323" i="1"/>
  <c r="L2322" i="1" a="1"/>
  <c r="L2322" i="1" s="1"/>
  <c r="K2322" i="1"/>
  <c r="L2321" i="1"/>
  <c r="L2321" i="1" a="1"/>
  <c r="K2321" i="1"/>
  <c r="L2320" i="1" a="1"/>
  <c r="L2320" i="1" s="1"/>
  <c r="K2320" i="1"/>
  <c r="L2319" i="1" a="1"/>
  <c r="L2319" i="1" s="1"/>
  <c r="K2319" i="1"/>
  <c r="L2318" i="1"/>
  <c r="L2318" i="1" a="1"/>
  <c r="K2318" i="1"/>
  <c r="L2317" i="1" a="1"/>
  <c r="L2317" i="1" s="1"/>
  <c r="K2317" i="1"/>
  <c r="L2316" i="1" a="1"/>
  <c r="L2316" i="1" s="1"/>
  <c r="K2316" i="1"/>
  <c r="L2315" i="1" a="1"/>
  <c r="L2315" i="1" s="1"/>
  <c r="K2315" i="1"/>
  <c r="L2314" i="1"/>
  <c r="L2314" i="1" a="1"/>
  <c r="K2314" i="1"/>
  <c r="K2313" i="1"/>
  <c r="L2313" i="1" s="1" a="1"/>
  <c r="L2313" i="1" s="1"/>
  <c r="L2312" i="1" a="1"/>
  <c r="L2312" i="1" s="1"/>
  <c r="K2312" i="1"/>
  <c r="L2311" i="1" a="1"/>
  <c r="L2311" i="1" s="1"/>
  <c r="K2311" i="1"/>
  <c r="L2310" i="1"/>
  <c r="L2310" i="1" a="1"/>
  <c r="K2310" i="1"/>
  <c r="L2309" i="1" a="1"/>
  <c r="L2309" i="1" s="1"/>
  <c r="K2309" i="1"/>
  <c r="L2308" i="1" a="1"/>
  <c r="L2308" i="1" s="1"/>
  <c r="K2308" i="1"/>
  <c r="L2307" i="1"/>
  <c r="L2307" i="1" a="1"/>
  <c r="K2307" i="1"/>
  <c r="L2306" i="1" a="1"/>
  <c r="L2306" i="1" s="1"/>
  <c r="K2306" i="1"/>
  <c r="K2305" i="1"/>
  <c r="L2305" i="1" s="1" a="1"/>
  <c r="L2305" i="1" s="1"/>
  <c r="L2304" i="1" a="1"/>
  <c r="L2304" i="1" s="1"/>
  <c r="K2304" i="1"/>
  <c r="L2303" i="1"/>
  <c r="L2303" i="1" a="1"/>
  <c r="K2303" i="1"/>
  <c r="L2302" i="1" a="1"/>
  <c r="L2302" i="1" s="1"/>
  <c r="K2302" i="1"/>
  <c r="L2301" i="1" a="1"/>
  <c r="L2301" i="1" s="1"/>
  <c r="K2301" i="1"/>
  <c r="L2300" i="1" a="1"/>
  <c r="L2300" i="1" s="1"/>
  <c r="K2300" i="1"/>
  <c r="L2299" i="1"/>
  <c r="L2299" i="1" a="1"/>
  <c r="K2299" i="1"/>
  <c r="L2298" i="1" a="1"/>
  <c r="L2298" i="1" s="1"/>
  <c r="K2298" i="1"/>
  <c r="K2297" i="1"/>
  <c r="L2297" i="1" s="1" a="1"/>
  <c r="L2297" i="1" s="1"/>
  <c r="L2296" i="1" a="1"/>
  <c r="L2296" i="1" s="1"/>
  <c r="K2296" i="1"/>
  <c r="L2295" i="1" a="1"/>
  <c r="L2295" i="1" s="1"/>
  <c r="K2295" i="1"/>
  <c r="L2294" i="1"/>
  <c r="L2294" i="1" a="1"/>
  <c r="K2294" i="1"/>
  <c r="L2293" i="1" a="1"/>
  <c r="L2293" i="1" s="1"/>
  <c r="K2293" i="1"/>
  <c r="L2292" i="1" a="1"/>
  <c r="L2292" i="1" s="1"/>
  <c r="K2292" i="1"/>
  <c r="L2291" i="1"/>
  <c r="L2291" i="1" a="1"/>
  <c r="K2291" i="1"/>
  <c r="L2290" i="1"/>
  <c r="L2290" i="1" a="1"/>
  <c r="K2290" i="1"/>
  <c r="K2289" i="1"/>
  <c r="L2289" i="1" s="1" a="1"/>
  <c r="L2289" i="1" s="1"/>
  <c r="L2288" i="1" a="1"/>
  <c r="L2288" i="1" s="1"/>
  <c r="K2288" i="1"/>
  <c r="L2287" i="1" a="1"/>
  <c r="L2287" i="1" s="1"/>
  <c r="K2287" i="1"/>
  <c r="L2286" i="1"/>
  <c r="L2286" i="1" a="1"/>
  <c r="K2286" i="1"/>
  <c r="L2285" i="1" a="1"/>
  <c r="L2285" i="1" s="1"/>
  <c r="K2285" i="1"/>
  <c r="L2284" i="1" a="1"/>
  <c r="L2284" i="1" s="1"/>
  <c r="K2284" i="1"/>
  <c r="L2283" i="1"/>
  <c r="L2283" i="1" a="1"/>
  <c r="K2283" i="1"/>
  <c r="L2282" i="1" a="1"/>
  <c r="L2282" i="1" s="1"/>
  <c r="K2282" i="1"/>
  <c r="K2281" i="1"/>
  <c r="L2281" i="1" s="1" a="1"/>
  <c r="L2281" i="1" s="1"/>
  <c r="L2280" i="1" a="1"/>
  <c r="L2280" i="1" s="1"/>
  <c r="K2280" i="1"/>
  <c r="L2279" i="1" a="1"/>
  <c r="L2279" i="1" s="1"/>
  <c r="K2279" i="1"/>
  <c r="L2278" i="1"/>
  <c r="L2278" i="1" a="1"/>
  <c r="K2278" i="1"/>
  <c r="L2277" i="1"/>
  <c r="L2277" i="1" a="1"/>
  <c r="K2277" i="1"/>
  <c r="L2276" i="1" a="1"/>
  <c r="L2276" i="1" s="1"/>
  <c r="K2276" i="1"/>
  <c r="L2275" i="1"/>
  <c r="L2275" i="1" a="1"/>
  <c r="K2275" i="1"/>
  <c r="L2274" i="1" a="1"/>
  <c r="L2274" i="1" s="1"/>
  <c r="K2274" i="1"/>
  <c r="L2273" i="1"/>
  <c r="L2273" i="1" a="1"/>
  <c r="K2273" i="1"/>
  <c r="L2272" i="1" a="1"/>
  <c r="L2272" i="1" s="1"/>
  <c r="K2272" i="1"/>
  <c r="L2271" i="1" a="1"/>
  <c r="L2271" i="1" s="1"/>
  <c r="K2271" i="1"/>
  <c r="L2270" i="1"/>
  <c r="L2270" i="1" a="1"/>
  <c r="K2270" i="1"/>
  <c r="L2269" i="1" a="1"/>
  <c r="L2269" i="1" s="1"/>
  <c r="K2269" i="1"/>
  <c r="L2268" i="1" a="1"/>
  <c r="L2268" i="1" s="1"/>
  <c r="K2268" i="1"/>
  <c r="L2267" i="1"/>
  <c r="L2267" i="1" a="1"/>
  <c r="K2267" i="1"/>
  <c r="L2266" i="1" a="1"/>
  <c r="L2266" i="1" s="1"/>
  <c r="K2266" i="1"/>
  <c r="K2265" i="1"/>
  <c r="L2265" i="1" s="1" a="1"/>
  <c r="L2265" i="1" s="1"/>
  <c r="L2264" i="1" a="1"/>
  <c r="L2264" i="1" s="1"/>
  <c r="K2264" i="1"/>
  <c r="L2263" i="1" a="1"/>
  <c r="L2263" i="1" s="1"/>
  <c r="K2263" i="1"/>
  <c r="L2262" i="1"/>
  <c r="L2262" i="1" a="1"/>
  <c r="K2262" i="1"/>
  <c r="L2261" i="1" a="1"/>
  <c r="L2261" i="1" s="1"/>
  <c r="K2261" i="1"/>
  <c r="L2260" i="1" a="1"/>
  <c r="L2260" i="1" s="1"/>
  <c r="K2260" i="1"/>
  <c r="L2259" i="1"/>
  <c r="L2259" i="1" a="1"/>
  <c r="K2259" i="1"/>
  <c r="L2258" i="1" a="1"/>
  <c r="L2258" i="1" s="1"/>
  <c r="K2258" i="1"/>
  <c r="K2257" i="1"/>
  <c r="L2257" i="1" s="1" a="1"/>
  <c r="L2257" i="1" s="1"/>
  <c r="L2256" i="1" a="1"/>
  <c r="L2256" i="1" s="1"/>
  <c r="K2256" i="1"/>
  <c r="L2255" i="1"/>
  <c r="L2255" i="1" a="1"/>
  <c r="K2255" i="1"/>
  <c r="L2254" i="1" a="1"/>
  <c r="L2254" i="1" s="1"/>
  <c r="K2254" i="1"/>
  <c r="L2253" i="1" a="1"/>
  <c r="L2253" i="1" s="1"/>
  <c r="K2253" i="1"/>
  <c r="L2252" i="1" a="1"/>
  <c r="L2252" i="1" s="1"/>
  <c r="K2252" i="1"/>
  <c r="L2251" i="1"/>
  <c r="L2251" i="1" a="1"/>
  <c r="K2251" i="1"/>
  <c r="L2250" i="1" a="1"/>
  <c r="L2250" i="1" s="1"/>
  <c r="K2250" i="1"/>
  <c r="L2249" i="1"/>
  <c r="K2249" i="1"/>
  <c r="L2249" i="1" s="1" a="1"/>
  <c r="L2248" i="1" a="1"/>
  <c r="L2248" i="1" s="1"/>
  <c r="K2248" i="1"/>
  <c r="L2247" i="1" a="1"/>
  <c r="L2247" i="1" s="1"/>
  <c r="K2247" i="1"/>
  <c r="L2246" i="1"/>
  <c r="L2246" i="1" a="1"/>
  <c r="K2246" i="1"/>
  <c r="L2245" i="1" a="1"/>
  <c r="L2245" i="1" s="1"/>
  <c r="K2245" i="1"/>
  <c r="L2244" i="1" a="1"/>
  <c r="L2244" i="1" s="1"/>
  <c r="K2244" i="1"/>
  <c r="L2243" i="1"/>
  <c r="L2243" i="1" a="1"/>
  <c r="K2243" i="1"/>
  <c r="L2242" i="1"/>
  <c r="L2242" i="1" a="1"/>
  <c r="K2242" i="1"/>
  <c r="K2241" i="1"/>
  <c r="L2241" i="1" s="1" a="1"/>
  <c r="L2241" i="1" s="1"/>
  <c r="L2240" i="1" a="1"/>
  <c r="L2240" i="1" s="1"/>
  <c r="K2240" i="1"/>
  <c r="L2239" i="1" a="1"/>
  <c r="L2239" i="1" s="1"/>
  <c r="K2239" i="1"/>
  <c r="L2238" i="1"/>
  <c r="L2238" i="1" a="1"/>
  <c r="K2238" i="1"/>
  <c r="L2237" i="1" a="1"/>
  <c r="L2237" i="1" s="1"/>
  <c r="K2237" i="1"/>
  <c r="L2236" i="1" a="1"/>
  <c r="L2236" i="1" s="1"/>
  <c r="K2236" i="1"/>
  <c r="L2235" i="1"/>
  <c r="L2235" i="1" a="1"/>
  <c r="K2235" i="1"/>
  <c r="L2234" i="1" a="1"/>
  <c r="L2234" i="1" s="1"/>
  <c r="K2234" i="1"/>
  <c r="K2233" i="1"/>
  <c r="L2233" i="1" s="1" a="1"/>
  <c r="L2233" i="1" s="1"/>
  <c r="L2232" i="1" a="1"/>
  <c r="L2232" i="1" s="1"/>
  <c r="K2232" i="1"/>
  <c r="L2231" i="1" a="1"/>
  <c r="L2231" i="1" s="1"/>
  <c r="K2231" i="1"/>
  <c r="L2230" i="1"/>
  <c r="L2230" i="1" a="1"/>
  <c r="K2230" i="1"/>
  <c r="L2229" i="1"/>
  <c r="L2229" i="1" a="1"/>
  <c r="K2229" i="1"/>
  <c r="L2228" i="1" a="1"/>
  <c r="L2228" i="1" s="1"/>
  <c r="K2228" i="1"/>
  <c r="L2227" i="1"/>
  <c r="L2227" i="1" a="1"/>
  <c r="K2227" i="1"/>
  <c r="L2226" i="1" a="1"/>
  <c r="L2226" i="1" s="1"/>
  <c r="K2226" i="1"/>
  <c r="L2225" i="1" a="1"/>
  <c r="L2225" i="1" s="1"/>
  <c r="K2225" i="1"/>
  <c r="L2224" i="1" a="1"/>
  <c r="L2224" i="1" s="1"/>
  <c r="K2224" i="1"/>
  <c r="L2223" i="1" a="1"/>
  <c r="L2223" i="1" s="1"/>
  <c r="K2223" i="1"/>
  <c r="L2222" i="1"/>
  <c r="L2222" i="1" a="1"/>
  <c r="K2222" i="1"/>
  <c r="K2221" i="1"/>
  <c r="L2221" i="1" s="1" a="1"/>
  <c r="L2221" i="1" s="1"/>
  <c r="L2220" i="1" a="1"/>
  <c r="L2220" i="1" s="1"/>
  <c r="K2220" i="1"/>
  <c r="L2219" i="1"/>
  <c r="L2219" i="1" a="1"/>
  <c r="K2219" i="1"/>
  <c r="L2218" i="1" a="1"/>
  <c r="L2218" i="1" s="1"/>
  <c r="K2218" i="1"/>
  <c r="K2217" i="1"/>
  <c r="L2217" i="1" s="1" a="1"/>
  <c r="L2217" i="1" s="1"/>
  <c r="L2216" i="1" a="1"/>
  <c r="L2216" i="1" s="1"/>
  <c r="K2216" i="1"/>
  <c r="L2215" i="1" a="1"/>
  <c r="L2215" i="1" s="1"/>
  <c r="K2215" i="1"/>
  <c r="L2214" i="1"/>
  <c r="L2214" i="1" a="1"/>
  <c r="K2214" i="1"/>
  <c r="L2213" i="1" a="1"/>
  <c r="L2213" i="1" s="1"/>
  <c r="K2213" i="1"/>
  <c r="L2212" i="1" a="1"/>
  <c r="L2212" i="1" s="1"/>
  <c r="K2212" i="1"/>
  <c r="L2211" i="1"/>
  <c r="L2211" i="1" a="1"/>
  <c r="K2211" i="1"/>
  <c r="L2210" i="1" a="1"/>
  <c r="L2210" i="1" s="1"/>
  <c r="K2210" i="1"/>
  <c r="K2209" i="1"/>
  <c r="L2209" i="1" s="1" a="1"/>
  <c r="L2209" i="1" s="1"/>
  <c r="L2208" i="1" a="1"/>
  <c r="L2208" i="1" s="1"/>
  <c r="K2208" i="1"/>
  <c r="L2207" i="1"/>
  <c r="L2207" i="1" a="1"/>
  <c r="K2207" i="1"/>
  <c r="L2206" i="1"/>
  <c r="L2206" i="1" a="1"/>
  <c r="K2206" i="1"/>
  <c r="L2205" i="1" a="1"/>
  <c r="L2205" i="1" s="1"/>
  <c r="K2205" i="1"/>
  <c r="L2204" i="1" a="1"/>
  <c r="L2204" i="1" s="1"/>
  <c r="K2204" i="1"/>
  <c r="L2203" i="1"/>
  <c r="L2203" i="1" a="1"/>
  <c r="K2203" i="1"/>
  <c r="L2202" i="1" a="1"/>
  <c r="L2202" i="1" s="1"/>
  <c r="K2202" i="1"/>
  <c r="K2201" i="1"/>
  <c r="L2201" i="1" s="1" a="1"/>
  <c r="L2201" i="1" s="1"/>
  <c r="L2200" i="1" a="1"/>
  <c r="L2200" i="1" s="1"/>
  <c r="K2200" i="1"/>
  <c r="L2199" i="1"/>
  <c r="L2199" i="1" a="1"/>
  <c r="K2199" i="1"/>
  <c r="L2198" i="1" a="1"/>
  <c r="L2198" i="1" s="1"/>
  <c r="K2198" i="1"/>
  <c r="K2197" i="1"/>
  <c r="L2197" i="1" s="1" a="1"/>
  <c r="L2197" i="1" s="1"/>
  <c r="L2196" i="1" a="1"/>
  <c r="L2196" i="1" s="1"/>
  <c r="K2196" i="1"/>
  <c r="L2195" i="1" a="1"/>
  <c r="L2195" i="1" s="1"/>
  <c r="K2195" i="1"/>
  <c r="L2194" i="1" a="1"/>
  <c r="L2194" i="1" s="1"/>
  <c r="K2194" i="1"/>
  <c r="L2193" i="1"/>
  <c r="K2193" i="1"/>
  <c r="L2193" i="1" s="1" a="1"/>
  <c r="L2192" i="1" a="1"/>
  <c r="L2192" i="1" s="1"/>
  <c r="K2192" i="1"/>
  <c r="L2191" i="1"/>
  <c r="L2191" i="1" a="1"/>
  <c r="K2191" i="1"/>
  <c r="L2190" i="1" a="1"/>
  <c r="L2190" i="1" s="1"/>
  <c r="K2190" i="1"/>
  <c r="K2189" i="1"/>
  <c r="L2189" i="1" s="1" a="1"/>
  <c r="L2189" i="1" s="1"/>
  <c r="L2188" i="1" a="1"/>
  <c r="L2188" i="1" s="1"/>
  <c r="K2188" i="1"/>
  <c r="L2187" i="1" a="1"/>
  <c r="L2187" i="1" s="1"/>
  <c r="K2187" i="1"/>
  <c r="L2186" i="1" a="1"/>
  <c r="L2186" i="1" s="1"/>
  <c r="K2186" i="1"/>
  <c r="K2185" i="1"/>
  <c r="L2185" i="1" s="1" a="1"/>
  <c r="L2185" i="1" s="1"/>
  <c r="L2184" i="1" a="1"/>
  <c r="L2184" i="1" s="1"/>
  <c r="K2184" i="1"/>
  <c r="L2183" i="1"/>
  <c r="L2183" i="1" a="1"/>
  <c r="K2183" i="1"/>
  <c r="L2182" i="1" a="1"/>
  <c r="L2182" i="1" s="1"/>
  <c r="K2182" i="1"/>
  <c r="K2181" i="1"/>
  <c r="L2181" i="1" s="1" a="1"/>
  <c r="L2181" i="1" s="1"/>
  <c r="L2180" i="1" a="1"/>
  <c r="L2180" i="1" s="1"/>
  <c r="K2180" i="1"/>
  <c r="L2179" i="1" a="1"/>
  <c r="L2179" i="1" s="1"/>
  <c r="K2179" i="1"/>
  <c r="L2178" i="1" a="1"/>
  <c r="L2178" i="1" s="1"/>
  <c r="K2178" i="1"/>
  <c r="L2177" i="1"/>
  <c r="K2177" i="1"/>
  <c r="L2177" i="1" s="1" a="1"/>
  <c r="L2176" i="1" a="1"/>
  <c r="L2176" i="1" s="1"/>
  <c r="K2176" i="1"/>
  <c r="L2175" i="1"/>
  <c r="L2175" i="1" a="1"/>
  <c r="K2175" i="1"/>
  <c r="L2174" i="1" a="1"/>
  <c r="L2174" i="1" s="1"/>
  <c r="K2174" i="1"/>
  <c r="K2173" i="1"/>
  <c r="L2173" i="1" s="1" a="1"/>
  <c r="L2173" i="1" s="1"/>
  <c r="L2172" i="1" a="1"/>
  <c r="L2172" i="1" s="1"/>
  <c r="K2172" i="1"/>
  <c r="L2171" i="1" a="1"/>
  <c r="L2171" i="1" s="1"/>
  <c r="K2171" i="1"/>
  <c r="L2170" i="1" a="1"/>
  <c r="L2170" i="1" s="1"/>
  <c r="K2170" i="1"/>
  <c r="K2169" i="1"/>
  <c r="L2169" i="1" s="1" a="1"/>
  <c r="L2169" i="1" s="1"/>
  <c r="L2168" i="1" a="1"/>
  <c r="L2168" i="1" s="1"/>
  <c r="K2168" i="1"/>
  <c r="L2167" i="1"/>
  <c r="L2167" i="1" a="1"/>
  <c r="K2167" i="1"/>
  <c r="L2166" i="1" a="1"/>
  <c r="L2166" i="1" s="1"/>
  <c r="K2166" i="1"/>
  <c r="K2165" i="1"/>
  <c r="L2165" i="1" s="1" a="1"/>
  <c r="L2165" i="1" s="1"/>
  <c r="L2164" i="1" a="1"/>
  <c r="L2164" i="1" s="1"/>
  <c r="K2164" i="1"/>
  <c r="L2163" i="1"/>
  <c r="L2163" i="1" a="1"/>
  <c r="K2163" i="1"/>
  <c r="L2162" i="1" a="1"/>
  <c r="L2162" i="1" s="1"/>
  <c r="K2162" i="1"/>
  <c r="L2161" i="1"/>
  <c r="K2161" i="1"/>
  <c r="L2161" i="1" s="1" a="1"/>
  <c r="L2160" i="1" a="1"/>
  <c r="L2160" i="1" s="1"/>
  <c r="K2160" i="1"/>
  <c r="L2159" i="1" a="1"/>
  <c r="L2159" i="1" s="1"/>
  <c r="K2159" i="1"/>
  <c r="L2158" i="1" a="1"/>
  <c r="L2158" i="1" s="1"/>
  <c r="K2158" i="1"/>
  <c r="K2157" i="1"/>
  <c r="L2157" i="1" s="1" a="1"/>
  <c r="L2157" i="1" s="1"/>
  <c r="L2156" i="1" a="1"/>
  <c r="L2156" i="1" s="1"/>
  <c r="K2156" i="1"/>
  <c r="L2155" i="1" a="1"/>
  <c r="L2155" i="1" s="1"/>
  <c r="K2155" i="1"/>
  <c r="L2154" i="1" a="1"/>
  <c r="L2154" i="1" s="1"/>
  <c r="K2154" i="1"/>
  <c r="K2153" i="1"/>
  <c r="L2153" i="1" s="1" a="1"/>
  <c r="L2153" i="1" s="1"/>
  <c r="L2152" i="1" a="1"/>
  <c r="L2152" i="1" s="1"/>
  <c r="K2152" i="1"/>
  <c r="L2151" i="1"/>
  <c r="L2151" i="1" a="1"/>
  <c r="K2151" i="1"/>
  <c r="L2150" i="1" a="1"/>
  <c r="L2150" i="1" s="1"/>
  <c r="K2150" i="1"/>
  <c r="K2149" i="1"/>
  <c r="L2149" i="1" s="1" a="1"/>
  <c r="L2149" i="1" s="1"/>
  <c r="L2148" i="1" a="1"/>
  <c r="L2148" i="1" s="1"/>
  <c r="K2148" i="1"/>
  <c r="L2147" i="1" a="1"/>
  <c r="L2147" i="1" s="1"/>
  <c r="K2147" i="1"/>
  <c r="L2146" i="1" a="1"/>
  <c r="L2146" i="1" s="1"/>
  <c r="K2146" i="1"/>
  <c r="L2145" i="1"/>
  <c r="K2145" i="1"/>
  <c r="L2145" i="1" s="1" a="1"/>
  <c r="L2144" i="1" a="1"/>
  <c r="L2144" i="1" s="1"/>
  <c r="K2144" i="1"/>
  <c r="L2143" i="1"/>
  <c r="L2143" i="1" a="1"/>
  <c r="K2143" i="1"/>
  <c r="L2142" i="1" a="1"/>
  <c r="L2142" i="1" s="1"/>
  <c r="K2142" i="1"/>
  <c r="K2141" i="1"/>
  <c r="L2141" i="1" s="1" a="1"/>
  <c r="L2141" i="1" s="1"/>
  <c r="L2140" i="1" a="1"/>
  <c r="L2140" i="1" s="1"/>
  <c r="K2140" i="1"/>
  <c r="L2139" i="1" a="1"/>
  <c r="L2139" i="1" s="1"/>
  <c r="K2139" i="1"/>
  <c r="L2138" i="1" a="1"/>
  <c r="L2138" i="1" s="1"/>
  <c r="K2138" i="1"/>
  <c r="K2137" i="1"/>
  <c r="L2137" i="1" s="1" a="1"/>
  <c r="L2137" i="1" s="1"/>
  <c r="L2136" i="1" a="1"/>
  <c r="L2136" i="1" s="1"/>
  <c r="K2136" i="1"/>
  <c r="L2135" i="1"/>
  <c r="L2135" i="1" a="1"/>
  <c r="K2135" i="1"/>
  <c r="L2134" i="1" a="1"/>
  <c r="L2134" i="1" s="1"/>
  <c r="K2134" i="1"/>
  <c r="K2133" i="1"/>
  <c r="L2133" i="1" s="1" a="1"/>
  <c r="L2133" i="1" s="1"/>
  <c r="L2132" i="1" a="1"/>
  <c r="L2132" i="1" s="1"/>
  <c r="K2132" i="1"/>
  <c r="L2131" i="1" a="1"/>
  <c r="L2131" i="1" s="1"/>
  <c r="K2131" i="1"/>
  <c r="L2130" i="1" a="1"/>
  <c r="L2130" i="1" s="1"/>
  <c r="K2130" i="1"/>
  <c r="L2129" i="1"/>
  <c r="K2129" i="1"/>
  <c r="L2129" i="1" s="1" a="1"/>
  <c r="L2128" i="1" a="1"/>
  <c r="L2128" i="1" s="1"/>
  <c r="K2128" i="1"/>
  <c r="L2127" i="1"/>
  <c r="L2127" i="1" a="1"/>
  <c r="K2127" i="1"/>
  <c r="L2126" i="1" a="1"/>
  <c r="L2126" i="1" s="1"/>
  <c r="K2126" i="1"/>
  <c r="K2125" i="1"/>
  <c r="L2125" i="1" s="1" a="1"/>
  <c r="L2125" i="1" s="1"/>
  <c r="L2124" i="1" a="1"/>
  <c r="L2124" i="1" s="1"/>
  <c r="K2124" i="1"/>
  <c r="L2123" i="1" a="1"/>
  <c r="L2123" i="1" s="1"/>
  <c r="K2123" i="1"/>
  <c r="L2122" i="1" a="1"/>
  <c r="L2122" i="1" s="1"/>
  <c r="K2122" i="1"/>
  <c r="K2121" i="1"/>
  <c r="L2121" i="1" s="1" a="1"/>
  <c r="L2121" i="1" s="1"/>
  <c r="L2120" i="1" a="1"/>
  <c r="L2120" i="1" s="1"/>
  <c r="K2120" i="1"/>
  <c r="L2119" i="1"/>
  <c r="L2119" i="1" a="1"/>
  <c r="K2119" i="1"/>
  <c r="L2118" i="1" a="1"/>
  <c r="L2118" i="1" s="1"/>
  <c r="K2118" i="1"/>
  <c r="K2117" i="1"/>
  <c r="L2117" i="1" s="1" a="1"/>
  <c r="L2117" i="1" s="1"/>
  <c r="L2116" i="1" a="1"/>
  <c r="L2116" i="1" s="1"/>
  <c r="K2116" i="1"/>
  <c r="L2115" i="1" a="1"/>
  <c r="L2115" i="1" s="1"/>
  <c r="K2115" i="1"/>
  <c r="L2114" i="1" a="1"/>
  <c r="L2114" i="1" s="1"/>
  <c r="K2114" i="1"/>
  <c r="K2113" i="1"/>
  <c r="L2113" i="1" s="1" a="1"/>
  <c r="L2113" i="1" s="1"/>
  <c r="L2112" i="1" a="1"/>
  <c r="L2112" i="1" s="1"/>
  <c r="K2112" i="1"/>
  <c r="L2111" i="1"/>
  <c r="L2111" i="1" a="1"/>
  <c r="K2111" i="1"/>
  <c r="L2110" i="1" a="1"/>
  <c r="L2110" i="1" s="1"/>
  <c r="K2110" i="1"/>
  <c r="K2109" i="1"/>
  <c r="L2109" i="1" s="1" a="1"/>
  <c r="L2109" i="1" s="1"/>
  <c r="L2108" i="1" a="1"/>
  <c r="L2108" i="1" s="1"/>
  <c r="K2108" i="1"/>
  <c r="L2107" i="1" a="1"/>
  <c r="L2107" i="1" s="1"/>
  <c r="K2107" i="1"/>
  <c r="L2106" i="1" a="1"/>
  <c r="L2106" i="1" s="1"/>
  <c r="K2106" i="1"/>
  <c r="K2105" i="1"/>
  <c r="L2105" i="1" s="1" a="1"/>
  <c r="L2105" i="1" s="1"/>
  <c r="L2104" i="1" a="1"/>
  <c r="L2104" i="1" s="1"/>
  <c r="K2104" i="1"/>
  <c r="L2103" i="1"/>
  <c r="L2103" i="1" a="1"/>
  <c r="K2103" i="1"/>
  <c r="L2102" i="1" a="1"/>
  <c r="L2102" i="1" s="1"/>
  <c r="K2102" i="1"/>
  <c r="K2101" i="1"/>
  <c r="L2101" i="1" s="1" a="1"/>
  <c r="L2101" i="1" s="1"/>
  <c r="L2100" i="1" a="1"/>
  <c r="L2100" i="1" s="1"/>
  <c r="K2100" i="1"/>
  <c r="L2099" i="1" a="1"/>
  <c r="L2099" i="1" s="1"/>
  <c r="K2099" i="1"/>
  <c r="L2098" i="1" a="1"/>
  <c r="L2098" i="1" s="1"/>
  <c r="K2098" i="1"/>
  <c r="K2097" i="1"/>
  <c r="L2097" i="1" s="1" a="1"/>
  <c r="L2097" i="1" s="1"/>
  <c r="L2096" i="1" a="1"/>
  <c r="L2096" i="1" s="1"/>
  <c r="K2096" i="1"/>
  <c r="L2095" i="1"/>
  <c r="L2095" i="1" a="1"/>
  <c r="K2095" i="1"/>
  <c r="L2094" i="1" a="1"/>
  <c r="L2094" i="1" s="1"/>
  <c r="K2094" i="1"/>
  <c r="K2093" i="1"/>
  <c r="L2093" i="1" s="1" a="1"/>
  <c r="L2093" i="1" s="1"/>
  <c r="L2092" i="1" a="1"/>
  <c r="L2092" i="1" s="1"/>
  <c r="K2092" i="1"/>
  <c r="L2091" i="1" a="1"/>
  <c r="L2091" i="1" s="1"/>
  <c r="K2091" i="1"/>
  <c r="L2090" i="1" a="1"/>
  <c r="L2090" i="1" s="1"/>
  <c r="K2090" i="1"/>
  <c r="K2089" i="1"/>
  <c r="L2089" i="1" s="1" a="1"/>
  <c r="L2089" i="1" s="1"/>
  <c r="L2088" i="1" a="1"/>
  <c r="L2088" i="1" s="1"/>
  <c r="K2088" i="1"/>
  <c r="L2087" i="1"/>
  <c r="L2087" i="1" a="1"/>
  <c r="K2087" i="1"/>
  <c r="L2086" i="1" a="1"/>
  <c r="L2086" i="1" s="1"/>
  <c r="K2086" i="1"/>
  <c r="L2085" i="1" a="1"/>
  <c r="L2085" i="1" s="1"/>
  <c r="K2085" i="1"/>
  <c r="L2084" i="1" a="1"/>
  <c r="L2084" i="1" s="1"/>
  <c r="K2084" i="1"/>
  <c r="L2083" i="1"/>
  <c r="L2083" i="1" a="1"/>
  <c r="K2083" i="1"/>
  <c r="L2082" i="1" a="1"/>
  <c r="L2082" i="1" s="1"/>
  <c r="K2082" i="1"/>
  <c r="L2081" i="1" a="1"/>
  <c r="L2081" i="1" s="1"/>
  <c r="K2081" i="1"/>
  <c r="L2080" i="1" a="1"/>
  <c r="L2080" i="1" s="1"/>
  <c r="K2080" i="1"/>
  <c r="L2079" i="1" a="1"/>
  <c r="L2079" i="1" s="1"/>
  <c r="K2079" i="1"/>
  <c r="L2078" i="1" a="1"/>
  <c r="L2078" i="1" s="1"/>
  <c r="K2078" i="1"/>
  <c r="K2077" i="1"/>
  <c r="L2077" i="1" s="1" a="1"/>
  <c r="L2077" i="1" s="1"/>
  <c r="L2076" i="1" a="1"/>
  <c r="L2076" i="1" s="1"/>
  <c r="K2076" i="1"/>
  <c r="L2075" i="1"/>
  <c r="L2075" i="1" a="1"/>
  <c r="K2075" i="1"/>
  <c r="L2074" i="1" a="1"/>
  <c r="L2074" i="1" s="1"/>
  <c r="K2074" i="1"/>
  <c r="L2073" i="1" a="1"/>
  <c r="L2073" i="1" s="1"/>
  <c r="K2073" i="1"/>
  <c r="L2072" i="1" a="1"/>
  <c r="L2072" i="1" s="1"/>
  <c r="K2072" i="1"/>
  <c r="L2071" i="1"/>
  <c r="L2071" i="1" a="1"/>
  <c r="K2071" i="1"/>
  <c r="L2070" i="1" a="1"/>
  <c r="L2070" i="1" s="1"/>
  <c r="K2070" i="1"/>
  <c r="L2069" i="1"/>
  <c r="L2069" i="1" a="1"/>
  <c r="K2069" i="1"/>
  <c r="L2068" i="1" a="1"/>
  <c r="L2068" i="1" s="1"/>
  <c r="K2068" i="1"/>
  <c r="L2067" i="1" a="1"/>
  <c r="L2067" i="1" s="1"/>
  <c r="K2067" i="1"/>
  <c r="L2066" i="1" a="1"/>
  <c r="L2066" i="1" s="1"/>
  <c r="K2066" i="1"/>
  <c r="K2065" i="1"/>
  <c r="L2065" i="1" s="1" a="1"/>
  <c r="L2065" i="1" s="1"/>
  <c r="L2064" i="1" a="1"/>
  <c r="L2064" i="1" s="1"/>
  <c r="K2064" i="1"/>
  <c r="L2063" i="1"/>
  <c r="L2063" i="1" a="1"/>
  <c r="K2063" i="1"/>
  <c r="L2062" i="1" a="1"/>
  <c r="L2062" i="1" s="1"/>
  <c r="K2062" i="1"/>
  <c r="L2061" i="1" a="1"/>
  <c r="L2061" i="1" s="1"/>
  <c r="K2061" i="1"/>
  <c r="L2060" i="1" a="1"/>
  <c r="L2060" i="1" s="1"/>
  <c r="K2060" i="1"/>
  <c r="L2059" i="1"/>
  <c r="K2059" i="1"/>
  <c r="L2059" i="1" s="1" a="1"/>
  <c r="L2058" i="1" a="1"/>
  <c r="L2058" i="1" s="1"/>
  <c r="K2058" i="1"/>
  <c r="L2057" i="1" a="1"/>
  <c r="L2057" i="1" s="1"/>
  <c r="K2057" i="1"/>
  <c r="L2056" i="1" a="1"/>
  <c r="L2056" i="1" s="1"/>
  <c r="K2056" i="1"/>
  <c r="L2055" i="1" a="1"/>
  <c r="L2055" i="1" s="1"/>
  <c r="K2055" i="1"/>
  <c r="L2054" i="1" a="1"/>
  <c r="L2054" i="1" s="1"/>
  <c r="K2054" i="1"/>
  <c r="K2053" i="1"/>
  <c r="L2053" i="1" s="1" a="1"/>
  <c r="L2053" i="1" s="1"/>
  <c r="L2052" i="1" a="1"/>
  <c r="L2052" i="1" s="1"/>
  <c r="K2052" i="1"/>
  <c r="L2051" i="1"/>
  <c r="L2051" i="1" a="1"/>
  <c r="K2051" i="1"/>
  <c r="L2050" i="1" a="1"/>
  <c r="L2050" i="1" s="1"/>
  <c r="K2050" i="1"/>
  <c r="L2049" i="1" a="1"/>
  <c r="L2049" i="1" s="1"/>
  <c r="K2049" i="1"/>
  <c r="L2048" i="1" a="1"/>
  <c r="L2048" i="1" s="1"/>
  <c r="K2048" i="1"/>
  <c r="K2047" i="1"/>
  <c r="L2047" i="1" s="1" a="1"/>
  <c r="L2047" i="1" s="1"/>
  <c r="L2046" i="1" a="1"/>
  <c r="L2046" i="1" s="1"/>
  <c r="K2046" i="1"/>
  <c r="L2045" i="1"/>
  <c r="L2045" i="1" a="1"/>
  <c r="K2045" i="1"/>
  <c r="L2044" i="1" a="1"/>
  <c r="L2044" i="1" s="1"/>
  <c r="K2044" i="1"/>
  <c r="K2043" i="1"/>
  <c r="L2043" i="1" s="1" a="1"/>
  <c r="L2043" i="1" s="1"/>
  <c r="L2042" i="1" a="1"/>
  <c r="L2042" i="1" s="1"/>
  <c r="K2042" i="1"/>
  <c r="K2041" i="1"/>
  <c r="L2041" i="1" s="1" a="1"/>
  <c r="L2041" i="1" s="1"/>
  <c r="L2040" i="1" a="1"/>
  <c r="L2040" i="1" s="1"/>
  <c r="K2040" i="1"/>
  <c r="L2039" i="1"/>
  <c r="L2039" i="1" a="1"/>
  <c r="K2039" i="1"/>
  <c r="L2038" i="1" a="1"/>
  <c r="L2038" i="1" s="1"/>
  <c r="K2038" i="1"/>
  <c r="L2037" i="1" a="1"/>
  <c r="L2037" i="1" s="1"/>
  <c r="K2037" i="1"/>
  <c r="L2036" i="1" a="1"/>
  <c r="L2036" i="1" s="1"/>
  <c r="K2036" i="1"/>
  <c r="K2035" i="1"/>
  <c r="L2035" i="1" s="1" a="1"/>
  <c r="L2035" i="1" s="1"/>
  <c r="L2034" i="1" a="1"/>
  <c r="L2034" i="1" s="1"/>
  <c r="K2034" i="1"/>
  <c r="L2033" i="1" a="1"/>
  <c r="L2033" i="1" s="1"/>
  <c r="K2033" i="1"/>
  <c r="L2032" i="1" a="1"/>
  <c r="L2032" i="1" s="1"/>
  <c r="K2032" i="1"/>
  <c r="L2031" i="1" a="1"/>
  <c r="L2031" i="1" s="1"/>
  <c r="K2031" i="1"/>
  <c r="L2030" i="1" a="1"/>
  <c r="L2030" i="1" s="1"/>
  <c r="K2030" i="1"/>
  <c r="K2029" i="1"/>
  <c r="L2029" i="1" s="1" a="1"/>
  <c r="L2029" i="1" s="1"/>
  <c r="L2028" i="1" a="1"/>
  <c r="L2028" i="1" s="1"/>
  <c r="K2028" i="1"/>
  <c r="L2027" i="1"/>
  <c r="L2027" i="1" a="1"/>
  <c r="K2027" i="1"/>
  <c r="L2026" i="1" a="1"/>
  <c r="L2026" i="1" s="1"/>
  <c r="K2026" i="1"/>
  <c r="L2025" i="1" a="1"/>
  <c r="L2025" i="1" s="1"/>
  <c r="K2025" i="1"/>
  <c r="L2024" i="1" a="1"/>
  <c r="L2024" i="1" s="1"/>
  <c r="K2024" i="1"/>
  <c r="K2023" i="1"/>
  <c r="L2023" i="1" s="1" a="1"/>
  <c r="L2023" i="1" s="1"/>
  <c r="L2022" i="1" a="1"/>
  <c r="L2022" i="1" s="1"/>
  <c r="K2022" i="1"/>
  <c r="L2021" i="1" a="1"/>
  <c r="L2021" i="1" s="1"/>
  <c r="K2021" i="1"/>
  <c r="L2020" i="1" a="1"/>
  <c r="L2020" i="1" s="1"/>
  <c r="K2020" i="1"/>
  <c r="K2019" i="1"/>
  <c r="L2019" i="1" s="1" a="1"/>
  <c r="L2019" i="1" s="1"/>
  <c r="L2018" i="1" a="1"/>
  <c r="L2018" i="1" s="1"/>
  <c r="K2018" i="1"/>
  <c r="K2017" i="1"/>
  <c r="L2017" i="1" s="1" a="1"/>
  <c r="L2017" i="1" s="1"/>
  <c r="L2016" i="1" a="1"/>
  <c r="L2016" i="1" s="1"/>
  <c r="K2016" i="1"/>
  <c r="L2015" i="1"/>
  <c r="L2015" i="1" a="1"/>
  <c r="K2015" i="1"/>
  <c r="L2014" i="1" a="1"/>
  <c r="L2014" i="1" s="1"/>
  <c r="K2014" i="1"/>
  <c r="L2013" i="1" a="1"/>
  <c r="L2013" i="1" s="1"/>
  <c r="K2013" i="1"/>
  <c r="L2012" i="1" a="1"/>
  <c r="L2012" i="1" s="1"/>
  <c r="K2012" i="1"/>
  <c r="K2011" i="1"/>
  <c r="L2011" i="1" s="1" a="1"/>
  <c r="L2011" i="1" s="1"/>
  <c r="L2010" i="1" a="1"/>
  <c r="L2010" i="1" s="1"/>
  <c r="K2010" i="1"/>
  <c r="L2009" i="1" a="1"/>
  <c r="L2009" i="1" s="1"/>
  <c r="K2009" i="1"/>
  <c r="L2008" i="1" a="1"/>
  <c r="L2008" i="1" s="1"/>
  <c r="K2008" i="1"/>
  <c r="K2007" i="1"/>
  <c r="L2007" i="1" s="1" a="1"/>
  <c r="L2007" i="1" s="1"/>
  <c r="L2006" i="1" a="1"/>
  <c r="L2006" i="1" s="1"/>
  <c r="K2006" i="1"/>
  <c r="K2005" i="1"/>
  <c r="L2005" i="1" s="1" a="1"/>
  <c r="L2005" i="1" s="1"/>
  <c r="L2004" i="1" a="1"/>
  <c r="L2004" i="1" s="1"/>
  <c r="K2004" i="1"/>
  <c r="L2003" i="1"/>
  <c r="L2003" i="1" a="1"/>
  <c r="K2003" i="1"/>
  <c r="L2002" i="1" a="1"/>
  <c r="L2002" i="1" s="1"/>
  <c r="K2002" i="1"/>
  <c r="L2001" i="1" a="1"/>
  <c r="L2001" i="1" s="1"/>
  <c r="K2001" i="1"/>
  <c r="L2000" i="1" a="1"/>
  <c r="L2000" i="1" s="1"/>
  <c r="K2000" i="1"/>
  <c r="K1999" i="1"/>
  <c r="L1999" i="1" s="1" a="1"/>
  <c r="L1999" i="1" s="1"/>
  <c r="L1998" i="1" a="1"/>
  <c r="L1998" i="1" s="1"/>
  <c r="K1998" i="1"/>
  <c r="L1997" i="1" a="1"/>
  <c r="L1997" i="1" s="1"/>
  <c r="K1997" i="1"/>
  <c r="L1996" i="1" a="1"/>
  <c r="L1996" i="1" s="1"/>
  <c r="K1996" i="1"/>
  <c r="K1995" i="1"/>
  <c r="L1995" i="1" s="1" a="1"/>
  <c r="L1995" i="1" s="1"/>
  <c r="L1994" i="1" a="1"/>
  <c r="L1994" i="1" s="1"/>
  <c r="K1994" i="1"/>
  <c r="K1993" i="1"/>
  <c r="L1993" i="1" s="1" a="1"/>
  <c r="L1993" i="1" s="1"/>
  <c r="L1992" i="1" a="1"/>
  <c r="L1992" i="1" s="1"/>
  <c r="K1992" i="1"/>
  <c r="L1991" i="1"/>
  <c r="L1991" i="1" a="1"/>
  <c r="K1991" i="1"/>
  <c r="L1990" i="1" a="1"/>
  <c r="L1990" i="1" s="1"/>
  <c r="K1990" i="1"/>
  <c r="L1989" i="1" a="1"/>
  <c r="L1989" i="1" s="1"/>
  <c r="K1989" i="1"/>
  <c r="K1988" i="1"/>
  <c r="L1988" i="1" s="1" a="1"/>
  <c r="L1988" i="1" s="1"/>
  <c r="L1987" i="1"/>
  <c r="K1987" i="1"/>
  <c r="L1987" i="1" s="1" a="1"/>
  <c r="L1986" i="1" a="1"/>
  <c r="L1986" i="1" s="1"/>
  <c r="K1986" i="1"/>
  <c r="L1985" i="1" a="1"/>
  <c r="L1985" i="1" s="1"/>
  <c r="K1985" i="1"/>
  <c r="L1984" i="1" a="1"/>
  <c r="L1984" i="1" s="1"/>
  <c r="K1984" i="1"/>
  <c r="L1983" i="1" a="1"/>
  <c r="L1983" i="1" s="1"/>
  <c r="K1983" i="1"/>
  <c r="L1982" i="1" a="1"/>
  <c r="L1982" i="1" s="1"/>
  <c r="K1982" i="1"/>
  <c r="K1981" i="1"/>
  <c r="L1981" i="1" s="1" a="1"/>
  <c r="L1981" i="1" s="1"/>
  <c r="L1980" i="1" a="1"/>
  <c r="L1980" i="1" s="1"/>
  <c r="K1980" i="1"/>
  <c r="L1979" i="1"/>
  <c r="L1979" i="1" a="1"/>
  <c r="K1979" i="1"/>
  <c r="K1978" i="1"/>
  <c r="L1978" i="1" s="1" a="1"/>
  <c r="L1978" i="1" s="1"/>
  <c r="L1977" i="1" a="1"/>
  <c r="L1977" i="1" s="1"/>
  <c r="K1977" i="1"/>
  <c r="K1976" i="1"/>
  <c r="L1976" i="1" s="1" a="1"/>
  <c r="L1976" i="1" s="1"/>
  <c r="K1975" i="1"/>
  <c r="L1975" i="1" s="1" a="1"/>
  <c r="L1975" i="1" s="1"/>
  <c r="L1974" i="1" a="1"/>
  <c r="L1974" i="1" s="1"/>
  <c r="K1974" i="1"/>
  <c r="L1973" i="1" a="1"/>
  <c r="L1973" i="1" s="1"/>
  <c r="K1973" i="1"/>
  <c r="L1972" i="1" a="1"/>
  <c r="L1972" i="1" s="1"/>
  <c r="K1972" i="1"/>
  <c r="K1971" i="1"/>
  <c r="L1971" i="1" s="1" a="1"/>
  <c r="L1971" i="1" s="1"/>
  <c r="K1970" i="1"/>
  <c r="L1970" i="1" s="1" a="1"/>
  <c r="L1970" i="1" s="1"/>
  <c r="K1969" i="1"/>
  <c r="L1969" i="1" s="1" a="1"/>
  <c r="L1969" i="1" s="1"/>
  <c r="L1968" i="1" a="1"/>
  <c r="L1968" i="1" s="1"/>
  <c r="K1968" i="1"/>
  <c r="L1967" i="1"/>
  <c r="L1967" i="1" a="1"/>
  <c r="K1967" i="1"/>
  <c r="K1966" i="1"/>
  <c r="L1966" i="1" s="1" a="1"/>
  <c r="L1966" i="1" s="1"/>
  <c r="L1965" i="1" a="1"/>
  <c r="L1965" i="1" s="1"/>
  <c r="K1965" i="1"/>
  <c r="K1964" i="1"/>
  <c r="L1964" i="1" s="1" a="1"/>
  <c r="L1964" i="1" s="1"/>
  <c r="K1963" i="1"/>
  <c r="L1963" i="1" s="1" a="1"/>
  <c r="L1963" i="1" s="1"/>
  <c r="L1962" i="1" a="1"/>
  <c r="L1962" i="1" s="1"/>
  <c r="K1962" i="1"/>
  <c r="L1961" i="1" a="1"/>
  <c r="L1961" i="1" s="1"/>
  <c r="K1961" i="1"/>
  <c r="L1960" i="1" a="1"/>
  <c r="L1960" i="1" s="1"/>
  <c r="K1960" i="1"/>
  <c r="K1959" i="1"/>
  <c r="L1959" i="1" s="1" a="1"/>
  <c r="L1959" i="1" s="1"/>
  <c r="K1958" i="1"/>
  <c r="L1958" i="1" s="1" a="1"/>
  <c r="L1958" i="1" s="1"/>
  <c r="K1957" i="1"/>
  <c r="L1957" i="1" s="1" a="1"/>
  <c r="L1957" i="1" s="1"/>
  <c r="L1956" i="1" a="1"/>
  <c r="L1956" i="1" s="1"/>
  <c r="K1956" i="1"/>
  <c r="L1955" i="1"/>
  <c r="L1955" i="1" a="1"/>
  <c r="K1955" i="1"/>
  <c r="L1954" i="1" a="1"/>
  <c r="L1954" i="1" s="1"/>
  <c r="K1954" i="1"/>
  <c r="L1953" i="1" a="1"/>
  <c r="L1953" i="1" s="1"/>
  <c r="K1953" i="1"/>
  <c r="K1952" i="1"/>
  <c r="L1952" i="1" s="1" a="1"/>
  <c r="L1952" i="1" s="1"/>
  <c r="K1951" i="1"/>
  <c r="L1951" i="1" s="1" a="1"/>
  <c r="L1951" i="1" s="1"/>
  <c r="L1950" i="1" a="1"/>
  <c r="L1950" i="1" s="1"/>
  <c r="K1950" i="1"/>
  <c r="L1949" i="1"/>
  <c r="L1949" i="1" a="1"/>
  <c r="K1949" i="1"/>
  <c r="L1948" i="1" a="1"/>
  <c r="L1948" i="1" s="1"/>
  <c r="K1948" i="1"/>
  <c r="K1947" i="1"/>
  <c r="L1947" i="1" s="1" a="1"/>
  <c r="L1947" i="1" s="1"/>
  <c r="K1946" i="1"/>
  <c r="L1946" i="1" s="1" a="1"/>
  <c r="L1946" i="1" s="1"/>
  <c r="K1945" i="1"/>
  <c r="L1945" i="1" s="1" a="1"/>
  <c r="L1945" i="1" s="1"/>
  <c r="L1944" i="1" a="1"/>
  <c r="L1944" i="1" s="1"/>
  <c r="K1944" i="1"/>
  <c r="L1943" i="1"/>
  <c r="L1943" i="1" a="1"/>
  <c r="K1943" i="1"/>
  <c r="K1942" i="1"/>
  <c r="L1942" i="1" s="1" a="1"/>
  <c r="L1942" i="1" s="1"/>
  <c r="L1941" i="1" a="1"/>
  <c r="L1941" i="1" s="1"/>
  <c r="K1941" i="1"/>
  <c r="K1940" i="1"/>
  <c r="L1940" i="1" s="1" a="1"/>
  <c r="L1940" i="1" s="1"/>
  <c r="K1939" i="1"/>
  <c r="L1939" i="1" s="1" a="1"/>
  <c r="L1939" i="1" s="1"/>
  <c r="L1938" i="1" a="1"/>
  <c r="L1938" i="1" s="1"/>
  <c r="K1938" i="1"/>
  <c r="L1937" i="1" a="1"/>
  <c r="L1937" i="1" s="1"/>
  <c r="K1937" i="1"/>
  <c r="L1936" i="1" a="1"/>
  <c r="L1936" i="1" s="1"/>
  <c r="K1936" i="1"/>
  <c r="L1935" i="1" a="1"/>
  <c r="L1935" i="1" s="1"/>
  <c r="K1935" i="1"/>
  <c r="K1934" i="1"/>
  <c r="L1934" i="1" s="1" a="1"/>
  <c r="L1934" i="1" s="1"/>
  <c r="K1933" i="1"/>
  <c r="L1933" i="1" s="1" a="1"/>
  <c r="L1933" i="1" s="1"/>
  <c r="L1932" i="1" a="1"/>
  <c r="L1932" i="1" s="1"/>
  <c r="K1932" i="1"/>
  <c r="L1931" i="1"/>
  <c r="L1931" i="1" a="1"/>
  <c r="K1931" i="1"/>
  <c r="K1930" i="1"/>
  <c r="L1930" i="1" s="1" a="1"/>
  <c r="L1930" i="1" s="1"/>
  <c r="L1929" i="1" a="1"/>
  <c r="L1929" i="1" s="1"/>
  <c r="K1929" i="1"/>
  <c r="K1928" i="1"/>
  <c r="L1928" i="1" s="1" a="1"/>
  <c r="L1928" i="1" s="1"/>
  <c r="K1927" i="1"/>
  <c r="L1927" i="1" s="1" a="1"/>
  <c r="L1927" i="1" s="1"/>
  <c r="L1926" i="1" a="1"/>
  <c r="L1926" i="1" s="1"/>
  <c r="K1926" i="1"/>
  <c r="L1925" i="1" a="1"/>
  <c r="L1925" i="1" s="1"/>
  <c r="K1925" i="1"/>
  <c r="L1924" i="1" a="1"/>
  <c r="L1924" i="1" s="1"/>
  <c r="K1924" i="1"/>
  <c r="K1923" i="1"/>
  <c r="L1923" i="1" s="1" a="1"/>
  <c r="L1923" i="1" s="1"/>
  <c r="K1922" i="1"/>
  <c r="L1922" i="1" s="1" a="1"/>
  <c r="L1922" i="1" s="1"/>
  <c r="K1921" i="1"/>
  <c r="L1921" i="1" s="1" a="1"/>
  <c r="L1921" i="1" s="1"/>
  <c r="L1920" i="1" a="1"/>
  <c r="L1920" i="1" s="1"/>
  <c r="K1920" i="1"/>
  <c r="L1919" i="1"/>
  <c r="L1919" i="1" a="1"/>
  <c r="K1919" i="1"/>
  <c r="K1918" i="1"/>
  <c r="L1918" i="1" s="1" a="1"/>
  <c r="L1918" i="1" s="1"/>
  <c r="L1917" i="1" a="1"/>
  <c r="L1917" i="1" s="1"/>
  <c r="K1917" i="1"/>
  <c r="K1916" i="1"/>
  <c r="L1916" i="1" s="1" a="1"/>
  <c r="L1916" i="1" s="1"/>
  <c r="K1915" i="1"/>
  <c r="L1915" i="1" s="1" a="1"/>
  <c r="L1915" i="1" s="1"/>
  <c r="L1914" i="1" a="1"/>
  <c r="L1914" i="1" s="1"/>
  <c r="K1914" i="1"/>
  <c r="L1913" i="1" a="1"/>
  <c r="L1913" i="1" s="1"/>
  <c r="K1913" i="1"/>
  <c r="L1912" i="1" a="1"/>
  <c r="L1912" i="1" s="1"/>
  <c r="K1912" i="1"/>
  <c r="K1911" i="1"/>
  <c r="L1911" i="1" s="1" a="1"/>
  <c r="L1911" i="1" s="1"/>
  <c r="K1910" i="1"/>
  <c r="L1910" i="1" s="1" a="1"/>
  <c r="L1910" i="1" s="1"/>
  <c r="K1909" i="1"/>
  <c r="L1909" i="1" s="1" a="1"/>
  <c r="L1909" i="1" s="1"/>
  <c r="L1908" i="1" a="1"/>
  <c r="L1908" i="1" s="1"/>
  <c r="K1908" i="1"/>
  <c r="L1907" i="1"/>
  <c r="L1907" i="1" a="1"/>
  <c r="K1907" i="1"/>
  <c r="L1906" i="1" a="1"/>
  <c r="L1906" i="1" s="1"/>
  <c r="K1906" i="1"/>
  <c r="L1905" i="1" a="1"/>
  <c r="L1905" i="1" s="1"/>
  <c r="K1905" i="1"/>
  <c r="K1904" i="1"/>
  <c r="L1904" i="1" s="1" a="1"/>
  <c r="L1904" i="1" s="1"/>
  <c r="K1903" i="1"/>
  <c r="L1903" i="1" s="1" a="1"/>
  <c r="L1903" i="1" s="1"/>
  <c r="L1902" i="1" a="1"/>
  <c r="L1902" i="1" s="1"/>
  <c r="K1902" i="1"/>
  <c r="L1901" i="1"/>
  <c r="L1901" i="1" a="1"/>
  <c r="K1901" i="1"/>
  <c r="L1900" i="1" a="1"/>
  <c r="L1900" i="1" s="1"/>
  <c r="K1900" i="1"/>
  <c r="K1899" i="1"/>
  <c r="L1899" i="1" s="1" a="1"/>
  <c r="L1899" i="1" s="1"/>
  <c r="K1898" i="1"/>
  <c r="L1898" i="1" s="1" a="1"/>
  <c r="L1898" i="1" s="1"/>
  <c r="K1897" i="1"/>
  <c r="L1897" i="1" s="1" a="1"/>
  <c r="L1897" i="1" s="1"/>
  <c r="L1896" i="1" a="1"/>
  <c r="L1896" i="1" s="1"/>
  <c r="K1896" i="1"/>
  <c r="L1895" i="1"/>
  <c r="L1895" i="1" a="1"/>
  <c r="K1895" i="1"/>
  <c r="K1894" i="1"/>
  <c r="L1894" i="1" s="1" a="1"/>
  <c r="L1894" i="1" s="1"/>
  <c r="L1893" i="1" a="1"/>
  <c r="L1893" i="1" s="1"/>
  <c r="K1893" i="1"/>
  <c r="K1892" i="1"/>
  <c r="L1892" i="1" s="1" a="1"/>
  <c r="L1892" i="1" s="1"/>
  <c r="K1891" i="1"/>
  <c r="L1891" i="1" s="1" a="1"/>
  <c r="L1891" i="1" s="1"/>
  <c r="L1890" i="1" a="1"/>
  <c r="L1890" i="1" s="1"/>
  <c r="K1890" i="1"/>
  <c r="L1889" i="1" a="1"/>
  <c r="L1889" i="1" s="1"/>
  <c r="K1889" i="1"/>
  <c r="L1888" i="1" a="1"/>
  <c r="L1888" i="1" s="1"/>
  <c r="K1888" i="1"/>
  <c r="L1887" i="1" a="1"/>
  <c r="L1887" i="1" s="1"/>
  <c r="K1887" i="1"/>
  <c r="K1886" i="1"/>
  <c r="L1886" i="1" s="1" a="1"/>
  <c r="L1886" i="1" s="1"/>
  <c r="K1885" i="1"/>
  <c r="L1885" i="1" s="1" a="1"/>
  <c r="L1885" i="1" s="1"/>
  <c r="L1884" i="1" a="1"/>
  <c r="L1884" i="1" s="1"/>
  <c r="K1884" i="1"/>
  <c r="L1883" i="1"/>
  <c r="L1883" i="1" a="1"/>
  <c r="K1883" i="1"/>
  <c r="K1882" i="1"/>
  <c r="L1882" i="1" s="1" a="1"/>
  <c r="L1882" i="1" s="1"/>
  <c r="L1881" i="1" a="1"/>
  <c r="L1881" i="1" s="1"/>
  <c r="K1881" i="1"/>
  <c r="K1880" i="1"/>
  <c r="L1880" i="1" s="1" a="1"/>
  <c r="L1880" i="1" s="1"/>
  <c r="K1879" i="1"/>
  <c r="L1879" i="1" s="1" a="1"/>
  <c r="L1879" i="1" s="1"/>
  <c r="L1878" i="1" a="1"/>
  <c r="L1878" i="1" s="1"/>
  <c r="K1878" i="1"/>
  <c r="L1877" i="1" a="1"/>
  <c r="L1877" i="1" s="1"/>
  <c r="K1877" i="1"/>
  <c r="L1876" i="1" a="1"/>
  <c r="L1876" i="1" s="1"/>
  <c r="K1876" i="1"/>
  <c r="K1875" i="1"/>
  <c r="L1875" i="1" s="1" a="1"/>
  <c r="L1875" i="1" s="1"/>
  <c r="K1874" i="1"/>
  <c r="L1874" i="1" s="1" a="1"/>
  <c r="L1874" i="1" s="1"/>
  <c r="K1873" i="1"/>
  <c r="L1873" i="1" s="1" a="1"/>
  <c r="L1873" i="1" s="1"/>
  <c r="L1872" i="1" a="1"/>
  <c r="L1872" i="1" s="1"/>
  <c r="K1872" i="1"/>
  <c r="L1871" i="1"/>
  <c r="L1871" i="1" a="1"/>
  <c r="K1871" i="1"/>
  <c r="K1870" i="1"/>
  <c r="L1870" i="1" s="1" a="1"/>
  <c r="L1870" i="1" s="1"/>
  <c r="L1869" i="1" a="1"/>
  <c r="L1869" i="1" s="1"/>
  <c r="K1869" i="1"/>
  <c r="K1868" i="1"/>
  <c r="L1868" i="1" s="1" a="1"/>
  <c r="L1868" i="1" s="1"/>
  <c r="K1867" i="1"/>
  <c r="L1867" i="1" s="1" a="1"/>
  <c r="L1867" i="1" s="1"/>
  <c r="L1866" i="1" a="1"/>
  <c r="L1866" i="1" s="1"/>
  <c r="K1866" i="1"/>
  <c r="L1865" i="1" a="1"/>
  <c r="L1865" i="1" s="1"/>
  <c r="K1865" i="1"/>
  <c r="L1864" i="1" a="1"/>
  <c r="L1864" i="1" s="1"/>
  <c r="K1864" i="1"/>
  <c r="K1863" i="1"/>
  <c r="L1863" i="1" s="1" a="1"/>
  <c r="L1863" i="1" s="1"/>
  <c r="K1862" i="1"/>
  <c r="L1862" i="1" s="1" a="1"/>
  <c r="L1862" i="1" s="1"/>
  <c r="K1861" i="1"/>
  <c r="L1861" i="1" s="1" a="1"/>
  <c r="L1861" i="1" s="1"/>
  <c r="L1860" i="1" a="1"/>
  <c r="L1860" i="1" s="1"/>
  <c r="K1860" i="1"/>
  <c r="L1859" i="1"/>
  <c r="L1859" i="1" a="1"/>
  <c r="K1859" i="1"/>
  <c r="L1858" i="1" a="1"/>
  <c r="L1858" i="1" s="1"/>
  <c r="K1858" i="1"/>
  <c r="L1857" i="1" a="1"/>
  <c r="L1857" i="1" s="1"/>
  <c r="K1857" i="1"/>
  <c r="K1856" i="1"/>
  <c r="L1856" i="1" s="1" a="1"/>
  <c r="L1856" i="1" s="1"/>
  <c r="K1855" i="1"/>
  <c r="L1855" i="1" s="1" a="1"/>
  <c r="L1855" i="1" s="1"/>
  <c r="L1854" i="1" a="1"/>
  <c r="L1854" i="1" s="1"/>
  <c r="K1854" i="1"/>
  <c r="L1853" i="1" a="1"/>
  <c r="L1853" i="1" s="1"/>
  <c r="K1853" i="1"/>
  <c r="L1852" i="1" a="1"/>
  <c r="L1852" i="1" s="1"/>
  <c r="K1852" i="1"/>
  <c r="K1851" i="1"/>
  <c r="L1851" i="1" s="1" a="1"/>
  <c r="L1851" i="1" s="1"/>
  <c r="K1850" i="1"/>
  <c r="L1850" i="1" s="1" a="1"/>
  <c r="L1850" i="1" s="1"/>
  <c r="K1849" i="1"/>
  <c r="L1849" i="1" s="1" a="1"/>
  <c r="L1849" i="1" s="1"/>
  <c r="L1848" i="1" a="1"/>
  <c r="L1848" i="1" s="1"/>
  <c r="K1848" i="1"/>
  <c r="L1847" i="1"/>
  <c r="L1847" i="1" a="1"/>
  <c r="K1847" i="1"/>
  <c r="K1846" i="1"/>
  <c r="L1846" i="1" s="1" a="1"/>
  <c r="L1846" i="1" s="1"/>
  <c r="L1845" i="1" a="1"/>
  <c r="L1845" i="1" s="1"/>
  <c r="K1845" i="1"/>
  <c r="K1844" i="1"/>
  <c r="L1844" i="1" s="1" a="1"/>
  <c r="L1844" i="1" s="1"/>
  <c r="K1843" i="1"/>
  <c r="L1843" i="1" s="1" a="1"/>
  <c r="L1843" i="1" s="1"/>
  <c r="L1842" i="1" a="1"/>
  <c r="L1842" i="1" s="1"/>
  <c r="K1842" i="1"/>
  <c r="L1841" i="1" a="1"/>
  <c r="L1841" i="1" s="1"/>
  <c r="K1841" i="1"/>
  <c r="L1840" i="1" a="1"/>
  <c r="L1840" i="1" s="1"/>
  <c r="K1840" i="1"/>
  <c r="L1839" i="1" a="1"/>
  <c r="L1839" i="1" s="1"/>
  <c r="K1839" i="1"/>
  <c r="K1838" i="1"/>
  <c r="L1838" i="1" s="1" a="1"/>
  <c r="L1838" i="1" s="1"/>
  <c r="K1837" i="1"/>
  <c r="L1837" i="1" s="1" a="1"/>
  <c r="L1837" i="1" s="1"/>
  <c r="L1836" i="1" a="1"/>
  <c r="L1836" i="1" s="1"/>
  <c r="K1836" i="1"/>
  <c r="L1835" i="1"/>
  <c r="L1835" i="1" a="1"/>
  <c r="K1835" i="1"/>
  <c r="K1834" i="1"/>
  <c r="L1834" i="1" s="1" a="1"/>
  <c r="L1834" i="1" s="1"/>
  <c r="L1833" i="1" a="1"/>
  <c r="L1833" i="1" s="1"/>
  <c r="K1833" i="1"/>
  <c r="K1832" i="1"/>
  <c r="L1832" i="1" s="1" a="1"/>
  <c r="L1832" i="1" s="1"/>
  <c r="K1831" i="1"/>
  <c r="L1831" i="1" s="1" a="1"/>
  <c r="L1831" i="1" s="1"/>
  <c r="L1830" i="1" a="1"/>
  <c r="L1830" i="1" s="1"/>
  <c r="K1830" i="1"/>
  <c r="L1829" i="1" a="1"/>
  <c r="L1829" i="1" s="1"/>
  <c r="K1829" i="1"/>
  <c r="L1828" i="1" a="1"/>
  <c r="L1828" i="1" s="1"/>
  <c r="K1828" i="1"/>
  <c r="K1827" i="1"/>
  <c r="L1827" i="1" s="1" a="1"/>
  <c r="L1827" i="1" s="1"/>
  <c r="K1826" i="1"/>
  <c r="L1826" i="1" s="1" a="1"/>
  <c r="L1826" i="1" s="1"/>
  <c r="K1825" i="1"/>
  <c r="L1825" i="1" s="1" a="1"/>
  <c r="L1825" i="1" s="1"/>
  <c r="L1824" i="1" a="1"/>
  <c r="L1824" i="1" s="1"/>
  <c r="K1824" i="1"/>
  <c r="L1823" i="1"/>
  <c r="L1823" i="1" a="1"/>
  <c r="K1823" i="1"/>
  <c r="K1822" i="1"/>
  <c r="L1822" i="1" s="1" a="1"/>
  <c r="L1822" i="1" s="1"/>
  <c r="L1821" i="1" a="1"/>
  <c r="L1821" i="1" s="1"/>
  <c r="K1821" i="1"/>
  <c r="K1820" i="1"/>
  <c r="L1820" i="1" s="1" a="1"/>
  <c r="L1820" i="1" s="1"/>
  <c r="K1819" i="1"/>
  <c r="L1819" i="1" s="1" a="1"/>
  <c r="L1819" i="1" s="1"/>
  <c r="L1818" i="1" a="1"/>
  <c r="L1818" i="1" s="1"/>
  <c r="K1818" i="1"/>
  <c r="L1817" i="1" a="1"/>
  <c r="L1817" i="1" s="1"/>
  <c r="K1817" i="1"/>
  <c r="L1816" i="1" a="1"/>
  <c r="L1816" i="1" s="1"/>
  <c r="K1816" i="1"/>
  <c r="K1815" i="1"/>
  <c r="L1815" i="1" s="1" a="1"/>
  <c r="L1815" i="1" s="1"/>
  <c r="K1814" i="1"/>
  <c r="L1814" i="1" s="1" a="1"/>
  <c r="L1814" i="1" s="1"/>
  <c r="K1813" i="1"/>
  <c r="L1813" i="1" s="1" a="1"/>
  <c r="L1813" i="1" s="1"/>
  <c r="L1812" i="1" a="1"/>
  <c r="L1812" i="1" s="1"/>
  <c r="K1812" i="1"/>
  <c r="L1811" i="1"/>
  <c r="L1811" i="1" a="1"/>
  <c r="K1811" i="1"/>
  <c r="L1810" i="1" a="1"/>
  <c r="L1810" i="1" s="1"/>
  <c r="K1810" i="1"/>
  <c r="L1809" i="1" a="1"/>
  <c r="L1809" i="1" s="1"/>
  <c r="K1809" i="1"/>
  <c r="K1808" i="1"/>
  <c r="L1808" i="1" s="1" a="1"/>
  <c r="L1808" i="1" s="1"/>
  <c r="K1807" i="1"/>
  <c r="L1807" i="1" s="1" a="1"/>
  <c r="L1807" i="1" s="1"/>
  <c r="L1806" i="1" a="1"/>
  <c r="L1806" i="1" s="1"/>
  <c r="K1806" i="1"/>
  <c r="L1805" i="1" a="1"/>
  <c r="L1805" i="1" s="1"/>
  <c r="K1805" i="1"/>
  <c r="L1804" i="1" a="1"/>
  <c r="L1804" i="1" s="1"/>
  <c r="K1804" i="1"/>
  <c r="K1803" i="1"/>
  <c r="L1803" i="1" s="1" a="1"/>
  <c r="L1803" i="1" s="1"/>
  <c r="K1802" i="1"/>
  <c r="L1802" i="1" s="1" a="1"/>
  <c r="L1802" i="1" s="1"/>
  <c r="K1801" i="1"/>
  <c r="L1801" i="1" s="1" a="1"/>
  <c r="L1801" i="1" s="1"/>
  <c r="L1800" i="1" a="1"/>
  <c r="L1800" i="1" s="1"/>
  <c r="K1800" i="1"/>
  <c r="L1799" i="1"/>
  <c r="L1799" i="1" a="1"/>
  <c r="K1799" i="1"/>
  <c r="K1798" i="1"/>
  <c r="L1798" i="1" s="1" a="1"/>
  <c r="L1798" i="1" s="1"/>
  <c r="L1797" i="1" a="1"/>
  <c r="L1797" i="1" s="1"/>
  <c r="K1797" i="1"/>
  <c r="K1796" i="1"/>
  <c r="L1796" i="1" s="1" a="1"/>
  <c r="L1796" i="1" s="1"/>
  <c r="K1795" i="1"/>
  <c r="L1795" i="1" s="1" a="1"/>
  <c r="L1795" i="1" s="1"/>
  <c r="L1794" i="1" a="1"/>
  <c r="L1794" i="1" s="1"/>
  <c r="K1794" i="1"/>
  <c r="L1793" i="1" a="1"/>
  <c r="L1793" i="1" s="1"/>
  <c r="K1793" i="1"/>
  <c r="L1792" i="1" a="1"/>
  <c r="L1792" i="1" s="1"/>
  <c r="K1792" i="1"/>
  <c r="L1791" i="1" a="1"/>
  <c r="L1791" i="1" s="1"/>
  <c r="K1791" i="1"/>
  <c r="K1790" i="1"/>
  <c r="L1790" i="1" s="1" a="1"/>
  <c r="L1790" i="1" s="1"/>
  <c r="K1789" i="1"/>
  <c r="L1789" i="1" s="1" a="1"/>
  <c r="L1789" i="1" s="1"/>
  <c r="L1788" i="1" a="1"/>
  <c r="L1788" i="1" s="1"/>
  <c r="K1788" i="1"/>
  <c r="L1787" i="1"/>
  <c r="L1787" i="1" a="1"/>
  <c r="K1787" i="1"/>
  <c r="L1786" i="1" a="1"/>
  <c r="L1786" i="1" s="1"/>
  <c r="K1786" i="1"/>
  <c r="L1785" i="1" a="1"/>
  <c r="L1785" i="1" s="1"/>
  <c r="K1785" i="1"/>
  <c r="K1784" i="1"/>
  <c r="L1784" i="1" s="1" a="1"/>
  <c r="L1784" i="1" s="1"/>
  <c r="K1783" i="1"/>
  <c r="L1783" i="1" s="1" a="1"/>
  <c r="L1783" i="1" s="1"/>
  <c r="L1782" i="1" a="1"/>
  <c r="L1782" i="1" s="1"/>
  <c r="K1782" i="1"/>
  <c r="L1781" i="1" a="1"/>
  <c r="L1781" i="1" s="1"/>
  <c r="K1781" i="1"/>
  <c r="L1780" i="1" a="1"/>
  <c r="L1780" i="1" s="1"/>
  <c r="K1780" i="1"/>
  <c r="K1779" i="1"/>
  <c r="L1779" i="1" s="1" a="1"/>
  <c r="L1779" i="1" s="1"/>
  <c r="K1778" i="1"/>
  <c r="L1778" i="1" s="1" a="1"/>
  <c r="L1778" i="1" s="1"/>
  <c r="K1777" i="1"/>
  <c r="L1777" i="1" s="1" a="1"/>
  <c r="L1777" i="1" s="1"/>
  <c r="L1776" i="1" a="1"/>
  <c r="L1776" i="1" s="1"/>
  <c r="K1776" i="1"/>
  <c r="L1775" i="1"/>
  <c r="L1775" i="1" a="1"/>
  <c r="K1775" i="1"/>
  <c r="K1774" i="1"/>
  <c r="L1774" i="1" s="1" a="1"/>
  <c r="L1774" i="1" s="1"/>
  <c r="L1773" i="1" a="1"/>
  <c r="L1773" i="1" s="1"/>
  <c r="K1773" i="1"/>
  <c r="K1772" i="1"/>
  <c r="L1772" i="1" s="1" a="1"/>
  <c r="L1772" i="1" s="1"/>
  <c r="K1771" i="1"/>
  <c r="L1771" i="1" s="1" a="1"/>
  <c r="L1771" i="1" s="1"/>
  <c r="L1770" i="1" a="1"/>
  <c r="L1770" i="1" s="1"/>
  <c r="K1770" i="1"/>
  <c r="L1769" i="1" a="1"/>
  <c r="L1769" i="1" s="1"/>
  <c r="K1769" i="1"/>
  <c r="L1768" i="1" a="1"/>
  <c r="L1768" i="1" s="1"/>
  <c r="K1768" i="1"/>
  <c r="K1767" i="1"/>
  <c r="L1767" i="1" s="1" a="1"/>
  <c r="L1767" i="1" s="1"/>
  <c r="K1766" i="1"/>
  <c r="L1766" i="1" s="1" a="1"/>
  <c r="L1766" i="1" s="1"/>
  <c r="K1765" i="1"/>
  <c r="L1765" i="1" s="1" a="1"/>
  <c r="L1765" i="1" s="1"/>
  <c r="L1764" i="1" a="1"/>
  <c r="L1764" i="1" s="1"/>
  <c r="K1764" i="1"/>
  <c r="L1763" i="1"/>
  <c r="L1763" i="1" a="1"/>
  <c r="K1763" i="1"/>
  <c r="L1762" i="1" a="1"/>
  <c r="L1762" i="1" s="1"/>
  <c r="K1762" i="1"/>
  <c r="L1761" i="1" a="1"/>
  <c r="L1761" i="1" s="1"/>
  <c r="K1761" i="1"/>
  <c r="K1760" i="1"/>
  <c r="L1760" i="1" s="1" a="1"/>
  <c r="L1760" i="1" s="1"/>
  <c r="K1759" i="1"/>
  <c r="L1759" i="1" s="1" a="1"/>
  <c r="L1759" i="1" s="1"/>
  <c r="L1758" i="1" a="1"/>
  <c r="L1758" i="1" s="1"/>
  <c r="K1758" i="1"/>
  <c r="L1757" i="1" a="1"/>
  <c r="L1757" i="1" s="1"/>
  <c r="K1757" i="1"/>
  <c r="L1756" i="1" a="1"/>
  <c r="L1756" i="1" s="1"/>
  <c r="K1756" i="1"/>
  <c r="K1755" i="1"/>
  <c r="L1755" i="1" s="1" a="1"/>
  <c r="L1755" i="1" s="1"/>
  <c r="K1754" i="1"/>
  <c r="L1754" i="1" s="1" a="1"/>
  <c r="L1754" i="1" s="1"/>
  <c r="K1753" i="1"/>
  <c r="L1753" i="1" s="1" a="1"/>
  <c r="L1753" i="1" s="1"/>
  <c r="L1752" i="1" a="1"/>
  <c r="L1752" i="1" s="1"/>
  <c r="K1752" i="1"/>
  <c r="L1751" i="1"/>
  <c r="L1751" i="1" a="1"/>
  <c r="K1751" i="1"/>
  <c r="K1750" i="1"/>
  <c r="L1750" i="1" s="1" a="1"/>
  <c r="L1750" i="1" s="1"/>
  <c r="L1749" i="1" a="1"/>
  <c r="L1749" i="1" s="1"/>
  <c r="K1749" i="1"/>
  <c r="K1748" i="1"/>
  <c r="L1748" i="1" s="1" a="1"/>
  <c r="L1748" i="1" s="1"/>
  <c r="K1747" i="1"/>
  <c r="L1747" i="1" s="1" a="1"/>
  <c r="L1747" i="1" s="1"/>
  <c r="L1746" i="1" a="1"/>
  <c r="L1746" i="1" s="1"/>
  <c r="K1746" i="1"/>
  <c r="L1745" i="1" a="1"/>
  <c r="L1745" i="1" s="1"/>
  <c r="K1745" i="1"/>
  <c r="L1744" i="1" a="1"/>
  <c r="L1744" i="1" s="1"/>
  <c r="K1744" i="1"/>
  <c r="L1743" i="1" a="1"/>
  <c r="L1743" i="1" s="1"/>
  <c r="K1743" i="1"/>
  <c r="K1742" i="1"/>
  <c r="L1742" i="1" s="1" a="1"/>
  <c r="L1742" i="1" s="1"/>
  <c r="K1741" i="1"/>
  <c r="L1741" i="1" s="1" a="1"/>
  <c r="L1741" i="1" s="1"/>
  <c r="L1740" i="1" a="1"/>
  <c r="L1740" i="1" s="1"/>
  <c r="K1740" i="1"/>
  <c r="L1739" i="1"/>
  <c r="L1739" i="1" a="1"/>
  <c r="K1739" i="1"/>
  <c r="L1738" i="1" a="1"/>
  <c r="L1738" i="1" s="1"/>
  <c r="K1738" i="1"/>
  <c r="L1737" i="1" a="1"/>
  <c r="L1737" i="1" s="1"/>
  <c r="K1737" i="1"/>
  <c r="K1736" i="1"/>
  <c r="L1736" i="1" s="1" a="1"/>
  <c r="L1736" i="1" s="1"/>
  <c r="K1735" i="1"/>
  <c r="L1735" i="1" s="1" a="1"/>
  <c r="L1735" i="1" s="1"/>
  <c r="L1734" i="1" a="1"/>
  <c r="L1734" i="1" s="1"/>
  <c r="K1734" i="1"/>
  <c r="L1733" i="1" a="1"/>
  <c r="L1733" i="1" s="1"/>
  <c r="K1733" i="1"/>
  <c r="L1732" i="1" a="1"/>
  <c r="L1732" i="1" s="1"/>
  <c r="K1732" i="1"/>
  <c r="K1731" i="1"/>
  <c r="L1731" i="1" s="1" a="1"/>
  <c r="L1731" i="1" s="1"/>
  <c r="K1730" i="1"/>
  <c r="L1730" i="1" s="1" a="1"/>
  <c r="L1730" i="1" s="1"/>
  <c r="K1729" i="1"/>
  <c r="L1729" i="1" s="1" a="1"/>
  <c r="L1729" i="1" s="1"/>
  <c r="L1728" i="1" a="1"/>
  <c r="L1728" i="1" s="1"/>
  <c r="K1728" i="1"/>
  <c r="L1727" i="1"/>
  <c r="L1727" i="1" a="1"/>
  <c r="K1727" i="1"/>
  <c r="K1726" i="1"/>
  <c r="L1726" i="1" s="1" a="1"/>
  <c r="L1726" i="1" s="1"/>
  <c r="L1725" i="1" a="1"/>
  <c r="L1725" i="1" s="1"/>
  <c r="K1725" i="1"/>
  <c r="K1724" i="1"/>
  <c r="L1724" i="1" s="1" a="1"/>
  <c r="L1724" i="1" s="1"/>
  <c r="K1723" i="1"/>
  <c r="L1723" i="1" s="1" a="1"/>
  <c r="L1723" i="1" s="1"/>
  <c r="L1722" i="1" a="1"/>
  <c r="L1722" i="1" s="1"/>
  <c r="K1722" i="1"/>
  <c r="L1721" i="1" a="1"/>
  <c r="L1721" i="1" s="1"/>
  <c r="K1721" i="1"/>
  <c r="L1720" i="1" a="1"/>
  <c r="L1720" i="1" s="1"/>
  <c r="K1720" i="1"/>
  <c r="K1719" i="1"/>
  <c r="L1719" i="1" s="1" a="1"/>
  <c r="L1719" i="1" s="1"/>
  <c r="K1718" i="1"/>
  <c r="L1718" i="1" s="1" a="1"/>
  <c r="L1718" i="1" s="1"/>
  <c r="K1717" i="1"/>
  <c r="L1717" i="1" s="1" a="1"/>
  <c r="L1717" i="1" s="1"/>
  <c r="L1716" i="1" a="1"/>
  <c r="L1716" i="1" s="1"/>
  <c r="K1716" i="1"/>
  <c r="L1715" i="1"/>
  <c r="L1715" i="1" a="1"/>
  <c r="K1715" i="1"/>
  <c r="L1714" i="1" a="1"/>
  <c r="L1714" i="1" s="1"/>
  <c r="K1714" i="1"/>
  <c r="K1713" i="1"/>
  <c r="L1713" i="1" s="1" a="1"/>
  <c r="L1713" i="1" s="1"/>
  <c r="K1712" i="1"/>
  <c r="L1712" i="1" s="1" a="1"/>
  <c r="L1712" i="1" s="1"/>
  <c r="K1711" i="1"/>
  <c r="L1711" i="1" s="1" a="1"/>
  <c r="L1711" i="1" s="1"/>
  <c r="L1710" i="1" a="1"/>
  <c r="L1710" i="1" s="1"/>
  <c r="K1710" i="1"/>
  <c r="L1709" i="1" a="1"/>
  <c r="L1709" i="1" s="1"/>
  <c r="K1709" i="1"/>
  <c r="L1708" i="1" a="1"/>
  <c r="L1708" i="1" s="1"/>
  <c r="K1708" i="1"/>
  <c r="L1707" i="1" a="1"/>
  <c r="L1707" i="1" s="1"/>
  <c r="K1707" i="1"/>
  <c r="L1706" i="1"/>
  <c r="L1706" i="1" a="1"/>
  <c r="K1706" i="1"/>
  <c r="L1705" i="1" a="1"/>
  <c r="L1705" i="1" s="1"/>
  <c r="K1705" i="1"/>
  <c r="L1704" i="1" a="1"/>
  <c r="L1704" i="1" s="1"/>
  <c r="K1704" i="1"/>
  <c r="L1703" i="1" a="1"/>
  <c r="L1703" i="1" s="1"/>
  <c r="K1703" i="1"/>
  <c r="L1702" i="1"/>
  <c r="L1702" i="1" a="1"/>
  <c r="K1702" i="1"/>
  <c r="L1701" i="1" a="1"/>
  <c r="L1701" i="1" s="1"/>
  <c r="K1701" i="1"/>
  <c r="L1700" i="1" a="1"/>
  <c r="L1700" i="1" s="1"/>
  <c r="K1700" i="1"/>
  <c r="L1699" i="1" a="1"/>
  <c r="L1699" i="1" s="1"/>
  <c r="K1699" i="1"/>
  <c r="L1698" i="1"/>
  <c r="L1698" i="1" a="1"/>
  <c r="K1698" i="1"/>
  <c r="L1697" i="1" a="1"/>
  <c r="L1697" i="1" s="1"/>
  <c r="K1697" i="1"/>
  <c r="L1696" i="1" a="1"/>
  <c r="L1696" i="1" s="1"/>
  <c r="K1696" i="1"/>
  <c r="L1695" i="1" a="1"/>
  <c r="L1695" i="1" s="1"/>
  <c r="K1695" i="1"/>
  <c r="L1694" i="1"/>
  <c r="L1694" i="1" a="1"/>
  <c r="K1694" i="1"/>
  <c r="L1693" i="1" a="1"/>
  <c r="L1693" i="1" s="1"/>
  <c r="K1693" i="1"/>
  <c r="L1692" i="1" a="1"/>
  <c r="L1692" i="1" s="1"/>
  <c r="K1692" i="1"/>
  <c r="L1691" i="1" a="1"/>
  <c r="L1691" i="1" s="1"/>
  <c r="K1691" i="1"/>
  <c r="L1690" i="1"/>
  <c r="L1690" i="1" a="1"/>
  <c r="K1690" i="1"/>
  <c r="L1689" i="1"/>
  <c r="L1689" i="1" a="1"/>
  <c r="K1689" i="1"/>
  <c r="L1688" i="1" a="1"/>
  <c r="L1688" i="1" s="1"/>
  <c r="K1688" i="1"/>
  <c r="L1687" i="1" a="1"/>
  <c r="L1687" i="1" s="1"/>
  <c r="K1687" i="1"/>
  <c r="L1686" i="1" a="1"/>
  <c r="L1686" i="1" s="1"/>
  <c r="K1686" i="1"/>
  <c r="L1685" i="1"/>
  <c r="L1685" i="1" a="1"/>
  <c r="K1685" i="1"/>
  <c r="L1684" i="1" a="1"/>
  <c r="L1684" i="1" s="1"/>
  <c r="K1684" i="1"/>
  <c r="L1683" i="1" a="1"/>
  <c r="L1683" i="1" s="1"/>
  <c r="K1683" i="1"/>
  <c r="L1682" i="1" a="1"/>
  <c r="L1682" i="1" s="1"/>
  <c r="K1682" i="1"/>
  <c r="L1681" i="1" a="1"/>
  <c r="L1681" i="1" s="1"/>
  <c r="K1681" i="1"/>
  <c r="L1680" i="1" a="1"/>
  <c r="L1680" i="1" s="1"/>
  <c r="K1680" i="1"/>
  <c r="L1679" i="1" a="1"/>
  <c r="L1679" i="1" s="1"/>
  <c r="K1679" i="1"/>
  <c r="L1678" i="1" a="1"/>
  <c r="L1678" i="1" s="1"/>
  <c r="K1678" i="1"/>
  <c r="L1677" i="1"/>
  <c r="L1677" i="1" a="1"/>
  <c r="K1677" i="1"/>
  <c r="L1676" i="1" a="1"/>
  <c r="L1676" i="1" s="1"/>
  <c r="K1676" i="1"/>
  <c r="L1675" i="1" a="1"/>
  <c r="L1675" i="1" s="1"/>
  <c r="K1675" i="1"/>
  <c r="L1674" i="1" a="1"/>
  <c r="L1674" i="1" s="1"/>
  <c r="K1674" i="1"/>
  <c r="L1673" i="1"/>
  <c r="L1673" i="1" a="1"/>
  <c r="K1673" i="1"/>
  <c r="L1672" i="1" a="1"/>
  <c r="L1672" i="1" s="1"/>
  <c r="K1672" i="1"/>
  <c r="L1671" i="1" a="1"/>
  <c r="L1671" i="1" s="1"/>
  <c r="K1671" i="1"/>
  <c r="L1670" i="1" a="1"/>
  <c r="L1670" i="1" s="1"/>
  <c r="K1670" i="1"/>
  <c r="L1669" i="1"/>
  <c r="L1669" i="1" a="1"/>
  <c r="K1669" i="1"/>
  <c r="L1668" i="1" a="1"/>
  <c r="L1668" i="1" s="1"/>
  <c r="K1668" i="1"/>
  <c r="L1667" i="1" a="1"/>
  <c r="L1667" i="1" s="1"/>
  <c r="K1667" i="1"/>
  <c r="L1666" i="1" a="1"/>
  <c r="L1666" i="1" s="1"/>
  <c r="K1666" i="1"/>
  <c r="L1665" i="1" a="1"/>
  <c r="L1665" i="1" s="1"/>
  <c r="K1665" i="1"/>
  <c r="L1664" i="1" a="1"/>
  <c r="L1664" i="1" s="1"/>
  <c r="K1664" i="1"/>
  <c r="L1663" i="1" a="1"/>
  <c r="L1663" i="1" s="1"/>
  <c r="K1663" i="1"/>
  <c r="L1662" i="1" a="1"/>
  <c r="L1662" i="1" s="1"/>
  <c r="K1662" i="1"/>
  <c r="L1661" i="1"/>
  <c r="L1661" i="1" a="1"/>
  <c r="K1661" i="1"/>
  <c r="L1660" i="1" a="1"/>
  <c r="L1660" i="1" s="1"/>
  <c r="K1660" i="1"/>
  <c r="L1659" i="1" a="1"/>
  <c r="L1659" i="1" s="1"/>
  <c r="K1659" i="1"/>
  <c r="L1658" i="1" a="1"/>
  <c r="L1658" i="1" s="1"/>
  <c r="K1658" i="1"/>
  <c r="L1657" i="1"/>
  <c r="L1657" i="1" a="1"/>
  <c r="K1657" i="1"/>
  <c r="L1656" i="1" a="1"/>
  <c r="L1656" i="1" s="1"/>
  <c r="K1656" i="1"/>
  <c r="L1655" i="1" a="1"/>
  <c r="L1655" i="1" s="1"/>
  <c r="K1655" i="1"/>
  <c r="L1654" i="1" a="1"/>
  <c r="L1654" i="1" s="1"/>
  <c r="K1654" i="1"/>
  <c r="L1653" i="1"/>
  <c r="L1653" i="1" a="1"/>
  <c r="K1653" i="1"/>
  <c r="L1652" i="1" a="1"/>
  <c r="L1652" i="1" s="1"/>
  <c r="K1652" i="1"/>
  <c r="L1651" i="1" a="1"/>
  <c r="L1651" i="1" s="1"/>
  <c r="K1651" i="1"/>
  <c r="L1650" i="1" a="1"/>
  <c r="L1650" i="1" s="1"/>
  <c r="K1650" i="1"/>
  <c r="L1649" i="1" a="1"/>
  <c r="L1649" i="1" s="1"/>
  <c r="K1649" i="1"/>
  <c r="L1648" i="1" a="1"/>
  <c r="L1648" i="1" s="1"/>
  <c r="K1648" i="1"/>
  <c r="L1647" i="1" a="1"/>
  <c r="L1647" i="1" s="1"/>
  <c r="K1647" i="1"/>
  <c r="L1646" i="1" a="1"/>
  <c r="L1646" i="1" s="1"/>
  <c r="K1646" i="1"/>
  <c r="L1645" i="1"/>
  <c r="L1645" i="1" a="1"/>
  <c r="K1645" i="1"/>
  <c r="L1644" i="1" a="1"/>
  <c r="L1644" i="1" s="1"/>
  <c r="K1644" i="1"/>
  <c r="L1643" i="1" a="1"/>
  <c r="L1643" i="1" s="1"/>
  <c r="K1643" i="1"/>
  <c r="L1642" i="1" a="1"/>
  <c r="L1642" i="1" s="1"/>
  <c r="K1642" i="1"/>
  <c r="L1641" i="1"/>
  <c r="L1641" i="1" a="1"/>
  <c r="K1641" i="1"/>
  <c r="L1640" i="1" a="1"/>
  <c r="L1640" i="1" s="1"/>
  <c r="K1640" i="1"/>
  <c r="L1639" i="1" a="1"/>
  <c r="L1639" i="1" s="1"/>
  <c r="K1639" i="1"/>
  <c r="L1638" i="1" a="1"/>
  <c r="L1638" i="1" s="1"/>
  <c r="K1638" i="1"/>
  <c r="L1637" i="1"/>
  <c r="L1637" i="1" a="1"/>
  <c r="K1637" i="1"/>
  <c r="L1636" i="1" a="1"/>
  <c r="L1636" i="1" s="1"/>
  <c r="K1636" i="1"/>
  <c r="L1635" i="1" a="1"/>
  <c r="L1635" i="1" s="1"/>
  <c r="K1635" i="1"/>
  <c r="L1634" i="1" a="1"/>
  <c r="L1634" i="1" s="1"/>
  <c r="K1634" i="1"/>
  <c r="L1633" i="1" a="1"/>
  <c r="L1633" i="1" s="1"/>
  <c r="K1633" i="1"/>
  <c r="L1632" i="1" a="1"/>
  <c r="L1632" i="1" s="1"/>
  <c r="K1632" i="1"/>
  <c r="L1631" i="1" a="1"/>
  <c r="L1631" i="1" s="1"/>
  <c r="K1631" i="1"/>
  <c r="L1630" i="1" a="1"/>
  <c r="L1630" i="1" s="1"/>
  <c r="K1630" i="1"/>
  <c r="L1629" i="1"/>
  <c r="L1629" i="1" a="1"/>
  <c r="K1629" i="1"/>
  <c r="L1628" i="1" a="1"/>
  <c r="L1628" i="1" s="1"/>
  <c r="K1628" i="1"/>
  <c r="L1627" i="1" a="1"/>
  <c r="L1627" i="1" s="1"/>
  <c r="K1627" i="1"/>
  <c r="L1626" i="1" a="1"/>
  <c r="L1626" i="1" s="1"/>
  <c r="K1626" i="1"/>
  <c r="L1625" i="1"/>
  <c r="L1625" i="1" a="1"/>
  <c r="K1625" i="1"/>
  <c r="L1624" i="1" a="1"/>
  <c r="L1624" i="1" s="1"/>
  <c r="K1624" i="1"/>
  <c r="L1623" i="1" a="1"/>
  <c r="L1623" i="1" s="1"/>
  <c r="K1623" i="1"/>
  <c r="L1622" i="1" a="1"/>
  <c r="L1622" i="1" s="1"/>
  <c r="K1622" i="1"/>
  <c r="L1621" i="1"/>
  <c r="L1621" i="1" a="1"/>
  <c r="K1621" i="1"/>
  <c r="L1620" i="1" a="1"/>
  <c r="L1620" i="1" s="1"/>
  <c r="K1620" i="1"/>
  <c r="L1619" i="1" a="1"/>
  <c r="L1619" i="1" s="1"/>
  <c r="K1619" i="1"/>
  <c r="L1618" i="1" a="1"/>
  <c r="L1618" i="1" s="1"/>
  <c r="K1618" i="1"/>
  <c r="L1617" i="1" a="1"/>
  <c r="L1617" i="1" s="1"/>
  <c r="K1617" i="1"/>
  <c r="L1616" i="1" a="1"/>
  <c r="L1616" i="1" s="1"/>
  <c r="K1616" i="1"/>
  <c r="L1615" i="1" a="1"/>
  <c r="L1615" i="1" s="1"/>
  <c r="K1615" i="1"/>
  <c r="L1614" i="1" a="1"/>
  <c r="L1614" i="1" s="1"/>
  <c r="K1614" i="1"/>
  <c r="L1613" i="1"/>
  <c r="L1613" i="1" a="1"/>
  <c r="K1613" i="1"/>
  <c r="L1612" i="1" a="1"/>
  <c r="L1612" i="1" s="1"/>
  <c r="K1612" i="1"/>
  <c r="L1611" i="1" a="1"/>
  <c r="L1611" i="1" s="1"/>
  <c r="K1611" i="1"/>
  <c r="L1610" i="1" a="1"/>
  <c r="L1610" i="1" s="1"/>
  <c r="K1610" i="1"/>
  <c r="L1609" i="1"/>
  <c r="L1609" i="1" a="1"/>
  <c r="K1609" i="1"/>
  <c r="L1608" i="1" a="1"/>
  <c r="L1608" i="1" s="1"/>
  <c r="K1608" i="1"/>
  <c r="L1607" i="1" a="1"/>
  <c r="L1607" i="1" s="1"/>
  <c r="K1607" i="1"/>
  <c r="L1606" i="1" a="1"/>
  <c r="L1606" i="1" s="1"/>
  <c r="K1606" i="1"/>
  <c r="L1605" i="1"/>
  <c r="L1605" i="1" a="1"/>
  <c r="K1605" i="1"/>
  <c r="L1604" i="1" a="1"/>
  <c r="L1604" i="1" s="1"/>
  <c r="K1604" i="1"/>
  <c r="L1603" i="1" a="1"/>
  <c r="L1603" i="1" s="1"/>
  <c r="K1603" i="1"/>
  <c r="L1602" i="1" a="1"/>
  <c r="L1602" i="1" s="1"/>
  <c r="K1602" i="1"/>
  <c r="L1601" i="1" a="1"/>
  <c r="L1601" i="1" s="1"/>
  <c r="K1601" i="1"/>
  <c r="L1600" i="1" a="1"/>
  <c r="L1600" i="1" s="1"/>
  <c r="K1600" i="1"/>
  <c r="L1599" i="1" a="1"/>
  <c r="L1599" i="1" s="1"/>
  <c r="K1599" i="1"/>
  <c r="L1598" i="1" a="1"/>
  <c r="L1598" i="1" s="1"/>
  <c r="K1598" i="1"/>
  <c r="L1597" i="1"/>
  <c r="L1597" i="1" a="1"/>
  <c r="K1597" i="1"/>
  <c r="L1596" i="1" a="1"/>
  <c r="L1596" i="1" s="1"/>
  <c r="K1596" i="1"/>
  <c r="L1595" i="1" a="1"/>
  <c r="L1595" i="1" s="1"/>
  <c r="K1595" i="1"/>
  <c r="L1594" i="1" a="1"/>
  <c r="L1594" i="1" s="1"/>
  <c r="K1594" i="1"/>
  <c r="L1593" i="1"/>
  <c r="L1593" i="1" a="1"/>
  <c r="K1593" i="1"/>
  <c r="L1592" i="1" a="1"/>
  <c r="L1592" i="1" s="1"/>
  <c r="K1592" i="1"/>
  <c r="L1591" i="1" a="1"/>
  <c r="L1591" i="1" s="1"/>
  <c r="K1591" i="1"/>
  <c r="L1590" i="1" a="1"/>
  <c r="L1590" i="1" s="1"/>
  <c r="K1590" i="1"/>
  <c r="L1589" i="1"/>
  <c r="L1589" i="1" a="1"/>
  <c r="K1589" i="1"/>
  <c r="L1588" i="1" a="1"/>
  <c r="L1588" i="1" s="1"/>
  <c r="K1588" i="1"/>
  <c r="L1587" i="1" a="1"/>
  <c r="L1587" i="1" s="1"/>
  <c r="K1587" i="1"/>
  <c r="L1586" i="1" a="1"/>
  <c r="L1586" i="1" s="1"/>
  <c r="K1586" i="1"/>
  <c r="L1585" i="1" a="1"/>
  <c r="L1585" i="1" s="1"/>
  <c r="K1585" i="1"/>
  <c r="L1584" i="1" a="1"/>
  <c r="L1584" i="1" s="1"/>
  <c r="K1584" i="1"/>
  <c r="L1583" i="1" a="1"/>
  <c r="L1583" i="1" s="1"/>
  <c r="K1583" i="1"/>
  <c r="L1582" i="1" a="1"/>
  <c r="L1582" i="1" s="1"/>
  <c r="K1582" i="1"/>
  <c r="L1581" i="1"/>
  <c r="L1581" i="1" a="1"/>
  <c r="K1581" i="1"/>
  <c r="L1580" i="1" a="1"/>
  <c r="L1580" i="1" s="1"/>
  <c r="K1580" i="1"/>
  <c r="L1579" i="1" a="1"/>
  <c r="L1579" i="1" s="1"/>
  <c r="K1579" i="1"/>
  <c r="L1578" i="1" a="1"/>
  <c r="L1578" i="1" s="1"/>
  <c r="K1578" i="1"/>
  <c r="L1577" i="1"/>
  <c r="L1577" i="1" a="1"/>
  <c r="K1577" i="1"/>
  <c r="L1576" i="1" a="1"/>
  <c r="L1576" i="1" s="1"/>
  <c r="K1576" i="1"/>
  <c r="L1575" i="1" a="1"/>
  <c r="L1575" i="1" s="1"/>
  <c r="K1575" i="1"/>
  <c r="L1574" i="1" a="1"/>
  <c r="L1574" i="1" s="1"/>
  <c r="K1574" i="1"/>
  <c r="L1573" i="1" a="1"/>
  <c r="L1573" i="1" s="1"/>
  <c r="K1573" i="1"/>
  <c r="L1572" i="1" a="1"/>
  <c r="L1572" i="1" s="1"/>
  <c r="K1572" i="1"/>
  <c r="L1571" i="1" a="1"/>
  <c r="L1571" i="1" s="1"/>
  <c r="K1571" i="1"/>
  <c r="L1570" i="1" a="1"/>
  <c r="L1570" i="1" s="1"/>
  <c r="K1570" i="1"/>
  <c r="L1569" i="1" a="1"/>
  <c r="L1569" i="1" s="1"/>
  <c r="K1569" i="1"/>
  <c r="L1568" i="1" a="1"/>
  <c r="L1568" i="1" s="1"/>
  <c r="K1568" i="1"/>
  <c r="L1567" i="1" a="1"/>
  <c r="L1567" i="1" s="1"/>
  <c r="K1567" i="1"/>
  <c r="L1566" i="1" a="1"/>
  <c r="L1566" i="1" s="1"/>
  <c r="K1566" i="1"/>
  <c r="L1565" i="1"/>
  <c r="L1565" i="1" a="1"/>
  <c r="K1565" i="1"/>
  <c r="L1564" i="1" a="1"/>
  <c r="L1564" i="1" s="1"/>
  <c r="K1564" i="1"/>
  <c r="L1563" i="1" a="1"/>
  <c r="L1563" i="1" s="1"/>
  <c r="K1563" i="1"/>
  <c r="L1562" i="1" a="1"/>
  <c r="L1562" i="1" s="1"/>
  <c r="K1562" i="1"/>
  <c r="L1561" i="1" a="1"/>
  <c r="L1561" i="1" s="1"/>
  <c r="K1561" i="1"/>
  <c r="L1560" i="1" a="1"/>
  <c r="L1560" i="1" s="1"/>
  <c r="K1560" i="1"/>
  <c r="L1559" i="1" a="1"/>
  <c r="L1559" i="1" s="1"/>
  <c r="K1559" i="1"/>
  <c r="L1558" i="1" a="1"/>
  <c r="L1558" i="1" s="1"/>
  <c r="K1558" i="1"/>
  <c r="L1557" i="1" a="1"/>
  <c r="L1557" i="1" s="1"/>
  <c r="K1557" i="1"/>
  <c r="L1556" i="1" a="1"/>
  <c r="L1556" i="1" s="1"/>
  <c r="K1556" i="1"/>
  <c r="L1555" i="1" a="1"/>
  <c r="L1555" i="1" s="1"/>
  <c r="K1555" i="1"/>
  <c r="L1554" i="1" a="1"/>
  <c r="L1554" i="1" s="1"/>
  <c r="K1554" i="1"/>
  <c r="L1553" i="1" a="1"/>
  <c r="L1553" i="1" s="1"/>
  <c r="K1553" i="1"/>
  <c r="L1552" i="1" a="1"/>
  <c r="L1552" i="1" s="1"/>
  <c r="K1552" i="1"/>
  <c r="L1551" i="1" a="1"/>
  <c r="L1551" i="1" s="1"/>
  <c r="K1551" i="1"/>
  <c r="L1550" i="1" a="1"/>
  <c r="L1550" i="1" s="1"/>
  <c r="K1550" i="1"/>
  <c r="L1549" i="1"/>
  <c r="L1549" i="1" a="1"/>
  <c r="K1549" i="1"/>
  <c r="L1548" i="1" a="1"/>
  <c r="L1548" i="1" s="1"/>
  <c r="K1548" i="1"/>
  <c r="L1547" i="1" a="1"/>
  <c r="L1547" i="1" s="1"/>
  <c r="K1547" i="1"/>
  <c r="L1546" i="1" a="1"/>
  <c r="L1546" i="1" s="1"/>
  <c r="K1546" i="1"/>
  <c r="L1545" i="1" a="1"/>
  <c r="L1545" i="1" s="1"/>
  <c r="K1545" i="1"/>
  <c r="L1544" i="1" a="1"/>
  <c r="L1544" i="1" s="1"/>
  <c r="K1544" i="1"/>
  <c r="L1543" i="1" a="1"/>
  <c r="L1543" i="1" s="1"/>
  <c r="K1543" i="1"/>
  <c r="L1542" i="1" a="1"/>
  <c r="L1542" i="1" s="1"/>
  <c r="K1542" i="1"/>
  <c r="L1541" i="1" a="1"/>
  <c r="L1541" i="1" s="1"/>
  <c r="K1541" i="1"/>
  <c r="L1540" i="1" a="1"/>
  <c r="L1540" i="1" s="1"/>
  <c r="K1540" i="1"/>
  <c r="L1539" i="1" a="1"/>
  <c r="L1539" i="1" s="1"/>
  <c r="K1539" i="1"/>
  <c r="L1538" i="1" a="1"/>
  <c r="L1538" i="1" s="1"/>
  <c r="K1538" i="1"/>
  <c r="L1537" i="1" a="1"/>
  <c r="L1537" i="1" s="1"/>
  <c r="K1537" i="1"/>
  <c r="L1536" i="1" a="1"/>
  <c r="L1536" i="1" s="1"/>
  <c r="K1536" i="1"/>
  <c r="L1535" i="1" a="1"/>
  <c r="L1535" i="1" s="1"/>
  <c r="K1535" i="1"/>
  <c r="L1534" i="1" a="1"/>
  <c r="L1534" i="1" s="1"/>
  <c r="K1534" i="1"/>
  <c r="L1533" i="1"/>
  <c r="L1533" i="1" a="1"/>
  <c r="K1533" i="1"/>
  <c r="L1532" i="1" a="1"/>
  <c r="L1532" i="1" s="1"/>
  <c r="K1532" i="1"/>
  <c r="L1531" i="1" a="1"/>
  <c r="L1531" i="1" s="1"/>
  <c r="K1531" i="1"/>
  <c r="L1530" i="1" a="1"/>
  <c r="L1530" i="1" s="1"/>
  <c r="K1530" i="1"/>
  <c r="L1529" i="1" a="1"/>
  <c r="L1529" i="1" s="1"/>
  <c r="K1529" i="1"/>
  <c r="L1528" i="1" a="1"/>
  <c r="L1528" i="1" s="1"/>
  <c r="K1528" i="1"/>
  <c r="L1527" i="1" a="1"/>
  <c r="L1527" i="1" s="1"/>
  <c r="K1527" i="1"/>
  <c r="L1526" i="1" a="1"/>
  <c r="L1526" i="1" s="1"/>
  <c r="K1526" i="1"/>
  <c r="L1525" i="1" a="1"/>
  <c r="L1525" i="1" s="1"/>
  <c r="K1525" i="1"/>
  <c r="L1524" i="1" a="1"/>
  <c r="L1524" i="1" s="1"/>
  <c r="K1524" i="1"/>
  <c r="L1523" i="1" a="1"/>
  <c r="L1523" i="1" s="1"/>
  <c r="K1523" i="1"/>
  <c r="L1522" i="1" a="1"/>
  <c r="L1522" i="1" s="1"/>
  <c r="K1522" i="1"/>
  <c r="L1521" i="1" a="1"/>
  <c r="L1521" i="1" s="1"/>
  <c r="K1521" i="1"/>
  <c r="L1520" i="1" a="1"/>
  <c r="L1520" i="1" s="1"/>
  <c r="K1520" i="1"/>
  <c r="L1519" i="1" a="1"/>
  <c r="L1519" i="1" s="1"/>
  <c r="K1519" i="1"/>
  <c r="L1518" i="1" a="1"/>
  <c r="L1518" i="1" s="1"/>
  <c r="K1518" i="1"/>
  <c r="L1517" i="1"/>
  <c r="L1517" i="1" a="1"/>
  <c r="K1517" i="1"/>
  <c r="L1516" i="1" a="1"/>
  <c r="L1516" i="1" s="1"/>
  <c r="K1516" i="1"/>
  <c r="L1515" i="1" a="1"/>
  <c r="L1515" i="1" s="1"/>
  <c r="K1515" i="1"/>
  <c r="L1514" i="1" a="1"/>
  <c r="L1514" i="1" s="1"/>
  <c r="K1514" i="1"/>
  <c r="L1513" i="1" a="1"/>
  <c r="L1513" i="1" s="1"/>
  <c r="K1513" i="1"/>
  <c r="L1512" i="1" a="1"/>
  <c r="L1512" i="1" s="1"/>
  <c r="K1512" i="1"/>
  <c r="L1511" i="1" a="1"/>
  <c r="L1511" i="1" s="1"/>
  <c r="K1511" i="1"/>
  <c r="L1510" i="1" a="1"/>
  <c r="L1510" i="1" s="1"/>
  <c r="K1510" i="1"/>
  <c r="L1509" i="1" a="1"/>
  <c r="L1509" i="1" s="1"/>
  <c r="K1509" i="1"/>
  <c r="L1508" i="1" a="1"/>
  <c r="L1508" i="1" s="1"/>
  <c r="K1508" i="1"/>
  <c r="L1507" i="1" a="1"/>
  <c r="L1507" i="1" s="1"/>
  <c r="K1507" i="1"/>
  <c r="L1506" i="1" a="1"/>
  <c r="L1506" i="1" s="1"/>
  <c r="K1506" i="1"/>
  <c r="L1505" i="1" a="1"/>
  <c r="L1505" i="1" s="1"/>
  <c r="K1505" i="1"/>
  <c r="L1504" i="1" a="1"/>
  <c r="L1504" i="1" s="1"/>
  <c r="K1504" i="1"/>
  <c r="L1503" i="1" a="1"/>
  <c r="L1503" i="1" s="1"/>
  <c r="K1503" i="1"/>
  <c r="L1502" i="1" a="1"/>
  <c r="L1502" i="1" s="1"/>
  <c r="K1502" i="1"/>
  <c r="L1501" i="1"/>
  <c r="L1501" i="1" a="1"/>
  <c r="K1501" i="1"/>
  <c r="L1500" i="1" a="1"/>
  <c r="L1500" i="1" s="1"/>
  <c r="K1500" i="1"/>
  <c r="L1499" i="1" a="1"/>
  <c r="L1499" i="1" s="1"/>
  <c r="K1499" i="1"/>
  <c r="L1498" i="1" a="1"/>
  <c r="L1498" i="1" s="1"/>
  <c r="K1498" i="1"/>
  <c r="L1497" i="1" a="1"/>
  <c r="L1497" i="1" s="1"/>
  <c r="K1497" i="1"/>
  <c r="L1496" i="1" a="1"/>
  <c r="L1496" i="1" s="1"/>
  <c r="K1496" i="1"/>
  <c r="L1495" i="1" a="1"/>
  <c r="L1495" i="1" s="1"/>
  <c r="K1495" i="1"/>
  <c r="L1494" i="1" a="1"/>
  <c r="L1494" i="1" s="1"/>
  <c r="K1494" i="1"/>
  <c r="L1493" i="1" a="1"/>
  <c r="L1493" i="1" s="1"/>
  <c r="K1493" i="1"/>
  <c r="L1492" i="1" a="1"/>
  <c r="L1492" i="1" s="1"/>
  <c r="K1492" i="1"/>
  <c r="L1491" i="1" a="1"/>
  <c r="L1491" i="1" s="1"/>
  <c r="K1491" i="1"/>
  <c r="L1490" i="1" a="1"/>
  <c r="L1490" i="1" s="1"/>
  <c r="K1490" i="1"/>
  <c r="L1489" i="1" a="1"/>
  <c r="L1489" i="1" s="1"/>
  <c r="K1489" i="1"/>
  <c r="L1488" i="1" a="1"/>
  <c r="L1488" i="1" s="1"/>
  <c r="K1488" i="1"/>
  <c r="L1487" i="1" a="1"/>
  <c r="L1487" i="1" s="1"/>
  <c r="K1487" i="1"/>
  <c r="L1486" i="1" a="1"/>
  <c r="L1486" i="1" s="1"/>
  <c r="K1486" i="1"/>
  <c r="L1485" i="1"/>
  <c r="L1485" i="1" a="1"/>
  <c r="K1485" i="1"/>
  <c r="L1484" i="1" a="1"/>
  <c r="L1484" i="1" s="1"/>
  <c r="K1484" i="1"/>
  <c r="L1483" i="1" a="1"/>
  <c r="L1483" i="1" s="1"/>
  <c r="K1483" i="1"/>
  <c r="L1482" i="1" a="1"/>
  <c r="L1482" i="1" s="1"/>
  <c r="K1482" i="1"/>
  <c r="L1481" i="1" a="1"/>
  <c r="L1481" i="1" s="1"/>
  <c r="K1481" i="1"/>
  <c r="L1480" i="1" a="1"/>
  <c r="L1480" i="1" s="1"/>
  <c r="K1480" i="1"/>
  <c r="L1479" i="1" a="1"/>
  <c r="L1479" i="1" s="1"/>
  <c r="K1479" i="1"/>
  <c r="L1478" i="1" a="1"/>
  <c r="L1478" i="1" s="1"/>
  <c r="K1478" i="1"/>
  <c r="L1477" i="1" a="1"/>
  <c r="L1477" i="1" s="1"/>
  <c r="K1477" i="1"/>
  <c r="L1476" i="1" a="1"/>
  <c r="L1476" i="1" s="1"/>
  <c r="K1476" i="1"/>
  <c r="L1475" i="1" a="1"/>
  <c r="L1475" i="1" s="1"/>
  <c r="K1475" i="1"/>
  <c r="L1474" i="1" a="1"/>
  <c r="L1474" i="1" s="1"/>
  <c r="K1474" i="1"/>
  <c r="L1473" i="1" a="1"/>
  <c r="L1473" i="1" s="1"/>
  <c r="K1473" i="1"/>
  <c r="L1472" i="1" a="1"/>
  <c r="L1472" i="1" s="1"/>
  <c r="K1472" i="1"/>
  <c r="L1471" i="1" a="1"/>
  <c r="L1471" i="1" s="1"/>
  <c r="K1471" i="1"/>
  <c r="L1470" i="1" a="1"/>
  <c r="L1470" i="1" s="1"/>
  <c r="K1470" i="1"/>
  <c r="L1469" i="1"/>
  <c r="L1469" i="1" a="1"/>
  <c r="K1469" i="1"/>
  <c r="L1468" i="1" a="1"/>
  <c r="L1468" i="1" s="1"/>
  <c r="K1468" i="1"/>
  <c r="L1467" i="1" a="1"/>
  <c r="L1467" i="1" s="1"/>
  <c r="K1467" i="1"/>
  <c r="L1466" i="1" a="1"/>
  <c r="L1466" i="1" s="1"/>
  <c r="K1466" i="1"/>
  <c r="L1465" i="1" a="1"/>
  <c r="L1465" i="1" s="1"/>
  <c r="K1465" i="1"/>
  <c r="L1464" i="1" a="1"/>
  <c r="L1464" i="1" s="1"/>
  <c r="K1464" i="1"/>
  <c r="L1463" i="1" a="1"/>
  <c r="L1463" i="1" s="1"/>
  <c r="K1463" i="1"/>
  <c r="L1462" i="1" a="1"/>
  <c r="L1462" i="1" s="1"/>
  <c r="K1462" i="1"/>
  <c r="L1461" i="1" a="1"/>
  <c r="L1461" i="1" s="1"/>
  <c r="K1461" i="1"/>
  <c r="L1460" i="1" a="1"/>
  <c r="L1460" i="1" s="1"/>
  <c r="K1460" i="1"/>
  <c r="L1459" i="1" a="1"/>
  <c r="L1459" i="1" s="1"/>
  <c r="K1459" i="1"/>
  <c r="L1458" i="1" a="1"/>
  <c r="L1458" i="1" s="1"/>
  <c r="K1458" i="1"/>
  <c r="L1457" i="1" a="1"/>
  <c r="L1457" i="1" s="1"/>
  <c r="K1457" i="1"/>
  <c r="L1456" i="1" a="1"/>
  <c r="L1456" i="1" s="1"/>
  <c r="K1456" i="1"/>
  <c r="L1455" i="1" a="1"/>
  <c r="L1455" i="1" s="1"/>
  <c r="K1455" i="1"/>
  <c r="L1454" i="1" a="1"/>
  <c r="L1454" i="1" s="1"/>
  <c r="K1454" i="1"/>
  <c r="L1453" i="1"/>
  <c r="L1453" i="1" a="1"/>
  <c r="K1453" i="1"/>
  <c r="L1452" i="1" a="1"/>
  <c r="L1452" i="1" s="1"/>
  <c r="K1452" i="1"/>
  <c r="L1451" i="1" a="1"/>
  <c r="L1451" i="1" s="1"/>
  <c r="K1451" i="1"/>
  <c r="L1450" i="1" a="1"/>
  <c r="L1450" i="1" s="1"/>
  <c r="K1450" i="1"/>
  <c r="L1449" i="1" a="1"/>
  <c r="L1449" i="1" s="1"/>
  <c r="K1449" i="1"/>
  <c r="L1448" i="1" a="1"/>
  <c r="L1448" i="1" s="1"/>
  <c r="K1448" i="1"/>
  <c r="L1447" i="1" a="1"/>
  <c r="L1447" i="1" s="1"/>
  <c r="K1447" i="1"/>
  <c r="L1446" i="1" a="1"/>
  <c r="L1446" i="1" s="1"/>
  <c r="K1446" i="1"/>
  <c r="L1445" i="1" a="1"/>
  <c r="L1445" i="1" s="1"/>
  <c r="K1445" i="1"/>
  <c r="L1444" i="1" a="1"/>
  <c r="L1444" i="1" s="1"/>
  <c r="K1444" i="1"/>
  <c r="L1443" i="1" a="1"/>
  <c r="L1443" i="1" s="1"/>
  <c r="K1443" i="1"/>
  <c r="L1442" i="1" a="1"/>
  <c r="L1442" i="1" s="1"/>
  <c r="K1442" i="1"/>
  <c r="L1441" i="1" a="1"/>
  <c r="L1441" i="1" s="1"/>
  <c r="K1441" i="1"/>
  <c r="L1440" i="1" a="1"/>
  <c r="L1440" i="1" s="1"/>
  <c r="K1440" i="1"/>
  <c r="L1439" i="1" a="1"/>
  <c r="L1439" i="1" s="1"/>
  <c r="K1439" i="1"/>
  <c r="L1438" i="1" a="1"/>
  <c r="L1438" i="1" s="1"/>
  <c r="K1438" i="1"/>
  <c r="L1437" i="1"/>
  <c r="L1437" i="1" a="1"/>
  <c r="K1437" i="1"/>
  <c r="L1436" i="1" a="1"/>
  <c r="L1436" i="1" s="1"/>
  <c r="K1436" i="1"/>
  <c r="L1435" i="1" a="1"/>
  <c r="L1435" i="1" s="1"/>
  <c r="K1435" i="1"/>
  <c r="L1434" i="1" a="1"/>
  <c r="L1434" i="1" s="1"/>
  <c r="K1434" i="1"/>
  <c r="L1433" i="1" a="1"/>
  <c r="L1433" i="1" s="1"/>
  <c r="K1433" i="1"/>
  <c r="L1432" i="1" a="1"/>
  <c r="L1432" i="1" s="1"/>
  <c r="K1432" i="1"/>
  <c r="L1431" i="1" a="1"/>
  <c r="L1431" i="1" s="1"/>
  <c r="K1431" i="1"/>
  <c r="L1430" i="1" a="1"/>
  <c r="L1430" i="1" s="1"/>
  <c r="K1430" i="1"/>
  <c r="L1429" i="1" a="1"/>
  <c r="L1429" i="1" s="1"/>
  <c r="K1429" i="1"/>
  <c r="L1428" i="1" a="1"/>
  <c r="L1428" i="1" s="1"/>
  <c r="K1428" i="1"/>
  <c r="L1427" i="1" a="1"/>
  <c r="L1427" i="1" s="1"/>
  <c r="K1427" i="1"/>
  <c r="L1426" i="1" a="1"/>
  <c r="L1426" i="1" s="1"/>
  <c r="K1426" i="1"/>
  <c r="L1425" i="1" a="1"/>
  <c r="L1425" i="1" s="1"/>
  <c r="K1425" i="1"/>
  <c r="L1424" i="1" a="1"/>
  <c r="L1424" i="1" s="1"/>
  <c r="K1424" i="1"/>
  <c r="L1423" i="1" a="1"/>
  <c r="L1423" i="1" s="1"/>
  <c r="K1423" i="1"/>
  <c r="L1422" i="1" a="1"/>
  <c r="L1422" i="1" s="1"/>
  <c r="K1422" i="1"/>
  <c r="L1421" i="1" a="1"/>
  <c r="L1421" i="1" s="1"/>
  <c r="K1421" i="1"/>
  <c r="L1420" i="1" a="1"/>
  <c r="L1420" i="1" s="1"/>
  <c r="K1420" i="1"/>
  <c r="L1419" i="1" a="1"/>
  <c r="L1419" i="1" s="1"/>
  <c r="K1419" i="1"/>
  <c r="L1418" i="1" a="1"/>
  <c r="L1418" i="1" s="1"/>
  <c r="K1418" i="1"/>
  <c r="L1417" i="1" a="1"/>
  <c r="L1417" i="1" s="1"/>
  <c r="K1417" i="1"/>
  <c r="L1416" i="1" a="1"/>
  <c r="L1416" i="1" s="1"/>
  <c r="K1416" i="1"/>
  <c r="L1415" i="1" a="1"/>
  <c r="L1415" i="1" s="1"/>
  <c r="K1415" i="1"/>
  <c r="L1414" i="1" a="1"/>
  <c r="L1414" i="1" s="1"/>
  <c r="K1414" i="1"/>
  <c r="L1413" i="1" a="1"/>
  <c r="L1413" i="1" s="1"/>
  <c r="K1413" i="1"/>
  <c r="L1412" i="1" a="1"/>
  <c r="L1412" i="1" s="1"/>
  <c r="K1412" i="1"/>
  <c r="L1411" i="1" a="1"/>
  <c r="L1411" i="1" s="1"/>
  <c r="K1411" i="1"/>
  <c r="L1410" i="1" a="1"/>
  <c r="L1410" i="1" s="1"/>
  <c r="K1410" i="1"/>
  <c r="L1409" i="1" a="1"/>
  <c r="L1409" i="1" s="1"/>
  <c r="K1409" i="1"/>
  <c r="L1408" i="1" a="1"/>
  <c r="L1408" i="1" s="1"/>
  <c r="K1408" i="1"/>
  <c r="L1407" i="1" a="1"/>
  <c r="L1407" i="1" s="1"/>
  <c r="K1407" i="1"/>
  <c r="L1406" i="1" a="1"/>
  <c r="L1406" i="1" s="1"/>
  <c r="K1406" i="1"/>
  <c r="L1405" i="1" a="1"/>
  <c r="L1405" i="1" s="1"/>
  <c r="K1405" i="1"/>
  <c r="L1404" i="1" a="1"/>
  <c r="L1404" i="1" s="1"/>
  <c r="K1404" i="1"/>
  <c r="L1403" i="1" a="1"/>
  <c r="L1403" i="1" s="1"/>
  <c r="K1403" i="1"/>
  <c r="L1402" i="1" a="1"/>
  <c r="L1402" i="1" s="1"/>
  <c r="K1402" i="1"/>
  <c r="L1401" i="1" a="1"/>
  <c r="L1401" i="1" s="1"/>
  <c r="K1401" i="1"/>
  <c r="L1400" i="1" a="1"/>
  <c r="L1400" i="1" s="1"/>
  <c r="K1400" i="1"/>
  <c r="L1399" i="1" a="1"/>
  <c r="L1399" i="1" s="1"/>
  <c r="K1399" i="1"/>
  <c r="L1398" i="1" a="1"/>
  <c r="L1398" i="1" s="1"/>
  <c r="K1398" i="1"/>
  <c r="L1397" i="1" a="1"/>
  <c r="L1397" i="1" s="1"/>
  <c r="K1397" i="1"/>
  <c r="L1396" i="1" a="1"/>
  <c r="L1396" i="1" s="1"/>
  <c r="K1396" i="1"/>
  <c r="L1395" i="1" a="1"/>
  <c r="L1395" i="1" s="1"/>
  <c r="K1395" i="1"/>
  <c r="L1394" i="1" a="1"/>
  <c r="L1394" i="1" s="1"/>
  <c r="K1394" i="1"/>
  <c r="L1393" i="1" a="1"/>
  <c r="L1393" i="1" s="1"/>
  <c r="K1393" i="1"/>
  <c r="L1392" i="1" a="1"/>
  <c r="L1392" i="1" s="1"/>
  <c r="K1392" i="1"/>
  <c r="L1391" i="1" a="1"/>
  <c r="L1391" i="1" s="1"/>
  <c r="K1391" i="1"/>
  <c r="L1390" i="1" a="1"/>
  <c r="L1390" i="1" s="1"/>
  <c r="K1390" i="1"/>
  <c r="L1389" i="1" a="1"/>
  <c r="L1389" i="1" s="1"/>
  <c r="K1389" i="1"/>
  <c r="L1388" i="1" a="1"/>
  <c r="L1388" i="1" s="1"/>
  <c r="K1388" i="1"/>
  <c r="L1387" i="1" a="1"/>
  <c r="L1387" i="1" s="1"/>
  <c r="K1387" i="1"/>
  <c r="L1386" i="1" a="1"/>
  <c r="L1386" i="1" s="1"/>
  <c r="K1386" i="1"/>
  <c r="L1385" i="1" a="1"/>
  <c r="L1385" i="1" s="1"/>
  <c r="K1385" i="1"/>
  <c r="L1384" i="1" a="1"/>
  <c r="L1384" i="1" s="1"/>
  <c r="K1384" i="1"/>
  <c r="L1383" i="1" a="1"/>
  <c r="L1383" i="1" s="1"/>
  <c r="K1383" i="1"/>
  <c r="L1382" i="1" a="1"/>
  <c r="L1382" i="1" s="1"/>
  <c r="K1382" i="1"/>
  <c r="L1381" i="1" a="1"/>
  <c r="L1381" i="1" s="1"/>
  <c r="K1381" i="1"/>
  <c r="L1380" i="1" a="1"/>
  <c r="L1380" i="1" s="1"/>
  <c r="K1380" i="1"/>
  <c r="L1379" i="1" a="1"/>
  <c r="L1379" i="1" s="1"/>
  <c r="K1379" i="1"/>
  <c r="L1378" i="1"/>
  <c r="L1378" i="1" a="1"/>
  <c r="K1378" i="1"/>
  <c r="L1377" i="1"/>
  <c r="L1377" i="1" a="1"/>
  <c r="K1377" i="1"/>
  <c r="L1376" i="1" a="1"/>
  <c r="L1376" i="1" s="1"/>
  <c r="K1376" i="1"/>
  <c r="L1375" i="1" a="1"/>
  <c r="L1375" i="1" s="1"/>
  <c r="K1375" i="1"/>
  <c r="L1374" i="1" a="1"/>
  <c r="L1374" i="1" s="1"/>
  <c r="K1374" i="1"/>
  <c r="L1373" i="1" a="1"/>
  <c r="L1373" i="1" s="1"/>
  <c r="K1373" i="1"/>
  <c r="L1372" i="1" a="1"/>
  <c r="L1372" i="1" s="1"/>
  <c r="K1372" i="1"/>
  <c r="L1371" i="1" a="1"/>
  <c r="L1371" i="1" s="1"/>
  <c r="K1371" i="1"/>
  <c r="L1370" i="1" a="1"/>
  <c r="L1370" i="1" s="1"/>
  <c r="K1370" i="1"/>
  <c r="L1369" i="1" a="1"/>
  <c r="L1369" i="1" s="1"/>
  <c r="K1369" i="1"/>
  <c r="L1368" i="1" a="1"/>
  <c r="L1368" i="1" s="1"/>
  <c r="K1368" i="1"/>
  <c r="L1367" i="1" a="1"/>
  <c r="L1367" i="1" s="1"/>
  <c r="K1367" i="1"/>
  <c r="L1366" i="1"/>
  <c r="L1366" i="1" a="1"/>
  <c r="K1366" i="1"/>
  <c r="L1365" i="1"/>
  <c r="L1365" i="1" a="1"/>
  <c r="K1365" i="1"/>
  <c r="L1364" i="1" a="1"/>
  <c r="L1364" i="1" s="1"/>
  <c r="K1364" i="1"/>
  <c r="L1363" i="1" a="1"/>
  <c r="L1363" i="1" s="1"/>
  <c r="K1363" i="1"/>
  <c r="L1362" i="1" a="1"/>
  <c r="L1362" i="1" s="1"/>
  <c r="K1362" i="1"/>
  <c r="L1361" i="1" a="1"/>
  <c r="L1361" i="1" s="1"/>
  <c r="K1361" i="1"/>
  <c r="L1360" i="1" a="1"/>
  <c r="L1360" i="1" s="1"/>
  <c r="K1360" i="1"/>
  <c r="L1359" i="1" a="1"/>
  <c r="L1359" i="1" s="1"/>
  <c r="K1359" i="1"/>
  <c r="L1358" i="1" a="1"/>
  <c r="L1358" i="1" s="1"/>
  <c r="K1358" i="1"/>
  <c r="L1357" i="1" a="1"/>
  <c r="L1357" i="1" s="1"/>
  <c r="K1357" i="1"/>
  <c r="L1356" i="1" a="1"/>
  <c r="L1356" i="1" s="1"/>
  <c r="K1356" i="1"/>
  <c r="L1355" i="1" a="1"/>
  <c r="L1355" i="1" s="1"/>
  <c r="K1355" i="1"/>
  <c r="L1354" i="1"/>
  <c r="L1354" i="1" a="1"/>
  <c r="K1354" i="1"/>
  <c r="L1353" i="1"/>
  <c r="L1353" i="1" a="1"/>
  <c r="K1353" i="1"/>
  <c r="L1352" i="1" a="1"/>
  <c r="L1352" i="1" s="1"/>
  <c r="K1352" i="1"/>
  <c r="L1351" i="1" a="1"/>
  <c r="L1351" i="1" s="1"/>
  <c r="K1351" i="1"/>
  <c r="L1350" i="1" a="1"/>
  <c r="L1350" i="1" s="1"/>
  <c r="K1350" i="1"/>
  <c r="L1349" i="1" a="1"/>
  <c r="L1349" i="1" s="1"/>
  <c r="K1349" i="1"/>
  <c r="L1348" i="1" a="1"/>
  <c r="L1348" i="1" s="1"/>
  <c r="K1348" i="1"/>
  <c r="L1347" i="1" a="1"/>
  <c r="L1347" i="1" s="1"/>
  <c r="K1347" i="1"/>
  <c r="L1346" i="1" a="1"/>
  <c r="L1346" i="1" s="1"/>
  <c r="K1346" i="1"/>
  <c r="L1345" i="1" a="1"/>
  <c r="L1345" i="1" s="1"/>
  <c r="K1345" i="1"/>
  <c r="L1344" i="1" a="1"/>
  <c r="L1344" i="1" s="1"/>
  <c r="K1344" i="1"/>
  <c r="L1343" i="1" a="1"/>
  <c r="L1343" i="1" s="1"/>
  <c r="K1343" i="1"/>
  <c r="L1342" i="1"/>
  <c r="L1342" i="1" a="1"/>
  <c r="K1342" i="1"/>
  <c r="L1341" i="1"/>
  <c r="L1341" i="1" a="1"/>
  <c r="K1341" i="1"/>
  <c r="L1340" i="1" a="1"/>
  <c r="L1340" i="1" s="1"/>
  <c r="K1340" i="1"/>
  <c r="L1339" i="1" a="1"/>
  <c r="L1339" i="1" s="1"/>
  <c r="K1339" i="1"/>
  <c r="L1338" i="1" a="1"/>
  <c r="L1338" i="1" s="1"/>
  <c r="K1338" i="1"/>
  <c r="L1337" i="1" a="1"/>
  <c r="L1337" i="1" s="1"/>
  <c r="K1337" i="1"/>
  <c r="L1336" i="1" a="1"/>
  <c r="L1336" i="1" s="1"/>
  <c r="K1336" i="1"/>
  <c r="L1335" i="1" a="1"/>
  <c r="L1335" i="1" s="1"/>
  <c r="K1335" i="1"/>
  <c r="L1334" i="1" a="1"/>
  <c r="L1334" i="1" s="1"/>
  <c r="K1334" i="1"/>
  <c r="L1333" i="1" a="1"/>
  <c r="L1333" i="1" s="1"/>
  <c r="K1333" i="1"/>
  <c r="L1332" i="1" a="1"/>
  <c r="L1332" i="1" s="1"/>
  <c r="K1332" i="1"/>
  <c r="L1331" i="1" a="1"/>
  <c r="L1331" i="1" s="1"/>
  <c r="K1331" i="1"/>
  <c r="L1330" i="1"/>
  <c r="L1330" i="1" a="1"/>
  <c r="K1330" i="1"/>
  <c r="L1329" i="1"/>
  <c r="L1329" i="1" a="1"/>
  <c r="K1329" i="1"/>
  <c r="L1328" i="1" a="1"/>
  <c r="L1328" i="1" s="1"/>
  <c r="K1328" i="1"/>
  <c r="L1327" i="1" a="1"/>
  <c r="L1327" i="1" s="1"/>
  <c r="K1327" i="1"/>
  <c r="L1326" i="1" a="1"/>
  <c r="L1326" i="1" s="1"/>
  <c r="K1326" i="1"/>
  <c r="L1325" i="1" a="1"/>
  <c r="L1325" i="1" s="1"/>
  <c r="K1325" i="1"/>
  <c r="L1324" i="1" a="1"/>
  <c r="L1324" i="1" s="1"/>
  <c r="K1324" i="1"/>
  <c r="L1323" i="1" a="1"/>
  <c r="L1323" i="1" s="1"/>
  <c r="K1323" i="1"/>
  <c r="L1322" i="1" a="1"/>
  <c r="L1322" i="1" s="1"/>
  <c r="K1322" i="1"/>
  <c r="L1321" i="1" a="1"/>
  <c r="L1321" i="1" s="1"/>
  <c r="K1321" i="1"/>
  <c r="L1320" i="1" a="1"/>
  <c r="L1320" i="1" s="1"/>
  <c r="K1320" i="1"/>
  <c r="L1319" i="1" a="1"/>
  <c r="L1319" i="1" s="1"/>
  <c r="K1319" i="1"/>
  <c r="L1318" i="1"/>
  <c r="L1318" i="1" a="1"/>
  <c r="K1318" i="1"/>
  <c r="L1317" i="1"/>
  <c r="L1317" i="1" a="1"/>
  <c r="K1317" i="1"/>
  <c r="L1316" i="1" a="1"/>
  <c r="L1316" i="1" s="1"/>
  <c r="K1316" i="1"/>
  <c r="L1315" i="1" a="1"/>
  <c r="L1315" i="1" s="1"/>
  <c r="K1315" i="1"/>
  <c r="L1314" i="1" a="1"/>
  <c r="L1314" i="1" s="1"/>
  <c r="K1314" i="1"/>
  <c r="L1313" i="1" a="1"/>
  <c r="L1313" i="1" s="1"/>
  <c r="K1313" i="1"/>
  <c r="L1312" i="1" a="1"/>
  <c r="L1312" i="1" s="1"/>
  <c r="K1312" i="1"/>
  <c r="L1311" i="1" a="1"/>
  <c r="L1311" i="1" s="1"/>
  <c r="K1311" i="1"/>
  <c r="L1310" i="1" a="1"/>
  <c r="L1310" i="1" s="1"/>
  <c r="K1310" i="1"/>
  <c r="L1309" i="1" a="1"/>
  <c r="L1309" i="1" s="1"/>
  <c r="K1309" i="1"/>
  <c r="L1308" i="1" a="1"/>
  <c r="L1308" i="1" s="1"/>
  <c r="K1308" i="1"/>
  <c r="L1307" i="1" a="1"/>
  <c r="L1307" i="1" s="1"/>
  <c r="K1307" i="1"/>
  <c r="L1306" i="1"/>
  <c r="L1306" i="1" a="1"/>
  <c r="K1306" i="1"/>
  <c r="L1305" i="1"/>
  <c r="L1305" i="1" a="1"/>
  <c r="K1305" i="1"/>
  <c r="L1304" i="1" a="1"/>
  <c r="L1304" i="1" s="1"/>
  <c r="K1304" i="1"/>
  <c r="L1303" i="1" a="1"/>
  <c r="L1303" i="1" s="1"/>
  <c r="K1303" i="1"/>
  <c r="L1302" i="1" a="1"/>
  <c r="L1302" i="1" s="1"/>
  <c r="K1302" i="1"/>
  <c r="L1301" i="1" a="1"/>
  <c r="L1301" i="1" s="1"/>
  <c r="K1301" i="1"/>
  <c r="L1300" i="1" a="1"/>
  <c r="L1300" i="1" s="1"/>
  <c r="K1300" i="1"/>
  <c r="L1299" i="1" a="1"/>
  <c r="L1299" i="1" s="1"/>
  <c r="K1299" i="1"/>
  <c r="L1298" i="1" a="1"/>
  <c r="L1298" i="1" s="1"/>
  <c r="K1298" i="1"/>
  <c r="L1297" i="1" a="1"/>
  <c r="L1297" i="1" s="1"/>
  <c r="K1297" i="1"/>
  <c r="L1296" i="1" a="1"/>
  <c r="L1296" i="1" s="1"/>
  <c r="K1296" i="1"/>
  <c r="L1295" i="1" a="1"/>
  <c r="L1295" i="1" s="1"/>
  <c r="K1295" i="1"/>
  <c r="L1294" i="1"/>
  <c r="L1294" i="1" a="1"/>
  <c r="K1294" i="1"/>
  <c r="L1293" i="1"/>
  <c r="L1293" i="1" a="1"/>
  <c r="K1293" i="1"/>
  <c r="L1292" i="1" a="1"/>
  <c r="L1292" i="1" s="1"/>
  <c r="K1292" i="1"/>
  <c r="L1291" i="1" a="1"/>
  <c r="L1291" i="1" s="1"/>
  <c r="K1291" i="1"/>
  <c r="L1290" i="1"/>
  <c r="L1290" i="1" a="1"/>
  <c r="K1290" i="1"/>
  <c r="L1289" i="1" a="1"/>
  <c r="L1289" i="1" s="1"/>
  <c r="K1289" i="1"/>
  <c r="L1288" i="1" a="1"/>
  <c r="L1288" i="1" s="1"/>
  <c r="K1288" i="1"/>
  <c r="L1287" i="1" a="1"/>
  <c r="L1287" i="1" s="1"/>
  <c r="K1287" i="1"/>
  <c r="L1286" i="1" a="1"/>
  <c r="L1286" i="1" s="1"/>
  <c r="K1286" i="1"/>
  <c r="L1285" i="1" a="1"/>
  <c r="L1285" i="1" s="1"/>
  <c r="K1285" i="1"/>
  <c r="L1284" i="1" a="1"/>
  <c r="L1284" i="1" s="1"/>
  <c r="K1284" i="1"/>
  <c r="L1283" i="1" a="1"/>
  <c r="L1283" i="1" s="1"/>
  <c r="K1283" i="1"/>
  <c r="L1282" i="1"/>
  <c r="L1282" i="1" a="1"/>
  <c r="K1282" i="1"/>
  <c r="L1281" i="1"/>
  <c r="L1281" i="1" a="1"/>
  <c r="K1281" i="1"/>
  <c r="L1280" i="1" a="1"/>
  <c r="L1280" i="1" s="1"/>
  <c r="K1280" i="1"/>
  <c r="L1279" i="1" a="1"/>
  <c r="L1279" i="1" s="1"/>
  <c r="K1279" i="1"/>
  <c r="L1278" i="1" a="1"/>
  <c r="L1278" i="1" s="1"/>
  <c r="K1278" i="1"/>
  <c r="L1277" i="1" a="1"/>
  <c r="L1277" i="1" s="1"/>
  <c r="K1277" i="1"/>
  <c r="L1276" i="1" a="1"/>
  <c r="L1276" i="1" s="1"/>
  <c r="K1276" i="1"/>
  <c r="L1275" i="1" a="1"/>
  <c r="L1275" i="1" s="1"/>
  <c r="K1275" i="1"/>
  <c r="L1274" i="1" a="1"/>
  <c r="L1274" i="1" s="1"/>
  <c r="K1274" i="1"/>
  <c r="L1273" i="1" a="1"/>
  <c r="L1273" i="1" s="1"/>
  <c r="K1273" i="1"/>
  <c r="L1272" i="1" a="1"/>
  <c r="L1272" i="1" s="1"/>
  <c r="K1272" i="1"/>
  <c r="L1271" i="1" a="1"/>
  <c r="L1271" i="1" s="1"/>
  <c r="K1271" i="1"/>
  <c r="L1270" i="1"/>
  <c r="L1270" i="1" a="1"/>
  <c r="K1270" i="1"/>
  <c r="L1269" i="1"/>
  <c r="L1269" i="1" a="1"/>
  <c r="K1269" i="1"/>
  <c r="L1268" i="1" a="1"/>
  <c r="L1268" i="1" s="1"/>
  <c r="K1268" i="1"/>
  <c r="L1267" i="1" a="1"/>
  <c r="L1267" i="1" s="1"/>
  <c r="K1267" i="1"/>
  <c r="L1266" i="1"/>
  <c r="L1266" i="1" a="1"/>
  <c r="K1266" i="1"/>
  <c r="L1265" i="1" a="1"/>
  <c r="L1265" i="1" s="1"/>
  <c r="K1265" i="1"/>
  <c r="L1264" i="1" a="1"/>
  <c r="L1264" i="1" s="1"/>
  <c r="K1264" i="1"/>
  <c r="L1263" i="1" a="1"/>
  <c r="L1263" i="1" s="1"/>
  <c r="K1263" i="1"/>
  <c r="L1262" i="1" a="1"/>
  <c r="L1262" i="1" s="1"/>
  <c r="K1262" i="1"/>
  <c r="L1261" i="1" a="1"/>
  <c r="L1261" i="1" s="1"/>
  <c r="K1261" i="1"/>
  <c r="L1260" i="1" a="1"/>
  <c r="L1260" i="1" s="1"/>
  <c r="K1260" i="1"/>
  <c r="L1259" i="1" a="1"/>
  <c r="L1259" i="1" s="1"/>
  <c r="K1259" i="1"/>
  <c r="L1258" i="1"/>
  <c r="L1258" i="1" a="1"/>
  <c r="K1258" i="1"/>
  <c r="L1257" i="1"/>
  <c r="L1257" i="1" a="1"/>
  <c r="K1257" i="1"/>
  <c r="L1256" i="1" a="1"/>
  <c r="L1256" i="1" s="1"/>
  <c r="K1256" i="1"/>
  <c r="L1255" i="1" a="1"/>
  <c r="L1255" i="1" s="1"/>
  <c r="K1255" i="1"/>
  <c r="L1254" i="1" a="1"/>
  <c r="L1254" i="1" s="1"/>
  <c r="K1254" i="1"/>
  <c r="L1253" i="1" a="1"/>
  <c r="L1253" i="1" s="1"/>
  <c r="K1253" i="1"/>
  <c r="L1252" i="1" a="1"/>
  <c r="L1252" i="1" s="1"/>
  <c r="K1252" i="1"/>
  <c r="L1251" i="1" a="1"/>
  <c r="L1251" i="1" s="1"/>
  <c r="K1251" i="1"/>
  <c r="L1250" i="1" a="1"/>
  <c r="L1250" i="1" s="1"/>
  <c r="K1250" i="1"/>
  <c r="L1249" i="1" a="1"/>
  <c r="L1249" i="1" s="1"/>
  <c r="K1249" i="1"/>
  <c r="L1248" i="1" a="1"/>
  <c r="L1248" i="1" s="1"/>
  <c r="K1248" i="1"/>
  <c r="L1247" i="1" a="1"/>
  <c r="L1247" i="1" s="1"/>
  <c r="K1247" i="1"/>
  <c r="L1246" i="1"/>
  <c r="L1246" i="1" a="1"/>
  <c r="K1246" i="1"/>
  <c r="L1245" i="1"/>
  <c r="L1245" i="1" a="1"/>
  <c r="K1245" i="1"/>
  <c r="L1244" i="1" a="1"/>
  <c r="L1244" i="1" s="1"/>
  <c r="K1244" i="1"/>
  <c r="L1243" i="1" a="1"/>
  <c r="L1243" i="1" s="1"/>
  <c r="K1243" i="1"/>
  <c r="L1242" i="1"/>
  <c r="L1242" i="1" a="1"/>
  <c r="K1242" i="1"/>
  <c r="L1241" i="1" a="1"/>
  <c r="L1241" i="1" s="1"/>
  <c r="K1241" i="1"/>
  <c r="L1240" i="1" a="1"/>
  <c r="L1240" i="1" s="1"/>
  <c r="K1240" i="1"/>
  <c r="L1239" i="1" a="1"/>
  <c r="L1239" i="1" s="1"/>
  <c r="K1239" i="1"/>
  <c r="L1238" i="1" a="1"/>
  <c r="L1238" i="1" s="1"/>
  <c r="K1238" i="1"/>
  <c r="L1237" i="1" a="1"/>
  <c r="L1237" i="1" s="1"/>
  <c r="K1237" i="1"/>
  <c r="L1236" i="1" a="1"/>
  <c r="L1236" i="1" s="1"/>
  <c r="K1236" i="1"/>
  <c r="L1235" i="1" a="1"/>
  <c r="L1235" i="1" s="1"/>
  <c r="K1235" i="1"/>
  <c r="L1234" i="1"/>
  <c r="L1234" i="1" a="1"/>
  <c r="K1234" i="1"/>
  <c r="L1233" i="1"/>
  <c r="L1233" i="1" a="1"/>
  <c r="K1233" i="1"/>
  <c r="L1232" i="1" a="1"/>
  <c r="L1232" i="1" s="1"/>
  <c r="K1232" i="1"/>
  <c r="L1231" i="1" a="1"/>
  <c r="L1231" i="1" s="1"/>
  <c r="K1231" i="1"/>
  <c r="L1230" i="1"/>
  <c r="L1230" i="1" a="1"/>
  <c r="K1230" i="1"/>
  <c r="L1229" i="1" a="1"/>
  <c r="L1229" i="1" s="1"/>
  <c r="K1229" i="1"/>
  <c r="L1228" i="1" a="1"/>
  <c r="L1228" i="1" s="1"/>
  <c r="K1228" i="1"/>
  <c r="L1227" i="1" a="1"/>
  <c r="L1227" i="1" s="1"/>
  <c r="K1227" i="1"/>
  <c r="L1226" i="1"/>
  <c r="L1226" i="1" a="1"/>
  <c r="K1226" i="1"/>
  <c r="L1225" i="1" a="1"/>
  <c r="L1225" i="1" s="1"/>
  <c r="K1225" i="1"/>
  <c r="L1224" i="1" a="1"/>
  <c r="L1224" i="1" s="1"/>
  <c r="K1224" i="1"/>
  <c r="L1223" i="1" a="1"/>
  <c r="L1223" i="1" s="1"/>
  <c r="K1223" i="1"/>
  <c r="L1222" i="1"/>
  <c r="L1222" i="1" a="1"/>
  <c r="K1222" i="1"/>
  <c r="L1221" i="1"/>
  <c r="L1221" i="1" a="1"/>
  <c r="K1221" i="1"/>
  <c r="L1220" i="1" a="1"/>
  <c r="L1220" i="1" s="1"/>
  <c r="K1220" i="1"/>
  <c r="L1219" i="1" a="1"/>
  <c r="L1219" i="1" s="1"/>
  <c r="K1219" i="1"/>
  <c r="L1218" i="1"/>
  <c r="L1218" i="1" a="1"/>
  <c r="K1218" i="1"/>
  <c r="L1217" i="1" a="1"/>
  <c r="L1217" i="1" s="1"/>
  <c r="K1217" i="1"/>
  <c r="L1216" i="1" a="1"/>
  <c r="L1216" i="1" s="1"/>
  <c r="K1216" i="1"/>
  <c r="L1215" i="1" a="1"/>
  <c r="L1215" i="1" s="1"/>
  <c r="K1215" i="1"/>
  <c r="L1214" i="1" a="1"/>
  <c r="L1214" i="1" s="1"/>
  <c r="K1214" i="1"/>
  <c r="L1213" i="1" a="1"/>
  <c r="L1213" i="1" s="1"/>
  <c r="K1213" i="1"/>
  <c r="L1212" i="1" a="1"/>
  <c r="L1212" i="1" s="1"/>
  <c r="K1212" i="1"/>
  <c r="L1211" i="1" a="1"/>
  <c r="L1211" i="1" s="1"/>
  <c r="K1211" i="1"/>
  <c r="L1210" i="1"/>
  <c r="L1210" i="1" a="1"/>
  <c r="K1210" i="1"/>
  <c r="L1209" i="1"/>
  <c r="L1209" i="1" a="1"/>
  <c r="K1209" i="1"/>
  <c r="L1208" i="1" a="1"/>
  <c r="L1208" i="1" s="1"/>
  <c r="K1208" i="1"/>
  <c r="L1207" i="1" a="1"/>
  <c r="L1207" i="1" s="1"/>
  <c r="K1207" i="1"/>
  <c r="L1206" i="1"/>
  <c r="L1206" i="1" a="1"/>
  <c r="K1206" i="1"/>
  <c r="L1205" i="1" a="1"/>
  <c r="L1205" i="1" s="1"/>
  <c r="K1205" i="1"/>
  <c r="L1204" i="1" a="1"/>
  <c r="L1204" i="1" s="1"/>
  <c r="K1204" i="1"/>
  <c r="L1203" i="1" a="1"/>
  <c r="L1203" i="1" s="1"/>
  <c r="K1203" i="1"/>
  <c r="L1202" i="1"/>
  <c r="L1202" i="1" a="1"/>
  <c r="K1202" i="1"/>
  <c r="L1201" i="1" a="1"/>
  <c r="L1201" i="1" s="1"/>
  <c r="K1201" i="1"/>
  <c r="L1200" i="1" a="1"/>
  <c r="L1200" i="1" s="1"/>
  <c r="K1200" i="1"/>
  <c r="L1199" i="1" a="1"/>
  <c r="L1199" i="1" s="1"/>
  <c r="K1199" i="1"/>
  <c r="L1198" i="1"/>
  <c r="L1198" i="1" a="1"/>
  <c r="K1198" i="1"/>
  <c r="L1197" i="1"/>
  <c r="L1197" i="1" a="1"/>
  <c r="K1197" i="1"/>
  <c r="L1196" i="1" a="1"/>
  <c r="L1196" i="1" s="1"/>
  <c r="K1196" i="1"/>
  <c r="L1195" i="1" a="1"/>
  <c r="L1195" i="1" s="1"/>
  <c r="K1195" i="1"/>
  <c r="L1194" i="1"/>
  <c r="L1194" i="1" a="1"/>
  <c r="K1194" i="1"/>
  <c r="L1193" i="1" a="1"/>
  <c r="L1193" i="1" s="1"/>
  <c r="K1193" i="1"/>
  <c r="L1192" i="1" a="1"/>
  <c r="L1192" i="1" s="1"/>
  <c r="K1192" i="1"/>
  <c r="L1191" i="1" a="1"/>
  <c r="L1191" i="1" s="1"/>
  <c r="K1191" i="1"/>
  <c r="L1190" i="1" a="1"/>
  <c r="L1190" i="1" s="1"/>
  <c r="K1190" i="1"/>
  <c r="L1189" i="1" a="1"/>
  <c r="L1189" i="1" s="1"/>
  <c r="K1189" i="1"/>
  <c r="L1188" i="1" a="1"/>
  <c r="L1188" i="1" s="1"/>
  <c r="K1188" i="1"/>
  <c r="L1187" i="1" a="1"/>
  <c r="L1187" i="1" s="1"/>
  <c r="K1187" i="1"/>
  <c r="L1186" i="1"/>
  <c r="L1186" i="1" a="1"/>
  <c r="K1186" i="1"/>
  <c r="L1185" i="1"/>
  <c r="L1185" i="1" a="1"/>
  <c r="K1185" i="1"/>
  <c r="L1184" i="1" a="1"/>
  <c r="L1184" i="1" s="1"/>
  <c r="K1184" i="1"/>
  <c r="L1183" i="1" a="1"/>
  <c r="L1183" i="1" s="1"/>
  <c r="K1183" i="1"/>
  <c r="L1182" i="1"/>
  <c r="L1182" i="1" a="1"/>
  <c r="K1182" i="1"/>
  <c r="L1181" i="1" a="1"/>
  <c r="L1181" i="1" s="1"/>
  <c r="K1181" i="1"/>
  <c r="L1180" i="1" a="1"/>
  <c r="L1180" i="1" s="1"/>
  <c r="K1180" i="1"/>
  <c r="L1179" i="1" a="1"/>
  <c r="L1179" i="1" s="1"/>
  <c r="K1179" i="1"/>
  <c r="L1178" i="1"/>
  <c r="L1178" i="1" a="1"/>
  <c r="K1178" i="1"/>
  <c r="L1177" i="1" a="1"/>
  <c r="L1177" i="1" s="1"/>
  <c r="K1177" i="1"/>
  <c r="L1176" i="1" a="1"/>
  <c r="L1176" i="1" s="1"/>
  <c r="K1176" i="1"/>
  <c r="L1175" i="1" a="1"/>
  <c r="L1175" i="1" s="1"/>
  <c r="K1175" i="1"/>
  <c r="L1174" i="1"/>
  <c r="L1174" i="1" a="1"/>
  <c r="K1174" i="1"/>
  <c r="L1173" i="1" a="1"/>
  <c r="L1173" i="1" s="1"/>
  <c r="K1173" i="1"/>
  <c r="L1172" i="1" a="1"/>
  <c r="L1172" i="1" s="1"/>
  <c r="K1172" i="1"/>
  <c r="L1171" i="1" a="1"/>
  <c r="L1171" i="1" s="1"/>
  <c r="K1171" i="1"/>
  <c r="L1170" i="1"/>
  <c r="L1170" i="1" a="1"/>
  <c r="K1170" i="1"/>
  <c r="L1169" i="1" a="1"/>
  <c r="L1169" i="1" s="1"/>
  <c r="K1169" i="1"/>
  <c r="L1168" i="1" a="1"/>
  <c r="L1168" i="1" s="1"/>
  <c r="K1168" i="1"/>
  <c r="L1167" i="1" a="1"/>
  <c r="L1167" i="1" s="1"/>
  <c r="K1167" i="1"/>
  <c r="L1166" i="1" a="1"/>
  <c r="L1166" i="1" s="1"/>
  <c r="K1166" i="1"/>
  <c r="L1165" i="1" a="1"/>
  <c r="L1165" i="1" s="1"/>
  <c r="K1165" i="1"/>
  <c r="L1164" i="1" a="1"/>
  <c r="L1164" i="1" s="1"/>
  <c r="K1164" i="1"/>
  <c r="L1163" i="1" a="1"/>
  <c r="L1163" i="1" s="1"/>
  <c r="K1163" i="1"/>
  <c r="L1162" i="1"/>
  <c r="L1162" i="1" a="1"/>
  <c r="K1162" i="1"/>
  <c r="L1161" i="1"/>
  <c r="L1161" i="1" a="1"/>
  <c r="K1161" i="1"/>
  <c r="L1160" i="1" a="1"/>
  <c r="L1160" i="1" s="1"/>
  <c r="K1160" i="1"/>
  <c r="L1159" i="1" a="1"/>
  <c r="L1159" i="1" s="1"/>
  <c r="K1159" i="1"/>
  <c r="L1158" i="1"/>
  <c r="L1158" i="1" a="1"/>
  <c r="K1158" i="1"/>
  <c r="L1157" i="1" a="1"/>
  <c r="L1157" i="1" s="1"/>
  <c r="K1157" i="1"/>
  <c r="L1156" i="1" a="1"/>
  <c r="L1156" i="1" s="1"/>
  <c r="K1156" i="1"/>
  <c r="L1155" i="1" a="1"/>
  <c r="L1155" i="1" s="1"/>
  <c r="K1155" i="1"/>
  <c r="L1154" i="1"/>
  <c r="L1154" i="1" a="1"/>
  <c r="K1154" i="1"/>
  <c r="L1153" i="1" a="1"/>
  <c r="L1153" i="1" s="1"/>
  <c r="K1153" i="1"/>
  <c r="L1152" i="1" a="1"/>
  <c r="L1152" i="1" s="1"/>
  <c r="K1152" i="1"/>
  <c r="L1151" i="1" a="1"/>
  <c r="L1151" i="1" s="1"/>
  <c r="K1151" i="1"/>
  <c r="L1150" i="1"/>
  <c r="L1150" i="1" a="1"/>
  <c r="K1150" i="1"/>
  <c r="L1149" i="1" a="1"/>
  <c r="L1149" i="1" s="1"/>
  <c r="K1149" i="1"/>
  <c r="L1148" i="1" a="1"/>
  <c r="L1148" i="1" s="1"/>
  <c r="K1148" i="1"/>
  <c r="L1147" i="1" a="1"/>
  <c r="L1147" i="1" s="1"/>
  <c r="K1147" i="1"/>
  <c r="L1146" i="1"/>
  <c r="L1146" i="1" a="1"/>
  <c r="K1146" i="1"/>
  <c r="L1145" i="1" a="1"/>
  <c r="L1145" i="1" s="1"/>
  <c r="K1145" i="1"/>
  <c r="L1144" i="1" a="1"/>
  <c r="L1144" i="1" s="1"/>
  <c r="K1144" i="1"/>
  <c r="L1143" i="1" a="1"/>
  <c r="L1143" i="1" s="1"/>
  <c r="K1143" i="1"/>
  <c r="L1142" i="1" a="1"/>
  <c r="L1142" i="1" s="1"/>
  <c r="K1142" i="1"/>
  <c r="L1141" i="1" a="1"/>
  <c r="L1141" i="1" s="1"/>
  <c r="K1141" i="1"/>
  <c r="L1140" i="1" a="1"/>
  <c r="L1140" i="1" s="1"/>
  <c r="K1140" i="1"/>
  <c r="L1139" i="1" a="1"/>
  <c r="L1139" i="1" s="1"/>
  <c r="K1139" i="1"/>
  <c r="L1138" i="1"/>
  <c r="L1138" i="1" a="1"/>
  <c r="K1138" i="1"/>
  <c r="L1137" i="1"/>
  <c r="L1137" i="1" a="1"/>
  <c r="K1137" i="1"/>
  <c r="L1136" i="1" a="1"/>
  <c r="L1136" i="1" s="1"/>
  <c r="K1136" i="1"/>
  <c r="L1135" i="1" a="1"/>
  <c r="L1135" i="1" s="1"/>
  <c r="K1135" i="1"/>
  <c r="L1134" i="1"/>
  <c r="L1134" i="1" a="1"/>
  <c r="K1134" i="1"/>
  <c r="L1133" i="1" a="1"/>
  <c r="L1133" i="1" s="1"/>
  <c r="K1133" i="1"/>
  <c r="L1132" i="1" a="1"/>
  <c r="L1132" i="1" s="1"/>
  <c r="K1132" i="1"/>
  <c r="L1131" i="1" a="1"/>
  <c r="L1131" i="1" s="1"/>
  <c r="K1131" i="1"/>
  <c r="L1130" i="1"/>
  <c r="L1130" i="1" a="1"/>
  <c r="K1130" i="1"/>
  <c r="L1129" i="1" a="1"/>
  <c r="L1129" i="1" s="1"/>
  <c r="K1129" i="1"/>
  <c r="L1128" i="1" a="1"/>
  <c r="L1128" i="1" s="1"/>
  <c r="K1128" i="1"/>
  <c r="L1127" i="1" a="1"/>
  <c r="L1127" i="1" s="1"/>
  <c r="K1127" i="1"/>
  <c r="L1126" i="1"/>
  <c r="L1126" i="1" a="1"/>
  <c r="K1126" i="1"/>
  <c r="L1125" i="1" a="1"/>
  <c r="L1125" i="1" s="1"/>
  <c r="K1125" i="1"/>
  <c r="L1124" i="1" a="1"/>
  <c r="L1124" i="1" s="1"/>
  <c r="K1124" i="1"/>
  <c r="L1123" i="1" a="1"/>
  <c r="L1123" i="1" s="1"/>
  <c r="K1123" i="1"/>
  <c r="L1122" i="1"/>
  <c r="L1122" i="1" a="1"/>
  <c r="K1122" i="1"/>
  <c r="L1121" i="1" a="1"/>
  <c r="L1121" i="1" s="1"/>
  <c r="K1121" i="1"/>
  <c r="L1120" i="1" a="1"/>
  <c r="L1120" i="1" s="1"/>
  <c r="K1120" i="1"/>
  <c r="L1119" i="1" a="1"/>
  <c r="L1119" i="1" s="1"/>
  <c r="K1119" i="1"/>
  <c r="L1118" i="1" a="1"/>
  <c r="L1118" i="1" s="1"/>
  <c r="K1118" i="1"/>
  <c r="L1117" i="1" a="1"/>
  <c r="L1117" i="1" s="1"/>
  <c r="K1117" i="1"/>
  <c r="L1116" i="1" a="1"/>
  <c r="L1116" i="1" s="1"/>
  <c r="K1116" i="1"/>
  <c r="L1115" i="1" a="1"/>
  <c r="L1115" i="1" s="1"/>
  <c r="K1115" i="1"/>
  <c r="L1114" i="1"/>
  <c r="L1114" i="1" a="1"/>
  <c r="K1114" i="1"/>
  <c r="L1113" i="1"/>
  <c r="L1113" i="1" a="1"/>
  <c r="K1113" i="1"/>
  <c r="L1112" i="1" a="1"/>
  <c r="L1112" i="1" s="1"/>
  <c r="K1112" i="1"/>
  <c r="L1111" i="1" a="1"/>
  <c r="L1111" i="1" s="1"/>
  <c r="K1111" i="1"/>
  <c r="L1110" i="1"/>
  <c r="L1110" i="1" a="1"/>
  <c r="K1110" i="1"/>
  <c r="L1109" i="1" a="1"/>
  <c r="L1109" i="1" s="1"/>
  <c r="K1109" i="1"/>
  <c r="L1108" i="1" a="1"/>
  <c r="L1108" i="1" s="1"/>
  <c r="K1108" i="1"/>
  <c r="L1107" i="1" a="1"/>
  <c r="L1107" i="1" s="1"/>
  <c r="K1107" i="1"/>
  <c r="L1106" i="1"/>
  <c r="L1106" i="1" a="1"/>
  <c r="K1106" i="1"/>
  <c r="L1105" i="1" a="1"/>
  <c r="L1105" i="1" s="1"/>
  <c r="K1105" i="1"/>
  <c r="L1104" i="1" a="1"/>
  <c r="L1104" i="1" s="1"/>
  <c r="K1104" i="1"/>
  <c r="L1103" i="1" a="1"/>
  <c r="L1103" i="1" s="1"/>
  <c r="K1103" i="1"/>
  <c r="L1102" i="1"/>
  <c r="L1102" i="1" a="1"/>
  <c r="K1102" i="1"/>
  <c r="L1101" i="1" a="1"/>
  <c r="L1101" i="1" s="1"/>
  <c r="K1101" i="1"/>
  <c r="L1100" i="1" a="1"/>
  <c r="L1100" i="1" s="1"/>
  <c r="K1100" i="1"/>
  <c r="L1099" i="1" a="1"/>
  <c r="L1099" i="1" s="1"/>
  <c r="K1099" i="1"/>
  <c r="L1098" i="1"/>
  <c r="L1098" i="1" a="1"/>
  <c r="K1098" i="1"/>
  <c r="L1097" i="1" a="1"/>
  <c r="L1097" i="1" s="1"/>
  <c r="K1097" i="1"/>
  <c r="L1096" i="1" a="1"/>
  <c r="L1096" i="1" s="1"/>
  <c r="K1096" i="1"/>
  <c r="L1095" i="1" a="1"/>
  <c r="L1095" i="1" s="1"/>
  <c r="K1095" i="1"/>
  <c r="L1094" i="1"/>
  <c r="L1094" i="1" a="1"/>
  <c r="K1094" i="1"/>
  <c r="L1093" i="1" a="1"/>
  <c r="L1093" i="1" s="1"/>
  <c r="K1093" i="1"/>
  <c r="L1092" i="1" a="1"/>
  <c r="L1092" i="1" s="1"/>
  <c r="K1092" i="1"/>
  <c r="L1091" i="1" a="1"/>
  <c r="L1091" i="1" s="1"/>
  <c r="K1091" i="1"/>
  <c r="L1090" i="1"/>
  <c r="L1090" i="1" a="1"/>
  <c r="K1090" i="1"/>
  <c r="L1089" i="1"/>
  <c r="L1089" i="1" a="1"/>
  <c r="K1089" i="1"/>
  <c r="L1088" i="1" a="1"/>
  <c r="L1088" i="1" s="1"/>
  <c r="K1088" i="1"/>
  <c r="L1087" i="1" a="1"/>
  <c r="L1087" i="1" s="1"/>
  <c r="K1087" i="1"/>
  <c r="L1086" i="1"/>
  <c r="L1086" i="1" a="1"/>
  <c r="K1086" i="1"/>
  <c r="L1085" i="1" a="1"/>
  <c r="L1085" i="1" s="1"/>
  <c r="K1085" i="1"/>
  <c r="L1084" i="1" a="1"/>
  <c r="L1084" i="1" s="1"/>
  <c r="K1084" i="1"/>
  <c r="L1083" i="1" a="1"/>
  <c r="L1083" i="1" s="1"/>
  <c r="K1083" i="1"/>
  <c r="L1082" i="1"/>
  <c r="L1082" i="1" a="1"/>
  <c r="K1082" i="1"/>
  <c r="L1081" i="1" a="1"/>
  <c r="L1081" i="1" s="1"/>
  <c r="K1081" i="1"/>
  <c r="L1080" i="1" a="1"/>
  <c r="L1080" i="1" s="1"/>
  <c r="K1080" i="1"/>
  <c r="L1079" i="1" a="1"/>
  <c r="L1079" i="1" s="1"/>
  <c r="K1079" i="1"/>
  <c r="L1078" i="1"/>
  <c r="L1078" i="1" a="1"/>
  <c r="K1078" i="1"/>
  <c r="L1077" i="1" a="1"/>
  <c r="L1077" i="1" s="1"/>
  <c r="K1077" i="1"/>
  <c r="L1076" i="1" a="1"/>
  <c r="L1076" i="1" s="1"/>
  <c r="K1076" i="1"/>
  <c r="L1075" i="1" a="1"/>
  <c r="L1075" i="1" s="1"/>
  <c r="K1075" i="1"/>
  <c r="L1074" i="1"/>
  <c r="L1074" i="1" a="1"/>
  <c r="K1074" i="1"/>
  <c r="L1073" i="1" a="1"/>
  <c r="L1073" i="1" s="1"/>
  <c r="K1073" i="1"/>
  <c r="L1072" i="1" a="1"/>
  <c r="L1072" i="1" s="1"/>
  <c r="K1072" i="1"/>
  <c r="L1071" i="1" a="1"/>
  <c r="L1071" i="1" s="1"/>
  <c r="K1071" i="1"/>
  <c r="L1070" i="1" a="1"/>
  <c r="L1070" i="1" s="1"/>
  <c r="K1070" i="1"/>
  <c r="L1069" i="1" a="1"/>
  <c r="L1069" i="1" s="1"/>
  <c r="K1069" i="1"/>
  <c r="L1068" i="1" a="1"/>
  <c r="L1068" i="1" s="1"/>
  <c r="K1068" i="1"/>
  <c r="L1067" i="1" a="1"/>
  <c r="L1067" i="1" s="1"/>
  <c r="K1067" i="1"/>
  <c r="L1066" i="1"/>
  <c r="L1066" i="1" a="1"/>
  <c r="K1066" i="1"/>
  <c r="L1065" i="1"/>
  <c r="L1065" i="1" a="1"/>
  <c r="K1065" i="1"/>
  <c r="L1064" i="1" a="1"/>
  <c r="L1064" i="1" s="1"/>
  <c r="K1064" i="1"/>
  <c r="L1063" i="1" a="1"/>
  <c r="L1063" i="1" s="1"/>
  <c r="K1063" i="1"/>
  <c r="L1062" i="1"/>
  <c r="L1062" i="1" a="1"/>
  <c r="K1062" i="1"/>
  <c r="L1061" i="1" a="1"/>
  <c r="L1061" i="1" s="1"/>
  <c r="K1061" i="1"/>
  <c r="L1060" i="1" a="1"/>
  <c r="L1060" i="1" s="1"/>
  <c r="K1060" i="1"/>
  <c r="L1059" i="1" a="1"/>
  <c r="L1059" i="1" s="1"/>
  <c r="K1059" i="1"/>
  <c r="L1058" i="1"/>
  <c r="L1058" i="1" a="1"/>
  <c r="K1058" i="1"/>
  <c r="L1057" i="1" a="1"/>
  <c r="L1057" i="1" s="1"/>
  <c r="K1057" i="1"/>
  <c r="L1056" i="1" a="1"/>
  <c r="L1056" i="1" s="1"/>
  <c r="K1056" i="1"/>
  <c r="L1055" i="1" a="1"/>
  <c r="L1055" i="1" s="1"/>
  <c r="K1055" i="1"/>
  <c r="L1054" i="1"/>
  <c r="L1054" i="1" a="1"/>
  <c r="K1054" i="1"/>
  <c r="L1053" i="1" a="1"/>
  <c r="L1053" i="1" s="1"/>
  <c r="K1053" i="1"/>
  <c r="L1052" i="1" a="1"/>
  <c r="L1052" i="1" s="1"/>
  <c r="K1052" i="1"/>
  <c r="L1051" i="1" a="1"/>
  <c r="L1051" i="1" s="1"/>
  <c r="K1051" i="1"/>
  <c r="L1050" i="1"/>
  <c r="L1050" i="1" a="1"/>
  <c r="K1050" i="1"/>
  <c r="L1049" i="1" a="1"/>
  <c r="L1049" i="1" s="1"/>
  <c r="K1049" i="1"/>
  <c r="L1048" i="1" a="1"/>
  <c r="L1048" i="1" s="1"/>
  <c r="K1048" i="1"/>
  <c r="L1047" i="1" a="1"/>
  <c r="L1047" i="1" s="1"/>
  <c r="K1047" i="1"/>
  <c r="L1046" i="1" a="1"/>
  <c r="L1046" i="1" s="1"/>
  <c r="K1046" i="1"/>
  <c r="L1045" i="1" a="1"/>
  <c r="L1045" i="1" s="1"/>
  <c r="K1045" i="1"/>
  <c r="L1044" i="1" a="1"/>
  <c r="L1044" i="1" s="1"/>
  <c r="K1044" i="1"/>
  <c r="L1043" i="1" a="1"/>
  <c r="L1043" i="1" s="1"/>
  <c r="K1043" i="1"/>
  <c r="L1042" i="1"/>
  <c r="L1042" i="1" a="1"/>
  <c r="K1042" i="1"/>
  <c r="L1041" i="1"/>
  <c r="L1041" i="1" a="1"/>
  <c r="K1041" i="1"/>
  <c r="L1040" i="1" a="1"/>
  <c r="L1040" i="1" s="1"/>
  <c r="K1040" i="1"/>
  <c r="L1039" i="1" a="1"/>
  <c r="L1039" i="1" s="1"/>
  <c r="K1039" i="1"/>
  <c r="L1038" i="1"/>
  <c r="L1038" i="1" a="1"/>
  <c r="K1038" i="1"/>
  <c r="L1037" i="1" a="1"/>
  <c r="L1037" i="1" s="1"/>
  <c r="K1037" i="1"/>
  <c r="L1036" i="1" a="1"/>
  <c r="L1036" i="1" s="1"/>
  <c r="K1036" i="1"/>
  <c r="L1035" i="1" a="1"/>
  <c r="L1035" i="1" s="1"/>
  <c r="K1035" i="1"/>
  <c r="L1034" i="1"/>
  <c r="L1034" i="1" a="1"/>
  <c r="K1034" i="1"/>
  <c r="L1033" i="1" a="1"/>
  <c r="L1033" i="1" s="1"/>
  <c r="K1033" i="1"/>
  <c r="L1032" i="1" a="1"/>
  <c r="L1032" i="1" s="1"/>
  <c r="K1032" i="1"/>
  <c r="L1031" i="1" a="1"/>
  <c r="L1031" i="1" s="1"/>
  <c r="K1031" i="1"/>
  <c r="L1030" i="1" a="1"/>
  <c r="L1030" i="1" s="1"/>
  <c r="K1030" i="1"/>
  <c r="L1029" i="1"/>
  <c r="L1029" i="1" a="1"/>
  <c r="K1029" i="1"/>
  <c r="L1028" i="1" a="1"/>
  <c r="L1028" i="1" s="1"/>
  <c r="K1028" i="1"/>
  <c r="L1027" i="1" a="1"/>
  <c r="L1027" i="1" s="1"/>
  <c r="K1027" i="1"/>
  <c r="L1026" i="1"/>
  <c r="L1026" i="1" a="1"/>
  <c r="K1026" i="1"/>
  <c r="L1025" i="1" a="1"/>
  <c r="L1025" i="1" s="1"/>
  <c r="K1025" i="1"/>
  <c r="L1024" i="1"/>
  <c r="L1024" i="1" a="1"/>
  <c r="K1024" i="1"/>
  <c r="L1023" i="1" a="1"/>
  <c r="L1023" i="1" s="1"/>
  <c r="K1023" i="1"/>
  <c r="L1022" i="1" a="1"/>
  <c r="L1022" i="1" s="1"/>
  <c r="K1022" i="1"/>
  <c r="L1021" i="1"/>
  <c r="L1021" i="1" a="1"/>
  <c r="K1021" i="1"/>
  <c r="L1020" i="1" a="1"/>
  <c r="L1020" i="1" s="1"/>
  <c r="K1020" i="1"/>
  <c r="L1019" i="1" a="1"/>
  <c r="L1019" i="1" s="1"/>
  <c r="K1019" i="1"/>
  <c r="L1018" i="1"/>
  <c r="L1018" i="1" a="1"/>
  <c r="K1018" i="1"/>
  <c r="L1017" i="1" a="1"/>
  <c r="L1017" i="1" s="1"/>
  <c r="K1017" i="1"/>
  <c r="L1016" i="1"/>
  <c r="L1016" i="1" a="1"/>
  <c r="K1016" i="1"/>
  <c r="L1015" i="1" a="1"/>
  <c r="L1015" i="1" s="1"/>
  <c r="K1015" i="1"/>
  <c r="L1014" i="1"/>
  <c r="L1014" i="1" a="1"/>
  <c r="K1014" i="1"/>
  <c r="L1013" i="1"/>
  <c r="L1013" i="1" a="1"/>
  <c r="K1013" i="1"/>
  <c r="L1012" i="1" a="1"/>
  <c r="L1012" i="1" s="1"/>
  <c r="K1012" i="1"/>
  <c r="L1011" i="1" a="1"/>
  <c r="L1011" i="1" s="1"/>
  <c r="K1011" i="1"/>
  <c r="L1010" i="1"/>
  <c r="L1010" i="1" a="1"/>
  <c r="K1010" i="1"/>
  <c r="L1009" i="1" a="1"/>
  <c r="L1009" i="1" s="1"/>
  <c r="K1009" i="1"/>
  <c r="L1008" i="1"/>
  <c r="L1008" i="1" a="1"/>
  <c r="K1008" i="1"/>
  <c r="L1007" i="1" a="1"/>
  <c r="L1007" i="1" s="1"/>
  <c r="K1007" i="1"/>
  <c r="L1006" i="1" a="1"/>
  <c r="L1006" i="1" s="1"/>
  <c r="K1006" i="1"/>
  <c r="L1005" i="1"/>
  <c r="L1005" i="1" a="1"/>
  <c r="K1005" i="1"/>
  <c r="L1004" i="1" a="1"/>
  <c r="L1004" i="1" s="1"/>
  <c r="K1004" i="1"/>
  <c r="L1003" i="1" a="1"/>
  <c r="L1003" i="1" s="1"/>
  <c r="K1003" i="1"/>
  <c r="L1002" i="1"/>
  <c r="L1002" i="1" a="1"/>
  <c r="K1002" i="1"/>
  <c r="L1001" i="1"/>
  <c r="L1001" i="1" a="1"/>
  <c r="K1001" i="1"/>
  <c r="L1000" i="1"/>
  <c r="L1000" i="1" a="1"/>
  <c r="K1000" i="1"/>
  <c r="L999" i="1" a="1"/>
  <c r="L999" i="1" s="1"/>
  <c r="K999" i="1"/>
  <c r="L998" i="1" a="1"/>
  <c r="L998" i="1" s="1"/>
  <c r="K998" i="1"/>
  <c r="L997" i="1"/>
  <c r="L997" i="1" a="1"/>
  <c r="K997" i="1"/>
  <c r="L996" i="1" a="1"/>
  <c r="L996" i="1" s="1"/>
  <c r="K996" i="1"/>
  <c r="L995" i="1" a="1"/>
  <c r="L995" i="1" s="1"/>
  <c r="K995" i="1"/>
  <c r="L994" i="1"/>
  <c r="L994" i="1" a="1"/>
  <c r="K994" i="1"/>
  <c r="L993" i="1" a="1"/>
  <c r="L993" i="1" s="1"/>
  <c r="K993" i="1"/>
  <c r="L992" i="1"/>
  <c r="L992" i="1" a="1"/>
  <c r="K992" i="1"/>
  <c r="L991" i="1" a="1"/>
  <c r="L991" i="1" s="1"/>
  <c r="K991" i="1"/>
  <c r="L990" i="1" a="1"/>
  <c r="L990" i="1" s="1"/>
  <c r="K990" i="1"/>
  <c r="L989" i="1"/>
  <c r="L989" i="1" a="1"/>
  <c r="K989" i="1"/>
  <c r="L988" i="1"/>
  <c r="L988" i="1" a="1"/>
  <c r="K988" i="1"/>
  <c r="L987" i="1" a="1"/>
  <c r="L987" i="1" s="1"/>
  <c r="K987" i="1"/>
  <c r="L986" i="1"/>
  <c r="L986" i="1" a="1"/>
  <c r="K986" i="1"/>
  <c r="L985" i="1" a="1"/>
  <c r="L985" i="1" s="1"/>
  <c r="K985" i="1"/>
  <c r="L984" i="1"/>
  <c r="L984" i="1" a="1"/>
  <c r="K984" i="1"/>
  <c r="L983" i="1" a="1"/>
  <c r="L983" i="1" s="1"/>
  <c r="K983" i="1"/>
  <c r="L982" i="1" a="1"/>
  <c r="L982" i="1" s="1"/>
  <c r="K982" i="1"/>
  <c r="L981" i="1"/>
  <c r="L981" i="1" a="1"/>
  <c r="K981" i="1"/>
  <c r="L980" i="1" a="1"/>
  <c r="L980" i="1" s="1"/>
  <c r="K980" i="1"/>
  <c r="L979" i="1" a="1"/>
  <c r="L979" i="1" s="1"/>
  <c r="K979" i="1"/>
  <c r="L978" i="1"/>
  <c r="L978" i="1" a="1"/>
  <c r="K978" i="1"/>
  <c r="L977" i="1" a="1"/>
  <c r="L977" i="1" s="1"/>
  <c r="K977" i="1"/>
  <c r="L976" i="1"/>
  <c r="L976" i="1" a="1"/>
  <c r="K976" i="1"/>
  <c r="L975" i="1" a="1"/>
  <c r="L975" i="1" s="1"/>
  <c r="K975" i="1"/>
  <c r="L974" i="1" a="1"/>
  <c r="L974" i="1" s="1"/>
  <c r="K974" i="1"/>
  <c r="L973" i="1"/>
  <c r="L973" i="1" a="1"/>
  <c r="K973" i="1"/>
  <c r="L972" i="1" a="1"/>
  <c r="L972" i="1" s="1"/>
  <c r="K972" i="1"/>
  <c r="L971" i="1" a="1"/>
  <c r="L971" i="1" s="1"/>
  <c r="K971" i="1"/>
  <c r="L970" i="1"/>
  <c r="L970" i="1" a="1"/>
  <c r="K970" i="1"/>
  <c r="L969" i="1" a="1"/>
  <c r="L969" i="1" s="1"/>
  <c r="K969" i="1"/>
  <c r="L968" i="1"/>
  <c r="L968" i="1" a="1"/>
  <c r="K968" i="1"/>
  <c r="L967" i="1" a="1"/>
  <c r="L967" i="1" s="1"/>
  <c r="K967" i="1"/>
  <c r="L966" i="1"/>
  <c r="L966" i="1" a="1"/>
  <c r="K966" i="1"/>
  <c r="L965" i="1"/>
  <c r="L965" i="1" a="1"/>
  <c r="K965" i="1"/>
  <c r="L964" i="1" a="1"/>
  <c r="L964" i="1" s="1"/>
  <c r="K964" i="1"/>
  <c r="L963" i="1" a="1"/>
  <c r="L963" i="1" s="1"/>
  <c r="K963" i="1"/>
  <c r="L962" i="1" a="1"/>
  <c r="L962" i="1" s="1"/>
  <c r="K962" i="1"/>
  <c r="L961" i="1" a="1"/>
  <c r="L961" i="1" s="1"/>
  <c r="K961" i="1"/>
  <c r="L960" i="1"/>
  <c r="L960" i="1" a="1"/>
  <c r="K960" i="1"/>
  <c r="L959" i="1" a="1"/>
  <c r="L959" i="1" s="1"/>
  <c r="K959" i="1"/>
  <c r="L958" i="1" a="1"/>
  <c r="L958" i="1" s="1"/>
  <c r="K958" i="1"/>
  <c r="L957" i="1"/>
  <c r="L957" i="1" a="1"/>
  <c r="K957" i="1"/>
  <c r="L956" i="1" a="1"/>
  <c r="L956" i="1" s="1"/>
  <c r="K956" i="1"/>
  <c r="L955" i="1" a="1"/>
  <c r="L955" i="1" s="1"/>
  <c r="K955" i="1"/>
  <c r="L954" i="1"/>
  <c r="L954" i="1" a="1"/>
  <c r="K954" i="1"/>
  <c r="L953" i="1"/>
  <c r="L953" i="1" a="1"/>
  <c r="K953" i="1"/>
  <c r="L952" i="1"/>
  <c r="L952" i="1" a="1"/>
  <c r="K952" i="1"/>
  <c r="L951" i="1" a="1"/>
  <c r="L951" i="1" s="1"/>
  <c r="K951" i="1"/>
  <c r="L950" i="1" a="1"/>
  <c r="L950" i="1" s="1"/>
  <c r="K950" i="1"/>
  <c r="L949" i="1" a="1"/>
  <c r="L949" i="1" s="1"/>
  <c r="K949" i="1"/>
  <c r="L948" i="1" a="1"/>
  <c r="L948" i="1" s="1"/>
  <c r="K948" i="1"/>
  <c r="L947" i="1" a="1"/>
  <c r="L947" i="1" s="1"/>
  <c r="K947" i="1"/>
  <c r="L946" i="1"/>
  <c r="L946" i="1" a="1"/>
  <c r="K946" i="1"/>
  <c r="L945" i="1" a="1"/>
  <c r="L945" i="1" s="1"/>
  <c r="K945" i="1"/>
  <c r="L944" i="1"/>
  <c r="L944" i="1" a="1"/>
  <c r="K944" i="1"/>
  <c r="L943" i="1" a="1"/>
  <c r="L943" i="1" s="1"/>
  <c r="K943" i="1"/>
  <c r="L942" i="1" a="1"/>
  <c r="L942" i="1" s="1"/>
  <c r="K942" i="1"/>
  <c r="L941" i="1"/>
  <c r="L941" i="1" a="1"/>
  <c r="K941" i="1"/>
  <c r="L940" i="1"/>
  <c r="L940" i="1" a="1"/>
  <c r="K940" i="1"/>
  <c r="L939" i="1" a="1"/>
  <c r="L939" i="1" s="1"/>
  <c r="K939" i="1"/>
  <c r="L938" i="1"/>
  <c r="L938" i="1" a="1"/>
  <c r="K938" i="1"/>
  <c r="L937" i="1" a="1"/>
  <c r="L937" i="1" s="1"/>
  <c r="K937" i="1"/>
  <c r="L936" i="1" a="1"/>
  <c r="L936" i="1" s="1"/>
  <c r="K936" i="1"/>
  <c r="L935" i="1" a="1"/>
  <c r="L935" i="1" s="1"/>
  <c r="K935" i="1"/>
  <c r="L934" i="1" a="1"/>
  <c r="L934" i="1" s="1"/>
  <c r="K934" i="1"/>
  <c r="L933" i="1"/>
  <c r="L933" i="1" a="1"/>
  <c r="K933" i="1"/>
  <c r="L932" i="1" a="1"/>
  <c r="L932" i="1" s="1"/>
  <c r="K932" i="1"/>
  <c r="L931" i="1" a="1"/>
  <c r="L931" i="1" s="1"/>
  <c r="K931" i="1"/>
  <c r="L930" i="1"/>
  <c r="L930" i="1" a="1"/>
  <c r="K930" i="1"/>
  <c r="L929" i="1" a="1"/>
  <c r="L929" i="1" s="1"/>
  <c r="K929" i="1"/>
  <c r="L928" i="1"/>
  <c r="L928" i="1" a="1"/>
  <c r="K928" i="1"/>
  <c r="L927" i="1" a="1"/>
  <c r="L927" i="1" s="1"/>
  <c r="K927" i="1"/>
  <c r="L926" i="1" a="1"/>
  <c r="L926" i="1" s="1"/>
  <c r="K926" i="1"/>
  <c r="L925" i="1"/>
  <c r="L925" i="1" a="1"/>
  <c r="K925" i="1"/>
  <c r="L924" i="1" a="1"/>
  <c r="L924" i="1" s="1"/>
  <c r="K924" i="1"/>
  <c r="L923" i="1" a="1"/>
  <c r="L923" i="1" s="1"/>
  <c r="K923" i="1"/>
  <c r="L922" i="1"/>
  <c r="L922" i="1" a="1"/>
  <c r="K922" i="1"/>
  <c r="L921" i="1" a="1"/>
  <c r="L921" i="1" s="1"/>
  <c r="K921" i="1"/>
  <c r="L920" i="1"/>
  <c r="L920" i="1" a="1"/>
  <c r="K920" i="1"/>
  <c r="L919" i="1" a="1"/>
  <c r="L919" i="1" s="1"/>
  <c r="K919" i="1"/>
  <c r="L918" i="1"/>
  <c r="L918" i="1" a="1"/>
  <c r="K918" i="1"/>
  <c r="L917" i="1"/>
  <c r="L917" i="1" a="1"/>
  <c r="K917" i="1"/>
  <c r="L916" i="1" a="1"/>
  <c r="L916" i="1" s="1"/>
  <c r="K916" i="1"/>
  <c r="L915" i="1" a="1"/>
  <c r="L915" i="1" s="1"/>
  <c r="K915" i="1"/>
  <c r="L914" i="1"/>
  <c r="L914" i="1" a="1"/>
  <c r="K914" i="1"/>
  <c r="L913" i="1" a="1"/>
  <c r="L913" i="1" s="1"/>
  <c r="K913" i="1"/>
  <c r="L912" i="1"/>
  <c r="L912" i="1" a="1"/>
  <c r="K912" i="1"/>
  <c r="L911" i="1" a="1"/>
  <c r="L911" i="1" s="1"/>
  <c r="K911" i="1"/>
  <c r="L910" i="1" a="1"/>
  <c r="L910" i="1" s="1"/>
  <c r="K910" i="1"/>
  <c r="L909" i="1"/>
  <c r="L909" i="1" a="1"/>
  <c r="K909" i="1"/>
  <c r="L908" i="1" a="1"/>
  <c r="L908" i="1" s="1"/>
  <c r="K908" i="1"/>
  <c r="L907" i="1" a="1"/>
  <c r="L907" i="1" s="1"/>
  <c r="K907" i="1"/>
  <c r="L906" i="1"/>
  <c r="L906" i="1" a="1"/>
  <c r="K906" i="1"/>
  <c r="L905" i="1"/>
  <c r="L905" i="1" a="1"/>
  <c r="K905" i="1"/>
  <c r="L904" i="1"/>
  <c r="L904" i="1" a="1"/>
  <c r="K904" i="1"/>
  <c r="L903" i="1" a="1"/>
  <c r="L903" i="1" s="1"/>
  <c r="K903" i="1"/>
  <c r="L902" i="1" a="1"/>
  <c r="L902" i="1" s="1"/>
  <c r="K902" i="1"/>
  <c r="L901" i="1"/>
  <c r="L901" i="1" a="1"/>
  <c r="K901" i="1"/>
  <c r="L900" i="1" a="1"/>
  <c r="L900" i="1" s="1"/>
  <c r="K900" i="1"/>
  <c r="L899" i="1" a="1"/>
  <c r="L899" i="1" s="1"/>
  <c r="K899" i="1"/>
  <c r="L898" i="1"/>
  <c r="L898" i="1" a="1"/>
  <c r="K898" i="1"/>
  <c r="L897" i="1" a="1"/>
  <c r="L897" i="1" s="1"/>
  <c r="K897" i="1"/>
  <c r="L896" i="1"/>
  <c r="L896" i="1" a="1"/>
  <c r="K896" i="1"/>
  <c r="L895" i="1" a="1"/>
  <c r="L895" i="1" s="1"/>
  <c r="K895" i="1"/>
  <c r="L894" i="1" a="1"/>
  <c r="L894" i="1" s="1"/>
  <c r="K894" i="1"/>
  <c r="L893" i="1"/>
  <c r="L893" i="1" a="1"/>
  <c r="K893" i="1"/>
  <c r="L892" i="1"/>
  <c r="L892" i="1" a="1"/>
  <c r="K892" i="1"/>
  <c r="L891" i="1" a="1"/>
  <c r="L891" i="1" s="1"/>
  <c r="K891" i="1"/>
  <c r="L890" i="1"/>
  <c r="L890" i="1" a="1"/>
  <c r="K890" i="1"/>
  <c r="L889" i="1" a="1"/>
  <c r="L889" i="1" s="1"/>
  <c r="K889" i="1"/>
  <c r="L888" i="1" a="1"/>
  <c r="L888" i="1" s="1"/>
  <c r="K888" i="1"/>
  <c r="L887" i="1" a="1"/>
  <c r="L887" i="1" s="1"/>
  <c r="K887" i="1"/>
  <c r="L886" i="1" a="1"/>
  <c r="L886" i="1" s="1"/>
  <c r="K886" i="1"/>
  <c r="L885" i="1"/>
  <c r="L885" i="1" a="1"/>
  <c r="K885" i="1"/>
  <c r="L884" i="1" a="1"/>
  <c r="L884" i="1" s="1"/>
  <c r="K884" i="1"/>
  <c r="L883" i="1" a="1"/>
  <c r="L883" i="1" s="1"/>
  <c r="K883" i="1"/>
  <c r="L882" i="1"/>
  <c r="L882" i="1" a="1"/>
  <c r="K882" i="1"/>
  <c r="L881" i="1" a="1"/>
  <c r="L881" i="1" s="1"/>
  <c r="K881" i="1"/>
  <c r="K880" i="1"/>
  <c r="L880" i="1" s="1" a="1"/>
  <c r="L880" i="1" s="1"/>
  <c r="L879" i="1" a="1"/>
  <c r="L879" i="1" s="1"/>
  <c r="K879" i="1"/>
  <c r="L878" i="1" a="1"/>
  <c r="L878" i="1" s="1"/>
  <c r="K878" i="1"/>
  <c r="L877" i="1"/>
  <c r="L877" i="1" a="1"/>
  <c r="K877" i="1"/>
  <c r="L876" i="1" a="1"/>
  <c r="L876" i="1" s="1"/>
  <c r="K876" i="1"/>
  <c r="L875" i="1" a="1"/>
  <c r="L875" i="1" s="1"/>
  <c r="K875" i="1"/>
  <c r="K874" i="1"/>
  <c r="L874" i="1" s="1" a="1"/>
  <c r="L874" i="1" s="1"/>
  <c r="L873" i="1" a="1"/>
  <c r="L873" i="1" s="1"/>
  <c r="K873" i="1"/>
  <c r="K872" i="1"/>
  <c r="L872" i="1" s="1" a="1"/>
  <c r="L872" i="1" s="1"/>
  <c r="L871" i="1" a="1"/>
  <c r="L871" i="1" s="1"/>
  <c r="K871" i="1"/>
  <c r="L870" i="1"/>
  <c r="L870" i="1" a="1"/>
  <c r="K870" i="1"/>
  <c r="L869" i="1"/>
  <c r="K869" i="1"/>
  <c r="L869" i="1" s="1" a="1"/>
  <c r="L868" i="1" a="1"/>
  <c r="L868" i="1" s="1"/>
  <c r="K868" i="1"/>
  <c r="K867" i="1"/>
  <c r="L867" i="1" s="1" a="1"/>
  <c r="L867" i="1" s="1"/>
  <c r="L866" i="1"/>
  <c r="L866" i="1" a="1"/>
  <c r="K866" i="1"/>
  <c r="K865" i="1"/>
  <c r="L865" i="1" s="1" a="1"/>
  <c r="L865" i="1" s="1"/>
  <c r="L864" i="1" a="1"/>
  <c r="L864" i="1" s="1"/>
  <c r="K864" i="1"/>
  <c r="K863" i="1"/>
  <c r="L863" i="1" s="1" a="1"/>
  <c r="L863" i="1" s="1"/>
  <c r="L862" i="1"/>
  <c r="L862" i="1" a="1"/>
  <c r="K862" i="1"/>
  <c r="L861" i="1"/>
  <c r="K861" i="1"/>
  <c r="L861" i="1" s="1" a="1"/>
  <c r="L860" i="1" a="1"/>
  <c r="L860" i="1" s="1"/>
  <c r="K860" i="1"/>
  <c r="K859" i="1"/>
  <c r="L859" i="1" s="1" a="1"/>
  <c r="L859" i="1" s="1"/>
  <c r="L858" i="1"/>
  <c r="L858" i="1" a="1"/>
  <c r="K858" i="1"/>
  <c r="L857" i="1"/>
  <c r="K857" i="1"/>
  <c r="L857" i="1" s="1" a="1"/>
  <c r="L856" i="1" a="1"/>
  <c r="L856" i="1" s="1"/>
  <c r="K856" i="1"/>
  <c r="K855" i="1"/>
  <c r="L855" i="1" s="1" a="1"/>
  <c r="L855" i="1" s="1"/>
  <c r="L854" i="1"/>
  <c r="L854" i="1" a="1"/>
  <c r="K854" i="1"/>
  <c r="K853" i="1"/>
  <c r="L853" i="1" s="1" a="1"/>
  <c r="L853" i="1" s="1"/>
  <c r="L852" i="1" a="1"/>
  <c r="L852" i="1" s="1"/>
  <c r="K852" i="1"/>
  <c r="K851" i="1"/>
  <c r="L851" i="1" s="1" a="1"/>
  <c r="L851" i="1" s="1"/>
  <c r="L850" i="1"/>
  <c r="L850" i="1" a="1"/>
  <c r="K850" i="1"/>
  <c r="L849" i="1"/>
  <c r="K849" i="1"/>
  <c r="L849" i="1" s="1" a="1"/>
  <c r="L848" i="1" a="1"/>
  <c r="L848" i="1" s="1"/>
  <c r="K848" i="1"/>
  <c r="K847" i="1"/>
  <c r="L847" i="1" s="1" a="1"/>
  <c r="L847" i="1" s="1"/>
  <c r="L846" i="1"/>
  <c r="L846" i="1" a="1"/>
  <c r="K846" i="1"/>
  <c r="L845" i="1"/>
  <c r="K845" i="1"/>
  <c r="L845" i="1" s="1" a="1"/>
  <c r="L844" i="1" a="1"/>
  <c r="L844" i="1" s="1"/>
  <c r="K844" i="1"/>
  <c r="K843" i="1"/>
  <c r="L843" i="1" s="1" a="1"/>
  <c r="L843" i="1" s="1"/>
  <c r="L842" i="1"/>
  <c r="L842" i="1" a="1"/>
  <c r="K842" i="1"/>
  <c r="K841" i="1"/>
  <c r="L841" i="1" s="1" a="1"/>
  <c r="L841" i="1" s="1"/>
  <c r="L840" i="1" a="1"/>
  <c r="L840" i="1" s="1"/>
  <c r="K840" i="1"/>
  <c r="K839" i="1"/>
  <c r="L839" i="1" s="1" a="1"/>
  <c r="L839" i="1" s="1"/>
  <c r="L838" i="1"/>
  <c r="L838" i="1" a="1"/>
  <c r="K838" i="1"/>
  <c r="L837" i="1"/>
  <c r="K837" i="1"/>
  <c r="L837" i="1" s="1" a="1"/>
  <c r="L836" i="1" a="1"/>
  <c r="L836" i="1" s="1"/>
  <c r="K836" i="1"/>
  <c r="K835" i="1"/>
  <c r="L835" i="1" s="1" a="1"/>
  <c r="L835" i="1" s="1"/>
  <c r="L834" i="1"/>
  <c r="L834" i="1" a="1"/>
  <c r="K834" i="1"/>
  <c r="L833" i="1"/>
  <c r="K833" i="1"/>
  <c r="L833" i="1" s="1" a="1"/>
  <c r="L832" i="1" a="1"/>
  <c r="L832" i="1" s="1"/>
  <c r="K832" i="1"/>
  <c r="K831" i="1"/>
  <c r="L831" i="1" s="1" a="1"/>
  <c r="L831" i="1" s="1"/>
  <c r="L830" i="1"/>
  <c r="L830" i="1" a="1"/>
  <c r="K830" i="1"/>
  <c r="K829" i="1"/>
  <c r="L829" i="1" s="1" a="1"/>
  <c r="L829" i="1" s="1"/>
  <c r="L828" i="1" a="1"/>
  <c r="L828" i="1" s="1"/>
  <c r="K828" i="1"/>
  <c r="K827" i="1"/>
  <c r="L827" i="1" s="1" a="1"/>
  <c r="L827" i="1" s="1"/>
  <c r="L826" i="1"/>
  <c r="L826" i="1" a="1"/>
  <c r="K826" i="1"/>
  <c r="L825" i="1"/>
  <c r="K825" i="1"/>
  <c r="L825" i="1" s="1" a="1"/>
  <c r="L824" i="1" a="1"/>
  <c r="L824" i="1" s="1"/>
  <c r="K824" i="1"/>
  <c r="K823" i="1"/>
  <c r="L823" i="1" s="1" a="1"/>
  <c r="L823" i="1" s="1"/>
  <c r="L822" i="1"/>
  <c r="L822" i="1" a="1"/>
  <c r="K822" i="1"/>
  <c r="L821" i="1"/>
  <c r="K821" i="1"/>
  <c r="L821" i="1" s="1" a="1"/>
  <c r="L820" i="1" a="1"/>
  <c r="L820" i="1" s="1"/>
  <c r="K820" i="1"/>
  <c r="K819" i="1"/>
  <c r="L819" i="1" s="1" a="1"/>
  <c r="L819" i="1" s="1"/>
  <c r="L818" i="1"/>
  <c r="L818" i="1" a="1"/>
  <c r="K818" i="1"/>
  <c r="K817" i="1"/>
  <c r="L817" i="1" s="1" a="1"/>
  <c r="L817" i="1" s="1"/>
  <c r="L816" i="1" a="1"/>
  <c r="L816" i="1" s="1"/>
  <c r="K816" i="1"/>
  <c r="K815" i="1"/>
  <c r="L815" i="1" s="1" a="1"/>
  <c r="L815" i="1" s="1"/>
  <c r="L814" i="1"/>
  <c r="L814" i="1" a="1"/>
  <c r="K814" i="1"/>
  <c r="L813" i="1"/>
  <c r="K813" i="1"/>
  <c r="L813" i="1" s="1" a="1"/>
  <c r="L812" i="1" a="1"/>
  <c r="L812" i="1" s="1"/>
  <c r="K812" i="1"/>
  <c r="K811" i="1"/>
  <c r="L811" i="1" s="1" a="1"/>
  <c r="L811" i="1" s="1"/>
  <c r="L810" i="1"/>
  <c r="L810" i="1" a="1"/>
  <c r="K810" i="1"/>
  <c r="L809" i="1"/>
  <c r="K809" i="1"/>
  <c r="L809" i="1" s="1" a="1"/>
  <c r="L808" i="1" a="1"/>
  <c r="L808" i="1" s="1"/>
  <c r="K808" i="1"/>
  <c r="K807" i="1"/>
  <c r="L807" i="1" s="1" a="1"/>
  <c r="L807" i="1" s="1"/>
  <c r="L806" i="1"/>
  <c r="L806" i="1" a="1"/>
  <c r="K806" i="1"/>
  <c r="K805" i="1"/>
  <c r="L805" i="1" s="1" a="1"/>
  <c r="L805" i="1" s="1"/>
  <c r="L804" i="1" a="1"/>
  <c r="L804" i="1" s="1"/>
  <c r="K804" i="1"/>
  <c r="K803" i="1"/>
  <c r="L803" i="1" s="1" a="1"/>
  <c r="L803" i="1" s="1"/>
  <c r="L802" i="1"/>
  <c r="L802" i="1" a="1"/>
  <c r="K802" i="1"/>
  <c r="L801" i="1"/>
  <c r="K801" i="1"/>
  <c r="L801" i="1" s="1" a="1"/>
  <c r="L800" i="1" a="1"/>
  <c r="L800" i="1" s="1"/>
  <c r="K800" i="1"/>
  <c r="K799" i="1"/>
  <c r="L799" i="1" s="1" a="1"/>
  <c r="L799" i="1" s="1"/>
  <c r="L798" i="1"/>
  <c r="L798" i="1" a="1"/>
  <c r="K798" i="1"/>
  <c r="L797" i="1"/>
  <c r="K797" i="1"/>
  <c r="L797" i="1" s="1" a="1"/>
  <c r="L796" i="1" a="1"/>
  <c r="L796" i="1" s="1"/>
  <c r="K796" i="1"/>
  <c r="K795" i="1"/>
  <c r="L795" i="1" s="1" a="1"/>
  <c r="L795" i="1" s="1"/>
  <c r="L794" i="1"/>
  <c r="L794" i="1" a="1"/>
  <c r="K794" i="1"/>
  <c r="K793" i="1"/>
  <c r="L793" i="1" s="1" a="1"/>
  <c r="L793" i="1" s="1"/>
  <c r="L792" i="1" a="1"/>
  <c r="L792" i="1" s="1"/>
  <c r="K792" i="1"/>
  <c r="K791" i="1"/>
  <c r="L791" i="1" s="1" a="1"/>
  <c r="L791" i="1" s="1"/>
  <c r="L790" i="1"/>
  <c r="L790" i="1" a="1"/>
  <c r="K790" i="1"/>
  <c r="L789" i="1"/>
  <c r="K789" i="1"/>
  <c r="L789" i="1" s="1" a="1"/>
  <c r="L788" i="1" a="1"/>
  <c r="L788" i="1" s="1"/>
  <c r="K788" i="1"/>
  <c r="K787" i="1"/>
  <c r="L787" i="1" s="1" a="1"/>
  <c r="L787" i="1" s="1"/>
  <c r="L786" i="1"/>
  <c r="L786" i="1" a="1"/>
  <c r="K786" i="1"/>
  <c r="L785" i="1"/>
  <c r="K785" i="1"/>
  <c r="L785" i="1" s="1" a="1"/>
  <c r="L784" i="1" a="1"/>
  <c r="L784" i="1" s="1"/>
  <c r="K784" i="1"/>
  <c r="K783" i="1"/>
  <c r="L783" i="1" s="1" a="1"/>
  <c r="L783" i="1" s="1"/>
  <c r="L782" i="1"/>
  <c r="L782" i="1" a="1"/>
  <c r="K782" i="1"/>
  <c r="K781" i="1"/>
  <c r="L781" i="1" s="1" a="1"/>
  <c r="L781" i="1" s="1"/>
  <c r="L780" i="1" a="1"/>
  <c r="L780" i="1" s="1"/>
  <c r="K780" i="1"/>
  <c r="K779" i="1"/>
  <c r="L779" i="1" s="1" a="1"/>
  <c r="L779" i="1" s="1"/>
  <c r="L778" i="1"/>
  <c r="L778" i="1" a="1"/>
  <c r="K778" i="1"/>
  <c r="L777" i="1"/>
  <c r="K777" i="1"/>
  <c r="L777" i="1" s="1" a="1"/>
  <c r="L776" i="1" a="1"/>
  <c r="L776" i="1" s="1"/>
  <c r="K776" i="1"/>
  <c r="K775" i="1"/>
  <c r="L775" i="1" s="1" a="1"/>
  <c r="L775" i="1" s="1"/>
  <c r="L774" i="1" a="1"/>
  <c r="L774" i="1" s="1"/>
  <c r="K774" i="1"/>
  <c r="L773" i="1"/>
  <c r="K773" i="1"/>
  <c r="L773" i="1" s="1" a="1"/>
  <c r="L772" i="1" a="1"/>
  <c r="L772" i="1" s="1"/>
  <c r="K772" i="1"/>
  <c r="K771" i="1"/>
  <c r="L771" i="1" s="1" a="1"/>
  <c r="L771" i="1" s="1"/>
  <c r="L770" i="1" a="1"/>
  <c r="L770" i="1" s="1"/>
  <c r="K770" i="1"/>
  <c r="K769" i="1"/>
  <c r="L769" i="1" s="1" a="1"/>
  <c r="L769" i="1" s="1"/>
  <c r="L768" i="1" a="1"/>
  <c r="L768" i="1" s="1"/>
  <c r="K768" i="1"/>
  <c r="K767" i="1"/>
  <c r="L767" i="1" s="1" a="1"/>
  <c r="L767" i="1" s="1"/>
  <c r="L766" i="1"/>
  <c r="L766" i="1" a="1"/>
  <c r="K766" i="1"/>
  <c r="L765" i="1"/>
  <c r="K765" i="1"/>
  <c r="L765" i="1" s="1" a="1"/>
  <c r="L764" i="1" a="1"/>
  <c r="L764" i="1" s="1"/>
  <c r="K764" i="1"/>
  <c r="K763" i="1"/>
  <c r="L763" i="1" s="1" a="1"/>
  <c r="L763" i="1" s="1"/>
  <c r="L762" i="1" a="1"/>
  <c r="L762" i="1" s="1"/>
  <c r="K762" i="1"/>
  <c r="L761" i="1"/>
  <c r="K761" i="1"/>
  <c r="L761" i="1" s="1" a="1"/>
  <c r="L760" i="1" a="1"/>
  <c r="L760" i="1" s="1"/>
  <c r="K760" i="1"/>
  <c r="K759" i="1"/>
  <c r="L759" i="1" s="1" a="1"/>
  <c r="L759" i="1" s="1"/>
  <c r="L758" i="1" a="1"/>
  <c r="L758" i="1" s="1"/>
  <c r="K758" i="1"/>
  <c r="K757" i="1"/>
  <c r="L757" i="1" s="1" a="1"/>
  <c r="L757" i="1" s="1"/>
  <c r="L756" i="1" a="1"/>
  <c r="L756" i="1" s="1"/>
  <c r="K756" i="1"/>
  <c r="K755" i="1"/>
  <c r="L755" i="1" s="1" a="1"/>
  <c r="L755" i="1" s="1"/>
  <c r="L754" i="1"/>
  <c r="L754" i="1" a="1"/>
  <c r="K754" i="1"/>
  <c r="L753" i="1"/>
  <c r="K753" i="1"/>
  <c r="L753" i="1" s="1" a="1"/>
  <c r="L752" i="1" a="1"/>
  <c r="L752" i="1" s="1"/>
  <c r="K752" i="1"/>
  <c r="K751" i="1"/>
  <c r="L751" i="1" s="1" a="1"/>
  <c r="L751" i="1" s="1"/>
  <c r="L750" i="1" a="1"/>
  <c r="L750" i="1" s="1"/>
  <c r="K750" i="1"/>
  <c r="L749" i="1"/>
  <c r="K749" i="1"/>
  <c r="L749" i="1" s="1" a="1"/>
  <c r="L748" i="1" a="1"/>
  <c r="L748" i="1" s="1"/>
  <c r="K748" i="1"/>
  <c r="K747" i="1"/>
  <c r="L747" i="1" s="1" a="1"/>
  <c r="L747" i="1" s="1"/>
  <c r="L746" i="1" a="1"/>
  <c r="L746" i="1" s="1"/>
  <c r="K746" i="1"/>
  <c r="K745" i="1"/>
  <c r="L745" i="1" s="1" a="1"/>
  <c r="L745" i="1" s="1"/>
  <c r="L744" i="1" a="1"/>
  <c r="L744" i="1" s="1"/>
  <c r="K744" i="1"/>
  <c r="K743" i="1"/>
  <c r="L743" i="1" s="1" a="1"/>
  <c r="L743" i="1" s="1"/>
  <c r="L742" i="1"/>
  <c r="L742" i="1" a="1"/>
  <c r="K742" i="1"/>
  <c r="L741" i="1"/>
  <c r="K741" i="1"/>
  <c r="L741" i="1" s="1" a="1"/>
  <c r="L740" i="1" a="1"/>
  <c r="L740" i="1" s="1"/>
  <c r="K740" i="1"/>
  <c r="K739" i="1"/>
  <c r="L739" i="1" s="1" a="1"/>
  <c r="L739" i="1" s="1"/>
  <c r="L738" i="1" a="1"/>
  <c r="L738" i="1" s="1"/>
  <c r="K738" i="1"/>
  <c r="L737" i="1"/>
  <c r="K737" i="1"/>
  <c r="L737" i="1" s="1" a="1"/>
  <c r="L736" i="1" a="1"/>
  <c r="L736" i="1" s="1"/>
  <c r="K736" i="1"/>
  <c r="K735" i="1"/>
  <c r="L735" i="1" s="1" a="1"/>
  <c r="L735" i="1" s="1"/>
  <c r="L734" i="1" a="1"/>
  <c r="L734" i="1" s="1"/>
  <c r="K734" i="1"/>
  <c r="K733" i="1"/>
  <c r="L733" i="1" s="1" a="1"/>
  <c r="L733" i="1" s="1"/>
  <c r="L732" i="1" a="1"/>
  <c r="L732" i="1" s="1"/>
  <c r="K732" i="1"/>
  <c r="K731" i="1"/>
  <c r="L731" i="1" s="1" a="1"/>
  <c r="L731" i="1" s="1"/>
  <c r="L730" i="1"/>
  <c r="L730" i="1" a="1"/>
  <c r="K730" i="1"/>
  <c r="L729" i="1"/>
  <c r="K729" i="1"/>
  <c r="L729" i="1" s="1" a="1"/>
  <c r="L728" i="1" a="1"/>
  <c r="L728" i="1" s="1"/>
  <c r="K728" i="1"/>
  <c r="K727" i="1"/>
  <c r="L727" i="1" s="1" a="1"/>
  <c r="L727" i="1" s="1"/>
  <c r="L726" i="1" a="1"/>
  <c r="L726" i="1" s="1"/>
  <c r="K726" i="1"/>
  <c r="L725" i="1"/>
  <c r="K725" i="1"/>
  <c r="L725" i="1" s="1" a="1"/>
  <c r="L724" i="1" a="1"/>
  <c r="L724" i="1" s="1"/>
  <c r="K724" i="1"/>
  <c r="K723" i="1"/>
  <c r="L723" i="1" s="1" a="1"/>
  <c r="L723" i="1" s="1"/>
  <c r="L722" i="1" a="1"/>
  <c r="L722" i="1" s="1"/>
  <c r="K722" i="1"/>
  <c r="K721" i="1"/>
  <c r="L721" i="1" s="1" a="1"/>
  <c r="L721" i="1" s="1"/>
  <c r="L720" i="1" a="1"/>
  <c r="L720" i="1" s="1"/>
  <c r="K720" i="1"/>
  <c r="K719" i="1"/>
  <c r="L719" i="1" s="1" a="1"/>
  <c r="L719" i="1" s="1"/>
  <c r="L718" i="1"/>
  <c r="L718" i="1" a="1"/>
  <c r="K718" i="1"/>
  <c r="L717" i="1"/>
  <c r="K717" i="1"/>
  <c r="L717" i="1" s="1" a="1"/>
  <c r="L716" i="1" a="1"/>
  <c r="L716" i="1" s="1"/>
  <c r="K716" i="1"/>
  <c r="K715" i="1"/>
  <c r="L715" i="1" s="1" a="1"/>
  <c r="L715" i="1" s="1"/>
  <c r="L714" i="1" a="1"/>
  <c r="L714" i="1" s="1"/>
  <c r="K714" i="1"/>
  <c r="L713" i="1"/>
  <c r="K713" i="1"/>
  <c r="L713" i="1" s="1" a="1"/>
  <c r="L712" i="1" a="1"/>
  <c r="L712" i="1" s="1"/>
  <c r="K712" i="1"/>
  <c r="K711" i="1"/>
  <c r="L711" i="1" s="1" a="1"/>
  <c r="L711" i="1" s="1"/>
  <c r="L710" i="1" a="1"/>
  <c r="L710" i="1" s="1"/>
  <c r="K710" i="1"/>
  <c r="K709" i="1"/>
  <c r="L709" i="1" s="1" a="1"/>
  <c r="L709" i="1" s="1"/>
  <c r="L708" i="1" a="1"/>
  <c r="L708" i="1" s="1"/>
  <c r="K708" i="1"/>
  <c r="K707" i="1"/>
  <c r="L707" i="1" s="1" a="1"/>
  <c r="L707" i="1" s="1"/>
  <c r="L706" i="1"/>
  <c r="L706" i="1" a="1"/>
  <c r="K706" i="1"/>
  <c r="L705" i="1"/>
  <c r="K705" i="1"/>
  <c r="L705" i="1" s="1" a="1"/>
  <c r="L704" i="1" a="1"/>
  <c r="L704" i="1" s="1"/>
  <c r="K704" i="1"/>
  <c r="K703" i="1"/>
  <c r="L703" i="1" s="1" a="1"/>
  <c r="L703" i="1" s="1"/>
  <c r="L702" i="1" a="1"/>
  <c r="L702" i="1" s="1"/>
  <c r="K702" i="1"/>
  <c r="L701" i="1"/>
  <c r="K701" i="1"/>
  <c r="L701" i="1" s="1" a="1"/>
  <c r="L700" i="1" a="1"/>
  <c r="L700" i="1" s="1"/>
  <c r="K700" i="1"/>
  <c r="K699" i="1"/>
  <c r="L699" i="1" s="1" a="1"/>
  <c r="L699" i="1" s="1"/>
  <c r="L698" i="1" a="1"/>
  <c r="L698" i="1" s="1"/>
  <c r="K698" i="1"/>
  <c r="K697" i="1"/>
  <c r="L697" i="1" s="1" a="1"/>
  <c r="L697" i="1" s="1"/>
  <c r="L696" i="1" a="1"/>
  <c r="L696" i="1" s="1"/>
  <c r="K696" i="1"/>
  <c r="K695" i="1"/>
  <c r="L695" i="1" s="1" a="1"/>
  <c r="L695" i="1" s="1"/>
  <c r="L694" i="1"/>
  <c r="L694" i="1" a="1"/>
  <c r="K694" i="1"/>
  <c r="L693" i="1"/>
  <c r="K693" i="1"/>
  <c r="L693" i="1" s="1" a="1"/>
  <c r="L692" i="1" a="1"/>
  <c r="L692" i="1" s="1"/>
  <c r="K692" i="1"/>
  <c r="K691" i="1"/>
  <c r="L691" i="1" s="1" a="1"/>
  <c r="L691" i="1" s="1"/>
  <c r="L690" i="1" a="1"/>
  <c r="L690" i="1" s="1"/>
  <c r="K690" i="1"/>
  <c r="L689" i="1"/>
  <c r="K689" i="1"/>
  <c r="L689" i="1" s="1" a="1"/>
  <c r="L688" i="1" a="1"/>
  <c r="L688" i="1" s="1"/>
  <c r="K688" i="1"/>
  <c r="K687" i="1"/>
  <c r="L687" i="1" s="1" a="1"/>
  <c r="L687" i="1" s="1"/>
  <c r="L686" i="1" a="1"/>
  <c r="L686" i="1" s="1"/>
  <c r="K686" i="1"/>
  <c r="K685" i="1"/>
  <c r="L685" i="1" s="1" a="1"/>
  <c r="L685" i="1" s="1"/>
  <c r="L684" i="1" a="1"/>
  <c r="L684" i="1" s="1"/>
  <c r="K684" i="1"/>
  <c r="K683" i="1"/>
  <c r="L683" i="1" s="1" a="1"/>
  <c r="L683" i="1" s="1"/>
  <c r="L682" i="1" a="1"/>
  <c r="L682" i="1" s="1"/>
  <c r="K682" i="1"/>
  <c r="L681" i="1"/>
  <c r="K681" i="1"/>
  <c r="L681" i="1" s="1" a="1"/>
  <c r="L680" i="1" a="1"/>
  <c r="L680" i="1" s="1"/>
  <c r="K680" i="1"/>
  <c r="K679" i="1"/>
  <c r="L679" i="1" s="1" a="1"/>
  <c r="L679" i="1" s="1"/>
  <c r="L678" i="1" a="1"/>
  <c r="L678" i="1" s="1"/>
  <c r="K678" i="1"/>
  <c r="L677" i="1"/>
  <c r="K677" i="1"/>
  <c r="L677" i="1" s="1" a="1"/>
  <c r="L676" i="1" a="1"/>
  <c r="L676" i="1" s="1"/>
  <c r="K676" i="1"/>
  <c r="K675" i="1"/>
  <c r="L675" i="1" s="1" a="1"/>
  <c r="L675" i="1" s="1"/>
  <c r="L674" i="1" a="1"/>
  <c r="L674" i="1" s="1"/>
  <c r="K674" i="1"/>
  <c r="K673" i="1"/>
  <c r="L673" i="1" s="1" a="1"/>
  <c r="L673" i="1" s="1"/>
  <c r="L672" i="1" a="1"/>
  <c r="L672" i="1" s="1"/>
  <c r="K672" i="1"/>
  <c r="K671" i="1"/>
  <c r="L671" i="1" s="1" a="1"/>
  <c r="L671" i="1" s="1"/>
  <c r="L670" i="1" a="1"/>
  <c r="L670" i="1" s="1"/>
  <c r="K670" i="1"/>
  <c r="L669" i="1"/>
  <c r="K669" i="1"/>
  <c r="L669" i="1" s="1" a="1"/>
  <c r="L668" i="1" a="1"/>
  <c r="L668" i="1" s="1"/>
  <c r="K668" i="1"/>
  <c r="K667" i="1"/>
  <c r="L667" i="1" s="1" a="1"/>
  <c r="L667" i="1" s="1"/>
  <c r="L666" i="1" a="1"/>
  <c r="L666" i="1" s="1"/>
  <c r="K666" i="1"/>
  <c r="L665" i="1"/>
  <c r="K665" i="1"/>
  <c r="L665" i="1" s="1" a="1"/>
  <c r="L664" i="1" a="1"/>
  <c r="L664" i="1" s="1"/>
  <c r="K664" i="1"/>
  <c r="K663" i="1"/>
  <c r="L663" i="1" s="1" a="1"/>
  <c r="L663" i="1" s="1"/>
  <c r="L662" i="1" a="1"/>
  <c r="L662" i="1" s="1"/>
  <c r="K662" i="1"/>
  <c r="K661" i="1"/>
  <c r="L661" i="1" s="1" a="1"/>
  <c r="L661" i="1" s="1"/>
  <c r="L660" i="1" a="1"/>
  <c r="L660" i="1" s="1"/>
  <c r="K660" i="1"/>
  <c r="K659" i="1"/>
  <c r="L659" i="1" s="1" a="1"/>
  <c r="L659" i="1" s="1"/>
  <c r="L658" i="1" a="1"/>
  <c r="L658" i="1" s="1"/>
  <c r="K658" i="1"/>
  <c r="L657" i="1"/>
  <c r="K657" i="1"/>
  <c r="L657" i="1" s="1" a="1"/>
  <c r="L656" i="1" a="1"/>
  <c r="L656" i="1" s="1"/>
  <c r="K656" i="1"/>
  <c r="K655" i="1"/>
  <c r="L655" i="1" s="1" a="1"/>
  <c r="L655" i="1" s="1"/>
  <c r="L654" i="1" a="1"/>
  <c r="L654" i="1" s="1"/>
  <c r="K654" i="1"/>
  <c r="L653" i="1"/>
  <c r="K653" i="1"/>
  <c r="L653" i="1" s="1" a="1"/>
  <c r="L652" i="1" a="1"/>
  <c r="L652" i="1" s="1"/>
  <c r="K652" i="1"/>
  <c r="K651" i="1"/>
  <c r="L651" i="1" s="1" a="1"/>
  <c r="L651" i="1" s="1"/>
  <c r="L650" i="1" a="1"/>
  <c r="L650" i="1" s="1"/>
  <c r="K650" i="1"/>
  <c r="K649" i="1"/>
  <c r="L649" i="1" s="1" a="1"/>
  <c r="L649" i="1" s="1"/>
  <c r="L648" i="1" a="1"/>
  <c r="L648" i="1" s="1"/>
  <c r="K648" i="1"/>
  <c r="K647" i="1"/>
  <c r="L647" i="1" s="1" a="1"/>
  <c r="L647" i="1" s="1"/>
  <c r="L646" i="1" a="1"/>
  <c r="L646" i="1" s="1"/>
  <c r="K646" i="1"/>
  <c r="L645" i="1"/>
  <c r="K645" i="1"/>
  <c r="L645" i="1" s="1" a="1"/>
  <c r="L644" i="1" a="1"/>
  <c r="L644" i="1" s="1"/>
  <c r="K644" i="1"/>
  <c r="K643" i="1"/>
  <c r="L643" i="1" s="1" a="1"/>
  <c r="L643" i="1" s="1"/>
  <c r="L642" i="1" a="1"/>
  <c r="L642" i="1" s="1"/>
  <c r="K642" i="1"/>
  <c r="L641" i="1"/>
  <c r="K641" i="1"/>
  <c r="L641" i="1" s="1" a="1"/>
  <c r="L640" i="1" a="1"/>
  <c r="L640" i="1" s="1"/>
  <c r="K640" i="1"/>
  <c r="K639" i="1"/>
  <c r="L639" i="1" s="1" a="1"/>
  <c r="L639" i="1" s="1"/>
  <c r="L638" i="1" a="1"/>
  <c r="L638" i="1" s="1"/>
  <c r="K638" i="1"/>
  <c r="K637" i="1"/>
  <c r="L637" i="1" s="1" a="1"/>
  <c r="L637" i="1" s="1"/>
  <c r="L636" i="1" a="1"/>
  <c r="L636" i="1" s="1"/>
  <c r="K636" i="1"/>
  <c r="K635" i="1"/>
  <c r="L635" i="1" s="1" a="1"/>
  <c r="L635" i="1" s="1"/>
  <c r="L634" i="1" a="1"/>
  <c r="L634" i="1" s="1"/>
  <c r="K634" i="1"/>
  <c r="L633" i="1"/>
  <c r="K633" i="1"/>
  <c r="L633" i="1" s="1" a="1"/>
  <c r="L632" i="1" a="1"/>
  <c r="L632" i="1" s="1"/>
  <c r="K632" i="1"/>
  <c r="K631" i="1"/>
  <c r="L631" i="1" s="1" a="1"/>
  <c r="L631" i="1" s="1"/>
  <c r="L630" i="1" a="1"/>
  <c r="L630" i="1" s="1"/>
  <c r="K630" i="1"/>
  <c r="L629" i="1"/>
  <c r="K629" i="1"/>
  <c r="L629" i="1" s="1" a="1"/>
  <c r="L628" i="1" a="1"/>
  <c r="L628" i="1" s="1"/>
  <c r="K628" i="1"/>
  <c r="K627" i="1"/>
  <c r="L627" i="1" s="1" a="1"/>
  <c r="L627" i="1" s="1"/>
  <c r="L626" i="1" a="1"/>
  <c r="L626" i="1" s="1"/>
  <c r="K626" i="1"/>
  <c r="K625" i="1"/>
  <c r="L625" i="1" s="1" a="1"/>
  <c r="L625" i="1" s="1"/>
  <c r="L624" i="1" a="1"/>
  <c r="L624" i="1" s="1"/>
  <c r="K624" i="1"/>
  <c r="K623" i="1"/>
  <c r="L623" i="1" s="1" a="1"/>
  <c r="L623" i="1" s="1"/>
  <c r="L622" i="1" a="1"/>
  <c r="L622" i="1" s="1"/>
  <c r="K622" i="1"/>
  <c r="L621" i="1"/>
  <c r="K621" i="1"/>
  <c r="L621" i="1" s="1" a="1"/>
  <c r="L620" i="1" a="1"/>
  <c r="L620" i="1" s="1"/>
  <c r="K620" i="1"/>
  <c r="K619" i="1"/>
  <c r="L619" i="1" s="1" a="1"/>
  <c r="L619" i="1" s="1"/>
  <c r="L618" i="1" a="1"/>
  <c r="L618" i="1" s="1"/>
  <c r="K618" i="1"/>
  <c r="L617" i="1"/>
  <c r="K617" i="1"/>
  <c r="L617" i="1" s="1" a="1"/>
  <c r="L616" i="1" a="1"/>
  <c r="L616" i="1" s="1"/>
  <c r="K616" i="1"/>
  <c r="K615" i="1"/>
  <c r="L615" i="1" s="1" a="1"/>
  <c r="L615" i="1" s="1"/>
  <c r="L614" i="1" a="1"/>
  <c r="L614" i="1" s="1"/>
  <c r="K614" i="1"/>
  <c r="K613" i="1"/>
  <c r="L613" i="1" s="1" a="1"/>
  <c r="L613" i="1" s="1"/>
  <c r="L612" i="1" a="1"/>
  <c r="L612" i="1" s="1"/>
  <c r="K612" i="1"/>
  <c r="K611" i="1"/>
  <c r="L611" i="1" s="1" a="1"/>
  <c r="L611" i="1" s="1"/>
  <c r="L610" i="1" a="1"/>
  <c r="L610" i="1" s="1"/>
  <c r="K610" i="1"/>
  <c r="L609" i="1"/>
  <c r="K609" i="1"/>
  <c r="L609" i="1" s="1" a="1"/>
  <c r="L608" i="1" a="1"/>
  <c r="L608" i="1" s="1"/>
  <c r="K608" i="1"/>
  <c r="K607" i="1"/>
  <c r="L607" i="1" s="1" a="1"/>
  <c r="L607" i="1" s="1"/>
  <c r="L606" i="1" a="1"/>
  <c r="L606" i="1" s="1"/>
  <c r="K606" i="1"/>
  <c r="L605" i="1"/>
  <c r="K605" i="1"/>
  <c r="L605" i="1" s="1" a="1"/>
  <c r="L604" i="1" a="1"/>
  <c r="L604" i="1" s="1"/>
  <c r="K604" i="1"/>
  <c r="K603" i="1"/>
  <c r="L603" i="1" s="1" a="1"/>
  <c r="L603" i="1" s="1"/>
  <c r="L602" i="1" a="1"/>
  <c r="L602" i="1" s="1"/>
  <c r="K602" i="1"/>
  <c r="K601" i="1"/>
  <c r="L601" i="1" s="1" a="1"/>
  <c r="L601" i="1" s="1"/>
  <c r="L600" i="1" a="1"/>
  <c r="L600" i="1" s="1"/>
  <c r="K600" i="1"/>
  <c r="K599" i="1"/>
  <c r="L599" i="1" s="1" a="1"/>
  <c r="L599" i="1" s="1"/>
  <c r="L598" i="1" a="1"/>
  <c r="L598" i="1" s="1"/>
  <c r="K598" i="1"/>
  <c r="L597" i="1"/>
  <c r="K597" i="1"/>
  <c r="L597" i="1" s="1" a="1"/>
  <c r="L596" i="1" a="1"/>
  <c r="L596" i="1" s="1"/>
  <c r="K596" i="1"/>
  <c r="K595" i="1"/>
  <c r="L595" i="1" s="1" a="1"/>
  <c r="L595" i="1" s="1"/>
  <c r="L594" i="1" a="1"/>
  <c r="L594" i="1" s="1"/>
  <c r="K594" i="1"/>
  <c r="L593" i="1"/>
  <c r="K593" i="1"/>
  <c r="L593" i="1" s="1" a="1"/>
  <c r="L592" i="1" a="1"/>
  <c r="L592" i="1" s="1"/>
  <c r="K592" i="1"/>
  <c r="K591" i="1"/>
  <c r="L591" i="1" s="1" a="1"/>
  <c r="L591" i="1" s="1"/>
  <c r="L590" i="1" a="1"/>
  <c r="L590" i="1" s="1"/>
  <c r="K590" i="1"/>
  <c r="K589" i="1"/>
  <c r="L589" i="1" s="1" a="1"/>
  <c r="L589" i="1" s="1"/>
  <c r="L588" i="1" a="1"/>
  <c r="L588" i="1" s="1"/>
  <c r="K588" i="1"/>
  <c r="K587" i="1"/>
  <c r="L587" i="1" s="1" a="1"/>
  <c r="L587" i="1" s="1"/>
  <c r="L586" i="1" a="1"/>
  <c r="L586" i="1" s="1"/>
  <c r="K586" i="1"/>
  <c r="L585" i="1"/>
  <c r="K585" i="1"/>
  <c r="L585" i="1" s="1" a="1"/>
  <c r="L584" i="1" a="1"/>
  <c r="L584" i="1" s="1"/>
  <c r="K584" i="1"/>
  <c r="K583" i="1"/>
  <c r="L583" i="1" s="1" a="1"/>
  <c r="L583" i="1" s="1"/>
  <c r="L582" i="1" a="1"/>
  <c r="L582" i="1" s="1"/>
  <c r="K582" i="1"/>
  <c r="L581" i="1"/>
  <c r="K581" i="1"/>
  <c r="L581" i="1" s="1" a="1"/>
  <c r="L580" i="1" a="1"/>
  <c r="L580" i="1" s="1"/>
  <c r="K580" i="1"/>
  <c r="K579" i="1"/>
  <c r="L579" i="1" s="1" a="1"/>
  <c r="L579" i="1" s="1"/>
  <c r="L578" i="1" a="1"/>
  <c r="L578" i="1" s="1"/>
  <c r="K578" i="1"/>
  <c r="L577" i="1"/>
  <c r="K577" i="1"/>
  <c r="L577" i="1" s="1" a="1"/>
  <c r="L576" i="1" a="1"/>
  <c r="L576" i="1" s="1"/>
  <c r="K576" i="1"/>
  <c r="K575" i="1"/>
  <c r="L575" i="1" s="1" a="1"/>
  <c r="L575" i="1" s="1"/>
  <c r="L574" i="1" a="1"/>
  <c r="L574" i="1" s="1"/>
  <c r="K574" i="1"/>
  <c r="L573" i="1"/>
  <c r="K573" i="1"/>
  <c r="L573" i="1" s="1" a="1"/>
  <c r="L572" i="1" a="1"/>
  <c r="L572" i="1" s="1"/>
  <c r="K572" i="1"/>
  <c r="K571" i="1"/>
  <c r="L571" i="1" s="1" a="1"/>
  <c r="L571" i="1" s="1"/>
  <c r="L570" i="1" a="1"/>
  <c r="L570" i="1" s="1"/>
  <c r="K570" i="1"/>
  <c r="L569" i="1"/>
  <c r="K569" i="1"/>
  <c r="L569" i="1" s="1" a="1"/>
  <c r="L568" i="1" a="1"/>
  <c r="L568" i="1" s="1"/>
  <c r="K568" i="1"/>
  <c r="K567" i="1"/>
  <c r="L567" i="1" s="1" a="1"/>
  <c r="L567" i="1" s="1"/>
  <c r="L566" i="1" a="1"/>
  <c r="L566" i="1" s="1"/>
  <c r="K566" i="1"/>
  <c r="L565" i="1"/>
  <c r="K565" i="1"/>
  <c r="L565" i="1" s="1" a="1"/>
  <c r="L564" i="1" a="1"/>
  <c r="L564" i="1" s="1"/>
  <c r="K564" i="1"/>
  <c r="K563" i="1"/>
  <c r="L563" i="1" s="1" a="1"/>
  <c r="L563" i="1" s="1"/>
  <c r="L562" i="1" a="1"/>
  <c r="L562" i="1" s="1"/>
  <c r="K562" i="1"/>
  <c r="L561" i="1"/>
  <c r="K561" i="1"/>
  <c r="L561" i="1" s="1" a="1"/>
  <c r="L560" i="1" a="1"/>
  <c r="L560" i="1" s="1"/>
  <c r="K560" i="1"/>
  <c r="K559" i="1"/>
  <c r="L559" i="1" s="1" a="1"/>
  <c r="L559" i="1" s="1"/>
  <c r="L558" i="1" a="1"/>
  <c r="L558" i="1" s="1"/>
  <c r="K558" i="1"/>
  <c r="L557" i="1"/>
  <c r="K557" i="1"/>
  <c r="L557" i="1" s="1" a="1"/>
  <c r="L556" i="1" a="1"/>
  <c r="L556" i="1" s="1"/>
  <c r="K556" i="1"/>
  <c r="K555" i="1"/>
  <c r="L555" i="1" s="1" a="1"/>
  <c r="L555" i="1" s="1"/>
  <c r="L554" i="1" a="1"/>
  <c r="L554" i="1" s="1"/>
  <c r="K554" i="1"/>
  <c r="L553" i="1"/>
  <c r="K553" i="1"/>
  <c r="L553" i="1" s="1" a="1"/>
  <c r="L552" i="1" a="1"/>
  <c r="L552" i="1" s="1"/>
  <c r="K552" i="1"/>
  <c r="K551" i="1"/>
  <c r="L551" i="1" s="1" a="1"/>
  <c r="L551" i="1" s="1"/>
  <c r="L550" i="1" a="1"/>
  <c r="L550" i="1" s="1"/>
  <c r="K550" i="1"/>
  <c r="L549" i="1"/>
  <c r="K549" i="1"/>
  <c r="L549" i="1" s="1" a="1"/>
  <c r="L548" i="1" a="1"/>
  <c r="L548" i="1" s="1"/>
  <c r="K548" i="1"/>
  <c r="K547" i="1"/>
  <c r="L547" i="1" s="1" a="1"/>
  <c r="L547" i="1" s="1"/>
  <c r="L546" i="1"/>
  <c r="L546" i="1" a="1"/>
  <c r="K546" i="1"/>
  <c r="K545" i="1"/>
  <c r="L545" i="1" s="1" a="1"/>
  <c r="L545" i="1" s="1"/>
  <c r="L544" i="1" a="1"/>
  <c r="L544" i="1" s="1"/>
  <c r="K544" i="1"/>
  <c r="K543" i="1"/>
  <c r="L543" i="1" s="1" a="1"/>
  <c r="L543" i="1" s="1"/>
  <c r="L542" i="1" a="1"/>
  <c r="L542" i="1" s="1"/>
  <c r="K542" i="1"/>
  <c r="L541" i="1"/>
  <c r="K541" i="1"/>
  <c r="L541" i="1" s="1" a="1"/>
  <c r="L540" i="1" a="1"/>
  <c r="L540" i="1" s="1"/>
  <c r="K540" i="1"/>
  <c r="L539" i="1"/>
  <c r="K539" i="1"/>
  <c r="L539" i="1" s="1" a="1"/>
  <c r="L538" i="1"/>
  <c r="L538" i="1" a="1"/>
  <c r="K538" i="1"/>
  <c r="K537" i="1"/>
  <c r="L537" i="1" s="1" a="1"/>
  <c r="L537" i="1" s="1"/>
  <c r="L536" i="1" a="1"/>
  <c r="L536" i="1" s="1"/>
  <c r="K536" i="1"/>
  <c r="K535" i="1"/>
  <c r="L535" i="1" s="1" a="1"/>
  <c r="L535" i="1" s="1"/>
  <c r="L534" i="1" a="1"/>
  <c r="L534" i="1" s="1"/>
  <c r="K534" i="1"/>
  <c r="L533" i="1"/>
  <c r="K533" i="1"/>
  <c r="L533" i="1" s="1" a="1"/>
  <c r="L532" i="1" a="1"/>
  <c r="L532" i="1" s="1"/>
  <c r="K532" i="1"/>
  <c r="K531" i="1"/>
  <c r="L531" i="1" s="1" a="1"/>
  <c r="L531" i="1" s="1"/>
  <c r="L530" i="1"/>
  <c r="L530" i="1" a="1"/>
  <c r="K530" i="1"/>
  <c r="K529" i="1"/>
  <c r="L529" i="1" s="1" a="1"/>
  <c r="L529" i="1" s="1"/>
  <c r="L528" i="1" a="1"/>
  <c r="L528" i="1" s="1"/>
  <c r="K528" i="1"/>
  <c r="K527" i="1"/>
  <c r="L527" i="1" s="1" a="1"/>
  <c r="L527" i="1" s="1"/>
  <c r="L526" i="1" a="1"/>
  <c r="L526" i="1" s="1"/>
  <c r="K526" i="1"/>
  <c r="L525" i="1"/>
  <c r="K525" i="1"/>
  <c r="L525" i="1" s="1" a="1"/>
  <c r="L524" i="1" a="1"/>
  <c r="L524" i="1" s="1"/>
  <c r="K524" i="1"/>
  <c r="L523" i="1"/>
  <c r="K523" i="1"/>
  <c r="L523" i="1" s="1" a="1"/>
  <c r="L522" i="1"/>
  <c r="L522" i="1" a="1"/>
  <c r="K522" i="1"/>
  <c r="K521" i="1"/>
  <c r="L521" i="1" s="1" a="1"/>
  <c r="L521" i="1" s="1"/>
  <c r="L520" i="1" a="1"/>
  <c r="L520" i="1" s="1"/>
  <c r="K520" i="1"/>
  <c r="K519" i="1"/>
  <c r="L519" i="1" s="1" a="1"/>
  <c r="L519" i="1" s="1"/>
  <c r="L518" i="1" a="1"/>
  <c r="L518" i="1" s="1"/>
  <c r="K518" i="1"/>
  <c r="L517" i="1"/>
  <c r="K517" i="1"/>
  <c r="L517" i="1" s="1" a="1"/>
  <c r="L516" i="1" a="1"/>
  <c r="L516" i="1" s="1"/>
  <c r="K516" i="1"/>
  <c r="K515" i="1"/>
  <c r="L515" i="1" s="1" a="1"/>
  <c r="L515" i="1" s="1"/>
  <c r="L514" i="1"/>
  <c r="L514" i="1" a="1"/>
  <c r="K514" i="1"/>
  <c r="K513" i="1"/>
  <c r="L513" i="1" s="1" a="1"/>
  <c r="L513" i="1" s="1"/>
  <c r="L512" i="1" a="1"/>
  <c r="L512" i="1" s="1"/>
  <c r="K512" i="1"/>
  <c r="K511" i="1"/>
  <c r="L511" i="1" s="1" a="1"/>
  <c r="L511" i="1" s="1"/>
  <c r="L510" i="1" a="1"/>
  <c r="L510" i="1" s="1"/>
  <c r="K510" i="1"/>
  <c r="L509" i="1"/>
  <c r="K509" i="1"/>
  <c r="L509" i="1" s="1" a="1"/>
  <c r="L508" i="1" a="1"/>
  <c r="L508" i="1" s="1"/>
  <c r="K508" i="1"/>
  <c r="L507" i="1"/>
  <c r="K507" i="1"/>
  <c r="L507" i="1" s="1" a="1"/>
  <c r="L506" i="1"/>
  <c r="L506" i="1" a="1"/>
  <c r="K506" i="1"/>
  <c r="K505" i="1"/>
  <c r="L505" i="1" s="1" a="1"/>
  <c r="L505" i="1" s="1"/>
  <c r="L504" i="1" a="1"/>
  <c r="L504" i="1" s="1"/>
  <c r="K504" i="1"/>
  <c r="K503" i="1"/>
  <c r="L503" i="1" s="1" a="1"/>
  <c r="L503" i="1" s="1"/>
  <c r="L502" i="1" a="1"/>
  <c r="L502" i="1" s="1"/>
  <c r="K502" i="1"/>
  <c r="L501" i="1"/>
  <c r="K501" i="1"/>
  <c r="L501" i="1" s="1" a="1"/>
  <c r="L500" i="1" a="1"/>
  <c r="L500" i="1" s="1"/>
  <c r="K500" i="1"/>
  <c r="K499" i="1"/>
  <c r="L499" i="1" s="1" a="1"/>
  <c r="L499" i="1" s="1"/>
  <c r="L498" i="1"/>
  <c r="L498" i="1" a="1"/>
  <c r="K498" i="1"/>
  <c r="K497" i="1"/>
  <c r="L497" i="1" s="1" a="1"/>
  <c r="L497" i="1" s="1"/>
  <c r="L496" i="1" a="1"/>
  <c r="L496" i="1" s="1"/>
  <c r="K496" i="1"/>
  <c r="K495" i="1"/>
  <c r="L495" i="1" s="1" a="1"/>
  <c r="L495" i="1" s="1"/>
  <c r="L494" i="1" a="1"/>
  <c r="L494" i="1" s="1"/>
  <c r="K494" i="1"/>
  <c r="L493" i="1"/>
  <c r="K493" i="1"/>
  <c r="L493" i="1" s="1" a="1"/>
  <c r="L492" i="1" a="1"/>
  <c r="L492" i="1" s="1"/>
  <c r="K492" i="1"/>
  <c r="L491" i="1"/>
  <c r="K491" i="1"/>
  <c r="L491" i="1" s="1" a="1"/>
  <c r="L490" i="1"/>
  <c r="L490" i="1" a="1"/>
  <c r="K490" i="1"/>
  <c r="K489" i="1"/>
  <c r="L489" i="1" s="1" a="1"/>
  <c r="L489" i="1" s="1"/>
  <c r="L488" i="1" a="1"/>
  <c r="L488" i="1" s="1"/>
  <c r="K488" i="1"/>
  <c r="K487" i="1"/>
  <c r="L487" i="1" s="1" a="1"/>
  <c r="L487" i="1" s="1"/>
  <c r="L486" i="1" a="1"/>
  <c r="L486" i="1" s="1"/>
  <c r="K486" i="1"/>
  <c r="L485" i="1"/>
  <c r="K485" i="1"/>
  <c r="L485" i="1" s="1" a="1"/>
  <c r="L484" i="1" a="1"/>
  <c r="L484" i="1" s="1"/>
  <c r="K484" i="1"/>
  <c r="K483" i="1"/>
  <c r="L483" i="1" s="1" a="1"/>
  <c r="L483" i="1" s="1"/>
  <c r="L482" i="1"/>
  <c r="L482" i="1" a="1"/>
  <c r="K482" i="1"/>
  <c r="K481" i="1"/>
  <c r="L481" i="1" s="1" a="1"/>
  <c r="L481" i="1" s="1"/>
  <c r="L480" i="1" a="1"/>
  <c r="L480" i="1" s="1"/>
  <c r="K480" i="1"/>
  <c r="K479" i="1"/>
  <c r="L479" i="1" s="1" a="1"/>
  <c r="L479" i="1" s="1"/>
  <c r="L478" i="1" a="1"/>
  <c r="L478" i="1" s="1"/>
  <c r="K478" i="1"/>
  <c r="L477" i="1"/>
  <c r="K477" i="1"/>
  <c r="L477" i="1" s="1" a="1"/>
  <c r="L476" i="1" a="1"/>
  <c r="L476" i="1" s="1"/>
  <c r="K476" i="1"/>
  <c r="L475" i="1"/>
  <c r="K475" i="1"/>
  <c r="L475" i="1" s="1" a="1"/>
  <c r="L474" i="1" a="1"/>
  <c r="L474" i="1" s="1"/>
  <c r="K474" i="1"/>
  <c r="K473" i="1"/>
  <c r="L473" i="1" s="1" a="1"/>
  <c r="L473" i="1" s="1"/>
  <c r="L472" i="1" a="1"/>
  <c r="L472" i="1" s="1"/>
  <c r="K472" i="1"/>
  <c r="K471" i="1"/>
  <c r="L471" i="1" s="1" a="1"/>
  <c r="L471" i="1" s="1"/>
  <c r="L470" i="1" a="1"/>
  <c r="L470" i="1" s="1"/>
  <c r="K470" i="1"/>
  <c r="K469" i="1"/>
  <c r="L469" i="1" s="1" a="1"/>
  <c r="L469" i="1" s="1"/>
  <c r="L468" i="1" a="1"/>
  <c r="L468" i="1" s="1"/>
  <c r="K468" i="1"/>
  <c r="K467" i="1"/>
  <c r="L467" i="1" s="1" a="1"/>
  <c r="L467" i="1" s="1"/>
  <c r="L466" i="1"/>
  <c r="L466" i="1" a="1"/>
  <c r="K466" i="1"/>
  <c r="K465" i="1"/>
  <c r="L465" i="1" s="1" a="1"/>
  <c r="L465" i="1" s="1"/>
  <c r="L464" i="1" a="1"/>
  <c r="L464" i="1" s="1"/>
  <c r="K464" i="1"/>
  <c r="K463" i="1"/>
  <c r="L463" i="1" s="1" a="1"/>
  <c r="L463" i="1" s="1"/>
  <c r="L462" i="1" a="1"/>
  <c r="L462" i="1" s="1"/>
  <c r="K462" i="1"/>
  <c r="L461" i="1"/>
  <c r="K461" i="1"/>
  <c r="L461" i="1" s="1" a="1"/>
  <c r="L460" i="1" a="1"/>
  <c r="L460" i="1" s="1"/>
  <c r="K460" i="1"/>
  <c r="L459" i="1"/>
  <c r="K459" i="1"/>
  <c r="L459" i="1" s="1" a="1"/>
  <c r="L458" i="1" a="1"/>
  <c r="L458" i="1" s="1"/>
  <c r="K458" i="1"/>
  <c r="K457" i="1"/>
  <c r="L457" i="1" s="1" a="1"/>
  <c r="L457" i="1" s="1"/>
  <c r="L456" i="1" a="1"/>
  <c r="L456" i="1" s="1"/>
  <c r="K456" i="1"/>
  <c r="K455" i="1"/>
  <c r="L455" i="1" s="1" a="1"/>
  <c r="L455" i="1" s="1"/>
  <c r="L454" i="1" a="1"/>
  <c r="L454" i="1" s="1"/>
  <c r="K454" i="1"/>
  <c r="K453" i="1"/>
  <c r="L453" i="1" s="1" a="1"/>
  <c r="L453" i="1" s="1"/>
  <c r="L452" i="1" a="1"/>
  <c r="L452" i="1" s="1"/>
  <c r="K452" i="1"/>
  <c r="K451" i="1"/>
  <c r="L451" i="1" s="1" a="1"/>
  <c r="L451" i="1" s="1"/>
  <c r="L450" i="1"/>
  <c r="L450" i="1" a="1"/>
  <c r="K450" i="1"/>
  <c r="K449" i="1"/>
  <c r="L449" i="1" s="1" a="1"/>
  <c r="L449" i="1" s="1"/>
  <c r="L448" i="1" a="1"/>
  <c r="L448" i="1" s="1"/>
  <c r="K448" i="1"/>
  <c r="K447" i="1"/>
  <c r="L447" i="1" s="1" a="1"/>
  <c r="L447" i="1" s="1"/>
  <c r="L446" i="1" a="1"/>
  <c r="L446" i="1" s="1"/>
  <c r="K446" i="1"/>
  <c r="L445" i="1"/>
  <c r="K445" i="1"/>
  <c r="L445" i="1" s="1" a="1"/>
  <c r="L444" i="1" a="1"/>
  <c r="L444" i="1" s="1"/>
  <c r="K444" i="1"/>
  <c r="L443" i="1"/>
  <c r="K443" i="1"/>
  <c r="L443" i="1" s="1" a="1"/>
  <c r="L442" i="1" a="1"/>
  <c r="L442" i="1" s="1"/>
  <c r="K442" i="1"/>
  <c r="K441" i="1"/>
  <c r="L441" i="1" s="1" a="1"/>
  <c r="L441" i="1" s="1"/>
  <c r="L440" i="1" a="1"/>
  <c r="L440" i="1" s="1"/>
  <c r="K440" i="1"/>
  <c r="K439" i="1"/>
  <c r="L439" i="1" s="1" a="1"/>
  <c r="L439" i="1" s="1"/>
  <c r="L438" i="1" a="1"/>
  <c r="L438" i="1" s="1"/>
  <c r="K438" i="1"/>
  <c r="K437" i="1"/>
  <c r="L437" i="1" s="1" a="1"/>
  <c r="L437" i="1" s="1"/>
  <c r="L436" i="1" a="1"/>
  <c r="L436" i="1" s="1"/>
  <c r="K436" i="1"/>
  <c r="K435" i="1"/>
  <c r="L435" i="1" s="1" a="1"/>
  <c r="L435" i="1" s="1"/>
  <c r="L434" i="1"/>
  <c r="L434" i="1" a="1"/>
  <c r="K434" i="1"/>
  <c r="K433" i="1"/>
  <c r="L433" i="1" s="1" a="1"/>
  <c r="L433" i="1" s="1"/>
  <c r="L432" i="1" a="1"/>
  <c r="L432" i="1" s="1"/>
  <c r="K432" i="1"/>
  <c r="K431" i="1"/>
  <c r="L431" i="1" s="1" a="1"/>
  <c r="L431" i="1" s="1"/>
  <c r="L430" i="1" a="1"/>
  <c r="L430" i="1" s="1"/>
  <c r="K430" i="1"/>
  <c r="L429" i="1"/>
  <c r="K429" i="1"/>
  <c r="L429" i="1" s="1" a="1"/>
  <c r="L428" i="1" a="1"/>
  <c r="L428" i="1" s="1"/>
  <c r="K428" i="1"/>
  <c r="L427" i="1"/>
  <c r="K427" i="1"/>
  <c r="L427" i="1" s="1" a="1"/>
  <c r="L426" i="1" a="1"/>
  <c r="L426" i="1" s="1"/>
  <c r="K426" i="1"/>
  <c r="K425" i="1"/>
  <c r="L425" i="1" s="1" a="1"/>
  <c r="L425" i="1" s="1"/>
  <c r="L424" i="1" a="1"/>
  <c r="L424" i="1" s="1"/>
  <c r="K424" i="1"/>
  <c r="K423" i="1"/>
  <c r="L423" i="1" s="1" a="1"/>
  <c r="L423" i="1" s="1"/>
  <c r="L422" i="1" a="1"/>
  <c r="L422" i="1" s="1"/>
  <c r="K422" i="1"/>
  <c r="K421" i="1"/>
  <c r="L421" i="1" s="1" a="1"/>
  <c r="L421" i="1" s="1"/>
  <c r="L420" i="1" a="1"/>
  <c r="L420" i="1" s="1"/>
  <c r="K420" i="1"/>
  <c r="K419" i="1"/>
  <c r="L419" i="1" s="1" a="1"/>
  <c r="L419" i="1" s="1"/>
  <c r="L418" i="1"/>
  <c r="L418" i="1" a="1"/>
  <c r="K418" i="1"/>
  <c r="K417" i="1"/>
  <c r="L417" i="1" s="1" a="1"/>
  <c r="L417" i="1" s="1"/>
  <c r="L416" i="1" a="1"/>
  <c r="L416" i="1" s="1"/>
  <c r="K416" i="1"/>
  <c r="K415" i="1"/>
  <c r="L415" i="1" s="1" a="1"/>
  <c r="L415" i="1" s="1"/>
  <c r="L414" i="1" a="1"/>
  <c r="L414" i="1" s="1"/>
  <c r="K414" i="1"/>
  <c r="L413" i="1"/>
  <c r="K413" i="1"/>
  <c r="L413" i="1" s="1" a="1"/>
  <c r="L412" i="1" a="1"/>
  <c r="L412" i="1" s="1"/>
  <c r="K412" i="1"/>
  <c r="L411" i="1"/>
  <c r="K411" i="1"/>
  <c r="L411" i="1" s="1" a="1"/>
  <c r="L410" i="1" a="1"/>
  <c r="L410" i="1" s="1"/>
  <c r="K410" i="1"/>
  <c r="K409" i="1"/>
  <c r="L409" i="1" s="1" a="1"/>
  <c r="L409" i="1" s="1"/>
  <c r="L408" i="1" a="1"/>
  <c r="L408" i="1" s="1"/>
  <c r="K408" i="1"/>
  <c r="K407" i="1"/>
  <c r="L407" i="1" s="1" a="1"/>
  <c r="L407" i="1" s="1"/>
  <c r="L406" i="1" a="1"/>
  <c r="L406" i="1" s="1"/>
  <c r="K406" i="1"/>
  <c r="K405" i="1"/>
  <c r="L405" i="1" s="1" a="1"/>
  <c r="L405" i="1" s="1"/>
  <c r="L404" i="1" a="1"/>
  <c r="L404" i="1" s="1"/>
  <c r="K404" i="1"/>
  <c r="K403" i="1"/>
  <c r="L403" i="1" s="1" a="1"/>
  <c r="L403" i="1" s="1"/>
  <c r="L402" i="1"/>
  <c r="L402" i="1" a="1"/>
  <c r="K402" i="1"/>
  <c r="K401" i="1"/>
  <c r="L401" i="1" s="1" a="1"/>
  <c r="L401" i="1" s="1"/>
  <c r="L400" i="1" a="1"/>
  <c r="L400" i="1" s="1"/>
  <c r="K400" i="1"/>
  <c r="K399" i="1"/>
  <c r="L399" i="1" s="1" a="1"/>
  <c r="L399" i="1" s="1"/>
  <c r="L398" i="1" a="1"/>
  <c r="L398" i="1" s="1"/>
  <c r="K398" i="1"/>
  <c r="L397" i="1"/>
  <c r="K397" i="1"/>
  <c r="L397" i="1" s="1" a="1"/>
  <c r="L396" i="1" a="1"/>
  <c r="L396" i="1" s="1"/>
  <c r="K396" i="1"/>
  <c r="L395" i="1"/>
  <c r="K395" i="1"/>
  <c r="L395" i="1" s="1" a="1"/>
  <c r="L394" i="1" a="1"/>
  <c r="L394" i="1" s="1"/>
  <c r="K394" i="1"/>
  <c r="K393" i="1"/>
  <c r="L393" i="1" s="1" a="1"/>
  <c r="L393" i="1" s="1"/>
  <c r="L392" i="1" a="1"/>
  <c r="L392" i="1" s="1"/>
  <c r="K392" i="1"/>
  <c r="K391" i="1"/>
  <c r="L391" i="1" s="1" a="1"/>
  <c r="L391" i="1" s="1"/>
  <c r="L390" i="1" a="1"/>
  <c r="L390" i="1" s="1"/>
  <c r="K390" i="1"/>
  <c r="K389" i="1"/>
  <c r="L389" i="1" s="1" a="1"/>
  <c r="L389" i="1" s="1"/>
  <c r="L388" i="1" a="1"/>
  <c r="L388" i="1" s="1"/>
  <c r="K388" i="1"/>
  <c r="K387" i="1"/>
  <c r="L387" i="1" s="1" a="1"/>
  <c r="L387" i="1" s="1"/>
  <c r="L386" i="1"/>
  <c r="L386" i="1" a="1"/>
  <c r="K386" i="1"/>
  <c r="K385" i="1"/>
  <c r="L385" i="1" s="1" a="1"/>
  <c r="L385" i="1" s="1"/>
  <c r="L384" i="1" a="1"/>
  <c r="L384" i="1" s="1"/>
  <c r="K384" i="1"/>
  <c r="K383" i="1"/>
  <c r="L383" i="1" s="1" a="1"/>
  <c r="L383" i="1" s="1"/>
  <c r="L382" i="1" a="1"/>
  <c r="L382" i="1" s="1"/>
  <c r="K382" i="1"/>
  <c r="L381" i="1"/>
  <c r="K381" i="1"/>
  <c r="L381" i="1" s="1" a="1"/>
  <c r="L380" i="1" a="1"/>
  <c r="L380" i="1" s="1"/>
  <c r="K380" i="1"/>
  <c r="L379" i="1"/>
  <c r="K379" i="1"/>
  <c r="L379" i="1" s="1" a="1"/>
  <c r="L378" i="1" a="1"/>
  <c r="L378" i="1" s="1"/>
  <c r="K378" i="1"/>
  <c r="K377" i="1"/>
  <c r="L377" i="1" s="1" a="1"/>
  <c r="L377" i="1" s="1"/>
  <c r="L376" i="1" a="1"/>
  <c r="L376" i="1" s="1"/>
  <c r="K376" i="1"/>
  <c r="K375" i="1"/>
  <c r="L375" i="1" s="1" a="1"/>
  <c r="L375" i="1" s="1"/>
  <c r="L374" i="1" a="1"/>
  <c r="L374" i="1" s="1"/>
  <c r="K374" i="1"/>
  <c r="K373" i="1"/>
  <c r="L373" i="1" s="1" a="1"/>
  <c r="L373" i="1" s="1"/>
  <c r="L372" i="1" a="1"/>
  <c r="L372" i="1" s="1"/>
  <c r="K372" i="1"/>
  <c r="K371" i="1"/>
  <c r="L371" i="1" s="1" a="1"/>
  <c r="L371" i="1" s="1"/>
  <c r="L370" i="1"/>
  <c r="L370" i="1" a="1"/>
  <c r="K370" i="1"/>
  <c r="K369" i="1"/>
  <c r="L369" i="1" s="1" a="1"/>
  <c r="L369" i="1" s="1"/>
  <c r="L368" i="1" a="1"/>
  <c r="L368" i="1" s="1"/>
  <c r="K368" i="1"/>
  <c r="K367" i="1"/>
  <c r="L367" i="1" s="1" a="1"/>
  <c r="L367" i="1" s="1"/>
  <c r="L366" i="1" a="1"/>
  <c r="L366" i="1" s="1"/>
  <c r="K366" i="1"/>
  <c r="L365" i="1"/>
  <c r="K365" i="1"/>
  <c r="L365" i="1" s="1" a="1"/>
  <c r="L364" i="1" a="1"/>
  <c r="L364" i="1" s="1"/>
  <c r="K364" i="1"/>
  <c r="L363" i="1"/>
  <c r="K363" i="1"/>
  <c r="L363" i="1" s="1" a="1"/>
  <c r="L362" i="1" a="1"/>
  <c r="L362" i="1" s="1"/>
  <c r="K362" i="1"/>
  <c r="K361" i="1"/>
  <c r="L361" i="1" s="1" a="1"/>
  <c r="L361" i="1" s="1"/>
  <c r="L360" i="1" a="1"/>
  <c r="L360" i="1" s="1"/>
  <c r="K360" i="1"/>
  <c r="K359" i="1"/>
  <c r="L359" i="1" s="1" a="1"/>
  <c r="L359" i="1" s="1"/>
  <c r="L358" i="1" a="1"/>
  <c r="L358" i="1" s="1"/>
  <c r="K358" i="1"/>
  <c r="K357" i="1"/>
  <c r="L357" i="1" s="1" a="1"/>
  <c r="L357" i="1" s="1"/>
  <c r="L356" i="1" a="1"/>
  <c r="L356" i="1" s="1"/>
  <c r="K356" i="1"/>
  <c r="K355" i="1"/>
  <c r="L355" i="1" s="1" a="1"/>
  <c r="L355" i="1" s="1"/>
  <c r="L354" i="1"/>
  <c r="L354" i="1" a="1"/>
  <c r="K354" i="1"/>
  <c r="K353" i="1"/>
  <c r="L353" i="1" s="1" a="1"/>
  <c r="L353" i="1" s="1"/>
  <c r="L352" i="1" a="1"/>
  <c r="L352" i="1" s="1"/>
  <c r="K352" i="1"/>
  <c r="K351" i="1"/>
  <c r="L351" i="1" s="1" a="1"/>
  <c r="L351" i="1" s="1"/>
  <c r="L350" i="1" a="1"/>
  <c r="L350" i="1" s="1"/>
  <c r="K350" i="1"/>
  <c r="L349" i="1"/>
  <c r="K349" i="1"/>
  <c r="L349" i="1" s="1" a="1"/>
  <c r="L348" i="1" a="1"/>
  <c r="L348" i="1" s="1"/>
  <c r="K348" i="1"/>
  <c r="L347" i="1"/>
  <c r="K347" i="1"/>
  <c r="L347" i="1" s="1" a="1"/>
  <c r="L346" i="1" a="1"/>
  <c r="L346" i="1" s="1"/>
  <c r="K346" i="1"/>
  <c r="K345" i="1"/>
  <c r="L345" i="1" s="1" a="1"/>
  <c r="L345" i="1" s="1"/>
  <c r="L344" i="1" a="1"/>
  <c r="L344" i="1" s="1"/>
  <c r="K344" i="1"/>
  <c r="K343" i="1"/>
  <c r="L343" i="1" s="1" a="1"/>
  <c r="L343" i="1" s="1"/>
  <c r="L342" i="1" a="1"/>
  <c r="L342" i="1" s="1"/>
  <c r="K342" i="1"/>
  <c r="K341" i="1"/>
  <c r="L341" i="1" s="1" a="1"/>
  <c r="L341" i="1" s="1"/>
  <c r="L340" i="1" a="1"/>
  <c r="L340" i="1" s="1"/>
  <c r="K340" i="1"/>
  <c r="K339" i="1"/>
  <c r="L339" i="1" s="1" a="1"/>
  <c r="L339" i="1" s="1"/>
  <c r="L338" i="1"/>
  <c r="L338" i="1" a="1"/>
  <c r="K338" i="1"/>
  <c r="K337" i="1"/>
  <c r="L337" i="1" s="1" a="1"/>
  <c r="L337" i="1" s="1"/>
  <c r="L336" i="1" a="1"/>
  <c r="L336" i="1" s="1"/>
  <c r="K336" i="1"/>
  <c r="K335" i="1"/>
  <c r="L335" i="1" s="1" a="1"/>
  <c r="L335" i="1" s="1"/>
  <c r="L334" i="1" a="1"/>
  <c r="L334" i="1" s="1"/>
  <c r="K334" i="1"/>
  <c r="L333" i="1"/>
  <c r="K333" i="1"/>
  <c r="L333" i="1" s="1" a="1"/>
  <c r="L332" i="1" a="1"/>
  <c r="L332" i="1" s="1"/>
  <c r="K332" i="1"/>
  <c r="L331" i="1"/>
  <c r="K331" i="1"/>
  <c r="L331" i="1" s="1" a="1"/>
  <c r="L330" i="1" a="1"/>
  <c r="L330" i="1" s="1"/>
  <c r="K330" i="1"/>
  <c r="K329" i="1"/>
  <c r="L329" i="1" s="1" a="1"/>
  <c r="L329" i="1" s="1"/>
  <c r="L328" i="1" a="1"/>
  <c r="L328" i="1" s="1"/>
  <c r="K328" i="1"/>
  <c r="K327" i="1"/>
  <c r="L327" i="1" s="1" a="1"/>
  <c r="L327" i="1" s="1"/>
  <c r="L326" i="1" a="1"/>
  <c r="L326" i="1" s="1"/>
  <c r="K326" i="1"/>
  <c r="K325" i="1"/>
  <c r="L325" i="1" s="1" a="1"/>
  <c r="L325" i="1" s="1"/>
  <c r="L324" i="1" a="1"/>
  <c r="L324" i="1" s="1"/>
  <c r="K324" i="1"/>
  <c r="K323" i="1"/>
  <c r="L323" i="1" s="1" a="1"/>
  <c r="L323" i="1" s="1"/>
  <c r="L322" i="1"/>
  <c r="L322" i="1" a="1"/>
  <c r="K322" i="1"/>
  <c r="K321" i="1"/>
  <c r="L321" i="1" s="1" a="1"/>
  <c r="L321" i="1" s="1"/>
  <c r="L320" i="1" a="1"/>
  <c r="L320" i="1" s="1"/>
  <c r="K320" i="1"/>
  <c r="K319" i="1"/>
  <c r="L319" i="1" s="1" a="1"/>
  <c r="L319" i="1" s="1"/>
  <c r="L318" i="1" a="1"/>
  <c r="L318" i="1" s="1"/>
  <c r="K318" i="1"/>
  <c r="L317" i="1"/>
  <c r="K317" i="1"/>
  <c r="L317" i="1" s="1" a="1"/>
  <c r="L316" i="1" a="1"/>
  <c r="L316" i="1" s="1"/>
  <c r="K316" i="1"/>
  <c r="L315" i="1"/>
  <c r="K315" i="1"/>
  <c r="L315" i="1" s="1" a="1"/>
  <c r="L314" i="1" a="1"/>
  <c r="L314" i="1" s="1"/>
  <c r="K314" i="1"/>
  <c r="K313" i="1"/>
  <c r="L313" i="1" s="1" a="1"/>
  <c r="L313" i="1" s="1"/>
  <c r="L312" i="1" a="1"/>
  <c r="L312" i="1" s="1"/>
  <c r="K312" i="1"/>
  <c r="K311" i="1"/>
  <c r="L311" i="1" s="1" a="1"/>
  <c r="L311" i="1" s="1"/>
  <c r="L310" i="1" a="1"/>
  <c r="L310" i="1" s="1"/>
  <c r="K310" i="1"/>
  <c r="K309" i="1"/>
  <c r="L309" i="1" s="1" a="1"/>
  <c r="L309" i="1" s="1"/>
  <c r="L308" i="1" a="1"/>
  <c r="L308" i="1" s="1"/>
  <c r="K308" i="1"/>
  <c r="K307" i="1"/>
  <c r="L307" i="1" s="1" a="1"/>
  <c r="L307" i="1" s="1"/>
  <c r="L306" i="1"/>
  <c r="L306" i="1" a="1"/>
  <c r="K306" i="1"/>
  <c r="K305" i="1"/>
  <c r="L305" i="1" s="1" a="1"/>
  <c r="L305" i="1" s="1"/>
  <c r="L304" i="1" a="1"/>
  <c r="L304" i="1" s="1"/>
  <c r="K304" i="1"/>
  <c r="K303" i="1"/>
  <c r="L303" i="1" s="1" a="1"/>
  <c r="L303" i="1" s="1"/>
  <c r="L302" i="1" a="1"/>
  <c r="L302" i="1" s="1"/>
  <c r="K302" i="1"/>
  <c r="K301" i="1"/>
  <c r="L301" i="1" s="1" a="1"/>
  <c r="L301" i="1" s="1"/>
  <c r="L300" i="1" a="1"/>
  <c r="L300" i="1" s="1"/>
  <c r="K300" i="1"/>
  <c r="L299" i="1"/>
  <c r="K299" i="1"/>
  <c r="L299" i="1" s="1" a="1"/>
  <c r="L298" i="1" a="1"/>
  <c r="L298" i="1" s="1"/>
  <c r="K298" i="1"/>
  <c r="K297" i="1"/>
  <c r="L297" i="1" s="1" a="1"/>
  <c r="L297" i="1" s="1"/>
  <c r="L296" i="1" a="1"/>
  <c r="L296" i="1" s="1"/>
  <c r="K296" i="1"/>
  <c r="L295" i="1" a="1"/>
  <c r="L295" i="1" s="1"/>
  <c r="K295" i="1"/>
  <c r="L294" i="1" a="1"/>
  <c r="L294" i="1" s="1"/>
  <c r="K294" i="1"/>
  <c r="K293" i="1"/>
  <c r="L293" i="1" s="1" a="1"/>
  <c r="L293" i="1" s="1"/>
  <c r="L292" i="1" a="1"/>
  <c r="L292" i="1" s="1"/>
  <c r="K292" i="1"/>
  <c r="K291" i="1"/>
  <c r="L291" i="1" s="1" a="1"/>
  <c r="L291" i="1" s="1"/>
  <c r="K290" i="1"/>
  <c r="L290" i="1" s="1" a="1"/>
  <c r="L290" i="1" s="1"/>
  <c r="K289" i="1"/>
  <c r="L289" i="1" s="1" a="1"/>
  <c r="L289" i="1" s="1"/>
  <c r="K288" i="1"/>
  <c r="L288" i="1" s="1" a="1"/>
  <c r="L288" i="1" s="1"/>
  <c r="L287" i="1" a="1"/>
  <c r="L287" i="1" s="1"/>
  <c r="K287" i="1"/>
  <c r="L286" i="1"/>
  <c r="L286" i="1" a="1"/>
  <c r="K286" i="1"/>
  <c r="L285" i="1" a="1"/>
  <c r="L285" i="1" s="1"/>
  <c r="K285" i="1"/>
  <c r="K284" i="1"/>
  <c r="L284" i="1" s="1" a="1"/>
  <c r="L284" i="1" s="1"/>
  <c r="L283" i="1" a="1"/>
  <c r="L283" i="1" s="1"/>
  <c r="K283" i="1"/>
  <c r="L282" i="1"/>
  <c r="L282" i="1" a="1"/>
  <c r="K282" i="1"/>
  <c r="L281" i="1" a="1"/>
  <c r="L281" i="1" s="1"/>
  <c r="K281" i="1"/>
  <c r="K280" i="1"/>
  <c r="L280" i="1" s="1" a="1"/>
  <c r="L280" i="1" s="1"/>
  <c r="L279" i="1" a="1"/>
  <c r="L279" i="1" s="1"/>
  <c r="K279" i="1"/>
  <c r="L278" i="1"/>
  <c r="L278" i="1" a="1"/>
  <c r="K278" i="1"/>
  <c r="L277" i="1" a="1"/>
  <c r="L277" i="1" s="1"/>
  <c r="K277" i="1"/>
  <c r="K276" i="1"/>
  <c r="L276" i="1" s="1" a="1"/>
  <c r="L276" i="1" s="1"/>
  <c r="L275" i="1" a="1"/>
  <c r="L275" i="1" s="1"/>
  <c r="K275" i="1"/>
  <c r="L274" i="1"/>
  <c r="L274" i="1" a="1"/>
  <c r="K274" i="1"/>
  <c r="L273" i="1" a="1"/>
  <c r="L273" i="1" s="1"/>
  <c r="K273" i="1"/>
  <c r="K272" i="1"/>
  <c r="L272" i="1" s="1" a="1"/>
  <c r="L272" i="1" s="1"/>
  <c r="L271" i="1" a="1"/>
  <c r="L271" i="1" s="1"/>
  <c r="K271" i="1"/>
  <c r="L270" i="1"/>
  <c r="L270" i="1" a="1"/>
  <c r="K270" i="1"/>
  <c r="L269" i="1" a="1"/>
  <c r="L269" i="1" s="1"/>
  <c r="K269" i="1"/>
  <c r="K268" i="1"/>
  <c r="L268" i="1" s="1" a="1"/>
  <c r="L268" i="1" s="1"/>
  <c r="L267" i="1" a="1"/>
  <c r="L267" i="1" s="1"/>
  <c r="K267" i="1"/>
  <c r="L266" i="1"/>
  <c r="L266" i="1" a="1"/>
  <c r="K266" i="1"/>
  <c r="L265" i="1" a="1"/>
  <c r="L265" i="1" s="1"/>
  <c r="K265" i="1"/>
  <c r="K264" i="1"/>
  <c r="L264" i="1" s="1" a="1"/>
  <c r="L264" i="1" s="1"/>
  <c r="L263" i="1" a="1"/>
  <c r="L263" i="1" s="1"/>
  <c r="K263" i="1"/>
  <c r="L262" i="1"/>
  <c r="L262" i="1" a="1"/>
  <c r="K262" i="1"/>
  <c r="L261" i="1" a="1"/>
  <c r="L261" i="1" s="1"/>
  <c r="K261" i="1"/>
  <c r="K260" i="1"/>
  <c r="L260" i="1" s="1" a="1"/>
  <c r="L260" i="1" s="1"/>
  <c r="L259" i="1" a="1"/>
  <c r="L259" i="1" s="1"/>
  <c r="K259" i="1"/>
  <c r="L258" i="1"/>
  <c r="L258" i="1" a="1"/>
  <c r="K258" i="1"/>
  <c r="L257" i="1" a="1"/>
  <c r="L257" i="1" s="1"/>
  <c r="K257" i="1"/>
  <c r="K256" i="1"/>
  <c r="L256" i="1" s="1" a="1"/>
  <c r="L256" i="1" s="1"/>
  <c r="L255" i="1" a="1"/>
  <c r="L255" i="1" s="1"/>
  <c r="K255" i="1"/>
  <c r="L254" i="1"/>
  <c r="L254" i="1" a="1"/>
  <c r="K254" i="1"/>
  <c r="L253" i="1" a="1"/>
  <c r="L253" i="1" s="1"/>
  <c r="K253" i="1"/>
  <c r="K252" i="1"/>
  <c r="L252" i="1" s="1" a="1"/>
  <c r="L252" i="1" s="1"/>
  <c r="L251" i="1" a="1"/>
  <c r="L251" i="1" s="1"/>
  <c r="K251" i="1"/>
  <c r="L250" i="1"/>
  <c r="L250" i="1" a="1"/>
  <c r="K250" i="1"/>
  <c r="L249" i="1" a="1"/>
  <c r="L249" i="1" s="1"/>
  <c r="K249" i="1"/>
  <c r="K248" i="1"/>
  <c r="L248" i="1" s="1" a="1"/>
  <c r="L248" i="1" s="1"/>
  <c r="L247" i="1" a="1"/>
  <c r="L247" i="1" s="1"/>
  <c r="K247" i="1"/>
  <c r="L246" i="1"/>
  <c r="L246" i="1" a="1"/>
  <c r="K246" i="1"/>
  <c r="L245" i="1" a="1"/>
  <c r="L245" i="1" s="1"/>
  <c r="K245" i="1"/>
  <c r="K244" i="1"/>
  <c r="L244" i="1" s="1" a="1"/>
  <c r="L244" i="1" s="1"/>
  <c r="L243" i="1" a="1"/>
  <c r="L243" i="1" s="1"/>
  <c r="K243" i="1"/>
  <c r="L242" i="1"/>
  <c r="L242" i="1" a="1"/>
  <c r="K242" i="1"/>
  <c r="L241" i="1" a="1"/>
  <c r="L241" i="1" s="1"/>
  <c r="K241" i="1"/>
  <c r="K240" i="1"/>
  <c r="L240" i="1" s="1" a="1"/>
  <c r="L240" i="1" s="1"/>
  <c r="L239" i="1" a="1"/>
  <c r="L239" i="1" s="1"/>
  <c r="K239" i="1"/>
  <c r="L238" i="1"/>
  <c r="L238" i="1" a="1"/>
  <c r="K238" i="1"/>
  <c r="L237" i="1" a="1"/>
  <c r="L237" i="1" s="1"/>
  <c r="K237" i="1"/>
  <c r="K236" i="1"/>
  <c r="L236" i="1" s="1" a="1"/>
  <c r="L236" i="1" s="1"/>
  <c r="L235" i="1" a="1"/>
  <c r="L235" i="1" s="1"/>
  <c r="K235" i="1"/>
  <c r="L234" i="1"/>
  <c r="L234" i="1" a="1"/>
  <c r="K234" i="1"/>
  <c r="L233" i="1" a="1"/>
  <c r="L233" i="1" s="1"/>
  <c r="K233" i="1"/>
  <c r="K232" i="1"/>
  <c r="L232" i="1" s="1" a="1"/>
  <c r="L232" i="1" s="1"/>
  <c r="L231" i="1" a="1"/>
  <c r="L231" i="1" s="1"/>
  <c r="K231" i="1"/>
  <c r="L230" i="1"/>
  <c r="L230" i="1" a="1"/>
  <c r="K230" i="1"/>
  <c r="L229" i="1" a="1"/>
  <c r="L229" i="1" s="1"/>
  <c r="K229" i="1"/>
  <c r="K228" i="1"/>
  <c r="L228" i="1" s="1" a="1"/>
  <c r="L228" i="1" s="1"/>
  <c r="L227" i="1" a="1"/>
  <c r="L227" i="1" s="1"/>
  <c r="K227" i="1"/>
  <c r="L226" i="1"/>
  <c r="L226" i="1" a="1"/>
  <c r="K226" i="1"/>
  <c r="L225" i="1" a="1"/>
  <c r="L225" i="1" s="1"/>
  <c r="K225" i="1"/>
  <c r="K224" i="1"/>
  <c r="L224" i="1" s="1" a="1"/>
  <c r="L224" i="1" s="1"/>
  <c r="L223" i="1" a="1"/>
  <c r="L223" i="1" s="1"/>
  <c r="K223" i="1"/>
  <c r="L222" i="1"/>
  <c r="L222" i="1" a="1"/>
  <c r="K222" i="1"/>
  <c r="L221" i="1" a="1"/>
  <c r="L221" i="1" s="1"/>
  <c r="K221" i="1"/>
  <c r="K220" i="1"/>
  <c r="L220" i="1" s="1" a="1"/>
  <c r="L220" i="1" s="1"/>
  <c r="L219" i="1" a="1"/>
  <c r="L219" i="1" s="1"/>
  <c r="K219" i="1"/>
  <c r="L218" i="1"/>
  <c r="L218" i="1" a="1"/>
  <c r="K218" i="1"/>
  <c r="L217" i="1" a="1"/>
  <c r="L217" i="1" s="1"/>
  <c r="K217" i="1"/>
  <c r="K216" i="1"/>
  <c r="L216" i="1" s="1" a="1"/>
  <c r="L216" i="1" s="1"/>
  <c r="L215" i="1" a="1"/>
  <c r="L215" i="1" s="1"/>
  <c r="K215" i="1"/>
  <c r="L214" i="1"/>
  <c r="L214" i="1" a="1"/>
  <c r="K214" i="1"/>
  <c r="L213" i="1" a="1"/>
  <c r="L213" i="1" s="1"/>
  <c r="K213" i="1"/>
  <c r="K212" i="1"/>
  <c r="L212" i="1" s="1" a="1"/>
  <c r="L212" i="1" s="1"/>
  <c r="L211" i="1" a="1"/>
  <c r="L211" i="1" s="1"/>
  <c r="K211" i="1"/>
  <c r="L210" i="1"/>
  <c r="L210" i="1" a="1"/>
  <c r="K210" i="1"/>
  <c r="L209" i="1" a="1"/>
  <c r="L209" i="1" s="1"/>
  <c r="K209" i="1"/>
  <c r="K208" i="1"/>
  <c r="L208" i="1" s="1" a="1"/>
  <c r="L208" i="1" s="1"/>
  <c r="L207" i="1" a="1"/>
  <c r="L207" i="1" s="1"/>
  <c r="K207" i="1"/>
  <c r="L206" i="1"/>
  <c r="L206" i="1" a="1"/>
  <c r="K206" i="1"/>
  <c r="L205" i="1" a="1"/>
  <c r="L205" i="1" s="1"/>
  <c r="K205" i="1"/>
  <c r="K204" i="1"/>
  <c r="L204" i="1" s="1" a="1"/>
  <c r="L204" i="1" s="1"/>
  <c r="L203" i="1" a="1"/>
  <c r="L203" i="1" s="1"/>
  <c r="K203" i="1"/>
  <c r="L202" i="1"/>
  <c r="L202" i="1" a="1"/>
  <c r="K202" i="1"/>
  <c r="L201" i="1" a="1"/>
  <c r="L201" i="1" s="1"/>
  <c r="K201" i="1"/>
  <c r="K200" i="1"/>
  <c r="L200" i="1" s="1" a="1"/>
  <c r="L200" i="1" s="1"/>
  <c r="L199" i="1" a="1"/>
  <c r="L199" i="1" s="1"/>
  <c r="K199" i="1"/>
  <c r="L198" i="1"/>
  <c r="L198" i="1" a="1"/>
  <c r="K198" i="1"/>
  <c r="L197" i="1" a="1"/>
  <c r="L197" i="1" s="1"/>
  <c r="K197" i="1"/>
  <c r="K196" i="1"/>
  <c r="L196" i="1" s="1" a="1"/>
  <c r="L196" i="1" s="1"/>
  <c r="L195" i="1" a="1"/>
  <c r="L195" i="1" s="1"/>
  <c r="K195" i="1"/>
  <c r="L194" i="1"/>
  <c r="L194" i="1" a="1"/>
  <c r="K194" i="1"/>
  <c r="L193" i="1" a="1"/>
  <c r="L193" i="1" s="1"/>
  <c r="K193" i="1"/>
  <c r="K192" i="1"/>
  <c r="L192" i="1" s="1" a="1"/>
  <c r="L192" i="1" s="1"/>
  <c r="L191" i="1" a="1"/>
  <c r="L191" i="1" s="1"/>
  <c r="K191" i="1"/>
  <c r="L190" i="1"/>
  <c r="L190" i="1" a="1"/>
  <c r="K190" i="1"/>
  <c r="L189" i="1" a="1"/>
  <c r="L189" i="1" s="1"/>
  <c r="K189" i="1"/>
  <c r="K188" i="1"/>
  <c r="L188" i="1" s="1" a="1"/>
  <c r="L188" i="1" s="1"/>
  <c r="L187" i="1" a="1"/>
  <c r="L187" i="1" s="1"/>
  <c r="K187" i="1"/>
  <c r="L186" i="1"/>
  <c r="L186" i="1" a="1"/>
  <c r="K186" i="1"/>
  <c r="L185" i="1" a="1"/>
  <c r="L185" i="1" s="1"/>
  <c r="K185" i="1"/>
  <c r="K184" i="1"/>
  <c r="L184" i="1" s="1" a="1"/>
  <c r="L184" i="1" s="1"/>
  <c r="L183" i="1" a="1"/>
  <c r="L183" i="1" s="1"/>
  <c r="K183" i="1"/>
  <c r="L182" i="1"/>
  <c r="L182" i="1" a="1"/>
  <c r="K182" i="1"/>
  <c r="L181" i="1" a="1"/>
  <c r="L181" i="1" s="1"/>
  <c r="K181" i="1"/>
  <c r="K180" i="1"/>
  <c r="L180" i="1" s="1" a="1"/>
  <c r="L180" i="1" s="1"/>
  <c r="L179" i="1" a="1"/>
  <c r="L179" i="1" s="1"/>
  <c r="K179" i="1"/>
  <c r="L178" i="1"/>
  <c r="L178" i="1" a="1"/>
  <c r="K178" i="1"/>
  <c r="L177" i="1" a="1"/>
  <c r="L177" i="1" s="1"/>
  <c r="K177" i="1"/>
  <c r="K176" i="1"/>
  <c r="L176" i="1" s="1" a="1"/>
  <c r="L176" i="1" s="1"/>
  <c r="L175" i="1" a="1"/>
  <c r="L175" i="1" s="1"/>
  <c r="K175" i="1"/>
  <c r="L174" i="1"/>
  <c r="L174" i="1" a="1"/>
  <c r="K174" i="1"/>
  <c r="L173" i="1" a="1"/>
  <c r="L173" i="1" s="1"/>
  <c r="K173" i="1"/>
  <c r="K172" i="1"/>
  <c r="L172" i="1" s="1" a="1"/>
  <c r="L172" i="1" s="1"/>
  <c r="L171" i="1" a="1"/>
  <c r="L171" i="1" s="1"/>
  <c r="K171" i="1"/>
  <c r="L170" i="1"/>
  <c r="L170" i="1" a="1"/>
  <c r="K170" i="1"/>
  <c r="L169" i="1" a="1"/>
  <c r="L169" i="1" s="1"/>
  <c r="K169" i="1"/>
  <c r="K168" i="1"/>
  <c r="L168" i="1" s="1" a="1"/>
  <c r="L168" i="1" s="1"/>
  <c r="L167" i="1" a="1"/>
  <c r="L167" i="1" s="1"/>
  <c r="K167" i="1"/>
  <c r="L166" i="1"/>
  <c r="L166" i="1" a="1"/>
  <c r="K166" i="1"/>
  <c r="L165" i="1" a="1"/>
  <c r="L165" i="1" s="1"/>
  <c r="K165" i="1"/>
  <c r="K164" i="1"/>
  <c r="L164" i="1" s="1" a="1"/>
  <c r="L164" i="1" s="1"/>
  <c r="L163" i="1" a="1"/>
  <c r="L163" i="1" s="1"/>
  <c r="K163" i="1"/>
  <c r="L162" i="1"/>
  <c r="L162" i="1" a="1"/>
  <c r="K162" i="1"/>
  <c r="L161" i="1" a="1"/>
  <c r="L161" i="1" s="1"/>
  <c r="K161" i="1"/>
  <c r="K160" i="1"/>
  <c r="L160" i="1" s="1" a="1"/>
  <c r="L160" i="1" s="1"/>
  <c r="L159" i="1" a="1"/>
  <c r="L159" i="1" s="1"/>
  <c r="K159" i="1"/>
  <c r="L158" i="1"/>
  <c r="L158" i="1" a="1"/>
  <c r="K158" i="1"/>
  <c r="L157" i="1" a="1"/>
  <c r="L157" i="1" s="1"/>
  <c r="K157" i="1"/>
  <c r="K156" i="1"/>
  <c r="L156" i="1" s="1" a="1"/>
  <c r="L156" i="1" s="1"/>
  <c r="L155" i="1" a="1"/>
  <c r="L155" i="1" s="1"/>
  <c r="K155" i="1"/>
  <c r="L154" i="1"/>
  <c r="L154" i="1" a="1"/>
  <c r="K154" i="1"/>
  <c r="L153" i="1" a="1"/>
  <c r="L153" i="1" s="1"/>
  <c r="K153" i="1"/>
  <c r="K152" i="1"/>
  <c r="L152" i="1" s="1" a="1"/>
  <c r="L152" i="1" s="1"/>
  <c r="L151" i="1" a="1"/>
  <c r="L151" i="1" s="1"/>
  <c r="K151" i="1"/>
  <c r="L150" i="1" a="1"/>
  <c r="L150" i="1" s="1"/>
  <c r="K150" i="1"/>
  <c r="L149" i="1" a="1"/>
  <c r="L149" i="1" s="1"/>
  <c r="K149" i="1"/>
  <c r="K148" i="1"/>
  <c r="L148" i="1" s="1" a="1"/>
  <c r="L148" i="1" s="1"/>
  <c r="L147" i="1" a="1"/>
  <c r="L147" i="1" s="1"/>
  <c r="K147" i="1"/>
  <c r="L146" i="1" a="1"/>
  <c r="L146" i="1" s="1"/>
  <c r="K146" i="1"/>
  <c r="L145" i="1" a="1"/>
  <c r="L145" i="1" s="1"/>
  <c r="K145" i="1"/>
  <c r="K144" i="1"/>
  <c r="L144" i="1" s="1" a="1"/>
  <c r="L144" i="1" s="1"/>
  <c r="L143" i="1" a="1"/>
  <c r="L143" i="1" s="1"/>
  <c r="K143" i="1"/>
  <c r="L142" i="1" a="1"/>
  <c r="L142" i="1" s="1"/>
  <c r="K142" i="1"/>
  <c r="L141" i="1" a="1"/>
  <c r="L141" i="1" s="1"/>
  <c r="K141" i="1"/>
  <c r="K140" i="1"/>
  <c r="L140" i="1" s="1" a="1"/>
  <c r="L140" i="1" s="1"/>
  <c r="L139" i="1" a="1"/>
  <c r="L139" i="1" s="1"/>
  <c r="K139" i="1"/>
  <c r="L138" i="1" a="1"/>
  <c r="L138" i="1" s="1"/>
  <c r="K138" i="1"/>
  <c r="L137" i="1" a="1"/>
  <c r="L137" i="1" s="1"/>
  <c r="K137" i="1"/>
  <c r="K136" i="1"/>
  <c r="L136" i="1" s="1" a="1"/>
  <c r="L136" i="1" s="1"/>
  <c r="L135" i="1" a="1"/>
  <c r="L135" i="1" s="1"/>
  <c r="K135" i="1"/>
  <c r="L134" i="1" a="1"/>
  <c r="L134" i="1" s="1"/>
  <c r="K134" i="1"/>
  <c r="L133" i="1" a="1"/>
  <c r="L133" i="1" s="1"/>
  <c r="K133" i="1"/>
  <c r="K132" i="1"/>
  <c r="L132" i="1" s="1" a="1"/>
  <c r="L132" i="1" s="1"/>
  <c r="L131" i="1" a="1"/>
  <c r="L131" i="1" s="1"/>
  <c r="K131" i="1"/>
  <c r="L130" i="1" a="1"/>
  <c r="L130" i="1" s="1"/>
  <c r="K130" i="1"/>
  <c r="L129" i="1" a="1"/>
  <c r="L129" i="1" s="1"/>
  <c r="K129" i="1"/>
  <c r="K128" i="1"/>
  <c r="L128" i="1" s="1" a="1"/>
  <c r="L128" i="1" s="1"/>
  <c r="L127" i="1" a="1"/>
  <c r="L127" i="1" s="1"/>
  <c r="K127" i="1"/>
  <c r="L126" i="1" a="1"/>
  <c r="L126" i="1" s="1"/>
  <c r="K126" i="1"/>
  <c r="L125" i="1" a="1"/>
  <c r="L125" i="1" s="1"/>
  <c r="K125" i="1"/>
  <c r="K124" i="1"/>
  <c r="L124" i="1" s="1" a="1"/>
  <c r="L124" i="1" s="1"/>
  <c r="L123" i="1" a="1"/>
  <c r="L123" i="1" s="1"/>
  <c r="K123" i="1"/>
  <c r="L122" i="1" a="1"/>
  <c r="L122" i="1" s="1"/>
  <c r="K122" i="1"/>
  <c r="L121" i="1" a="1"/>
  <c r="L121" i="1" s="1"/>
  <c r="K121" i="1"/>
  <c r="K120" i="1"/>
  <c r="L120" i="1" s="1" a="1"/>
  <c r="L120" i="1" s="1"/>
  <c r="L119" i="1" a="1"/>
  <c r="L119" i="1" s="1"/>
  <c r="K119" i="1"/>
  <c r="L118" i="1" a="1"/>
  <c r="L118" i="1" s="1"/>
  <c r="K118" i="1"/>
  <c r="L117" i="1" a="1"/>
  <c r="L117" i="1" s="1"/>
  <c r="K117" i="1"/>
  <c r="K116" i="1"/>
  <c r="L116" i="1" s="1" a="1"/>
  <c r="L116" i="1" s="1"/>
  <c r="L115" i="1" a="1"/>
  <c r="L115" i="1" s="1"/>
  <c r="K115" i="1"/>
  <c r="L114" i="1" a="1"/>
  <c r="L114" i="1" s="1"/>
  <c r="K114" i="1"/>
  <c r="L113" i="1" a="1"/>
  <c r="L113" i="1" s="1"/>
  <c r="K113" i="1"/>
  <c r="K112" i="1"/>
  <c r="L112" i="1" s="1" a="1"/>
  <c r="L112" i="1" s="1"/>
  <c r="L111" i="1" a="1"/>
  <c r="L111" i="1" s="1"/>
  <c r="K111" i="1"/>
  <c r="L110" i="1" a="1"/>
  <c r="L110" i="1" s="1"/>
  <c r="K110" i="1"/>
  <c r="L109" i="1" a="1"/>
  <c r="L109" i="1" s="1"/>
  <c r="K109" i="1"/>
  <c r="K108" i="1"/>
  <c r="L108" i="1" s="1" a="1"/>
  <c r="L108" i="1" s="1"/>
  <c r="L107" i="1" a="1"/>
  <c r="L107" i="1" s="1"/>
  <c r="K107" i="1"/>
  <c r="L106" i="1" a="1"/>
  <c r="L106" i="1" s="1"/>
  <c r="K106" i="1"/>
  <c r="L105" i="1" a="1"/>
  <c r="L105" i="1" s="1"/>
  <c r="K105" i="1"/>
  <c r="K104" i="1"/>
  <c r="L104" i="1" s="1" a="1"/>
  <c r="L104" i="1" s="1"/>
  <c r="L103" i="1" a="1"/>
  <c r="L103" i="1" s="1"/>
  <c r="K103" i="1"/>
  <c r="L102" i="1" a="1"/>
  <c r="L102" i="1" s="1"/>
  <c r="K102" i="1"/>
  <c r="L101" i="1" a="1"/>
  <c r="L101" i="1" s="1"/>
  <c r="K101" i="1"/>
  <c r="K100" i="1"/>
  <c r="L100" i="1" s="1" a="1"/>
  <c r="L100" i="1" s="1"/>
  <c r="L99" i="1" a="1"/>
  <c r="L99" i="1" s="1"/>
  <c r="K99" i="1"/>
  <c r="L98" i="1" a="1"/>
  <c r="L98" i="1" s="1"/>
  <c r="K98" i="1"/>
  <c r="L97" i="1" a="1"/>
  <c r="L97" i="1" s="1"/>
  <c r="K97" i="1"/>
  <c r="K96" i="1"/>
  <c r="L96" i="1" s="1" a="1"/>
  <c r="L96" i="1" s="1"/>
  <c r="L95" i="1" a="1"/>
  <c r="L95" i="1" s="1"/>
  <c r="K95" i="1"/>
  <c r="L94" i="1" a="1"/>
  <c r="L94" i="1" s="1"/>
  <c r="K94" i="1"/>
  <c r="L93" i="1" a="1"/>
  <c r="L93" i="1" s="1"/>
  <c r="K93" i="1"/>
  <c r="K92" i="1"/>
  <c r="L92" i="1" s="1" a="1"/>
  <c r="L92" i="1" s="1"/>
  <c r="L91" i="1" a="1"/>
  <c r="L91" i="1" s="1"/>
  <c r="K91" i="1"/>
  <c r="L90" i="1" a="1"/>
  <c r="L90" i="1" s="1"/>
  <c r="K90" i="1"/>
  <c r="L89" i="1" a="1"/>
  <c r="L89" i="1" s="1"/>
  <c r="K89" i="1"/>
  <c r="K88" i="1"/>
  <c r="L88" i="1" s="1" a="1"/>
  <c r="L88" i="1" s="1"/>
  <c r="L87" i="1" a="1"/>
  <c r="L87" i="1" s="1"/>
  <c r="K87" i="1"/>
  <c r="L86" i="1" a="1"/>
  <c r="L86" i="1" s="1"/>
  <c r="K86" i="1"/>
  <c r="L85" i="1" a="1"/>
  <c r="L85" i="1" s="1"/>
  <c r="K85" i="1"/>
  <c r="K84" i="1"/>
  <c r="L84" i="1" s="1" a="1"/>
  <c r="L84" i="1" s="1"/>
  <c r="L83" i="1" a="1"/>
  <c r="L83" i="1" s="1"/>
  <c r="K83" i="1"/>
  <c r="L82" i="1" a="1"/>
  <c r="L82" i="1" s="1"/>
  <c r="K82" i="1"/>
  <c r="L81" i="1" a="1"/>
  <c r="L81" i="1" s="1"/>
  <c r="K81" i="1"/>
  <c r="K80" i="1"/>
  <c r="L80" i="1" s="1" a="1"/>
  <c r="L80" i="1" s="1"/>
  <c r="L79" i="1" a="1"/>
  <c r="L79" i="1" s="1"/>
  <c r="K79" i="1"/>
  <c r="L78" i="1" a="1"/>
  <c r="L78" i="1" s="1"/>
  <c r="K78" i="1"/>
  <c r="L77" i="1" a="1"/>
  <c r="L77" i="1" s="1"/>
  <c r="K77" i="1"/>
  <c r="K76" i="1"/>
  <c r="L76" i="1" s="1" a="1"/>
  <c r="L76" i="1" s="1"/>
  <c r="L75" i="1" a="1"/>
  <c r="L75" i="1" s="1"/>
  <c r="K75" i="1"/>
  <c r="L74" i="1" a="1"/>
  <c r="L74" i="1" s="1"/>
  <c r="K74" i="1"/>
  <c r="L73" i="1" a="1"/>
  <c r="L73" i="1" s="1"/>
  <c r="K73" i="1"/>
  <c r="K72" i="1"/>
  <c r="L72" i="1" s="1" a="1"/>
  <c r="L72" i="1" s="1"/>
  <c r="L71" i="1" a="1"/>
  <c r="L71" i="1" s="1"/>
  <c r="K71" i="1"/>
  <c r="L70" i="1" a="1"/>
  <c r="L70" i="1" s="1"/>
  <c r="K70" i="1"/>
  <c r="L69" i="1" a="1"/>
  <c r="L69" i="1" s="1"/>
  <c r="K69" i="1"/>
  <c r="K68" i="1"/>
  <c r="L68" i="1" s="1" a="1"/>
  <c r="L68" i="1" s="1"/>
  <c r="L67" i="1" a="1"/>
  <c r="L67" i="1" s="1"/>
  <c r="K67" i="1"/>
  <c r="L66" i="1" a="1"/>
  <c r="L66" i="1" s="1"/>
  <c r="K66" i="1"/>
  <c r="L65" i="1" a="1"/>
  <c r="L65" i="1" s="1"/>
  <c r="K65" i="1"/>
  <c r="K64" i="1"/>
  <c r="L64" i="1" s="1" a="1"/>
  <c r="L64" i="1" s="1"/>
  <c r="L63" i="1" a="1"/>
  <c r="L63" i="1" s="1"/>
  <c r="K63" i="1"/>
  <c r="L62" i="1" a="1"/>
  <c r="L62" i="1" s="1"/>
  <c r="K62" i="1"/>
  <c r="L61" i="1" a="1"/>
  <c r="L61" i="1" s="1"/>
  <c r="K61" i="1"/>
  <c r="K60" i="1"/>
  <c r="L60" i="1" s="1" a="1"/>
  <c r="L60" i="1" s="1"/>
  <c r="L59" i="1" a="1"/>
  <c r="L59" i="1" s="1"/>
  <c r="K59" i="1"/>
  <c r="L58" i="1" a="1"/>
  <c r="L58" i="1" s="1"/>
  <c r="K58" i="1"/>
  <c r="L57" i="1" a="1"/>
  <c r="L57" i="1" s="1"/>
  <c r="K57" i="1"/>
  <c r="K56" i="1"/>
  <c r="L56" i="1" s="1" a="1"/>
  <c r="L56" i="1" s="1"/>
  <c r="L55" i="1" a="1"/>
  <c r="L55" i="1" s="1"/>
  <c r="K55" i="1"/>
  <c r="L54" i="1" a="1"/>
  <c r="L54" i="1" s="1"/>
  <c r="K54" i="1"/>
  <c r="L53" i="1" a="1"/>
  <c r="L53" i="1" s="1"/>
  <c r="K53" i="1"/>
  <c r="K52" i="1"/>
  <c r="L52" i="1" s="1" a="1"/>
  <c r="L52" i="1" s="1"/>
  <c r="L51" i="1" a="1"/>
  <c r="L51" i="1" s="1"/>
  <c r="K51" i="1"/>
  <c r="L50" i="1" a="1"/>
  <c r="L50" i="1" s="1"/>
  <c r="K50" i="1"/>
  <c r="L49" i="1" a="1"/>
  <c r="L49" i="1" s="1"/>
  <c r="K49" i="1"/>
  <c r="K48" i="1"/>
  <c r="L48" i="1" s="1" a="1"/>
  <c r="L48" i="1" s="1"/>
  <c r="L47" i="1" a="1"/>
  <c r="L47" i="1" s="1"/>
  <c r="K47" i="1"/>
  <c r="L46" i="1" a="1"/>
  <c r="L46" i="1" s="1"/>
  <c r="K46" i="1"/>
  <c r="L45" i="1" a="1"/>
  <c r="L45" i="1" s="1"/>
  <c r="K45" i="1"/>
  <c r="K44" i="1"/>
  <c r="L44" i="1" s="1" a="1"/>
  <c r="L44" i="1" s="1"/>
  <c r="L43" i="1" a="1"/>
  <c r="L43" i="1" s="1"/>
  <c r="K43" i="1"/>
  <c r="L42" i="1" a="1"/>
  <c r="L42" i="1" s="1"/>
  <c r="K42" i="1"/>
  <c r="L41" i="1" a="1"/>
  <c r="L41" i="1" s="1"/>
  <c r="K41" i="1"/>
  <c r="K40" i="1"/>
  <c r="L40" i="1" s="1" a="1"/>
  <c r="L40" i="1" s="1"/>
  <c r="L39" i="1" a="1"/>
  <c r="L39" i="1" s="1"/>
  <c r="K39" i="1"/>
  <c r="L38" i="1" a="1"/>
  <c r="L38" i="1" s="1"/>
  <c r="K38" i="1"/>
  <c r="L37" i="1" a="1"/>
  <c r="L37" i="1" s="1"/>
  <c r="K37" i="1"/>
  <c r="K36" i="1"/>
  <c r="L36" i="1" s="1" a="1"/>
  <c r="L36" i="1" s="1"/>
  <c r="L35" i="1" a="1"/>
  <c r="L35" i="1" s="1"/>
  <c r="K35" i="1"/>
  <c r="L34" i="1" a="1"/>
  <c r="L34" i="1" s="1"/>
  <c r="K34" i="1"/>
  <c r="L33" i="1" a="1"/>
  <c r="L33" i="1" s="1"/>
  <c r="K33" i="1"/>
  <c r="K32" i="1"/>
  <c r="L32" i="1" s="1" a="1"/>
  <c r="L32" i="1" s="1"/>
  <c r="L31" i="1" a="1"/>
  <c r="L31" i="1" s="1"/>
  <c r="K31" i="1"/>
  <c r="L30" i="1" a="1"/>
  <c r="L30" i="1" s="1"/>
  <c r="K30" i="1"/>
  <c r="L29" i="1" a="1"/>
  <c r="L29" i="1" s="1"/>
  <c r="K29" i="1"/>
  <c r="K28" i="1"/>
  <c r="L28" i="1" s="1" a="1"/>
  <c r="L28" i="1" s="1"/>
  <c r="L27" i="1" a="1"/>
  <c r="L27" i="1" s="1"/>
  <c r="K27" i="1"/>
  <c r="L26" i="1" a="1"/>
  <c r="L26" i="1" s="1"/>
  <c r="K26" i="1"/>
  <c r="L25" i="1" a="1"/>
  <c r="L25" i="1" s="1"/>
  <c r="K25" i="1"/>
  <c r="K24" i="1"/>
  <c r="L24" i="1" s="1" a="1"/>
  <c r="L24" i="1" s="1"/>
  <c r="L23" i="1" a="1"/>
  <c r="L23" i="1" s="1"/>
  <c r="K23" i="1"/>
  <c r="L22" i="1" a="1"/>
  <c r="L22" i="1" s="1"/>
  <c r="K22" i="1"/>
  <c r="L21" i="1" a="1"/>
  <c r="L21" i="1" s="1"/>
  <c r="K21" i="1"/>
  <c r="L20" i="1" a="1"/>
  <c r="L20" i="1" s="1"/>
  <c r="K20" i="1"/>
  <c r="L19" i="1" a="1"/>
  <c r="L19" i="1" s="1"/>
  <c r="K19" i="1"/>
  <c r="L18" i="1" a="1"/>
  <c r="L18" i="1" s="1"/>
  <c r="K18" i="1"/>
  <c r="L17" i="1" a="1"/>
  <c r="L17" i="1" s="1"/>
  <c r="K17" i="1"/>
  <c r="K16" i="1"/>
  <c r="L16" i="1" s="1" a="1"/>
  <c r="L16" i="1" s="1"/>
  <c r="L15" i="1" a="1"/>
  <c r="L15" i="1" s="1"/>
  <c r="K15" i="1"/>
  <c r="L14" i="1" a="1"/>
  <c r="L14" i="1" s="1"/>
  <c r="K14" i="1"/>
  <c r="L13" i="1" a="1"/>
  <c r="L13" i="1" s="1"/>
  <c r="K13" i="1"/>
  <c r="K12" i="1"/>
  <c r="L12" i="1" s="1" a="1"/>
  <c r="L12" i="1" s="1"/>
  <c r="L11" i="1" a="1"/>
  <c r="L11" i="1" s="1"/>
  <c r="K11" i="1"/>
  <c r="L10" i="1" a="1"/>
  <c r="L10" i="1" s="1"/>
  <c r="K10" i="1"/>
  <c r="L9" i="1" a="1"/>
  <c r="L9" i="1" s="1"/>
  <c r="K9" i="1"/>
  <c r="L8" i="1" a="1"/>
  <c r="L8" i="1" s="1"/>
  <c r="K8" i="1"/>
  <c r="L7" i="1" a="1"/>
  <c r="L7" i="1" s="1"/>
  <c r="K7" i="1"/>
  <c r="L6" i="1" a="1"/>
  <c r="L6" i="1" s="1"/>
  <c r="K6" i="1"/>
  <c r="L5" i="1" a="1"/>
  <c r="L5" i="1" s="1"/>
  <c r="K5" i="1"/>
  <c r="K4" i="1"/>
  <c r="L4" i="1" s="1" a="1"/>
  <c r="L4" i="1" s="1"/>
  <c r="L3" i="1" a="1"/>
  <c r="L3" i="1" s="1"/>
  <c r="K3" i="1"/>
  <c r="L2" i="1" a="1"/>
  <c r="L2" i="1" s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<sst xmlns="http://schemas.openxmlformats.org/spreadsheetml/2006/main" count="22026" uniqueCount="126">
  <si>
    <t>년월</t>
  </si>
  <si>
    <t>Line</t>
  </si>
  <si>
    <t>노선</t>
  </si>
  <si>
    <t>발매-년월</t>
  </si>
  <si>
    <t>Class Type</t>
  </si>
  <si>
    <t>발매건수</t>
  </si>
  <si>
    <t>A/R</t>
  </si>
  <si>
    <t>발매수입</t>
  </si>
  <si>
    <t>FSC</t>
  </si>
  <si>
    <t>FSC VAT</t>
  </si>
  <si>
    <t>시점(DAY)</t>
    <phoneticPr fontId="2" type="noConversion"/>
  </si>
  <si>
    <t>시점(MONTH)</t>
    <phoneticPr fontId="2" type="noConversion"/>
  </si>
  <si>
    <t>국내선</t>
  </si>
  <si>
    <t>GMP-CJU V.V</t>
  </si>
  <si>
    <t>Group</t>
  </si>
  <si>
    <t>Individual</t>
  </si>
  <si>
    <t>TAE-CJU V.V</t>
  </si>
  <si>
    <t>KWJ-CJU V.V</t>
  </si>
  <si>
    <t>CJJ-CJU V.V</t>
  </si>
  <si>
    <t>GMP-PUS V.V</t>
  </si>
  <si>
    <t>일본노선</t>
  </si>
  <si>
    <t>TAE-TOY V.V</t>
  </si>
  <si>
    <t>ICN-FUK V.V</t>
  </si>
  <si>
    <t>CJJ-FUK V.V</t>
  </si>
  <si>
    <t>TAE-FUK V.V</t>
  </si>
  <si>
    <t>PUS-FUK V.V</t>
  </si>
  <si>
    <t>CJU-FUK V.V</t>
  </si>
  <si>
    <t>ICN-KIX V.V</t>
  </si>
  <si>
    <t>CJJ-KIX V.V</t>
  </si>
  <si>
    <t>TAE-KIX V.V</t>
  </si>
  <si>
    <t>PUS-KIX V.V</t>
  </si>
  <si>
    <t>CJU-KIX V.V</t>
  </si>
  <si>
    <t>ICN-NRT V.V</t>
  </si>
  <si>
    <t>TAE-NRT V.V</t>
  </si>
  <si>
    <t>PUS-NRT V.V</t>
  </si>
  <si>
    <t>ICN-CTS V.V</t>
  </si>
  <si>
    <t>ICN-OKA V.V</t>
  </si>
  <si>
    <t>ICN-KMJ V.V</t>
  </si>
  <si>
    <t>ICN-HSG V.V</t>
  </si>
  <si>
    <t>ICN-TOY V.V</t>
  </si>
  <si>
    <t>중국노선</t>
  </si>
  <si>
    <t>ICN-WUH V.V</t>
  </si>
  <si>
    <t>TAE-DYG V.V</t>
  </si>
  <si>
    <t>CJJ-KWL V.V</t>
  </si>
  <si>
    <t>ICN-ENH V.V</t>
  </si>
  <si>
    <t>TAE-ENH V.V</t>
  </si>
  <si>
    <t>TAE-YCU V.V</t>
  </si>
  <si>
    <t>ICN-HKG V.V</t>
  </si>
  <si>
    <t>PUS-HKG V.V</t>
  </si>
  <si>
    <t>CJU-MFM V.V</t>
  </si>
  <si>
    <t>대만노선</t>
  </si>
  <si>
    <t>GMP-TSA V.V</t>
  </si>
  <si>
    <t>TAE-TPE V.V</t>
  </si>
  <si>
    <t>CJU-TPE V.V</t>
  </si>
  <si>
    <t>ICN-RMQ V.V</t>
  </si>
  <si>
    <t>TAE-RMQ V.V</t>
  </si>
  <si>
    <t>GMP-KHH V.V</t>
  </si>
  <si>
    <t>ICN-KHH V.V</t>
  </si>
  <si>
    <t>PUS-KHH V.V</t>
  </si>
  <si>
    <t>CJU-KHH V.V</t>
  </si>
  <si>
    <t>동남아노선</t>
  </si>
  <si>
    <t>ICN-BKK V.V</t>
  </si>
  <si>
    <t>ICN-SIN V.V</t>
  </si>
  <si>
    <t>CJU-SIN V.V</t>
  </si>
  <si>
    <t>ICN-DAD V.V</t>
  </si>
  <si>
    <t>CJJ-DAD V.V</t>
  </si>
  <si>
    <t>TAE-DAD V.V</t>
  </si>
  <si>
    <t>ICN-CXR V.V</t>
  </si>
  <si>
    <t>CJJ-CXR V.V</t>
  </si>
  <si>
    <t>TAE-CXR V.V</t>
  </si>
  <si>
    <t>PUS-CXR V.V</t>
  </si>
  <si>
    <t>ICN-PQC V.V</t>
  </si>
  <si>
    <t>ICN-KLO V.V</t>
  </si>
  <si>
    <t>ICN-CGK V.V</t>
  </si>
  <si>
    <t>CJJ-DPS V.V</t>
  </si>
  <si>
    <t>대양주노선</t>
  </si>
  <si>
    <t>TAE-GUM V.V</t>
  </si>
  <si>
    <t>KIX-GUM V.V</t>
  </si>
  <si>
    <t>NRT-GUM V.V</t>
  </si>
  <si>
    <t>ICN-SPN V.V</t>
  </si>
  <si>
    <t>ICN-SYD V.V</t>
  </si>
  <si>
    <t>러시아/중앙아시아노선</t>
  </si>
  <si>
    <t>TAE-UBN V.V</t>
  </si>
  <si>
    <t>CJJ-UBN V.V</t>
  </si>
  <si>
    <t>유럽노선</t>
  </si>
  <si>
    <t>ICN-BCN V.V</t>
  </si>
  <si>
    <t>ICN-FCO V.V</t>
  </si>
  <si>
    <t>ICN-FRA V.V</t>
  </si>
  <si>
    <t>ICN-CDG V.V</t>
  </si>
  <si>
    <t>미주</t>
  </si>
  <si>
    <t>ICN-YVR V.V</t>
  </si>
  <si>
    <t>ICN-SHE V.V</t>
  </si>
  <si>
    <t>CJJ-YNJ V.V</t>
  </si>
  <si>
    <t>TAE-YNJ V.V</t>
  </si>
  <si>
    <t>ICN-BSZ V.V</t>
  </si>
  <si>
    <t>PUS-CTS V.V</t>
  </si>
  <si>
    <t>ICN-UBN V.V</t>
  </si>
  <si>
    <t>ICN-ZAG V.V</t>
  </si>
  <si>
    <t>TAE-CTS V.V</t>
  </si>
  <si>
    <t>ICN-TAO V.V</t>
  </si>
  <si>
    <t>ICN-HAK V.V</t>
  </si>
  <si>
    <t>ICN-SYX V.V</t>
  </si>
  <si>
    <t>CJJ-SYX V.V</t>
  </si>
  <si>
    <t>PUS-SYX V.V</t>
  </si>
  <si>
    <t>TAE-BKK V.V</t>
  </si>
  <si>
    <t>CJU-BKK V.V</t>
  </si>
  <si>
    <t>-</t>
  </si>
  <si>
    <t>ICN-CNX V.V</t>
  </si>
  <si>
    <t>PUS-CNX V.V</t>
  </si>
  <si>
    <t>ICN-HAN V.V</t>
  </si>
  <si>
    <t>TAE-HAN V.V</t>
  </si>
  <si>
    <t>PUS-HAN V.V</t>
  </si>
  <si>
    <t>ICN-BKI V.V</t>
  </si>
  <si>
    <t>PUS-BKI V.V</t>
  </si>
  <si>
    <t>ICN-CEB V.V</t>
  </si>
  <si>
    <t>ICN-VTE V.V</t>
  </si>
  <si>
    <t>TAE-VTE V.V</t>
  </si>
  <si>
    <t>ICN-DAC V.V</t>
  </si>
  <si>
    <t>ICN-TAS V.V</t>
  </si>
  <si>
    <t>TAE-HKG V.V</t>
  </si>
  <si>
    <t>CJU-CNX V.V</t>
  </si>
  <si>
    <t>FUK-GUM V.V</t>
  </si>
  <si>
    <t>ICN-WNZ V.V</t>
  </si>
  <si>
    <t>ICN-SGN V.V</t>
  </si>
  <si>
    <t>ICN-GUM V.V</t>
  </si>
  <si>
    <t>ICN-FRU V.V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</si>
</sst>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4" x14ac:knownFonts="1">
    <font>
      <sz val="11"/>
      <color theme="1"/>
      <name val="맑은 고딕"/>
      <family val="2"/>
      <scheme val="minor"/>
    </font>
    <font>
      <b/>
      <sz val="10"/>
      <color rgb="FF363636"/>
      <name val="맑은 고딕"/>
      <family val="2"/>
    </font>
    <font>
      <sz val="8"/>
      <name val="맑은 고딕"/>
      <family val="3"/>
      <charset val="129"/>
      <scheme val="minor"/>
    </font>
    <font>
      <sz val="10"/>
      <color rgb="FF363636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0F32-048E-4372-8BD9-AC9845A8843B}">
  <dimension ref="A1:L7339"/>
  <sheetViews>
    <sheetView tabSelected="1" workbookViewId="0">
      <selection activeCell="F16" sqref="F16"/>
    </sheetView>
  </sheetViews>
  <sheetFormatPr defaultRowHeight="16.5" x14ac:dyDescent="0.3"/>
  <cols>
    <col min="1" max="1" width="13.75" customWidth="1"/>
    <col min="2" max="2" width="12.625" customWidth="1"/>
    <col min="3" max="3" width="17.875" customWidth="1"/>
    <col min="4" max="5" width="13.75" customWidth="1"/>
    <col min="6" max="6" width="13" customWidth="1"/>
    <col min="7" max="7" width="15.375" customWidth="1"/>
    <col min="8" max="8" width="19.375" customWidth="1"/>
    <col min="9" max="9" width="18.125" customWidth="1"/>
    <col min="10" max="10" width="15.375" customWidth="1"/>
    <col min="12" max="12" width="9" style="8"/>
  </cols>
  <sheetData>
    <row r="1" spans="1:12" ht="35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spans="1:12" ht="17.649999999999999" customHeight="1" x14ac:dyDescent="0.3">
      <c r="A2" s="5">
        <v>46113</v>
      </c>
      <c r="B2" s="6" t="s">
        <v>12</v>
      </c>
      <c r="C2" s="6" t="s">
        <v>13</v>
      </c>
      <c r="D2" s="5">
        <v>46023</v>
      </c>
      <c r="E2" s="6" t="s">
        <v>14</v>
      </c>
      <c r="F2" s="7">
        <v>161</v>
      </c>
      <c r="G2" s="7">
        <v>64433.198757763967</v>
      </c>
      <c r="H2" s="7">
        <v>10373745</v>
      </c>
      <c r="I2" s="7">
        <v>1771000</v>
      </c>
      <c r="J2" s="7">
        <v>161000</v>
      </c>
      <c r="K2">
        <f>A2-D2</f>
        <v>90</v>
      </c>
      <c r="L2" s="8" t="str" cm="1">
        <f t="array" ref="L2">_xlfn.IFS(
 AND(K2&gt;=89,K2&lt;=92),"3개월",
 AND(K2&gt;=58,K2&lt;=62),"2개월",
 AND(K2&gt;=28,K2&lt;=32),"1개월",
 AND(K2=0),"당월",
 TRUE,"그외"
)</f>
        <v>3개월</v>
      </c>
    </row>
    <row r="3" spans="1:12" ht="17.649999999999999" customHeight="1" x14ac:dyDescent="0.3">
      <c r="A3" s="5">
        <v>46113</v>
      </c>
      <c r="B3" s="6" t="s">
        <v>12</v>
      </c>
      <c r="C3" s="6" t="s">
        <v>13</v>
      </c>
      <c r="D3" s="5">
        <v>46023</v>
      </c>
      <c r="E3" s="6" t="s">
        <v>15</v>
      </c>
      <c r="F3" s="7">
        <v>8808</v>
      </c>
      <c r="G3" s="7">
        <v>78522.257493188008</v>
      </c>
      <c r="H3" s="7">
        <v>691624044</v>
      </c>
      <c r="I3" s="7">
        <v>96228000</v>
      </c>
      <c r="J3" s="7">
        <v>8748000</v>
      </c>
      <c r="K3">
        <f>A3-D3</f>
        <v>90</v>
      </c>
      <c r="L3" s="8" t="str" cm="1">
        <f t="array" ref="L3">_xlfn.IFS(
 AND(K3&gt;=89,K3&lt;=92),"3개월",
 AND(K3&gt;=58,K3&lt;=62),"2개월",
 AND(K3&gt;=28,K3&lt;=32),"1개월",
 AND(K3=0),"당월",
 TRUE,"그외"
)</f>
        <v>3개월</v>
      </c>
    </row>
    <row r="4" spans="1:12" ht="17.649999999999999" customHeight="1" x14ac:dyDescent="0.3">
      <c r="A4" s="5">
        <v>46113</v>
      </c>
      <c r="B4" s="6" t="s">
        <v>12</v>
      </c>
      <c r="C4" s="6" t="s">
        <v>13</v>
      </c>
      <c r="D4" s="5">
        <v>46054</v>
      </c>
      <c r="E4" s="6" t="s">
        <v>14</v>
      </c>
      <c r="F4" s="7">
        <v>812</v>
      </c>
      <c r="G4" s="7">
        <v>77279.334975369464</v>
      </c>
      <c r="H4" s="7">
        <v>62750820</v>
      </c>
      <c r="I4" s="7">
        <v>7145600</v>
      </c>
      <c r="J4" s="7">
        <v>649600</v>
      </c>
      <c r="K4">
        <f>A4-D4</f>
        <v>59</v>
      </c>
      <c r="L4" s="8" t="str" cm="1">
        <f t="array" ref="L4">_xlfn.IFS(
 AND(K4&gt;=89,K4&lt;=92),"3개월",
 AND(K4&gt;=58,K4&lt;=62),"2개월",
 AND(K4&gt;=28,K4&lt;=32),"1개월",
 AND(K4=0),"당월",
 TRUE,"그외"
)</f>
        <v>2개월</v>
      </c>
    </row>
    <row r="5" spans="1:12" ht="17.649999999999999" customHeight="1" x14ac:dyDescent="0.3">
      <c r="A5" s="5">
        <v>46113</v>
      </c>
      <c r="B5" s="6" t="s">
        <v>12</v>
      </c>
      <c r="C5" s="6" t="s">
        <v>13</v>
      </c>
      <c r="D5" s="5">
        <v>46054</v>
      </c>
      <c r="E5" s="6" t="s">
        <v>15</v>
      </c>
      <c r="F5" s="7">
        <v>11624</v>
      </c>
      <c r="G5" s="7">
        <v>75695.755247763242</v>
      </c>
      <c r="H5" s="7">
        <v>879887459</v>
      </c>
      <c r="I5" s="7">
        <v>101585000</v>
      </c>
      <c r="J5" s="7">
        <v>9235000</v>
      </c>
      <c r="K5">
        <f>A5-D5</f>
        <v>59</v>
      </c>
      <c r="L5" s="8" t="str" cm="1">
        <f t="array" ref="L5">_xlfn.IFS(
 AND(K5&gt;=89,K5&lt;=92),"3개월",
 AND(K5&gt;=58,K5&lt;=62),"2개월",
 AND(K5&gt;=28,K5&lt;=32),"1개월",
 AND(K5=0),"당월",
 TRUE,"그외"
)</f>
        <v>2개월</v>
      </c>
    </row>
    <row r="6" spans="1:12" ht="17.649999999999999" customHeight="1" x14ac:dyDescent="0.3">
      <c r="A6" s="5">
        <v>46113</v>
      </c>
      <c r="B6" s="6" t="s">
        <v>12</v>
      </c>
      <c r="C6" s="6" t="s">
        <v>13</v>
      </c>
      <c r="D6" s="5">
        <v>46082</v>
      </c>
      <c r="E6" s="6" t="s">
        <v>14</v>
      </c>
      <c r="F6" s="7">
        <v>6193</v>
      </c>
      <c r="G6" s="7">
        <v>87531.426610689494</v>
      </c>
      <c r="H6" s="7">
        <v>542082125</v>
      </c>
      <c r="I6" s="7">
        <v>45883200</v>
      </c>
      <c r="J6" s="7">
        <v>4171200</v>
      </c>
      <c r="K6">
        <f>A6-D6</f>
        <v>31</v>
      </c>
      <c r="L6" s="8" t="str" cm="1">
        <f t="array" ref="L6">_xlfn.IFS(
 AND(K6&gt;=89,K6&lt;=92),"3개월",
 AND(K6&gt;=58,K6&lt;=62),"2개월",
 AND(K6&gt;=28,K6&lt;=32),"1개월",
 AND(K6=0),"당월",
 TRUE,"그외"
)</f>
        <v>1개월</v>
      </c>
    </row>
    <row r="7" spans="1:12" ht="17.649999999999999" customHeight="1" x14ac:dyDescent="0.3">
      <c r="A7" s="5">
        <v>46113</v>
      </c>
      <c r="B7" s="6" t="s">
        <v>12</v>
      </c>
      <c r="C7" s="6" t="s">
        <v>13</v>
      </c>
      <c r="D7" s="5">
        <v>46082</v>
      </c>
      <c r="E7" s="6" t="s">
        <v>15</v>
      </c>
      <c r="F7" s="7">
        <v>56191</v>
      </c>
      <c r="G7" s="7">
        <v>65677.186827071957</v>
      </c>
      <c r="H7" s="7">
        <v>3690466805</v>
      </c>
      <c r="I7" s="7">
        <v>425160769</v>
      </c>
      <c r="J7" s="7">
        <v>38649700</v>
      </c>
      <c r="K7">
        <f>A7-D7</f>
        <v>31</v>
      </c>
      <c r="L7" s="8" t="str" cm="1">
        <f t="array" ref="L7">_xlfn.IFS(
 AND(K7&gt;=89,K7&lt;=92),"3개월",
 AND(K7&gt;=58,K7&lt;=62),"2개월",
 AND(K7&gt;=28,K7&lt;=32),"1개월",
 AND(K7=0),"당월",
 TRUE,"그외"
)</f>
        <v>1개월</v>
      </c>
    </row>
    <row r="8" spans="1:12" ht="17.649999999999999" customHeight="1" x14ac:dyDescent="0.3">
      <c r="A8" s="5">
        <v>46113</v>
      </c>
      <c r="B8" s="6" t="s">
        <v>12</v>
      </c>
      <c r="C8" s="6" t="s">
        <v>13</v>
      </c>
      <c r="D8" s="5">
        <v>46113</v>
      </c>
      <c r="E8" s="6" t="s">
        <v>14</v>
      </c>
      <c r="F8" s="7">
        <v>13351</v>
      </c>
      <c r="G8" s="7">
        <v>36543.247172496442</v>
      </c>
      <c r="H8" s="7">
        <v>487888893</v>
      </c>
      <c r="I8" s="7">
        <v>114005100</v>
      </c>
      <c r="J8" s="7">
        <v>10364100</v>
      </c>
      <c r="K8">
        <f>A8-D8</f>
        <v>0</v>
      </c>
      <c r="L8" s="8" t="str" cm="1">
        <f t="array" ref="L8">_xlfn.IFS(
 AND(K8&gt;=89,K8&lt;=92),"3개월",
 AND(K8&gt;=58,K8&lt;=62),"2개월",
 AND(K8&gt;=28,K8&lt;=32),"1개월",
 AND(K8=0),"당월",
 TRUE,"그외"
)</f>
        <v>당월</v>
      </c>
    </row>
    <row r="9" spans="1:12" ht="17.649999999999999" customHeight="1" x14ac:dyDescent="0.3">
      <c r="A9" s="5">
        <v>46113</v>
      </c>
      <c r="B9" s="6" t="s">
        <v>12</v>
      </c>
      <c r="C9" s="6" t="s">
        <v>13</v>
      </c>
      <c r="D9" s="5">
        <v>46113</v>
      </c>
      <c r="E9" s="6" t="s">
        <v>15</v>
      </c>
      <c r="F9" s="7">
        <v>50356</v>
      </c>
      <c r="G9" s="7">
        <v>72575.111525935339</v>
      </c>
      <c r="H9" s="7">
        <v>3654592316</v>
      </c>
      <c r="I9" s="7">
        <v>436327300</v>
      </c>
      <c r="J9" s="7">
        <v>39661516</v>
      </c>
      <c r="K9">
        <f>A9-D9</f>
        <v>0</v>
      </c>
      <c r="L9" s="8" t="str" cm="1">
        <f t="array" ref="L9">_xlfn.IFS(
 AND(K9&gt;=89,K9&lt;=92),"3개월",
 AND(K9&gt;=58,K9&lt;=62),"2개월",
 AND(K9&gt;=28,K9&lt;=32),"1개월",
 AND(K9=0),"당월",
 TRUE,"그외"
)</f>
        <v>당월</v>
      </c>
    </row>
    <row r="10" spans="1:12" ht="17.649999999999999" customHeight="1" x14ac:dyDescent="0.3">
      <c r="A10" s="5">
        <v>46113</v>
      </c>
      <c r="B10" s="6" t="s">
        <v>12</v>
      </c>
      <c r="C10" s="6" t="s">
        <v>16</v>
      </c>
      <c r="D10" s="5">
        <v>46023</v>
      </c>
      <c r="E10" s="6" t="s">
        <v>14</v>
      </c>
      <c r="F10" s="7">
        <v>494</v>
      </c>
      <c r="G10" s="7">
        <v>82820.060728744938</v>
      </c>
      <c r="H10" s="7">
        <v>40913110</v>
      </c>
      <c r="I10" s="7">
        <v>5434000</v>
      </c>
      <c r="J10" s="7">
        <v>494000</v>
      </c>
      <c r="K10">
        <f t="shared" ref="K10:K73" si="0">A10-D10</f>
        <v>90</v>
      </c>
      <c r="L10" s="8" t="str" cm="1">
        <f t="array" ref="L10">_xlfn.IFS(
 AND(K10&gt;=89,K10&lt;=92),"3개월",
 AND(K10&gt;=58,K10&lt;=62),"2개월",
 AND(K10&gt;=28,K10&lt;=32),"1개월",
 AND(K10=0),"당월",
 TRUE,"그외"
)</f>
        <v>3개월</v>
      </c>
    </row>
    <row r="11" spans="1:12" ht="17.649999999999999" customHeight="1" x14ac:dyDescent="0.3">
      <c r="A11" s="5">
        <v>46113</v>
      </c>
      <c r="B11" s="6" t="s">
        <v>12</v>
      </c>
      <c r="C11" s="6" t="s">
        <v>16</v>
      </c>
      <c r="D11" s="5">
        <v>46023</v>
      </c>
      <c r="E11" s="6" t="s">
        <v>15</v>
      </c>
      <c r="F11" s="7">
        <v>6794</v>
      </c>
      <c r="G11" s="7">
        <v>80101.184574624669</v>
      </c>
      <c r="H11" s="7">
        <v>544207448</v>
      </c>
      <c r="I11" s="7">
        <v>74650400</v>
      </c>
      <c r="J11" s="7">
        <v>6786400</v>
      </c>
      <c r="K11">
        <f t="shared" si="0"/>
        <v>90</v>
      </c>
      <c r="L11" s="8" t="str" cm="1">
        <f t="array" ref="L11">_xlfn.IFS(
 AND(K11&gt;=89,K11&lt;=92),"3개월",
 AND(K11&gt;=58,K11&lt;=62),"2개월",
 AND(K11&gt;=28,K11&lt;=32),"1개월",
 AND(K11=0),"당월",
 TRUE,"그외"
)</f>
        <v>3개월</v>
      </c>
    </row>
    <row r="12" spans="1:12" ht="17.649999999999999" customHeight="1" x14ac:dyDescent="0.3">
      <c r="A12" s="5">
        <v>46113</v>
      </c>
      <c r="B12" s="6" t="s">
        <v>12</v>
      </c>
      <c r="C12" s="6" t="s">
        <v>16</v>
      </c>
      <c r="D12" s="5">
        <v>46054</v>
      </c>
      <c r="E12" s="6" t="s">
        <v>14</v>
      </c>
      <c r="F12" s="7">
        <v>838</v>
      </c>
      <c r="G12" s="7">
        <v>73220.15513126491</v>
      </c>
      <c r="H12" s="7">
        <v>61358490</v>
      </c>
      <c r="I12" s="7">
        <v>7376600</v>
      </c>
      <c r="J12" s="7">
        <v>670600</v>
      </c>
      <c r="K12">
        <f t="shared" si="0"/>
        <v>59</v>
      </c>
      <c r="L12" s="8" t="str" cm="1">
        <f t="array" ref="L12">_xlfn.IFS(
 AND(K12&gt;=89,K12&lt;=92),"3개월",
 AND(K12&gt;=58,K12&lt;=62),"2개월",
 AND(K12&gt;=28,K12&lt;=32),"1개월",
 AND(K12=0),"당월",
 TRUE,"그외"
)</f>
        <v>2개월</v>
      </c>
    </row>
    <row r="13" spans="1:12" ht="17.649999999999999" customHeight="1" x14ac:dyDescent="0.3">
      <c r="A13" s="5">
        <v>46113</v>
      </c>
      <c r="B13" s="6" t="s">
        <v>12</v>
      </c>
      <c r="C13" s="6" t="s">
        <v>16</v>
      </c>
      <c r="D13" s="5">
        <v>46054</v>
      </c>
      <c r="E13" s="6" t="s">
        <v>15</v>
      </c>
      <c r="F13" s="7">
        <v>7313</v>
      </c>
      <c r="G13" s="7">
        <v>70925.707096950631</v>
      </c>
      <c r="H13" s="7">
        <v>518679696</v>
      </c>
      <c r="I13" s="7">
        <v>64163000</v>
      </c>
      <c r="J13" s="7">
        <v>5833000</v>
      </c>
      <c r="K13">
        <f t="shared" si="0"/>
        <v>59</v>
      </c>
      <c r="L13" s="8" t="str" cm="1">
        <f t="array" ref="L13">_xlfn.IFS(
 AND(K13&gt;=89,K13&lt;=92),"3개월",
 AND(K13&gt;=58,K13&lt;=62),"2개월",
 AND(K13&gt;=28,K13&lt;=32),"1개월",
 AND(K13=0),"당월",
 TRUE,"그외"
)</f>
        <v>2개월</v>
      </c>
    </row>
    <row r="14" spans="1:12" ht="17.649999999999999" customHeight="1" x14ac:dyDescent="0.3">
      <c r="A14" s="5">
        <v>46113</v>
      </c>
      <c r="B14" s="6" t="s">
        <v>12</v>
      </c>
      <c r="C14" s="6" t="s">
        <v>16</v>
      </c>
      <c r="D14" s="5">
        <v>46082</v>
      </c>
      <c r="E14" s="6" t="s">
        <v>14</v>
      </c>
      <c r="F14" s="7">
        <v>3323</v>
      </c>
      <c r="G14" s="7">
        <v>70000.686427926572</v>
      </c>
      <c r="H14" s="7">
        <v>232612281</v>
      </c>
      <c r="I14" s="7">
        <v>25638800</v>
      </c>
      <c r="J14" s="7">
        <v>2330800</v>
      </c>
      <c r="K14">
        <f t="shared" si="0"/>
        <v>31</v>
      </c>
      <c r="L14" s="8" t="str" cm="1">
        <f t="array" ref="L14">_xlfn.IFS(
 AND(K14&gt;=89,K14&lt;=92),"3개월",
 AND(K14&gt;=58,K14&lt;=62),"2개월",
 AND(K14&gt;=28,K14&lt;=32),"1개월",
 AND(K14=0),"당월",
 TRUE,"그외"
)</f>
        <v>1개월</v>
      </c>
    </row>
    <row r="15" spans="1:12" ht="17.649999999999999" customHeight="1" x14ac:dyDescent="0.3">
      <c r="A15" s="5">
        <v>46113</v>
      </c>
      <c r="B15" s="6" t="s">
        <v>12</v>
      </c>
      <c r="C15" s="6" t="s">
        <v>16</v>
      </c>
      <c r="D15" s="5">
        <v>46082</v>
      </c>
      <c r="E15" s="6" t="s">
        <v>15</v>
      </c>
      <c r="F15" s="7">
        <v>23869</v>
      </c>
      <c r="G15" s="7">
        <v>62488.749759101767</v>
      </c>
      <c r="H15" s="7">
        <v>1491543968</v>
      </c>
      <c r="I15" s="7">
        <v>182534612</v>
      </c>
      <c r="J15" s="7">
        <v>16593100</v>
      </c>
      <c r="K15">
        <f t="shared" si="0"/>
        <v>31</v>
      </c>
      <c r="L15" s="8" t="str" cm="1">
        <f t="array" ref="L15">_xlfn.IFS(
 AND(K15&gt;=89,K15&lt;=92),"3개월",
 AND(K15&gt;=58,K15&lt;=62),"2개월",
 AND(K15&gt;=28,K15&lt;=32),"1개월",
 AND(K15=0),"당월",
 TRUE,"그외"
)</f>
        <v>1개월</v>
      </c>
    </row>
    <row r="16" spans="1:12" ht="17.649999999999999" customHeight="1" x14ac:dyDescent="0.3">
      <c r="A16" s="5">
        <v>46113</v>
      </c>
      <c r="B16" s="6" t="s">
        <v>12</v>
      </c>
      <c r="C16" s="6" t="s">
        <v>16</v>
      </c>
      <c r="D16" s="5">
        <v>46113</v>
      </c>
      <c r="E16" s="6" t="s">
        <v>14</v>
      </c>
      <c r="F16" s="7">
        <v>185</v>
      </c>
      <c r="G16" s="7">
        <v>72206</v>
      </c>
      <c r="H16" s="7">
        <v>13358110</v>
      </c>
      <c r="I16" s="7">
        <v>1568600</v>
      </c>
      <c r="J16" s="7">
        <v>142600</v>
      </c>
      <c r="K16">
        <f t="shared" si="0"/>
        <v>0</v>
      </c>
      <c r="L16" s="8" t="str" cm="1">
        <f t="array" ref="L16">_xlfn.IFS(
 AND(K16&gt;=89,K16&lt;=92),"3개월",
 AND(K16&gt;=58,K16&lt;=62),"2개월",
 AND(K16&gt;=28,K16&lt;=32),"1개월",
 AND(K16=0),"당월",
 TRUE,"그외"
)</f>
        <v>당월</v>
      </c>
    </row>
    <row r="17" spans="1:12" ht="17.649999999999999" customHeight="1" x14ac:dyDescent="0.3">
      <c r="A17" s="5">
        <v>46113</v>
      </c>
      <c r="B17" s="6" t="s">
        <v>12</v>
      </c>
      <c r="C17" s="6" t="s">
        <v>16</v>
      </c>
      <c r="D17" s="5">
        <v>46113</v>
      </c>
      <c r="E17" s="6" t="s">
        <v>15</v>
      </c>
      <c r="F17" s="7">
        <v>17242</v>
      </c>
      <c r="G17" s="7">
        <v>60204.526215056263</v>
      </c>
      <c r="H17" s="7">
        <v>1038046441</v>
      </c>
      <c r="I17" s="7">
        <v>150023730</v>
      </c>
      <c r="J17" s="7">
        <v>13634081</v>
      </c>
      <c r="K17">
        <f t="shared" si="0"/>
        <v>0</v>
      </c>
      <c r="L17" s="8" t="str" cm="1">
        <f t="array" ref="L17">_xlfn.IFS(
 AND(K17&gt;=89,K17&lt;=92),"3개월",
 AND(K17&gt;=58,K17&lt;=62),"2개월",
 AND(K17&gt;=28,K17&lt;=32),"1개월",
 AND(K17=0),"당월",
 TRUE,"그외"
)</f>
        <v>당월</v>
      </c>
    </row>
    <row r="18" spans="1:12" ht="17.649999999999999" customHeight="1" x14ac:dyDescent="0.3">
      <c r="A18" s="5">
        <v>46113</v>
      </c>
      <c r="B18" s="6" t="s">
        <v>12</v>
      </c>
      <c r="C18" s="6" t="s">
        <v>17</v>
      </c>
      <c r="D18" s="5">
        <v>46023</v>
      </c>
      <c r="E18" s="6" t="s">
        <v>14</v>
      </c>
      <c r="F18" s="7">
        <v>380</v>
      </c>
      <c r="G18" s="7">
        <v>59459.615789473683</v>
      </c>
      <c r="H18" s="7">
        <v>22594654</v>
      </c>
      <c r="I18" s="7">
        <v>4180000</v>
      </c>
      <c r="J18" s="7">
        <v>380000</v>
      </c>
      <c r="K18">
        <f t="shared" si="0"/>
        <v>90</v>
      </c>
      <c r="L18" s="8" t="str" cm="1">
        <f t="array" ref="L18">_xlfn.IFS(
 AND(K18&gt;=89,K18&lt;=92),"3개월",
 AND(K18&gt;=58,K18&lt;=62),"2개월",
 AND(K18&gt;=28,K18&lt;=32),"1개월",
 AND(K18=0),"당월",
 TRUE,"그외"
)</f>
        <v>3개월</v>
      </c>
    </row>
    <row r="19" spans="1:12" ht="17.649999999999999" customHeight="1" x14ac:dyDescent="0.3">
      <c r="A19" s="5">
        <v>46113</v>
      </c>
      <c r="B19" s="6" t="s">
        <v>12</v>
      </c>
      <c r="C19" s="6" t="s">
        <v>17</v>
      </c>
      <c r="D19" s="5">
        <v>46023</v>
      </c>
      <c r="E19" s="6" t="s">
        <v>15</v>
      </c>
      <c r="F19" s="7">
        <v>4540</v>
      </c>
      <c r="G19" s="7">
        <v>59869.583920704848</v>
      </c>
      <c r="H19" s="7">
        <v>271807911</v>
      </c>
      <c r="I19" s="7">
        <v>49940000</v>
      </c>
      <c r="J19" s="7">
        <v>4540000</v>
      </c>
      <c r="K19">
        <f t="shared" si="0"/>
        <v>90</v>
      </c>
      <c r="L19" s="8" t="str" cm="1">
        <f t="array" ref="L19">_xlfn.IFS(
 AND(K19&gt;=89,K19&lt;=92),"3개월",
 AND(K19&gt;=58,K19&lt;=62),"2개월",
 AND(K19&gt;=28,K19&lt;=32),"1개월",
 AND(K19=0),"당월",
 TRUE,"그외"
)</f>
        <v>3개월</v>
      </c>
    </row>
    <row r="20" spans="1:12" ht="17.649999999999999" customHeight="1" x14ac:dyDescent="0.3">
      <c r="A20" s="5">
        <v>46113</v>
      </c>
      <c r="B20" s="6" t="s">
        <v>12</v>
      </c>
      <c r="C20" s="6" t="s">
        <v>17</v>
      </c>
      <c r="D20" s="5">
        <v>46054</v>
      </c>
      <c r="E20" s="6" t="s">
        <v>14</v>
      </c>
      <c r="F20" s="7">
        <v>458</v>
      </c>
      <c r="G20" s="7">
        <v>67851.399563318773</v>
      </c>
      <c r="H20" s="7">
        <v>31075941</v>
      </c>
      <c r="I20" s="7">
        <v>4030400</v>
      </c>
      <c r="J20" s="7">
        <v>366400</v>
      </c>
      <c r="K20">
        <f t="shared" si="0"/>
        <v>59</v>
      </c>
      <c r="L20" s="8" t="str" cm="1">
        <f t="array" ref="L20">_xlfn.IFS(
 AND(K20&gt;=89,K20&lt;=92),"3개월",
 AND(K20&gt;=58,K20&lt;=62),"2개월",
 AND(K20&gt;=28,K20&lt;=32),"1개월",
 AND(K20=0),"당월",
 TRUE,"그외"
)</f>
        <v>2개월</v>
      </c>
    </row>
    <row r="21" spans="1:12" ht="17.649999999999999" customHeight="1" x14ac:dyDescent="0.3">
      <c r="A21" s="5">
        <v>46113</v>
      </c>
      <c r="B21" s="6" t="s">
        <v>12</v>
      </c>
      <c r="C21" s="6" t="s">
        <v>17</v>
      </c>
      <c r="D21" s="5">
        <v>46054</v>
      </c>
      <c r="E21" s="6" t="s">
        <v>15</v>
      </c>
      <c r="F21" s="7">
        <v>4309</v>
      </c>
      <c r="G21" s="7">
        <v>53705.797632861453</v>
      </c>
      <c r="H21" s="7">
        <v>231418282</v>
      </c>
      <c r="I21" s="7">
        <v>37825764</v>
      </c>
      <c r="J21" s="7">
        <v>3435800</v>
      </c>
      <c r="K21">
        <f t="shared" si="0"/>
        <v>59</v>
      </c>
      <c r="L21" s="8" t="str" cm="1">
        <f t="array" ref="L21">_xlfn.IFS(
 AND(K21&gt;=89,K21&lt;=92),"3개월",
 AND(K21&gt;=58,K21&lt;=62),"2개월",
 AND(K21&gt;=28,K21&lt;=32),"1개월",
 AND(K21=0),"당월",
 TRUE,"그외"
)</f>
        <v>2개월</v>
      </c>
    </row>
    <row r="22" spans="1:12" ht="17.649999999999999" customHeight="1" x14ac:dyDescent="0.3">
      <c r="A22" s="5">
        <v>46113</v>
      </c>
      <c r="B22" s="6" t="s">
        <v>12</v>
      </c>
      <c r="C22" s="6" t="s">
        <v>17</v>
      </c>
      <c r="D22" s="5">
        <v>46082</v>
      </c>
      <c r="E22" s="6" t="s">
        <v>14</v>
      </c>
      <c r="F22" s="7">
        <v>666</v>
      </c>
      <c r="G22" s="7">
        <v>57073.03003003003</v>
      </c>
      <c r="H22" s="7">
        <v>38010638</v>
      </c>
      <c r="I22" s="7">
        <v>5219500</v>
      </c>
      <c r="J22" s="7">
        <v>474500</v>
      </c>
      <c r="K22">
        <f t="shared" si="0"/>
        <v>31</v>
      </c>
      <c r="L22" s="8" t="str" cm="1">
        <f t="array" ref="L22">_xlfn.IFS(
 AND(K22&gt;=89,K22&lt;=92),"3개월",
 AND(K22&gt;=58,K22&lt;=62),"2개월",
 AND(K22&gt;=28,K22&lt;=32),"1개월",
 AND(K22=0),"당월",
 TRUE,"그외"
)</f>
        <v>1개월</v>
      </c>
    </row>
    <row r="23" spans="1:12" ht="17.649999999999999" customHeight="1" x14ac:dyDescent="0.3">
      <c r="A23" s="5">
        <v>46113</v>
      </c>
      <c r="B23" s="6" t="s">
        <v>12</v>
      </c>
      <c r="C23" s="6" t="s">
        <v>17</v>
      </c>
      <c r="D23" s="5">
        <v>46082</v>
      </c>
      <c r="E23" s="6" t="s">
        <v>15</v>
      </c>
      <c r="F23" s="7">
        <v>16537</v>
      </c>
      <c r="G23" s="7">
        <v>46315.591703452861</v>
      </c>
      <c r="H23" s="7">
        <v>765920940</v>
      </c>
      <c r="I23" s="7">
        <v>127387700</v>
      </c>
      <c r="J23" s="7">
        <v>11580700</v>
      </c>
      <c r="K23">
        <f t="shared" si="0"/>
        <v>31</v>
      </c>
      <c r="L23" s="8" t="str" cm="1">
        <f t="array" ref="L23">_xlfn.IFS(
 AND(K23&gt;=89,K23&lt;=92),"3개월",
 AND(K23&gt;=58,K23&lt;=62),"2개월",
 AND(K23&gt;=28,K23&lt;=32),"1개월",
 AND(K23=0),"당월",
 TRUE,"그외"
)</f>
        <v>1개월</v>
      </c>
    </row>
    <row r="24" spans="1:12" ht="17.649999999999999" customHeight="1" x14ac:dyDescent="0.3">
      <c r="A24" s="5">
        <v>46113</v>
      </c>
      <c r="B24" s="6" t="s">
        <v>12</v>
      </c>
      <c r="C24" s="6" t="s">
        <v>17</v>
      </c>
      <c r="D24" s="5">
        <v>46113</v>
      </c>
      <c r="E24" s="6" t="s">
        <v>14</v>
      </c>
      <c r="F24" s="7">
        <v>193</v>
      </c>
      <c r="G24" s="7">
        <v>59104.435233160621</v>
      </c>
      <c r="H24" s="7">
        <v>11407156</v>
      </c>
      <c r="I24" s="7">
        <v>1647800</v>
      </c>
      <c r="J24" s="7">
        <v>149800</v>
      </c>
      <c r="K24">
        <f t="shared" si="0"/>
        <v>0</v>
      </c>
      <c r="L24" s="8" t="str" cm="1">
        <f t="array" ref="L24">_xlfn.IFS(
 AND(K24&gt;=89,K24&lt;=92),"3개월",
 AND(K24&gt;=58,K24&lt;=62),"2개월",
 AND(K24&gt;=28,K24&lt;=32),"1개월",
 AND(K24=0),"당월",
 TRUE,"그외"
)</f>
        <v>당월</v>
      </c>
    </row>
    <row r="25" spans="1:12" ht="17.649999999999999" customHeight="1" x14ac:dyDescent="0.3">
      <c r="A25" s="5">
        <v>46113</v>
      </c>
      <c r="B25" s="6" t="s">
        <v>12</v>
      </c>
      <c r="C25" s="6" t="s">
        <v>17</v>
      </c>
      <c r="D25" s="5">
        <v>46113</v>
      </c>
      <c r="E25" s="6" t="s">
        <v>15</v>
      </c>
      <c r="F25" s="7">
        <v>13306</v>
      </c>
      <c r="G25" s="7">
        <v>45446.476025853</v>
      </c>
      <c r="H25" s="7">
        <v>604710810</v>
      </c>
      <c r="I25" s="7">
        <v>116228214</v>
      </c>
      <c r="J25" s="7">
        <v>10565800</v>
      </c>
      <c r="K25">
        <f t="shared" si="0"/>
        <v>0</v>
      </c>
      <c r="L25" s="8" t="str" cm="1">
        <f t="array" ref="L25">_xlfn.IFS(
 AND(K25&gt;=89,K25&lt;=92),"3개월",
 AND(K25&gt;=58,K25&lt;=62),"2개월",
 AND(K25&gt;=28,K25&lt;=32),"1개월",
 AND(K25=0),"당월",
 TRUE,"그외"
)</f>
        <v>당월</v>
      </c>
    </row>
    <row r="26" spans="1:12" ht="17.649999999999999" customHeight="1" x14ac:dyDescent="0.3">
      <c r="A26" s="5">
        <v>46113</v>
      </c>
      <c r="B26" s="6" t="s">
        <v>12</v>
      </c>
      <c r="C26" s="6" t="s">
        <v>18</v>
      </c>
      <c r="D26" s="5">
        <v>45748</v>
      </c>
      <c r="E26" s="6" t="s">
        <v>15</v>
      </c>
      <c r="F26" s="7">
        <v>1</v>
      </c>
      <c r="G26" s="7">
        <v>34455</v>
      </c>
      <c r="H26" s="7">
        <v>34455</v>
      </c>
      <c r="I26" s="7">
        <v>11000</v>
      </c>
      <c r="J26" s="7">
        <v>1000</v>
      </c>
      <c r="K26">
        <f t="shared" si="0"/>
        <v>365</v>
      </c>
      <c r="L26" s="8" t="str" cm="1">
        <f t="array" ref="L26">_xlfn.IFS(
 AND(K26&gt;=89,K26&lt;=92),"3개월",
 AND(K26&gt;=58,K26&lt;=62),"2개월",
 AND(K26&gt;=28,K26&lt;=32),"1개월",
 AND(K26=0),"당월",
 TRUE,"그외"
)</f>
        <v>그외</v>
      </c>
    </row>
    <row r="27" spans="1:12" ht="17.649999999999999" customHeight="1" x14ac:dyDescent="0.3">
      <c r="A27" s="5">
        <v>46113</v>
      </c>
      <c r="B27" s="6" t="s">
        <v>12</v>
      </c>
      <c r="C27" s="6" t="s">
        <v>18</v>
      </c>
      <c r="D27" s="5">
        <v>46023</v>
      </c>
      <c r="E27" s="6" t="s">
        <v>14</v>
      </c>
      <c r="F27" s="7">
        <v>88</v>
      </c>
      <c r="G27" s="7">
        <v>95909.5</v>
      </c>
      <c r="H27" s="7">
        <v>8440036</v>
      </c>
      <c r="I27" s="7">
        <v>968000</v>
      </c>
      <c r="J27" s="7">
        <v>88000</v>
      </c>
      <c r="K27">
        <f t="shared" si="0"/>
        <v>90</v>
      </c>
      <c r="L27" s="8" t="str" cm="1">
        <f t="array" ref="L27">_xlfn.IFS(
 AND(K27&gt;=89,K27&lt;=92),"3개월",
 AND(K27&gt;=58,K27&lt;=62),"2개월",
 AND(K27&gt;=28,K27&lt;=32),"1개월",
 AND(K27=0),"당월",
 TRUE,"그외"
)</f>
        <v>3개월</v>
      </c>
    </row>
    <row r="28" spans="1:12" ht="17.649999999999999" customHeight="1" x14ac:dyDescent="0.3">
      <c r="A28" s="5">
        <v>46113</v>
      </c>
      <c r="B28" s="6" t="s">
        <v>12</v>
      </c>
      <c r="C28" s="6" t="s">
        <v>18</v>
      </c>
      <c r="D28" s="5">
        <v>46023</v>
      </c>
      <c r="E28" s="6" t="s">
        <v>15</v>
      </c>
      <c r="F28" s="7">
        <v>6081</v>
      </c>
      <c r="G28" s="7">
        <v>81100.852491366546</v>
      </c>
      <c r="H28" s="7">
        <v>493174284</v>
      </c>
      <c r="I28" s="7">
        <v>66825000</v>
      </c>
      <c r="J28" s="7">
        <v>6075000</v>
      </c>
      <c r="K28">
        <f t="shared" si="0"/>
        <v>90</v>
      </c>
      <c r="L28" s="8" t="str" cm="1">
        <f t="array" ref="L28">_xlfn.IFS(
 AND(K28&gt;=89,K28&lt;=92),"3개월",
 AND(K28&gt;=58,K28&lt;=62),"2개월",
 AND(K28&gt;=28,K28&lt;=32),"1개월",
 AND(K28=0),"당월",
 TRUE,"그외"
)</f>
        <v>3개월</v>
      </c>
    </row>
    <row r="29" spans="1:12" ht="17.649999999999999" customHeight="1" x14ac:dyDescent="0.3">
      <c r="A29" s="5">
        <v>46113</v>
      </c>
      <c r="B29" s="6" t="s">
        <v>12</v>
      </c>
      <c r="C29" s="6" t="s">
        <v>18</v>
      </c>
      <c r="D29" s="5">
        <v>46054</v>
      </c>
      <c r="E29" s="6" t="s">
        <v>14</v>
      </c>
      <c r="F29" s="7">
        <v>983</v>
      </c>
      <c r="G29" s="7">
        <v>73385.521871820951</v>
      </c>
      <c r="H29" s="7">
        <v>72137968</v>
      </c>
      <c r="I29" s="7">
        <v>8650400</v>
      </c>
      <c r="J29" s="7">
        <v>786400</v>
      </c>
      <c r="K29">
        <f t="shared" si="0"/>
        <v>59</v>
      </c>
      <c r="L29" s="8" t="str" cm="1">
        <f t="array" ref="L29">_xlfn.IFS(
 AND(K29&gt;=89,K29&lt;=92),"3개월",
 AND(K29&gt;=58,K29&lt;=62),"2개월",
 AND(K29&gt;=28,K29&lt;=32),"1개월",
 AND(K29=0),"당월",
 TRUE,"그외"
)</f>
        <v>2개월</v>
      </c>
    </row>
    <row r="30" spans="1:12" ht="17.649999999999999" customHeight="1" x14ac:dyDescent="0.3">
      <c r="A30" s="5">
        <v>46113</v>
      </c>
      <c r="B30" s="6" t="s">
        <v>12</v>
      </c>
      <c r="C30" s="6" t="s">
        <v>18</v>
      </c>
      <c r="D30" s="5">
        <v>46054</v>
      </c>
      <c r="E30" s="6" t="s">
        <v>15</v>
      </c>
      <c r="F30" s="7">
        <v>6623</v>
      </c>
      <c r="G30" s="7">
        <v>75305.758568624486</v>
      </c>
      <c r="H30" s="7">
        <v>498750039</v>
      </c>
      <c r="I30" s="7">
        <v>58219870</v>
      </c>
      <c r="J30" s="7">
        <v>5291000</v>
      </c>
      <c r="K30">
        <f t="shared" si="0"/>
        <v>59</v>
      </c>
      <c r="L30" s="8" t="str" cm="1">
        <f t="array" ref="L30">_xlfn.IFS(
 AND(K30&gt;=89,K30&lt;=92),"3개월",
 AND(K30&gt;=58,K30&lt;=62),"2개월",
 AND(K30&gt;=28,K30&lt;=32),"1개월",
 AND(K30=0),"당월",
 TRUE,"그외"
)</f>
        <v>2개월</v>
      </c>
    </row>
    <row r="31" spans="1:12" ht="17.649999999999999" customHeight="1" x14ac:dyDescent="0.3">
      <c r="A31" s="5">
        <v>46113</v>
      </c>
      <c r="B31" s="6" t="s">
        <v>12</v>
      </c>
      <c r="C31" s="6" t="s">
        <v>18</v>
      </c>
      <c r="D31" s="5">
        <v>46082</v>
      </c>
      <c r="E31" s="6" t="s">
        <v>14</v>
      </c>
      <c r="F31" s="7">
        <v>2905</v>
      </c>
      <c r="G31" s="7">
        <v>67144.43235800344</v>
      </c>
      <c r="H31" s="7">
        <v>195054576</v>
      </c>
      <c r="I31" s="7">
        <v>22415800</v>
      </c>
      <c r="J31" s="7">
        <v>2037800</v>
      </c>
      <c r="K31">
        <f t="shared" si="0"/>
        <v>31</v>
      </c>
      <c r="L31" s="8" t="str" cm="1">
        <f t="array" ref="L31">_xlfn.IFS(
 AND(K31&gt;=89,K31&lt;=92),"3개월",
 AND(K31&gt;=58,K31&lt;=62),"2개월",
 AND(K31&gt;=28,K31&lt;=32),"1개월",
 AND(K31=0),"당월",
 TRUE,"그외"
)</f>
        <v>1개월</v>
      </c>
    </row>
    <row r="32" spans="1:12" ht="17.649999999999999" customHeight="1" x14ac:dyDescent="0.3">
      <c r="A32" s="5">
        <v>46113</v>
      </c>
      <c r="B32" s="6" t="s">
        <v>12</v>
      </c>
      <c r="C32" s="6" t="s">
        <v>18</v>
      </c>
      <c r="D32" s="5">
        <v>46082</v>
      </c>
      <c r="E32" s="6" t="s">
        <v>15</v>
      </c>
      <c r="F32" s="7">
        <v>16947</v>
      </c>
      <c r="G32" s="7">
        <v>62159.470761786753</v>
      </c>
      <c r="H32" s="7">
        <v>1053416551</v>
      </c>
      <c r="I32" s="7">
        <v>130319324</v>
      </c>
      <c r="J32" s="7">
        <v>11845500</v>
      </c>
      <c r="K32">
        <f t="shared" si="0"/>
        <v>31</v>
      </c>
      <c r="L32" s="8" t="str" cm="1">
        <f t="array" ref="L32">_xlfn.IFS(
 AND(K32&gt;=89,K32&lt;=92),"3개월",
 AND(K32&gt;=58,K32&lt;=62),"2개월",
 AND(K32&gt;=28,K32&lt;=32),"1개월",
 AND(K32=0),"당월",
 TRUE,"그외"
)</f>
        <v>1개월</v>
      </c>
    </row>
    <row r="33" spans="1:12" ht="17.649999999999999" customHeight="1" x14ac:dyDescent="0.3">
      <c r="A33" s="5">
        <v>46113</v>
      </c>
      <c r="B33" s="6" t="s">
        <v>12</v>
      </c>
      <c r="C33" s="6" t="s">
        <v>18</v>
      </c>
      <c r="D33" s="5">
        <v>46113</v>
      </c>
      <c r="E33" s="6" t="s">
        <v>14</v>
      </c>
      <c r="F33" s="7">
        <v>339</v>
      </c>
      <c r="G33" s="7">
        <v>78480.784660766963</v>
      </c>
      <c r="H33" s="7">
        <v>26604986</v>
      </c>
      <c r="I33" s="7">
        <v>2941400</v>
      </c>
      <c r="J33" s="7">
        <v>267400</v>
      </c>
      <c r="K33">
        <f t="shared" si="0"/>
        <v>0</v>
      </c>
      <c r="L33" s="8" t="str" cm="1">
        <f t="array" ref="L33">_xlfn.IFS(
 AND(K33&gt;=89,K33&lt;=92),"3개월",
 AND(K33&gt;=58,K33&lt;=62),"2개월",
 AND(K33&gt;=28,K33&lt;=32),"1개월",
 AND(K33=0),"당월",
 TRUE,"그외"
)</f>
        <v>당월</v>
      </c>
    </row>
    <row r="34" spans="1:12" ht="17.649999999999999" customHeight="1" x14ac:dyDescent="0.3">
      <c r="A34" s="5">
        <v>46113</v>
      </c>
      <c r="B34" s="6" t="s">
        <v>12</v>
      </c>
      <c r="C34" s="6" t="s">
        <v>18</v>
      </c>
      <c r="D34" s="5">
        <v>46113</v>
      </c>
      <c r="E34" s="6" t="s">
        <v>15</v>
      </c>
      <c r="F34" s="7">
        <v>14011</v>
      </c>
      <c r="G34" s="7">
        <v>60294.55320819356</v>
      </c>
      <c r="H34" s="7">
        <v>844786985</v>
      </c>
      <c r="I34" s="7">
        <v>122772794</v>
      </c>
      <c r="J34" s="7">
        <v>11158800</v>
      </c>
      <c r="K34">
        <f t="shared" si="0"/>
        <v>0</v>
      </c>
      <c r="L34" s="8" t="str" cm="1">
        <f t="array" ref="L34">_xlfn.IFS(
 AND(K34&gt;=89,K34&lt;=92),"3개월",
 AND(K34&gt;=58,K34&lt;=62),"2개월",
 AND(K34&gt;=28,K34&lt;=32),"1개월",
 AND(K34=0),"당월",
 TRUE,"그외"
)</f>
        <v>당월</v>
      </c>
    </row>
    <row r="35" spans="1:12" ht="17.649999999999999" customHeight="1" x14ac:dyDescent="0.3">
      <c r="A35" s="5">
        <v>46113</v>
      </c>
      <c r="B35" s="6" t="s">
        <v>12</v>
      </c>
      <c r="C35" s="6" t="s">
        <v>19</v>
      </c>
      <c r="D35" s="5">
        <v>46023</v>
      </c>
      <c r="E35" s="6" t="s">
        <v>15</v>
      </c>
      <c r="F35" s="7">
        <v>22</v>
      </c>
      <c r="G35" s="7">
        <v>67425.136363636368</v>
      </c>
      <c r="H35" s="7">
        <v>1483353</v>
      </c>
      <c r="I35" s="7">
        <v>242000</v>
      </c>
      <c r="J35" s="7">
        <v>22000</v>
      </c>
      <c r="K35">
        <f t="shared" si="0"/>
        <v>90</v>
      </c>
      <c r="L35" s="8" t="str" cm="1">
        <f t="array" ref="L35">_xlfn.IFS(
 AND(K35&gt;=89,K35&lt;=92),"3개월",
 AND(K35&gt;=58,K35&lt;=62),"2개월",
 AND(K35&gt;=28,K35&lt;=32),"1개월",
 AND(K35=0),"당월",
 TRUE,"그외"
)</f>
        <v>3개월</v>
      </c>
    </row>
    <row r="36" spans="1:12" ht="17.649999999999999" customHeight="1" x14ac:dyDescent="0.3">
      <c r="A36" s="5">
        <v>46113</v>
      </c>
      <c r="B36" s="6" t="s">
        <v>12</v>
      </c>
      <c r="C36" s="6" t="s">
        <v>19</v>
      </c>
      <c r="D36" s="5">
        <v>46054</v>
      </c>
      <c r="E36" s="6" t="s">
        <v>15</v>
      </c>
      <c r="F36" s="7">
        <v>52</v>
      </c>
      <c r="G36" s="7">
        <v>50046.769230769227</v>
      </c>
      <c r="H36" s="7">
        <v>2602432</v>
      </c>
      <c r="I36" s="7">
        <v>387200</v>
      </c>
      <c r="J36" s="7">
        <v>35200</v>
      </c>
      <c r="K36">
        <f t="shared" si="0"/>
        <v>59</v>
      </c>
      <c r="L36" s="8" t="str" cm="1">
        <f t="array" ref="L36">_xlfn.IFS(
 AND(K36&gt;=89,K36&lt;=92),"3개월",
 AND(K36&gt;=58,K36&lt;=62),"2개월",
 AND(K36&gt;=28,K36&lt;=32),"1개월",
 AND(K36=0),"당월",
 TRUE,"그외"
)</f>
        <v>2개월</v>
      </c>
    </row>
    <row r="37" spans="1:12" ht="17.649999999999999" customHeight="1" x14ac:dyDescent="0.3">
      <c r="A37" s="5">
        <v>46113</v>
      </c>
      <c r="B37" s="6" t="s">
        <v>12</v>
      </c>
      <c r="C37" s="6" t="s">
        <v>19</v>
      </c>
      <c r="D37" s="5">
        <v>46082</v>
      </c>
      <c r="E37" s="6" t="s">
        <v>15</v>
      </c>
      <c r="F37" s="7">
        <v>2323</v>
      </c>
      <c r="G37" s="7">
        <v>43838.534222987517</v>
      </c>
      <c r="H37" s="7">
        <v>101836915</v>
      </c>
      <c r="I37" s="7">
        <v>16852093</v>
      </c>
      <c r="J37" s="7">
        <v>1531600</v>
      </c>
      <c r="K37">
        <f t="shared" si="0"/>
        <v>31</v>
      </c>
      <c r="L37" s="8" t="str" cm="1">
        <f t="array" ref="L37">_xlfn.IFS(
 AND(K37&gt;=89,K37&lt;=92),"3개월",
 AND(K37&gt;=58,K37&lt;=62),"2개월",
 AND(K37&gt;=28,K37&lt;=32),"1개월",
 AND(K37=0),"당월",
 TRUE,"그외"
)</f>
        <v>1개월</v>
      </c>
    </row>
    <row r="38" spans="1:12" ht="17.649999999999999" customHeight="1" x14ac:dyDescent="0.3">
      <c r="A38" s="5">
        <v>46113</v>
      </c>
      <c r="B38" s="6" t="s">
        <v>12</v>
      </c>
      <c r="C38" s="6" t="s">
        <v>19</v>
      </c>
      <c r="D38" s="5">
        <v>46113</v>
      </c>
      <c r="E38" s="6" t="s">
        <v>14</v>
      </c>
      <c r="F38" s="7">
        <v>100</v>
      </c>
      <c r="G38" s="7">
        <v>41819</v>
      </c>
      <c r="H38" s="7">
        <v>4181900</v>
      </c>
      <c r="I38" s="7">
        <v>880000</v>
      </c>
      <c r="J38" s="7">
        <v>80000</v>
      </c>
      <c r="K38">
        <f t="shared" si="0"/>
        <v>0</v>
      </c>
      <c r="L38" s="8" t="str" cm="1">
        <f t="array" ref="L38">_xlfn.IFS(
 AND(K38&gt;=89,K38&lt;=92),"3개월",
 AND(K38&gt;=58,K38&lt;=62),"2개월",
 AND(K38&gt;=28,K38&lt;=32),"1개월",
 AND(K38=0),"당월",
 TRUE,"그외"
)</f>
        <v>당월</v>
      </c>
    </row>
    <row r="39" spans="1:12" ht="17.649999999999999" customHeight="1" x14ac:dyDescent="0.3">
      <c r="A39" s="5">
        <v>46113</v>
      </c>
      <c r="B39" s="6" t="s">
        <v>12</v>
      </c>
      <c r="C39" s="6" t="s">
        <v>19</v>
      </c>
      <c r="D39" s="5">
        <v>46113</v>
      </c>
      <c r="E39" s="6" t="s">
        <v>15</v>
      </c>
      <c r="F39" s="7">
        <v>7660</v>
      </c>
      <c r="G39" s="7">
        <v>54890.567232375979</v>
      </c>
      <c r="H39" s="7">
        <v>420461745</v>
      </c>
      <c r="I39" s="7">
        <v>64983600</v>
      </c>
      <c r="J39" s="7">
        <v>5907600</v>
      </c>
      <c r="K39">
        <f t="shared" si="0"/>
        <v>0</v>
      </c>
      <c r="L39" s="8" t="str" cm="1">
        <f t="array" ref="L39">_xlfn.IFS(
 AND(K39&gt;=89,K39&lt;=92),"3개월",
 AND(K39&gt;=58,K39&lt;=62),"2개월",
 AND(K39&gt;=28,K39&lt;=32),"1개월",
 AND(K39=0),"당월",
 TRUE,"그외"
)</f>
        <v>당월</v>
      </c>
    </row>
    <row r="40" spans="1:12" ht="17.649999999999999" customHeight="1" x14ac:dyDescent="0.3">
      <c r="A40" s="5">
        <v>46113</v>
      </c>
      <c r="B40" s="6" t="s">
        <v>20</v>
      </c>
      <c r="C40" s="6" t="s">
        <v>21</v>
      </c>
      <c r="D40" s="5">
        <v>46082</v>
      </c>
      <c r="E40" s="6" t="s">
        <v>15</v>
      </c>
      <c r="F40" s="7">
        <v>10</v>
      </c>
      <c r="G40" s="7">
        <v>0</v>
      </c>
      <c r="H40" s="7">
        <v>0</v>
      </c>
      <c r="I40" s="7">
        <v>0</v>
      </c>
      <c r="J40" s="7">
        <v>0</v>
      </c>
      <c r="K40">
        <f t="shared" si="0"/>
        <v>31</v>
      </c>
      <c r="L40" s="8" t="str" cm="1">
        <f t="array" ref="L40">_xlfn.IFS(
 AND(K40&gt;=89,K40&lt;=92),"3개월",
 AND(K40&gt;=58,K40&lt;=62),"2개월",
 AND(K40&gt;=28,K40&lt;=32),"1개월",
 AND(K40=0),"당월",
 TRUE,"그외"
)</f>
        <v>1개월</v>
      </c>
    </row>
    <row r="41" spans="1:12" ht="17.649999999999999" customHeight="1" x14ac:dyDescent="0.3">
      <c r="A41" s="5">
        <v>46113</v>
      </c>
      <c r="B41" s="6" t="s">
        <v>20</v>
      </c>
      <c r="C41" s="6" t="s">
        <v>21</v>
      </c>
      <c r="D41" s="5">
        <v>46113</v>
      </c>
      <c r="E41" s="6" t="s">
        <v>14</v>
      </c>
      <c r="F41" s="7">
        <v>1298</v>
      </c>
      <c r="G41" s="7">
        <v>196979.969183359</v>
      </c>
      <c r="H41" s="7">
        <v>255680000</v>
      </c>
      <c r="I41" s="7">
        <v>0</v>
      </c>
      <c r="J41" s="7">
        <v>0</v>
      </c>
      <c r="K41">
        <f t="shared" si="0"/>
        <v>0</v>
      </c>
      <c r="L41" s="8" t="str" cm="1">
        <f t="array" ref="L41">_xlfn.IFS(
 AND(K41&gt;=89,K41&lt;=92),"3개월",
 AND(K41&gt;=58,K41&lt;=62),"2개월",
 AND(K41&gt;=28,K41&lt;=32),"1개월",
 AND(K41=0),"당월",
 TRUE,"그외"
)</f>
        <v>당월</v>
      </c>
    </row>
    <row r="42" spans="1:12" ht="17.649999999999999" customHeight="1" x14ac:dyDescent="0.3">
      <c r="A42" s="5">
        <v>46113</v>
      </c>
      <c r="B42" s="6" t="s">
        <v>20</v>
      </c>
      <c r="C42" s="6" t="s">
        <v>22</v>
      </c>
      <c r="D42" s="5">
        <v>45931</v>
      </c>
      <c r="E42" s="6" t="s">
        <v>15</v>
      </c>
      <c r="F42" s="7">
        <v>381</v>
      </c>
      <c r="G42" s="7">
        <v>113665.31233595801</v>
      </c>
      <c r="H42" s="7">
        <v>43306484</v>
      </c>
      <c r="I42" s="7">
        <v>5307780</v>
      </c>
      <c r="J42" s="7">
        <v>0</v>
      </c>
      <c r="K42">
        <f t="shared" si="0"/>
        <v>182</v>
      </c>
      <c r="L42" s="8" t="str" cm="1">
        <f t="array" ref="L42">_xlfn.IFS(
 AND(K42&gt;=89,K42&lt;=92),"3개월",
 AND(K42&gt;=58,K42&lt;=62),"2개월",
 AND(K42&gt;=28,K42&lt;=32),"1개월",
 AND(K42=0),"당월",
 TRUE,"그외"
)</f>
        <v>그외</v>
      </c>
    </row>
    <row r="43" spans="1:12" ht="17.649999999999999" customHeight="1" x14ac:dyDescent="0.3">
      <c r="A43" s="5">
        <v>46113</v>
      </c>
      <c r="B43" s="6" t="s">
        <v>20</v>
      </c>
      <c r="C43" s="6" t="s">
        <v>22</v>
      </c>
      <c r="D43" s="5">
        <v>45962</v>
      </c>
      <c r="E43" s="6" t="s">
        <v>14</v>
      </c>
      <c r="F43" s="7">
        <v>73</v>
      </c>
      <c r="G43" s="7">
        <v>75021.630136986307</v>
      </c>
      <c r="H43" s="7">
        <v>5476579</v>
      </c>
      <c r="I43" s="7">
        <v>2126528</v>
      </c>
      <c r="J43" s="7">
        <v>0</v>
      </c>
      <c r="K43">
        <f t="shared" si="0"/>
        <v>151</v>
      </c>
      <c r="L43" s="8" t="str" cm="1">
        <f t="array" ref="L43">_xlfn.IFS(
 AND(K43&gt;=89,K43&lt;=92),"3개월",
 AND(K43&gt;=58,K43&lt;=62),"2개월",
 AND(K43&gt;=28,K43&lt;=32),"1개월",
 AND(K43=0),"당월",
 TRUE,"그외"
)</f>
        <v>그외</v>
      </c>
    </row>
    <row r="44" spans="1:12" ht="17.649999999999999" customHeight="1" x14ac:dyDescent="0.3">
      <c r="A44" s="5">
        <v>46113</v>
      </c>
      <c r="B44" s="6" t="s">
        <v>20</v>
      </c>
      <c r="C44" s="6" t="s">
        <v>22</v>
      </c>
      <c r="D44" s="5">
        <v>45962</v>
      </c>
      <c r="E44" s="6" t="s">
        <v>15</v>
      </c>
      <c r="F44" s="7">
        <v>892</v>
      </c>
      <c r="G44" s="7">
        <v>130011.8015695067</v>
      </c>
      <c r="H44" s="7">
        <v>115970527</v>
      </c>
      <c r="I44" s="7">
        <v>12031679</v>
      </c>
      <c r="J44" s="7">
        <v>0</v>
      </c>
      <c r="K44">
        <f t="shared" si="0"/>
        <v>151</v>
      </c>
      <c r="L44" s="8" t="str" cm="1">
        <f t="array" ref="L44">_xlfn.IFS(
 AND(K44&gt;=89,K44&lt;=92),"3개월",
 AND(K44&gt;=58,K44&lt;=62),"2개월",
 AND(K44&gt;=28,K44&lt;=32),"1개월",
 AND(K44=0),"당월",
 TRUE,"그외"
)</f>
        <v>그외</v>
      </c>
    </row>
    <row r="45" spans="1:12" ht="17.649999999999999" customHeight="1" x14ac:dyDescent="0.3">
      <c r="A45" s="5">
        <v>46113</v>
      </c>
      <c r="B45" s="6" t="s">
        <v>20</v>
      </c>
      <c r="C45" s="6" t="s">
        <v>22</v>
      </c>
      <c r="D45" s="5">
        <v>45992</v>
      </c>
      <c r="E45" s="6" t="s">
        <v>14</v>
      </c>
      <c r="F45" s="7">
        <v>68</v>
      </c>
      <c r="G45" s="7">
        <v>76070.691176470587</v>
      </c>
      <c r="H45" s="7">
        <v>5172807</v>
      </c>
      <c r="I45" s="7">
        <v>1994211</v>
      </c>
      <c r="J45" s="7">
        <v>0</v>
      </c>
      <c r="K45">
        <f t="shared" si="0"/>
        <v>121</v>
      </c>
      <c r="L45" s="8" t="str" cm="1">
        <f t="array" ref="L45">_xlfn.IFS(
 AND(K45&gt;=89,K45&lt;=92),"3개월",
 AND(K45&gt;=58,K45&lt;=62),"2개월",
 AND(K45&gt;=28,K45&lt;=32),"1개월",
 AND(K45=0),"당월",
 TRUE,"그외"
)</f>
        <v>그외</v>
      </c>
    </row>
    <row r="46" spans="1:12" ht="17.649999999999999" customHeight="1" x14ac:dyDescent="0.3">
      <c r="A46" s="5">
        <v>46113</v>
      </c>
      <c r="B46" s="6" t="s">
        <v>20</v>
      </c>
      <c r="C46" s="6" t="s">
        <v>22</v>
      </c>
      <c r="D46" s="5">
        <v>45992</v>
      </c>
      <c r="E46" s="6" t="s">
        <v>15</v>
      </c>
      <c r="F46" s="7">
        <v>955</v>
      </c>
      <c r="G46" s="7">
        <v>131374.84397905759</v>
      </c>
      <c r="H46" s="7">
        <v>125462976</v>
      </c>
      <c r="I46" s="7">
        <v>15320989</v>
      </c>
      <c r="J46" s="7">
        <v>0</v>
      </c>
      <c r="K46">
        <f t="shared" si="0"/>
        <v>121</v>
      </c>
      <c r="L46" s="8" t="str" cm="1">
        <f t="array" ref="L46">_xlfn.IFS(
 AND(K46&gt;=89,K46&lt;=92),"3개월",
 AND(K46&gt;=58,K46&lt;=62),"2개월",
 AND(K46&gt;=28,K46&lt;=32),"1개월",
 AND(K46=0),"당월",
 TRUE,"그외"
)</f>
        <v>그외</v>
      </c>
    </row>
    <row r="47" spans="1:12" ht="17.649999999999999" customHeight="1" x14ac:dyDescent="0.3">
      <c r="A47" s="5">
        <v>46113</v>
      </c>
      <c r="B47" s="6" t="s">
        <v>20</v>
      </c>
      <c r="C47" s="6" t="s">
        <v>22</v>
      </c>
      <c r="D47" s="5">
        <v>46023</v>
      </c>
      <c r="E47" s="6" t="s">
        <v>14</v>
      </c>
      <c r="F47" s="7">
        <v>492</v>
      </c>
      <c r="G47" s="7">
        <v>89741.906504065046</v>
      </c>
      <c r="H47" s="7">
        <v>44153018</v>
      </c>
      <c r="I47" s="7">
        <v>13649495</v>
      </c>
      <c r="J47" s="7">
        <v>0</v>
      </c>
      <c r="K47">
        <f t="shared" si="0"/>
        <v>90</v>
      </c>
      <c r="L47" s="8" t="str" cm="1">
        <f t="array" ref="L47">_xlfn.IFS(
 AND(K47&gt;=89,K47&lt;=92),"3개월",
 AND(K47&gt;=58,K47&lt;=62),"2개월",
 AND(K47&gt;=28,K47&lt;=32),"1개월",
 AND(K47=0),"당월",
 TRUE,"그외"
)</f>
        <v>3개월</v>
      </c>
    </row>
    <row r="48" spans="1:12" ht="17.649999999999999" customHeight="1" x14ac:dyDescent="0.3">
      <c r="A48" s="5">
        <v>46113</v>
      </c>
      <c r="B48" s="6" t="s">
        <v>20</v>
      </c>
      <c r="C48" s="6" t="s">
        <v>22</v>
      </c>
      <c r="D48" s="5">
        <v>46023</v>
      </c>
      <c r="E48" s="6" t="s">
        <v>15</v>
      </c>
      <c r="F48" s="7">
        <v>2283</v>
      </c>
      <c r="G48" s="7">
        <v>146787.9505037232</v>
      </c>
      <c r="H48" s="7">
        <v>335116891</v>
      </c>
      <c r="I48" s="7">
        <v>36972451</v>
      </c>
      <c r="J48" s="7">
        <v>0</v>
      </c>
      <c r="K48">
        <f t="shared" si="0"/>
        <v>90</v>
      </c>
      <c r="L48" s="8" t="str" cm="1">
        <f t="array" ref="L48">_xlfn.IFS(
 AND(K48&gt;=89,K48&lt;=92),"3개월",
 AND(K48&gt;=58,K48&lt;=62),"2개월",
 AND(K48&gt;=28,K48&lt;=32),"1개월",
 AND(K48=0),"당월",
 TRUE,"그외"
)</f>
        <v>3개월</v>
      </c>
    </row>
    <row r="49" spans="1:12" ht="17.649999999999999" customHeight="1" x14ac:dyDescent="0.3">
      <c r="A49" s="5">
        <v>46113</v>
      </c>
      <c r="B49" s="6" t="s">
        <v>20</v>
      </c>
      <c r="C49" s="6" t="s">
        <v>22</v>
      </c>
      <c r="D49" s="5">
        <v>46054</v>
      </c>
      <c r="E49" s="6" t="s">
        <v>14</v>
      </c>
      <c r="F49" s="7">
        <v>1515</v>
      </c>
      <c r="G49" s="7">
        <v>115154.3755775578</v>
      </c>
      <c r="H49" s="7">
        <v>174458879</v>
      </c>
      <c r="I49" s="7">
        <v>24326335</v>
      </c>
      <c r="J49" s="7">
        <v>0</v>
      </c>
      <c r="K49">
        <f t="shared" si="0"/>
        <v>59</v>
      </c>
      <c r="L49" s="8" t="str" cm="1">
        <f t="array" ref="L49">_xlfn.IFS(
 AND(K49&gt;=89,K49&lt;=92),"3개월",
 AND(K49&gt;=58,K49&lt;=62),"2개월",
 AND(K49&gt;=28,K49&lt;=32),"1개월",
 AND(K49=0),"당월",
 TRUE,"그외"
)</f>
        <v>2개월</v>
      </c>
    </row>
    <row r="50" spans="1:12" ht="17.649999999999999" customHeight="1" x14ac:dyDescent="0.3">
      <c r="A50" s="5">
        <v>46113</v>
      </c>
      <c r="B50" s="6" t="s">
        <v>20</v>
      </c>
      <c r="C50" s="6" t="s">
        <v>22</v>
      </c>
      <c r="D50" s="5">
        <v>46054</v>
      </c>
      <c r="E50" s="6" t="s">
        <v>15</v>
      </c>
      <c r="F50" s="7">
        <v>6018</v>
      </c>
      <c r="G50" s="7">
        <v>145742.08175473579</v>
      </c>
      <c r="H50" s="7">
        <v>877075848</v>
      </c>
      <c r="I50" s="7">
        <v>73930852</v>
      </c>
      <c r="J50" s="7">
        <v>0</v>
      </c>
      <c r="K50">
        <f t="shared" si="0"/>
        <v>59</v>
      </c>
      <c r="L50" s="8" t="str" cm="1">
        <f t="array" ref="L50">_xlfn.IFS(
 AND(K50&gt;=89,K50&lt;=92),"3개월",
 AND(K50&gt;=58,K50&lt;=62),"2개월",
 AND(K50&gt;=28,K50&lt;=32),"1개월",
 AND(K50=0),"당월",
 TRUE,"그외"
)</f>
        <v>2개월</v>
      </c>
    </row>
    <row r="51" spans="1:12" ht="17.649999999999999" customHeight="1" x14ac:dyDescent="0.3">
      <c r="A51" s="5">
        <v>46113</v>
      </c>
      <c r="B51" s="6" t="s">
        <v>20</v>
      </c>
      <c r="C51" s="6" t="s">
        <v>22</v>
      </c>
      <c r="D51" s="5">
        <v>46082</v>
      </c>
      <c r="E51" s="6" t="s">
        <v>14</v>
      </c>
      <c r="F51" s="7">
        <v>6388</v>
      </c>
      <c r="G51" s="7">
        <v>132266.46681277399</v>
      </c>
      <c r="H51" s="7">
        <v>844918190</v>
      </c>
      <c r="I51" s="7">
        <v>79584563</v>
      </c>
      <c r="J51" s="7">
        <v>0</v>
      </c>
      <c r="K51">
        <f t="shared" si="0"/>
        <v>31</v>
      </c>
      <c r="L51" s="8" t="str" cm="1">
        <f t="array" ref="L51">_xlfn.IFS(
 AND(K51&gt;=89,K51&lt;=92),"3개월",
 AND(K51&gt;=58,K51&lt;=62),"2개월",
 AND(K51&gt;=28,K51&lt;=32),"1개월",
 AND(K51=0),"당월",
 TRUE,"그외"
)</f>
        <v>1개월</v>
      </c>
    </row>
    <row r="52" spans="1:12" ht="17.649999999999999" customHeight="1" x14ac:dyDescent="0.3">
      <c r="A52" s="5">
        <v>46113</v>
      </c>
      <c r="B52" s="6" t="s">
        <v>20</v>
      </c>
      <c r="C52" s="6" t="s">
        <v>22</v>
      </c>
      <c r="D52" s="5">
        <v>46082</v>
      </c>
      <c r="E52" s="6" t="s">
        <v>15</v>
      </c>
      <c r="F52" s="7">
        <v>8782</v>
      </c>
      <c r="G52" s="7">
        <v>146357.35322250059</v>
      </c>
      <c r="H52" s="7">
        <v>1285310276</v>
      </c>
      <c r="I52" s="7">
        <v>144662041</v>
      </c>
      <c r="J52" s="7">
        <v>0</v>
      </c>
      <c r="K52">
        <f t="shared" si="0"/>
        <v>31</v>
      </c>
      <c r="L52" s="8" t="str" cm="1">
        <f t="array" ref="L52">_xlfn.IFS(
 AND(K52&gt;=89,K52&lt;=92),"3개월",
 AND(K52&gt;=58,K52&lt;=62),"2개월",
 AND(K52&gt;=28,K52&lt;=32),"1개월",
 AND(K52=0),"당월",
 TRUE,"그외"
)</f>
        <v>1개월</v>
      </c>
    </row>
    <row r="53" spans="1:12" ht="17.649999999999999" customHeight="1" x14ac:dyDescent="0.3">
      <c r="A53" s="5">
        <v>46113</v>
      </c>
      <c r="B53" s="6" t="s">
        <v>20</v>
      </c>
      <c r="C53" s="6" t="s">
        <v>22</v>
      </c>
      <c r="D53" s="5">
        <v>46113</v>
      </c>
      <c r="E53" s="6" t="s">
        <v>14</v>
      </c>
      <c r="F53" s="7">
        <v>448</v>
      </c>
      <c r="G53" s="7">
        <v>146354.27678571429</v>
      </c>
      <c r="H53" s="7">
        <v>65566716</v>
      </c>
      <c r="I53" s="7">
        <v>12915664</v>
      </c>
      <c r="J53" s="7">
        <v>0</v>
      </c>
      <c r="K53">
        <f t="shared" si="0"/>
        <v>0</v>
      </c>
      <c r="L53" s="8" t="str" cm="1">
        <f t="array" ref="L53">_xlfn.IFS(
 AND(K53&gt;=89,K53&lt;=92),"3개월",
 AND(K53&gt;=58,K53&lt;=62),"2개월",
 AND(K53&gt;=28,K53&lt;=32),"1개월",
 AND(K53=0),"당월",
 TRUE,"그외"
)</f>
        <v>당월</v>
      </c>
    </row>
    <row r="54" spans="1:12" ht="17.649999999999999" customHeight="1" x14ac:dyDescent="0.3">
      <c r="A54" s="5">
        <v>46113</v>
      </c>
      <c r="B54" s="6" t="s">
        <v>20</v>
      </c>
      <c r="C54" s="6" t="s">
        <v>22</v>
      </c>
      <c r="D54" s="5">
        <v>46113</v>
      </c>
      <c r="E54" s="6" t="s">
        <v>15</v>
      </c>
      <c r="F54" s="7">
        <v>3598</v>
      </c>
      <c r="G54" s="7">
        <v>149944.52946081161</v>
      </c>
      <c r="H54" s="7">
        <v>539500417</v>
      </c>
      <c r="I54" s="7">
        <v>113041374</v>
      </c>
      <c r="J54" s="7">
        <v>0</v>
      </c>
      <c r="K54">
        <f t="shared" si="0"/>
        <v>0</v>
      </c>
      <c r="L54" s="8" t="str" cm="1">
        <f t="array" ref="L54">_xlfn.IFS(
 AND(K54&gt;=89,K54&lt;=92),"3개월",
 AND(K54&gt;=58,K54&lt;=62),"2개월",
 AND(K54&gt;=28,K54&lt;=32),"1개월",
 AND(K54=0),"당월",
 TRUE,"그외"
)</f>
        <v>당월</v>
      </c>
    </row>
    <row r="55" spans="1:12" ht="17.649999999999999" customHeight="1" x14ac:dyDescent="0.3">
      <c r="A55" s="5">
        <v>46113</v>
      </c>
      <c r="B55" s="6" t="s">
        <v>20</v>
      </c>
      <c r="C55" s="6" t="s">
        <v>23</v>
      </c>
      <c r="D55" s="5">
        <v>45931</v>
      </c>
      <c r="E55" s="6" t="s">
        <v>15</v>
      </c>
      <c r="F55" s="7">
        <v>68</v>
      </c>
      <c r="G55" s="7">
        <v>112448.5294117647</v>
      </c>
      <c r="H55" s="7">
        <v>7646500</v>
      </c>
      <c r="I55" s="7">
        <v>659600</v>
      </c>
      <c r="J55" s="7">
        <v>0</v>
      </c>
      <c r="K55">
        <f t="shared" si="0"/>
        <v>182</v>
      </c>
      <c r="L55" s="8" t="str" cm="1">
        <f t="array" ref="L55">_xlfn.IFS(
 AND(K55&gt;=89,K55&lt;=92),"3개월",
 AND(K55&gt;=58,K55&lt;=62),"2개월",
 AND(K55&gt;=28,K55&lt;=32),"1개월",
 AND(K55=0),"당월",
 TRUE,"그외"
)</f>
        <v>그외</v>
      </c>
    </row>
    <row r="56" spans="1:12" ht="17.649999999999999" customHeight="1" x14ac:dyDescent="0.3">
      <c r="A56" s="5">
        <v>46113</v>
      </c>
      <c r="B56" s="6" t="s">
        <v>20</v>
      </c>
      <c r="C56" s="6" t="s">
        <v>23</v>
      </c>
      <c r="D56" s="5">
        <v>45962</v>
      </c>
      <c r="E56" s="6" t="s">
        <v>15</v>
      </c>
      <c r="F56" s="7">
        <v>136</v>
      </c>
      <c r="G56" s="7">
        <v>113624.67647058819</v>
      </c>
      <c r="H56" s="7">
        <v>15452956</v>
      </c>
      <c r="I56" s="7">
        <v>1449019</v>
      </c>
      <c r="J56" s="7">
        <v>0</v>
      </c>
      <c r="K56">
        <f t="shared" si="0"/>
        <v>151</v>
      </c>
      <c r="L56" s="8" t="str" cm="1">
        <f t="array" ref="L56">_xlfn.IFS(
 AND(K56&gt;=89,K56&lt;=92),"3개월",
 AND(K56&gt;=58,K56&lt;=62),"2개월",
 AND(K56&gt;=28,K56&lt;=32),"1개월",
 AND(K56=0),"당월",
 TRUE,"그외"
)</f>
        <v>그외</v>
      </c>
    </row>
    <row r="57" spans="1:12" ht="17.649999999999999" customHeight="1" x14ac:dyDescent="0.3">
      <c r="A57" s="5">
        <v>46113</v>
      </c>
      <c r="B57" s="6" t="s">
        <v>20</v>
      </c>
      <c r="C57" s="6" t="s">
        <v>23</v>
      </c>
      <c r="D57" s="5">
        <v>45992</v>
      </c>
      <c r="E57" s="6" t="s">
        <v>15</v>
      </c>
      <c r="F57" s="7">
        <v>304</v>
      </c>
      <c r="G57" s="7">
        <v>133260.1875</v>
      </c>
      <c r="H57" s="7">
        <v>40511097</v>
      </c>
      <c r="I57" s="7">
        <v>4448024</v>
      </c>
      <c r="J57" s="7">
        <v>0</v>
      </c>
      <c r="K57">
        <f t="shared" si="0"/>
        <v>121</v>
      </c>
      <c r="L57" s="8" t="str" cm="1">
        <f t="array" ref="L57">_xlfn.IFS(
 AND(K57&gt;=89,K57&lt;=92),"3개월",
 AND(K57&gt;=58,K57&lt;=62),"2개월",
 AND(K57&gt;=28,K57&lt;=32),"1개월",
 AND(K57=0),"당월",
 TRUE,"그외"
)</f>
        <v>그외</v>
      </c>
    </row>
    <row r="58" spans="1:12" ht="17.649999999999999" customHeight="1" x14ac:dyDescent="0.3">
      <c r="A58" s="5">
        <v>46113</v>
      </c>
      <c r="B58" s="6" t="s">
        <v>20</v>
      </c>
      <c r="C58" s="6" t="s">
        <v>23</v>
      </c>
      <c r="D58" s="5">
        <v>46023</v>
      </c>
      <c r="E58" s="6" t="s">
        <v>15</v>
      </c>
      <c r="F58" s="7">
        <v>1389</v>
      </c>
      <c r="G58" s="7">
        <v>152765.66378689709</v>
      </c>
      <c r="H58" s="7">
        <v>212191507</v>
      </c>
      <c r="I58" s="7">
        <v>26344129</v>
      </c>
      <c r="J58" s="7">
        <v>0</v>
      </c>
      <c r="K58">
        <f t="shared" si="0"/>
        <v>90</v>
      </c>
      <c r="L58" s="8" t="str" cm="1">
        <f t="array" ref="L58">_xlfn.IFS(
 AND(K58&gt;=89,K58&lt;=92),"3개월",
 AND(K58&gt;=58,K58&lt;=62),"2개월",
 AND(K58&gt;=28,K58&lt;=32),"1개월",
 AND(K58=0),"당월",
 TRUE,"그외"
)</f>
        <v>3개월</v>
      </c>
    </row>
    <row r="59" spans="1:12" ht="17.649999999999999" customHeight="1" x14ac:dyDescent="0.3">
      <c r="A59" s="5">
        <v>46113</v>
      </c>
      <c r="B59" s="6" t="s">
        <v>20</v>
      </c>
      <c r="C59" s="6" t="s">
        <v>23</v>
      </c>
      <c r="D59" s="5">
        <v>46054</v>
      </c>
      <c r="E59" s="6" t="s">
        <v>14</v>
      </c>
      <c r="F59" s="7">
        <v>1037</v>
      </c>
      <c r="G59" s="7">
        <v>105139.9228543877</v>
      </c>
      <c r="H59" s="7">
        <v>109030100</v>
      </c>
      <c r="I59" s="7">
        <v>7570100</v>
      </c>
      <c r="J59" s="7">
        <v>0</v>
      </c>
      <c r="K59">
        <f t="shared" si="0"/>
        <v>59</v>
      </c>
      <c r="L59" s="8" t="str" cm="1">
        <f t="array" ref="L59">_xlfn.IFS(
 AND(K59&gt;=89,K59&lt;=92),"3개월",
 AND(K59&gt;=58,K59&lt;=62),"2개월",
 AND(K59&gt;=28,K59&lt;=32),"1개월",
 AND(K59=0),"당월",
 TRUE,"그외"
)</f>
        <v>2개월</v>
      </c>
    </row>
    <row r="60" spans="1:12" ht="17.649999999999999" customHeight="1" x14ac:dyDescent="0.3">
      <c r="A60" s="5">
        <v>46113</v>
      </c>
      <c r="B60" s="6" t="s">
        <v>20</v>
      </c>
      <c r="C60" s="6" t="s">
        <v>23</v>
      </c>
      <c r="D60" s="5">
        <v>46054</v>
      </c>
      <c r="E60" s="6" t="s">
        <v>15</v>
      </c>
      <c r="F60" s="7">
        <v>2352</v>
      </c>
      <c r="G60" s="7">
        <v>151990.98469387749</v>
      </c>
      <c r="H60" s="7">
        <v>357482796</v>
      </c>
      <c r="I60" s="7">
        <v>37157886</v>
      </c>
      <c r="J60" s="7">
        <v>0</v>
      </c>
      <c r="K60">
        <f t="shared" si="0"/>
        <v>59</v>
      </c>
      <c r="L60" s="8" t="str" cm="1">
        <f t="array" ref="L60">_xlfn.IFS(
 AND(K60&gt;=89,K60&lt;=92),"3개월",
 AND(K60&gt;=58,K60&lt;=62),"2개월",
 AND(K60&gt;=28,K60&lt;=32),"1개월",
 AND(K60=0),"당월",
 TRUE,"그외"
)</f>
        <v>2개월</v>
      </c>
    </row>
    <row r="61" spans="1:12" ht="17.649999999999999" customHeight="1" x14ac:dyDescent="0.3">
      <c r="A61" s="5">
        <v>46113</v>
      </c>
      <c r="B61" s="6" t="s">
        <v>20</v>
      </c>
      <c r="C61" s="6" t="s">
        <v>23</v>
      </c>
      <c r="D61" s="5">
        <v>46082</v>
      </c>
      <c r="E61" s="6" t="s">
        <v>14</v>
      </c>
      <c r="F61" s="7">
        <v>1128</v>
      </c>
      <c r="G61" s="7">
        <v>122496.80851063829</v>
      </c>
      <c r="H61" s="7">
        <v>138176400</v>
      </c>
      <c r="I61" s="7">
        <v>11546400</v>
      </c>
      <c r="J61" s="7">
        <v>0</v>
      </c>
      <c r="K61">
        <f t="shared" si="0"/>
        <v>31</v>
      </c>
      <c r="L61" s="8" t="str" cm="1">
        <f t="array" ref="L61">_xlfn.IFS(
 AND(K61&gt;=89,K61&lt;=92),"3개월",
 AND(K61&gt;=58,K61&lt;=62),"2개월",
 AND(K61&gt;=28,K61&lt;=32),"1개월",
 AND(K61=0),"당월",
 TRUE,"그외"
)</f>
        <v>1개월</v>
      </c>
    </row>
    <row r="62" spans="1:12" ht="17.649999999999999" customHeight="1" x14ac:dyDescent="0.3">
      <c r="A62" s="5">
        <v>46113</v>
      </c>
      <c r="B62" s="6" t="s">
        <v>20</v>
      </c>
      <c r="C62" s="6" t="s">
        <v>23</v>
      </c>
      <c r="D62" s="5">
        <v>46082</v>
      </c>
      <c r="E62" s="6" t="s">
        <v>15</v>
      </c>
      <c r="F62" s="7">
        <v>3285</v>
      </c>
      <c r="G62" s="7">
        <v>131373.4392694064</v>
      </c>
      <c r="H62" s="7">
        <v>431561748</v>
      </c>
      <c r="I62" s="7">
        <v>42601942</v>
      </c>
      <c r="J62" s="7">
        <v>0</v>
      </c>
      <c r="K62">
        <f t="shared" si="0"/>
        <v>31</v>
      </c>
      <c r="L62" s="8" t="str" cm="1">
        <f t="array" ref="L62">_xlfn.IFS(
 AND(K62&gt;=89,K62&lt;=92),"3개월",
 AND(K62&gt;=58,K62&lt;=62),"2개월",
 AND(K62&gt;=28,K62&lt;=32),"1개월",
 AND(K62=0),"당월",
 TRUE,"그외"
)</f>
        <v>1개월</v>
      </c>
    </row>
    <row r="63" spans="1:12" ht="17.649999999999999" customHeight="1" x14ac:dyDescent="0.3">
      <c r="A63" s="5">
        <v>46113</v>
      </c>
      <c r="B63" s="6" t="s">
        <v>20</v>
      </c>
      <c r="C63" s="6" t="s">
        <v>23</v>
      </c>
      <c r="D63" s="5">
        <v>46113</v>
      </c>
      <c r="E63" s="6" t="s">
        <v>14</v>
      </c>
      <c r="F63" s="7">
        <v>58</v>
      </c>
      <c r="G63" s="7">
        <v>150567.24137931029</v>
      </c>
      <c r="H63" s="7">
        <v>8732900</v>
      </c>
      <c r="I63" s="7">
        <v>1677900</v>
      </c>
      <c r="J63" s="7">
        <v>0</v>
      </c>
      <c r="K63">
        <f t="shared" si="0"/>
        <v>0</v>
      </c>
      <c r="L63" s="8" t="str" cm="1">
        <f t="array" ref="L63">_xlfn.IFS(
 AND(K63&gt;=89,K63&lt;=92),"3개월",
 AND(K63&gt;=58,K63&lt;=62),"2개월",
 AND(K63&gt;=28,K63&lt;=32),"1개월",
 AND(K63=0),"당월",
 TRUE,"그외"
)</f>
        <v>당월</v>
      </c>
    </row>
    <row r="64" spans="1:12" ht="17.649999999999999" customHeight="1" x14ac:dyDescent="0.3">
      <c r="A64" s="5">
        <v>46113</v>
      </c>
      <c r="B64" s="6" t="s">
        <v>20</v>
      </c>
      <c r="C64" s="6" t="s">
        <v>23</v>
      </c>
      <c r="D64" s="5">
        <v>46113</v>
      </c>
      <c r="E64" s="6" t="s">
        <v>15</v>
      </c>
      <c r="F64" s="7">
        <v>824</v>
      </c>
      <c r="G64" s="7">
        <v>157425.28519417479</v>
      </c>
      <c r="H64" s="7">
        <v>129718435</v>
      </c>
      <c r="I64" s="7">
        <v>25977558</v>
      </c>
      <c r="J64" s="7">
        <v>0</v>
      </c>
      <c r="K64">
        <f t="shared" si="0"/>
        <v>0</v>
      </c>
      <c r="L64" s="8" t="str" cm="1">
        <f t="array" ref="L64">_xlfn.IFS(
 AND(K64&gt;=89,K64&lt;=92),"3개월",
 AND(K64&gt;=58,K64&lt;=62),"2개월",
 AND(K64&gt;=28,K64&lt;=32),"1개월",
 AND(K64=0),"당월",
 TRUE,"그외"
)</f>
        <v>당월</v>
      </c>
    </row>
    <row r="65" spans="1:12" ht="17.649999999999999" customHeight="1" x14ac:dyDescent="0.3">
      <c r="A65" s="5">
        <v>46113</v>
      </c>
      <c r="B65" s="6" t="s">
        <v>20</v>
      </c>
      <c r="C65" s="6" t="s">
        <v>24</v>
      </c>
      <c r="D65" s="5">
        <v>45931</v>
      </c>
      <c r="E65" s="6" t="s">
        <v>15</v>
      </c>
      <c r="F65" s="7">
        <v>122</v>
      </c>
      <c r="G65" s="7">
        <v>108686.36065573771</v>
      </c>
      <c r="H65" s="7">
        <v>13259736</v>
      </c>
      <c r="I65" s="7">
        <v>1300160</v>
      </c>
      <c r="J65" s="7">
        <v>0</v>
      </c>
      <c r="K65">
        <f t="shared" si="0"/>
        <v>182</v>
      </c>
      <c r="L65" s="8" t="str" cm="1">
        <f t="array" ref="L65">_xlfn.IFS(
 AND(K65&gt;=89,K65&lt;=92),"3개월",
 AND(K65&gt;=58,K65&lt;=62),"2개월",
 AND(K65&gt;=28,K65&lt;=32),"1개월",
 AND(K65=0),"당월",
 TRUE,"그외"
)</f>
        <v>그외</v>
      </c>
    </row>
    <row r="66" spans="1:12" ht="17.649999999999999" customHeight="1" x14ac:dyDescent="0.3">
      <c r="A66" s="5">
        <v>46113</v>
      </c>
      <c r="B66" s="6" t="s">
        <v>20</v>
      </c>
      <c r="C66" s="6" t="s">
        <v>24</v>
      </c>
      <c r="D66" s="5">
        <v>45962</v>
      </c>
      <c r="E66" s="6" t="s">
        <v>15</v>
      </c>
      <c r="F66" s="7">
        <v>711</v>
      </c>
      <c r="G66" s="7">
        <v>103881.129395218</v>
      </c>
      <c r="H66" s="7">
        <v>73859483</v>
      </c>
      <c r="I66" s="7">
        <v>7661812</v>
      </c>
      <c r="J66" s="7">
        <v>0</v>
      </c>
      <c r="K66">
        <f t="shared" si="0"/>
        <v>151</v>
      </c>
      <c r="L66" s="8" t="str" cm="1">
        <f t="array" ref="L66">_xlfn.IFS(
 AND(K66&gt;=89,K66&lt;=92),"3개월",
 AND(K66&gt;=58,K66&lt;=62),"2개월",
 AND(K66&gt;=28,K66&lt;=32),"1개월",
 AND(K66=0),"당월",
 TRUE,"그외"
)</f>
        <v>그외</v>
      </c>
    </row>
    <row r="67" spans="1:12" ht="17.649999999999999" customHeight="1" x14ac:dyDescent="0.3">
      <c r="A67" s="5">
        <v>46113</v>
      </c>
      <c r="B67" s="6" t="s">
        <v>20</v>
      </c>
      <c r="C67" s="6" t="s">
        <v>24</v>
      </c>
      <c r="D67" s="5">
        <v>45992</v>
      </c>
      <c r="E67" s="6" t="s">
        <v>15</v>
      </c>
      <c r="F67" s="7">
        <v>913</v>
      </c>
      <c r="G67" s="7">
        <v>129422.3713033954</v>
      </c>
      <c r="H67" s="7">
        <v>118162625</v>
      </c>
      <c r="I67" s="7">
        <v>11369296</v>
      </c>
      <c r="J67" s="7">
        <v>0</v>
      </c>
      <c r="K67">
        <f t="shared" si="0"/>
        <v>121</v>
      </c>
      <c r="L67" s="8" t="str" cm="1">
        <f t="array" ref="L67">_xlfn.IFS(
 AND(K67&gt;=89,K67&lt;=92),"3개월",
 AND(K67&gt;=58,K67&lt;=62),"2개월",
 AND(K67&gt;=28,K67&lt;=32),"1개월",
 AND(K67=0),"당월",
 TRUE,"그외"
)</f>
        <v>그외</v>
      </c>
    </row>
    <row r="68" spans="1:12" ht="17.649999999999999" customHeight="1" x14ac:dyDescent="0.3">
      <c r="A68" s="5">
        <v>46113</v>
      </c>
      <c r="B68" s="6" t="s">
        <v>20</v>
      </c>
      <c r="C68" s="6" t="s">
        <v>24</v>
      </c>
      <c r="D68" s="5">
        <v>46023</v>
      </c>
      <c r="E68" s="6" t="s">
        <v>14</v>
      </c>
      <c r="F68" s="7">
        <v>4</v>
      </c>
      <c r="G68" s="7">
        <v>120947.5</v>
      </c>
      <c r="H68" s="7">
        <v>483790</v>
      </c>
      <c r="I68" s="7">
        <v>116774</v>
      </c>
      <c r="J68" s="7">
        <v>0</v>
      </c>
      <c r="K68">
        <f t="shared" si="0"/>
        <v>90</v>
      </c>
      <c r="L68" s="8" t="str" cm="1">
        <f t="array" ref="L68">_xlfn.IFS(
 AND(K68&gt;=89,K68&lt;=92),"3개월",
 AND(K68&gt;=58,K68&lt;=62),"2개월",
 AND(K68&gt;=28,K68&lt;=32),"1개월",
 AND(K68=0),"당월",
 TRUE,"그외"
)</f>
        <v>3개월</v>
      </c>
    </row>
    <row r="69" spans="1:12" ht="17.649999999999999" customHeight="1" x14ac:dyDescent="0.3">
      <c r="A69" s="5">
        <v>46113</v>
      </c>
      <c r="B69" s="6" t="s">
        <v>20</v>
      </c>
      <c r="C69" s="6" t="s">
        <v>24</v>
      </c>
      <c r="D69" s="5">
        <v>46023</v>
      </c>
      <c r="E69" s="6" t="s">
        <v>15</v>
      </c>
      <c r="F69" s="7">
        <v>2432</v>
      </c>
      <c r="G69" s="7">
        <v>141929.74095394739</v>
      </c>
      <c r="H69" s="7">
        <v>345173130</v>
      </c>
      <c r="I69" s="7">
        <v>31848826</v>
      </c>
      <c r="J69" s="7">
        <v>0</v>
      </c>
      <c r="K69">
        <f t="shared" si="0"/>
        <v>90</v>
      </c>
      <c r="L69" s="8" t="str" cm="1">
        <f t="array" ref="L69">_xlfn.IFS(
 AND(K69&gt;=89,K69&lt;=92),"3개월",
 AND(K69&gt;=58,K69&lt;=62),"2개월",
 AND(K69&gt;=28,K69&lt;=32),"1개월",
 AND(K69=0),"당월",
 TRUE,"그외"
)</f>
        <v>3개월</v>
      </c>
    </row>
    <row r="70" spans="1:12" ht="17.649999999999999" customHeight="1" x14ac:dyDescent="0.3">
      <c r="A70" s="5">
        <v>46113</v>
      </c>
      <c r="B70" s="6" t="s">
        <v>20</v>
      </c>
      <c r="C70" s="6" t="s">
        <v>24</v>
      </c>
      <c r="D70" s="5">
        <v>46054</v>
      </c>
      <c r="E70" s="6" t="s">
        <v>14</v>
      </c>
      <c r="F70" s="7">
        <v>200</v>
      </c>
      <c r="G70" s="7">
        <v>143345.12</v>
      </c>
      <c r="H70" s="7">
        <v>28669024</v>
      </c>
      <c r="I70" s="7">
        <v>1514630</v>
      </c>
      <c r="J70" s="7">
        <v>0</v>
      </c>
      <c r="K70">
        <f t="shared" si="0"/>
        <v>59</v>
      </c>
      <c r="L70" s="8" t="str" cm="1">
        <f t="array" ref="L70">_xlfn.IFS(
 AND(K70&gt;=89,K70&lt;=92),"3개월",
 AND(K70&gt;=58,K70&lt;=62),"2개월",
 AND(K70&gt;=28,K70&lt;=32),"1개월",
 AND(K70=0),"당월",
 TRUE,"그외"
)</f>
        <v>2개월</v>
      </c>
    </row>
    <row r="71" spans="1:12" ht="17.649999999999999" customHeight="1" x14ac:dyDescent="0.3">
      <c r="A71" s="5">
        <v>46113</v>
      </c>
      <c r="B71" s="6" t="s">
        <v>20</v>
      </c>
      <c r="C71" s="6" t="s">
        <v>24</v>
      </c>
      <c r="D71" s="5">
        <v>46054</v>
      </c>
      <c r="E71" s="6" t="s">
        <v>15</v>
      </c>
      <c r="F71" s="7">
        <v>3442</v>
      </c>
      <c r="G71" s="7">
        <v>153724.06769320159</v>
      </c>
      <c r="H71" s="7">
        <v>529118241</v>
      </c>
      <c r="I71" s="7">
        <v>30033653</v>
      </c>
      <c r="J71" s="7">
        <v>0</v>
      </c>
      <c r="K71">
        <f t="shared" si="0"/>
        <v>59</v>
      </c>
      <c r="L71" s="8" t="str" cm="1">
        <f t="array" ref="L71">_xlfn.IFS(
 AND(K71&gt;=89,K71&lt;=92),"3개월",
 AND(K71&gt;=58,K71&lt;=62),"2개월",
 AND(K71&gt;=28,K71&lt;=32),"1개월",
 AND(K71=0),"당월",
 TRUE,"그외"
)</f>
        <v>2개월</v>
      </c>
    </row>
    <row r="72" spans="1:12" ht="17.649999999999999" customHeight="1" x14ac:dyDescent="0.3">
      <c r="A72" s="5">
        <v>46113</v>
      </c>
      <c r="B72" s="6" t="s">
        <v>20</v>
      </c>
      <c r="C72" s="6" t="s">
        <v>24</v>
      </c>
      <c r="D72" s="5">
        <v>46082</v>
      </c>
      <c r="E72" s="6" t="s">
        <v>14</v>
      </c>
      <c r="F72" s="7">
        <v>2027</v>
      </c>
      <c r="G72" s="7">
        <v>137323.50074000991</v>
      </c>
      <c r="H72" s="7">
        <v>278354736</v>
      </c>
      <c r="I72" s="7">
        <v>21286476</v>
      </c>
      <c r="J72" s="7">
        <v>0</v>
      </c>
      <c r="K72">
        <f t="shared" si="0"/>
        <v>31</v>
      </c>
      <c r="L72" s="8" t="str" cm="1">
        <f t="array" ref="L72">_xlfn.IFS(
 AND(K72&gt;=89,K72&lt;=92),"3개월",
 AND(K72&gt;=58,K72&lt;=62),"2개월",
 AND(K72&gt;=28,K72&lt;=32),"1개월",
 AND(K72=0),"당월",
 TRUE,"그외"
)</f>
        <v>1개월</v>
      </c>
    </row>
    <row r="73" spans="1:12" ht="17.649999999999999" customHeight="1" x14ac:dyDescent="0.3">
      <c r="A73" s="5">
        <v>46113</v>
      </c>
      <c r="B73" s="6" t="s">
        <v>20</v>
      </c>
      <c r="C73" s="6" t="s">
        <v>24</v>
      </c>
      <c r="D73" s="5">
        <v>46082</v>
      </c>
      <c r="E73" s="6" t="s">
        <v>15</v>
      </c>
      <c r="F73" s="7">
        <v>8024</v>
      </c>
      <c r="G73" s="7">
        <v>144894.34097706879</v>
      </c>
      <c r="H73" s="7">
        <v>1162632192</v>
      </c>
      <c r="I73" s="7">
        <v>92365641</v>
      </c>
      <c r="J73" s="7">
        <v>0</v>
      </c>
      <c r="K73">
        <f t="shared" si="0"/>
        <v>31</v>
      </c>
      <c r="L73" s="8" t="str" cm="1">
        <f t="array" ref="L73">_xlfn.IFS(
 AND(K73&gt;=89,K73&lt;=92),"3개월",
 AND(K73&gt;=58,K73&lt;=62),"2개월",
 AND(K73&gt;=28,K73&lt;=32),"1개월",
 AND(K73=0),"당월",
 TRUE,"그외"
)</f>
        <v>1개월</v>
      </c>
    </row>
    <row r="74" spans="1:12" ht="17.649999999999999" customHeight="1" x14ac:dyDescent="0.3">
      <c r="A74" s="5">
        <v>46113</v>
      </c>
      <c r="B74" s="6" t="s">
        <v>20</v>
      </c>
      <c r="C74" s="6" t="s">
        <v>24</v>
      </c>
      <c r="D74" s="5">
        <v>46113</v>
      </c>
      <c r="E74" s="6" t="s">
        <v>14</v>
      </c>
      <c r="F74" s="7">
        <v>250</v>
      </c>
      <c r="G74" s="7">
        <v>137778</v>
      </c>
      <c r="H74" s="7">
        <v>34444500</v>
      </c>
      <c r="I74" s="7">
        <v>4891500</v>
      </c>
      <c r="J74" s="7">
        <v>0</v>
      </c>
      <c r="K74">
        <f t="shared" ref="K74:K137" si="1">A74-D74</f>
        <v>0</v>
      </c>
      <c r="L74" s="8" t="str" cm="1">
        <f t="array" ref="L74">_xlfn.IFS(
 AND(K74&gt;=89,K74&lt;=92),"3개월",
 AND(K74&gt;=58,K74&lt;=62),"2개월",
 AND(K74&gt;=28,K74&lt;=32),"1개월",
 AND(K74=0),"당월",
 TRUE,"그외"
)</f>
        <v>당월</v>
      </c>
    </row>
    <row r="75" spans="1:12" ht="17.649999999999999" customHeight="1" x14ac:dyDescent="0.3">
      <c r="A75" s="5">
        <v>46113</v>
      </c>
      <c r="B75" s="6" t="s">
        <v>20</v>
      </c>
      <c r="C75" s="6" t="s">
        <v>24</v>
      </c>
      <c r="D75" s="5">
        <v>46113</v>
      </c>
      <c r="E75" s="6" t="s">
        <v>15</v>
      </c>
      <c r="F75" s="7">
        <v>3212</v>
      </c>
      <c r="G75" s="7">
        <v>135304.84744707349</v>
      </c>
      <c r="H75" s="7">
        <v>434599170</v>
      </c>
      <c r="I75" s="7">
        <v>96412264</v>
      </c>
      <c r="J75" s="7">
        <v>0</v>
      </c>
      <c r="K75">
        <f t="shared" si="1"/>
        <v>0</v>
      </c>
      <c r="L75" s="8" t="str" cm="1">
        <f t="array" ref="L75">_xlfn.IFS(
 AND(K75&gt;=89,K75&lt;=92),"3개월",
 AND(K75&gt;=58,K75&lt;=62),"2개월",
 AND(K75&gt;=28,K75&lt;=32),"1개월",
 AND(K75=0),"당월",
 TRUE,"그외"
)</f>
        <v>당월</v>
      </c>
    </row>
    <row r="76" spans="1:12" ht="17.649999999999999" customHeight="1" x14ac:dyDescent="0.3">
      <c r="A76" s="5">
        <v>46113</v>
      </c>
      <c r="B76" s="6" t="s">
        <v>20</v>
      </c>
      <c r="C76" s="6" t="s">
        <v>25</v>
      </c>
      <c r="D76" s="5">
        <v>45962</v>
      </c>
      <c r="E76" s="6" t="s">
        <v>15</v>
      </c>
      <c r="F76" s="7">
        <v>189</v>
      </c>
      <c r="G76" s="7">
        <v>172659</v>
      </c>
      <c r="H76" s="7">
        <v>32632551</v>
      </c>
      <c r="I76" s="7">
        <v>2589804</v>
      </c>
      <c r="J76" s="7">
        <v>0</v>
      </c>
      <c r="K76">
        <f t="shared" si="1"/>
        <v>151</v>
      </c>
      <c r="L76" s="8" t="str" cm="1">
        <f t="array" ref="L76">_xlfn.IFS(
 AND(K76&gt;=89,K76&lt;=92),"3개월",
 AND(K76&gt;=58,K76&lt;=62),"2개월",
 AND(K76&gt;=28,K76&lt;=32),"1개월",
 AND(K76=0),"당월",
 TRUE,"그외"
)</f>
        <v>그외</v>
      </c>
    </row>
    <row r="77" spans="1:12" ht="17.649999999999999" customHeight="1" x14ac:dyDescent="0.3">
      <c r="A77" s="5">
        <v>46113</v>
      </c>
      <c r="B77" s="6" t="s">
        <v>20</v>
      </c>
      <c r="C77" s="6" t="s">
        <v>25</v>
      </c>
      <c r="D77" s="5">
        <v>45992</v>
      </c>
      <c r="E77" s="6" t="s">
        <v>15</v>
      </c>
      <c r="F77" s="7">
        <v>728</v>
      </c>
      <c r="G77" s="7">
        <v>151164.54670329671</v>
      </c>
      <c r="H77" s="7">
        <v>110047790</v>
      </c>
      <c r="I77" s="7">
        <v>12619401</v>
      </c>
      <c r="J77" s="7">
        <v>0</v>
      </c>
      <c r="K77">
        <f t="shared" si="1"/>
        <v>121</v>
      </c>
      <c r="L77" s="8" t="str" cm="1">
        <f t="array" ref="L77">_xlfn.IFS(
 AND(K77&gt;=89,K77&lt;=92),"3개월",
 AND(K77&gt;=58,K77&lt;=62),"2개월",
 AND(K77&gt;=28,K77&lt;=32),"1개월",
 AND(K77=0),"당월",
 TRUE,"그외"
)</f>
        <v>그외</v>
      </c>
    </row>
    <row r="78" spans="1:12" ht="17.649999999999999" customHeight="1" x14ac:dyDescent="0.3">
      <c r="A78" s="5">
        <v>46113</v>
      </c>
      <c r="B78" s="6" t="s">
        <v>20</v>
      </c>
      <c r="C78" s="6" t="s">
        <v>25</v>
      </c>
      <c r="D78" s="5">
        <v>46023</v>
      </c>
      <c r="E78" s="6" t="s">
        <v>14</v>
      </c>
      <c r="F78" s="7">
        <v>107</v>
      </c>
      <c r="G78" s="7">
        <v>84518.485981308404</v>
      </c>
      <c r="H78" s="7">
        <v>9043478</v>
      </c>
      <c r="I78" s="7">
        <v>3105595</v>
      </c>
      <c r="J78" s="7">
        <v>0</v>
      </c>
      <c r="K78">
        <f t="shared" si="1"/>
        <v>90</v>
      </c>
      <c r="L78" s="8" t="str" cm="1">
        <f t="array" ref="L78">_xlfn.IFS(
 AND(K78&gt;=89,K78&lt;=92),"3개월",
 AND(K78&gt;=58,K78&lt;=62),"2개월",
 AND(K78&gt;=28,K78&lt;=32),"1개월",
 AND(K78=0),"당월",
 TRUE,"그외"
)</f>
        <v>3개월</v>
      </c>
    </row>
    <row r="79" spans="1:12" ht="17.649999999999999" customHeight="1" x14ac:dyDescent="0.3">
      <c r="A79" s="5">
        <v>46113</v>
      </c>
      <c r="B79" s="6" t="s">
        <v>20</v>
      </c>
      <c r="C79" s="6" t="s">
        <v>25</v>
      </c>
      <c r="D79" s="5">
        <v>46023</v>
      </c>
      <c r="E79" s="6" t="s">
        <v>15</v>
      </c>
      <c r="F79" s="7">
        <v>2250</v>
      </c>
      <c r="G79" s="7">
        <v>145039.20622222219</v>
      </c>
      <c r="H79" s="7">
        <v>326338214</v>
      </c>
      <c r="I79" s="7">
        <v>39894825</v>
      </c>
      <c r="J79" s="7">
        <v>0</v>
      </c>
      <c r="K79">
        <f t="shared" si="1"/>
        <v>90</v>
      </c>
      <c r="L79" s="8" t="str" cm="1">
        <f t="array" ref="L79">_xlfn.IFS(
 AND(K79&gt;=89,K79&lt;=92),"3개월",
 AND(K79&gt;=58,K79&lt;=62),"2개월",
 AND(K79&gt;=28,K79&lt;=32),"1개월",
 AND(K79=0),"당월",
 TRUE,"그외"
)</f>
        <v>3개월</v>
      </c>
    </row>
    <row r="80" spans="1:12" ht="17.649999999999999" customHeight="1" x14ac:dyDescent="0.3">
      <c r="A80" s="5">
        <v>46113</v>
      </c>
      <c r="B80" s="6" t="s">
        <v>20</v>
      </c>
      <c r="C80" s="6" t="s">
        <v>25</v>
      </c>
      <c r="D80" s="5">
        <v>46054</v>
      </c>
      <c r="E80" s="6" t="s">
        <v>14</v>
      </c>
      <c r="F80" s="7">
        <v>48</v>
      </c>
      <c r="G80" s="7">
        <v>142769.875</v>
      </c>
      <c r="H80" s="7">
        <v>6852954</v>
      </c>
      <c r="I80" s="7">
        <v>788056</v>
      </c>
      <c r="J80" s="7">
        <v>0</v>
      </c>
      <c r="K80">
        <f t="shared" si="1"/>
        <v>59</v>
      </c>
      <c r="L80" s="8" t="str" cm="1">
        <f t="array" ref="L80">_xlfn.IFS(
 AND(K80&gt;=89,K80&lt;=92),"3개월",
 AND(K80&gt;=58,K80&lt;=62),"2개월",
 AND(K80&gt;=28,K80&lt;=32),"1개월",
 AND(K80=0),"당월",
 TRUE,"그외"
)</f>
        <v>2개월</v>
      </c>
    </row>
    <row r="81" spans="1:12" ht="17.649999999999999" customHeight="1" x14ac:dyDescent="0.3">
      <c r="A81" s="5">
        <v>46113</v>
      </c>
      <c r="B81" s="6" t="s">
        <v>20</v>
      </c>
      <c r="C81" s="6" t="s">
        <v>25</v>
      </c>
      <c r="D81" s="5">
        <v>46054</v>
      </c>
      <c r="E81" s="6" t="s">
        <v>15</v>
      </c>
      <c r="F81" s="7">
        <v>3168</v>
      </c>
      <c r="G81" s="7">
        <v>134353.4210858586</v>
      </c>
      <c r="H81" s="7">
        <v>425631638</v>
      </c>
      <c r="I81" s="7">
        <v>42063854</v>
      </c>
      <c r="J81" s="7">
        <v>0</v>
      </c>
      <c r="K81">
        <f t="shared" si="1"/>
        <v>59</v>
      </c>
      <c r="L81" s="8" t="str" cm="1">
        <f t="array" ref="L81">_xlfn.IFS(
 AND(K81&gt;=89,K81&lt;=92),"3개월",
 AND(K81&gt;=58,K81&lt;=62),"2개월",
 AND(K81&gt;=28,K81&lt;=32),"1개월",
 AND(K81=0),"당월",
 TRUE,"그외"
)</f>
        <v>2개월</v>
      </c>
    </row>
    <row r="82" spans="1:12" ht="17.649999999999999" customHeight="1" x14ac:dyDescent="0.3">
      <c r="A82" s="5">
        <v>46113</v>
      </c>
      <c r="B82" s="6" t="s">
        <v>20</v>
      </c>
      <c r="C82" s="6" t="s">
        <v>25</v>
      </c>
      <c r="D82" s="5">
        <v>46082</v>
      </c>
      <c r="E82" s="6" t="s">
        <v>14</v>
      </c>
      <c r="F82" s="7">
        <v>1569</v>
      </c>
      <c r="G82" s="7">
        <v>133540.76226896109</v>
      </c>
      <c r="H82" s="7">
        <v>209525456</v>
      </c>
      <c r="I82" s="7">
        <v>20391430</v>
      </c>
      <c r="J82" s="7">
        <v>0</v>
      </c>
      <c r="K82">
        <f t="shared" si="1"/>
        <v>31</v>
      </c>
      <c r="L82" s="8" t="str" cm="1">
        <f t="array" ref="L82">_xlfn.IFS(
 AND(K82&gt;=89,K82&lt;=92),"3개월",
 AND(K82&gt;=58,K82&lt;=62),"2개월",
 AND(K82&gt;=28,K82&lt;=32),"1개월",
 AND(K82=0),"당월",
 TRUE,"그외"
)</f>
        <v>1개월</v>
      </c>
    </row>
    <row r="83" spans="1:12" ht="17.649999999999999" customHeight="1" x14ac:dyDescent="0.3">
      <c r="A83" s="5">
        <v>46113</v>
      </c>
      <c r="B83" s="6" t="s">
        <v>20</v>
      </c>
      <c r="C83" s="6" t="s">
        <v>25</v>
      </c>
      <c r="D83" s="5">
        <v>46082</v>
      </c>
      <c r="E83" s="6" t="s">
        <v>15</v>
      </c>
      <c r="F83" s="7">
        <v>9399</v>
      </c>
      <c r="G83" s="7">
        <v>129312.0496861368</v>
      </c>
      <c r="H83" s="7">
        <v>1215403955</v>
      </c>
      <c r="I83" s="7">
        <v>155699868</v>
      </c>
      <c r="J83" s="7">
        <v>0</v>
      </c>
      <c r="K83">
        <f t="shared" si="1"/>
        <v>31</v>
      </c>
      <c r="L83" s="8" t="str" cm="1">
        <f t="array" ref="L83">_xlfn.IFS(
 AND(K83&gt;=89,K83&lt;=92),"3개월",
 AND(K83&gt;=58,K83&lt;=62),"2개월",
 AND(K83&gt;=28,K83&lt;=32),"1개월",
 AND(K83=0),"당월",
 TRUE,"그외"
)</f>
        <v>1개월</v>
      </c>
    </row>
    <row r="84" spans="1:12" ht="17.649999999999999" customHeight="1" x14ac:dyDescent="0.3">
      <c r="A84" s="5">
        <v>46113</v>
      </c>
      <c r="B84" s="6" t="s">
        <v>20</v>
      </c>
      <c r="C84" s="6" t="s">
        <v>25</v>
      </c>
      <c r="D84" s="5">
        <v>46113</v>
      </c>
      <c r="E84" s="6" t="s">
        <v>14</v>
      </c>
      <c r="F84" s="7">
        <v>91</v>
      </c>
      <c r="G84" s="7">
        <v>151218.97802197799</v>
      </c>
      <c r="H84" s="7">
        <v>13760927</v>
      </c>
      <c r="I84" s="7">
        <v>3138608</v>
      </c>
      <c r="J84" s="7">
        <v>0</v>
      </c>
      <c r="K84">
        <f t="shared" si="1"/>
        <v>0</v>
      </c>
      <c r="L84" s="8" t="str" cm="1">
        <f t="array" ref="L84">_xlfn.IFS(
 AND(K84&gt;=89,K84&lt;=92),"3개월",
 AND(K84&gt;=58,K84&lt;=62),"2개월",
 AND(K84&gt;=28,K84&lt;=32),"1개월",
 AND(K84=0),"당월",
 TRUE,"그외"
)</f>
        <v>당월</v>
      </c>
    </row>
    <row r="85" spans="1:12" ht="17.649999999999999" customHeight="1" x14ac:dyDescent="0.3">
      <c r="A85" s="5">
        <v>46113</v>
      </c>
      <c r="B85" s="6" t="s">
        <v>20</v>
      </c>
      <c r="C85" s="6" t="s">
        <v>25</v>
      </c>
      <c r="D85" s="5">
        <v>46113</v>
      </c>
      <c r="E85" s="6" t="s">
        <v>15</v>
      </c>
      <c r="F85" s="7">
        <v>3288</v>
      </c>
      <c r="G85" s="7">
        <v>132121.274026764</v>
      </c>
      <c r="H85" s="7">
        <v>434414749</v>
      </c>
      <c r="I85" s="7">
        <v>114365105</v>
      </c>
      <c r="J85" s="7">
        <v>0</v>
      </c>
      <c r="K85">
        <f t="shared" si="1"/>
        <v>0</v>
      </c>
      <c r="L85" s="8" t="str" cm="1">
        <f t="array" ref="L85">_xlfn.IFS(
 AND(K85&gt;=89,K85&lt;=92),"3개월",
 AND(K85&gt;=58,K85&lt;=62),"2개월",
 AND(K85&gt;=28,K85&lt;=32),"1개월",
 AND(K85=0),"당월",
 TRUE,"그외"
)</f>
        <v>당월</v>
      </c>
    </row>
    <row r="86" spans="1:12" ht="17.649999999999999" customHeight="1" x14ac:dyDescent="0.3">
      <c r="A86" s="5">
        <v>46113</v>
      </c>
      <c r="B86" s="6" t="s">
        <v>20</v>
      </c>
      <c r="C86" s="6" t="s">
        <v>26</v>
      </c>
      <c r="D86" s="5">
        <v>46054</v>
      </c>
      <c r="E86" s="6" t="s">
        <v>14</v>
      </c>
      <c r="F86" s="7">
        <v>3</v>
      </c>
      <c r="G86" s="7">
        <v>109458</v>
      </c>
      <c r="H86" s="7">
        <v>328374</v>
      </c>
      <c r="I86" s="7">
        <v>103845</v>
      </c>
      <c r="J86" s="7">
        <v>0</v>
      </c>
      <c r="K86">
        <f t="shared" si="1"/>
        <v>59</v>
      </c>
      <c r="L86" s="8" t="str" cm="1">
        <f t="array" ref="L86">_xlfn.IFS(
 AND(K86&gt;=89,K86&lt;=92),"3개월",
 AND(K86&gt;=58,K86&lt;=62),"2개월",
 AND(K86&gt;=28,K86&lt;=32),"1개월",
 AND(K86=0),"당월",
 TRUE,"그외"
)</f>
        <v>2개월</v>
      </c>
    </row>
    <row r="87" spans="1:12" ht="17.649999999999999" customHeight="1" x14ac:dyDescent="0.3">
      <c r="A87" s="5">
        <v>46113</v>
      </c>
      <c r="B87" s="6" t="s">
        <v>20</v>
      </c>
      <c r="C87" s="6" t="s">
        <v>26</v>
      </c>
      <c r="D87" s="5">
        <v>46054</v>
      </c>
      <c r="E87" s="6" t="s">
        <v>15</v>
      </c>
      <c r="F87" s="7">
        <v>676</v>
      </c>
      <c r="G87" s="7">
        <v>118730.21449704139</v>
      </c>
      <c r="H87" s="7">
        <v>80261625</v>
      </c>
      <c r="I87" s="7">
        <v>8187993</v>
      </c>
      <c r="J87" s="7">
        <v>0</v>
      </c>
      <c r="K87">
        <f t="shared" si="1"/>
        <v>59</v>
      </c>
      <c r="L87" s="8" t="str" cm="1">
        <f t="array" ref="L87">_xlfn.IFS(
 AND(K87&gt;=89,K87&lt;=92),"3개월",
 AND(K87&gt;=58,K87&lt;=62),"2개월",
 AND(K87&gt;=28,K87&lt;=32),"1개월",
 AND(K87=0),"당월",
 TRUE,"그외"
)</f>
        <v>2개월</v>
      </c>
    </row>
    <row r="88" spans="1:12" ht="17.649999999999999" customHeight="1" x14ac:dyDescent="0.3">
      <c r="A88" s="5">
        <v>46113</v>
      </c>
      <c r="B88" s="6" t="s">
        <v>20</v>
      </c>
      <c r="C88" s="6" t="s">
        <v>26</v>
      </c>
      <c r="D88" s="5">
        <v>46082</v>
      </c>
      <c r="E88" s="6" t="s">
        <v>14</v>
      </c>
      <c r="F88" s="7">
        <v>1355</v>
      </c>
      <c r="G88" s="7">
        <v>113397.8140221402</v>
      </c>
      <c r="H88" s="7">
        <v>153654038</v>
      </c>
      <c r="I88" s="7">
        <v>28033341</v>
      </c>
      <c r="J88" s="7">
        <v>0</v>
      </c>
      <c r="K88">
        <f t="shared" si="1"/>
        <v>31</v>
      </c>
      <c r="L88" s="8" t="str" cm="1">
        <f t="array" ref="L88">_xlfn.IFS(
 AND(K88&gt;=89,K88&lt;=92),"3개월",
 AND(K88&gt;=58,K88&lt;=62),"2개월",
 AND(K88&gt;=28,K88&lt;=32),"1개월",
 AND(K88=0),"당월",
 TRUE,"그외"
)</f>
        <v>1개월</v>
      </c>
    </row>
    <row r="89" spans="1:12" ht="17.649999999999999" customHeight="1" x14ac:dyDescent="0.3">
      <c r="A89" s="5">
        <v>46113</v>
      </c>
      <c r="B89" s="6" t="s">
        <v>20</v>
      </c>
      <c r="C89" s="6" t="s">
        <v>26</v>
      </c>
      <c r="D89" s="5">
        <v>46082</v>
      </c>
      <c r="E89" s="6" t="s">
        <v>15</v>
      </c>
      <c r="F89" s="7">
        <v>5081</v>
      </c>
      <c r="G89" s="7">
        <v>122742.016925802</v>
      </c>
      <c r="H89" s="7">
        <v>623652188</v>
      </c>
      <c r="I89" s="7">
        <v>67808657</v>
      </c>
      <c r="J89" s="7">
        <v>0</v>
      </c>
      <c r="K89">
        <f t="shared" si="1"/>
        <v>31</v>
      </c>
      <c r="L89" s="8" t="str" cm="1">
        <f t="array" ref="L89">_xlfn.IFS(
 AND(K89&gt;=89,K89&lt;=92),"3개월",
 AND(K89&gt;=58,K89&lt;=62),"2개월",
 AND(K89&gt;=28,K89&lt;=32),"1개월",
 AND(K89=0),"당월",
 TRUE,"그외"
)</f>
        <v>1개월</v>
      </c>
    </row>
    <row r="90" spans="1:12" ht="17.649999999999999" customHeight="1" x14ac:dyDescent="0.3">
      <c r="A90" s="5">
        <v>46113</v>
      </c>
      <c r="B90" s="6" t="s">
        <v>20</v>
      </c>
      <c r="C90" s="6" t="s">
        <v>26</v>
      </c>
      <c r="D90" s="5">
        <v>46113</v>
      </c>
      <c r="E90" s="6" t="s">
        <v>14</v>
      </c>
      <c r="F90" s="7">
        <v>114</v>
      </c>
      <c r="G90" s="7">
        <v>121087.6140350877</v>
      </c>
      <c r="H90" s="7">
        <v>13803988</v>
      </c>
      <c r="I90" s="7">
        <v>4033092</v>
      </c>
      <c r="J90" s="7">
        <v>0</v>
      </c>
      <c r="K90">
        <f t="shared" si="1"/>
        <v>0</v>
      </c>
      <c r="L90" s="8" t="str" cm="1">
        <f t="array" ref="L90">_xlfn.IFS(
 AND(K90&gt;=89,K90&lt;=92),"3개월",
 AND(K90&gt;=58,K90&lt;=62),"2개월",
 AND(K90&gt;=28,K90&lt;=32),"1개월",
 AND(K90=0),"당월",
 TRUE,"그외"
)</f>
        <v>당월</v>
      </c>
    </row>
    <row r="91" spans="1:12" ht="17.649999999999999" customHeight="1" x14ac:dyDescent="0.3">
      <c r="A91" s="5">
        <v>46113</v>
      </c>
      <c r="B91" s="6" t="s">
        <v>20</v>
      </c>
      <c r="C91" s="6" t="s">
        <v>26</v>
      </c>
      <c r="D91" s="5">
        <v>46113</v>
      </c>
      <c r="E91" s="6" t="s">
        <v>15</v>
      </c>
      <c r="F91" s="7">
        <v>1853</v>
      </c>
      <c r="G91" s="7">
        <v>137767.73610361581</v>
      </c>
      <c r="H91" s="7">
        <v>255283615</v>
      </c>
      <c r="I91" s="7">
        <v>60974691</v>
      </c>
      <c r="J91" s="7">
        <v>0</v>
      </c>
      <c r="K91">
        <f t="shared" si="1"/>
        <v>0</v>
      </c>
      <c r="L91" s="8" t="str" cm="1">
        <f t="array" ref="L91">_xlfn.IFS(
 AND(K91&gt;=89,K91&lt;=92),"3개월",
 AND(K91&gt;=58,K91&lt;=62),"2개월",
 AND(K91&gt;=28,K91&lt;=32),"1개월",
 AND(K91=0),"당월",
 TRUE,"그외"
)</f>
        <v>당월</v>
      </c>
    </row>
    <row r="92" spans="1:12" ht="17.649999999999999" customHeight="1" x14ac:dyDescent="0.3">
      <c r="A92" s="5">
        <v>46113</v>
      </c>
      <c r="B92" s="6" t="s">
        <v>20</v>
      </c>
      <c r="C92" s="6" t="s">
        <v>27</v>
      </c>
      <c r="D92" s="5">
        <v>45931</v>
      </c>
      <c r="E92" s="6" t="s">
        <v>14</v>
      </c>
      <c r="F92" s="7">
        <v>10</v>
      </c>
      <c r="G92" s="7">
        <v>96585.600000000006</v>
      </c>
      <c r="H92" s="7">
        <v>965856</v>
      </c>
      <c r="I92" s="7">
        <v>290710</v>
      </c>
      <c r="J92" s="7">
        <v>0</v>
      </c>
      <c r="K92">
        <f t="shared" si="1"/>
        <v>182</v>
      </c>
      <c r="L92" s="8" t="str" cm="1">
        <f t="array" ref="L92">_xlfn.IFS(
 AND(K92&gt;=89,K92&lt;=92),"3개월",
 AND(K92&gt;=58,K92&lt;=62),"2개월",
 AND(K92&gt;=28,K92&lt;=32),"1개월",
 AND(K92=0),"당월",
 TRUE,"그외"
)</f>
        <v>그외</v>
      </c>
    </row>
    <row r="93" spans="1:12" ht="17.649999999999999" customHeight="1" x14ac:dyDescent="0.3">
      <c r="A93" s="5">
        <v>46113</v>
      </c>
      <c r="B93" s="6" t="s">
        <v>20</v>
      </c>
      <c r="C93" s="6" t="s">
        <v>27</v>
      </c>
      <c r="D93" s="5">
        <v>45931</v>
      </c>
      <c r="E93" s="6" t="s">
        <v>15</v>
      </c>
      <c r="F93" s="7">
        <v>458</v>
      </c>
      <c r="G93" s="7">
        <v>128805.635371179</v>
      </c>
      <c r="H93" s="7">
        <v>58992981</v>
      </c>
      <c r="I93" s="7">
        <v>7416917</v>
      </c>
      <c r="J93" s="7">
        <v>0</v>
      </c>
      <c r="K93">
        <f t="shared" si="1"/>
        <v>182</v>
      </c>
      <c r="L93" s="8" t="str" cm="1">
        <f t="array" ref="L93">_xlfn.IFS(
 AND(K93&gt;=89,K93&lt;=92),"3개월",
 AND(K93&gt;=58,K93&lt;=62),"2개월",
 AND(K93&gt;=28,K93&lt;=32),"1개월",
 AND(K93=0),"당월",
 TRUE,"그외"
)</f>
        <v>그외</v>
      </c>
    </row>
    <row r="94" spans="1:12" ht="17.649999999999999" customHeight="1" x14ac:dyDescent="0.3">
      <c r="A94" s="5">
        <v>46113</v>
      </c>
      <c r="B94" s="6" t="s">
        <v>20</v>
      </c>
      <c r="C94" s="6" t="s">
        <v>27</v>
      </c>
      <c r="D94" s="5">
        <v>45962</v>
      </c>
      <c r="E94" s="6" t="s">
        <v>14</v>
      </c>
      <c r="F94" s="7">
        <v>76</v>
      </c>
      <c r="G94" s="7">
        <v>88295.31578947368</v>
      </c>
      <c r="H94" s="7">
        <v>6710444</v>
      </c>
      <c r="I94" s="7">
        <v>2211744</v>
      </c>
      <c r="J94" s="7">
        <v>0</v>
      </c>
      <c r="K94">
        <f t="shared" si="1"/>
        <v>151</v>
      </c>
      <c r="L94" s="8" t="str" cm="1">
        <f t="array" ref="L94">_xlfn.IFS(
 AND(K94&gt;=89,K94&lt;=92),"3개월",
 AND(K94&gt;=58,K94&lt;=62),"2개월",
 AND(K94&gt;=28,K94&lt;=32),"1개월",
 AND(K94=0),"당월",
 TRUE,"그외"
)</f>
        <v>그외</v>
      </c>
    </row>
    <row r="95" spans="1:12" ht="17.649999999999999" customHeight="1" x14ac:dyDescent="0.3">
      <c r="A95" s="5">
        <v>46113</v>
      </c>
      <c r="B95" s="6" t="s">
        <v>20</v>
      </c>
      <c r="C95" s="6" t="s">
        <v>27</v>
      </c>
      <c r="D95" s="5">
        <v>45962</v>
      </c>
      <c r="E95" s="6" t="s">
        <v>15</v>
      </c>
      <c r="F95" s="7">
        <v>762</v>
      </c>
      <c r="G95" s="7">
        <v>133569.5800524934</v>
      </c>
      <c r="H95" s="7">
        <v>101780020</v>
      </c>
      <c r="I95" s="7">
        <v>11975917</v>
      </c>
      <c r="J95" s="7">
        <v>0</v>
      </c>
      <c r="K95">
        <f t="shared" si="1"/>
        <v>151</v>
      </c>
      <c r="L95" s="8" t="str" cm="1">
        <f t="array" ref="L95">_xlfn.IFS(
 AND(K95&gt;=89,K95&lt;=92),"3개월",
 AND(K95&gt;=58,K95&lt;=62),"2개월",
 AND(K95&gt;=28,K95&lt;=32),"1개월",
 AND(K95=0),"당월",
 TRUE,"그외"
)</f>
        <v>그외</v>
      </c>
    </row>
    <row r="96" spans="1:12" ht="17.649999999999999" customHeight="1" x14ac:dyDescent="0.3">
      <c r="A96" s="5">
        <v>46113</v>
      </c>
      <c r="B96" s="6" t="s">
        <v>20</v>
      </c>
      <c r="C96" s="6" t="s">
        <v>27</v>
      </c>
      <c r="D96" s="5">
        <v>45992</v>
      </c>
      <c r="E96" s="6" t="s">
        <v>14</v>
      </c>
      <c r="F96" s="7">
        <v>189</v>
      </c>
      <c r="G96" s="7">
        <v>89745.031746031746</v>
      </c>
      <c r="H96" s="7">
        <v>16961811</v>
      </c>
      <c r="I96" s="7">
        <v>5539760</v>
      </c>
      <c r="J96" s="7">
        <v>0</v>
      </c>
      <c r="K96">
        <f t="shared" si="1"/>
        <v>121</v>
      </c>
      <c r="L96" s="8" t="str" cm="1">
        <f t="array" ref="L96">_xlfn.IFS(
 AND(K96&gt;=89,K96&lt;=92),"3개월",
 AND(K96&gt;=58,K96&lt;=62),"2개월",
 AND(K96&gt;=28,K96&lt;=32),"1개월",
 AND(K96=0),"당월",
 TRUE,"그외"
)</f>
        <v>그외</v>
      </c>
    </row>
    <row r="97" spans="1:12" ht="17.649999999999999" customHeight="1" x14ac:dyDescent="0.3">
      <c r="A97" s="5">
        <v>46113</v>
      </c>
      <c r="B97" s="6" t="s">
        <v>20</v>
      </c>
      <c r="C97" s="6" t="s">
        <v>27</v>
      </c>
      <c r="D97" s="5">
        <v>45992</v>
      </c>
      <c r="E97" s="6" t="s">
        <v>15</v>
      </c>
      <c r="F97" s="7">
        <v>742</v>
      </c>
      <c r="G97" s="7">
        <v>146565.09568733149</v>
      </c>
      <c r="H97" s="7">
        <v>108751301</v>
      </c>
      <c r="I97" s="7">
        <v>13578811</v>
      </c>
      <c r="J97" s="7">
        <v>0</v>
      </c>
      <c r="K97">
        <f t="shared" si="1"/>
        <v>121</v>
      </c>
      <c r="L97" s="8" t="str" cm="1">
        <f t="array" ref="L97">_xlfn.IFS(
 AND(K97&gt;=89,K97&lt;=92),"3개월",
 AND(K97&gt;=58,K97&lt;=62),"2개월",
 AND(K97&gt;=28,K97&lt;=32),"1개월",
 AND(K97=0),"당월",
 TRUE,"그외"
)</f>
        <v>그외</v>
      </c>
    </row>
    <row r="98" spans="1:12" ht="17.649999999999999" customHeight="1" x14ac:dyDescent="0.3">
      <c r="A98" s="5">
        <v>46113</v>
      </c>
      <c r="B98" s="6" t="s">
        <v>20</v>
      </c>
      <c r="C98" s="6" t="s">
        <v>27</v>
      </c>
      <c r="D98" s="5">
        <v>46023</v>
      </c>
      <c r="E98" s="6" t="s">
        <v>14</v>
      </c>
      <c r="F98" s="7">
        <v>181</v>
      </c>
      <c r="G98" s="7">
        <v>98077.834254143643</v>
      </c>
      <c r="H98" s="7">
        <v>17752088</v>
      </c>
      <c r="I98" s="7">
        <v>5158092</v>
      </c>
      <c r="J98" s="7">
        <v>0</v>
      </c>
      <c r="K98">
        <f t="shared" si="1"/>
        <v>90</v>
      </c>
      <c r="L98" s="8" t="str" cm="1">
        <f t="array" ref="L98">_xlfn.IFS(
 AND(K98&gt;=89,K98&lt;=92),"3개월",
 AND(K98&gt;=58,K98&lt;=62),"2개월",
 AND(K98&gt;=28,K98&lt;=32),"1개월",
 AND(K98=0),"당월",
 TRUE,"그외"
)</f>
        <v>3개월</v>
      </c>
    </row>
    <row r="99" spans="1:12" ht="17.649999999999999" customHeight="1" x14ac:dyDescent="0.3">
      <c r="A99" s="5">
        <v>46113</v>
      </c>
      <c r="B99" s="6" t="s">
        <v>20</v>
      </c>
      <c r="C99" s="6" t="s">
        <v>27</v>
      </c>
      <c r="D99" s="5">
        <v>46023</v>
      </c>
      <c r="E99" s="6" t="s">
        <v>15</v>
      </c>
      <c r="F99" s="7">
        <v>902</v>
      </c>
      <c r="G99" s="7">
        <v>147350.59977827049</v>
      </c>
      <c r="H99" s="7">
        <v>132910241</v>
      </c>
      <c r="I99" s="7">
        <v>16819505</v>
      </c>
      <c r="J99" s="7">
        <v>0</v>
      </c>
      <c r="K99">
        <f t="shared" si="1"/>
        <v>90</v>
      </c>
      <c r="L99" s="8" t="str" cm="1">
        <f t="array" ref="L99">_xlfn.IFS(
 AND(K99&gt;=89,K99&lt;=92),"3개월",
 AND(K99&gt;=58,K99&lt;=62),"2개월",
 AND(K99&gt;=28,K99&lt;=32),"1개월",
 AND(K99=0),"당월",
 TRUE,"그외"
)</f>
        <v>3개월</v>
      </c>
    </row>
    <row r="100" spans="1:12" ht="17.649999999999999" customHeight="1" x14ac:dyDescent="0.3">
      <c r="A100" s="5">
        <v>46113</v>
      </c>
      <c r="B100" s="6" t="s">
        <v>20</v>
      </c>
      <c r="C100" s="6" t="s">
        <v>27</v>
      </c>
      <c r="D100" s="5">
        <v>46054</v>
      </c>
      <c r="E100" s="6" t="s">
        <v>14</v>
      </c>
      <c r="F100" s="7">
        <v>1157</v>
      </c>
      <c r="G100" s="7">
        <v>101193.1374243734</v>
      </c>
      <c r="H100" s="7">
        <v>117080460</v>
      </c>
      <c r="I100" s="7">
        <v>21710834</v>
      </c>
      <c r="J100" s="7">
        <v>0</v>
      </c>
      <c r="K100">
        <f t="shared" si="1"/>
        <v>59</v>
      </c>
      <c r="L100" s="8" t="str" cm="1">
        <f t="array" ref="L100">_xlfn.IFS(
 AND(K100&gt;=89,K100&lt;=92),"3개월",
 AND(K100&gt;=58,K100&lt;=62),"2개월",
 AND(K100&gt;=28,K100&lt;=32),"1개월",
 AND(K100=0),"당월",
 TRUE,"그외"
)</f>
        <v>2개월</v>
      </c>
    </row>
    <row r="101" spans="1:12" ht="17.649999999999999" customHeight="1" x14ac:dyDescent="0.3">
      <c r="A101" s="5">
        <v>46113</v>
      </c>
      <c r="B101" s="6" t="s">
        <v>20</v>
      </c>
      <c r="C101" s="6" t="s">
        <v>27</v>
      </c>
      <c r="D101" s="5">
        <v>46054</v>
      </c>
      <c r="E101" s="6" t="s">
        <v>15</v>
      </c>
      <c r="F101" s="7">
        <v>5856</v>
      </c>
      <c r="G101" s="7">
        <v>146960.5107581967</v>
      </c>
      <c r="H101" s="7">
        <v>860600751</v>
      </c>
      <c r="I101" s="7">
        <v>84225319</v>
      </c>
      <c r="J101" s="7">
        <v>0</v>
      </c>
      <c r="K101">
        <f t="shared" si="1"/>
        <v>59</v>
      </c>
      <c r="L101" s="8" t="str" cm="1">
        <f t="array" ref="L101">_xlfn.IFS(
 AND(K101&gt;=89,K101&lt;=92),"3개월",
 AND(K101&gt;=58,K101&lt;=62),"2개월",
 AND(K101&gt;=28,K101&lt;=32),"1개월",
 AND(K101=0),"당월",
 TRUE,"그외"
)</f>
        <v>2개월</v>
      </c>
    </row>
    <row r="102" spans="1:12" ht="17.649999999999999" customHeight="1" x14ac:dyDescent="0.3">
      <c r="A102" s="5">
        <v>46113</v>
      </c>
      <c r="B102" s="6" t="s">
        <v>20</v>
      </c>
      <c r="C102" s="6" t="s">
        <v>27</v>
      </c>
      <c r="D102" s="5">
        <v>46082</v>
      </c>
      <c r="E102" s="6" t="s">
        <v>14</v>
      </c>
      <c r="F102" s="7">
        <v>6030</v>
      </c>
      <c r="G102" s="7">
        <v>134368.98839137639</v>
      </c>
      <c r="H102" s="7">
        <v>810245000</v>
      </c>
      <c r="I102" s="7">
        <v>72649949</v>
      </c>
      <c r="J102" s="7">
        <v>0</v>
      </c>
      <c r="K102">
        <f t="shared" si="1"/>
        <v>31</v>
      </c>
      <c r="L102" s="8" t="str" cm="1">
        <f t="array" ref="L102">_xlfn.IFS(
 AND(K102&gt;=89,K102&lt;=92),"3개월",
 AND(K102&gt;=58,K102&lt;=62),"2개월",
 AND(K102&gt;=28,K102&lt;=32),"1개월",
 AND(K102=0),"당월",
 TRUE,"그외"
)</f>
        <v>1개월</v>
      </c>
    </row>
    <row r="103" spans="1:12" ht="17.649999999999999" customHeight="1" x14ac:dyDescent="0.3">
      <c r="A103" s="5">
        <v>46113</v>
      </c>
      <c r="B103" s="6" t="s">
        <v>20</v>
      </c>
      <c r="C103" s="6" t="s">
        <v>27</v>
      </c>
      <c r="D103" s="5">
        <v>46082</v>
      </c>
      <c r="E103" s="6" t="s">
        <v>15</v>
      </c>
      <c r="F103" s="7">
        <v>8817</v>
      </c>
      <c r="G103" s="7">
        <v>150101.40081660429</v>
      </c>
      <c r="H103" s="7">
        <v>1323444051</v>
      </c>
      <c r="I103" s="7">
        <v>151266321</v>
      </c>
      <c r="J103" s="7">
        <v>0</v>
      </c>
      <c r="K103">
        <f t="shared" si="1"/>
        <v>31</v>
      </c>
      <c r="L103" s="8" t="str" cm="1">
        <f t="array" ref="L103">_xlfn.IFS(
 AND(K103&gt;=89,K103&lt;=92),"3개월",
 AND(K103&gt;=58,K103&lt;=62),"2개월",
 AND(K103&gt;=28,K103&lt;=32),"1개월",
 AND(K103=0),"당월",
 TRUE,"그외"
)</f>
        <v>1개월</v>
      </c>
    </row>
    <row r="104" spans="1:12" ht="17.649999999999999" customHeight="1" x14ac:dyDescent="0.3">
      <c r="A104" s="5">
        <v>46113</v>
      </c>
      <c r="B104" s="6" t="s">
        <v>20</v>
      </c>
      <c r="C104" s="6" t="s">
        <v>27</v>
      </c>
      <c r="D104" s="5">
        <v>46113</v>
      </c>
      <c r="E104" s="6" t="s">
        <v>14</v>
      </c>
      <c r="F104" s="7">
        <v>3941</v>
      </c>
      <c r="G104" s="7">
        <v>70178.656432377567</v>
      </c>
      <c r="H104" s="7">
        <v>276574085</v>
      </c>
      <c r="I104" s="7">
        <v>20597428</v>
      </c>
      <c r="J104" s="7">
        <v>0</v>
      </c>
      <c r="K104">
        <f t="shared" si="1"/>
        <v>0</v>
      </c>
      <c r="L104" s="8" t="str" cm="1">
        <f t="array" ref="L104">_xlfn.IFS(
 AND(K104&gt;=89,K104&lt;=92),"3개월",
 AND(K104&gt;=58,K104&lt;=62),"2개월",
 AND(K104&gt;=28,K104&lt;=32),"1개월",
 AND(K104=0),"당월",
 TRUE,"그외"
)</f>
        <v>당월</v>
      </c>
    </row>
    <row r="105" spans="1:12" ht="17.649999999999999" customHeight="1" x14ac:dyDescent="0.3">
      <c r="A105" s="5">
        <v>46113</v>
      </c>
      <c r="B105" s="6" t="s">
        <v>20</v>
      </c>
      <c r="C105" s="6" t="s">
        <v>27</v>
      </c>
      <c r="D105" s="5">
        <v>46113</v>
      </c>
      <c r="E105" s="6" t="s">
        <v>15</v>
      </c>
      <c r="F105" s="7">
        <v>3157</v>
      </c>
      <c r="G105" s="7">
        <v>145897.3344947735</v>
      </c>
      <c r="H105" s="7">
        <v>460597885</v>
      </c>
      <c r="I105" s="7">
        <v>105111914</v>
      </c>
      <c r="J105" s="7">
        <v>0</v>
      </c>
      <c r="K105">
        <f t="shared" si="1"/>
        <v>0</v>
      </c>
      <c r="L105" s="8" t="str" cm="1">
        <f t="array" ref="L105">_xlfn.IFS(
 AND(K105&gt;=89,K105&lt;=92),"3개월",
 AND(K105&gt;=58,K105&lt;=62),"2개월",
 AND(K105&gt;=28,K105&lt;=32),"1개월",
 AND(K105=0),"당월",
 TRUE,"그외"
)</f>
        <v>당월</v>
      </c>
    </row>
    <row r="106" spans="1:12" ht="17.649999999999999" customHeight="1" x14ac:dyDescent="0.3">
      <c r="A106" s="5">
        <v>46113</v>
      </c>
      <c r="B106" s="6" t="s">
        <v>20</v>
      </c>
      <c r="C106" s="6" t="s">
        <v>28</v>
      </c>
      <c r="D106" s="5">
        <v>45931</v>
      </c>
      <c r="E106" s="6" t="s">
        <v>15</v>
      </c>
      <c r="F106" s="7">
        <v>126</v>
      </c>
      <c r="G106" s="7">
        <v>115344.09523809519</v>
      </c>
      <c r="H106" s="7">
        <v>14533356</v>
      </c>
      <c r="I106" s="7">
        <v>1338960</v>
      </c>
      <c r="J106" s="7">
        <v>0</v>
      </c>
      <c r="K106">
        <f t="shared" si="1"/>
        <v>182</v>
      </c>
      <c r="L106" s="8" t="str" cm="1">
        <f t="array" ref="L106">_xlfn.IFS(
 AND(K106&gt;=89,K106&lt;=92),"3개월",
 AND(K106&gt;=58,K106&lt;=62),"2개월",
 AND(K106&gt;=28,K106&lt;=32),"1개월",
 AND(K106=0),"당월",
 TRUE,"그외"
)</f>
        <v>그외</v>
      </c>
    </row>
    <row r="107" spans="1:12" ht="17.649999999999999" customHeight="1" x14ac:dyDescent="0.3">
      <c r="A107" s="5">
        <v>46113</v>
      </c>
      <c r="B107" s="6" t="s">
        <v>20</v>
      </c>
      <c r="C107" s="6" t="s">
        <v>28</v>
      </c>
      <c r="D107" s="5">
        <v>45962</v>
      </c>
      <c r="E107" s="6" t="s">
        <v>15</v>
      </c>
      <c r="F107" s="7">
        <v>273</v>
      </c>
      <c r="G107" s="7">
        <v>118875.1135531136</v>
      </c>
      <c r="H107" s="7">
        <v>32452906</v>
      </c>
      <c r="I107" s="7">
        <v>2886369</v>
      </c>
      <c r="J107" s="7">
        <v>0</v>
      </c>
      <c r="K107">
        <f t="shared" si="1"/>
        <v>151</v>
      </c>
      <c r="L107" s="8" t="str" cm="1">
        <f t="array" ref="L107">_xlfn.IFS(
 AND(K107&gt;=89,K107&lt;=92),"3개월",
 AND(K107&gt;=58,K107&lt;=62),"2개월",
 AND(K107&gt;=28,K107&lt;=32),"1개월",
 AND(K107=0),"당월",
 TRUE,"그외"
)</f>
        <v>그외</v>
      </c>
    </row>
    <row r="108" spans="1:12" ht="17.649999999999999" customHeight="1" x14ac:dyDescent="0.3">
      <c r="A108" s="5">
        <v>46113</v>
      </c>
      <c r="B108" s="6" t="s">
        <v>20</v>
      </c>
      <c r="C108" s="6" t="s">
        <v>28</v>
      </c>
      <c r="D108" s="5">
        <v>45992</v>
      </c>
      <c r="E108" s="6" t="s">
        <v>15</v>
      </c>
      <c r="F108" s="7">
        <v>555</v>
      </c>
      <c r="G108" s="7">
        <v>139279.13693693691</v>
      </c>
      <c r="H108" s="7">
        <v>77299921</v>
      </c>
      <c r="I108" s="7">
        <v>7249431</v>
      </c>
      <c r="J108" s="7">
        <v>0</v>
      </c>
      <c r="K108">
        <f t="shared" si="1"/>
        <v>121</v>
      </c>
      <c r="L108" s="8" t="str" cm="1">
        <f t="array" ref="L108">_xlfn.IFS(
 AND(K108&gt;=89,K108&lt;=92),"3개월",
 AND(K108&gt;=58,K108&lt;=62),"2개월",
 AND(K108&gt;=28,K108&lt;=32),"1개월",
 AND(K108=0),"당월",
 TRUE,"그외"
)</f>
        <v>그외</v>
      </c>
    </row>
    <row r="109" spans="1:12" ht="17.649999999999999" customHeight="1" x14ac:dyDescent="0.3">
      <c r="A109" s="5">
        <v>46113</v>
      </c>
      <c r="B109" s="6" t="s">
        <v>20</v>
      </c>
      <c r="C109" s="6" t="s">
        <v>28</v>
      </c>
      <c r="D109" s="5">
        <v>46023</v>
      </c>
      <c r="E109" s="6" t="s">
        <v>15</v>
      </c>
      <c r="F109" s="7">
        <v>841</v>
      </c>
      <c r="G109" s="7">
        <v>153025.48038049939</v>
      </c>
      <c r="H109" s="7">
        <v>128694429</v>
      </c>
      <c r="I109" s="7">
        <v>11950491</v>
      </c>
      <c r="J109" s="7">
        <v>0</v>
      </c>
      <c r="K109">
        <f t="shared" si="1"/>
        <v>90</v>
      </c>
      <c r="L109" s="8" t="str" cm="1">
        <f t="array" ref="L109">_xlfn.IFS(
 AND(K109&gt;=89,K109&lt;=92),"3개월",
 AND(K109&gt;=58,K109&lt;=62),"2개월",
 AND(K109&gt;=28,K109&lt;=32),"1개월",
 AND(K109=0),"당월",
 TRUE,"그외"
)</f>
        <v>3개월</v>
      </c>
    </row>
    <row r="110" spans="1:12" ht="17.649999999999999" customHeight="1" x14ac:dyDescent="0.3">
      <c r="A110" s="5">
        <v>46113</v>
      </c>
      <c r="B110" s="6" t="s">
        <v>20</v>
      </c>
      <c r="C110" s="6" t="s">
        <v>28</v>
      </c>
      <c r="D110" s="5">
        <v>46054</v>
      </c>
      <c r="E110" s="6" t="s">
        <v>14</v>
      </c>
      <c r="F110" s="7">
        <v>456</v>
      </c>
      <c r="G110" s="7">
        <v>109207.89473684211</v>
      </c>
      <c r="H110" s="7">
        <v>49798800</v>
      </c>
      <c r="I110" s="7">
        <v>3328800</v>
      </c>
      <c r="J110" s="7">
        <v>0</v>
      </c>
      <c r="K110">
        <f t="shared" si="1"/>
        <v>59</v>
      </c>
      <c r="L110" s="8" t="str" cm="1">
        <f t="array" ref="L110">_xlfn.IFS(
 AND(K110&gt;=89,K110&lt;=92),"3개월",
 AND(K110&gt;=58,K110&lt;=62),"2개월",
 AND(K110&gt;=28,K110&lt;=32),"1개월",
 AND(K110=0),"당월",
 TRUE,"그외"
)</f>
        <v>2개월</v>
      </c>
    </row>
    <row r="111" spans="1:12" ht="17.649999999999999" customHeight="1" x14ac:dyDescent="0.3">
      <c r="A111" s="5">
        <v>46113</v>
      </c>
      <c r="B111" s="6" t="s">
        <v>20</v>
      </c>
      <c r="C111" s="6" t="s">
        <v>28</v>
      </c>
      <c r="D111" s="5">
        <v>46054</v>
      </c>
      <c r="E111" s="6" t="s">
        <v>15</v>
      </c>
      <c r="F111" s="7">
        <v>1496</v>
      </c>
      <c r="G111" s="7">
        <v>153875.32419786099</v>
      </c>
      <c r="H111" s="7">
        <v>230197485</v>
      </c>
      <c r="I111" s="7">
        <v>15398366</v>
      </c>
      <c r="J111" s="7">
        <v>0</v>
      </c>
      <c r="K111">
        <f t="shared" si="1"/>
        <v>59</v>
      </c>
      <c r="L111" s="8" t="str" cm="1">
        <f t="array" ref="L111">_xlfn.IFS(
 AND(K111&gt;=89,K111&lt;=92),"3개월",
 AND(K111&gt;=58,K111&lt;=62),"2개월",
 AND(K111&gt;=28,K111&lt;=32),"1개월",
 AND(K111=0),"당월",
 TRUE,"그외"
)</f>
        <v>2개월</v>
      </c>
    </row>
    <row r="112" spans="1:12" ht="17.649999999999999" customHeight="1" x14ac:dyDescent="0.3">
      <c r="A112" s="5">
        <v>46113</v>
      </c>
      <c r="B112" s="6" t="s">
        <v>20</v>
      </c>
      <c r="C112" s="6" t="s">
        <v>28</v>
      </c>
      <c r="D112" s="5">
        <v>46082</v>
      </c>
      <c r="E112" s="6" t="s">
        <v>14</v>
      </c>
      <c r="F112" s="7">
        <v>1608</v>
      </c>
      <c r="G112" s="7">
        <v>132675</v>
      </c>
      <c r="H112" s="7">
        <v>213341400</v>
      </c>
      <c r="I112" s="7">
        <v>16466400</v>
      </c>
      <c r="J112" s="7">
        <v>0</v>
      </c>
      <c r="K112">
        <f t="shared" si="1"/>
        <v>31</v>
      </c>
      <c r="L112" s="8" t="str" cm="1">
        <f t="array" ref="L112">_xlfn.IFS(
 AND(K112&gt;=89,K112&lt;=92),"3개월",
 AND(K112&gt;=58,K112&lt;=62),"2개월",
 AND(K112&gt;=28,K112&lt;=32),"1개월",
 AND(K112=0),"당월",
 TRUE,"그외"
)</f>
        <v>1개월</v>
      </c>
    </row>
    <row r="113" spans="1:12" ht="17.649999999999999" customHeight="1" x14ac:dyDescent="0.3">
      <c r="A113" s="5">
        <v>46113</v>
      </c>
      <c r="B113" s="6" t="s">
        <v>20</v>
      </c>
      <c r="C113" s="6" t="s">
        <v>28</v>
      </c>
      <c r="D113" s="5">
        <v>46082</v>
      </c>
      <c r="E113" s="6" t="s">
        <v>15</v>
      </c>
      <c r="F113" s="7">
        <v>4075</v>
      </c>
      <c r="G113" s="7">
        <v>169278.48368098159</v>
      </c>
      <c r="H113" s="7">
        <v>689809821</v>
      </c>
      <c r="I113" s="7">
        <v>57663621</v>
      </c>
      <c r="J113" s="7">
        <v>0</v>
      </c>
      <c r="K113">
        <f t="shared" si="1"/>
        <v>31</v>
      </c>
      <c r="L113" s="8" t="str" cm="1">
        <f t="array" ref="L113">_xlfn.IFS(
 AND(K113&gt;=89,K113&lt;=92),"3개월",
 AND(K113&gt;=58,K113&lt;=62),"2개월",
 AND(K113&gt;=28,K113&lt;=32),"1개월",
 AND(K113=0),"당월",
 TRUE,"그외"
)</f>
        <v>1개월</v>
      </c>
    </row>
    <row r="114" spans="1:12" ht="17.649999999999999" customHeight="1" x14ac:dyDescent="0.3">
      <c r="A114" s="5">
        <v>46113</v>
      </c>
      <c r="B114" s="6" t="s">
        <v>20</v>
      </c>
      <c r="C114" s="6" t="s">
        <v>28</v>
      </c>
      <c r="D114" s="5">
        <v>46113</v>
      </c>
      <c r="E114" s="6" t="s">
        <v>14</v>
      </c>
      <c r="F114" s="7">
        <v>335</v>
      </c>
      <c r="G114" s="7">
        <v>158989.55223880601</v>
      </c>
      <c r="H114" s="7">
        <v>53261500</v>
      </c>
      <c r="I114" s="7">
        <v>10010500</v>
      </c>
      <c r="J114" s="7">
        <v>0</v>
      </c>
      <c r="K114">
        <f t="shared" si="1"/>
        <v>0</v>
      </c>
      <c r="L114" s="8" t="str" cm="1">
        <f t="array" ref="L114">_xlfn.IFS(
 AND(K114&gt;=89,K114&lt;=92),"3개월",
 AND(K114&gt;=58,K114&lt;=62),"2개월",
 AND(K114&gt;=28,K114&lt;=32),"1개월",
 AND(K114=0),"당월",
 TRUE,"그외"
)</f>
        <v>당월</v>
      </c>
    </row>
    <row r="115" spans="1:12" ht="17.649999999999999" customHeight="1" x14ac:dyDescent="0.3">
      <c r="A115" s="5">
        <v>46113</v>
      </c>
      <c r="B115" s="6" t="s">
        <v>20</v>
      </c>
      <c r="C115" s="6" t="s">
        <v>28</v>
      </c>
      <c r="D115" s="5">
        <v>46113</v>
      </c>
      <c r="E115" s="6" t="s">
        <v>15</v>
      </c>
      <c r="F115" s="7">
        <v>810</v>
      </c>
      <c r="G115" s="7">
        <v>193894.05555555559</v>
      </c>
      <c r="H115" s="7">
        <v>157054185</v>
      </c>
      <c r="I115" s="7">
        <v>25717165</v>
      </c>
      <c r="J115" s="7">
        <v>0</v>
      </c>
      <c r="K115">
        <f t="shared" si="1"/>
        <v>0</v>
      </c>
      <c r="L115" s="8" t="str" cm="1">
        <f t="array" ref="L115">_xlfn.IFS(
 AND(K115&gt;=89,K115&lt;=92),"3개월",
 AND(K115&gt;=58,K115&lt;=62),"2개월",
 AND(K115&gt;=28,K115&lt;=32),"1개월",
 AND(K115=0),"당월",
 TRUE,"그외"
)</f>
        <v>당월</v>
      </c>
    </row>
    <row r="116" spans="1:12" ht="17.649999999999999" customHeight="1" x14ac:dyDescent="0.3">
      <c r="A116" s="5">
        <v>46113</v>
      </c>
      <c r="B116" s="6" t="s">
        <v>20</v>
      </c>
      <c r="C116" s="6" t="s">
        <v>29</v>
      </c>
      <c r="D116" s="5">
        <v>45748</v>
      </c>
      <c r="E116" s="6" t="s">
        <v>15</v>
      </c>
      <c r="F116" s="7">
        <v>1</v>
      </c>
      <c r="G116" s="7">
        <v>45000</v>
      </c>
      <c r="H116" s="7">
        <v>45000</v>
      </c>
      <c r="I116" s="7">
        <v>0</v>
      </c>
      <c r="J116" s="7">
        <v>0</v>
      </c>
      <c r="K116">
        <f t="shared" si="1"/>
        <v>365</v>
      </c>
      <c r="L116" s="8" t="str" cm="1">
        <f t="array" ref="L116">_xlfn.IFS(
 AND(K116&gt;=89,K116&lt;=92),"3개월",
 AND(K116&gt;=58,K116&lt;=62),"2개월",
 AND(K116&gt;=28,K116&lt;=32),"1개월",
 AND(K116=0),"당월",
 TRUE,"그외"
)</f>
        <v>그외</v>
      </c>
    </row>
    <row r="117" spans="1:12" ht="17.649999999999999" customHeight="1" x14ac:dyDescent="0.3">
      <c r="A117" s="5">
        <v>46113</v>
      </c>
      <c r="B117" s="6" t="s">
        <v>20</v>
      </c>
      <c r="C117" s="6" t="s">
        <v>29</v>
      </c>
      <c r="D117" s="5">
        <v>45931</v>
      </c>
      <c r="E117" s="6" t="s">
        <v>15</v>
      </c>
      <c r="F117" s="7">
        <v>117</v>
      </c>
      <c r="G117" s="7">
        <v>105206.0512820513</v>
      </c>
      <c r="H117" s="7">
        <v>12309108</v>
      </c>
      <c r="I117" s="7">
        <v>1483242</v>
      </c>
      <c r="J117" s="7">
        <v>0</v>
      </c>
      <c r="K117">
        <f t="shared" si="1"/>
        <v>182</v>
      </c>
      <c r="L117" s="8" t="str" cm="1">
        <f t="array" ref="L117">_xlfn.IFS(
 AND(K117&gt;=89,K117&lt;=92),"3개월",
 AND(K117&gt;=58,K117&lt;=62),"2개월",
 AND(K117&gt;=28,K117&lt;=32),"1개월",
 AND(K117=0),"당월",
 TRUE,"그외"
)</f>
        <v>그외</v>
      </c>
    </row>
    <row r="118" spans="1:12" ht="17.649999999999999" customHeight="1" x14ac:dyDescent="0.3">
      <c r="A118" s="5">
        <v>46113</v>
      </c>
      <c r="B118" s="6" t="s">
        <v>20</v>
      </c>
      <c r="C118" s="6" t="s">
        <v>29</v>
      </c>
      <c r="D118" s="5">
        <v>45962</v>
      </c>
      <c r="E118" s="6" t="s">
        <v>15</v>
      </c>
      <c r="F118" s="7">
        <v>473</v>
      </c>
      <c r="G118" s="7">
        <v>105843.9492600423</v>
      </c>
      <c r="H118" s="7">
        <v>50064188</v>
      </c>
      <c r="I118" s="7">
        <v>5039278</v>
      </c>
      <c r="J118" s="7">
        <v>0</v>
      </c>
      <c r="K118">
        <f t="shared" si="1"/>
        <v>151</v>
      </c>
      <c r="L118" s="8" t="str" cm="1">
        <f t="array" ref="L118">_xlfn.IFS(
 AND(K118&gt;=89,K118&lt;=92),"3개월",
 AND(K118&gt;=58,K118&lt;=62),"2개월",
 AND(K118&gt;=28,K118&lt;=32),"1개월",
 AND(K118=0),"당월",
 TRUE,"그외"
)</f>
        <v>그외</v>
      </c>
    </row>
    <row r="119" spans="1:12" ht="17.649999999999999" customHeight="1" x14ac:dyDescent="0.3">
      <c r="A119" s="5">
        <v>46113</v>
      </c>
      <c r="B119" s="6" t="s">
        <v>20</v>
      </c>
      <c r="C119" s="6" t="s">
        <v>29</v>
      </c>
      <c r="D119" s="5">
        <v>45992</v>
      </c>
      <c r="E119" s="6" t="s">
        <v>15</v>
      </c>
      <c r="F119" s="7">
        <v>512</v>
      </c>
      <c r="G119" s="7">
        <v>116249.1953125</v>
      </c>
      <c r="H119" s="7">
        <v>59519588</v>
      </c>
      <c r="I119" s="7">
        <v>6411599</v>
      </c>
      <c r="J119" s="7">
        <v>0</v>
      </c>
      <c r="K119">
        <f t="shared" si="1"/>
        <v>121</v>
      </c>
      <c r="L119" s="8" t="str" cm="1">
        <f t="array" ref="L119">_xlfn.IFS(
 AND(K119&gt;=89,K119&lt;=92),"3개월",
 AND(K119&gt;=58,K119&lt;=62),"2개월",
 AND(K119&gt;=28,K119&lt;=32),"1개월",
 AND(K119=0),"당월",
 TRUE,"그외"
)</f>
        <v>그외</v>
      </c>
    </row>
    <row r="120" spans="1:12" ht="17.649999999999999" customHeight="1" x14ac:dyDescent="0.3">
      <c r="A120" s="5">
        <v>46113</v>
      </c>
      <c r="B120" s="6" t="s">
        <v>20</v>
      </c>
      <c r="C120" s="6" t="s">
        <v>29</v>
      </c>
      <c r="D120" s="5">
        <v>46023</v>
      </c>
      <c r="E120" s="6" t="s">
        <v>15</v>
      </c>
      <c r="F120" s="7">
        <v>1005</v>
      </c>
      <c r="G120" s="7">
        <v>131851.3293532338</v>
      </c>
      <c r="H120" s="7">
        <v>132510586</v>
      </c>
      <c r="I120" s="7">
        <v>13177631</v>
      </c>
      <c r="J120" s="7">
        <v>0</v>
      </c>
      <c r="K120">
        <f t="shared" si="1"/>
        <v>90</v>
      </c>
      <c r="L120" s="8" t="str" cm="1">
        <f t="array" ref="L120">_xlfn.IFS(
 AND(K120&gt;=89,K120&lt;=92),"3개월",
 AND(K120&gt;=58,K120&lt;=62),"2개월",
 AND(K120&gt;=28,K120&lt;=32),"1개월",
 AND(K120=0),"당월",
 TRUE,"그외"
)</f>
        <v>3개월</v>
      </c>
    </row>
    <row r="121" spans="1:12" ht="17.649999999999999" customHeight="1" x14ac:dyDescent="0.3">
      <c r="A121" s="5">
        <v>46113</v>
      </c>
      <c r="B121" s="6" t="s">
        <v>20</v>
      </c>
      <c r="C121" s="6" t="s">
        <v>29</v>
      </c>
      <c r="D121" s="5">
        <v>46054</v>
      </c>
      <c r="E121" s="6" t="s">
        <v>14</v>
      </c>
      <c r="F121" s="7">
        <v>296</v>
      </c>
      <c r="G121" s="7">
        <v>154063.7702702703</v>
      </c>
      <c r="H121" s="7">
        <v>45602876</v>
      </c>
      <c r="I121" s="7">
        <v>2269206</v>
      </c>
      <c r="J121" s="7">
        <v>0</v>
      </c>
      <c r="K121">
        <f t="shared" si="1"/>
        <v>59</v>
      </c>
      <c r="L121" s="8" t="str" cm="1">
        <f t="array" ref="L121">_xlfn.IFS(
 AND(K121&gt;=89,K121&lt;=92),"3개월",
 AND(K121&gt;=58,K121&lt;=62),"2개월",
 AND(K121&gt;=28,K121&lt;=32),"1개월",
 AND(K121=0),"당월",
 TRUE,"그외"
)</f>
        <v>2개월</v>
      </c>
    </row>
    <row r="122" spans="1:12" ht="17.649999999999999" customHeight="1" x14ac:dyDescent="0.3">
      <c r="A122" s="5">
        <v>46113</v>
      </c>
      <c r="B122" s="6" t="s">
        <v>20</v>
      </c>
      <c r="C122" s="6" t="s">
        <v>29</v>
      </c>
      <c r="D122" s="5">
        <v>46054</v>
      </c>
      <c r="E122" s="6" t="s">
        <v>15</v>
      </c>
      <c r="F122" s="7">
        <v>4537</v>
      </c>
      <c r="G122" s="7">
        <v>136735.69363015209</v>
      </c>
      <c r="H122" s="7">
        <v>620369842</v>
      </c>
      <c r="I122" s="7">
        <v>48397466</v>
      </c>
      <c r="J122" s="7">
        <v>0</v>
      </c>
      <c r="K122">
        <f t="shared" si="1"/>
        <v>59</v>
      </c>
      <c r="L122" s="8" t="str" cm="1">
        <f t="array" ref="L122">_xlfn.IFS(
 AND(K122&gt;=89,K122&lt;=92),"3개월",
 AND(K122&gt;=58,K122&lt;=62),"2개월",
 AND(K122&gt;=28,K122&lt;=32),"1개월",
 AND(K122=0),"당월",
 TRUE,"그외"
)</f>
        <v>2개월</v>
      </c>
    </row>
    <row r="123" spans="1:12" ht="17.649999999999999" customHeight="1" x14ac:dyDescent="0.3">
      <c r="A123" s="5">
        <v>46113</v>
      </c>
      <c r="B123" s="6" t="s">
        <v>20</v>
      </c>
      <c r="C123" s="6" t="s">
        <v>29</v>
      </c>
      <c r="D123" s="5">
        <v>46082</v>
      </c>
      <c r="E123" s="6" t="s">
        <v>14</v>
      </c>
      <c r="F123" s="7">
        <v>3432</v>
      </c>
      <c r="G123" s="7">
        <v>142999.59673659669</v>
      </c>
      <c r="H123" s="7">
        <v>490774616</v>
      </c>
      <c r="I123" s="7">
        <v>35586270</v>
      </c>
      <c r="J123" s="7">
        <v>0</v>
      </c>
      <c r="K123">
        <f t="shared" si="1"/>
        <v>31</v>
      </c>
      <c r="L123" s="8" t="str" cm="1">
        <f t="array" ref="L123">_xlfn.IFS(
 AND(K123&gt;=89,K123&lt;=92),"3개월",
 AND(K123&gt;=58,K123&lt;=62),"2개월",
 AND(K123&gt;=28,K123&lt;=32),"1개월",
 AND(K123=0),"당월",
 TRUE,"그외"
)</f>
        <v>1개월</v>
      </c>
    </row>
    <row r="124" spans="1:12" ht="17.649999999999999" customHeight="1" x14ac:dyDescent="0.3">
      <c r="A124" s="5">
        <v>46113</v>
      </c>
      <c r="B124" s="6" t="s">
        <v>20</v>
      </c>
      <c r="C124" s="6" t="s">
        <v>29</v>
      </c>
      <c r="D124" s="5">
        <v>46082</v>
      </c>
      <c r="E124" s="6" t="s">
        <v>15</v>
      </c>
      <c r="F124" s="7">
        <v>7219</v>
      </c>
      <c r="G124" s="7">
        <v>141043.77836265409</v>
      </c>
      <c r="H124" s="7">
        <v>1018195036</v>
      </c>
      <c r="I124" s="7">
        <v>91916357</v>
      </c>
      <c r="J124" s="7">
        <v>0</v>
      </c>
      <c r="K124">
        <f t="shared" si="1"/>
        <v>31</v>
      </c>
      <c r="L124" s="8" t="str" cm="1">
        <f t="array" ref="L124">_xlfn.IFS(
 AND(K124&gt;=89,K124&lt;=92),"3개월",
 AND(K124&gt;=58,K124&lt;=62),"2개월",
 AND(K124&gt;=28,K124&lt;=32),"1개월",
 AND(K124=0),"당월",
 TRUE,"그외"
)</f>
        <v>1개월</v>
      </c>
    </row>
    <row r="125" spans="1:12" ht="17.649999999999999" customHeight="1" x14ac:dyDescent="0.3">
      <c r="A125" s="5">
        <v>46113</v>
      </c>
      <c r="B125" s="6" t="s">
        <v>20</v>
      </c>
      <c r="C125" s="6" t="s">
        <v>29</v>
      </c>
      <c r="D125" s="5">
        <v>46113</v>
      </c>
      <c r="E125" s="6" t="s">
        <v>14</v>
      </c>
      <c r="F125" s="7">
        <v>169</v>
      </c>
      <c r="G125" s="7">
        <v>150501.1834319527</v>
      </c>
      <c r="H125" s="7">
        <v>25434700</v>
      </c>
      <c r="I125" s="7">
        <v>4844700</v>
      </c>
      <c r="J125" s="7">
        <v>0</v>
      </c>
      <c r="K125">
        <f t="shared" si="1"/>
        <v>0</v>
      </c>
      <c r="L125" s="8" t="str" cm="1">
        <f t="array" ref="L125">_xlfn.IFS(
 AND(K125&gt;=89,K125&lt;=92),"3개월",
 AND(K125&gt;=58,K125&lt;=62),"2개월",
 AND(K125&gt;=28,K125&lt;=32),"1개월",
 AND(K125=0),"당월",
 TRUE,"그외"
)</f>
        <v>당월</v>
      </c>
    </row>
    <row r="126" spans="1:12" ht="17.649999999999999" customHeight="1" x14ac:dyDescent="0.3">
      <c r="A126" s="5">
        <v>46113</v>
      </c>
      <c r="B126" s="6" t="s">
        <v>20</v>
      </c>
      <c r="C126" s="6" t="s">
        <v>29</v>
      </c>
      <c r="D126" s="5">
        <v>46113</v>
      </c>
      <c r="E126" s="6" t="s">
        <v>15</v>
      </c>
      <c r="F126" s="7">
        <v>2684</v>
      </c>
      <c r="G126" s="7">
        <v>153689.17436661699</v>
      </c>
      <c r="H126" s="7">
        <v>412501744</v>
      </c>
      <c r="I126" s="7">
        <v>80966348</v>
      </c>
      <c r="J126" s="7">
        <v>0</v>
      </c>
      <c r="K126">
        <f t="shared" si="1"/>
        <v>0</v>
      </c>
      <c r="L126" s="8" t="str" cm="1">
        <f t="array" ref="L126">_xlfn.IFS(
 AND(K126&gt;=89,K126&lt;=92),"3개월",
 AND(K126&gt;=58,K126&lt;=62),"2개월",
 AND(K126&gt;=28,K126&lt;=32),"1개월",
 AND(K126=0),"당월",
 TRUE,"그외"
)</f>
        <v>당월</v>
      </c>
    </row>
    <row r="127" spans="1:12" ht="17.649999999999999" customHeight="1" x14ac:dyDescent="0.3">
      <c r="A127" s="5">
        <v>46113</v>
      </c>
      <c r="B127" s="6" t="s">
        <v>20</v>
      </c>
      <c r="C127" s="6" t="s">
        <v>30</v>
      </c>
      <c r="D127" s="5">
        <v>45931</v>
      </c>
      <c r="E127" s="6" t="s">
        <v>15</v>
      </c>
      <c r="F127" s="7">
        <v>302</v>
      </c>
      <c r="G127" s="7">
        <v>118369.39072847681</v>
      </c>
      <c r="H127" s="7">
        <v>35747556</v>
      </c>
      <c r="I127" s="7">
        <v>4366149</v>
      </c>
      <c r="J127" s="7">
        <v>0</v>
      </c>
      <c r="K127">
        <f t="shared" si="1"/>
        <v>182</v>
      </c>
      <c r="L127" s="8" t="str" cm="1">
        <f t="array" ref="L127">_xlfn.IFS(
 AND(K127&gt;=89,K127&lt;=92),"3개월",
 AND(K127&gt;=58,K127&lt;=62),"2개월",
 AND(K127&gt;=28,K127&lt;=32),"1개월",
 AND(K127=0),"당월",
 TRUE,"그외"
)</f>
        <v>그외</v>
      </c>
    </row>
    <row r="128" spans="1:12" ht="17.649999999999999" customHeight="1" x14ac:dyDescent="0.3">
      <c r="A128" s="5">
        <v>46113</v>
      </c>
      <c r="B128" s="6" t="s">
        <v>20</v>
      </c>
      <c r="C128" s="6" t="s">
        <v>30</v>
      </c>
      <c r="D128" s="5">
        <v>45962</v>
      </c>
      <c r="E128" s="6" t="s">
        <v>15</v>
      </c>
      <c r="F128" s="7">
        <v>1068</v>
      </c>
      <c r="G128" s="7">
        <v>110953.66853932579</v>
      </c>
      <c r="H128" s="7">
        <v>118498518</v>
      </c>
      <c r="I128" s="7">
        <v>14173115</v>
      </c>
      <c r="J128" s="7">
        <v>0</v>
      </c>
      <c r="K128">
        <f t="shared" si="1"/>
        <v>151</v>
      </c>
      <c r="L128" s="8" t="str" cm="1">
        <f t="array" ref="L128">_xlfn.IFS(
 AND(K128&gt;=89,K128&lt;=92),"3개월",
 AND(K128&gt;=58,K128&lt;=62),"2개월",
 AND(K128&gt;=28,K128&lt;=32),"1개월",
 AND(K128=0),"당월",
 TRUE,"그외"
)</f>
        <v>그외</v>
      </c>
    </row>
    <row r="129" spans="1:12" ht="17.649999999999999" customHeight="1" x14ac:dyDescent="0.3">
      <c r="A129" s="5">
        <v>46113</v>
      </c>
      <c r="B129" s="6" t="s">
        <v>20</v>
      </c>
      <c r="C129" s="6" t="s">
        <v>30</v>
      </c>
      <c r="D129" s="5">
        <v>45992</v>
      </c>
      <c r="E129" s="6" t="s">
        <v>15</v>
      </c>
      <c r="F129" s="7">
        <v>1371</v>
      </c>
      <c r="G129" s="7">
        <v>119828.4799416484</v>
      </c>
      <c r="H129" s="7">
        <v>164284846</v>
      </c>
      <c r="I129" s="7">
        <v>21692153</v>
      </c>
      <c r="J129" s="7">
        <v>0</v>
      </c>
      <c r="K129">
        <f t="shared" si="1"/>
        <v>121</v>
      </c>
      <c r="L129" s="8" t="str" cm="1">
        <f t="array" ref="L129">_xlfn.IFS(
 AND(K129&gt;=89,K129&lt;=92),"3개월",
 AND(K129&gt;=58,K129&lt;=62),"2개월",
 AND(K129&gt;=28,K129&lt;=32),"1개월",
 AND(K129=0),"당월",
 TRUE,"그외"
)</f>
        <v>그외</v>
      </c>
    </row>
    <row r="130" spans="1:12" ht="17.649999999999999" customHeight="1" x14ac:dyDescent="0.3">
      <c r="A130" s="5">
        <v>46113</v>
      </c>
      <c r="B130" s="6" t="s">
        <v>20</v>
      </c>
      <c r="C130" s="6" t="s">
        <v>30</v>
      </c>
      <c r="D130" s="5">
        <v>46023</v>
      </c>
      <c r="E130" s="6" t="s">
        <v>14</v>
      </c>
      <c r="F130" s="7">
        <v>5</v>
      </c>
      <c r="G130" s="7">
        <v>120316.4</v>
      </c>
      <c r="H130" s="7">
        <v>601582</v>
      </c>
      <c r="I130" s="7">
        <v>143619</v>
      </c>
      <c r="J130" s="7">
        <v>0</v>
      </c>
      <c r="K130">
        <f t="shared" si="1"/>
        <v>90</v>
      </c>
      <c r="L130" s="8" t="str" cm="1">
        <f t="array" ref="L130">_xlfn.IFS(
 AND(K130&gt;=89,K130&lt;=92),"3개월",
 AND(K130&gt;=58,K130&lt;=62),"2개월",
 AND(K130&gt;=28,K130&lt;=32),"1개월",
 AND(K130=0),"당월",
 TRUE,"그외"
)</f>
        <v>3개월</v>
      </c>
    </row>
    <row r="131" spans="1:12" ht="17.649999999999999" customHeight="1" x14ac:dyDescent="0.3">
      <c r="A131" s="5">
        <v>46113</v>
      </c>
      <c r="B131" s="6" t="s">
        <v>20</v>
      </c>
      <c r="C131" s="6" t="s">
        <v>30</v>
      </c>
      <c r="D131" s="5">
        <v>46023</v>
      </c>
      <c r="E131" s="6" t="s">
        <v>15</v>
      </c>
      <c r="F131" s="7">
        <v>1749</v>
      </c>
      <c r="G131" s="7">
        <v>135765.64379645509</v>
      </c>
      <c r="H131" s="7">
        <v>237454111</v>
      </c>
      <c r="I131" s="7">
        <v>29366119</v>
      </c>
      <c r="J131" s="7">
        <v>0</v>
      </c>
      <c r="K131">
        <f t="shared" si="1"/>
        <v>90</v>
      </c>
      <c r="L131" s="8" t="str" cm="1">
        <f t="array" ref="L131">_xlfn.IFS(
 AND(K131&gt;=89,K131&lt;=92),"3개월",
 AND(K131&gt;=58,K131&lt;=62),"2개월",
 AND(K131&gt;=28,K131&lt;=32),"1개월",
 AND(K131=0),"당월",
 TRUE,"그외"
)</f>
        <v>3개월</v>
      </c>
    </row>
    <row r="132" spans="1:12" ht="17.649999999999999" customHeight="1" x14ac:dyDescent="0.3">
      <c r="A132" s="5">
        <v>46113</v>
      </c>
      <c r="B132" s="6" t="s">
        <v>20</v>
      </c>
      <c r="C132" s="6" t="s">
        <v>30</v>
      </c>
      <c r="D132" s="5">
        <v>46054</v>
      </c>
      <c r="E132" s="6" t="s">
        <v>14</v>
      </c>
      <c r="F132" s="7">
        <v>167</v>
      </c>
      <c r="G132" s="7">
        <v>117470.7425149701</v>
      </c>
      <c r="H132" s="7">
        <v>19617614</v>
      </c>
      <c r="I132" s="7">
        <v>1654764</v>
      </c>
      <c r="J132" s="7">
        <v>0</v>
      </c>
      <c r="K132">
        <f t="shared" si="1"/>
        <v>59</v>
      </c>
      <c r="L132" s="8" t="str" cm="1">
        <f t="array" ref="L132">_xlfn.IFS(
 AND(K132&gt;=89,K132&lt;=92),"3개월",
 AND(K132&gt;=58,K132&lt;=62),"2개월",
 AND(K132&gt;=28,K132&lt;=32),"1개월",
 AND(K132=0),"당월",
 TRUE,"그외"
)</f>
        <v>2개월</v>
      </c>
    </row>
    <row r="133" spans="1:12" ht="17.649999999999999" customHeight="1" x14ac:dyDescent="0.3">
      <c r="A133" s="5">
        <v>46113</v>
      </c>
      <c r="B133" s="6" t="s">
        <v>20</v>
      </c>
      <c r="C133" s="6" t="s">
        <v>30</v>
      </c>
      <c r="D133" s="5">
        <v>46054</v>
      </c>
      <c r="E133" s="6" t="s">
        <v>15</v>
      </c>
      <c r="F133" s="7">
        <v>1508</v>
      </c>
      <c r="G133" s="7">
        <v>158688.91312997349</v>
      </c>
      <c r="H133" s="7">
        <v>239302881</v>
      </c>
      <c r="I133" s="7">
        <v>18894074</v>
      </c>
      <c r="J133" s="7">
        <v>0</v>
      </c>
      <c r="K133">
        <f t="shared" si="1"/>
        <v>59</v>
      </c>
      <c r="L133" s="8" t="str" cm="1">
        <f t="array" ref="L133">_xlfn.IFS(
 AND(K133&gt;=89,K133&lt;=92),"3개월",
 AND(K133&gt;=58,K133&lt;=62),"2개월",
 AND(K133&gt;=28,K133&lt;=32),"1개월",
 AND(K133=0),"당월",
 TRUE,"그외"
)</f>
        <v>2개월</v>
      </c>
    </row>
    <row r="134" spans="1:12" ht="17.649999999999999" customHeight="1" x14ac:dyDescent="0.3">
      <c r="A134" s="5">
        <v>46113</v>
      </c>
      <c r="B134" s="6" t="s">
        <v>20</v>
      </c>
      <c r="C134" s="6" t="s">
        <v>30</v>
      </c>
      <c r="D134" s="5">
        <v>46082</v>
      </c>
      <c r="E134" s="6" t="s">
        <v>14</v>
      </c>
      <c r="F134" s="7">
        <v>2348</v>
      </c>
      <c r="G134" s="7">
        <v>131353.91098807499</v>
      </c>
      <c r="H134" s="7">
        <v>308418983</v>
      </c>
      <c r="I134" s="7">
        <v>24591912</v>
      </c>
      <c r="J134" s="7">
        <v>0</v>
      </c>
      <c r="K134">
        <f t="shared" si="1"/>
        <v>31</v>
      </c>
      <c r="L134" s="8" t="str" cm="1">
        <f t="array" ref="L134">_xlfn.IFS(
 AND(K134&gt;=89,K134&lt;=92),"3개월",
 AND(K134&gt;=58,K134&lt;=62),"2개월",
 AND(K134&gt;=28,K134&lt;=32),"1개월",
 AND(K134=0),"당월",
 TRUE,"그외"
)</f>
        <v>1개월</v>
      </c>
    </row>
    <row r="135" spans="1:12" ht="17.649999999999999" customHeight="1" x14ac:dyDescent="0.3">
      <c r="A135" s="5">
        <v>46113</v>
      </c>
      <c r="B135" s="6" t="s">
        <v>20</v>
      </c>
      <c r="C135" s="6" t="s">
        <v>30</v>
      </c>
      <c r="D135" s="5">
        <v>46082</v>
      </c>
      <c r="E135" s="6" t="s">
        <v>15</v>
      </c>
      <c r="F135" s="7">
        <v>8264</v>
      </c>
      <c r="G135" s="7">
        <v>119870.44663601161</v>
      </c>
      <c r="H135" s="7">
        <v>990609371</v>
      </c>
      <c r="I135" s="7">
        <v>112848018</v>
      </c>
      <c r="J135" s="7">
        <v>0</v>
      </c>
      <c r="K135">
        <f t="shared" si="1"/>
        <v>31</v>
      </c>
      <c r="L135" s="8" t="str" cm="1">
        <f t="array" ref="L135">_xlfn.IFS(
 AND(K135&gt;=89,K135&lt;=92),"3개월",
 AND(K135&gt;=58,K135&lt;=62),"2개월",
 AND(K135&gt;=28,K135&lt;=32),"1개월",
 AND(K135=0),"당월",
 TRUE,"그외"
)</f>
        <v>1개월</v>
      </c>
    </row>
    <row r="136" spans="1:12" ht="17.649999999999999" customHeight="1" x14ac:dyDescent="0.3">
      <c r="A136" s="5">
        <v>46113</v>
      </c>
      <c r="B136" s="6" t="s">
        <v>20</v>
      </c>
      <c r="C136" s="6" t="s">
        <v>30</v>
      </c>
      <c r="D136" s="5">
        <v>46113</v>
      </c>
      <c r="E136" s="6" t="s">
        <v>14</v>
      </c>
      <c r="F136" s="7">
        <v>188</v>
      </c>
      <c r="G136" s="7">
        <v>146087.58510638299</v>
      </c>
      <c r="H136" s="7">
        <v>27464466</v>
      </c>
      <c r="I136" s="7">
        <v>5595834</v>
      </c>
      <c r="J136" s="7">
        <v>0</v>
      </c>
      <c r="K136">
        <f t="shared" si="1"/>
        <v>0</v>
      </c>
      <c r="L136" s="8" t="str" cm="1">
        <f t="array" ref="L136">_xlfn.IFS(
 AND(K136&gt;=89,K136&lt;=92),"3개월",
 AND(K136&gt;=58,K136&lt;=62),"2개월",
 AND(K136&gt;=28,K136&lt;=32),"1개월",
 AND(K136=0),"당월",
 TRUE,"그외"
)</f>
        <v>당월</v>
      </c>
    </row>
    <row r="137" spans="1:12" ht="17.649999999999999" customHeight="1" x14ac:dyDescent="0.3">
      <c r="A137" s="5">
        <v>46113</v>
      </c>
      <c r="B137" s="6" t="s">
        <v>20</v>
      </c>
      <c r="C137" s="6" t="s">
        <v>30</v>
      </c>
      <c r="D137" s="5">
        <v>46113</v>
      </c>
      <c r="E137" s="6" t="s">
        <v>15</v>
      </c>
      <c r="F137" s="7">
        <v>3092</v>
      </c>
      <c r="G137" s="7">
        <v>130965.5934670116</v>
      </c>
      <c r="H137" s="7">
        <v>404945615</v>
      </c>
      <c r="I137" s="7">
        <v>101580012</v>
      </c>
      <c r="J137" s="7">
        <v>0</v>
      </c>
      <c r="K137">
        <f t="shared" si="1"/>
        <v>0</v>
      </c>
      <c r="L137" s="8" t="str" cm="1">
        <f t="array" ref="L137">_xlfn.IFS(
 AND(K137&gt;=89,K137&lt;=92),"3개월",
 AND(K137&gt;=58,K137&lt;=62),"2개월",
 AND(K137&gt;=28,K137&lt;=32),"1개월",
 AND(K137=0),"당월",
 TRUE,"그외"
)</f>
        <v>당월</v>
      </c>
    </row>
    <row r="138" spans="1:12" ht="17.649999999999999" customHeight="1" x14ac:dyDescent="0.3">
      <c r="A138" s="5">
        <v>46113</v>
      </c>
      <c r="B138" s="6" t="s">
        <v>20</v>
      </c>
      <c r="C138" s="6" t="s">
        <v>31</v>
      </c>
      <c r="D138" s="5">
        <v>45931</v>
      </c>
      <c r="E138" s="6" t="s">
        <v>15</v>
      </c>
      <c r="F138" s="7">
        <v>150</v>
      </c>
      <c r="G138" s="7">
        <v>136573.5333333333</v>
      </c>
      <c r="H138" s="7">
        <v>20486030</v>
      </c>
      <c r="I138" s="7">
        <v>2946982</v>
      </c>
      <c r="J138" s="7">
        <v>0</v>
      </c>
      <c r="K138">
        <f t="shared" ref="K138:K201" si="2">A138-D138</f>
        <v>182</v>
      </c>
      <c r="L138" s="8" t="str" cm="1">
        <f t="array" ref="L138">_xlfn.IFS(
 AND(K138&gt;=89,K138&lt;=92),"3개월",
 AND(K138&gt;=58,K138&lt;=62),"2개월",
 AND(K138&gt;=28,K138&lt;=32),"1개월",
 AND(K138=0),"당월",
 TRUE,"그외"
)</f>
        <v>그외</v>
      </c>
    </row>
    <row r="139" spans="1:12" ht="17.649999999999999" customHeight="1" x14ac:dyDescent="0.3">
      <c r="A139" s="5">
        <v>46113</v>
      </c>
      <c r="B139" s="6" t="s">
        <v>20</v>
      </c>
      <c r="C139" s="6" t="s">
        <v>31</v>
      </c>
      <c r="D139" s="5">
        <v>45962</v>
      </c>
      <c r="E139" s="6" t="s">
        <v>14</v>
      </c>
      <c r="F139" s="7">
        <v>16</v>
      </c>
      <c r="G139" s="7">
        <v>114321</v>
      </c>
      <c r="H139" s="7">
        <v>1829136</v>
      </c>
      <c r="I139" s="7">
        <v>468632</v>
      </c>
      <c r="J139" s="7">
        <v>0</v>
      </c>
      <c r="K139">
        <f t="shared" si="2"/>
        <v>151</v>
      </c>
      <c r="L139" s="8" t="str" cm="1">
        <f t="array" ref="L139">_xlfn.IFS(
 AND(K139&gt;=89,K139&lt;=92),"3개월",
 AND(K139&gt;=58,K139&lt;=62),"2개월",
 AND(K139&gt;=28,K139&lt;=32),"1개월",
 AND(K139=0),"당월",
 TRUE,"그외"
)</f>
        <v>그외</v>
      </c>
    </row>
    <row r="140" spans="1:12" ht="17.649999999999999" customHeight="1" x14ac:dyDescent="0.3">
      <c r="A140" s="5">
        <v>46113</v>
      </c>
      <c r="B140" s="6" t="s">
        <v>20</v>
      </c>
      <c r="C140" s="6" t="s">
        <v>31</v>
      </c>
      <c r="D140" s="5">
        <v>45962</v>
      </c>
      <c r="E140" s="6" t="s">
        <v>15</v>
      </c>
      <c r="F140" s="7">
        <v>335</v>
      </c>
      <c r="G140" s="7">
        <v>133681.9462686567</v>
      </c>
      <c r="H140" s="7">
        <v>44783452</v>
      </c>
      <c r="I140" s="7">
        <v>6165017</v>
      </c>
      <c r="J140" s="7">
        <v>0</v>
      </c>
      <c r="K140">
        <f t="shared" si="2"/>
        <v>151</v>
      </c>
      <c r="L140" s="8" t="str" cm="1">
        <f t="array" ref="L140">_xlfn.IFS(
 AND(K140&gt;=89,K140&lt;=92),"3개월",
 AND(K140&gt;=58,K140&lt;=62),"2개월",
 AND(K140&gt;=28,K140&lt;=32),"1개월",
 AND(K140=0),"당월",
 TRUE,"그외"
)</f>
        <v>그외</v>
      </c>
    </row>
    <row r="141" spans="1:12" ht="17.649999999999999" customHeight="1" x14ac:dyDescent="0.3">
      <c r="A141" s="5">
        <v>46113</v>
      </c>
      <c r="B141" s="6" t="s">
        <v>20</v>
      </c>
      <c r="C141" s="6" t="s">
        <v>31</v>
      </c>
      <c r="D141" s="5">
        <v>45992</v>
      </c>
      <c r="E141" s="6" t="s">
        <v>14</v>
      </c>
      <c r="F141" s="7">
        <v>47</v>
      </c>
      <c r="G141" s="7">
        <v>117242.1063829787</v>
      </c>
      <c r="H141" s="7">
        <v>5510379</v>
      </c>
      <c r="I141" s="7">
        <v>1368853</v>
      </c>
      <c r="J141" s="7">
        <v>0</v>
      </c>
      <c r="K141">
        <f t="shared" si="2"/>
        <v>121</v>
      </c>
      <c r="L141" s="8" t="str" cm="1">
        <f t="array" ref="L141">_xlfn.IFS(
 AND(K141&gt;=89,K141&lt;=92),"3개월",
 AND(K141&gt;=58,K141&lt;=62),"2개월",
 AND(K141&gt;=28,K141&lt;=32),"1개월",
 AND(K141=0),"당월",
 TRUE,"그외"
)</f>
        <v>그외</v>
      </c>
    </row>
    <row r="142" spans="1:12" ht="17.649999999999999" customHeight="1" x14ac:dyDescent="0.3">
      <c r="A142" s="5">
        <v>46113</v>
      </c>
      <c r="B142" s="6" t="s">
        <v>20</v>
      </c>
      <c r="C142" s="6" t="s">
        <v>31</v>
      </c>
      <c r="D142" s="5">
        <v>45992</v>
      </c>
      <c r="E142" s="6" t="s">
        <v>15</v>
      </c>
      <c r="F142" s="7">
        <v>380</v>
      </c>
      <c r="G142" s="7">
        <v>145500.88947368419</v>
      </c>
      <c r="H142" s="7">
        <v>55290338</v>
      </c>
      <c r="I142" s="7">
        <v>7614924</v>
      </c>
      <c r="J142" s="7">
        <v>0</v>
      </c>
      <c r="K142">
        <f t="shared" si="2"/>
        <v>121</v>
      </c>
      <c r="L142" s="8" t="str" cm="1">
        <f t="array" ref="L142">_xlfn.IFS(
 AND(K142&gt;=89,K142&lt;=92),"3개월",
 AND(K142&gt;=58,K142&lt;=62),"2개월",
 AND(K142&gt;=28,K142&lt;=32),"1개월",
 AND(K142=0),"당월",
 TRUE,"그외"
)</f>
        <v>그외</v>
      </c>
    </row>
    <row r="143" spans="1:12" ht="17.649999999999999" customHeight="1" x14ac:dyDescent="0.3">
      <c r="A143" s="5">
        <v>46113</v>
      </c>
      <c r="B143" s="6" t="s">
        <v>20</v>
      </c>
      <c r="C143" s="6" t="s">
        <v>31</v>
      </c>
      <c r="D143" s="5">
        <v>46023</v>
      </c>
      <c r="E143" s="6" t="s">
        <v>14</v>
      </c>
      <c r="F143" s="7">
        <v>231</v>
      </c>
      <c r="G143" s="7">
        <v>119807.5844155844</v>
      </c>
      <c r="H143" s="7">
        <v>27675552</v>
      </c>
      <c r="I143" s="7">
        <v>6657870</v>
      </c>
      <c r="J143" s="7">
        <v>0</v>
      </c>
      <c r="K143">
        <f t="shared" si="2"/>
        <v>90</v>
      </c>
      <c r="L143" s="8" t="str" cm="1">
        <f t="array" ref="L143">_xlfn.IFS(
 AND(K143&gt;=89,K143&lt;=92),"3개월",
 AND(K143&gt;=58,K143&lt;=62),"2개월",
 AND(K143&gt;=28,K143&lt;=32),"1개월",
 AND(K143=0),"당월",
 TRUE,"그외"
)</f>
        <v>3개월</v>
      </c>
    </row>
    <row r="144" spans="1:12" ht="17.649999999999999" customHeight="1" x14ac:dyDescent="0.3">
      <c r="A144" s="5">
        <v>46113</v>
      </c>
      <c r="B144" s="6" t="s">
        <v>20</v>
      </c>
      <c r="C144" s="6" t="s">
        <v>31</v>
      </c>
      <c r="D144" s="5">
        <v>46023</v>
      </c>
      <c r="E144" s="6" t="s">
        <v>15</v>
      </c>
      <c r="F144" s="7">
        <v>1134</v>
      </c>
      <c r="G144" s="7">
        <v>156644.33862433859</v>
      </c>
      <c r="H144" s="7">
        <v>177634680</v>
      </c>
      <c r="I144" s="7">
        <v>21879030</v>
      </c>
      <c r="J144" s="7">
        <v>0</v>
      </c>
      <c r="K144">
        <f t="shared" si="2"/>
        <v>90</v>
      </c>
      <c r="L144" s="8" t="str" cm="1">
        <f t="array" ref="L144">_xlfn.IFS(
 AND(K144&gt;=89,K144&lt;=92),"3개월",
 AND(K144&gt;=58,K144&lt;=62),"2개월",
 AND(K144&gt;=28,K144&lt;=32),"1개월",
 AND(K144=0),"당월",
 TRUE,"그외"
)</f>
        <v>3개월</v>
      </c>
    </row>
    <row r="145" spans="1:12" ht="17.649999999999999" customHeight="1" x14ac:dyDescent="0.3">
      <c r="A145" s="5">
        <v>46113</v>
      </c>
      <c r="B145" s="6" t="s">
        <v>20</v>
      </c>
      <c r="C145" s="6" t="s">
        <v>31</v>
      </c>
      <c r="D145" s="5">
        <v>46054</v>
      </c>
      <c r="E145" s="6" t="s">
        <v>14</v>
      </c>
      <c r="F145" s="7">
        <v>266</v>
      </c>
      <c r="G145" s="7">
        <v>137206.19924812031</v>
      </c>
      <c r="H145" s="7">
        <v>36496849</v>
      </c>
      <c r="I145" s="7">
        <v>8669642</v>
      </c>
      <c r="J145" s="7">
        <v>0</v>
      </c>
      <c r="K145">
        <f t="shared" si="2"/>
        <v>59</v>
      </c>
      <c r="L145" s="8" t="str" cm="1">
        <f t="array" ref="L145">_xlfn.IFS(
 AND(K145&gt;=89,K145&lt;=92),"3개월",
 AND(K145&gt;=58,K145&lt;=62),"2개월",
 AND(K145&gt;=28,K145&lt;=32),"1개월",
 AND(K145=0),"당월",
 TRUE,"그외"
)</f>
        <v>2개월</v>
      </c>
    </row>
    <row r="146" spans="1:12" ht="17.649999999999999" customHeight="1" x14ac:dyDescent="0.3">
      <c r="A146" s="5">
        <v>46113</v>
      </c>
      <c r="B146" s="6" t="s">
        <v>20</v>
      </c>
      <c r="C146" s="6" t="s">
        <v>31</v>
      </c>
      <c r="D146" s="5">
        <v>46054</v>
      </c>
      <c r="E146" s="6" t="s">
        <v>15</v>
      </c>
      <c r="F146" s="7">
        <v>1837</v>
      </c>
      <c r="G146" s="7">
        <v>167857.76483396839</v>
      </c>
      <c r="H146" s="7">
        <v>308354714</v>
      </c>
      <c r="I146" s="7">
        <v>34031941</v>
      </c>
      <c r="J146" s="7">
        <v>0</v>
      </c>
      <c r="K146">
        <f t="shared" si="2"/>
        <v>59</v>
      </c>
      <c r="L146" s="8" t="str" cm="1">
        <f t="array" ref="L146">_xlfn.IFS(
 AND(K146&gt;=89,K146&lt;=92),"3개월",
 AND(K146&gt;=58,K146&lt;=62),"2개월",
 AND(K146&gt;=28,K146&lt;=32),"1개월",
 AND(K146=0),"당월",
 TRUE,"그외"
)</f>
        <v>2개월</v>
      </c>
    </row>
    <row r="147" spans="1:12" ht="17.649999999999999" customHeight="1" x14ac:dyDescent="0.3">
      <c r="A147" s="5">
        <v>46113</v>
      </c>
      <c r="B147" s="6" t="s">
        <v>20</v>
      </c>
      <c r="C147" s="6" t="s">
        <v>31</v>
      </c>
      <c r="D147" s="5">
        <v>46082</v>
      </c>
      <c r="E147" s="6" t="s">
        <v>14</v>
      </c>
      <c r="F147" s="7">
        <v>1907</v>
      </c>
      <c r="G147" s="7">
        <v>138973.03303618249</v>
      </c>
      <c r="H147" s="7">
        <v>265021574</v>
      </c>
      <c r="I147" s="7">
        <v>42003739</v>
      </c>
      <c r="J147" s="7">
        <v>0</v>
      </c>
      <c r="K147">
        <f t="shared" si="2"/>
        <v>31</v>
      </c>
      <c r="L147" s="8" t="str" cm="1">
        <f t="array" ref="L147">_xlfn.IFS(
 AND(K147&gt;=89,K147&lt;=92),"3개월",
 AND(K147&gt;=58,K147&lt;=62),"2개월",
 AND(K147&gt;=28,K147&lt;=32),"1개월",
 AND(K147=0),"당월",
 TRUE,"그외"
)</f>
        <v>1개월</v>
      </c>
    </row>
    <row r="148" spans="1:12" ht="17.649999999999999" customHeight="1" x14ac:dyDescent="0.3">
      <c r="A148" s="5">
        <v>46113</v>
      </c>
      <c r="B148" s="6" t="s">
        <v>20</v>
      </c>
      <c r="C148" s="6" t="s">
        <v>31</v>
      </c>
      <c r="D148" s="5">
        <v>46082</v>
      </c>
      <c r="E148" s="6" t="s">
        <v>15</v>
      </c>
      <c r="F148" s="7">
        <v>3041</v>
      </c>
      <c r="G148" s="7">
        <v>193190.73133837551</v>
      </c>
      <c r="H148" s="7">
        <v>587493014</v>
      </c>
      <c r="I148" s="7">
        <v>60089056</v>
      </c>
      <c r="J148" s="7">
        <v>0</v>
      </c>
      <c r="K148">
        <f t="shared" si="2"/>
        <v>31</v>
      </c>
      <c r="L148" s="8" t="str" cm="1">
        <f t="array" ref="L148">_xlfn.IFS(
 AND(K148&gt;=89,K148&lt;=92),"3개월",
 AND(K148&gt;=58,K148&lt;=62),"2개월",
 AND(K148&gt;=28,K148&lt;=32),"1개월",
 AND(K148=0),"당월",
 TRUE,"그외"
)</f>
        <v>1개월</v>
      </c>
    </row>
    <row r="149" spans="1:12" ht="17.649999999999999" customHeight="1" x14ac:dyDescent="0.3">
      <c r="A149" s="5">
        <v>46113</v>
      </c>
      <c r="B149" s="6" t="s">
        <v>20</v>
      </c>
      <c r="C149" s="6" t="s">
        <v>31</v>
      </c>
      <c r="D149" s="5">
        <v>46113</v>
      </c>
      <c r="E149" s="6" t="s">
        <v>14</v>
      </c>
      <c r="F149" s="7">
        <v>95</v>
      </c>
      <c r="G149" s="7">
        <v>147149.8210526316</v>
      </c>
      <c r="H149" s="7">
        <v>13979233</v>
      </c>
      <c r="I149" s="7">
        <v>3558140</v>
      </c>
      <c r="J149" s="7">
        <v>0</v>
      </c>
      <c r="K149">
        <f t="shared" si="2"/>
        <v>0</v>
      </c>
      <c r="L149" s="8" t="str" cm="1">
        <f t="array" ref="L149">_xlfn.IFS(
 AND(K149&gt;=89,K149&lt;=92),"3개월",
 AND(K149&gt;=58,K149&lt;=62),"2개월",
 AND(K149&gt;=28,K149&lt;=32),"1개월",
 AND(K149=0),"당월",
 TRUE,"그외"
)</f>
        <v>당월</v>
      </c>
    </row>
    <row r="150" spans="1:12" ht="17.649999999999999" customHeight="1" x14ac:dyDescent="0.3">
      <c r="A150" s="5">
        <v>46113</v>
      </c>
      <c r="B150" s="6" t="s">
        <v>20</v>
      </c>
      <c r="C150" s="6" t="s">
        <v>31</v>
      </c>
      <c r="D150" s="5">
        <v>46113</v>
      </c>
      <c r="E150" s="6" t="s">
        <v>15</v>
      </c>
      <c r="F150" s="7">
        <v>926</v>
      </c>
      <c r="G150" s="7">
        <v>230004.04643628511</v>
      </c>
      <c r="H150" s="7">
        <v>212983747</v>
      </c>
      <c r="I150" s="7">
        <v>32573621</v>
      </c>
      <c r="J150" s="7">
        <v>0</v>
      </c>
      <c r="K150">
        <f t="shared" si="2"/>
        <v>0</v>
      </c>
      <c r="L150" s="8" t="str" cm="1">
        <f t="array" ref="L150">_xlfn.IFS(
 AND(K150&gt;=89,K150&lt;=92),"3개월",
 AND(K150&gt;=58,K150&lt;=62),"2개월",
 AND(K150&gt;=28,K150&lt;=32),"1개월",
 AND(K150=0),"당월",
 TRUE,"그외"
)</f>
        <v>당월</v>
      </c>
    </row>
    <row r="151" spans="1:12" ht="17.649999999999999" customHeight="1" x14ac:dyDescent="0.3">
      <c r="A151" s="5">
        <v>46113</v>
      </c>
      <c r="B151" s="6" t="s">
        <v>20</v>
      </c>
      <c r="C151" s="6" t="s">
        <v>32</v>
      </c>
      <c r="D151" s="5">
        <v>45748</v>
      </c>
      <c r="E151" s="6" t="s">
        <v>15</v>
      </c>
      <c r="F151" s="7">
        <v>2</v>
      </c>
      <c r="G151" s="7">
        <v>53400</v>
      </c>
      <c r="H151" s="7">
        <v>106800</v>
      </c>
      <c r="I151" s="7">
        <v>34800</v>
      </c>
      <c r="J151" s="7">
        <v>0</v>
      </c>
      <c r="K151">
        <f t="shared" si="2"/>
        <v>365</v>
      </c>
      <c r="L151" s="8" t="str" cm="1">
        <f t="array" ref="L151">_xlfn.IFS(
 AND(K151&gt;=89,K151&lt;=92),"3개월",
 AND(K151&gt;=58,K151&lt;=62),"2개월",
 AND(K151&gt;=28,K151&lt;=32),"1개월",
 AND(K151=0),"당월",
 TRUE,"그외"
)</f>
        <v>그외</v>
      </c>
    </row>
    <row r="152" spans="1:12" ht="17.649999999999999" customHeight="1" x14ac:dyDescent="0.3">
      <c r="A152" s="5">
        <v>46113</v>
      </c>
      <c r="B152" s="6" t="s">
        <v>20</v>
      </c>
      <c r="C152" s="6" t="s">
        <v>32</v>
      </c>
      <c r="D152" s="5">
        <v>45931</v>
      </c>
      <c r="E152" s="6" t="s">
        <v>15</v>
      </c>
      <c r="F152" s="7">
        <v>1337</v>
      </c>
      <c r="G152" s="7">
        <v>118277.24158563949</v>
      </c>
      <c r="H152" s="7">
        <v>158136672</v>
      </c>
      <c r="I152" s="7">
        <v>28169885</v>
      </c>
      <c r="J152" s="7">
        <v>0</v>
      </c>
      <c r="K152">
        <f t="shared" si="2"/>
        <v>182</v>
      </c>
      <c r="L152" s="8" t="str" cm="1">
        <f t="array" ref="L152">_xlfn.IFS(
 AND(K152&gt;=89,K152&lt;=92),"3개월",
 AND(K152&gt;=58,K152&lt;=62),"2개월",
 AND(K152&gt;=28,K152&lt;=32),"1개월",
 AND(K152=0),"당월",
 TRUE,"그외"
)</f>
        <v>그외</v>
      </c>
    </row>
    <row r="153" spans="1:12" ht="17.649999999999999" customHeight="1" x14ac:dyDescent="0.3">
      <c r="A153" s="5">
        <v>46113</v>
      </c>
      <c r="B153" s="6" t="s">
        <v>20</v>
      </c>
      <c r="C153" s="6" t="s">
        <v>32</v>
      </c>
      <c r="D153" s="5">
        <v>45962</v>
      </c>
      <c r="E153" s="6" t="s">
        <v>14</v>
      </c>
      <c r="F153" s="7">
        <v>226</v>
      </c>
      <c r="G153" s="7">
        <v>110774.2433628319</v>
      </c>
      <c r="H153" s="7">
        <v>25034979</v>
      </c>
      <c r="I153" s="7">
        <v>6600241</v>
      </c>
      <c r="J153" s="7">
        <v>0</v>
      </c>
      <c r="K153">
        <f t="shared" si="2"/>
        <v>151</v>
      </c>
      <c r="L153" s="8" t="str" cm="1">
        <f t="array" ref="L153">_xlfn.IFS(
 AND(K153&gt;=89,K153&lt;=92),"3개월",
 AND(K153&gt;=58,K153&lt;=62),"2개월",
 AND(K153&gt;=28,K153&lt;=32),"1개월",
 AND(K153=0),"당월",
 TRUE,"그외"
)</f>
        <v>그외</v>
      </c>
    </row>
    <row r="154" spans="1:12" ht="17.649999999999999" customHeight="1" x14ac:dyDescent="0.3">
      <c r="A154" s="5">
        <v>46113</v>
      </c>
      <c r="B154" s="6" t="s">
        <v>20</v>
      </c>
      <c r="C154" s="6" t="s">
        <v>32</v>
      </c>
      <c r="D154" s="5">
        <v>45962</v>
      </c>
      <c r="E154" s="6" t="s">
        <v>15</v>
      </c>
      <c r="F154" s="7">
        <v>2825</v>
      </c>
      <c r="G154" s="7">
        <v>133665.96991150439</v>
      </c>
      <c r="H154" s="7">
        <v>377606365</v>
      </c>
      <c r="I154" s="7">
        <v>58520709</v>
      </c>
      <c r="J154" s="7">
        <v>0</v>
      </c>
      <c r="K154">
        <f t="shared" si="2"/>
        <v>151</v>
      </c>
      <c r="L154" s="8" t="str" cm="1">
        <f t="array" ref="L154">_xlfn.IFS(
 AND(K154&gt;=89,K154&lt;=92),"3개월",
 AND(K154&gt;=58,K154&lt;=62),"2개월",
 AND(K154&gt;=28,K154&lt;=32),"1개월",
 AND(K154=0),"당월",
 TRUE,"그외"
)</f>
        <v>그외</v>
      </c>
    </row>
    <row r="155" spans="1:12" ht="17.649999999999999" customHeight="1" x14ac:dyDescent="0.3">
      <c r="A155" s="5">
        <v>46113</v>
      </c>
      <c r="B155" s="6" t="s">
        <v>20</v>
      </c>
      <c r="C155" s="6" t="s">
        <v>32</v>
      </c>
      <c r="D155" s="5">
        <v>45992</v>
      </c>
      <c r="E155" s="6" t="s">
        <v>14</v>
      </c>
      <c r="F155" s="7">
        <v>462</v>
      </c>
      <c r="G155" s="7">
        <v>113992.9242424242</v>
      </c>
      <c r="H155" s="7">
        <v>52664731</v>
      </c>
      <c r="I155" s="7">
        <v>13493018</v>
      </c>
      <c r="J155" s="7">
        <v>0</v>
      </c>
      <c r="K155">
        <f t="shared" si="2"/>
        <v>121</v>
      </c>
      <c r="L155" s="8" t="str" cm="1">
        <f t="array" ref="L155">_xlfn.IFS(
 AND(K155&gt;=89,K155&lt;=92),"3개월",
 AND(K155&gt;=58,K155&lt;=62),"2개월",
 AND(K155&gt;=28,K155&lt;=32),"1개월",
 AND(K155=0),"당월",
 TRUE,"그외"
)</f>
        <v>그외</v>
      </c>
    </row>
    <row r="156" spans="1:12" ht="17.649999999999999" customHeight="1" x14ac:dyDescent="0.3">
      <c r="A156" s="5">
        <v>46113</v>
      </c>
      <c r="B156" s="6" t="s">
        <v>20</v>
      </c>
      <c r="C156" s="6" t="s">
        <v>32</v>
      </c>
      <c r="D156" s="5">
        <v>45992</v>
      </c>
      <c r="E156" s="6" t="s">
        <v>15</v>
      </c>
      <c r="F156" s="7">
        <v>1661</v>
      </c>
      <c r="G156" s="7">
        <v>151852.71523178811</v>
      </c>
      <c r="H156" s="7">
        <v>252227360</v>
      </c>
      <c r="I156" s="7">
        <v>39320603</v>
      </c>
      <c r="J156" s="7">
        <v>0</v>
      </c>
      <c r="K156">
        <f t="shared" si="2"/>
        <v>121</v>
      </c>
      <c r="L156" s="8" t="str" cm="1">
        <f t="array" ref="L156">_xlfn.IFS(
 AND(K156&gt;=89,K156&lt;=92),"3개월",
 AND(K156&gt;=58,K156&lt;=62),"2개월",
 AND(K156&gt;=28,K156&lt;=32),"1개월",
 AND(K156=0),"당월",
 TRUE,"그외"
)</f>
        <v>그외</v>
      </c>
    </row>
    <row r="157" spans="1:12" ht="17.649999999999999" customHeight="1" x14ac:dyDescent="0.3">
      <c r="A157" s="5">
        <v>46113</v>
      </c>
      <c r="B157" s="6" t="s">
        <v>20</v>
      </c>
      <c r="C157" s="6" t="s">
        <v>32</v>
      </c>
      <c r="D157" s="5">
        <v>46023</v>
      </c>
      <c r="E157" s="6" t="s">
        <v>14</v>
      </c>
      <c r="F157" s="7">
        <v>883</v>
      </c>
      <c r="G157" s="7">
        <v>119849.50736126841</v>
      </c>
      <c r="H157" s="7">
        <v>105827115</v>
      </c>
      <c r="I157" s="7">
        <v>24717452</v>
      </c>
      <c r="J157" s="7">
        <v>0</v>
      </c>
      <c r="K157">
        <f t="shared" si="2"/>
        <v>90</v>
      </c>
      <c r="L157" s="8" t="str" cm="1">
        <f t="array" ref="L157">_xlfn.IFS(
 AND(K157&gt;=89,K157&lt;=92),"3개월",
 AND(K157&gt;=58,K157&lt;=62),"2개월",
 AND(K157&gt;=28,K157&lt;=32),"1개월",
 AND(K157=0),"당월",
 TRUE,"그외"
)</f>
        <v>3개월</v>
      </c>
    </row>
    <row r="158" spans="1:12" ht="17.649999999999999" customHeight="1" x14ac:dyDescent="0.3">
      <c r="A158" s="5">
        <v>46113</v>
      </c>
      <c r="B158" s="6" t="s">
        <v>20</v>
      </c>
      <c r="C158" s="6" t="s">
        <v>32</v>
      </c>
      <c r="D158" s="5">
        <v>46023</v>
      </c>
      <c r="E158" s="6" t="s">
        <v>15</v>
      </c>
      <c r="F158" s="7">
        <v>2211</v>
      </c>
      <c r="G158" s="7">
        <v>186421.95522388059</v>
      </c>
      <c r="H158" s="7">
        <v>412178943</v>
      </c>
      <c r="I158" s="7">
        <v>54495954</v>
      </c>
      <c r="J158" s="7">
        <v>0</v>
      </c>
      <c r="K158">
        <f t="shared" si="2"/>
        <v>90</v>
      </c>
      <c r="L158" s="8" t="str" cm="1">
        <f t="array" ref="L158">_xlfn.IFS(
 AND(K158&gt;=89,K158&lt;=92),"3개월",
 AND(K158&gt;=58,K158&lt;=62),"2개월",
 AND(K158&gt;=28,K158&lt;=32),"1개월",
 AND(K158=0),"당월",
 TRUE,"그외"
)</f>
        <v>3개월</v>
      </c>
    </row>
    <row r="159" spans="1:12" ht="17.649999999999999" customHeight="1" x14ac:dyDescent="0.3">
      <c r="A159" s="5">
        <v>46113</v>
      </c>
      <c r="B159" s="6" t="s">
        <v>20</v>
      </c>
      <c r="C159" s="6" t="s">
        <v>32</v>
      </c>
      <c r="D159" s="5">
        <v>46054</v>
      </c>
      <c r="E159" s="6" t="s">
        <v>14</v>
      </c>
      <c r="F159" s="7">
        <v>1190</v>
      </c>
      <c r="G159" s="7">
        <v>148946.0941176471</v>
      </c>
      <c r="H159" s="7">
        <v>177245852</v>
      </c>
      <c r="I159" s="7">
        <v>18746547</v>
      </c>
      <c r="J159" s="7">
        <v>0</v>
      </c>
      <c r="K159">
        <f t="shared" si="2"/>
        <v>59</v>
      </c>
      <c r="L159" s="8" t="str" cm="1">
        <f t="array" ref="L159">_xlfn.IFS(
 AND(K159&gt;=89,K159&lt;=92),"3개월",
 AND(K159&gt;=58,K159&lt;=62),"2개월",
 AND(K159&gt;=28,K159&lt;=32),"1개월",
 AND(K159=0),"당월",
 TRUE,"그외"
)</f>
        <v>2개월</v>
      </c>
    </row>
    <row r="160" spans="1:12" ht="17.649999999999999" customHeight="1" x14ac:dyDescent="0.3">
      <c r="A160" s="5">
        <v>46113</v>
      </c>
      <c r="B160" s="6" t="s">
        <v>20</v>
      </c>
      <c r="C160" s="6" t="s">
        <v>32</v>
      </c>
      <c r="D160" s="5">
        <v>46054</v>
      </c>
      <c r="E160" s="6" t="s">
        <v>15</v>
      </c>
      <c r="F160" s="7">
        <v>2212</v>
      </c>
      <c r="G160" s="7">
        <v>156389.04837251359</v>
      </c>
      <c r="H160" s="7">
        <v>345932575</v>
      </c>
      <c r="I160" s="7">
        <v>48760025</v>
      </c>
      <c r="J160" s="7">
        <v>0</v>
      </c>
      <c r="K160">
        <f t="shared" si="2"/>
        <v>59</v>
      </c>
      <c r="L160" s="8" t="str" cm="1">
        <f t="array" ref="L160">_xlfn.IFS(
 AND(K160&gt;=89,K160&lt;=92),"3개월",
 AND(K160&gt;=58,K160&lt;=62),"2개월",
 AND(K160&gt;=28,K160&lt;=32),"1개월",
 AND(K160=0),"당월",
 TRUE,"그외"
)</f>
        <v>2개월</v>
      </c>
    </row>
    <row r="161" spans="1:12" ht="17.649999999999999" customHeight="1" x14ac:dyDescent="0.3">
      <c r="A161" s="5">
        <v>46113</v>
      </c>
      <c r="B161" s="6" t="s">
        <v>20</v>
      </c>
      <c r="C161" s="6" t="s">
        <v>32</v>
      </c>
      <c r="D161" s="5">
        <v>46082</v>
      </c>
      <c r="E161" s="6" t="s">
        <v>14</v>
      </c>
      <c r="F161" s="7">
        <v>5479</v>
      </c>
      <c r="G161" s="7">
        <v>187806.92516882639</v>
      </c>
      <c r="H161" s="7">
        <v>1028994143</v>
      </c>
      <c r="I161" s="7">
        <v>61372130</v>
      </c>
      <c r="J161" s="7">
        <v>0</v>
      </c>
      <c r="K161">
        <f t="shared" si="2"/>
        <v>31</v>
      </c>
      <c r="L161" s="8" t="str" cm="1">
        <f t="array" ref="L161">_xlfn.IFS(
 AND(K161&gt;=89,K161&lt;=92),"3개월",
 AND(K161&gt;=58,K161&lt;=62),"2개월",
 AND(K161&gt;=28,K161&lt;=32),"1개월",
 AND(K161=0),"당월",
 TRUE,"그외"
)</f>
        <v>1개월</v>
      </c>
    </row>
    <row r="162" spans="1:12" ht="17.649999999999999" customHeight="1" x14ac:dyDescent="0.3">
      <c r="A162" s="5">
        <v>46113</v>
      </c>
      <c r="B162" s="6" t="s">
        <v>20</v>
      </c>
      <c r="C162" s="6" t="s">
        <v>32</v>
      </c>
      <c r="D162" s="5">
        <v>46082</v>
      </c>
      <c r="E162" s="6" t="s">
        <v>15</v>
      </c>
      <c r="F162" s="7">
        <v>8917</v>
      </c>
      <c r="G162" s="7">
        <v>162182.8258382864</v>
      </c>
      <c r="H162" s="7">
        <v>1446184258</v>
      </c>
      <c r="I162" s="7">
        <v>202468045</v>
      </c>
      <c r="J162" s="7">
        <v>0</v>
      </c>
      <c r="K162">
        <f t="shared" si="2"/>
        <v>31</v>
      </c>
      <c r="L162" s="8" t="str" cm="1">
        <f t="array" ref="L162">_xlfn.IFS(
 AND(K162&gt;=89,K162&lt;=92),"3개월",
 AND(K162&gt;=58,K162&lt;=62),"2개월",
 AND(K162&gt;=28,K162&lt;=32),"1개월",
 AND(K162=0),"당월",
 TRUE,"그외"
)</f>
        <v>1개월</v>
      </c>
    </row>
    <row r="163" spans="1:12" ht="17.649999999999999" customHeight="1" x14ac:dyDescent="0.3">
      <c r="A163" s="5">
        <v>46113</v>
      </c>
      <c r="B163" s="6" t="s">
        <v>20</v>
      </c>
      <c r="C163" s="6" t="s">
        <v>32</v>
      </c>
      <c r="D163" s="5">
        <v>46113</v>
      </c>
      <c r="E163" s="6" t="s">
        <v>14</v>
      </c>
      <c r="F163" s="7">
        <v>4373</v>
      </c>
      <c r="G163" s="7">
        <v>45897.997713240336</v>
      </c>
      <c r="H163" s="7">
        <v>200711944</v>
      </c>
      <c r="I163" s="7">
        <v>8573932</v>
      </c>
      <c r="J163" s="7">
        <v>0</v>
      </c>
      <c r="K163">
        <f t="shared" si="2"/>
        <v>0</v>
      </c>
      <c r="L163" s="8" t="str" cm="1">
        <f t="array" ref="L163">_xlfn.IFS(
 AND(K163&gt;=89,K163&lt;=92),"3개월",
 AND(K163&gt;=58,K163&lt;=62),"2개월",
 AND(K163&gt;=28,K163&lt;=32),"1개월",
 AND(K163=0),"당월",
 TRUE,"그외"
)</f>
        <v>당월</v>
      </c>
    </row>
    <row r="164" spans="1:12" ht="17.649999999999999" customHeight="1" x14ac:dyDescent="0.3">
      <c r="A164" s="5">
        <v>46113</v>
      </c>
      <c r="B164" s="6" t="s">
        <v>20</v>
      </c>
      <c r="C164" s="6" t="s">
        <v>32</v>
      </c>
      <c r="D164" s="5">
        <v>46113</v>
      </c>
      <c r="E164" s="6" t="s">
        <v>15</v>
      </c>
      <c r="F164" s="7">
        <v>3799</v>
      </c>
      <c r="G164" s="7">
        <v>190431.0434324822</v>
      </c>
      <c r="H164" s="7">
        <v>723447534</v>
      </c>
      <c r="I164" s="7">
        <v>174527769</v>
      </c>
      <c r="J164" s="7">
        <v>0</v>
      </c>
      <c r="K164">
        <f t="shared" si="2"/>
        <v>0</v>
      </c>
      <c r="L164" s="8" t="str" cm="1">
        <f t="array" ref="L164">_xlfn.IFS(
 AND(K164&gt;=89,K164&lt;=92),"3개월",
 AND(K164&gt;=58,K164&lt;=62),"2개월",
 AND(K164&gt;=28,K164&lt;=32),"1개월",
 AND(K164=0),"당월",
 TRUE,"그외"
)</f>
        <v>당월</v>
      </c>
    </row>
    <row r="165" spans="1:12" ht="17.649999999999999" customHeight="1" x14ac:dyDescent="0.3">
      <c r="A165" s="5">
        <v>46113</v>
      </c>
      <c r="B165" s="6" t="s">
        <v>20</v>
      </c>
      <c r="C165" s="6" t="s">
        <v>33</v>
      </c>
      <c r="D165" s="5">
        <v>45931</v>
      </c>
      <c r="E165" s="6" t="s">
        <v>15</v>
      </c>
      <c r="F165" s="7">
        <v>113</v>
      </c>
      <c r="G165" s="7">
        <v>113785.23893805309</v>
      </c>
      <c r="H165" s="7">
        <v>12857732</v>
      </c>
      <c r="I165" s="7">
        <v>2171013</v>
      </c>
      <c r="J165" s="7">
        <v>0</v>
      </c>
      <c r="K165">
        <f t="shared" si="2"/>
        <v>182</v>
      </c>
      <c r="L165" s="8" t="str" cm="1">
        <f t="array" ref="L165">_xlfn.IFS(
 AND(K165&gt;=89,K165&lt;=92),"3개월",
 AND(K165&gt;=58,K165&lt;=62),"2개월",
 AND(K165&gt;=28,K165&lt;=32),"1개월",
 AND(K165=0),"당월",
 TRUE,"그외"
)</f>
        <v>그외</v>
      </c>
    </row>
    <row r="166" spans="1:12" ht="17.649999999999999" customHeight="1" x14ac:dyDescent="0.3">
      <c r="A166" s="5">
        <v>46113</v>
      </c>
      <c r="B166" s="6" t="s">
        <v>20</v>
      </c>
      <c r="C166" s="6" t="s">
        <v>33</v>
      </c>
      <c r="D166" s="5">
        <v>45962</v>
      </c>
      <c r="E166" s="6" t="s">
        <v>14</v>
      </c>
      <c r="F166" s="7">
        <v>1</v>
      </c>
      <c r="G166" s="7">
        <v>199201</v>
      </c>
      <c r="H166" s="7">
        <v>199201</v>
      </c>
      <c r="I166" s="7">
        <v>29267</v>
      </c>
      <c r="J166" s="7">
        <v>0</v>
      </c>
      <c r="K166">
        <f t="shared" si="2"/>
        <v>151</v>
      </c>
      <c r="L166" s="8" t="str" cm="1">
        <f t="array" ref="L166">_xlfn.IFS(
 AND(K166&gt;=89,K166&lt;=92),"3개월",
 AND(K166&gt;=58,K166&lt;=62),"2개월",
 AND(K166&gt;=28,K166&lt;=32),"1개월",
 AND(K166=0),"당월",
 TRUE,"그외"
)</f>
        <v>그외</v>
      </c>
    </row>
    <row r="167" spans="1:12" ht="17.649999999999999" customHeight="1" x14ac:dyDescent="0.3">
      <c r="A167" s="5">
        <v>46113</v>
      </c>
      <c r="B167" s="6" t="s">
        <v>20</v>
      </c>
      <c r="C167" s="6" t="s">
        <v>33</v>
      </c>
      <c r="D167" s="5">
        <v>45962</v>
      </c>
      <c r="E167" s="6" t="s">
        <v>15</v>
      </c>
      <c r="F167" s="7">
        <v>505</v>
      </c>
      <c r="G167" s="7">
        <v>125625.6613861386</v>
      </c>
      <c r="H167" s="7">
        <v>63440959</v>
      </c>
      <c r="I167" s="7">
        <v>9191387</v>
      </c>
      <c r="J167" s="7">
        <v>0</v>
      </c>
      <c r="K167">
        <f t="shared" si="2"/>
        <v>151</v>
      </c>
      <c r="L167" s="8" t="str" cm="1">
        <f t="array" ref="L167">_xlfn.IFS(
 AND(K167&gt;=89,K167&lt;=92),"3개월",
 AND(K167&gt;=58,K167&lt;=62),"2개월",
 AND(K167&gt;=28,K167&lt;=32),"1개월",
 AND(K167=0),"당월",
 TRUE,"그외"
)</f>
        <v>그외</v>
      </c>
    </row>
    <row r="168" spans="1:12" ht="17.649999999999999" customHeight="1" x14ac:dyDescent="0.3">
      <c r="A168" s="5">
        <v>46113</v>
      </c>
      <c r="B168" s="6" t="s">
        <v>20</v>
      </c>
      <c r="C168" s="6" t="s">
        <v>33</v>
      </c>
      <c r="D168" s="5">
        <v>45992</v>
      </c>
      <c r="E168" s="6" t="s">
        <v>14</v>
      </c>
      <c r="F168" s="7">
        <v>12</v>
      </c>
      <c r="G168" s="7">
        <v>143907.91666666669</v>
      </c>
      <c r="H168" s="7">
        <v>1726895</v>
      </c>
      <c r="I168" s="7">
        <v>350636</v>
      </c>
      <c r="J168" s="7">
        <v>0</v>
      </c>
      <c r="K168">
        <f t="shared" si="2"/>
        <v>121</v>
      </c>
      <c r="L168" s="8" t="str" cm="1">
        <f t="array" ref="L168">_xlfn.IFS(
 AND(K168&gt;=89,K168&lt;=92),"3개월",
 AND(K168&gt;=58,K168&lt;=62),"2개월",
 AND(K168&gt;=28,K168&lt;=32),"1개월",
 AND(K168=0),"당월",
 TRUE,"그외"
)</f>
        <v>그외</v>
      </c>
    </row>
    <row r="169" spans="1:12" ht="17.649999999999999" customHeight="1" x14ac:dyDescent="0.3">
      <c r="A169" s="5">
        <v>46113</v>
      </c>
      <c r="B169" s="6" t="s">
        <v>20</v>
      </c>
      <c r="C169" s="6" t="s">
        <v>33</v>
      </c>
      <c r="D169" s="5">
        <v>45992</v>
      </c>
      <c r="E169" s="6" t="s">
        <v>15</v>
      </c>
      <c r="F169" s="7">
        <v>430</v>
      </c>
      <c r="G169" s="7">
        <v>173696.55116279071</v>
      </c>
      <c r="H169" s="7">
        <v>74689517</v>
      </c>
      <c r="I169" s="7">
        <v>9513504</v>
      </c>
      <c r="J169" s="7">
        <v>0</v>
      </c>
      <c r="K169">
        <f t="shared" si="2"/>
        <v>121</v>
      </c>
      <c r="L169" s="8" t="str" cm="1">
        <f t="array" ref="L169">_xlfn.IFS(
 AND(K169&gt;=89,K169&lt;=92),"3개월",
 AND(K169&gt;=58,K169&lt;=62),"2개월",
 AND(K169&gt;=28,K169&lt;=32),"1개월",
 AND(K169=0),"당월",
 TRUE,"그외"
)</f>
        <v>그외</v>
      </c>
    </row>
    <row r="170" spans="1:12" ht="17.649999999999999" customHeight="1" x14ac:dyDescent="0.3">
      <c r="A170" s="5">
        <v>46113</v>
      </c>
      <c r="B170" s="6" t="s">
        <v>20</v>
      </c>
      <c r="C170" s="6" t="s">
        <v>33</v>
      </c>
      <c r="D170" s="5">
        <v>46023</v>
      </c>
      <c r="E170" s="6" t="s">
        <v>14</v>
      </c>
      <c r="F170" s="7">
        <v>48</v>
      </c>
      <c r="G170" s="7">
        <v>142043.66666666669</v>
      </c>
      <c r="H170" s="7">
        <v>6818096</v>
      </c>
      <c r="I170" s="7">
        <v>1385177</v>
      </c>
      <c r="J170" s="7">
        <v>0</v>
      </c>
      <c r="K170">
        <f t="shared" si="2"/>
        <v>90</v>
      </c>
      <c r="L170" s="8" t="str" cm="1">
        <f t="array" ref="L170">_xlfn.IFS(
 AND(K170&gt;=89,K170&lt;=92),"3개월",
 AND(K170&gt;=58,K170&lt;=62),"2개월",
 AND(K170&gt;=28,K170&lt;=32),"1개월",
 AND(K170=0),"당월",
 TRUE,"그외"
)</f>
        <v>3개월</v>
      </c>
    </row>
    <row r="171" spans="1:12" ht="17.649999999999999" customHeight="1" x14ac:dyDescent="0.3">
      <c r="A171" s="5">
        <v>46113</v>
      </c>
      <c r="B171" s="6" t="s">
        <v>20</v>
      </c>
      <c r="C171" s="6" t="s">
        <v>33</v>
      </c>
      <c r="D171" s="5">
        <v>46023</v>
      </c>
      <c r="E171" s="6" t="s">
        <v>15</v>
      </c>
      <c r="F171" s="7">
        <v>745</v>
      </c>
      <c r="G171" s="7">
        <v>185367.4657718121</v>
      </c>
      <c r="H171" s="7">
        <v>138098762</v>
      </c>
      <c r="I171" s="7">
        <v>16845383</v>
      </c>
      <c r="J171" s="7">
        <v>0</v>
      </c>
      <c r="K171">
        <f t="shared" si="2"/>
        <v>90</v>
      </c>
      <c r="L171" s="8" t="str" cm="1">
        <f t="array" ref="L171">_xlfn.IFS(
 AND(K171&gt;=89,K171&lt;=92),"3개월",
 AND(K171&gt;=58,K171&lt;=62),"2개월",
 AND(K171&gt;=28,K171&lt;=32),"1개월",
 AND(K171=0),"당월",
 TRUE,"그외"
)</f>
        <v>3개월</v>
      </c>
    </row>
    <row r="172" spans="1:12" ht="17.649999999999999" customHeight="1" x14ac:dyDescent="0.3">
      <c r="A172" s="5">
        <v>46113</v>
      </c>
      <c r="B172" s="6" t="s">
        <v>20</v>
      </c>
      <c r="C172" s="6" t="s">
        <v>33</v>
      </c>
      <c r="D172" s="5">
        <v>46054</v>
      </c>
      <c r="E172" s="6" t="s">
        <v>14</v>
      </c>
      <c r="F172" s="7">
        <v>124</v>
      </c>
      <c r="G172" s="7">
        <v>157982.29032258061</v>
      </c>
      <c r="H172" s="7">
        <v>19589804</v>
      </c>
      <c r="I172" s="7">
        <v>2712314</v>
      </c>
      <c r="J172" s="7">
        <v>0</v>
      </c>
      <c r="K172">
        <f t="shared" si="2"/>
        <v>59</v>
      </c>
      <c r="L172" s="8" t="str" cm="1">
        <f t="array" ref="L172">_xlfn.IFS(
 AND(K172&gt;=89,K172&lt;=92),"3개월",
 AND(K172&gt;=58,K172&lt;=62),"2개월",
 AND(K172&gt;=28,K172&lt;=32),"1개월",
 AND(K172=0),"당월",
 TRUE,"그외"
)</f>
        <v>2개월</v>
      </c>
    </row>
    <row r="173" spans="1:12" ht="17.649999999999999" customHeight="1" x14ac:dyDescent="0.3">
      <c r="A173" s="5">
        <v>46113</v>
      </c>
      <c r="B173" s="6" t="s">
        <v>20</v>
      </c>
      <c r="C173" s="6" t="s">
        <v>33</v>
      </c>
      <c r="D173" s="5">
        <v>46054</v>
      </c>
      <c r="E173" s="6" t="s">
        <v>15</v>
      </c>
      <c r="F173" s="7">
        <v>1725</v>
      </c>
      <c r="G173" s="7">
        <v>176755.43304347829</v>
      </c>
      <c r="H173" s="7">
        <v>304903122</v>
      </c>
      <c r="I173" s="7">
        <v>31015495</v>
      </c>
      <c r="J173" s="7">
        <v>0</v>
      </c>
      <c r="K173">
        <f t="shared" si="2"/>
        <v>59</v>
      </c>
      <c r="L173" s="8" t="str" cm="1">
        <f t="array" ref="L173">_xlfn.IFS(
 AND(K173&gt;=89,K173&lt;=92),"3개월",
 AND(K173&gt;=58,K173&lt;=62),"2개월",
 AND(K173&gt;=28,K173&lt;=32),"1개월",
 AND(K173=0),"당월",
 TRUE,"그외"
)</f>
        <v>2개월</v>
      </c>
    </row>
    <row r="174" spans="1:12" ht="17.649999999999999" customHeight="1" x14ac:dyDescent="0.3">
      <c r="A174" s="5">
        <v>46113</v>
      </c>
      <c r="B174" s="6" t="s">
        <v>20</v>
      </c>
      <c r="C174" s="6" t="s">
        <v>33</v>
      </c>
      <c r="D174" s="5">
        <v>46082</v>
      </c>
      <c r="E174" s="6" t="s">
        <v>14</v>
      </c>
      <c r="F174" s="7">
        <v>1113</v>
      </c>
      <c r="G174" s="7">
        <v>176970.86163522009</v>
      </c>
      <c r="H174" s="7">
        <v>196968569</v>
      </c>
      <c r="I174" s="7">
        <v>22219284</v>
      </c>
      <c r="J174" s="7">
        <v>0</v>
      </c>
      <c r="K174">
        <f t="shared" si="2"/>
        <v>31</v>
      </c>
      <c r="L174" s="8" t="str" cm="1">
        <f t="array" ref="L174">_xlfn.IFS(
 AND(K174&gt;=89,K174&lt;=92),"3개월",
 AND(K174&gt;=58,K174&lt;=62),"2개월",
 AND(K174&gt;=28,K174&lt;=32),"1개월",
 AND(K174=0),"당월",
 TRUE,"그외"
)</f>
        <v>1개월</v>
      </c>
    </row>
    <row r="175" spans="1:12" ht="17.649999999999999" customHeight="1" x14ac:dyDescent="0.3">
      <c r="A175" s="5">
        <v>46113</v>
      </c>
      <c r="B175" s="6" t="s">
        <v>20</v>
      </c>
      <c r="C175" s="6" t="s">
        <v>33</v>
      </c>
      <c r="D175" s="5">
        <v>46082</v>
      </c>
      <c r="E175" s="6" t="s">
        <v>15</v>
      </c>
      <c r="F175" s="7">
        <v>5006</v>
      </c>
      <c r="G175" s="7">
        <v>160544.72473032359</v>
      </c>
      <c r="H175" s="7">
        <v>803686892</v>
      </c>
      <c r="I175" s="7">
        <v>104015478</v>
      </c>
      <c r="J175" s="7">
        <v>0</v>
      </c>
      <c r="K175">
        <f t="shared" si="2"/>
        <v>31</v>
      </c>
      <c r="L175" s="8" t="str" cm="1">
        <f t="array" ref="L175">_xlfn.IFS(
 AND(K175&gt;=89,K175&lt;=92),"3개월",
 AND(K175&gt;=58,K175&lt;=62),"2개월",
 AND(K175&gt;=28,K175&lt;=32),"1개월",
 AND(K175=0),"당월",
 TRUE,"그외"
)</f>
        <v>1개월</v>
      </c>
    </row>
    <row r="176" spans="1:12" ht="17.649999999999999" customHeight="1" x14ac:dyDescent="0.3">
      <c r="A176" s="5">
        <v>46113</v>
      </c>
      <c r="B176" s="6" t="s">
        <v>20</v>
      </c>
      <c r="C176" s="6" t="s">
        <v>33</v>
      </c>
      <c r="D176" s="5">
        <v>46113</v>
      </c>
      <c r="E176" s="6" t="s">
        <v>14</v>
      </c>
      <c r="F176" s="7">
        <v>113</v>
      </c>
      <c r="G176" s="7">
        <v>162057.69026548669</v>
      </c>
      <c r="H176" s="7">
        <v>18312519</v>
      </c>
      <c r="I176" s="7">
        <v>5337017</v>
      </c>
      <c r="J176" s="7">
        <v>0</v>
      </c>
      <c r="K176">
        <f t="shared" si="2"/>
        <v>0</v>
      </c>
      <c r="L176" s="8" t="str" cm="1">
        <f t="array" ref="L176">_xlfn.IFS(
 AND(K176&gt;=89,K176&lt;=92),"3개월",
 AND(K176&gt;=58,K176&lt;=62),"2개월",
 AND(K176&gt;=28,K176&lt;=32),"1개월",
 AND(K176=0),"당월",
 TRUE,"그외"
)</f>
        <v>당월</v>
      </c>
    </row>
    <row r="177" spans="1:12" ht="17.649999999999999" customHeight="1" x14ac:dyDescent="0.3">
      <c r="A177" s="5">
        <v>46113</v>
      </c>
      <c r="B177" s="6" t="s">
        <v>20</v>
      </c>
      <c r="C177" s="6" t="s">
        <v>33</v>
      </c>
      <c r="D177" s="5">
        <v>46113</v>
      </c>
      <c r="E177" s="6" t="s">
        <v>15</v>
      </c>
      <c r="F177" s="7">
        <v>1213</v>
      </c>
      <c r="G177" s="7">
        <v>202309.5523495466</v>
      </c>
      <c r="H177" s="7">
        <v>245401487</v>
      </c>
      <c r="I177" s="7">
        <v>56709712</v>
      </c>
      <c r="J177" s="7">
        <v>0</v>
      </c>
      <c r="K177">
        <f t="shared" si="2"/>
        <v>0</v>
      </c>
      <c r="L177" s="8" t="str" cm="1">
        <f t="array" ref="L177">_xlfn.IFS(
 AND(K177&gt;=89,K177&lt;=92),"3개월",
 AND(K177&gt;=58,K177&lt;=62),"2개월",
 AND(K177&gt;=28,K177&lt;=32),"1개월",
 AND(K177=0),"당월",
 TRUE,"그외"
)</f>
        <v>당월</v>
      </c>
    </row>
    <row r="178" spans="1:12" ht="17.649999999999999" customHeight="1" x14ac:dyDescent="0.3">
      <c r="A178" s="5">
        <v>46113</v>
      </c>
      <c r="B178" s="6" t="s">
        <v>20</v>
      </c>
      <c r="C178" s="6" t="s">
        <v>34</v>
      </c>
      <c r="D178" s="5">
        <v>46082</v>
      </c>
      <c r="E178" s="6" t="s">
        <v>14</v>
      </c>
      <c r="F178" s="7">
        <v>643</v>
      </c>
      <c r="G178" s="7">
        <v>73810.373250388802</v>
      </c>
      <c r="H178" s="7">
        <v>47460070</v>
      </c>
      <c r="I178" s="7">
        <v>21561468</v>
      </c>
      <c r="J178" s="7">
        <v>0</v>
      </c>
      <c r="K178">
        <f t="shared" si="2"/>
        <v>31</v>
      </c>
      <c r="L178" s="8" t="str" cm="1">
        <f t="array" ref="L178">_xlfn.IFS(
 AND(K178&gt;=89,K178&lt;=92),"3개월",
 AND(K178&gt;=58,K178&lt;=62),"2개월",
 AND(K178&gt;=28,K178&lt;=32),"1개월",
 AND(K178=0),"당월",
 TRUE,"그외"
)</f>
        <v>1개월</v>
      </c>
    </row>
    <row r="179" spans="1:12" ht="17.649999999999999" customHeight="1" x14ac:dyDescent="0.3">
      <c r="A179" s="5">
        <v>46113</v>
      </c>
      <c r="B179" s="6" t="s">
        <v>20</v>
      </c>
      <c r="C179" s="6" t="s">
        <v>34</v>
      </c>
      <c r="D179" s="5">
        <v>46082</v>
      </c>
      <c r="E179" s="6" t="s">
        <v>15</v>
      </c>
      <c r="F179" s="7">
        <v>6589</v>
      </c>
      <c r="G179" s="7">
        <v>119949.7904082562</v>
      </c>
      <c r="H179" s="7">
        <v>790349169</v>
      </c>
      <c r="I179" s="7">
        <v>142948595</v>
      </c>
      <c r="J179" s="7">
        <v>0</v>
      </c>
      <c r="K179">
        <f t="shared" si="2"/>
        <v>31</v>
      </c>
      <c r="L179" s="8" t="str" cm="1">
        <f t="array" ref="L179">_xlfn.IFS(
 AND(K179&gt;=89,K179&lt;=92),"3개월",
 AND(K179&gt;=58,K179&lt;=62),"2개월",
 AND(K179&gt;=28,K179&lt;=32),"1개월",
 AND(K179=0),"당월",
 TRUE,"그외"
)</f>
        <v>1개월</v>
      </c>
    </row>
    <row r="180" spans="1:12" ht="17.649999999999999" customHeight="1" x14ac:dyDescent="0.3">
      <c r="A180" s="5">
        <v>46113</v>
      </c>
      <c r="B180" s="6" t="s">
        <v>20</v>
      </c>
      <c r="C180" s="6" t="s">
        <v>34</v>
      </c>
      <c r="D180" s="5">
        <v>46113</v>
      </c>
      <c r="E180" s="6" t="s">
        <v>14</v>
      </c>
      <c r="F180" s="7">
        <v>83</v>
      </c>
      <c r="G180" s="7">
        <v>83021.831325301202</v>
      </c>
      <c r="H180" s="7">
        <v>6890812</v>
      </c>
      <c r="I180" s="7">
        <v>3593218</v>
      </c>
      <c r="J180" s="7">
        <v>0</v>
      </c>
      <c r="K180">
        <f t="shared" si="2"/>
        <v>0</v>
      </c>
      <c r="L180" s="8" t="str" cm="1">
        <f t="array" ref="L180">_xlfn.IFS(
 AND(K180&gt;=89,K180&lt;=92),"3개월",
 AND(K180&gt;=58,K180&lt;=62),"2개월",
 AND(K180&gt;=28,K180&lt;=32),"1개월",
 AND(K180=0),"당월",
 TRUE,"그외"
)</f>
        <v>당월</v>
      </c>
    </row>
    <row r="181" spans="1:12" ht="17.649999999999999" customHeight="1" x14ac:dyDescent="0.3">
      <c r="A181" s="5">
        <v>46113</v>
      </c>
      <c r="B181" s="6" t="s">
        <v>20</v>
      </c>
      <c r="C181" s="6" t="s">
        <v>34</v>
      </c>
      <c r="D181" s="5">
        <v>46113</v>
      </c>
      <c r="E181" s="6" t="s">
        <v>15</v>
      </c>
      <c r="F181" s="7">
        <v>1633</v>
      </c>
      <c r="G181" s="7">
        <v>154860.1775872627</v>
      </c>
      <c r="H181" s="7">
        <v>252886670</v>
      </c>
      <c r="I181" s="7">
        <v>74831646</v>
      </c>
      <c r="J181" s="7">
        <v>0</v>
      </c>
      <c r="K181">
        <f t="shared" si="2"/>
        <v>0</v>
      </c>
      <c r="L181" s="8" t="str" cm="1">
        <f t="array" ref="L181">_xlfn.IFS(
 AND(K181&gt;=89,K181&lt;=92),"3개월",
 AND(K181&gt;=58,K181&lt;=62),"2개월",
 AND(K181&gt;=28,K181&lt;=32),"1개월",
 AND(K181=0),"당월",
 TRUE,"그외"
)</f>
        <v>당월</v>
      </c>
    </row>
    <row r="182" spans="1:12" ht="17.649999999999999" customHeight="1" x14ac:dyDescent="0.3">
      <c r="A182" s="5">
        <v>46113</v>
      </c>
      <c r="B182" s="6" t="s">
        <v>20</v>
      </c>
      <c r="C182" s="6" t="s">
        <v>35</v>
      </c>
      <c r="D182" s="5">
        <v>45931</v>
      </c>
      <c r="E182" s="6" t="s">
        <v>15</v>
      </c>
      <c r="F182" s="7">
        <v>82</v>
      </c>
      <c r="G182" s="7">
        <v>142884.95121951221</v>
      </c>
      <c r="H182" s="7">
        <v>11716566</v>
      </c>
      <c r="I182" s="7">
        <v>1640193</v>
      </c>
      <c r="J182" s="7">
        <v>0</v>
      </c>
      <c r="K182">
        <f t="shared" si="2"/>
        <v>182</v>
      </c>
      <c r="L182" s="8" t="str" cm="1">
        <f t="array" ref="L182">_xlfn.IFS(
 AND(K182&gt;=89,K182&lt;=92),"3개월",
 AND(K182&gt;=58,K182&lt;=62),"2개월",
 AND(K182&gt;=28,K182&lt;=32),"1개월",
 AND(K182=0),"당월",
 TRUE,"그외"
)</f>
        <v>그외</v>
      </c>
    </row>
    <row r="183" spans="1:12" ht="17.649999999999999" customHeight="1" x14ac:dyDescent="0.3">
      <c r="A183" s="5">
        <v>46113</v>
      </c>
      <c r="B183" s="6" t="s">
        <v>20</v>
      </c>
      <c r="C183" s="6" t="s">
        <v>35</v>
      </c>
      <c r="D183" s="5">
        <v>45962</v>
      </c>
      <c r="E183" s="6" t="s">
        <v>14</v>
      </c>
      <c r="F183" s="7">
        <v>1</v>
      </c>
      <c r="G183" s="7">
        <v>139834</v>
      </c>
      <c r="H183" s="7">
        <v>139834</v>
      </c>
      <c r="I183" s="7">
        <v>28709</v>
      </c>
      <c r="J183" s="7">
        <v>0</v>
      </c>
      <c r="K183">
        <f t="shared" si="2"/>
        <v>151</v>
      </c>
      <c r="L183" s="8" t="str" cm="1">
        <f t="array" ref="L183">_xlfn.IFS(
 AND(K183&gt;=89,K183&lt;=92),"3개월",
 AND(K183&gt;=58,K183&lt;=62),"2개월",
 AND(K183&gt;=28,K183&lt;=32),"1개월",
 AND(K183=0),"당월",
 TRUE,"그외"
)</f>
        <v>그외</v>
      </c>
    </row>
    <row r="184" spans="1:12" ht="17.649999999999999" customHeight="1" x14ac:dyDescent="0.3">
      <c r="A184" s="5">
        <v>46113</v>
      </c>
      <c r="B184" s="6" t="s">
        <v>20</v>
      </c>
      <c r="C184" s="6" t="s">
        <v>35</v>
      </c>
      <c r="D184" s="5">
        <v>45962</v>
      </c>
      <c r="E184" s="6" t="s">
        <v>15</v>
      </c>
      <c r="F184" s="7">
        <v>178</v>
      </c>
      <c r="G184" s="7">
        <v>124528.2359550562</v>
      </c>
      <c r="H184" s="7">
        <v>22166026</v>
      </c>
      <c r="I184" s="7">
        <v>3731047</v>
      </c>
      <c r="J184" s="7">
        <v>0</v>
      </c>
      <c r="K184">
        <f t="shared" si="2"/>
        <v>151</v>
      </c>
      <c r="L184" s="8" t="str" cm="1">
        <f t="array" ref="L184">_xlfn.IFS(
 AND(K184&gt;=89,K184&lt;=92),"3개월",
 AND(K184&gt;=58,K184&lt;=62),"2개월",
 AND(K184&gt;=28,K184&lt;=32),"1개월",
 AND(K184=0),"당월",
 TRUE,"그외"
)</f>
        <v>그외</v>
      </c>
    </row>
    <row r="185" spans="1:12" ht="17.649999999999999" customHeight="1" x14ac:dyDescent="0.3">
      <c r="A185" s="5">
        <v>46113</v>
      </c>
      <c r="B185" s="6" t="s">
        <v>20</v>
      </c>
      <c r="C185" s="6" t="s">
        <v>35</v>
      </c>
      <c r="D185" s="5">
        <v>45992</v>
      </c>
      <c r="E185" s="6" t="s">
        <v>14</v>
      </c>
      <c r="F185" s="7">
        <v>6</v>
      </c>
      <c r="G185" s="7">
        <v>141590</v>
      </c>
      <c r="H185" s="7">
        <v>849540</v>
      </c>
      <c r="I185" s="7">
        <v>174426</v>
      </c>
      <c r="J185" s="7">
        <v>0</v>
      </c>
      <c r="K185">
        <f t="shared" si="2"/>
        <v>121</v>
      </c>
      <c r="L185" s="8" t="str" cm="1">
        <f t="array" ref="L185">_xlfn.IFS(
 AND(K185&gt;=89,K185&lt;=92),"3개월",
 AND(K185&gt;=58,K185&lt;=62),"2개월",
 AND(K185&gt;=28,K185&lt;=32),"1개월",
 AND(K185=0),"당월",
 TRUE,"그외"
)</f>
        <v>그외</v>
      </c>
    </row>
    <row r="186" spans="1:12" ht="17.649999999999999" customHeight="1" x14ac:dyDescent="0.3">
      <c r="A186" s="5">
        <v>46113</v>
      </c>
      <c r="B186" s="6" t="s">
        <v>20</v>
      </c>
      <c r="C186" s="6" t="s">
        <v>35</v>
      </c>
      <c r="D186" s="5">
        <v>45992</v>
      </c>
      <c r="E186" s="6" t="s">
        <v>15</v>
      </c>
      <c r="F186" s="7">
        <v>333</v>
      </c>
      <c r="G186" s="7">
        <v>120886.8828828829</v>
      </c>
      <c r="H186" s="7">
        <v>40255332</v>
      </c>
      <c r="I186" s="7">
        <v>7570813</v>
      </c>
      <c r="J186" s="7">
        <v>0</v>
      </c>
      <c r="K186">
        <f t="shared" si="2"/>
        <v>121</v>
      </c>
      <c r="L186" s="8" t="str" cm="1">
        <f t="array" ref="L186">_xlfn.IFS(
 AND(K186&gt;=89,K186&lt;=92),"3개월",
 AND(K186&gt;=58,K186&lt;=62),"2개월",
 AND(K186&gt;=28,K186&lt;=32),"1개월",
 AND(K186=0),"당월",
 TRUE,"그외"
)</f>
        <v>그외</v>
      </c>
    </row>
    <row r="187" spans="1:12" ht="17.649999999999999" customHeight="1" x14ac:dyDescent="0.3">
      <c r="A187" s="5">
        <v>46113</v>
      </c>
      <c r="B187" s="6" t="s">
        <v>20</v>
      </c>
      <c r="C187" s="6" t="s">
        <v>35</v>
      </c>
      <c r="D187" s="5">
        <v>46023</v>
      </c>
      <c r="E187" s="6" t="s">
        <v>14</v>
      </c>
      <c r="F187" s="7">
        <v>52</v>
      </c>
      <c r="G187" s="7">
        <v>147457.3846153846</v>
      </c>
      <c r="H187" s="7">
        <v>7667784</v>
      </c>
      <c r="I187" s="7">
        <v>1364352</v>
      </c>
      <c r="J187" s="7">
        <v>0</v>
      </c>
      <c r="K187">
        <f t="shared" si="2"/>
        <v>90</v>
      </c>
      <c r="L187" s="8" t="str" cm="1">
        <f t="array" ref="L187">_xlfn.IFS(
 AND(K187&gt;=89,K187&lt;=92),"3개월",
 AND(K187&gt;=58,K187&lt;=62),"2개월",
 AND(K187&gt;=28,K187&lt;=32),"1개월",
 AND(K187=0),"당월",
 TRUE,"그외"
)</f>
        <v>3개월</v>
      </c>
    </row>
    <row r="188" spans="1:12" ht="17.649999999999999" customHeight="1" x14ac:dyDescent="0.3">
      <c r="A188" s="5">
        <v>46113</v>
      </c>
      <c r="B188" s="6" t="s">
        <v>20</v>
      </c>
      <c r="C188" s="6" t="s">
        <v>35</v>
      </c>
      <c r="D188" s="5">
        <v>46023</v>
      </c>
      <c r="E188" s="6" t="s">
        <v>15</v>
      </c>
      <c r="F188" s="7">
        <v>413</v>
      </c>
      <c r="G188" s="7">
        <v>126048.29297820821</v>
      </c>
      <c r="H188" s="7">
        <v>52057945</v>
      </c>
      <c r="I188" s="7">
        <v>10406582</v>
      </c>
      <c r="J188" s="7">
        <v>0</v>
      </c>
      <c r="K188">
        <f t="shared" si="2"/>
        <v>90</v>
      </c>
      <c r="L188" s="8" t="str" cm="1">
        <f t="array" ref="L188">_xlfn.IFS(
 AND(K188&gt;=89,K188&lt;=92),"3개월",
 AND(K188&gt;=58,K188&lt;=62),"2개월",
 AND(K188&gt;=28,K188&lt;=32),"1개월",
 AND(K188=0),"당월",
 TRUE,"그외"
)</f>
        <v>3개월</v>
      </c>
    </row>
    <row r="189" spans="1:12" ht="17.649999999999999" customHeight="1" x14ac:dyDescent="0.3">
      <c r="A189" s="5">
        <v>46113</v>
      </c>
      <c r="B189" s="6" t="s">
        <v>20</v>
      </c>
      <c r="C189" s="6" t="s">
        <v>35</v>
      </c>
      <c r="D189" s="5">
        <v>46054</v>
      </c>
      <c r="E189" s="6" t="s">
        <v>14</v>
      </c>
      <c r="F189" s="7">
        <v>729</v>
      </c>
      <c r="G189" s="7">
        <v>130866.51989026061</v>
      </c>
      <c r="H189" s="7">
        <v>95401693</v>
      </c>
      <c r="I189" s="7">
        <v>11788370</v>
      </c>
      <c r="J189" s="7">
        <v>0</v>
      </c>
      <c r="K189">
        <f t="shared" si="2"/>
        <v>59</v>
      </c>
      <c r="L189" s="8" t="str" cm="1">
        <f t="array" ref="L189">_xlfn.IFS(
 AND(K189&gt;=89,K189&lt;=92),"3개월",
 AND(K189&gt;=58,K189&lt;=62),"2개월",
 AND(K189&gt;=28,K189&lt;=32),"1개월",
 AND(K189=0),"당월",
 TRUE,"그외"
)</f>
        <v>2개월</v>
      </c>
    </row>
    <row r="190" spans="1:12" ht="17.649999999999999" customHeight="1" x14ac:dyDescent="0.3">
      <c r="A190" s="5">
        <v>46113</v>
      </c>
      <c r="B190" s="6" t="s">
        <v>20</v>
      </c>
      <c r="C190" s="6" t="s">
        <v>35</v>
      </c>
      <c r="D190" s="5">
        <v>46054</v>
      </c>
      <c r="E190" s="6" t="s">
        <v>15</v>
      </c>
      <c r="F190" s="7">
        <v>1741</v>
      </c>
      <c r="G190" s="7">
        <v>150220.88225157949</v>
      </c>
      <c r="H190" s="7">
        <v>261534556</v>
      </c>
      <c r="I190" s="7">
        <v>38050304</v>
      </c>
      <c r="J190" s="7">
        <v>0</v>
      </c>
      <c r="K190">
        <f t="shared" si="2"/>
        <v>59</v>
      </c>
      <c r="L190" s="8" t="str" cm="1">
        <f t="array" ref="L190">_xlfn.IFS(
 AND(K190&gt;=89,K190&lt;=92),"3개월",
 AND(K190&gt;=58,K190&lt;=62),"2개월",
 AND(K190&gt;=28,K190&lt;=32),"1개월",
 AND(K190=0),"당월",
 TRUE,"그외"
)</f>
        <v>2개월</v>
      </c>
    </row>
    <row r="191" spans="1:12" ht="17.649999999999999" customHeight="1" x14ac:dyDescent="0.3">
      <c r="A191" s="5">
        <v>46113</v>
      </c>
      <c r="B191" s="6" t="s">
        <v>20</v>
      </c>
      <c r="C191" s="6" t="s">
        <v>35</v>
      </c>
      <c r="D191" s="5">
        <v>46082</v>
      </c>
      <c r="E191" s="6" t="s">
        <v>14</v>
      </c>
      <c r="F191" s="7">
        <v>1678</v>
      </c>
      <c r="G191" s="7">
        <v>147229.24374255069</v>
      </c>
      <c r="H191" s="7">
        <v>247050671</v>
      </c>
      <c r="I191" s="7">
        <v>30721036</v>
      </c>
      <c r="J191" s="7">
        <v>0</v>
      </c>
      <c r="K191">
        <f t="shared" si="2"/>
        <v>31</v>
      </c>
      <c r="L191" s="8" t="str" cm="1">
        <f t="array" ref="L191">_xlfn.IFS(
 AND(K191&gt;=89,K191&lt;=92),"3개월",
 AND(K191&gt;=58,K191&lt;=62),"2개월",
 AND(K191&gt;=28,K191&lt;=32),"1개월",
 AND(K191=0),"당월",
 TRUE,"그외"
)</f>
        <v>1개월</v>
      </c>
    </row>
    <row r="192" spans="1:12" ht="17.649999999999999" customHeight="1" x14ac:dyDescent="0.3">
      <c r="A192" s="5">
        <v>46113</v>
      </c>
      <c r="B192" s="6" t="s">
        <v>20</v>
      </c>
      <c r="C192" s="6" t="s">
        <v>35</v>
      </c>
      <c r="D192" s="5">
        <v>46082</v>
      </c>
      <c r="E192" s="6" t="s">
        <v>15</v>
      </c>
      <c r="F192" s="7">
        <v>2710</v>
      </c>
      <c r="G192" s="7">
        <v>165657.02472324719</v>
      </c>
      <c r="H192" s="7">
        <v>448930537</v>
      </c>
      <c r="I192" s="7">
        <v>59651656</v>
      </c>
      <c r="J192" s="7">
        <v>0</v>
      </c>
      <c r="K192">
        <f t="shared" si="2"/>
        <v>31</v>
      </c>
      <c r="L192" s="8" t="str" cm="1">
        <f t="array" ref="L192">_xlfn.IFS(
 AND(K192&gt;=89,K192&lt;=92),"3개월",
 AND(K192&gt;=58,K192&lt;=62),"2개월",
 AND(K192&gt;=28,K192&lt;=32),"1개월",
 AND(K192=0),"당월",
 TRUE,"그외"
)</f>
        <v>1개월</v>
      </c>
    </row>
    <row r="193" spans="1:12" ht="17.649999999999999" customHeight="1" x14ac:dyDescent="0.3">
      <c r="A193" s="5">
        <v>46113</v>
      </c>
      <c r="B193" s="6" t="s">
        <v>20</v>
      </c>
      <c r="C193" s="6" t="s">
        <v>35</v>
      </c>
      <c r="D193" s="5">
        <v>46113</v>
      </c>
      <c r="E193" s="6" t="s">
        <v>14</v>
      </c>
      <c r="F193" s="7">
        <v>62</v>
      </c>
      <c r="G193" s="7">
        <v>193003.22580645161</v>
      </c>
      <c r="H193" s="7">
        <v>11966200</v>
      </c>
      <c r="I193" s="7">
        <v>2476200</v>
      </c>
      <c r="J193" s="7">
        <v>0</v>
      </c>
      <c r="K193">
        <f t="shared" si="2"/>
        <v>0</v>
      </c>
      <c r="L193" s="8" t="str" cm="1">
        <f t="array" ref="L193">_xlfn.IFS(
 AND(K193&gt;=89,K193&lt;=92),"3개월",
 AND(K193&gt;=58,K193&lt;=62),"2개월",
 AND(K193&gt;=28,K193&lt;=32),"1개월",
 AND(K193=0),"당월",
 TRUE,"그외"
)</f>
        <v>당월</v>
      </c>
    </row>
    <row r="194" spans="1:12" ht="17.649999999999999" customHeight="1" x14ac:dyDescent="0.3">
      <c r="A194" s="5">
        <v>46113</v>
      </c>
      <c r="B194" s="6" t="s">
        <v>20</v>
      </c>
      <c r="C194" s="6" t="s">
        <v>35</v>
      </c>
      <c r="D194" s="5">
        <v>46113</v>
      </c>
      <c r="E194" s="6" t="s">
        <v>15</v>
      </c>
      <c r="F194" s="7">
        <v>1075</v>
      </c>
      <c r="G194" s="7">
        <v>185510.41209302319</v>
      </c>
      <c r="H194" s="7">
        <v>199423693</v>
      </c>
      <c r="I194" s="7">
        <v>50288795</v>
      </c>
      <c r="J194" s="7">
        <v>0</v>
      </c>
      <c r="K194">
        <f t="shared" si="2"/>
        <v>0</v>
      </c>
      <c r="L194" s="8" t="str" cm="1">
        <f t="array" ref="L194">_xlfn.IFS(
 AND(K194&gt;=89,K194&lt;=92),"3개월",
 AND(K194&gt;=58,K194&lt;=62),"2개월",
 AND(K194&gt;=28,K194&lt;=32),"1개월",
 AND(K194=0),"당월",
 TRUE,"그외"
)</f>
        <v>당월</v>
      </c>
    </row>
    <row r="195" spans="1:12" ht="17.649999999999999" customHeight="1" x14ac:dyDescent="0.3">
      <c r="A195" s="5">
        <v>46113</v>
      </c>
      <c r="B195" s="6" t="s">
        <v>20</v>
      </c>
      <c r="C195" s="6" t="s">
        <v>36</v>
      </c>
      <c r="D195" s="5">
        <v>45931</v>
      </c>
      <c r="E195" s="6" t="s">
        <v>15</v>
      </c>
      <c r="F195" s="7">
        <v>208</v>
      </c>
      <c r="G195" s="7">
        <v>154471.65865384621</v>
      </c>
      <c r="H195" s="7">
        <v>32130105</v>
      </c>
      <c r="I195" s="7">
        <v>3807566</v>
      </c>
      <c r="J195" s="7">
        <v>0</v>
      </c>
      <c r="K195">
        <f t="shared" si="2"/>
        <v>182</v>
      </c>
      <c r="L195" s="8" t="str" cm="1">
        <f t="array" ref="L195">_xlfn.IFS(
 AND(K195&gt;=89,K195&lt;=92),"3개월",
 AND(K195&gt;=58,K195&lt;=62),"2개월",
 AND(K195&gt;=28,K195&lt;=32),"1개월",
 AND(K195=0),"당월",
 TRUE,"그외"
)</f>
        <v>그외</v>
      </c>
    </row>
    <row r="196" spans="1:12" ht="17.649999999999999" customHeight="1" x14ac:dyDescent="0.3">
      <c r="A196" s="5">
        <v>46113</v>
      </c>
      <c r="B196" s="6" t="s">
        <v>20</v>
      </c>
      <c r="C196" s="6" t="s">
        <v>36</v>
      </c>
      <c r="D196" s="5">
        <v>45962</v>
      </c>
      <c r="E196" s="6" t="s">
        <v>15</v>
      </c>
      <c r="F196" s="7">
        <v>380</v>
      </c>
      <c r="G196" s="7">
        <v>156648.92631578949</v>
      </c>
      <c r="H196" s="7">
        <v>59526592</v>
      </c>
      <c r="I196" s="7">
        <v>7065882</v>
      </c>
      <c r="J196" s="7">
        <v>0</v>
      </c>
      <c r="K196">
        <f t="shared" si="2"/>
        <v>151</v>
      </c>
      <c r="L196" s="8" t="str" cm="1">
        <f t="array" ref="L196">_xlfn.IFS(
 AND(K196&gt;=89,K196&lt;=92),"3개월",
 AND(K196&gt;=58,K196&lt;=62),"2개월",
 AND(K196&gt;=28,K196&lt;=32),"1개월",
 AND(K196=0),"당월",
 TRUE,"그외"
)</f>
        <v>그외</v>
      </c>
    </row>
    <row r="197" spans="1:12" ht="17.649999999999999" customHeight="1" x14ac:dyDescent="0.3">
      <c r="A197" s="5">
        <v>46113</v>
      </c>
      <c r="B197" s="6" t="s">
        <v>20</v>
      </c>
      <c r="C197" s="6" t="s">
        <v>36</v>
      </c>
      <c r="D197" s="5">
        <v>45992</v>
      </c>
      <c r="E197" s="6" t="s">
        <v>14</v>
      </c>
      <c r="F197" s="7">
        <v>5</v>
      </c>
      <c r="G197" s="7">
        <v>132702</v>
      </c>
      <c r="H197" s="7">
        <v>663510</v>
      </c>
      <c r="I197" s="7">
        <v>145887</v>
      </c>
      <c r="J197" s="7">
        <v>0</v>
      </c>
      <c r="K197">
        <f t="shared" si="2"/>
        <v>121</v>
      </c>
      <c r="L197" s="8" t="str" cm="1">
        <f t="array" ref="L197">_xlfn.IFS(
 AND(K197&gt;=89,K197&lt;=92),"3개월",
 AND(K197&gt;=58,K197&lt;=62),"2개월",
 AND(K197&gt;=28,K197&lt;=32),"1개월",
 AND(K197=0),"당월",
 TRUE,"그외"
)</f>
        <v>그외</v>
      </c>
    </row>
    <row r="198" spans="1:12" ht="17.649999999999999" customHeight="1" x14ac:dyDescent="0.3">
      <c r="A198" s="5">
        <v>46113</v>
      </c>
      <c r="B198" s="6" t="s">
        <v>20</v>
      </c>
      <c r="C198" s="6" t="s">
        <v>36</v>
      </c>
      <c r="D198" s="5">
        <v>45992</v>
      </c>
      <c r="E198" s="6" t="s">
        <v>15</v>
      </c>
      <c r="F198" s="7">
        <v>287</v>
      </c>
      <c r="G198" s="7">
        <v>154009.48083623691</v>
      </c>
      <c r="H198" s="7">
        <v>44200721</v>
      </c>
      <c r="I198" s="7">
        <v>6457362</v>
      </c>
      <c r="J198" s="7">
        <v>0</v>
      </c>
      <c r="K198">
        <f t="shared" si="2"/>
        <v>121</v>
      </c>
      <c r="L198" s="8" t="str" cm="1">
        <f t="array" ref="L198">_xlfn.IFS(
 AND(K198&gt;=89,K198&lt;=92),"3개월",
 AND(K198&gt;=58,K198&lt;=62),"2개월",
 AND(K198&gt;=28,K198&lt;=32),"1개월",
 AND(K198=0),"당월",
 TRUE,"그외"
)</f>
        <v>그외</v>
      </c>
    </row>
    <row r="199" spans="1:12" ht="17.649999999999999" customHeight="1" x14ac:dyDescent="0.3">
      <c r="A199" s="5">
        <v>46113</v>
      </c>
      <c r="B199" s="6" t="s">
        <v>20</v>
      </c>
      <c r="C199" s="6" t="s">
        <v>36</v>
      </c>
      <c r="D199" s="5">
        <v>46023</v>
      </c>
      <c r="E199" s="6" t="s">
        <v>14</v>
      </c>
      <c r="F199" s="7">
        <v>60</v>
      </c>
      <c r="G199" s="7">
        <v>128078.2166666667</v>
      </c>
      <c r="H199" s="7">
        <v>7684693</v>
      </c>
      <c r="I199" s="7">
        <v>1729622</v>
      </c>
      <c r="J199" s="7">
        <v>0</v>
      </c>
      <c r="K199">
        <f t="shared" si="2"/>
        <v>90</v>
      </c>
      <c r="L199" s="8" t="str" cm="1">
        <f t="array" ref="L199">_xlfn.IFS(
 AND(K199&gt;=89,K199&lt;=92),"3개월",
 AND(K199&gt;=58,K199&lt;=62),"2개월",
 AND(K199&gt;=28,K199&lt;=32),"1개월",
 AND(K199=0),"당월",
 TRUE,"그외"
)</f>
        <v>3개월</v>
      </c>
    </row>
    <row r="200" spans="1:12" ht="17.649999999999999" customHeight="1" x14ac:dyDescent="0.3">
      <c r="A200" s="5">
        <v>46113</v>
      </c>
      <c r="B200" s="6" t="s">
        <v>20</v>
      </c>
      <c r="C200" s="6" t="s">
        <v>36</v>
      </c>
      <c r="D200" s="5">
        <v>46023</v>
      </c>
      <c r="E200" s="6" t="s">
        <v>15</v>
      </c>
      <c r="F200" s="7">
        <v>955</v>
      </c>
      <c r="G200" s="7">
        <v>183084.41780104709</v>
      </c>
      <c r="H200" s="7">
        <v>174845619</v>
      </c>
      <c r="I200" s="7">
        <v>21989704</v>
      </c>
      <c r="J200" s="7">
        <v>0</v>
      </c>
      <c r="K200">
        <f t="shared" si="2"/>
        <v>90</v>
      </c>
      <c r="L200" s="8" t="str" cm="1">
        <f t="array" ref="L200">_xlfn.IFS(
 AND(K200&gt;=89,K200&lt;=92),"3개월",
 AND(K200&gt;=58,K200&lt;=62),"2개월",
 AND(K200&gt;=28,K200&lt;=32),"1개월",
 AND(K200=0),"당월",
 TRUE,"그외"
)</f>
        <v>3개월</v>
      </c>
    </row>
    <row r="201" spans="1:12" ht="17.649999999999999" customHeight="1" x14ac:dyDescent="0.3">
      <c r="A201" s="5">
        <v>46113</v>
      </c>
      <c r="B201" s="6" t="s">
        <v>20</v>
      </c>
      <c r="C201" s="6" t="s">
        <v>36</v>
      </c>
      <c r="D201" s="5">
        <v>46054</v>
      </c>
      <c r="E201" s="6" t="s">
        <v>14</v>
      </c>
      <c r="F201" s="7">
        <v>203</v>
      </c>
      <c r="G201" s="7">
        <v>140759.38423645319</v>
      </c>
      <c r="H201" s="7">
        <v>28574155</v>
      </c>
      <c r="I201" s="7">
        <v>4415238</v>
      </c>
      <c r="J201" s="7">
        <v>0</v>
      </c>
      <c r="K201">
        <f t="shared" si="2"/>
        <v>59</v>
      </c>
      <c r="L201" s="8" t="str" cm="1">
        <f t="array" ref="L201">_xlfn.IFS(
 AND(K201&gt;=89,K201&lt;=92),"3개월",
 AND(K201&gt;=58,K201&lt;=62),"2개월",
 AND(K201&gt;=28,K201&lt;=32),"1개월",
 AND(K201=0),"당월",
 TRUE,"그외"
)</f>
        <v>2개월</v>
      </c>
    </row>
    <row r="202" spans="1:12" ht="17.649999999999999" customHeight="1" x14ac:dyDescent="0.3">
      <c r="A202" s="5">
        <v>46113</v>
      </c>
      <c r="B202" s="6" t="s">
        <v>20</v>
      </c>
      <c r="C202" s="6" t="s">
        <v>36</v>
      </c>
      <c r="D202" s="5">
        <v>46054</v>
      </c>
      <c r="E202" s="6" t="s">
        <v>15</v>
      </c>
      <c r="F202" s="7">
        <v>1421</v>
      </c>
      <c r="G202" s="7">
        <v>183165.5805770584</v>
      </c>
      <c r="H202" s="7">
        <v>260278290</v>
      </c>
      <c r="I202" s="7">
        <v>27896664</v>
      </c>
      <c r="J202" s="7">
        <v>0</v>
      </c>
      <c r="K202">
        <f t="shared" ref="K202:K265" si="3">A202-D202</f>
        <v>59</v>
      </c>
      <c r="L202" s="8" t="str" cm="1">
        <f t="array" ref="L202">_xlfn.IFS(
 AND(K202&gt;=89,K202&lt;=92),"3개월",
 AND(K202&gt;=58,K202&lt;=62),"2개월",
 AND(K202&gt;=28,K202&lt;=32),"1개월",
 AND(K202=0),"당월",
 TRUE,"그외"
)</f>
        <v>2개월</v>
      </c>
    </row>
    <row r="203" spans="1:12" ht="17.649999999999999" customHeight="1" x14ac:dyDescent="0.3">
      <c r="A203" s="5">
        <v>46113</v>
      </c>
      <c r="B203" s="6" t="s">
        <v>20</v>
      </c>
      <c r="C203" s="6" t="s">
        <v>36</v>
      </c>
      <c r="D203" s="5">
        <v>46082</v>
      </c>
      <c r="E203" s="6" t="s">
        <v>14</v>
      </c>
      <c r="F203" s="7">
        <v>2813</v>
      </c>
      <c r="G203" s="7">
        <v>149791.4496978315</v>
      </c>
      <c r="H203" s="7">
        <v>421363348</v>
      </c>
      <c r="I203" s="7">
        <v>49739580</v>
      </c>
      <c r="J203" s="7">
        <v>0</v>
      </c>
      <c r="K203">
        <f t="shared" si="3"/>
        <v>31</v>
      </c>
      <c r="L203" s="8" t="str" cm="1">
        <f t="array" ref="L203">_xlfn.IFS(
 AND(K203&gt;=89,K203&lt;=92),"3개월",
 AND(K203&gt;=58,K203&lt;=62),"2개월",
 AND(K203&gt;=28,K203&lt;=32),"1개월",
 AND(K203=0),"당월",
 TRUE,"그외"
)</f>
        <v>1개월</v>
      </c>
    </row>
    <row r="204" spans="1:12" ht="17.649999999999999" customHeight="1" x14ac:dyDescent="0.3">
      <c r="A204" s="5">
        <v>46113</v>
      </c>
      <c r="B204" s="6" t="s">
        <v>20</v>
      </c>
      <c r="C204" s="6" t="s">
        <v>36</v>
      </c>
      <c r="D204" s="5">
        <v>46082</v>
      </c>
      <c r="E204" s="6" t="s">
        <v>15</v>
      </c>
      <c r="F204" s="7">
        <v>3320</v>
      </c>
      <c r="G204" s="7">
        <v>201345.97319277111</v>
      </c>
      <c r="H204" s="7">
        <v>668468631</v>
      </c>
      <c r="I204" s="7">
        <v>68188840</v>
      </c>
      <c r="J204" s="7">
        <v>0</v>
      </c>
      <c r="K204">
        <f t="shared" si="3"/>
        <v>31</v>
      </c>
      <c r="L204" s="8" t="str" cm="1">
        <f t="array" ref="L204">_xlfn.IFS(
 AND(K204&gt;=89,K204&lt;=92),"3개월",
 AND(K204&gt;=58,K204&lt;=62),"2개월",
 AND(K204&gt;=28,K204&lt;=32),"1개월",
 AND(K204=0),"당월",
 TRUE,"그외"
)</f>
        <v>1개월</v>
      </c>
    </row>
    <row r="205" spans="1:12" ht="17.649999999999999" customHeight="1" x14ac:dyDescent="0.3">
      <c r="A205" s="5">
        <v>46113</v>
      </c>
      <c r="B205" s="6" t="s">
        <v>20</v>
      </c>
      <c r="C205" s="6" t="s">
        <v>36</v>
      </c>
      <c r="D205" s="5">
        <v>46113</v>
      </c>
      <c r="E205" s="6" t="s">
        <v>14</v>
      </c>
      <c r="F205" s="7">
        <v>70</v>
      </c>
      <c r="G205" s="7">
        <v>185648.57142857139</v>
      </c>
      <c r="H205" s="7">
        <v>12995400</v>
      </c>
      <c r="I205" s="7">
        <v>3495400</v>
      </c>
      <c r="J205" s="7">
        <v>0</v>
      </c>
      <c r="K205">
        <f t="shared" si="3"/>
        <v>0</v>
      </c>
      <c r="L205" s="8" t="str" cm="1">
        <f t="array" ref="L205">_xlfn.IFS(
 AND(K205&gt;=89,K205&lt;=92),"3개월",
 AND(K205&gt;=58,K205&lt;=62),"2개월",
 AND(K205&gt;=28,K205&lt;=32),"1개월",
 AND(K205=0),"당월",
 TRUE,"그외"
)</f>
        <v>당월</v>
      </c>
    </row>
    <row r="206" spans="1:12" ht="17.649999999999999" customHeight="1" x14ac:dyDescent="0.3">
      <c r="A206" s="5">
        <v>46113</v>
      </c>
      <c r="B206" s="6" t="s">
        <v>20</v>
      </c>
      <c r="C206" s="6" t="s">
        <v>36</v>
      </c>
      <c r="D206" s="5">
        <v>46113</v>
      </c>
      <c r="E206" s="6" t="s">
        <v>15</v>
      </c>
      <c r="F206" s="7">
        <v>873</v>
      </c>
      <c r="G206" s="7">
        <v>199940.26231386029</v>
      </c>
      <c r="H206" s="7">
        <v>174547849</v>
      </c>
      <c r="I206" s="7">
        <v>41061715</v>
      </c>
      <c r="J206" s="7">
        <v>0</v>
      </c>
      <c r="K206">
        <f t="shared" si="3"/>
        <v>0</v>
      </c>
      <c r="L206" s="8" t="str" cm="1">
        <f t="array" ref="L206">_xlfn.IFS(
 AND(K206&gt;=89,K206&lt;=92),"3개월",
 AND(K206&gt;=58,K206&lt;=62),"2개월",
 AND(K206&gt;=28,K206&lt;=32),"1개월",
 AND(K206=0),"당월",
 TRUE,"그외"
)</f>
        <v>당월</v>
      </c>
    </row>
    <row r="207" spans="1:12" ht="17.649999999999999" customHeight="1" x14ac:dyDescent="0.3">
      <c r="A207" s="5">
        <v>46113</v>
      </c>
      <c r="B207" s="6" t="s">
        <v>20</v>
      </c>
      <c r="C207" s="6" t="s">
        <v>37</v>
      </c>
      <c r="D207" s="5">
        <v>45931</v>
      </c>
      <c r="E207" s="6" t="s">
        <v>15</v>
      </c>
      <c r="F207" s="7">
        <v>23</v>
      </c>
      <c r="G207" s="7">
        <v>116358.6086956522</v>
      </c>
      <c r="H207" s="7">
        <v>2676248</v>
      </c>
      <c r="I207" s="7">
        <v>242471</v>
      </c>
      <c r="J207" s="7">
        <v>0</v>
      </c>
      <c r="K207">
        <f t="shared" si="3"/>
        <v>182</v>
      </c>
      <c r="L207" s="8" t="str" cm="1">
        <f t="array" ref="L207">_xlfn.IFS(
 AND(K207&gt;=89,K207&lt;=92),"3개월",
 AND(K207&gt;=58,K207&lt;=62),"2개월",
 AND(K207&gt;=28,K207&lt;=32),"1개월",
 AND(K207=0),"당월",
 TRUE,"그외"
)</f>
        <v>그외</v>
      </c>
    </row>
    <row r="208" spans="1:12" ht="17.649999999999999" customHeight="1" x14ac:dyDescent="0.3">
      <c r="A208" s="5">
        <v>46113</v>
      </c>
      <c r="B208" s="6" t="s">
        <v>20</v>
      </c>
      <c r="C208" s="6" t="s">
        <v>37</v>
      </c>
      <c r="D208" s="5">
        <v>45962</v>
      </c>
      <c r="E208" s="6" t="s">
        <v>14</v>
      </c>
      <c r="F208" s="7">
        <v>7</v>
      </c>
      <c r="G208" s="7">
        <v>83627.571428571435</v>
      </c>
      <c r="H208" s="7">
        <v>585393</v>
      </c>
      <c r="I208" s="7">
        <v>204224</v>
      </c>
      <c r="J208" s="7">
        <v>0</v>
      </c>
      <c r="K208">
        <f t="shared" si="3"/>
        <v>151</v>
      </c>
      <c r="L208" s="8" t="str" cm="1">
        <f t="array" ref="L208">_xlfn.IFS(
 AND(K208&gt;=89,K208&lt;=92),"3개월",
 AND(K208&gt;=58,K208&lt;=62),"2개월",
 AND(K208&gt;=28,K208&lt;=32),"1개월",
 AND(K208=0),"당월",
 TRUE,"그외"
)</f>
        <v>그외</v>
      </c>
    </row>
    <row r="209" spans="1:12" ht="17.649999999999999" customHeight="1" x14ac:dyDescent="0.3">
      <c r="A209" s="5">
        <v>46113</v>
      </c>
      <c r="B209" s="6" t="s">
        <v>20</v>
      </c>
      <c r="C209" s="6" t="s">
        <v>37</v>
      </c>
      <c r="D209" s="5">
        <v>45962</v>
      </c>
      <c r="E209" s="6" t="s">
        <v>15</v>
      </c>
      <c r="F209" s="7">
        <v>204</v>
      </c>
      <c r="G209" s="7">
        <v>132561.72549019611</v>
      </c>
      <c r="H209" s="7">
        <v>27042592</v>
      </c>
      <c r="I209" s="7">
        <v>2055927</v>
      </c>
      <c r="J209" s="7">
        <v>0</v>
      </c>
      <c r="K209">
        <f t="shared" si="3"/>
        <v>151</v>
      </c>
      <c r="L209" s="8" t="str" cm="1">
        <f t="array" ref="L209">_xlfn.IFS(
 AND(K209&gt;=89,K209&lt;=92),"3개월",
 AND(K209&gt;=58,K209&lt;=62),"2개월",
 AND(K209&gt;=28,K209&lt;=32),"1개월",
 AND(K209=0),"당월",
 TRUE,"그외"
)</f>
        <v>그외</v>
      </c>
    </row>
    <row r="210" spans="1:12" ht="17.649999999999999" customHeight="1" x14ac:dyDescent="0.3">
      <c r="A210" s="5">
        <v>46113</v>
      </c>
      <c r="B210" s="6" t="s">
        <v>20</v>
      </c>
      <c r="C210" s="6" t="s">
        <v>37</v>
      </c>
      <c r="D210" s="5">
        <v>45992</v>
      </c>
      <c r="E210" s="6" t="s">
        <v>14</v>
      </c>
      <c r="F210" s="7">
        <v>4</v>
      </c>
      <c r="G210" s="7">
        <v>82645.75</v>
      </c>
      <c r="H210" s="7">
        <v>330583</v>
      </c>
      <c r="I210" s="7">
        <v>117477</v>
      </c>
      <c r="J210" s="7">
        <v>0</v>
      </c>
      <c r="K210">
        <f t="shared" si="3"/>
        <v>121</v>
      </c>
      <c r="L210" s="8" t="str" cm="1">
        <f t="array" ref="L210">_xlfn.IFS(
 AND(K210&gt;=89,K210&lt;=92),"3개월",
 AND(K210&gt;=58,K210&lt;=62),"2개월",
 AND(K210&gt;=28,K210&lt;=32),"1개월",
 AND(K210=0),"당월",
 TRUE,"그외"
)</f>
        <v>그외</v>
      </c>
    </row>
    <row r="211" spans="1:12" ht="17.649999999999999" customHeight="1" x14ac:dyDescent="0.3">
      <c r="A211" s="5">
        <v>46113</v>
      </c>
      <c r="B211" s="6" t="s">
        <v>20</v>
      </c>
      <c r="C211" s="6" t="s">
        <v>37</v>
      </c>
      <c r="D211" s="5">
        <v>45992</v>
      </c>
      <c r="E211" s="6" t="s">
        <v>15</v>
      </c>
      <c r="F211" s="7">
        <v>517</v>
      </c>
      <c r="G211" s="7">
        <v>138406.49129593809</v>
      </c>
      <c r="H211" s="7">
        <v>71556156</v>
      </c>
      <c r="I211" s="7">
        <v>6653897</v>
      </c>
      <c r="J211" s="7">
        <v>0</v>
      </c>
      <c r="K211">
        <f t="shared" si="3"/>
        <v>121</v>
      </c>
      <c r="L211" s="8" t="str" cm="1">
        <f t="array" ref="L211">_xlfn.IFS(
 AND(K211&gt;=89,K211&lt;=92),"3개월",
 AND(K211&gt;=58,K211&lt;=62),"2개월",
 AND(K211&gt;=28,K211&lt;=32),"1개월",
 AND(K211=0),"당월",
 TRUE,"그외"
)</f>
        <v>그외</v>
      </c>
    </row>
    <row r="212" spans="1:12" ht="17.649999999999999" customHeight="1" x14ac:dyDescent="0.3">
      <c r="A212" s="5">
        <v>46113</v>
      </c>
      <c r="B212" s="6" t="s">
        <v>20</v>
      </c>
      <c r="C212" s="6" t="s">
        <v>37</v>
      </c>
      <c r="D212" s="5">
        <v>46023</v>
      </c>
      <c r="E212" s="6" t="s">
        <v>14</v>
      </c>
      <c r="F212" s="7">
        <v>169</v>
      </c>
      <c r="G212" s="7">
        <v>119128.7633136095</v>
      </c>
      <c r="H212" s="7">
        <v>20132761</v>
      </c>
      <c r="I212" s="7">
        <v>3355889</v>
      </c>
      <c r="J212" s="7">
        <v>0</v>
      </c>
      <c r="K212">
        <f t="shared" si="3"/>
        <v>90</v>
      </c>
      <c r="L212" s="8" t="str" cm="1">
        <f t="array" ref="L212">_xlfn.IFS(
 AND(K212&gt;=89,K212&lt;=92),"3개월",
 AND(K212&gt;=58,K212&lt;=62),"2개월",
 AND(K212&gt;=28,K212&lt;=32),"1개월",
 AND(K212=0),"당월",
 TRUE,"그외"
)</f>
        <v>3개월</v>
      </c>
    </row>
    <row r="213" spans="1:12" ht="17.649999999999999" customHeight="1" x14ac:dyDescent="0.3">
      <c r="A213" s="5">
        <v>46113</v>
      </c>
      <c r="B213" s="6" t="s">
        <v>20</v>
      </c>
      <c r="C213" s="6" t="s">
        <v>37</v>
      </c>
      <c r="D213" s="5">
        <v>46023</v>
      </c>
      <c r="E213" s="6" t="s">
        <v>15</v>
      </c>
      <c r="F213" s="7">
        <v>1279</v>
      </c>
      <c r="G213" s="7">
        <v>160581.58874120409</v>
      </c>
      <c r="H213" s="7">
        <v>205383852</v>
      </c>
      <c r="I213" s="7">
        <v>17900306</v>
      </c>
      <c r="J213" s="7">
        <v>0</v>
      </c>
      <c r="K213">
        <f t="shared" si="3"/>
        <v>90</v>
      </c>
      <c r="L213" s="8" t="str" cm="1">
        <f t="array" ref="L213">_xlfn.IFS(
 AND(K213&gt;=89,K213&lt;=92),"3개월",
 AND(K213&gt;=58,K213&lt;=62),"2개월",
 AND(K213&gt;=28,K213&lt;=32),"1개월",
 AND(K213=0),"당월",
 TRUE,"그외"
)</f>
        <v>3개월</v>
      </c>
    </row>
    <row r="214" spans="1:12" ht="17.649999999999999" customHeight="1" x14ac:dyDescent="0.3">
      <c r="A214" s="5">
        <v>46113</v>
      </c>
      <c r="B214" s="6" t="s">
        <v>20</v>
      </c>
      <c r="C214" s="6" t="s">
        <v>37</v>
      </c>
      <c r="D214" s="5">
        <v>46054</v>
      </c>
      <c r="E214" s="6" t="s">
        <v>14</v>
      </c>
      <c r="F214" s="7">
        <v>187</v>
      </c>
      <c r="G214" s="7">
        <v>125161.3957219251</v>
      </c>
      <c r="H214" s="7">
        <v>23405181</v>
      </c>
      <c r="I214" s="7">
        <v>2256298</v>
      </c>
      <c r="J214" s="7">
        <v>0</v>
      </c>
      <c r="K214">
        <f t="shared" si="3"/>
        <v>59</v>
      </c>
      <c r="L214" s="8" t="str" cm="1">
        <f t="array" ref="L214">_xlfn.IFS(
 AND(K214&gt;=89,K214&lt;=92),"3개월",
 AND(K214&gt;=58,K214&lt;=62),"2개월",
 AND(K214&gt;=28,K214&lt;=32),"1개월",
 AND(K214=0),"당월",
 TRUE,"그외"
)</f>
        <v>2개월</v>
      </c>
    </row>
    <row r="215" spans="1:12" ht="17.649999999999999" customHeight="1" x14ac:dyDescent="0.3">
      <c r="A215" s="5">
        <v>46113</v>
      </c>
      <c r="B215" s="6" t="s">
        <v>20</v>
      </c>
      <c r="C215" s="6" t="s">
        <v>37</v>
      </c>
      <c r="D215" s="5">
        <v>46054</v>
      </c>
      <c r="E215" s="6" t="s">
        <v>15</v>
      </c>
      <c r="F215" s="7">
        <v>1168</v>
      </c>
      <c r="G215" s="7">
        <v>199909.09417808219</v>
      </c>
      <c r="H215" s="7">
        <v>233493822</v>
      </c>
      <c r="I215" s="7">
        <v>13271285</v>
      </c>
      <c r="J215" s="7">
        <v>0</v>
      </c>
      <c r="K215">
        <f t="shared" si="3"/>
        <v>59</v>
      </c>
      <c r="L215" s="8" t="str" cm="1">
        <f t="array" ref="L215">_xlfn.IFS(
 AND(K215&gt;=89,K215&lt;=92),"3개월",
 AND(K215&gt;=58,K215&lt;=62),"2개월",
 AND(K215&gt;=28,K215&lt;=32),"1개월",
 AND(K215=0),"당월",
 TRUE,"그외"
)</f>
        <v>2개월</v>
      </c>
    </row>
    <row r="216" spans="1:12" ht="17.649999999999999" customHeight="1" x14ac:dyDescent="0.3">
      <c r="A216" s="5">
        <v>46113</v>
      </c>
      <c r="B216" s="6" t="s">
        <v>20</v>
      </c>
      <c r="C216" s="6" t="s">
        <v>37</v>
      </c>
      <c r="D216" s="5">
        <v>46082</v>
      </c>
      <c r="E216" s="6" t="s">
        <v>14</v>
      </c>
      <c r="F216" s="7">
        <v>4551</v>
      </c>
      <c r="G216" s="7">
        <v>144322.39200175789</v>
      </c>
      <c r="H216" s="7">
        <v>656811206</v>
      </c>
      <c r="I216" s="7">
        <v>49661050</v>
      </c>
      <c r="J216" s="7">
        <v>0</v>
      </c>
      <c r="K216">
        <f t="shared" si="3"/>
        <v>31</v>
      </c>
      <c r="L216" s="8" t="str" cm="1">
        <f t="array" ref="L216">_xlfn.IFS(
 AND(K216&gt;=89,K216&lt;=92),"3개월",
 AND(K216&gt;=58,K216&lt;=62),"2개월",
 AND(K216&gt;=28,K216&lt;=32),"1개월",
 AND(K216=0),"당월",
 TRUE,"그외"
)</f>
        <v>1개월</v>
      </c>
    </row>
    <row r="217" spans="1:12" ht="17.649999999999999" customHeight="1" x14ac:dyDescent="0.3">
      <c r="A217" s="5">
        <v>46113</v>
      </c>
      <c r="B217" s="6" t="s">
        <v>20</v>
      </c>
      <c r="C217" s="6" t="s">
        <v>37</v>
      </c>
      <c r="D217" s="5">
        <v>46082</v>
      </c>
      <c r="E217" s="6" t="s">
        <v>15</v>
      </c>
      <c r="F217" s="7">
        <v>1442</v>
      </c>
      <c r="G217" s="7">
        <v>196363.42302357839</v>
      </c>
      <c r="H217" s="7">
        <v>283156056</v>
      </c>
      <c r="I217" s="7">
        <v>25829394</v>
      </c>
      <c r="J217" s="7">
        <v>0</v>
      </c>
      <c r="K217">
        <f t="shared" si="3"/>
        <v>31</v>
      </c>
      <c r="L217" s="8" t="str" cm="1">
        <f t="array" ref="L217">_xlfn.IFS(
 AND(K217&gt;=89,K217&lt;=92),"3개월",
 AND(K217&gt;=58,K217&lt;=62),"2개월",
 AND(K217&gt;=28,K217&lt;=32),"1개월",
 AND(K217=0),"당월",
 TRUE,"그외"
)</f>
        <v>1개월</v>
      </c>
    </row>
    <row r="218" spans="1:12" ht="17.649999999999999" customHeight="1" x14ac:dyDescent="0.3">
      <c r="A218" s="5">
        <v>46113</v>
      </c>
      <c r="B218" s="6" t="s">
        <v>20</v>
      </c>
      <c r="C218" s="6" t="s">
        <v>37</v>
      </c>
      <c r="D218" s="5">
        <v>46113</v>
      </c>
      <c r="E218" s="6" t="s">
        <v>14</v>
      </c>
      <c r="F218" s="7">
        <v>88</v>
      </c>
      <c r="G218" s="7">
        <v>168967.59090909091</v>
      </c>
      <c r="H218" s="7">
        <v>14869148</v>
      </c>
      <c r="I218" s="7">
        <v>2329532</v>
      </c>
      <c r="J218" s="7">
        <v>0</v>
      </c>
      <c r="K218">
        <f t="shared" si="3"/>
        <v>0</v>
      </c>
      <c r="L218" s="8" t="str" cm="1">
        <f t="array" ref="L218">_xlfn.IFS(
 AND(K218&gt;=89,K218&lt;=92),"3개월",
 AND(K218&gt;=58,K218&lt;=62),"2개월",
 AND(K218&gt;=28,K218&lt;=32),"1개월",
 AND(K218=0),"당월",
 TRUE,"그외"
)</f>
        <v>당월</v>
      </c>
    </row>
    <row r="219" spans="1:12" ht="17.649999999999999" customHeight="1" x14ac:dyDescent="0.3">
      <c r="A219" s="5">
        <v>46113</v>
      </c>
      <c r="B219" s="6" t="s">
        <v>20</v>
      </c>
      <c r="C219" s="6" t="s">
        <v>37</v>
      </c>
      <c r="D219" s="5">
        <v>46113</v>
      </c>
      <c r="E219" s="6" t="s">
        <v>15</v>
      </c>
      <c r="F219" s="7">
        <v>614</v>
      </c>
      <c r="G219" s="7">
        <v>209360.664495114</v>
      </c>
      <c r="H219" s="7">
        <v>128547448</v>
      </c>
      <c r="I219" s="7">
        <v>22910471</v>
      </c>
      <c r="J219" s="7">
        <v>0</v>
      </c>
      <c r="K219">
        <f t="shared" si="3"/>
        <v>0</v>
      </c>
      <c r="L219" s="8" t="str" cm="1">
        <f t="array" ref="L219">_xlfn.IFS(
 AND(K219&gt;=89,K219&lt;=92),"3개월",
 AND(K219&gt;=58,K219&lt;=62),"2개월",
 AND(K219&gt;=28,K219&lt;=32),"1개월",
 AND(K219=0),"당월",
 TRUE,"그외"
)</f>
        <v>당월</v>
      </c>
    </row>
    <row r="220" spans="1:12" ht="17.649999999999999" customHeight="1" x14ac:dyDescent="0.3">
      <c r="A220" s="5">
        <v>46113</v>
      </c>
      <c r="B220" s="6" t="s">
        <v>20</v>
      </c>
      <c r="C220" s="6" t="s">
        <v>38</v>
      </c>
      <c r="D220" s="5">
        <v>45992</v>
      </c>
      <c r="E220" s="6" t="s">
        <v>15</v>
      </c>
      <c r="F220" s="7">
        <v>154</v>
      </c>
      <c r="G220" s="7">
        <v>100403.27272727271</v>
      </c>
      <c r="H220" s="7">
        <v>15462104</v>
      </c>
      <c r="I220" s="7">
        <v>2142489</v>
      </c>
      <c r="J220" s="7">
        <v>0</v>
      </c>
      <c r="K220">
        <f t="shared" si="3"/>
        <v>121</v>
      </c>
      <c r="L220" s="8" t="str" cm="1">
        <f t="array" ref="L220">_xlfn.IFS(
 AND(K220&gt;=89,K220&lt;=92),"3개월",
 AND(K220&gt;=58,K220&lt;=62),"2개월",
 AND(K220&gt;=28,K220&lt;=32),"1개월",
 AND(K220=0),"당월",
 TRUE,"그외"
)</f>
        <v>그외</v>
      </c>
    </row>
    <row r="221" spans="1:12" ht="17.649999999999999" customHeight="1" x14ac:dyDescent="0.3">
      <c r="A221" s="5">
        <v>46113</v>
      </c>
      <c r="B221" s="6" t="s">
        <v>20</v>
      </c>
      <c r="C221" s="6" t="s">
        <v>38</v>
      </c>
      <c r="D221" s="5">
        <v>46023</v>
      </c>
      <c r="E221" s="6" t="s">
        <v>14</v>
      </c>
      <c r="F221" s="7">
        <v>40</v>
      </c>
      <c r="G221" s="7">
        <v>84770.35</v>
      </c>
      <c r="H221" s="7">
        <v>3390814</v>
      </c>
      <c r="I221" s="7">
        <v>1164372</v>
      </c>
      <c r="J221" s="7">
        <v>0</v>
      </c>
      <c r="K221">
        <f t="shared" si="3"/>
        <v>90</v>
      </c>
      <c r="L221" s="8" t="str" cm="1">
        <f t="array" ref="L221">_xlfn.IFS(
 AND(K221&gt;=89,K221&lt;=92),"3개월",
 AND(K221&gt;=58,K221&lt;=62),"2개월",
 AND(K221&gt;=28,K221&lt;=32),"1개월",
 AND(K221=0),"당월",
 TRUE,"그외"
)</f>
        <v>3개월</v>
      </c>
    </row>
    <row r="222" spans="1:12" ht="17.649999999999999" customHeight="1" x14ac:dyDescent="0.3">
      <c r="A222" s="5">
        <v>46113</v>
      </c>
      <c r="B222" s="6" t="s">
        <v>20</v>
      </c>
      <c r="C222" s="6" t="s">
        <v>38</v>
      </c>
      <c r="D222" s="5">
        <v>46023</v>
      </c>
      <c r="E222" s="6" t="s">
        <v>15</v>
      </c>
      <c r="F222" s="7">
        <v>406</v>
      </c>
      <c r="G222" s="7">
        <v>104947.7192118227</v>
      </c>
      <c r="H222" s="7">
        <v>42608774</v>
      </c>
      <c r="I222" s="7">
        <v>6310932</v>
      </c>
      <c r="J222" s="7">
        <v>0</v>
      </c>
      <c r="K222">
        <f t="shared" si="3"/>
        <v>90</v>
      </c>
      <c r="L222" s="8" t="str" cm="1">
        <f t="array" ref="L222">_xlfn.IFS(
 AND(K222&gt;=89,K222&lt;=92),"3개월",
 AND(K222&gt;=58,K222&lt;=62),"2개월",
 AND(K222&gt;=28,K222&lt;=32),"1개월",
 AND(K222=0),"당월",
 TRUE,"그외"
)</f>
        <v>3개월</v>
      </c>
    </row>
    <row r="223" spans="1:12" ht="17.649999999999999" customHeight="1" x14ac:dyDescent="0.3">
      <c r="A223" s="5">
        <v>46113</v>
      </c>
      <c r="B223" s="6" t="s">
        <v>20</v>
      </c>
      <c r="C223" s="6" t="s">
        <v>38</v>
      </c>
      <c r="D223" s="5">
        <v>46054</v>
      </c>
      <c r="E223" s="6" t="s">
        <v>14</v>
      </c>
      <c r="F223" s="7">
        <v>389</v>
      </c>
      <c r="G223" s="7">
        <v>80021.953727506421</v>
      </c>
      <c r="H223" s="7">
        <v>31128540</v>
      </c>
      <c r="I223" s="7">
        <v>3548632</v>
      </c>
      <c r="J223" s="7">
        <v>0</v>
      </c>
      <c r="K223">
        <f t="shared" si="3"/>
        <v>59</v>
      </c>
      <c r="L223" s="8" t="str" cm="1">
        <f t="array" ref="L223">_xlfn.IFS(
 AND(K223&gt;=89,K223&lt;=92),"3개월",
 AND(K223&gt;=58,K223&lt;=62),"2개월",
 AND(K223&gt;=28,K223&lt;=32),"1개월",
 AND(K223=0),"당월",
 TRUE,"그외"
)</f>
        <v>2개월</v>
      </c>
    </row>
    <row r="224" spans="1:12" ht="17.649999999999999" customHeight="1" x14ac:dyDescent="0.3">
      <c r="A224" s="5">
        <v>46113</v>
      </c>
      <c r="B224" s="6" t="s">
        <v>20</v>
      </c>
      <c r="C224" s="6" t="s">
        <v>38</v>
      </c>
      <c r="D224" s="5">
        <v>46054</v>
      </c>
      <c r="E224" s="6" t="s">
        <v>15</v>
      </c>
      <c r="F224" s="7">
        <v>818</v>
      </c>
      <c r="G224" s="7">
        <v>106566.62836185819</v>
      </c>
      <c r="H224" s="7">
        <v>87171502</v>
      </c>
      <c r="I224" s="7">
        <v>10325050</v>
      </c>
      <c r="J224" s="7">
        <v>0</v>
      </c>
      <c r="K224">
        <f t="shared" si="3"/>
        <v>59</v>
      </c>
      <c r="L224" s="8" t="str" cm="1">
        <f t="array" ref="L224">_xlfn.IFS(
 AND(K224&gt;=89,K224&lt;=92),"3개월",
 AND(K224&gt;=58,K224&lt;=62),"2개월",
 AND(K224&gt;=28,K224&lt;=32),"1개월",
 AND(K224=0),"당월",
 TRUE,"그외"
)</f>
        <v>2개월</v>
      </c>
    </row>
    <row r="225" spans="1:12" ht="17.649999999999999" customHeight="1" x14ac:dyDescent="0.3">
      <c r="A225" s="5">
        <v>46113</v>
      </c>
      <c r="B225" s="6" t="s">
        <v>20</v>
      </c>
      <c r="C225" s="6" t="s">
        <v>38</v>
      </c>
      <c r="D225" s="5">
        <v>46082</v>
      </c>
      <c r="E225" s="6" t="s">
        <v>14</v>
      </c>
      <c r="F225" s="7">
        <v>2349</v>
      </c>
      <c r="G225" s="7">
        <v>99022.727117922521</v>
      </c>
      <c r="H225" s="7">
        <v>232604386</v>
      </c>
      <c r="I225" s="7">
        <v>25946408</v>
      </c>
      <c r="J225" s="7">
        <v>0</v>
      </c>
      <c r="K225">
        <f t="shared" si="3"/>
        <v>31</v>
      </c>
      <c r="L225" s="8" t="str" cm="1">
        <f t="array" ref="L225">_xlfn.IFS(
 AND(K225&gt;=89,K225&lt;=92),"3개월",
 AND(K225&gt;=58,K225&lt;=62),"2개월",
 AND(K225&gt;=28,K225&lt;=32),"1개월",
 AND(K225=0),"당월",
 TRUE,"그외"
)</f>
        <v>1개월</v>
      </c>
    </row>
    <row r="226" spans="1:12" ht="17.649999999999999" customHeight="1" x14ac:dyDescent="0.3">
      <c r="A226" s="5">
        <v>46113</v>
      </c>
      <c r="B226" s="6" t="s">
        <v>20</v>
      </c>
      <c r="C226" s="6" t="s">
        <v>38</v>
      </c>
      <c r="D226" s="5">
        <v>46082</v>
      </c>
      <c r="E226" s="6" t="s">
        <v>15</v>
      </c>
      <c r="F226" s="7">
        <v>1234</v>
      </c>
      <c r="G226" s="7">
        <v>97880.867098865478</v>
      </c>
      <c r="H226" s="7">
        <v>120784990</v>
      </c>
      <c r="I226" s="7">
        <v>17464004</v>
      </c>
      <c r="J226" s="7">
        <v>0</v>
      </c>
      <c r="K226">
        <f t="shared" si="3"/>
        <v>31</v>
      </c>
      <c r="L226" s="8" t="str" cm="1">
        <f t="array" ref="L226">_xlfn.IFS(
 AND(K226&gt;=89,K226&lt;=92),"3개월",
 AND(K226&gt;=58,K226&lt;=62),"2개월",
 AND(K226&gt;=28,K226&lt;=32),"1개월",
 AND(K226=0),"당월",
 TRUE,"그외"
)</f>
        <v>1개월</v>
      </c>
    </row>
    <row r="227" spans="1:12" ht="17.649999999999999" customHeight="1" x14ac:dyDescent="0.3">
      <c r="A227" s="5">
        <v>46113</v>
      </c>
      <c r="B227" s="6" t="s">
        <v>20</v>
      </c>
      <c r="C227" s="6" t="s">
        <v>38</v>
      </c>
      <c r="D227" s="5">
        <v>46113</v>
      </c>
      <c r="E227" s="6" t="s">
        <v>14</v>
      </c>
      <c r="F227" s="7">
        <v>240</v>
      </c>
      <c r="G227" s="7">
        <v>130642.0833333333</v>
      </c>
      <c r="H227" s="7">
        <v>31354100</v>
      </c>
      <c r="I227" s="7">
        <v>7262962</v>
      </c>
      <c r="J227" s="7">
        <v>0</v>
      </c>
      <c r="K227">
        <f t="shared" si="3"/>
        <v>0</v>
      </c>
      <c r="L227" s="8" t="str" cm="1">
        <f t="array" ref="L227">_xlfn.IFS(
 AND(K227&gt;=89,K227&lt;=92),"3개월",
 AND(K227&gt;=58,K227&lt;=62),"2개월",
 AND(K227&gt;=28,K227&lt;=32),"1개월",
 AND(K227=0),"당월",
 TRUE,"그외"
)</f>
        <v>당월</v>
      </c>
    </row>
    <row r="228" spans="1:12" ht="17.649999999999999" customHeight="1" x14ac:dyDescent="0.3">
      <c r="A228" s="5">
        <v>46113</v>
      </c>
      <c r="B228" s="6" t="s">
        <v>20</v>
      </c>
      <c r="C228" s="6" t="s">
        <v>38</v>
      </c>
      <c r="D228" s="5">
        <v>46113</v>
      </c>
      <c r="E228" s="6" t="s">
        <v>15</v>
      </c>
      <c r="F228" s="7">
        <v>253</v>
      </c>
      <c r="G228" s="7">
        <v>124997.95652173911</v>
      </c>
      <c r="H228" s="7">
        <v>31624483</v>
      </c>
      <c r="I228" s="7">
        <v>8332627</v>
      </c>
      <c r="J228" s="7">
        <v>0</v>
      </c>
      <c r="K228">
        <f t="shared" si="3"/>
        <v>0</v>
      </c>
      <c r="L228" s="8" t="str" cm="1">
        <f t="array" ref="L228">_xlfn.IFS(
 AND(K228&gt;=89,K228&lt;=92),"3개월",
 AND(K228&gt;=58,K228&lt;=62),"2개월",
 AND(K228&gt;=28,K228&lt;=32),"1개월",
 AND(K228=0),"당월",
 TRUE,"그외"
)</f>
        <v>당월</v>
      </c>
    </row>
    <row r="229" spans="1:12" ht="17.649999999999999" customHeight="1" x14ac:dyDescent="0.3">
      <c r="A229" s="5">
        <v>46113</v>
      </c>
      <c r="B229" s="6" t="s">
        <v>20</v>
      </c>
      <c r="C229" s="6" t="s">
        <v>39</v>
      </c>
      <c r="D229" s="5">
        <v>46082</v>
      </c>
      <c r="E229" s="6" t="s">
        <v>14</v>
      </c>
      <c r="F229" s="7">
        <v>18</v>
      </c>
      <c r="G229" s="7">
        <v>10600000</v>
      </c>
      <c r="H229" s="7">
        <v>190800000</v>
      </c>
      <c r="I229" s="7">
        <v>0</v>
      </c>
      <c r="J229" s="7">
        <v>0</v>
      </c>
      <c r="K229">
        <f t="shared" si="3"/>
        <v>31</v>
      </c>
      <c r="L229" s="8" t="str" cm="1">
        <f t="array" ref="L229">_xlfn.IFS(
 AND(K229&gt;=89,K229&lt;=92),"3개월",
 AND(K229&gt;=58,K229&lt;=62),"2개월",
 AND(K229&gt;=28,K229&lt;=32),"1개월",
 AND(K229=0),"당월",
 TRUE,"그외"
)</f>
        <v>1개월</v>
      </c>
    </row>
    <row r="230" spans="1:12" ht="17.649999999999999" customHeight="1" x14ac:dyDescent="0.3">
      <c r="A230" s="5">
        <v>46113</v>
      </c>
      <c r="B230" s="6" t="s">
        <v>20</v>
      </c>
      <c r="C230" s="6" t="s">
        <v>39</v>
      </c>
      <c r="D230" s="5">
        <v>46082</v>
      </c>
      <c r="E230" s="6" t="s">
        <v>15</v>
      </c>
      <c r="F230" s="7">
        <v>9</v>
      </c>
      <c r="G230" s="7">
        <v>0</v>
      </c>
      <c r="H230" s="7">
        <v>0</v>
      </c>
      <c r="I230" s="7">
        <v>0</v>
      </c>
      <c r="J230" s="7">
        <v>0</v>
      </c>
      <c r="K230">
        <f t="shared" si="3"/>
        <v>31</v>
      </c>
      <c r="L230" s="8" t="str" cm="1">
        <f t="array" ref="L230">_xlfn.IFS(
 AND(K230&gt;=89,K230&lt;=92),"3개월",
 AND(K230&gt;=58,K230&lt;=62),"2개월",
 AND(K230&gt;=28,K230&lt;=32),"1개월",
 AND(K230=0),"당월",
 TRUE,"그외"
)</f>
        <v>1개월</v>
      </c>
    </row>
    <row r="231" spans="1:12" ht="17.649999999999999" customHeight="1" x14ac:dyDescent="0.3">
      <c r="A231" s="5">
        <v>46113</v>
      </c>
      <c r="B231" s="6" t="s">
        <v>20</v>
      </c>
      <c r="C231" s="6" t="s">
        <v>39</v>
      </c>
      <c r="D231" s="5">
        <v>46113</v>
      </c>
      <c r="E231" s="6" t="s">
        <v>14</v>
      </c>
      <c r="F231" s="7">
        <v>1688</v>
      </c>
      <c r="G231" s="7">
        <v>0</v>
      </c>
      <c r="H231" s="7">
        <v>0</v>
      </c>
      <c r="I231" s="7">
        <v>0</v>
      </c>
      <c r="J231" s="7">
        <v>0</v>
      </c>
      <c r="K231">
        <f t="shared" si="3"/>
        <v>0</v>
      </c>
      <c r="L231" s="8" t="str" cm="1">
        <f t="array" ref="L231">_xlfn.IFS(
 AND(K231&gt;=89,K231&lt;=92),"3개월",
 AND(K231&gt;=58,K231&lt;=62),"2개월",
 AND(K231&gt;=28,K231&lt;=32),"1개월",
 AND(K231=0),"당월",
 TRUE,"그외"
)</f>
        <v>당월</v>
      </c>
    </row>
    <row r="232" spans="1:12" ht="17.649999999999999" customHeight="1" x14ac:dyDescent="0.3">
      <c r="A232" s="5">
        <v>46113</v>
      </c>
      <c r="B232" s="6" t="s">
        <v>40</v>
      </c>
      <c r="C232" s="6" t="s">
        <v>41</v>
      </c>
      <c r="D232" s="5">
        <v>46054</v>
      </c>
      <c r="E232" s="6" t="s">
        <v>15</v>
      </c>
      <c r="F232" s="7">
        <v>2</v>
      </c>
      <c r="G232" s="7">
        <v>154700</v>
      </c>
      <c r="H232" s="7">
        <v>309400</v>
      </c>
      <c r="I232" s="7">
        <v>29400</v>
      </c>
      <c r="J232" s="7">
        <v>0</v>
      </c>
      <c r="K232">
        <f t="shared" si="3"/>
        <v>59</v>
      </c>
      <c r="L232" s="8" t="str" cm="1">
        <f t="array" ref="L232">_xlfn.IFS(
 AND(K232&gt;=89,K232&lt;=92),"3개월",
 AND(K232&gt;=58,K232&lt;=62),"2개월",
 AND(K232&gt;=28,K232&lt;=32),"1개월",
 AND(K232=0),"당월",
 TRUE,"그외"
)</f>
        <v>2개월</v>
      </c>
    </row>
    <row r="233" spans="1:12" ht="17.649999999999999" customHeight="1" x14ac:dyDescent="0.3">
      <c r="A233" s="5">
        <v>46113</v>
      </c>
      <c r="B233" s="6" t="s">
        <v>40</v>
      </c>
      <c r="C233" s="6" t="s">
        <v>41</v>
      </c>
      <c r="D233" s="5">
        <v>46082</v>
      </c>
      <c r="E233" s="6" t="s">
        <v>14</v>
      </c>
      <c r="F233" s="7">
        <v>46</v>
      </c>
      <c r="G233" s="7">
        <v>147715.86956521741</v>
      </c>
      <c r="H233" s="7">
        <v>6794930</v>
      </c>
      <c r="I233" s="7">
        <v>3419399</v>
      </c>
      <c r="J233" s="7">
        <v>0</v>
      </c>
      <c r="K233">
        <f t="shared" si="3"/>
        <v>31</v>
      </c>
      <c r="L233" s="8" t="str" cm="1">
        <f t="array" ref="L233">_xlfn.IFS(
 AND(K233&gt;=89,K233&lt;=92),"3개월",
 AND(K233&gt;=58,K233&lt;=62),"2개월",
 AND(K233&gt;=28,K233&lt;=32),"1개월",
 AND(K233=0),"당월",
 TRUE,"그외"
)</f>
        <v>1개월</v>
      </c>
    </row>
    <row r="234" spans="1:12" ht="17.649999999999999" customHeight="1" x14ac:dyDescent="0.3">
      <c r="A234" s="5">
        <v>46113</v>
      </c>
      <c r="B234" s="6" t="s">
        <v>40</v>
      </c>
      <c r="C234" s="6" t="s">
        <v>41</v>
      </c>
      <c r="D234" s="5">
        <v>46082</v>
      </c>
      <c r="E234" s="6" t="s">
        <v>15</v>
      </c>
      <c r="F234" s="7">
        <v>64</v>
      </c>
      <c r="G234" s="7">
        <v>129790.96875</v>
      </c>
      <c r="H234" s="7">
        <v>8306622</v>
      </c>
      <c r="I234" s="7">
        <v>1407049</v>
      </c>
      <c r="J234" s="7">
        <v>0</v>
      </c>
      <c r="K234">
        <f t="shared" si="3"/>
        <v>31</v>
      </c>
      <c r="L234" s="8" t="str" cm="1">
        <f t="array" ref="L234">_xlfn.IFS(
 AND(K234&gt;=89,K234&lt;=92),"3개월",
 AND(K234&gt;=58,K234&lt;=62),"2개월",
 AND(K234&gt;=28,K234&lt;=32),"1개월",
 AND(K234=0),"당월",
 TRUE,"그외"
)</f>
        <v>1개월</v>
      </c>
    </row>
    <row r="235" spans="1:12" ht="17.649999999999999" customHeight="1" x14ac:dyDescent="0.3">
      <c r="A235" s="5">
        <v>46113</v>
      </c>
      <c r="B235" s="6" t="s">
        <v>40</v>
      </c>
      <c r="C235" s="6" t="s">
        <v>41</v>
      </c>
      <c r="D235" s="5">
        <v>46113</v>
      </c>
      <c r="E235" s="6" t="s">
        <v>14</v>
      </c>
      <c r="F235" s="7">
        <v>90</v>
      </c>
      <c r="G235" s="7">
        <v>155451.3444444444</v>
      </c>
      <c r="H235" s="7">
        <v>13990621</v>
      </c>
      <c r="I235" s="7">
        <v>6978262</v>
      </c>
      <c r="J235" s="7">
        <v>0</v>
      </c>
      <c r="K235">
        <f t="shared" si="3"/>
        <v>0</v>
      </c>
      <c r="L235" s="8" t="str" cm="1">
        <f t="array" ref="L235">_xlfn.IFS(
 AND(K235&gt;=89,K235&lt;=92),"3개월",
 AND(K235&gt;=58,K235&lt;=62),"2개월",
 AND(K235&gt;=28,K235&lt;=32),"1개월",
 AND(K235=0),"당월",
 TRUE,"그외"
)</f>
        <v>당월</v>
      </c>
    </row>
    <row r="236" spans="1:12" ht="17.649999999999999" customHeight="1" x14ac:dyDescent="0.3">
      <c r="A236" s="5">
        <v>46113</v>
      </c>
      <c r="B236" s="6" t="s">
        <v>40</v>
      </c>
      <c r="C236" s="6" t="s">
        <v>41</v>
      </c>
      <c r="D236" s="5">
        <v>46113</v>
      </c>
      <c r="E236" s="6" t="s">
        <v>15</v>
      </c>
      <c r="F236" s="7">
        <v>76</v>
      </c>
      <c r="G236" s="7">
        <v>188988.4210526316</v>
      </c>
      <c r="H236" s="7">
        <v>14363120</v>
      </c>
      <c r="I236" s="7">
        <v>5145044</v>
      </c>
      <c r="J236" s="7">
        <v>0</v>
      </c>
      <c r="K236">
        <f t="shared" si="3"/>
        <v>0</v>
      </c>
      <c r="L236" s="8" t="str" cm="1">
        <f t="array" ref="L236">_xlfn.IFS(
 AND(K236&gt;=89,K236&lt;=92),"3개월",
 AND(K236&gt;=58,K236&lt;=62),"2개월",
 AND(K236&gt;=28,K236&lt;=32),"1개월",
 AND(K236=0),"당월",
 TRUE,"그외"
)</f>
        <v>당월</v>
      </c>
    </row>
    <row r="237" spans="1:12" ht="17.649999999999999" customHeight="1" x14ac:dyDescent="0.3">
      <c r="A237" s="5">
        <v>46113</v>
      </c>
      <c r="B237" s="6" t="s">
        <v>40</v>
      </c>
      <c r="C237" s="6" t="s">
        <v>42</v>
      </c>
      <c r="D237" s="5">
        <v>46054</v>
      </c>
      <c r="E237" s="6" t="s">
        <v>14</v>
      </c>
      <c r="F237" s="7">
        <v>1395</v>
      </c>
      <c r="G237" s="7">
        <v>233122.22222222219</v>
      </c>
      <c r="H237" s="7">
        <v>325205500</v>
      </c>
      <c r="I237" s="7">
        <v>20506500</v>
      </c>
      <c r="J237" s="7">
        <v>0</v>
      </c>
      <c r="K237">
        <f t="shared" si="3"/>
        <v>59</v>
      </c>
      <c r="L237" s="8" t="str" cm="1">
        <f t="array" ref="L237">_xlfn.IFS(
 AND(K237&gt;=89,K237&lt;=92),"3개월",
 AND(K237&gt;=58,K237&lt;=62),"2개월",
 AND(K237&gt;=28,K237&lt;=32),"1개월",
 AND(K237=0),"당월",
 TRUE,"그외"
)</f>
        <v>2개월</v>
      </c>
    </row>
    <row r="238" spans="1:12" ht="17.649999999999999" customHeight="1" x14ac:dyDescent="0.3">
      <c r="A238" s="5">
        <v>46113</v>
      </c>
      <c r="B238" s="6" t="s">
        <v>40</v>
      </c>
      <c r="C238" s="6" t="s">
        <v>42</v>
      </c>
      <c r="D238" s="5">
        <v>46082</v>
      </c>
      <c r="E238" s="6" t="s">
        <v>14</v>
      </c>
      <c r="F238" s="7">
        <v>3995</v>
      </c>
      <c r="G238" s="7">
        <v>228949.53692115139</v>
      </c>
      <c r="H238" s="7">
        <v>914653400</v>
      </c>
      <c r="I238" s="7">
        <v>70271400</v>
      </c>
      <c r="J238" s="7">
        <v>0</v>
      </c>
      <c r="K238">
        <f t="shared" si="3"/>
        <v>31</v>
      </c>
      <c r="L238" s="8" t="str" cm="1">
        <f t="array" ref="L238">_xlfn.IFS(
 AND(K238&gt;=89,K238&lt;=92),"3개월",
 AND(K238&gt;=58,K238&lt;=62),"2개월",
 AND(K238&gt;=28,K238&lt;=32),"1개월",
 AND(K238=0),"당월",
 TRUE,"그외"
)</f>
        <v>1개월</v>
      </c>
    </row>
    <row r="239" spans="1:12" ht="17.649999999999999" customHeight="1" x14ac:dyDescent="0.3">
      <c r="A239" s="5">
        <v>46113</v>
      </c>
      <c r="B239" s="6" t="s">
        <v>40</v>
      </c>
      <c r="C239" s="6" t="s">
        <v>42</v>
      </c>
      <c r="D239" s="5">
        <v>46082</v>
      </c>
      <c r="E239" s="6" t="s">
        <v>15</v>
      </c>
      <c r="F239" s="7">
        <v>32</v>
      </c>
      <c r="G239" s="7">
        <v>0</v>
      </c>
      <c r="H239" s="7">
        <v>0</v>
      </c>
      <c r="I239" s="7">
        <v>0</v>
      </c>
      <c r="J239" s="7">
        <v>0</v>
      </c>
      <c r="K239">
        <f t="shared" si="3"/>
        <v>31</v>
      </c>
      <c r="L239" s="8" t="str" cm="1">
        <f t="array" ref="L239">_xlfn.IFS(
 AND(K239&gt;=89,K239&lt;=92),"3개월",
 AND(K239&gt;=58,K239&lt;=62),"2개월",
 AND(K239&gt;=28,K239&lt;=32),"1개월",
 AND(K239=0),"당월",
 TRUE,"그외"
)</f>
        <v>1개월</v>
      </c>
    </row>
    <row r="240" spans="1:12" ht="17.649999999999999" customHeight="1" x14ac:dyDescent="0.3">
      <c r="A240" s="5">
        <v>46113</v>
      </c>
      <c r="B240" s="6" t="s">
        <v>40</v>
      </c>
      <c r="C240" s="6" t="s">
        <v>42</v>
      </c>
      <c r="D240" s="5">
        <v>46113</v>
      </c>
      <c r="E240" s="6" t="s">
        <v>14</v>
      </c>
      <c r="F240" s="7">
        <v>1207</v>
      </c>
      <c r="G240" s="7">
        <v>259876.55343827669</v>
      </c>
      <c r="H240" s="7">
        <v>313671000</v>
      </c>
      <c r="I240" s="7">
        <v>5315000</v>
      </c>
      <c r="J240" s="7">
        <v>0</v>
      </c>
      <c r="K240">
        <f t="shared" si="3"/>
        <v>0</v>
      </c>
      <c r="L240" s="8" t="str" cm="1">
        <f t="array" ref="L240">_xlfn.IFS(
 AND(K240&gt;=89,K240&lt;=92),"3개월",
 AND(K240&gt;=58,K240&lt;=62),"2개월",
 AND(K240&gt;=28,K240&lt;=32),"1개월",
 AND(K240=0),"당월",
 TRUE,"그외"
)</f>
        <v>당월</v>
      </c>
    </row>
    <row r="241" spans="1:12" ht="17.649999999999999" customHeight="1" x14ac:dyDescent="0.3">
      <c r="A241" s="5">
        <v>46113</v>
      </c>
      <c r="B241" s="6" t="s">
        <v>40</v>
      </c>
      <c r="C241" s="6" t="s">
        <v>42</v>
      </c>
      <c r="D241" s="5">
        <v>46113</v>
      </c>
      <c r="E241" s="6" t="s">
        <v>15</v>
      </c>
      <c r="F241" s="7">
        <v>8</v>
      </c>
      <c r="G241" s="7">
        <v>186050</v>
      </c>
      <c r="H241" s="7">
        <v>1488400</v>
      </c>
      <c r="I241" s="7">
        <v>108400</v>
      </c>
      <c r="J241" s="7">
        <v>0</v>
      </c>
      <c r="K241">
        <f t="shared" si="3"/>
        <v>0</v>
      </c>
      <c r="L241" s="8" t="str" cm="1">
        <f t="array" ref="L241">_xlfn.IFS(
 AND(K241&gt;=89,K241&lt;=92),"3개월",
 AND(K241&gt;=58,K241&lt;=62),"2개월",
 AND(K241&gt;=28,K241&lt;=32),"1개월",
 AND(K241=0),"당월",
 TRUE,"그외"
)</f>
        <v>당월</v>
      </c>
    </row>
    <row r="242" spans="1:12" ht="17.649999999999999" customHeight="1" x14ac:dyDescent="0.3">
      <c r="A242" s="5">
        <v>46113</v>
      </c>
      <c r="B242" s="6" t="s">
        <v>40</v>
      </c>
      <c r="C242" s="6" t="s">
        <v>43</v>
      </c>
      <c r="D242" s="5">
        <v>46113</v>
      </c>
      <c r="E242" s="6" t="s">
        <v>14</v>
      </c>
      <c r="F242" s="7">
        <v>712</v>
      </c>
      <c r="G242" s="7">
        <v>502106.74157303368</v>
      </c>
      <c r="H242" s="7">
        <v>357500000</v>
      </c>
      <c r="I242" s="7">
        <v>0</v>
      </c>
      <c r="J242" s="7">
        <v>0</v>
      </c>
      <c r="K242">
        <f t="shared" si="3"/>
        <v>0</v>
      </c>
      <c r="L242" s="8" t="str" cm="1">
        <f t="array" ref="L242">_xlfn.IFS(
 AND(K242&gt;=89,K242&lt;=92),"3개월",
 AND(K242&gt;=58,K242&lt;=62),"2개월",
 AND(K242&gt;=28,K242&lt;=32),"1개월",
 AND(K242=0),"당월",
 TRUE,"그외"
)</f>
        <v>당월</v>
      </c>
    </row>
    <row r="243" spans="1:12" ht="17.649999999999999" customHeight="1" x14ac:dyDescent="0.3">
      <c r="A243" s="5">
        <v>46113</v>
      </c>
      <c r="B243" s="6" t="s">
        <v>40</v>
      </c>
      <c r="C243" s="6" t="s">
        <v>43</v>
      </c>
      <c r="D243" s="5">
        <v>46113</v>
      </c>
      <c r="E243" s="6" t="s">
        <v>15</v>
      </c>
      <c r="F243" s="7">
        <v>46</v>
      </c>
      <c r="G243" s="7">
        <v>0</v>
      </c>
      <c r="H243" s="7">
        <v>0</v>
      </c>
      <c r="I243" s="7">
        <v>0</v>
      </c>
      <c r="J243" s="7">
        <v>0</v>
      </c>
      <c r="K243">
        <f t="shared" si="3"/>
        <v>0</v>
      </c>
      <c r="L243" s="8" t="str" cm="1">
        <f t="array" ref="L243">_xlfn.IFS(
 AND(K243&gt;=89,K243&lt;=92),"3개월",
 AND(K243&gt;=58,K243&lt;=62),"2개월",
 AND(K243&gt;=28,K243&lt;=32),"1개월",
 AND(K243=0),"당월",
 TRUE,"그외"
)</f>
        <v>당월</v>
      </c>
    </row>
    <row r="244" spans="1:12" ht="17.649999999999999" customHeight="1" x14ac:dyDescent="0.3">
      <c r="A244" s="5">
        <v>46113</v>
      </c>
      <c r="B244" s="6" t="s">
        <v>40</v>
      </c>
      <c r="C244" s="6" t="s">
        <v>44</v>
      </c>
      <c r="D244" s="5">
        <v>46113</v>
      </c>
      <c r="E244" s="6" t="s">
        <v>14</v>
      </c>
      <c r="F244" s="7">
        <v>1098</v>
      </c>
      <c r="G244" s="7">
        <v>448087.43169398909</v>
      </c>
      <c r="H244" s="7">
        <v>492000000</v>
      </c>
      <c r="I244" s="7">
        <v>0</v>
      </c>
      <c r="J244" s="7">
        <v>0</v>
      </c>
      <c r="K244">
        <f t="shared" si="3"/>
        <v>0</v>
      </c>
      <c r="L244" s="8" t="str" cm="1">
        <f t="array" ref="L244">_xlfn.IFS(
 AND(K244&gt;=89,K244&lt;=92),"3개월",
 AND(K244&gt;=58,K244&lt;=62),"2개월",
 AND(K244&gt;=28,K244&lt;=32),"1개월",
 AND(K244=0),"당월",
 TRUE,"그외"
)</f>
        <v>당월</v>
      </c>
    </row>
    <row r="245" spans="1:12" ht="17.649999999999999" customHeight="1" x14ac:dyDescent="0.3">
      <c r="A245" s="5">
        <v>46113</v>
      </c>
      <c r="B245" s="6" t="s">
        <v>40</v>
      </c>
      <c r="C245" s="6" t="s">
        <v>44</v>
      </c>
      <c r="D245" s="5">
        <v>46113</v>
      </c>
      <c r="E245" s="6" t="s">
        <v>15</v>
      </c>
      <c r="F245" s="7">
        <v>18</v>
      </c>
      <c r="G245" s="7">
        <v>0</v>
      </c>
      <c r="H245" s="7">
        <v>0</v>
      </c>
      <c r="I245" s="7">
        <v>0</v>
      </c>
      <c r="J245" s="7">
        <v>0</v>
      </c>
      <c r="K245">
        <f t="shared" si="3"/>
        <v>0</v>
      </c>
      <c r="L245" s="8" t="str" cm="1">
        <f t="array" ref="L245">_xlfn.IFS(
 AND(K245&gt;=89,K245&lt;=92),"3개월",
 AND(K245&gt;=58,K245&lt;=62),"2개월",
 AND(K245&gt;=28,K245&lt;=32),"1개월",
 AND(K245=0),"당월",
 TRUE,"그외"
)</f>
        <v>당월</v>
      </c>
    </row>
    <row r="246" spans="1:12" ht="17.649999999999999" customHeight="1" x14ac:dyDescent="0.3">
      <c r="A246" s="5">
        <v>46113</v>
      </c>
      <c r="B246" s="6" t="s">
        <v>40</v>
      </c>
      <c r="C246" s="6" t="s">
        <v>45</v>
      </c>
      <c r="D246" s="5">
        <v>46113</v>
      </c>
      <c r="E246" s="6" t="s">
        <v>14</v>
      </c>
      <c r="F246" s="7">
        <v>205</v>
      </c>
      <c r="G246" s="7">
        <v>1209756.0975609759</v>
      </c>
      <c r="H246" s="7">
        <v>248000000</v>
      </c>
      <c r="I246" s="7">
        <v>0</v>
      </c>
      <c r="J246" s="7">
        <v>0</v>
      </c>
      <c r="K246">
        <f t="shared" si="3"/>
        <v>0</v>
      </c>
      <c r="L246" s="8" t="str" cm="1">
        <f t="array" ref="L246">_xlfn.IFS(
 AND(K246&gt;=89,K246&lt;=92),"3개월",
 AND(K246&gt;=58,K246&lt;=62),"2개월",
 AND(K246&gt;=28,K246&lt;=32),"1개월",
 AND(K246=0),"당월",
 TRUE,"그외"
)</f>
        <v>당월</v>
      </c>
    </row>
    <row r="247" spans="1:12" ht="17.649999999999999" customHeight="1" x14ac:dyDescent="0.3">
      <c r="A247" s="5">
        <v>46113</v>
      </c>
      <c r="B247" s="6" t="s">
        <v>40</v>
      </c>
      <c r="C247" s="6" t="s">
        <v>45</v>
      </c>
      <c r="D247" s="5">
        <v>46113</v>
      </c>
      <c r="E247" s="6" t="s">
        <v>15</v>
      </c>
      <c r="F247" s="7">
        <v>12</v>
      </c>
      <c r="G247" s="7">
        <v>0</v>
      </c>
      <c r="H247" s="7">
        <v>0</v>
      </c>
      <c r="I247" s="7">
        <v>0</v>
      </c>
      <c r="J247" s="7">
        <v>0</v>
      </c>
      <c r="K247">
        <f t="shared" si="3"/>
        <v>0</v>
      </c>
      <c r="L247" s="8" t="str" cm="1">
        <f t="array" ref="L247">_xlfn.IFS(
 AND(K247&gt;=89,K247&lt;=92),"3개월",
 AND(K247&gt;=58,K247&lt;=62),"2개월",
 AND(K247&gt;=28,K247&lt;=32),"1개월",
 AND(K247=0),"당월",
 TRUE,"그외"
)</f>
        <v>당월</v>
      </c>
    </row>
    <row r="248" spans="1:12" ht="17.649999999999999" customHeight="1" x14ac:dyDescent="0.3">
      <c r="A248" s="5">
        <v>46113</v>
      </c>
      <c r="B248" s="6" t="s">
        <v>40</v>
      </c>
      <c r="C248" s="6" t="s">
        <v>46</v>
      </c>
      <c r="D248" s="5">
        <v>46113</v>
      </c>
      <c r="E248" s="6" t="s">
        <v>14</v>
      </c>
      <c r="F248" s="7">
        <v>330</v>
      </c>
      <c r="G248" s="7">
        <v>151515.15151515149</v>
      </c>
      <c r="H248" s="7">
        <v>50000000</v>
      </c>
      <c r="I248" s="7">
        <v>0</v>
      </c>
      <c r="J248" s="7">
        <v>0</v>
      </c>
      <c r="K248">
        <f t="shared" si="3"/>
        <v>0</v>
      </c>
      <c r="L248" s="8" t="str" cm="1">
        <f t="array" ref="L248">_xlfn.IFS(
 AND(K248&gt;=89,K248&lt;=92),"3개월",
 AND(K248&gt;=58,K248&lt;=62),"2개월",
 AND(K248&gt;=28,K248&lt;=32),"1개월",
 AND(K248=0),"당월",
 TRUE,"그외"
)</f>
        <v>당월</v>
      </c>
    </row>
    <row r="249" spans="1:12" ht="17.649999999999999" customHeight="1" x14ac:dyDescent="0.3">
      <c r="A249" s="5">
        <v>46113</v>
      </c>
      <c r="B249" s="6" t="s">
        <v>40</v>
      </c>
      <c r="C249" s="6" t="s">
        <v>46</v>
      </c>
      <c r="D249" s="5">
        <v>46113</v>
      </c>
      <c r="E249" s="6" t="s">
        <v>15</v>
      </c>
      <c r="F249" s="7">
        <v>2</v>
      </c>
      <c r="G249" s="7">
        <v>0</v>
      </c>
      <c r="H249" s="7">
        <v>0</v>
      </c>
      <c r="I249" s="7">
        <v>0</v>
      </c>
      <c r="J249" s="7">
        <v>0</v>
      </c>
      <c r="K249">
        <f t="shared" si="3"/>
        <v>0</v>
      </c>
      <c r="L249" s="8" t="str" cm="1">
        <f t="array" ref="L249">_xlfn.IFS(
 AND(K249&gt;=89,K249&lt;=92),"3개월",
 AND(K249&gt;=58,K249&lt;=62),"2개월",
 AND(K249&gt;=28,K249&lt;=32),"1개월",
 AND(K249=0),"당월",
 TRUE,"그외"
)</f>
        <v>당월</v>
      </c>
    </row>
    <row r="250" spans="1:12" ht="17.649999999999999" customHeight="1" x14ac:dyDescent="0.3">
      <c r="A250" s="5">
        <v>46113</v>
      </c>
      <c r="B250" s="6" t="s">
        <v>40</v>
      </c>
      <c r="C250" s="6" t="s">
        <v>47</v>
      </c>
      <c r="D250" s="5">
        <v>45931</v>
      </c>
      <c r="E250" s="6" t="s">
        <v>15</v>
      </c>
      <c r="F250" s="7">
        <v>3</v>
      </c>
      <c r="G250" s="7">
        <v>473680</v>
      </c>
      <c r="H250" s="7">
        <v>1421040</v>
      </c>
      <c r="I250" s="7">
        <v>77853</v>
      </c>
      <c r="J250" s="7">
        <v>0</v>
      </c>
      <c r="K250">
        <f t="shared" si="3"/>
        <v>182</v>
      </c>
      <c r="L250" s="8" t="str" cm="1">
        <f t="array" ref="L250">_xlfn.IFS(
 AND(K250&gt;=89,K250&lt;=92),"3개월",
 AND(K250&gt;=58,K250&lt;=62),"2개월",
 AND(K250&gt;=28,K250&lt;=32),"1개월",
 AND(K250=0),"당월",
 TRUE,"그외"
)</f>
        <v>그외</v>
      </c>
    </row>
    <row r="251" spans="1:12" ht="17.649999999999999" customHeight="1" x14ac:dyDescent="0.3">
      <c r="A251" s="5">
        <v>46113</v>
      </c>
      <c r="B251" s="6" t="s">
        <v>40</v>
      </c>
      <c r="C251" s="6" t="s">
        <v>47</v>
      </c>
      <c r="D251" s="5">
        <v>45992</v>
      </c>
      <c r="E251" s="6" t="s">
        <v>15</v>
      </c>
      <c r="F251" s="7">
        <v>794</v>
      </c>
      <c r="G251" s="7">
        <v>175343.2115869018</v>
      </c>
      <c r="H251" s="7">
        <v>139222510</v>
      </c>
      <c r="I251" s="7">
        <v>20469942</v>
      </c>
      <c r="J251" s="7">
        <v>0</v>
      </c>
      <c r="K251">
        <f t="shared" si="3"/>
        <v>121</v>
      </c>
      <c r="L251" s="8" t="str" cm="1">
        <f t="array" ref="L251">_xlfn.IFS(
 AND(K251&gt;=89,K251&lt;=92),"3개월",
 AND(K251&gt;=58,K251&lt;=62),"2개월",
 AND(K251&gt;=28,K251&lt;=32),"1개월",
 AND(K251=0),"당월",
 TRUE,"그외"
)</f>
        <v>그외</v>
      </c>
    </row>
    <row r="252" spans="1:12" ht="17.649999999999999" customHeight="1" x14ac:dyDescent="0.3">
      <c r="A252" s="5">
        <v>46113</v>
      </c>
      <c r="B252" s="6" t="s">
        <v>40</v>
      </c>
      <c r="C252" s="6" t="s">
        <v>47</v>
      </c>
      <c r="D252" s="5">
        <v>46023</v>
      </c>
      <c r="E252" s="6" t="s">
        <v>15</v>
      </c>
      <c r="F252" s="7">
        <v>1027</v>
      </c>
      <c r="G252" s="7">
        <v>190328.85686465431</v>
      </c>
      <c r="H252" s="7">
        <v>195467736</v>
      </c>
      <c r="I252" s="7">
        <v>28949951</v>
      </c>
      <c r="J252" s="7">
        <v>0</v>
      </c>
      <c r="K252">
        <f t="shared" si="3"/>
        <v>90</v>
      </c>
      <c r="L252" s="8" t="str" cm="1">
        <f t="array" ref="L252">_xlfn.IFS(
 AND(K252&gt;=89,K252&lt;=92),"3개월",
 AND(K252&gt;=58,K252&lt;=62),"2개월",
 AND(K252&gt;=28,K252&lt;=32),"1개월",
 AND(K252=0),"당월",
 TRUE,"그외"
)</f>
        <v>3개월</v>
      </c>
    </row>
    <row r="253" spans="1:12" ht="17.649999999999999" customHeight="1" x14ac:dyDescent="0.3">
      <c r="A253" s="5">
        <v>46113</v>
      </c>
      <c r="B253" s="6" t="s">
        <v>40</v>
      </c>
      <c r="C253" s="6" t="s">
        <v>47</v>
      </c>
      <c r="D253" s="5">
        <v>46054</v>
      </c>
      <c r="E253" s="6" t="s">
        <v>14</v>
      </c>
      <c r="F253" s="7">
        <v>607</v>
      </c>
      <c r="G253" s="7">
        <v>106057.16144975289</v>
      </c>
      <c r="H253" s="7">
        <v>64376697</v>
      </c>
      <c r="I253" s="7">
        <v>11670651</v>
      </c>
      <c r="J253" s="7">
        <v>0</v>
      </c>
      <c r="K253">
        <f t="shared" si="3"/>
        <v>59</v>
      </c>
      <c r="L253" s="8" t="str" cm="1">
        <f t="array" ref="L253">_xlfn.IFS(
 AND(K253&gt;=89,K253&lt;=92),"3개월",
 AND(K253&gt;=58,K253&lt;=62),"2개월",
 AND(K253&gt;=28,K253&lt;=32),"1개월",
 AND(K253=0),"당월",
 TRUE,"그외"
)</f>
        <v>2개월</v>
      </c>
    </row>
    <row r="254" spans="1:12" ht="17.649999999999999" customHeight="1" x14ac:dyDescent="0.3">
      <c r="A254" s="5">
        <v>46113</v>
      </c>
      <c r="B254" s="6" t="s">
        <v>40</v>
      </c>
      <c r="C254" s="6" t="s">
        <v>47</v>
      </c>
      <c r="D254" s="5">
        <v>46054</v>
      </c>
      <c r="E254" s="6" t="s">
        <v>15</v>
      </c>
      <c r="F254" s="7">
        <v>1530</v>
      </c>
      <c r="G254" s="7">
        <v>167300.94640522881</v>
      </c>
      <c r="H254" s="7">
        <v>255970448</v>
      </c>
      <c r="I254" s="7">
        <v>30621854</v>
      </c>
      <c r="J254" s="7">
        <v>0</v>
      </c>
      <c r="K254">
        <f t="shared" si="3"/>
        <v>59</v>
      </c>
      <c r="L254" s="8" t="str" cm="1">
        <f t="array" ref="L254">_xlfn.IFS(
 AND(K254&gt;=89,K254&lt;=92),"3개월",
 AND(K254&gt;=58,K254&lt;=62),"2개월",
 AND(K254&gt;=28,K254&lt;=32),"1개월",
 AND(K254=0),"당월",
 TRUE,"그외"
)</f>
        <v>2개월</v>
      </c>
    </row>
    <row r="255" spans="1:12" ht="17.649999999999999" customHeight="1" x14ac:dyDescent="0.3">
      <c r="A255" s="5">
        <v>46113</v>
      </c>
      <c r="B255" s="6" t="s">
        <v>40</v>
      </c>
      <c r="C255" s="6" t="s">
        <v>47</v>
      </c>
      <c r="D255" s="5">
        <v>46082</v>
      </c>
      <c r="E255" s="6" t="s">
        <v>14</v>
      </c>
      <c r="F255" s="7">
        <v>2934</v>
      </c>
      <c r="G255" s="7">
        <v>116664.8050443081</v>
      </c>
      <c r="H255" s="7">
        <v>342294538</v>
      </c>
      <c r="I255" s="7">
        <v>81489760</v>
      </c>
      <c r="J255" s="7">
        <v>0</v>
      </c>
      <c r="K255">
        <f t="shared" si="3"/>
        <v>31</v>
      </c>
      <c r="L255" s="8" t="str" cm="1">
        <f t="array" ref="L255">_xlfn.IFS(
 AND(K255&gt;=89,K255&lt;=92),"3개월",
 AND(K255&gt;=58,K255&lt;=62),"2개월",
 AND(K255&gt;=28,K255&lt;=32),"1개월",
 AND(K255=0),"당월",
 TRUE,"그외"
)</f>
        <v>1개월</v>
      </c>
    </row>
    <row r="256" spans="1:12" ht="17.649999999999999" customHeight="1" x14ac:dyDescent="0.3">
      <c r="A256" s="5">
        <v>46113</v>
      </c>
      <c r="B256" s="6" t="s">
        <v>40</v>
      </c>
      <c r="C256" s="6" t="s">
        <v>47</v>
      </c>
      <c r="D256" s="5">
        <v>46082</v>
      </c>
      <c r="E256" s="6" t="s">
        <v>15</v>
      </c>
      <c r="F256" s="7">
        <v>8455</v>
      </c>
      <c r="G256" s="7">
        <v>154546.03299822591</v>
      </c>
      <c r="H256" s="7">
        <v>1306686709</v>
      </c>
      <c r="I256" s="7">
        <v>211703509</v>
      </c>
      <c r="J256" s="7">
        <v>0</v>
      </c>
      <c r="K256">
        <f t="shared" si="3"/>
        <v>31</v>
      </c>
      <c r="L256" s="8" t="str" cm="1">
        <f t="array" ref="L256">_xlfn.IFS(
 AND(K256&gt;=89,K256&lt;=92),"3개월",
 AND(K256&gt;=58,K256&lt;=62),"2개월",
 AND(K256&gt;=28,K256&lt;=32),"1개월",
 AND(K256=0),"당월",
 TRUE,"그외"
)</f>
        <v>1개월</v>
      </c>
    </row>
    <row r="257" spans="1:12" ht="17.649999999999999" customHeight="1" x14ac:dyDescent="0.3">
      <c r="A257" s="5">
        <v>46113</v>
      </c>
      <c r="B257" s="6" t="s">
        <v>40</v>
      </c>
      <c r="C257" s="6" t="s">
        <v>47</v>
      </c>
      <c r="D257" s="5">
        <v>46113</v>
      </c>
      <c r="E257" s="6" t="s">
        <v>14</v>
      </c>
      <c r="F257" s="7">
        <v>812</v>
      </c>
      <c r="G257" s="7">
        <v>132440.94704433499</v>
      </c>
      <c r="H257" s="7">
        <v>107542049</v>
      </c>
      <c r="I257" s="7">
        <v>55571200</v>
      </c>
      <c r="J257" s="7">
        <v>0</v>
      </c>
      <c r="K257">
        <f t="shared" si="3"/>
        <v>0</v>
      </c>
      <c r="L257" s="8" t="str" cm="1">
        <f t="array" ref="L257">_xlfn.IFS(
 AND(K257&gt;=89,K257&lt;=92),"3개월",
 AND(K257&gt;=58,K257&lt;=62),"2개월",
 AND(K257&gt;=28,K257&lt;=32),"1개월",
 AND(K257=0),"당월",
 TRUE,"그외"
)</f>
        <v>당월</v>
      </c>
    </row>
    <row r="258" spans="1:12" ht="17.649999999999999" customHeight="1" x14ac:dyDescent="0.3">
      <c r="A258" s="5">
        <v>46113</v>
      </c>
      <c r="B258" s="6" t="s">
        <v>40</v>
      </c>
      <c r="C258" s="6" t="s">
        <v>47</v>
      </c>
      <c r="D258" s="5">
        <v>46113</v>
      </c>
      <c r="E258" s="6" t="s">
        <v>15</v>
      </c>
      <c r="F258" s="7">
        <v>3144</v>
      </c>
      <c r="G258" s="7">
        <v>184592.7996183206</v>
      </c>
      <c r="H258" s="7">
        <v>580359762</v>
      </c>
      <c r="I258" s="7">
        <v>213319011</v>
      </c>
      <c r="J258" s="7">
        <v>0</v>
      </c>
      <c r="K258">
        <f t="shared" si="3"/>
        <v>0</v>
      </c>
      <c r="L258" s="8" t="str" cm="1">
        <f t="array" ref="L258">_xlfn.IFS(
 AND(K258&gt;=89,K258&lt;=92),"3개월",
 AND(K258&gt;=58,K258&lt;=62),"2개월",
 AND(K258&gt;=28,K258&lt;=32),"1개월",
 AND(K258=0),"당월",
 TRUE,"그외"
)</f>
        <v>당월</v>
      </c>
    </row>
    <row r="259" spans="1:12" ht="17.649999999999999" customHeight="1" x14ac:dyDescent="0.3">
      <c r="A259" s="5">
        <v>46113</v>
      </c>
      <c r="B259" s="6" t="s">
        <v>40</v>
      </c>
      <c r="C259" s="6" t="s">
        <v>48</v>
      </c>
      <c r="D259" s="5">
        <v>46023</v>
      </c>
      <c r="E259" s="6" t="s">
        <v>15</v>
      </c>
      <c r="F259" s="7">
        <v>321</v>
      </c>
      <c r="G259" s="7">
        <v>205206.6697819315</v>
      </c>
      <c r="H259" s="7">
        <v>65871341</v>
      </c>
      <c r="I259" s="7">
        <v>8856982</v>
      </c>
      <c r="J259" s="7">
        <v>0</v>
      </c>
      <c r="K259">
        <f t="shared" si="3"/>
        <v>90</v>
      </c>
      <c r="L259" s="8" t="str" cm="1">
        <f t="array" ref="L259">_xlfn.IFS(
 AND(K259&gt;=89,K259&lt;=92),"3개월",
 AND(K259&gt;=58,K259&lt;=62),"2개월",
 AND(K259&gt;=28,K259&lt;=32),"1개월",
 AND(K259=0),"당월",
 TRUE,"그외"
)</f>
        <v>3개월</v>
      </c>
    </row>
    <row r="260" spans="1:12" ht="17.649999999999999" customHeight="1" x14ac:dyDescent="0.3">
      <c r="A260" s="5">
        <v>46113</v>
      </c>
      <c r="B260" s="6" t="s">
        <v>40</v>
      </c>
      <c r="C260" s="6" t="s">
        <v>48</v>
      </c>
      <c r="D260" s="5">
        <v>46054</v>
      </c>
      <c r="E260" s="6" t="s">
        <v>14</v>
      </c>
      <c r="F260" s="7">
        <v>54</v>
      </c>
      <c r="G260" s="7">
        <v>107208.9074074074</v>
      </c>
      <c r="H260" s="7">
        <v>5789281</v>
      </c>
      <c r="I260" s="7">
        <v>976581</v>
      </c>
      <c r="J260" s="7">
        <v>0</v>
      </c>
      <c r="K260">
        <f t="shared" si="3"/>
        <v>59</v>
      </c>
      <c r="L260" s="8" t="str" cm="1">
        <f t="array" ref="L260">_xlfn.IFS(
 AND(K260&gt;=89,K260&lt;=92),"3개월",
 AND(K260&gt;=58,K260&lt;=62),"2개월",
 AND(K260&gt;=28,K260&lt;=32),"1개월",
 AND(K260=0),"당월",
 TRUE,"그외"
)</f>
        <v>2개월</v>
      </c>
    </row>
    <row r="261" spans="1:12" ht="17.649999999999999" customHeight="1" x14ac:dyDescent="0.3">
      <c r="A261" s="5">
        <v>46113</v>
      </c>
      <c r="B261" s="6" t="s">
        <v>40</v>
      </c>
      <c r="C261" s="6" t="s">
        <v>48</v>
      </c>
      <c r="D261" s="5">
        <v>46054</v>
      </c>
      <c r="E261" s="6" t="s">
        <v>15</v>
      </c>
      <c r="F261" s="7">
        <v>943</v>
      </c>
      <c r="G261" s="7">
        <v>191780.9925768823</v>
      </c>
      <c r="H261" s="7">
        <v>180849476</v>
      </c>
      <c r="I261" s="7">
        <v>19655788</v>
      </c>
      <c r="J261" s="7">
        <v>0</v>
      </c>
      <c r="K261">
        <f t="shared" si="3"/>
        <v>59</v>
      </c>
      <c r="L261" s="8" t="str" cm="1">
        <f t="array" ref="L261">_xlfn.IFS(
 AND(K261&gt;=89,K261&lt;=92),"3개월",
 AND(K261&gt;=58,K261&lt;=62),"2개월",
 AND(K261&gt;=28,K261&lt;=32),"1개월",
 AND(K261=0),"당월",
 TRUE,"그외"
)</f>
        <v>2개월</v>
      </c>
    </row>
    <row r="262" spans="1:12" ht="17.649999999999999" customHeight="1" x14ac:dyDescent="0.3">
      <c r="A262" s="5">
        <v>46113</v>
      </c>
      <c r="B262" s="6" t="s">
        <v>40</v>
      </c>
      <c r="C262" s="6" t="s">
        <v>48</v>
      </c>
      <c r="D262" s="5">
        <v>46082</v>
      </c>
      <c r="E262" s="6" t="s">
        <v>14</v>
      </c>
      <c r="F262" s="7">
        <v>3007</v>
      </c>
      <c r="G262" s="7">
        <v>180076.0402394413</v>
      </c>
      <c r="H262" s="7">
        <v>541488653</v>
      </c>
      <c r="I262" s="7">
        <v>112715551</v>
      </c>
      <c r="J262" s="7">
        <v>0</v>
      </c>
      <c r="K262">
        <f t="shared" si="3"/>
        <v>31</v>
      </c>
      <c r="L262" s="8" t="str" cm="1">
        <f t="array" ref="L262">_xlfn.IFS(
 AND(K262&gt;=89,K262&lt;=92),"3개월",
 AND(K262&gt;=58,K262&lt;=62),"2개월",
 AND(K262&gt;=28,K262&lt;=32),"1개월",
 AND(K262=0),"당월",
 TRUE,"그외"
)</f>
        <v>1개월</v>
      </c>
    </row>
    <row r="263" spans="1:12" ht="17.649999999999999" customHeight="1" x14ac:dyDescent="0.3">
      <c r="A263" s="5">
        <v>46113</v>
      </c>
      <c r="B263" s="6" t="s">
        <v>40</v>
      </c>
      <c r="C263" s="6" t="s">
        <v>48</v>
      </c>
      <c r="D263" s="5">
        <v>46082</v>
      </c>
      <c r="E263" s="6" t="s">
        <v>15</v>
      </c>
      <c r="F263" s="7">
        <v>3861</v>
      </c>
      <c r="G263" s="7">
        <v>148635.74592074589</v>
      </c>
      <c r="H263" s="7">
        <v>573882615</v>
      </c>
      <c r="I263" s="7">
        <v>103824101</v>
      </c>
      <c r="J263" s="7">
        <v>0</v>
      </c>
      <c r="K263">
        <f t="shared" si="3"/>
        <v>31</v>
      </c>
      <c r="L263" s="8" t="str" cm="1">
        <f t="array" ref="L263">_xlfn.IFS(
 AND(K263&gt;=89,K263&lt;=92),"3개월",
 AND(K263&gt;=58,K263&lt;=62),"2개월",
 AND(K263&gt;=28,K263&lt;=32),"1개월",
 AND(K263=0),"당월",
 TRUE,"그외"
)</f>
        <v>1개월</v>
      </c>
    </row>
    <row r="264" spans="1:12" ht="17.649999999999999" customHeight="1" x14ac:dyDescent="0.3">
      <c r="A264" s="5">
        <v>46113</v>
      </c>
      <c r="B264" s="6" t="s">
        <v>40</v>
      </c>
      <c r="C264" s="6" t="s">
        <v>48</v>
      </c>
      <c r="D264" s="5">
        <v>46113</v>
      </c>
      <c r="E264" s="6" t="s">
        <v>14</v>
      </c>
      <c r="F264" s="7">
        <v>826</v>
      </c>
      <c r="G264" s="7">
        <v>148333.22397094429</v>
      </c>
      <c r="H264" s="7">
        <v>122523243</v>
      </c>
      <c r="I264" s="7">
        <v>58359212</v>
      </c>
      <c r="J264" s="7">
        <v>0</v>
      </c>
      <c r="K264">
        <f t="shared" si="3"/>
        <v>0</v>
      </c>
      <c r="L264" s="8" t="str" cm="1">
        <f t="array" ref="L264">_xlfn.IFS(
 AND(K264&gt;=89,K264&lt;=92),"3개월",
 AND(K264&gt;=58,K264&lt;=62),"2개월",
 AND(K264&gt;=28,K264&lt;=32),"1개월",
 AND(K264=0),"당월",
 TRUE,"그외"
)</f>
        <v>당월</v>
      </c>
    </row>
    <row r="265" spans="1:12" ht="17.649999999999999" customHeight="1" x14ac:dyDescent="0.3">
      <c r="A265" s="5">
        <v>46113</v>
      </c>
      <c r="B265" s="6" t="s">
        <v>40</v>
      </c>
      <c r="C265" s="6" t="s">
        <v>48</v>
      </c>
      <c r="D265" s="5">
        <v>46113</v>
      </c>
      <c r="E265" s="6" t="s">
        <v>15</v>
      </c>
      <c r="F265" s="7">
        <v>1345</v>
      </c>
      <c r="G265" s="7">
        <v>164761.35390334571</v>
      </c>
      <c r="H265" s="7">
        <v>221604021</v>
      </c>
      <c r="I265" s="7">
        <v>93362969</v>
      </c>
      <c r="J265" s="7">
        <v>0</v>
      </c>
      <c r="K265">
        <f t="shared" si="3"/>
        <v>0</v>
      </c>
      <c r="L265" s="8" t="str" cm="1">
        <f t="array" ref="L265">_xlfn.IFS(
 AND(K265&gt;=89,K265&lt;=92),"3개월",
 AND(K265&gt;=58,K265&lt;=62),"2개월",
 AND(K265&gt;=28,K265&lt;=32),"1개월",
 AND(K265=0),"당월",
 TRUE,"그외"
)</f>
        <v>당월</v>
      </c>
    </row>
    <row r="266" spans="1:12" ht="17.649999999999999" customHeight="1" x14ac:dyDescent="0.3">
      <c r="A266" s="5">
        <v>46113</v>
      </c>
      <c r="B266" s="6" t="s">
        <v>40</v>
      </c>
      <c r="C266" s="6" t="s">
        <v>49</v>
      </c>
      <c r="D266" s="5">
        <v>46082</v>
      </c>
      <c r="E266" s="6" t="s">
        <v>14</v>
      </c>
      <c r="F266" s="7">
        <v>441</v>
      </c>
      <c r="G266" s="7">
        <v>116119.8412698413</v>
      </c>
      <c r="H266" s="7">
        <v>51208850</v>
      </c>
      <c r="I266" s="7">
        <v>0</v>
      </c>
      <c r="J266" s="7">
        <v>0</v>
      </c>
      <c r="K266">
        <f t="shared" ref="K266:K329" si="4">A266-D266</f>
        <v>31</v>
      </c>
      <c r="L266" s="8" t="str" cm="1">
        <f t="array" ref="L266">_xlfn.IFS(
 AND(K266&gt;=89,K266&lt;=92),"3개월",
 AND(K266&gt;=58,K266&lt;=62),"2개월",
 AND(K266&gt;=28,K266&lt;=32),"1개월",
 AND(K266=0),"당월",
 TRUE,"그외"
)</f>
        <v>1개월</v>
      </c>
    </row>
    <row r="267" spans="1:12" ht="17.649999999999999" customHeight="1" x14ac:dyDescent="0.3">
      <c r="A267" s="5">
        <v>46113</v>
      </c>
      <c r="B267" s="6" t="s">
        <v>40</v>
      </c>
      <c r="C267" s="6" t="s">
        <v>49</v>
      </c>
      <c r="D267" s="5">
        <v>46082</v>
      </c>
      <c r="E267" s="6" t="s">
        <v>15</v>
      </c>
      <c r="F267" s="7">
        <v>85</v>
      </c>
      <c r="G267" s="7">
        <v>100733.7764705882</v>
      </c>
      <c r="H267" s="7">
        <v>8562371</v>
      </c>
      <c r="I267" s="7">
        <v>1374800</v>
      </c>
      <c r="J267" s="7">
        <v>0</v>
      </c>
      <c r="K267">
        <f t="shared" si="4"/>
        <v>31</v>
      </c>
      <c r="L267" s="8" t="str" cm="1">
        <f t="array" ref="L267">_xlfn.IFS(
 AND(K267&gt;=89,K267&lt;=92),"3개월",
 AND(K267&gt;=58,K267&lt;=62),"2개월",
 AND(K267&gt;=28,K267&lt;=32),"1개월",
 AND(K267=0),"당월",
 TRUE,"그외"
)</f>
        <v>1개월</v>
      </c>
    </row>
    <row r="268" spans="1:12" ht="17.649999999999999" customHeight="1" x14ac:dyDescent="0.3">
      <c r="A268" s="5">
        <v>46113</v>
      </c>
      <c r="B268" s="6" t="s">
        <v>40</v>
      </c>
      <c r="C268" s="6" t="s">
        <v>49</v>
      </c>
      <c r="D268" s="5">
        <v>46113</v>
      </c>
      <c r="E268" s="6" t="s">
        <v>14</v>
      </c>
      <c r="F268" s="7">
        <v>1658</v>
      </c>
      <c r="G268" s="7">
        <v>246630.94089264169</v>
      </c>
      <c r="H268" s="7">
        <v>408914100</v>
      </c>
      <c r="I268" s="7">
        <v>0</v>
      </c>
      <c r="J268" s="7">
        <v>0</v>
      </c>
      <c r="K268">
        <f t="shared" si="4"/>
        <v>0</v>
      </c>
      <c r="L268" s="8" t="str" cm="1">
        <f t="array" ref="L268">_xlfn.IFS(
 AND(K268&gt;=89,K268&lt;=92),"3개월",
 AND(K268&gt;=58,K268&lt;=62),"2개월",
 AND(K268&gt;=28,K268&lt;=32),"1개월",
 AND(K268=0),"당월",
 TRUE,"그외"
)</f>
        <v>당월</v>
      </c>
    </row>
    <row r="269" spans="1:12" ht="17.649999999999999" customHeight="1" x14ac:dyDescent="0.3">
      <c r="A269" s="5">
        <v>46113</v>
      </c>
      <c r="B269" s="6" t="s">
        <v>40</v>
      </c>
      <c r="C269" s="6" t="s">
        <v>49</v>
      </c>
      <c r="D269" s="5">
        <v>46113</v>
      </c>
      <c r="E269" s="6" t="s">
        <v>15</v>
      </c>
      <c r="F269" s="7">
        <v>301</v>
      </c>
      <c r="G269" s="7">
        <v>304963.71760797338</v>
      </c>
      <c r="H269" s="7">
        <v>91794079</v>
      </c>
      <c r="I269" s="7">
        <v>14867703</v>
      </c>
      <c r="J269" s="7">
        <v>0</v>
      </c>
      <c r="K269">
        <f t="shared" si="4"/>
        <v>0</v>
      </c>
      <c r="L269" s="8" t="str" cm="1">
        <f t="array" ref="L269">_xlfn.IFS(
 AND(K269&gt;=89,K269&lt;=92),"3개월",
 AND(K269&gt;=58,K269&lt;=62),"2개월",
 AND(K269&gt;=28,K269&lt;=32),"1개월",
 AND(K269=0),"당월",
 TRUE,"그외"
)</f>
        <v>당월</v>
      </c>
    </row>
    <row r="270" spans="1:12" ht="17.649999999999999" customHeight="1" x14ac:dyDescent="0.3">
      <c r="A270" s="5">
        <v>46113</v>
      </c>
      <c r="B270" s="6" t="s">
        <v>50</v>
      </c>
      <c r="C270" s="6" t="s">
        <v>51</v>
      </c>
      <c r="D270" s="5">
        <v>45962</v>
      </c>
      <c r="E270" s="6" t="s">
        <v>15</v>
      </c>
      <c r="F270" s="7">
        <v>38</v>
      </c>
      <c r="G270" s="7">
        <v>231472.4736842105</v>
      </c>
      <c r="H270" s="7">
        <v>8795954</v>
      </c>
      <c r="I270" s="7">
        <v>898090</v>
      </c>
      <c r="J270" s="7">
        <v>0</v>
      </c>
      <c r="K270">
        <f t="shared" si="4"/>
        <v>151</v>
      </c>
      <c r="L270" s="8" t="str" cm="1">
        <f t="array" ref="L270">_xlfn.IFS(
 AND(K270&gt;=89,K270&lt;=92),"3개월",
 AND(K270&gt;=58,K270&lt;=62),"2개월",
 AND(K270&gt;=28,K270&lt;=32),"1개월",
 AND(K270=0),"당월",
 TRUE,"그외"
)</f>
        <v>그외</v>
      </c>
    </row>
    <row r="271" spans="1:12" ht="17.649999999999999" customHeight="1" x14ac:dyDescent="0.3">
      <c r="A271" s="5">
        <v>46113</v>
      </c>
      <c r="B271" s="6" t="s">
        <v>50</v>
      </c>
      <c r="C271" s="6" t="s">
        <v>51</v>
      </c>
      <c r="D271" s="5">
        <v>45992</v>
      </c>
      <c r="E271" s="6" t="s">
        <v>15</v>
      </c>
      <c r="F271" s="7">
        <v>85</v>
      </c>
      <c r="G271" s="7">
        <v>231085.0941176471</v>
      </c>
      <c r="H271" s="7">
        <v>19642233</v>
      </c>
      <c r="I271" s="7">
        <v>2612246</v>
      </c>
      <c r="J271" s="7">
        <v>0</v>
      </c>
      <c r="K271">
        <f t="shared" si="4"/>
        <v>121</v>
      </c>
      <c r="L271" s="8" t="str" cm="1">
        <f t="array" ref="L271">_xlfn.IFS(
 AND(K271&gt;=89,K271&lt;=92),"3개월",
 AND(K271&gt;=58,K271&lt;=62),"2개월",
 AND(K271&gt;=28,K271&lt;=32),"1개월",
 AND(K271=0),"당월",
 TRUE,"그외"
)</f>
        <v>그외</v>
      </c>
    </row>
    <row r="272" spans="1:12" ht="17.649999999999999" customHeight="1" x14ac:dyDescent="0.3">
      <c r="A272" s="5">
        <v>46113</v>
      </c>
      <c r="B272" s="6" t="s">
        <v>50</v>
      </c>
      <c r="C272" s="6" t="s">
        <v>51</v>
      </c>
      <c r="D272" s="5">
        <v>46023</v>
      </c>
      <c r="E272" s="6" t="s">
        <v>14</v>
      </c>
      <c r="F272" s="7">
        <v>2</v>
      </c>
      <c r="G272" s="7">
        <v>156264</v>
      </c>
      <c r="H272" s="7">
        <v>312528</v>
      </c>
      <c r="I272" s="7">
        <v>82728</v>
      </c>
      <c r="J272" s="7">
        <v>0</v>
      </c>
      <c r="K272">
        <f t="shared" si="4"/>
        <v>90</v>
      </c>
      <c r="L272" s="8" t="str" cm="1">
        <f t="array" ref="L272">_xlfn.IFS(
 AND(K272&gt;=89,K272&lt;=92),"3개월",
 AND(K272&gt;=58,K272&lt;=62),"2개월",
 AND(K272&gt;=28,K272&lt;=32),"1개월",
 AND(K272=0),"당월",
 TRUE,"그외"
)</f>
        <v>3개월</v>
      </c>
    </row>
    <row r="273" spans="1:12" ht="17.649999999999999" customHeight="1" x14ac:dyDescent="0.3">
      <c r="A273" s="5">
        <v>46113</v>
      </c>
      <c r="B273" s="6" t="s">
        <v>50</v>
      </c>
      <c r="C273" s="6" t="s">
        <v>51</v>
      </c>
      <c r="D273" s="5">
        <v>46023</v>
      </c>
      <c r="E273" s="6" t="s">
        <v>15</v>
      </c>
      <c r="F273" s="7">
        <v>500</v>
      </c>
      <c r="G273" s="7">
        <v>259137.93799999999</v>
      </c>
      <c r="H273" s="7">
        <v>129568969</v>
      </c>
      <c r="I273" s="7">
        <v>13778795</v>
      </c>
      <c r="J273" s="7">
        <v>0</v>
      </c>
      <c r="K273">
        <f t="shared" si="4"/>
        <v>90</v>
      </c>
      <c r="L273" s="8" t="str" cm="1">
        <f t="array" ref="L273">_xlfn.IFS(
 AND(K273&gt;=89,K273&lt;=92),"3개월",
 AND(K273&gt;=58,K273&lt;=62),"2개월",
 AND(K273&gt;=28,K273&lt;=32),"1개월",
 AND(K273=0),"당월",
 TRUE,"그외"
)</f>
        <v>3개월</v>
      </c>
    </row>
    <row r="274" spans="1:12" ht="17.649999999999999" customHeight="1" x14ac:dyDescent="0.3">
      <c r="A274" s="5">
        <v>46113</v>
      </c>
      <c r="B274" s="6" t="s">
        <v>50</v>
      </c>
      <c r="C274" s="6" t="s">
        <v>51</v>
      </c>
      <c r="D274" s="5">
        <v>46054</v>
      </c>
      <c r="E274" s="6" t="s">
        <v>15</v>
      </c>
      <c r="F274" s="7">
        <v>980</v>
      </c>
      <c r="G274" s="7">
        <v>197269.0836734694</v>
      </c>
      <c r="H274" s="7">
        <v>193323702</v>
      </c>
      <c r="I274" s="7">
        <v>23021410</v>
      </c>
      <c r="J274" s="7">
        <v>0</v>
      </c>
      <c r="K274">
        <f t="shared" si="4"/>
        <v>59</v>
      </c>
      <c r="L274" s="8" t="str" cm="1">
        <f t="array" ref="L274">_xlfn.IFS(
 AND(K274&gt;=89,K274&lt;=92),"3개월",
 AND(K274&gt;=58,K274&lt;=62),"2개월",
 AND(K274&gt;=28,K274&lt;=32),"1개월",
 AND(K274=0),"당월",
 TRUE,"그외"
)</f>
        <v>2개월</v>
      </c>
    </row>
    <row r="275" spans="1:12" ht="17.649999999999999" customHeight="1" x14ac:dyDescent="0.3">
      <c r="A275" s="5">
        <v>46113</v>
      </c>
      <c r="B275" s="6" t="s">
        <v>50</v>
      </c>
      <c r="C275" s="6" t="s">
        <v>51</v>
      </c>
      <c r="D275" s="5">
        <v>46082</v>
      </c>
      <c r="E275" s="6" t="s">
        <v>14</v>
      </c>
      <c r="F275" s="7">
        <v>640</v>
      </c>
      <c r="G275" s="7">
        <v>216420.203125</v>
      </c>
      <c r="H275" s="7">
        <v>138508930</v>
      </c>
      <c r="I275" s="7">
        <v>16680144</v>
      </c>
      <c r="J275" s="7">
        <v>0</v>
      </c>
      <c r="K275">
        <f t="shared" si="4"/>
        <v>31</v>
      </c>
      <c r="L275" s="8" t="str" cm="1">
        <f t="array" ref="L275">_xlfn.IFS(
 AND(K275&gt;=89,K275&lt;=92),"3개월",
 AND(K275&gt;=58,K275&lt;=62),"2개월",
 AND(K275&gt;=28,K275&lt;=32),"1개월",
 AND(K275=0),"당월",
 TRUE,"그외"
)</f>
        <v>1개월</v>
      </c>
    </row>
    <row r="276" spans="1:12" ht="17.649999999999999" customHeight="1" x14ac:dyDescent="0.3">
      <c r="A276" s="5">
        <v>46113</v>
      </c>
      <c r="B276" s="6" t="s">
        <v>50</v>
      </c>
      <c r="C276" s="6" t="s">
        <v>51</v>
      </c>
      <c r="D276" s="5">
        <v>46082</v>
      </c>
      <c r="E276" s="6" t="s">
        <v>15</v>
      </c>
      <c r="F276" s="7">
        <v>2581</v>
      </c>
      <c r="G276" s="7">
        <v>197689.09414955441</v>
      </c>
      <c r="H276" s="7">
        <v>510235552</v>
      </c>
      <c r="I276" s="7">
        <v>66796880</v>
      </c>
      <c r="J276" s="7">
        <v>0</v>
      </c>
      <c r="K276">
        <f t="shared" si="4"/>
        <v>31</v>
      </c>
      <c r="L276" s="8" t="str" cm="1">
        <f t="array" ref="L276">_xlfn.IFS(
 AND(K276&gt;=89,K276&lt;=92),"3개월",
 AND(K276&gt;=58,K276&lt;=62),"2개월",
 AND(K276&gt;=28,K276&lt;=32),"1개월",
 AND(K276=0),"당월",
 TRUE,"그외"
)</f>
        <v>1개월</v>
      </c>
    </row>
    <row r="277" spans="1:12" ht="17.649999999999999" customHeight="1" x14ac:dyDescent="0.3">
      <c r="A277" s="5">
        <v>46113</v>
      </c>
      <c r="B277" s="6" t="s">
        <v>50</v>
      </c>
      <c r="C277" s="6" t="s">
        <v>51</v>
      </c>
      <c r="D277" s="5">
        <v>46113</v>
      </c>
      <c r="E277" s="6" t="s">
        <v>14</v>
      </c>
      <c r="F277" s="7">
        <v>4</v>
      </c>
      <c r="G277" s="7">
        <v>210200</v>
      </c>
      <c r="H277" s="7">
        <v>840800</v>
      </c>
      <c r="I277" s="7">
        <v>216800</v>
      </c>
      <c r="J277" s="7">
        <v>0</v>
      </c>
      <c r="K277">
        <f t="shared" si="4"/>
        <v>0</v>
      </c>
      <c r="L277" s="8" t="str" cm="1">
        <f t="array" ref="L277">_xlfn.IFS(
 AND(K277&gt;=89,K277&lt;=92),"3개월",
 AND(K277&gt;=58,K277&lt;=62),"2개월",
 AND(K277&gt;=28,K277&lt;=32),"1개월",
 AND(K277=0),"당월",
 TRUE,"그외"
)</f>
        <v>당월</v>
      </c>
    </row>
    <row r="278" spans="1:12" ht="17.649999999999999" customHeight="1" x14ac:dyDescent="0.3">
      <c r="A278" s="5">
        <v>46113</v>
      </c>
      <c r="B278" s="6" t="s">
        <v>50</v>
      </c>
      <c r="C278" s="6" t="s">
        <v>51</v>
      </c>
      <c r="D278" s="5">
        <v>46113</v>
      </c>
      <c r="E278" s="6" t="s">
        <v>15</v>
      </c>
      <c r="F278" s="7">
        <v>1332</v>
      </c>
      <c r="G278" s="7">
        <v>214161.93393393391</v>
      </c>
      <c r="H278" s="7">
        <v>285263696</v>
      </c>
      <c r="I278" s="7">
        <v>65641796</v>
      </c>
      <c r="J278" s="7">
        <v>0</v>
      </c>
      <c r="K278">
        <f t="shared" si="4"/>
        <v>0</v>
      </c>
      <c r="L278" s="8" t="str" cm="1">
        <f t="array" ref="L278">_xlfn.IFS(
 AND(K278&gt;=89,K278&lt;=92),"3개월",
 AND(K278&gt;=58,K278&lt;=62),"2개월",
 AND(K278&gt;=28,K278&lt;=32),"1개월",
 AND(K278=0),"당월",
 TRUE,"그외"
)</f>
        <v>당월</v>
      </c>
    </row>
    <row r="279" spans="1:12" ht="17.649999999999999" customHeight="1" x14ac:dyDescent="0.3">
      <c r="A279" s="5">
        <v>46113</v>
      </c>
      <c r="B279" s="6" t="s">
        <v>50</v>
      </c>
      <c r="C279" s="6" t="s">
        <v>52</v>
      </c>
      <c r="D279" s="5">
        <v>45962</v>
      </c>
      <c r="E279" s="6" t="s">
        <v>15</v>
      </c>
      <c r="F279" s="7">
        <v>71</v>
      </c>
      <c r="G279" s="7">
        <v>119076.7605633803</v>
      </c>
      <c r="H279" s="7">
        <v>8454450</v>
      </c>
      <c r="I279" s="7">
        <v>1999806</v>
      </c>
      <c r="J279" s="7">
        <v>0</v>
      </c>
      <c r="K279">
        <f t="shared" si="4"/>
        <v>151</v>
      </c>
      <c r="L279" s="8" t="str" cm="1">
        <f t="array" ref="L279">_xlfn.IFS(
 AND(K279&gt;=89,K279&lt;=92),"3개월",
 AND(K279&gt;=58,K279&lt;=62),"2개월",
 AND(K279&gt;=28,K279&lt;=32),"1개월",
 AND(K279=0),"당월",
 TRUE,"그외"
)</f>
        <v>그외</v>
      </c>
    </row>
    <row r="280" spans="1:12" ht="17.649999999999999" customHeight="1" x14ac:dyDescent="0.3">
      <c r="A280" s="5">
        <v>46113</v>
      </c>
      <c r="B280" s="6" t="s">
        <v>50</v>
      </c>
      <c r="C280" s="6" t="s">
        <v>52</v>
      </c>
      <c r="D280" s="5">
        <v>45992</v>
      </c>
      <c r="E280" s="6" t="s">
        <v>14</v>
      </c>
      <c r="F280" s="7">
        <v>14</v>
      </c>
      <c r="G280" s="7">
        <v>110256</v>
      </c>
      <c r="H280" s="7">
        <v>1543584</v>
      </c>
      <c r="I280" s="7">
        <v>578844</v>
      </c>
      <c r="J280" s="7">
        <v>0</v>
      </c>
      <c r="K280">
        <f t="shared" si="4"/>
        <v>121</v>
      </c>
      <c r="L280" s="8" t="str" cm="1">
        <f t="array" ref="L280">_xlfn.IFS(
 AND(K280&gt;=89,K280&lt;=92),"3개월",
 AND(K280&gt;=58,K280&lt;=62),"2개월",
 AND(K280&gt;=28,K280&lt;=32),"1개월",
 AND(K280=0),"당월",
 TRUE,"그외"
)</f>
        <v>그외</v>
      </c>
    </row>
    <row r="281" spans="1:12" ht="17.649999999999999" customHeight="1" x14ac:dyDescent="0.3">
      <c r="A281" s="5">
        <v>46113</v>
      </c>
      <c r="B281" s="6" t="s">
        <v>50</v>
      </c>
      <c r="C281" s="6" t="s">
        <v>52</v>
      </c>
      <c r="D281" s="5">
        <v>45992</v>
      </c>
      <c r="E281" s="6" t="s">
        <v>15</v>
      </c>
      <c r="F281" s="7">
        <v>405</v>
      </c>
      <c r="G281" s="7">
        <v>140818.7160493827</v>
      </c>
      <c r="H281" s="7">
        <v>57031580</v>
      </c>
      <c r="I281" s="7">
        <v>11262483</v>
      </c>
      <c r="J281" s="7">
        <v>0</v>
      </c>
      <c r="K281">
        <f t="shared" si="4"/>
        <v>121</v>
      </c>
      <c r="L281" s="8" t="str" cm="1">
        <f t="array" ref="L281">_xlfn.IFS(
 AND(K281&gt;=89,K281&lt;=92),"3개월",
 AND(K281&gt;=58,K281&lt;=62),"2개월",
 AND(K281&gt;=28,K281&lt;=32),"1개월",
 AND(K281=0),"당월",
 TRUE,"그외"
)</f>
        <v>그외</v>
      </c>
    </row>
    <row r="282" spans="1:12" ht="17.649999999999999" customHeight="1" x14ac:dyDescent="0.3">
      <c r="A282" s="5">
        <v>46113</v>
      </c>
      <c r="B282" s="6" t="s">
        <v>50</v>
      </c>
      <c r="C282" s="6" t="s">
        <v>52</v>
      </c>
      <c r="D282" s="5">
        <v>46023</v>
      </c>
      <c r="E282" s="6" t="s">
        <v>14</v>
      </c>
      <c r="F282" s="7">
        <v>8</v>
      </c>
      <c r="G282" s="7">
        <v>133255</v>
      </c>
      <c r="H282" s="7">
        <v>1066040</v>
      </c>
      <c r="I282" s="7">
        <v>330840</v>
      </c>
      <c r="J282" s="7">
        <v>0</v>
      </c>
      <c r="K282">
        <f t="shared" si="4"/>
        <v>90</v>
      </c>
      <c r="L282" s="8" t="str" cm="1">
        <f t="array" ref="L282">_xlfn.IFS(
 AND(K282&gt;=89,K282&lt;=92),"3개월",
 AND(K282&gt;=58,K282&lt;=62),"2개월",
 AND(K282&gt;=28,K282&lt;=32),"1개월",
 AND(K282=0),"당월",
 TRUE,"그외"
)</f>
        <v>3개월</v>
      </c>
    </row>
    <row r="283" spans="1:12" ht="17.649999999999999" customHeight="1" x14ac:dyDescent="0.3">
      <c r="A283" s="5">
        <v>46113</v>
      </c>
      <c r="B283" s="6" t="s">
        <v>50</v>
      </c>
      <c r="C283" s="6" t="s">
        <v>52</v>
      </c>
      <c r="D283" s="5">
        <v>46023</v>
      </c>
      <c r="E283" s="6" t="s">
        <v>15</v>
      </c>
      <c r="F283" s="7">
        <v>394</v>
      </c>
      <c r="G283" s="7">
        <v>170113.72842639589</v>
      </c>
      <c r="H283" s="7">
        <v>67024809</v>
      </c>
      <c r="I283" s="7">
        <v>12273857</v>
      </c>
      <c r="J283" s="7">
        <v>0</v>
      </c>
      <c r="K283">
        <f t="shared" si="4"/>
        <v>90</v>
      </c>
      <c r="L283" s="8" t="str" cm="1">
        <f t="array" ref="L283">_xlfn.IFS(
 AND(K283&gt;=89,K283&lt;=92),"3개월",
 AND(K283&gt;=58,K283&lt;=62),"2개월",
 AND(K283&gt;=28,K283&lt;=32),"1개월",
 AND(K283=0),"당월",
 TRUE,"그외"
)</f>
        <v>3개월</v>
      </c>
    </row>
    <row r="284" spans="1:12" ht="17.649999999999999" customHeight="1" x14ac:dyDescent="0.3">
      <c r="A284" s="5">
        <v>46113</v>
      </c>
      <c r="B284" s="6" t="s">
        <v>50</v>
      </c>
      <c r="C284" s="6" t="s">
        <v>52</v>
      </c>
      <c r="D284" s="5">
        <v>46054</v>
      </c>
      <c r="E284" s="6" t="s">
        <v>14</v>
      </c>
      <c r="F284" s="7">
        <v>294</v>
      </c>
      <c r="G284" s="7">
        <v>150667.4965986395</v>
      </c>
      <c r="H284" s="7">
        <v>44296244</v>
      </c>
      <c r="I284" s="7">
        <v>8623050</v>
      </c>
      <c r="J284" s="7">
        <v>0</v>
      </c>
      <c r="K284">
        <f t="shared" si="4"/>
        <v>59</v>
      </c>
      <c r="L284" s="8" t="str" cm="1">
        <f t="array" ref="L284">_xlfn.IFS(
 AND(K284&gt;=89,K284&lt;=92),"3개월",
 AND(K284&gt;=58,K284&lt;=62),"2개월",
 AND(K284&gt;=28,K284&lt;=32),"1개월",
 AND(K284=0),"당월",
 TRUE,"그외"
)</f>
        <v>2개월</v>
      </c>
    </row>
    <row r="285" spans="1:12" ht="17.649999999999999" customHeight="1" x14ac:dyDescent="0.3">
      <c r="A285" s="5">
        <v>46113</v>
      </c>
      <c r="B285" s="6" t="s">
        <v>50</v>
      </c>
      <c r="C285" s="6" t="s">
        <v>52</v>
      </c>
      <c r="D285" s="5">
        <v>46054</v>
      </c>
      <c r="E285" s="6" t="s">
        <v>15</v>
      </c>
      <c r="F285" s="7">
        <v>604</v>
      </c>
      <c r="G285" s="7">
        <v>178489.46192052981</v>
      </c>
      <c r="H285" s="7">
        <v>107807635</v>
      </c>
      <c r="I285" s="7">
        <v>16096999</v>
      </c>
      <c r="J285" s="7">
        <v>0</v>
      </c>
      <c r="K285">
        <f t="shared" si="4"/>
        <v>59</v>
      </c>
      <c r="L285" s="8" t="str" cm="1">
        <f t="array" ref="L285">_xlfn.IFS(
 AND(K285&gt;=89,K285&lt;=92),"3개월",
 AND(K285&gt;=58,K285&lt;=62),"2개월",
 AND(K285&gt;=28,K285&lt;=32),"1개월",
 AND(K285=0),"당월",
 TRUE,"그외"
)</f>
        <v>2개월</v>
      </c>
    </row>
    <row r="286" spans="1:12" ht="17.649999999999999" customHeight="1" x14ac:dyDescent="0.3">
      <c r="A286" s="5">
        <v>46113</v>
      </c>
      <c r="B286" s="6" t="s">
        <v>50</v>
      </c>
      <c r="C286" s="6" t="s">
        <v>52</v>
      </c>
      <c r="D286" s="5">
        <v>46082</v>
      </c>
      <c r="E286" s="6" t="s">
        <v>14</v>
      </c>
      <c r="F286" s="7">
        <v>3980</v>
      </c>
      <c r="G286" s="7">
        <v>164331.99949748741</v>
      </c>
      <c r="H286" s="7">
        <v>654041358</v>
      </c>
      <c r="I286" s="7">
        <v>113853056</v>
      </c>
      <c r="J286" s="7">
        <v>0</v>
      </c>
      <c r="K286">
        <f t="shared" si="4"/>
        <v>31</v>
      </c>
      <c r="L286" s="8" t="str" cm="1">
        <f t="array" ref="L286">_xlfn.IFS(
 AND(K286&gt;=89,K286&lt;=92),"3개월",
 AND(K286&gt;=58,K286&lt;=62),"2개월",
 AND(K286&gt;=28,K286&lt;=32),"1개월",
 AND(K286=0),"당월",
 TRUE,"그외"
)</f>
        <v>1개월</v>
      </c>
    </row>
    <row r="287" spans="1:12" ht="17.649999999999999" customHeight="1" x14ac:dyDescent="0.3">
      <c r="A287" s="5">
        <v>46113</v>
      </c>
      <c r="B287" s="6" t="s">
        <v>50</v>
      </c>
      <c r="C287" s="6" t="s">
        <v>52</v>
      </c>
      <c r="D287" s="5">
        <v>46082</v>
      </c>
      <c r="E287" s="6" t="s">
        <v>15</v>
      </c>
      <c r="F287" s="7">
        <v>2729</v>
      </c>
      <c r="G287" s="7">
        <v>142033.77940637601</v>
      </c>
      <c r="H287" s="7">
        <v>387610184</v>
      </c>
      <c r="I287" s="7">
        <v>69351837</v>
      </c>
      <c r="J287" s="7">
        <v>0</v>
      </c>
      <c r="K287">
        <f t="shared" si="4"/>
        <v>31</v>
      </c>
      <c r="L287" s="8" t="str" cm="1">
        <f t="array" ref="L287">_xlfn.IFS(
 AND(K287&gt;=89,K287&lt;=92),"3개월",
 AND(K287&gt;=58,K287&lt;=62),"2개월",
 AND(K287&gt;=28,K287&lt;=32),"1개월",
 AND(K287=0),"당월",
 TRUE,"그외"
)</f>
        <v>1개월</v>
      </c>
    </row>
    <row r="288" spans="1:12" ht="17.649999999999999" customHeight="1" x14ac:dyDescent="0.3">
      <c r="A288" s="5">
        <v>46113</v>
      </c>
      <c r="B288" s="6" t="s">
        <v>50</v>
      </c>
      <c r="C288" s="6" t="s">
        <v>52</v>
      </c>
      <c r="D288" s="5">
        <v>46113</v>
      </c>
      <c r="E288" s="6" t="s">
        <v>14</v>
      </c>
      <c r="F288" s="7">
        <v>566</v>
      </c>
      <c r="G288" s="7">
        <v>133354.77031802121</v>
      </c>
      <c r="H288" s="7">
        <v>75478800</v>
      </c>
      <c r="I288" s="7">
        <v>25195030</v>
      </c>
      <c r="J288" s="7">
        <v>0</v>
      </c>
      <c r="K288">
        <f t="shared" si="4"/>
        <v>0</v>
      </c>
      <c r="L288" s="8" t="str" cm="1">
        <f t="array" ref="L288">_xlfn.IFS(
 AND(K288&gt;=89,K288&lt;=92),"3개월",
 AND(K288&gt;=58,K288&lt;=62),"2개월",
 AND(K288&gt;=28,K288&lt;=32),"1개월",
 AND(K288=0),"당월",
 TRUE,"그외"
)</f>
        <v>당월</v>
      </c>
    </row>
    <row r="289" spans="1:12" ht="17.649999999999999" customHeight="1" x14ac:dyDescent="0.3">
      <c r="A289" s="5">
        <v>46113</v>
      </c>
      <c r="B289" s="6" t="s">
        <v>50</v>
      </c>
      <c r="C289" s="6" t="s">
        <v>52</v>
      </c>
      <c r="D289" s="5">
        <v>46113</v>
      </c>
      <c r="E289" s="6" t="s">
        <v>15</v>
      </c>
      <c r="F289" s="7">
        <v>1506</v>
      </c>
      <c r="G289" s="7">
        <v>131361.59428950859</v>
      </c>
      <c r="H289" s="7">
        <v>197830561</v>
      </c>
      <c r="I289" s="7">
        <v>75857966</v>
      </c>
      <c r="J289" s="7">
        <v>0</v>
      </c>
      <c r="K289">
        <f t="shared" si="4"/>
        <v>0</v>
      </c>
      <c r="L289" s="8" t="str" cm="1">
        <f t="array" ref="L289">_xlfn.IFS(
 AND(K289&gt;=89,K289&lt;=92),"3개월",
 AND(K289&gt;=58,K289&lt;=62),"2개월",
 AND(K289&gt;=28,K289&lt;=32),"1개월",
 AND(K289=0),"당월",
 TRUE,"그외"
)</f>
        <v>당월</v>
      </c>
    </row>
    <row r="290" spans="1:12" ht="17.649999999999999" customHeight="1" x14ac:dyDescent="0.3">
      <c r="A290" s="5">
        <v>46113</v>
      </c>
      <c r="B290" s="6" t="s">
        <v>50</v>
      </c>
      <c r="C290" s="6" t="s">
        <v>53</v>
      </c>
      <c r="D290" s="5">
        <v>45962</v>
      </c>
      <c r="E290" s="6" t="s">
        <v>15</v>
      </c>
      <c r="F290" s="7">
        <v>102</v>
      </c>
      <c r="G290" s="7">
        <v>244297.4411764706</v>
      </c>
      <c r="H290" s="7">
        <v>24918339</v>
      </c>
      <c r="I290" s="7">
        <v>2687236</v>
      </c>
      <c r="J290" s="7">
        <v>0</v>
      </c>
      <c r="K290">
        <f t="shared" si="4"/>
        <v>151</v>
      </c>
      <c r="L290" s="8" t="str" cm="1">
        <f t="array" ref="L290">_xlfn.IFS(
 AND(K290&gt;=89,K290&lt;=92),"3개월",
 AND(K290&gt;=58,K290&lt;=62),"2개월",
 AND(K290&gt;=28,K290&lt;=32),"1개월",
 AND(K290=0),"당월",
 TRUE,"그외"
)</f>
        <v>그외</v>
      </c>
    </row>
    <row r="291" spans="1:12" ht="17.649999999999999" customHeight="1" x14ac:dyDescent="0.3">
      <c r="A291" s="5">
        <v>46113</v>
      </c>
      <c r="B291" s="6" t="s">
        <v>50</v>
      </c>
      <c r="C291" s="6" t="s">
        <v>53</v>
      </c>
      <c r="D291" s="5">
        <v>45992</v>
      </c>
      <c r="E291" s="6" t="s">
        <v>15</v>
      </c>
      <c r="F291" s="7">
        <v>391</v>
      </c>
      <c r="G291" s="7">
        <v>227916.34015345271</v>
      </c>
      <c r="H291" s="7">
        <v>89115289</v>
      </c>
      <c r="I291" s="7">
        <v>12074367</v>
      </c>
      <c r="J291" s="7">
        <v>0</v>
      </c>
      <c r="K291">
        <f t="shared" si="4"/>
        <v>121</v>
      </c>
      <c r="L291" s="8" t="str" cm="1">
        <f t="array" ref="L291">_xlfn.IFS(
 AND(K291&gt;=89,K291&lt;=92),"3개월",
 AND(K291&gt;=58,K291&lt;=62),"2개월",
 AND(K291&gt;=28,K291&lt;=32),"1개월",
 AND(K291=0),"당월",
 TRUE,"그외"
)</f>
        <v>그외</v>
      </c>
    </row>
    <row r="292" spans="1:12" ht="17.649999999999999" customHeight="1" x14ac:dyDescent="0.3">
      <c r="A292" s="5">
        <v>46113</v>
      </c>
      <c r="B292" s="6" t="s">
        <v>50</v>
      </c>
      <c r="C292" s="6" t="s">
        <v>53</v>
      </c>
      <c r="D292" s="5">
        <v>46023</v>
      </c>
      <c r="E292" s="6" t="s">
        <v>14</v>
      </c>
      <c r="F292" s="7">
        <v>52</v>
      </c>
      <c r="G292" s="7">
        <v>177702.19230769231</v>
      </c>
      <c r="H292" s="7">
        <v>9240514</v>
      </c>
      <c r="I292" s="7">
        <v>2175588</v>
      </c>
      <c r="J292" s="7">
        <v>0</v>
      </c>
      <c r="K292">
        <f t="shared" si="4"/>
        <v>90</v>
      </c>
      <c r="L292" s="8" t="str" cm="1">
        <f t="array" ref="L292">_xlfn.IFS(
 AND(K292&gt;=89,K292&lt;=92),"3개월",
 AND(K292&gt;=58,K292&lt;=62),"2개월",
 AND(K292&gt;=28,K292&lt;=32),"1개월",
 AND(K292=0),"당월",
 TRUE,"그외"
)</f>
        <v>3개월</v>
      </c>
    </row>
    <row r="293" spans="1:12" ht="17.649999999999999" customHeight="1" x14ac:dyDescent="0.3">
      <c r="A293" s="5">
        <v>46113</v>
      </c>
      <c r="B293" s="6" t="s">
        <v>50</v>
      </c>
      <c r="C293" s="6" t="s">
        <v>53</v>
      </c>
      <c r="D293" s="5">
        <v>46023</v>
      </c>
      <c r="E293" s="6" t="s">
        <v>15</v>
      </c>
      <c r="F293" s="7">
        <v>715</v>
      </c>
      <c r="G293" s="7">
        <v>283718.3762237762</v>
      </c>
      <c r="H293" s="7">
        <v>202858639</v>
      </c>
      <c r="I293" s="7">
        <v>23624472</v>
      </c>
      <c r="J293" s="7">
        <v>0</v>
      </c>
      <c r="K293">
        <f t="shared" si="4"/>
        <v>90</v>
      </c>
      <c r="L293" s="8" t="str" cm="1">
        <f t="array" ref="L293">_xlfn.IFS(
 AND(K293&gt;=89,K293&lt;=92),"3개월",
 AND(K293&gt;=58,K293&lt;=62),"2개월",
 AND(K293&gt;=28,K293&lt;=32),"1개월",
 AND(K293=0),"당월",
 TRUE,"그외"
)</f>
        <v>3개월</v>
      </c>
    </row>
    <row r="294" spans="1:12" ht="17.649999999999999" customHeight="1" x14ac:dyDescent="0.3">
      <c r="A294" s="5">
        <v>46113</v>
      </c>
      <c r="B294" s="6" t="s">
        <v>50</v>
      </c>
      <c r="C294" s="6" t="s">
        <v>53</v>
      </c>
      <c r="D294" s="5">
        <v>46054</v>
      </c>
      <c r="E294" s="6" t="s">
        <v>14</v>
      </c>
      <c r="F294" s="7">
        <v>96</v>
      </c>
      <c r="G294" s="7">
        <v>217115.41666666669</v>
      </c>
      <c r="H294" s="7">
        <v>20843080</v>
      </c>
      <c r="I294" s="7">
        <v>3282720</v>
      </c>
      <c r="J294" s="7">
        <v>0</v>
      </c>
      <c r="K294">
        <f t="shared" si="4"/>
        <v>59</v>
      </c>
      <c r="L294" s="8" t="str" cm="1">
        <f t="array" ref="L294">_xlfn.IFS(
 AND(K294&gt;=89,K294&lt;=92),"3개월",
 AND(K294&gt;=58,K294&lt;=62),"2개월",
 AND(K294&gt;=28,K294&lt;=32),"1개월",
 AND(K294=0),"당월",
 TRUE,"그외"
)</f>
        <v>2개월</v>
      </c>
    </row>
    <row r="295" spans="1:12" ht="17.649999999999999" customHeight="1" x14ac:dyDescent="0.3">
      <c r="A295" s="5">
        <v>46113</v>
      </c>
      <c r="B295" s="6" t="s">
        <v>50</v>
      </c>
      <c r="C295" s="6" t="s">
        <v>53</v>
      </c>
      <c r="D295" s="5">
        <v>46054</v>
      </c>
      <c r="E295" s="6" t="s">
        <v>15</v>
      </c>
      <c r="F295" s="7">
        <v>1005</v>
      </c>
      <c r="G295" s="7">
        <v>256944.43383084581</v>
      </c>
      <c r="H295" s="7">
        <v>258229156</v>
      </c>
      <c r="I295" s="7">
        <v>28384341</v>
      </c>
      <c r="J295" s="7">
        <v>0</v>
      </c>
      <c r="K295">
        <f t="shared" si="4"/>
        <v>59</v>
      </c>
      <c r="L295" s="8" t="str" cm="1">
        <f t="array" ref="L295">_xlfn.IFS(
 AND(K295&gt;=89,K295&lt;=92),"3개월",
 AND(K295&gt;=58,K295&lt;=62),"2개월",
 AND(K295&gt;=28,K295&lt;=32),"1개월",
 AND(K295=0),"당월",
 TRUE,"그외"
)</f>
        <v>2개월</v>
      </c>
    </row>
    <row r="296" spans="1:12" ht="17.649999999999999" customHeight="1" x14ac:dyDescent="0.3">
      <c r="A296" s="5">
        <v>46113</v>
      </c>
      <c r="B296" s="6" t="s">
        <v>50</v>
      </c>
      <c r="C296" s="6" t="s">
        <v>53</v>
      </c>
      <c r="D296" s="5">
        <v>46082</v>
      </c>
      <c r="E296" s="6" t="s">
        <v>14</v>
      </c>
      <c r="F296" s="7">
        <v>3629</v>
      </c>
      <c r="G296" s="7">
        <v>164688.2653623588</v>
      </c>
      <c r="H296" s="7">
        <v>597653715</v>
      </c>
      <c r="I296" s="7">
        <v>139034879</v>
      </c>
      <c r="J296" s="7">
        <v>0</v>
      </c>
      <c r="K296">
        <f t="shared" si="4"/>
        <v>31</v>
      </c>
      <c r="L296" s="8" t="str" cm="1">
        <f t="array" ref="L296">_xlfn.IFS(
 AND(K296&gt;=89,K296&lt;=92),"3개월",
 AND(K296&gt;=58,K296&lt;=62),"2개월",
 AND(K296&gt;=28,K296&lt;=32),"1개월",
 AND(K296=0),"당월",
 TRUE,"그외"
)</f>
        <v>1개월</v>
      </c>
    </row>
    <row r="297" spans="1:12" ht="17.649999999999999" customHeight="1" x14ac:dyDescent="0.3">
      <c r="A297" s="5">
        <v>46113</v>
      </c>
      <c r="B297" s="6" t="s">
        <v>50</v>
      </c>
      <c r="C297" s="6" t="s">
        <v>53</v>
      </c>
      <c r="D297" s="5">
        <v>46082</v>
      </c>
      <c r="E297" s="6" t="s">
        <v>15</v>
      </c>
      <c r="F297" s="7">
        <v>2023</v>
      </c>
      <c r="G297" s="7">
        <v>216076.94611962431</v>
      </c>
      <c r="H297" s="7">
        <v>437123662</v>
      </c>
      <c r="I297" s="7">
        <v>59554962</v>
      </c>
      <c r="J297" s="7">
        <v>0</v>
      </c>
      <c r="K297">
        <f t="shared" si="4"/>
        <v>31</v>
      </c>
      <c r="L297" s="8" t="str" cm="1">
        <f t="array" ref="L297">_xlfn.IFS(
 AND(K297&gt;=89,K297&lt;=92),"3개월",
 AND(K297&gt;=58,K297&lt;=62),"2개월",
 AND(K297&gt;=28,K297&lt;=32),"1개월",
 AND(K297=0),"당월",
 TRUE,"그외"
)</f>
        <v>1개월</v>
      </c>
    </row>
    <row r="298" spans="1:12" ht="17.649999999999999" customHeight="1" x14ac:dyDescent="0.3">
      <c r="A298" s="5">
        <v>46113</v>
      </c>
      <c r="B298" s="6" t="s">
        <v>50</v>
      </c>
      <c r="C298" s="6" t="s">
        <v>53</v>
      </c>
      <c r="D298" s="5">
        <v>46113</v>
      </c>
      <c r="E298" s="6" t="s">
        <v>14</v>
      </c>
      <c r="F298" s="7">
        <v>1124</v>
      </c>
      <c r="G298" s="7">
        <v>154376.99466192169</v>
      </c>
      <c r="H298" s="7">
        <v>173519742</v>
      </c>
      <c r="I298" s="7">
        <v>47215806</v>
      </c>
      <c r="J298" s="7">
        <v>0</v>
      </c>
      <c r="K298">
        <f t="shared" si="4"/>
        <v>0</v>
      </c>
      <c r="L298" s="8" t="str" cm="1">
        <f t="array" ref="L298">_xlfn.IFS(
 AND(K298&gt;=89,K298&lt;=92),"3개월",
 AND(K298&gt;=58,K298&lt;=62),"2개월",
 AND(K298&gt;=28,K298&lt;=32),"1개월",
 AND(K298=0),"당월",
 TRUE,"그외"
)</f>
        <v>당월</v>
      </c>
    </row>
    <row r="299" spans="1:12" ht="17.649999999999999" customHeight="1" x14ac:dyDescent="0.3">
      <c r="A299" s="5">
        <v>46113</v>
      </c>
      <c r="B299" s="6" t="s">
        <v>50</v>
      </c>
      <c r="C299" s="6" t="s">
        <v>53</v>
      </c>
      <c r="D299" s="5">
        <v>46113</v>
      </c>
      <c r="E299" s="6" t="s">
        <v>15</v>
      </c>
      <c r="F299" s="7">
        <v>1121</v>
      </c>
      <c r="G299" s="7">
        <v>171476.7190008921</v>
      </c>
      <c r="H299" s="7">
        <v>192225402</v>
      </c>
      <c r="I299" s="7">
        <v>54931861</v>
      </c>
      <c r="J299" s="7">
        <v>0</v>
      </c>
      <c r="K299">
        <f t="shared" si="4"/>
        <v>0</v>
      </c>
      <c r="L299" s="8" t="str" cm="1">
        <f t="array" ref="L299">_xlfn.IFS(
 AND(K299&gt;=89,K299&lt;=92),"3개월",
 AND(K299&gt;=58,K299&lt;=62),"2개월",
 AND(K299&gt;=28,K299&lt;=32),"1개월",
 AND(K299=0),"당월",
 TRUE,"그외"
)</f>
        <v>당월</v>
      </c>
    </row>
    <row r="300" spans="1:12" ht="17.649999999999999" customHeight="1" x14ac:dyDescent="0.3">
      <c r="A300" s="5">
        <v>46113</v>
      </c>
      <c r="B300" s="6" t="s">
        <v>50</v>
      </c>
      <c r="C300" s="6" t="s">
        <v>54</v>
      </c>
      <c r="D300" s="5">
        <v>45962</v>
      </c>
      <c r="E300" s="6" t="s">
        <v>15</v>
      </c>
      <c r="F300" s="7">
        <v>48</v>
      </c>
      <c r="G300" s="7">
        <v>196480.58333333331</v>
      </c>
      <c r="H300" s="7">
        <v>9431068</v>
      </c>
      <c r="I300" s="7">
        <v>991025</v>
      </c>
      <c r="J300" s="7">
        <v>0</v>
      </c>
      <c r="K300">
        <f t="shared" si="4"/>
        <v>151</v>
      </c>
      <c r="L300" s="8" t="str" cm="1">
        <f t="array" ref="L300">_xlfn.IFS(
 AND(K300&gt;=89,K300&lt;=92),"3개월",
 AND(K300&gt;=58,K300&lt;=62),"2개월",
 AND(K300&gt;=28,K300&lt;=32),"1개월",
 AND(K300=0),"당월",
 TRUE,"그외"
)</f>
        <v>그외</v>
      </c>
    </row>
    <row r="301" spans="1:12" ht="17.649999999999999" customHeight="1" x14ac:dyDescent="0.3">
      <c r="A301" s="5">
        <v>46113</v>
      </c>
      <c r="B301" s="6" t="s">
        <v>50</v>
      </c>
      <c r="C301" s="6" t="s">
        <v>54</v>
      </c>
      <c r="D301" s="5">
        <v>45992</v>
      </c>
      <c r="E301" s="6" t="s">
        <v>15</v>
      </c>
      <c r="F301" s="7">
        <v>112</v>
      </c>
      <c r="G301" s="7">
        <v>154013.46428571429</v>
      </c>
      <c r="H301" s="7">
        <v>17249508</v>
      </c>
      <c r="I301" s="7">
        <v>2976563</v>
      </c>
      <c r="J301" s="7">
        <v>0</v>
      </c>
      <c r="K301">
        <f t="shared" si="4"/>
        <v>121</v>
      </c>
      <c r="L301" s="8" t="str" cm="1">
        <f t="array" ref="L301">_xlfn.IFS(
 AND(K301&gt;=89,K301&lt;=92),"3개월",
 AND(K301&gt;=58,K301&lt;=62),"2개월",
 AND(K301&gt;=28,K301&lt;=32),"1개월",
 AND(K301=0),"당월",
 TRUE,"그외"
)</f>
        <v>그외</v>
      </c>
    </row>
    <row r="302" spans="1:12" ht="17.649999999999999" customHeight="1" x14ac:dyDescent="0.3">
      <c r="A302" s="5">
        <v>46113</v>
      </c>
      <c r="B302" s="6" t="s">
        <v>50</v>
      </c>
      <c r="C302" s="6" t="s">
        <v>54</v>
      </c>
      <c r="D302" s="5">
        <v>46023</v>
      </c>
      <c r="E302" s="6" t="s">
        <v>14</v>
      </c>
      <c r="F302" s="7">
        <v>72</v>
      </c>
      <c r="G302" s="7">
        <v>129427.05555555561</v>
      </c>
      <c r="H302" s="7">
        <v>9318748</v>
      </c>
      <c r="I302" s="7">
        <v>2990178</v>
      </c>
      <c r="J302" s="7">
        <v>0</v>
      </c>
      <c r="K302">
        <f t="shared" si="4"/>
        <v>90</v>
      </c>
      <c r="L302" s="8" t="str" cm="1">
        <f t="array" ref="L302">_xlfn.IFS(
 AND(K302&gt;=89,K302&lt;=92),"3개월",
 AND(K302&gt;=58,K302&lt;=62),"2개월",
 AND(K302&gt;=28,K302&lt;=32),"1개월",
 AND(K302=0),"당월",
 TRUE,"그외"
)</f>
        <v>3개월</v>
      </c>
    </row>
    <row r="303" spans="1:12" ht="17.649999999999999" customHeight="1" x14ac:dyDescent="0.3">
      <c r="A303" s="5">
        <v>46113</v>
      </c>
      <c r="B303" s="6" t="s">
        <v>50</v>
      </c>
      <c r="C303" s="6" t="s">
        <v>54</v>
      </c>
      <c r="D303" s="5">
        <v>46023</v>
      </c>
      <c r="E303" s="6" t="s">
        <v>15</v>
      </c>
      <c r="F303" s="7">
        <v>322</v>
      </c>
      <c r="G303" s="7">
        <v>245228.73602484469</v>
      </c>
      <c r="H303" s="7">
        <v>78963653</v>
      </c>
      <c r="I303" s="7">
        <v>9535721</v>
      </c>
      <c r="J303" s="7">
        <v>0</v>
      </c>
      <c r="K303">
        <f t="shared" si="4"/>
        <v>90</v>
      </c>
      <c r="L303" s="8" t="str" cm="1">
        <f t="array" ref="L303">_xlfn.IFS(
 AND(K303&gt;=89,K303&lt;=92),"3개월",
 AND(K303&gt;=58,K303&lt;=62),"2개월",
 AND(K303&gt;=28,K303&lt;=32),"1개월",
 AND(K303=0),"당월",
 TRUE,"그외"
)</f>
        <v>3개월</v>
      </c>
    </row>
    <row r="304" spans="1:12" ht="17.649999999999999" customHeight="1" x14ac:dyDescent="0.3">
      <c r="A304" s="5">
        <v>46113</v>
      </c>
      <c r="B304" s="6" t="s">
        <v>50</v>
      </c>
      <c r="C304" s="6" t="s">
        <v>54</v>
      </c>
      <c r="D304" s="5">
        <v>46054</v>
      </c>
      <c r="E304" s="6" t="s">
        <v>14</v>
      </c>
      <c r="F304" s="7">
        <v>4</v>
      </c>
      <c r="G304" s="7">
        <v>155346.5</v>
      </c>
      <c r="H304" s="7">
        <v>621386</v>
      </c>
      <c r="I304" s="7">
        <v>164646</v>
      </c>
      <c r="J304" s="7">
        <v>0</v>
      </c>
      <c r="K304">
        <f t="shared" si="4"/>
        <v>59</v>
      </c>
      <c r="L304" s="8" t="str" cm="1">
        <f t="array" ref="L304">_xlfn.IFS(
 AND(K304&gt;=89,K304&lt;=92),"3개월",
 AND(K304&gt;=58,K304&lt;=62),"2개월",
 AND(K304&gt;=28,K304&lt;=32),"1개월",
 AND(K304=0),"당월",
 TRUE,"그외"
)</f>
        <v>2개월</v>
      </c>
    </row>
    <row r="305" spans="1:12" ht="17.649999999999999" customHeight="1" x14ac:dyDescent="0.3">
      <c r="A305" s="5">
        <v>46113</v>
      </c>
      <c r="B305" s="6" t="s">
        <v>50</v>
      </c>
      <c r="C305" s="6" t="s">
        <v>54</v>
      </c>
      <c r="D305" s="5">
        <v>46054</v>
      </c>
      <c r="E305" s="6" t="s">
        <v>15</v>
      </c>
      <c r="F305" s="7">
        <v>343</v>
      </c>
      <c r="G305" s="7">
        <v>207805.16909620989</v>
      </c>
      <c r="H305" s="7">
        <v>71277173</v>
      </c>
      <c r="I305" s="7">
        <v>10278856</v>
      </c>
      <c r="J305" s="7">
        <v>0</v>
      </c>
      <c r="K305">
        <f t="shared" si="4"/>
        <v>59</v>
      </c>
      <c r="L305" s="8" t="str" cm="1">
        <f t="array" ref="L305">_xlfn.IFS(
 AND(K305&gt;=89,K305&lt;=92),"3개월",
 AND(K305&gt;=58,K305&lt;=62),"2개월",
 AND(K305&gt;=28,K305&lt;=32),"1개월",
 AND(K305=0),"당월",
 TRUE,"그외"
)</f>
        <v>2개월</v>
      </c>
    </row>
    <row r="306" spans="1:12" ht="17.649999999999999" customHeight="1" x14ac:dyDescent="0.3">
      <c r="A306" s="5">
        <v>46113</v>
      </c>
      <c r="B306" s="6" t="s">
        <v>50</v>
      </c>
      <c r="C306" s="6" t="s">
        <v>54</v>
      </c>
      <c r="D306" s="5">
        <v>46082</v>
      </c>
      <c r="E306" s="6" t="s">
        <v>14</v>
      </c>
      <c r="F306" s="7">
        <v>2978</v>
      </c>
      <c r="G306" s="7">
        <v>128800.08159838821</v>
      </c>
      <c r="H306" s="7">
        <v>383566643</v>
      </c>
      <c r="I306" s="7">
        <v>107084605</v>
      </c>
      <c r="J306" s="7">
        <v>0</v>
      </c>
      <c r="K306">
        <f t="shared" si="4"/>
        <v>31</v>
      </c>
      <c r="L306" s="8" t="str" cm="1">
        <f t="array" ref="L306">_xlfn.IFS(
 AND(K306&gt;=89,K306&lt;=92),"3개월",
 AND(K306&gt;=58,K306&lt;=62),"2개월",
 AND(K306&gt;=28,K306&lt;=32),"1개월",
 AND(K306=0),"당월",
 TRUE,"그외"
)</f>
        <v>1개월</v>
      </c>
    </row>
    <row r="307" spans="1:12" ht="17.649999999999999" customHeight="1" x14ac:dyDescent="0.3">
      <c r="A307" s="5">
        <v>46113</v>
      </c>
      <c r="B307" s="6" t="s">
        <v>50</v>
      </c>
      <c r="C307" s="6" t="s">
        <v>54</v>
      </c>
      <c r="D307" s="5">
        <v>46082</v>
      </c>
      <c r="E307" s="6" t="s">
        <v>15</v>
      </c>
      <c r="F307" s="7">
        <v>4100</v>
      </c>
      <c r="G307" s="7">
        <v>129602.37682926829</v>
      </c>
      <c r="H307" s="7">
        <v>531369745</v>
      </c>
      <c r="I307" s="7">
        <v>110408266</v>
      </c>
      <c r="J307" s="7">
        <v>0</v>
      </c>
      <c r="K307">
        <f t="shared" si="4"/>
        <v>31</v>
      </c>
      <c r="L307" s="8" t="str" cm="1">
        <f t="array" ref="L307">_xlfn.IFS(
 AND(K307&gt;=89,K307&lt;=92),"3개월",
 AND(K307&gt;=58,K307&lt;=62),"2개월",
 AND(K307&gt;=28,K307&lt;=32),"1개월",
 AND(K307=0),"당월",
 TRUE,"그외"
)</f>
        <v>1개월</v>
      </c>
    </row>
    <row r="308" spans="1:12" ht="17.649999999999999" customHeight="1" x14ac:dyDescent="0.3">
      <c r="A308" s="5">
        <v>46113</v>
      </c>
      <c r="B308" s="6" t="s">
        <v>50</v>
      </c>
      <c r="C308" s="6" t="s">
        <v>54</v>
      </c>
      <c r="D308" s="5">
        <v>46113</v>
      </c>
      <c r="E308" s="6" t="s">
        <v>14</v>
      </c>
      <c r="F308" s="7">
        <v>434</v>
      </c>
      <c r="G308" s="7">
        <v>124127.5161290323</v>
      </c>
      <c r="H308" s="7">
        <v>53871342</v>
      </c>
      <c r="I308" s="7">
        <v>19441792</v>
      </c>
      <c r="J308" s="7">
        <v>0</v>
      </c>
      <c r="K308">
        <f t="shared" si="4"/>
        <v>0</v>
      </c>
      <c r="L308" s="8" t="str" cm="1">
        <f t="array" ref="L308">_xlfn.IFS(
 AND(K308&gt;=89,K308&lt;=92),"3개월",
 AND(K308&gt;=58,K308&lt;=62),"2개월",
 AND(K308&gt;=28,K308&lt;=32),"1개월",
 AND(K308=0),"당월",
 TRUE,"그외"
)</f>
        <v>당월</v>
      </c>
    </row>
    <row r="309" spans="1:12" ht="17.649999999999999" customHeight="1" x14ac:dyDescent="0.3">
      <c r="A309" s="5">
        <v>46113</v>
      </c>
      <c r="B309" s="6" t="s">
        <v>50</v>
      </c>
      <c r="C309" s="6" t="s">
        <v>54</v>
      </c>
      <c r="D309" s="5">
        <v>46113</v>
      </c>
      <c r="E309" s="6" t="s">
        <v>15</v>
      </c>
      <c r="F309" s="7">
        <v>1341</v>
      </c>
      <c r="G309" s="7">
        <v>136544.0477255779</v>
      </c>
      <c r="H309" s="7">
        <v>183105568</v>
      </c>
      <c r="I309" s="7">
        <v>68624398</v>
      </c>
      <c r="J309" s="7">
        <v>0</v>
      </c>
      <c r="K309">
        <f t="shared" si="4"/>
        <v>0</v>
      </c>
      <c r="L309" s="8" t="str" cm="1">
        <f t="array" ref="L309">_xlfn.IFS(
 AND(K309&gt;=89,K309&lt;=92),"3개월",
 AND(K309&gt;=58,K309&lt;=62),"2개월",
 AND(K309&gt;=28,K309&lt;=32),"1개월",
 AND(K309=0),"당월",
 TRUE,"그외"
)</f>
        <v>당월</v>
      </c>
    </row>
    <row r="310" spans="1:12" ht="17.649999999999999" customHeight="1" x14ac:dyDescent="0.3">
      <c r="A310" s="5">
        <v>46113</v>
      </c>
      <c r="B310" s="6" t="s">
        <v>50</v>
      </c>
      <c r="C310" s="6" t="s">
        <v>55</v>
      </c>
      <c r="D310" s="5">
        <v>46082</v>
      </c>
      <c r="E310" s="6" t="s">
        <v>14</v>
      </c>
      <c r="F310" s="7">
        <v>378</v>
      </c>
      <c r="G310" s="7">
        <v>251964</v>
      </c>
      <c r="H310" s="7">
        <v>95242392</v>
      </c>
      <c r="I310" s="7">
        <v>0</v>
      </c>
      <c r="J310" s="7">
        <v>0</v>
      </c>
      <c r="K310">
        <f t="shared" si="4"/>
        <v>31</v>
      </c>
      <c r="L310" s="8" t="str" cm="1">
        <f t="array" ref="L310">_xlfn.IFS(
 AND(K310&gt;=89,K310&lt;=92),"3개월",
 AND(K310&gt;=58,K310&lt;=62),"2개월",
 AND(K310&gt;=28,K310&lt;=32),"1개월",
 AND(K310=0),"당월",
 TRUE,"그외"
)</f>
        <v>1개월</v>
      </c>
    </row>
    <row r="311" spans="1:12" ht="17.649999999999999" customHeight="1" x14ac:dyDescent="0.3">
      <c r="A311" s="5">
        <v>46113</v>
      </c>
      <c r="B311" s="6" t="s">
        <v>50</v>
      </c>
      <c r="C311" s="6" t="s">
        <v>56</v>
      </c>
      <c r="D311" s="5">
        <v>45962</v>
      </c>
      <c r="E311" s="6" t="s">
        <v>15</v>
      </c>
      <c r="F311" s="7">
        <v>57</v>
      </c>
      <c r="G311" s="7">
        <v>200803.4736842105</v>
      </c>
      <c r="H311" s="7">
        <v>11445798</v>
      </c>
      <c r="I311" s="7">
        <v>1855882</v>
      </c>
      <c r="J311" s="7">
        <v>0</v>
      </c>
      <c r="K311">
        <f t="shared" si="4"/>
        <v>151</v>
      </c>
      <c r="L311" s="8" t="str" cm="1">
        <f t="array" ref="L311">_xlfn.IFS(
 AND(K311&gt;=89,K311&lt;=92),"3개월",
 AND(K311&gt;=58,K311&lt;=62),"2개월",
 AND(K311&gt;=28,K311&lt;=32),"1개월",
 AND(K311=0),"당월",
 TRUE,"그외"
)</f>
        <v>그외</v>
      </c>
    </row>
    <row r="312" spans="1:12" ht="17.649999999999999" customHeight="1" x14ac:dyDescent="0.3">
      <c r="A312" s="5">
        <v>46113</v>
      </c>
      <c r="B312" s="6" t="s">
        <v>50</v>
      </c>
      <c r="C312" s="6" t="s">
        <v>56</v>
      </c>
      <c r="D312" s="5">
        <v>45992</v>
      </c>
      <c r="E312" s="6" t="s">
        <v>15</v>
      </c>
      <c r="F312" s="7">
        <v>180</v>
      </c>
      <c r="G312" s="7">
        <v>184888.37222222221</v>
      </c>
      <c r="H312" s="7">
        <v>33279907</v>
      </c>
      <c r="I312" s="7">
        <v>5216301</v>
      </c>
      <c r="J312" s="7">
        <v>0</v>
      </c>
      <c r="K312">
        <f t="shared" si="4"/>
        <v>121</v>
      </c>
      <c r="L312" s="8" t="str" cm="1">
        <f t="array" ref="L312">_xlfn.IFS(
 AND(K312&gt;=89,K312&lt;=92),"3개월",
 AND(K312&gt;=58,K312&lt;=62),"2개월",
 AND(K312&gt;=28,K312&lt;=32),"1개월",
 AND(K312=0),"당월",
 TRUE,"그외"
)</f>
        <v>그외</v>
      </c>
    </row>
    <row r="313" spans="1:12" ht="17.649999999999999" customHeight="1" x14ac:dyDescent="0.3">
      <c r="A313" s="5">
        <v>46113</v>
      </c>
      <c r="B313" s="6" t="s">
        <v>50</v>
      </c>
      <c r="C313" s="6" t="s">
        <v>56</v>
      </c>
      <c r="D313" s="5">
        <v>46023</v>
      </c>
      <c r="E313" s="6" t="s">
        <v>14</v>
      </c>
      <c r="F313" s="7">
        <v>18</v>
      </c>
      <c r="G313" s="7">
        <v>141723.33333333331</v>
      </c>
      <c r="H313" s="7">
        <v>2551020</v>
      </c>
      <c r="I313" s="7">
        <v>748260</v>
      </c>
      <c r="J313" s="7">
        <v>0</v>
      </c>
      <c r="K313">
        <f t="shared" si="4"/>
        <v>90</v>
      </c>
      <c r="L313" s="8" t="str" cm="1">
        <f t="array" ref="L313">_xlfn.IFS(
 AND(K313&gt;=89,K313&lt;=92),"3개월",
 AND(K313&gt;=58,K313&lt;=62),"2개월",
 AND(K313&gt;=28,K313&lt;=32),"1개월",
 AND(K313=0),"당월",
 TRUE,"그외"
)</f>
        <v>3개월</v>
      </c>
    </row>
    <row r="314" spans="1:12" ht="17.649999999999999" customHeight="1" x14ac:dyDescent="0.3">
      <c r="A314" s="5">
        <v>46113</v>
      </c>
      <c r="B314" s="6" t="s">
        <v>50</v>
      </c>
      <c r="C314" s="6" t="s">
        <v>56</v>
      </c>
      <c r="D314" s="5">
        <v>46023</v>
      </c>
      <c r="E314" s="6" t="s">
        <v>15</v>
      </c>
      <c r="F314" s="7">
        <v>387</v>
      </c>
      <c r="G314" s="7">
        <v>212304.95348837209</v>
      </c>
      <c r="H314" s="7">
        <v>82162017</v>
      </c>
      <c r="I314" s="7">
        <v>11780452</v>
      </c>
      <c r="J314" s="7">
        <v>0</v>
      </c>
      <c r="K314">
        <f t="shared" si="4"/>
        <v>90</v>
      </c>
      <c r="L314" s="8" t="str" cm="1">
        <f t="array" ref="L314">_xlfn.IFS(
 AND(K314&gt;=89,K314&lt;=92),"3개월",
 AND(K314&gt;=58,K314&lt;=62),"2개월",
 AND(K314&gt;=28,K314&lt;=32),"1개월",
 AND(K314=0),"당월",
 TRUE,"그외"
)</f>
        <v>3개월</v>
      </c>
    </row>
    <row r="315" spans="1:12" ht="17.649999999999999" customHeight="1" x14ac:dyDescent="0.3">
      <c r="A315" s="5">
        <v>46113</v>
      </c>
      <c r="B315" s="6" t="s">
        <v>50</v>
      </c>
      <c r="C315" s="6" t="s">
        <v>56</v>
      </c>
      <c r="D315" s="5">
        <v>46054</v>
      </c>
      <c r="E315" s="6" t="s">
        <v>14</v>
      </c>
      <c r="F315" s="7">
        <v>6</v>
      </c>
      <c r="G315" s="7">
        <v>158168</v>
      </c>
      <c r="H315" s="7">
        <v>949008</v>
      </c>
      <c r="I315" s="7">
        <v>251208</v>
      </c>
      <c r="J315" s="7">
        <v>0</v>
      </c>
      <c r="K315">
        <f t="shared" si="4"/>
        <v>59</v>
      </c>
      <c r="L315" s="8" t="str" cm="1">
        <f t="array" ref="L315">_xlfn.IFS(
 AND(K315&gt;=89,K315&lt;=92),"3개월",
 AND(K315&gt;=58,K315&lt;=62),"2개월",
 AND(K315&gt;=28,K315&lt;=32),"1개월",
 AND(K315=0),"당월",
 TRUE,"그외"
)</f>
        <v>2개월</v>
      </c>
    </row>
    <row r="316" spans="1:12" ht="17.649999999999999" customHeight="1" x14ac:dyDescent="0.3">
      <c r="A316" s="5">
        <v>46113</v>
      </c>
      <c r="B316" s="6" t="s">
        <v>50</v>
      </c>
      <c r="C316" s="6" t="s">
        <v>56</v>
      </c>
      <c r="D316" s="5">
        <v>46054</v>
      </c>
      <c r="E316" s="6" t="s">
        <v>15</v>
      </c>
      <c r="F316" s="7">
        <v>1067</v>
      </c>
      <c r="G316" s="7">
        <v>176126.75445173381</v>
      </c>
      <c r="H316" s="7">
        <v>187927247</v>
      </c>
      <c r="I316" s="7">
        <v>28885289</v>
      </c>
      <c r="J316" s="7">
        <v>0</v>
      </c>
      <c r="K316">
        <f t="shared" si="4"/>
        <v>59</v>
      </c>
      <c r="L316" s="8" t="str" cm="1">
        <f t="array" ref="L316">_xlfn.IFS(
 AND(K316&gt;=89,K316&lt;=92),"3개월",
 AND(K316&gt;=58,K316&lt;=62),"2개월",
 AND(K316&gt;=28,K316&lt;=32),"1개월",
 AND(K316=0),"당월",
 TRUE,"그외"
)</f>
        <v>2개월</v>
      </c>
    </row>
    <row r="317" spans="1:12" ht="17.649999999999999" customHeight="1" x14ac:dyDescent="0.3">
      <c r="A317" s="5">
        <v>46113</v>
      </c>
      <c r="B317" s="6" t="s">
        <v>50</v>
      </c>
      <c r="C317" s="6" t="s">
        <v>56</v>
      </c>
      <c r="D317" s="5">
        <v>46082</v>
      </c>
      <c r="E317" s="6" t="s">
        <v>14</v>
      </c>
      <c r="F317" s="7">
        <v>473</v>
      </c>
      <c r="G317" s="7">
        <v>138885.18816067651</v>
      </c>
      <c r="H317" s="7">
        <v>65692694</v>
      </c>
      <c r="I317" s="7">
        <v>16511332</v>
      </c>
      <c r="J317" s="7">
        <v>0</v>
      </c>
      <c r="K317">
        <f t="shared" si="4"/>
        <v>31</v>
      </c>
      <c r="L317" s="8" t="str" cm="1">
        <f t="array" ref="L317">_xlfn.IFS(
 AND(K317&gt;=89,K317&lt;=92),"3개월",
 AND(K317&gt;=58,K317&lt;=62),"2개월",
 AND(K317&gt;=28,K317&lt;=32),"1개월",
 AND(K317=0),"당월",
 TRUE,"그외"
)</f>
        <v>1개월</v>
      </c>
    </row>
    <row r="318" spans="1:12" ht="17.649999999999999" customHeight="1" x14ac:dyDescent="0.3">
      <c r="A318" s="5">
        <v>46113</v>
      </c>
      <c r="B318" s="6" t="s">
        <v>50</v>
      </c>
      <c r="C318" s="6" t="s">
        <v>56</v>
      </c>
      <c r="D318" s="5">
        <v>46082</v>
      </c>
      <c r="E318" s="6" t="s">
        <v>15</v>
      </c>
      <c r="F318" s="7">
        <v>3063</v>
      </c>
      <c r="G318" s="7">
        <v>163997.9389487431</v>
      </c>
      <c r="H318" s="7">
        <v>502325687</v>
      </c>
      <c r="I318" s="7">
        <v>80580184</v>
      </c>
      <c r="J318" s="7">
        <v>0</v>
      </c>
      <c r="K318">
        <f t="shared" si="4"/>
        <v>31</v>
      </c>
      <c r="L318" s="8" t="str" cm="1">
        <f t="array" ref="L318">_xlfn.IFS(
 AND(K318&gt;=89,K318&lt;=92),"3개월",
 AND(K318&gt;=58,K318&lt;=62),"2개월",
 AND(K318&gt;=28,K318&lt;=32),"1개월",
 AND(K318=0),"당월",
 TRUE,"그외"
)</f>
        <v>1개월</v>
      </c>
    </row>
    <row r="319" spans="1:12" ht="17.649999999999999" customHeight="1" x14ac:dyDescent="0.3">
      <c r="A319" s="5">
        <v>46113</v>
      </c>
      <c r="B319" s="6" t="s">
        <v>50</v>
      </c>
      <c r="C319" s="6" t="s">
        <v>56</v>
      </c>
      <c r="D319" s="5">
        <v>46113</v>
      </c>
      <c r="E319" s="6" t="s">
        <v>14</v>
      </c>
      <c r="F319" s="7">
        <v>74</v>
      </c>
      <c r="G319" s="7">
        <v>138886.01351351349</v>
      </c>
      <c r="H319" s="7">
        <v>10277565</v>
      </c>
      <c r="I319" s="7">
        <v>3405960</v>
      </c>
      <c r="J319" s="7">
        <v>0</v>
      </c>
      <c r="K319">
        <f t="shared" si="4"/>
        <v>0</v>
      </c>
      <c r="L319" s="8" t="str" cm="1">
        <f t="array" ref="L319">_xlfn.IFS(
 AND(K319&gt;=89,K319&lt;=92),"3개월",
 AND(K319&gt;=58,K319&lt;=62),"2개월",
 AND(K319&gt;=28,K319&lt;=32),"1개월",
 AND(K319=0),"당월",
 TRUE,"그외"
)</f>
        <v>당월</v>
      </c>
    </row>
    <row r="320" spans="1:12" ht="17.649999999999999" customHeight="1" x14ac:dyDescent="0.3">
      <c r="A320" s="5">
        <v>46113</v>
      </c>
      <c r="B320" s="6" t="s">
        <v>50</v>
      </c>
      <c r="C320" s="6" t="s">
        <v>56</v>
      </c>
      <c r="D320" s="5">
        <v>46113</v>
      </c>
      <c r="E320" s="6" t="s">
        <v>15</v>
      </c>
      <c r="F320" s="7">
        <v>546</v>
      </c>
      <c r="G320" s="7">
        <v>194498.1501831502</v>
      </c>
      <c r="H320" s="7">
        <v>106195990</v>
      </c>
      <c r="I320" s="7">
        <v>26315113</v>
      </c>
      <c r="J320" s="7">
        <v>0</v>
      </c>
      <c r="K320">
        <f t="shared" si="4"/>
        <v>0</v>
      </c>
      <c r="L320" s="8" t="str" cm="1">
        <f t="array" ref="L320">_xlfn.IFS(
 AND(K320&gt;=89,K320&lt;=92),"3개월",
 AND(K320&gt;=58,K320&lt;=62),"2개월",
 AND(K320&gt;=28,K320&lt;=32),"1개월",
 AND(K320=0),"당월",
 TRUE,"그외"
)</f>
        <v>당월</v>
      </c>
    </row>
    <row r="321" spans="1:12" ht="17.649999999999999" customHeight="1" x14ac:dyDescent="0.3">
      <c r="A321" s="5">
        <v>46113</v>
      </c>
      <c r="B321" s="6" t="s">
        <v>50</v>
      </c>
      <c r="C321" s="6" t="s">
        <v>57</v>
      </c>
      <c r="D321" s="5">
        <v>45962</v>
      </c>
      <c r="E321" s="6" t="s">
        <v>15</v>
      </c>
      <c r="F321" s="7">
        <v>222</v>
      </c>
      <c r="G321" s="7">
        <v>151487.9324324324</v>
      </c>
      <c r="H321" s="7">
        <v>33630321</v>
      </c>
      <c r="I321" s="7">
        <v>5411027</v>
      </c>
      <c r="J321" s="7">
        <v>0</v>
      </c>
      <c r="K321">
        <f t="shared" si="4"/>
        <v>151</v>
      </c>
      <c r="L321" s="8" t="str" cm="1">
        <f t="array" ref="L321">_xlfn.IFS(
 AND(K321&gt;=89,K321&lt;=92),"3개월",
 AND(K321&gt;=58,K321&lt;=62),"2개월",
 AND(K321&gt;=28,K321&lt;=32),"1개월",
 AND(K321=0),"당월",
 TRUE,"그외"
)</f>
        <v>그외</v>
      </c>
    </row>
    <row r="322" spans="1:12" ht="17.649999999999999" customHeight="1" x14ac:dyDescent="0.3">
      <c r="A322" s="5">
        <v>46113</v>
      </c>
      <c r="B322" s="6" t="s">
        <v>50</v>
      </c>
      <c r="C322" s="6" t="s">
        <v>57</v>
      </c>
      <c r="D322" s="5">
        <v>45992</v>
      </c>
      <c r="E322" s="6" t="s">
        <v>15</v>
      </c>
      <c r="F322" s="7">
        <v>400</v>
      </c>
      <c r="G322" s="7">
        <v>165142.95000000001</v>
      </c>
      <c r="H322" s="7">
        <v>66057180</v>
      </c>
      <c r="I322" s="7">
        <v>10565123</v>
      </c>
      <c r="J322" s="7">
        <v>0</v>
      </c>
      <c r="K322">
        <f t="shared" si="4"/>
        <v>121</v>
      </c>
      <c r="L322" s="8" t="str" cm="1">
        <f t="array" ref="L322">_xlfn.IFS(
 AND(K322&gt;=89,K322&lt;=92),"3개월",
 AND(K322&gt;=58,K322&lt;=62),"2개월",
 AND(K322&gt;=28,K322&lt;=32),"1개월",
 AND(K322=0),"당월",
 TRUE,"그외"
)</f>
        <v>그외</v>
      </c>
    </row>
    <row r="323" spans="1:12" ht="17.649999999999999" customHeight="1" x14ac:dyDescent="0.3">
      <c r="A323" s="5">
        <v>46113</v>
      </c>
      <c r="B323" s="6" t="s">
        <v>50</v>
      </c>
      <c r="C323" s="6" t="s">
        <v>57</v>
      </c>
      <c r="D323" s="5">
        <v>46023</v>
      </c>
      <c r="E323" s="6" t="s">
        <v>14</v>
      </c>
      <c r="F323" s="7">
        <v>20</v>
      </c>
      <c r="G323" s="7">
        <v>144870.39999999999</v>
      </c>
      <c r="H323" s="7">
        <v>2897408</v>
      </c>
      <c r="I323" s="7">
        <v>833868</v>
      </c>
      <c r="J323" s="7">
        <v>0</v>
      </c>
      <c r="K323">
        <f t="shared" si="4"/>
        <v>90</v>
      </c>
      <c r="L323" s="8" t="str" cm="1">
        <f t="array" ref="L323">_xlfn.IFS(
 AND(K323&gt;=89,K323&lt;=92),"3개월",
 AND(K323&gt;=58,K323&lt;=62),"2개월",
 AND(K323&gt;=28,K323&lt;=32),"1개월",
 AND(K323=0),"당월",
 TRUE,"그외"
)</f>
        <v>3개월</v>
      </c>
    </row>
    <row r="324" spans="1:12" ht="17.649999999999999" customHeight="1" x14ac:dyDescent="0.3">
      <c r="A324" s="5">
        <v>46113</v>
      </c>
      <c r="B324" s="6" t="s">
        <v>50</v>
      </c>
      <c r="C324" s="6" t="s">
        <v>57</v>
      </c>
      <c r="D324" s="5">
        <v>46023</v>
      </c>
      <c r="E324" s="6" t="s">
        <v>15</v>
      </c>
      <c r="F324" s="7">
        <v>626</v>
      </c>
      <c r="G324" s="7">
        <v>205570.96485623001</v>
      </c>
      <c r="H324" s="7">
        <v>128687424</v>
      </c>
      <c r="I324" s="7">
        <v>16918550</v>
      </c>
      <c r="J324" s="7">
        <v>0</v>
      </c>
      <c r="K324">
        <f t="shared" si="4"/>
        <v>90</v>
      </c>
      <c r="L324" s="8" t="str" cm="1">
        <f t="array" ref="L324">_xlfn.IFS(
 AND(K324&gt;=89,K324&lt;=92),"3개월",
 AND(K324&gt;=58,K324&lt;=62),"2개월",
 AND(K324&gt;=28,K324&lt;=32),"1개월",
 AND(K324=0),"당월",
 TRUE,"그외"
)</f>
        <v>3개월</v>
      </c>
    </row>
    <row r="325" spans="1:12" ht="17.649999999999999" customHeight="1" x14ac:dyDescent="0.3">
      <c r="A325" s="5">
        <v>46113</v>
      </c>
      <c r="B325" s="6" t="s">
        <v>50</v>
      </c>
      <c r="C325" s="6" t="s">
        <v>57</v>
      </c>
      <c r="D325" s="5">
        <v>46054</v>
      </c>
      <c r="E325" s="6" t="s">
        <v>14</v>
      </c>
      <c r="F325" s="7">
        <v>116</v>
      </c>
      <c r="G325" s="7">
        <v>132049.72413793101</v>
      </c>
      <c r="H325" s="7">
        <v>15317768</v>
      </c>
      <c r="I325" s="7">
        <v>1759968</v>
      </c>
      <c r="J325" s="7">
        <v>0</v>
      </c>
      <c r="K325">
        <f t="shared" si="4"/>
        <v>59</v>
      </c>
      <c r="L325" s="8" t="str" cm="1">
        <f t="array" ref="L325">_xlfn.IFS(
 AND(K325&gt;=89,K325&lt;=92),"3개월",
 AND(K325&gt;=58,K325&lt;=62),"2개월",
 AND(K325&gt;=28,K325&lt;=32),"1개월",
 AND(K325=0),"당월",
 TRUE,"그외"
)</f>
        <v>2개월</v>
      </c>
    </row>
    <row r="326" spans="1:12" ht="17.649999999999999" customHeight="1" x14ac:dyDescent="0.3">
      <c r="A326" s="5">
        <v>46113</v>
      </c>
      <c r="B326" s="6" t="s">
        <v>50</v>
      </c>
      <c r="C326" s="6" t="s">
        <v>57</v>
      </c>
      <c r="D326" s="5">
        <v>46054</v>
      </c>
      <c r="E326" s="6" t="s">
        <v>15</v>
      </c>
      <c r="F326" s="7">
        <v>1390</v>
      </c>
      <c r="G326" s="7">
        <v>163759.94532374101</v>
      </c>
      <c r="H326" s="7">
        <v>227626324</v>
      </c>
      <c r="I326" s="7">
        <v>31394905</v>
      </c>
      <c r="J326" s="7">
        <v>0</v>
      </c>
      <c r="K326">
        <f t="shared" si="4"/>
        <v>59</v>
      </c>
      <c r="L326" s="8" t="str" cm="1">
        <f t="array" ref="L326">_xlfn.IFS(
 AND(K326&gt;=89,K326&lt;=92),"3개월",
 AND(K326&gt;=58,K326&lt;=62),"2개월",
 AND(K326&gt;=28,K326&lt;=32),"1개월",
 AND(K326=0),"당월",
 TRUE,"그외"
)</f>
        <v>2개월</v>
      </c>
    </row>
    <row r="327" spans="1:12" ht="17.649999999999999" customHeight="1" x14ac:dyDescent="0.3">
      <c r="A327" s="5">
        <v>46113</v>
      </c>
      <c r="B327" s="6" t="s">
        <v>50</v>
      </c>
      <c r="C327" s="6" t="s">
        <v>57</v>
      </c>
      <c r="D327" s="5">
        <v>46082</v>
      </c>
      <c r="E327" s="6" t="s">
        <v>14</v>
      </c>
      <c r="F327" s="7">
        <v>1546</v>
      </c>
      <c r="G327" s="7">
        <v>149019.63777490301</v>
      </c>
      <c r="H327" s="7">
        <v>230384360</v>
      </c>
      <c r="I327" s="7">
        <v>47721932</v>
      </c>
      <c r="J327" s="7">
        <v>0</v>
      </c>
      <c r="K327">
        <f t="shared" si="4"/>
        <v>31</v>
      </c>
      <c r="L327" s="8" t="str" cm="1">
        <f t="array" ref="L327">_xlfn.IFS(
 AND(K327&gt;=89,K327&lt;=92),"3개월",
 AND(K327&gt;=58,K327&lt;=62),"2개월",
 AND(K327&gt;=28,K327&lt;=32),"1개월",
 AND(K327=0),"당월",
 TRUE,"그외"
)</f>
        <v>1개월</v>
      </c>
    </row>
    <row r="328" spans="1:12" ht="17.649999999999999" customHeight="1" x14ac:dyDescent="0.3">
      <c r="A328" s="5">
        <v>46113</v>
      </c>
      <c r="B328" s="6" t="s">
        <v>50</v>
      </c>
      <c r="C328" s="6" t="s">
        <v>57</v>
      </c>
      <c r="D328" s="5">
        <v>46082</v>
      </c>
      <c r="E328" s="6" t="s">
        <v>15</v>
      </c>
      <c r="F328" s="7">
        <v>4097</v>
      </c>
      <c r="G328" s="7">
        <v>153180.93922382229</v>
      </c>
      <c r="H328" s="7">
        <v>627582308</v>
      </c>
      <c r="I328" s="7">
        <v>98982451</v>
      </c>
      <c r="J328" s="7">
        <v>0</v>
      </c>
      <c r="K328">
        <f t="shared" si="4"/>
        <v>31</v>
      </c>
      <c r="L328" s="8" t="str" cm="1">
        <f t="array" ref="L328">_xlfn.IFS(
 AND(K328&gt;=89,K328&lt;=92),"3개월",
 AND(K328&gt;=58,K328&lt;=62),"2개월",
 AND(K328&gt;=28,K328&lt;=32),"1개월",
 AND(K328=0),"당월",
 TRUE,"그외"
)</f>
        <v>1개월</v>
      </c>
    </row>
    <row r="329" spans="1:12" ht="17.649999999999999" customHeight="1" x14ac:dyDescent="0.3">
      <c r="A329" s="5">
        <v>46113</v>
      </c>
      <c r="B329" s="6" t="s">
        <v>50</v>
      </c>
      <c r="C329" s="6" t="s">
        <v>57</v>
      </c>
      <c r="D329" s="5">
        <v>46113</v>
      </c>
      <c r="E329" s="6" t="s">
        <v>14</v>
      </c>
      <c r="F329" s="7">
        <v>214</v>
      </c>
      <c r="G329" s="7">
        <v>131693.91588785051</v>
      </c>
      <c r="H329" s="7">
        <v>28182498</v>
      </c>
      <c r="I329" s="7">
        <v>9461210</v>
      </c>
      <c r="J329" s="7">
        <v>0</v>
      </c>
      <c r="K329">
        <f t="shared" si="4"/>
        <v>0</v>
      </c>
      <c r="L329" s="8" t="str" cm="1">
        <f t="array" ref="L329">_xlfn.IFS(
 AND(K329&gt;=89,K329&lt;=92),"3개월",
 AND(K329&gt;=58,K329&lt;=62),"2개월",
 AND(K329&gt;=28,K329&lt;=32),"1개월",
 AND(K329=0),"당월",
 TRUE,"그외"
)</f>
        <v>당월</v>
      </c>
    </row>
    <row r="330" spans="1:12" ht="17.649999999999999" customHeight="1" x14ac:dyDescent="0.3">
      <c r="A330" s="5">
        <v>46113</v>
      </c>
      <c r="B330" s="6" t="s">
        <v>50</v>
      </c>
      <c r="C330" s="6" t="s">
        <v>57</v>
      </c>
      <c r="D330" s="5">
        <v>46113</v>
      </c>
      <c r="E330" s="6" t="s">
        <v>15</v>
      </c>
      <c r="F330" s="7">
        <v>1658</v>
      </c>
      <c r="G330" s="7">
        <v>166694.7750301568</v>
      </c>
      <c r="H330" s="7">
        <v>276379937</v>
      </c>
      <c r="I330" s="7">
        <v>83923972</v>
      </c>
      <c r="J330" s="7">
        <v>0</v>
      </c>
      <c r="K330">
        <f t="shared" ref="K330:K393" si="5">A330-D330</f>
        <v>0</v>
      </c>
      <c r="L330" s="8" t="str" cm="1">
        <f t="array" ref="L330">_xlfn.IFS(
 AND(K330&gt;=89,K330&lt;=92),"3개월",
 AND(K330&gt;=58,K330&lt;=62),"2개월",
 AND(K330&gt;=28,K330&lt;=32),"1개월",
 AND(K330=0),"당월",
 TRUE,"그외"
)</f>
        <v>당월</v>
      </c>
    </row>
    <row r="331" spans="1:12" ht="17.649999999999999" customHeight="1" x14ac:dyDescent="0.3">
      <c r="A331" s="5">
        <v>46113</v>
      </c>
      <c r="B331" s="6" t="s">
        <v>50</v>
      </c>
      <c r="C331" s="6" t="s">
        <v>58</v>
      </c>
      <c r="D331" s="5">
        <v>46023</v>
      </c>
      <c r="E331" s="6" t="s">
        <v>15</v>
      </c>
      <c r="F331" s="7">
        <v>822</v>
      </c>
      <c r="G331" s="7">
        <v>184370.9306569343</v>
      </c>
      <c r="H331" s="7">
        <v>151552905</v>
      </c>
      <c r="I331" s="7">
        <v>23087311</v>
      </c>
      <c r="J331" s="7">
        <v>0</v>
      </c>
      <c r="K331">
        <f t="shared" si="5"/>
        <v>90</v>
      </c>
      <c r="L331" s="8" t="str" cm="1">
        <f t="array" ref="L331">_xlfn.IFS(
 AND(K331&gt;=89,K331&lt;=92),"3개월",
 AND(K331&gt;=58,K331&lt;=62),"2개월",
 AND(K331&gt;=28,K331&lt;=32),"1개월",
 AND(K331=0),"당월",
 TRUE,"그외"
)</f>
        <v>3개월</v>
      </c>
    </row>
    <row r="332" spans="1:12" ht="17.649999999999999" customHeight="1" x14ac:dyDescent="0.3">
      <c r="A332" s="5">
        <v>46113</v>
      </c>
      <c r="B332" s="6" t="s">
        <v>50</v>
      </c>
      <c r="C332" s="6" t="s">
        <v>58</v>
      </c>
      <c r="D332" s="5">
        <v>46054</v>
      </c>
      <c r="E332" s="6" t="s">
        <v>15</v>
      </c>
      <c r="F332" s="7">
        <v>1626</v>
      </c>
      <c r="G332" s="7">
        <v>175520.78659286589</v>
      </c>
      <c r="H332" s="7">
        <v>285396799</v>
      </c>
      <c r="I332" s="7">
        <v>43903886</v>
      </c>
      <c r="J332" s="7">
        <v>0</v>
      </c>
      <c r="K332">
        <f t="shared" si="5"/>
        <v>59</v>
      </c>
      <c r="L332" s="8" t="str" cm="1">
        <f t="array" ref="L332">_xlfn.IFS(
 AND(K332&gt;=89,K332&lt;=92),"3개월",
 AND(K332&gt;=58,K332&lt;=62),"2개월",
 AND(K332&gt;=28,K332&lt;=32),"1개월",
 AND(K332=0),"당월",
 TRUE,"그외"
)</f>
        <v>2개월</v>
      </c>
    </row>
    <row r="333" spans="1:12" ht="17.649999999999999" customHeight="1" x14ac:dyDescent="0.3">
      <c r="A333" s="5">
        <v>46113</v>
      </c>
      <c r="B333" s="6" t="s">
        <v>50</v>
      </c>
      <c r="C333" s="6" t="s">
        <v>58</v>
      </c>
      <c r="D333" s="5">
        <v>46082</v>
      </c>
      <c r="E333" s="6" t="s">
        <v>14</v>
      </c>
      <c r="F333" s="7">
        <v>1684</v>
      </c>
      <c r="G333" s="7">
        <v>157201.17399049879</v>
      </c>
      <c r="H333" s="7">
        <v>264726777</v>
      </c>
      <c r="I333" s="7">
        <v>67782495</v>
      </c>
      <c r="J333" s="7">
        <v>0</v>
      </c>
      <c r="K333">
        <f t="shared" si="5"/>
        <v>31</v>
      </c>
      <c r="L333" s="8" t="str" cm="1">
        <f t="array" ref="L333">_xlfn.IFS(
 AND(K333&gt;=89,K333&lt;=92),"3개월",
 AND(K333&gt;=58,K333&lt;=62),"2개월",
 AND(K333&gt;=28,K333&lt;=32),"1개월",
 AND(K333=0),"당월",
 TRUE,"그외"
)</f>
        <v>1개월</v>
      </c>
    </row>
    <row r="334" spans="1:12" ht="17.649999999999999" customHeight="1" x14ac:dyDescent="0.3">
      <c r="A334" s="5">
        <v>46113</v>
      </c>
      <c r="B334" s="6" t="s">
        <v>50</v>
      </c>
      <c r="C334" s="6" t="s">
        <v>58</v>
      </c>
      <c r="D334" s="5">
        <v>46082</v>
      </c>
      <c r="E334" s="6" t="s">
        <v>15</v>
      </c>
      <c r="F334" s="7">
        <v>3744</v>
      </c>
      <c r="G334" s="7">
        <v>145139.13060897429</v>
      </c>
      <c r="H334" s="7">
        <v>543400905</v>
      </c>
      <c r="I334" s="7">
        <v>110420249</v>
      </c>
      <c r="J334" s="7">
        <v>0</v>
      </c>
      <c r="K334">
        <f t="shared" si="5"/>
        <v>31</v>
      </c>
      <c r="L334" s="8" t="str" cm="1">
        <f t="array" ref="L334">_xlfn.IFS(
 AND(K334&gt;=89,K334&lt;=92),"3개월",
 AND(K334&gt;=58,K334&lt;=62),"2개월",
 AND(K334&gt;=28,K334&lt;=32),"1개월",
 AND(K334=0),"당월",
 TRUE,"그외"
)</f>
        <v>1개월</v>
      </c>
    </row>
    <row r="335" spans="1:12" ht="17.649999999999999" customHeight="1" x14ac:dyDescent="0.3">
      <c r="A335" s="5">
        <v>46113</v>
      </c>
      <c r="B335" s="6" t="s">
        <v>50</v>
      </c>
      <c r="C335" s="6" t="s">
        <v>58</v>
      </c>
      <c r="D335" s="5">
        <v>46113</v>
      </c>
      <c r="E335" s="6" t="s">
        <v>14</v>
      </c>
      <c r="F335" s="7">
        <v>263</v>
      </c>
      <c r="G335" s="7">
        <v>152661.2851711027</v>
      </c>
      <c r="H335" s="7">
        <v>40149918</v>
      </c>
      <c r="I335" s="7">
        <v>11053505</v>
      </c>
      <c r="J335" s="7">
        <v>0</v>
      </c>
      <c r="K335">
        <f t="shared" si="5"/>
        <v>0</v>
      </c>
      <c r="L335" s="8" t="str" cm="1">
        <f t="array" ref="L335">_xlfn.IFS(
 AND(K335&gt;=89,K335&lt;=92),"3개월",
 AND(K335&gt;=58,K335&lt;=62),"2개월",
 AND(K335&gt;=28,K335&lt;=32),"1개월",
 AND(K335=0),"당월",
 TRUE,"그외"
)</f>
        <v>당월</v>
      </c>
    </row>
    <row r="336" spans="1:12" ht="17.649999999999999" customHeight="1" x14ac:dyDescent="0.3">
      <c r="A336" s="5">
        <v>46113</v>
      </c>
      <c r="B336" s="6" t="s">
        <v>50</v>
      </c>
      <c r="C336" s="6" t="s">
        <v>58</v>
      </c>
      <c r="D336" s="5">
        <v>46113</v>
      </c>
      <c r="E336" s="6" t="s">
        <v>15</v>
      </c>
      <c r="F336" s="7">
        <v>1069</v>
      </c>
      <c r="G336" s="7">
        <v>143583.46679139379</v>
      </c>
      <c r="H336" s="7">
        <v>153490726</v>
      </c>
      <c r="I336" s="7">
        <v>52225268</v>
      </c>
      <c r="J336" s="7">
        <v>0</v>
      </c>
      <c r="K336">
        <f t="shared" si="5"/>
        <v>0</v>
      </c>
      <c r="L336" s="8" t="str" cm="1">
        <f t="array" ref="L336">_xlfn.IFS(
 AND(K336&gt;=89,K336&lt;=92),"3개월",
 AND(K336&gt;=58,K336&lt;=62),"2개월",
 AND(K336&gt;=28,K336&lt;=32),"1개월",
 AND(K336=0),"당월",
 TRUE,"그외"
)</f>
        <v>당월</v>
      </c>
    </row>
    <row r="337" spans="1:12" ht="17.649999999999999" customHeight="1" x14ac:dyDescent="0.3">
      <c r="A337" s="5">
        <v>46113</v>
      </c>
      <c r="B337" s="6" t="s">
        <v>50</v>
      </c>
      <c r="C337" s="6" t="s">
        <v>59</v>
      </c>
      <c r="D337" s="5">
        <v>45962</v>
      </c>
      <c r="E337" s="6" t="s">
        <v>15</v>
      </c>
      <c r="F337" s="7">
        <v>145</v>
      </c>
      <c r="G337" s="7">
        <v>185252.86206896551</v>
      </c>
      <c r="H337" s="7">
        <v>26861665</v>
      </c>
      <c r="I337" s="7">
        <v>4479285</v>
      </c>
      <c r="J337" s="7">
        <v>0</v>
      </c>
      <c r="K337">
        <f t="shared" si="5"/>
        <v>151</v>
      </c>
      <c r="L337" s="8" t="str" cm="1">
        <f t="array" ref="L337">_xlfn.IFS(
 AND(K337&gt;=89,K337&lt;=92),"3개월",
 AND(K337&gt;=58,K337&lt;=62),"2개월",
 AND(K337&gt;=28,K337&lt;=32),"1개월",
 AND(K337=0),"당월",
 TRUE,"그외"
)</f>
        <v>그외</v>
      </c>
    </row>
    <row r="338" spans="1:12" ht="17.649999999999999" customHeight="1" x14ac:dyDescent="0.3">
      <c r="A338" s="5">
        <v>46113</v>
      </c>
      <c r="B338" s="6" t="s">
        <v>50</v>
      </c>
      <c r="C338" s="6" t="s">
        <v>59</v>
      </c>
      <c r="D338" s="5">
        <v>45992</v>
      </c>
      <c r="E338" s="6" t="s">
        <v>15</v>
      </c>
      <c r="F338" s="7">
        <v>584</v>
      </c>
      <c r="G338" s="7">
        <v>185060.81678082189</v>
      </c>
      <c r="H338" s="7">
        <v>108075517</v>
      </c>
      <c r="I338" s="7">
        <v>19285272</v>
      </c>
      <c r="J338" s="7">
        <v>0</v>
      </c>
      <c r="K338">
        <f t="shared" si="5"/>
        <v>121</v>
      </c>
      <c r="L338" s="8" t="str" cm="1">
        <f t="array" ref="L338">_xlfn.IFS(
 AND(K338&gt;=89,K338&lt;=92),"3개월",
 AND(K338&gt;=58,K338&lt;=62),"2개월",
 AND(K338&gt;=28,K338&lt;=32),"1개월",
 AND(K338=0),"당월",
 TRUE,"그외"
)</f>
        <v>그외</v>
      </c>
    </row>
    <row r="339" spans="1:12" ht="17.649999999999999" customHeight="1" x14ac:dyDescent="0.3">
      <c r="A339" s="5">
        <v>46113</v>
      </c>
      <c r="B339" s="6" t="s">
        <v>50</v>
      </c>
      <c r="C339" s="6" t="s">
        <v>59</v>
      </c>
      <c r="D339" s="5">
        <v>46023</v>
      </c>
      <c r="E339" s="6" t="s">
        <v>14</v>
      </c>
      <c r="F339" s="7">
        <v>10</v>
      </c>
      <c r="G339" s="7">
        <v>160430.79999999999</v>
      </c>
      <c r="H339" s="7">
        <v>1604308</v>
      </c>
      <c r="I339" s="7">
        <v>418248</v>
      </c>
      <c r="J339" s="7">
        <v>0</v>
      </c>
      <c r="K339">
        <f t="shared" si="5"/>
        <v>90</v>
      </c>
      <c r="L339" s="8" t="str" cm="1">
        <f t="array" ref="L339">_xlfn.IFS(
 AND(K339&gt;=89,K339&lt;=92),"3개월",
 AND(K339&gt;=58,K339&lt;=62),"2개월",
 AND(K339&gt;=28,K339&lt;=32),"1개월",
 AND(K339=0),"당월",
 TRUE,"그외"
)</f>
        <v>3개월</v>
      </c>
    </row>
    <row r="340" spans="1:12" ht="17.649999999999999" customHeight="1" x14ac:dyDescent="0.3">
      <c r="A340" s="5">
        <v>46113</v>
      </c>
      <c r="B340" s="6" t="s">
        <v>50</v>
      </c>
      <c r="C340" s="6" t="s">
        <v>59</v>
      </c>
      <c r="D340" s="5">
        <v>46023</v>
      </c>
      <c r="E340" s="6" t="s">
        <v>15</v>
      </c>
      <c r="F340" s="7">
        <v>466</v>
      </c>
      <c r="G340" s="7">
        <v>252541.22103004291</v>
      </c>
      <c r="H340" s="7">
        <v>117684209</v>
      </c>
      <c r="I340" s="7">
        <v>15202525</v>
      </c>
      <c r="J340" s="7">
        <v>0</v>
      </c>
      <c r="K340">
        <f t="shared" si="5"/>
        <v>90</v>
      </c>
      <c r="L340" s="8" t="str" cm="1">
        <f t="array" ref="L340">_xlfn.IFS(
 AND(K340&gt;=89,K340&lt;=92),"3개월",
 AND(K340&gt;=58,K340&lt;=62),"2개월",
 AND(K340&gt;=28,K340&lt;=32),"1개월",
 AND(K340=0),"당월",
 TRUE,"그외"
)</f>
        <v>3개월</v>
      </c>
    </row>
    <row r="341" spans="1:12" ht="17.649999999999999" customHeight="1" x14ac:dyDescent="0.3">
      <c r="A341" s="5">
        <v>46113</v>
      </c>
      <c r="B341" s="6" t="s">
        <v>50</v>
      </c>
      <c r="C341" s="6" t="s">
        <v>59</v>
      </c>
      <c r="D341" s="5">
        <v>46054</v>
      </c>
      <c r="E341" s="6" t="s">
        <v>14</v>
      </c>
      <c r="F341" s="7">
        <v>261</v>
      </c>
      <c r="G341" s="7">
        <v>166796.62068965519</v>
      </c>
      <c r="H341" s="7">
        <v>43533918</v>
      </c>
      <c r="I341" s="7">
        <v>10863630</v>
      </c>
      <c r="J341" s="7">
        <v>0</v>
      </c>
      <c r="K341">
        <f t="shared" si="5"/>
        <v>59</v>
      </c>
      <c r="L341" s="8" t="str" cm="1">
        <f t="array" ref="L341">_xlfn.IFS(
 AND(K341&gt;=89,K341&lt;=92),"3개월",
 AND(K341&gt;=58,K341&lt;=62),"2개월",
 AND(K341&gt;=28,K341&lt;=32),"1개월",
 AND(K341=0),"당월",
 TRUE,"그외"
)</f>
        <v>2개월</v>
      </c>
    </row>
    <row r="342" spans="1:12" ht="17.649999999999999" customHeight="1" x14ac:dyDescent="0.3">
      <c r="A342" s="5">
        <v>46113</v>
      </c>
      <c r="B342" s="6" t="s">
        <v>50</v>
      </c>
      <c r="C342" s="6" t="s">
        <v>59</v>
      </c>
      <c r="D342" s="5">
        <v>46054</v>
      </c>
      <c r="E342" s="6" t="s">
        <v>15</v>
      </c>
      <c r="F342" s="7">
        <v>407</v>
      </c>
      <c r="G342" s="7">
        <v>243807.00737100741</v>
      </c>
      <c r="H342" s="7">
        <v>99229452</v>
      </c>
      <c r="I342" s="7">
        <v>11693547</v>
      </c>
      <c r="J342" s="7">
        <v>0</v>
      </c>
      <c r="K342">
        <f t="shared" si="5"/>
        <v>59</v>
      </c>
      <c r="L342" s="8" t="str" cm="1">
        <f t="array" ref="L342">_xlfn.IFS(
 AND(K342&gt;=89,K342&lt;=92),"3개월",
 AND(K342&gt;=58,K342&lt;=62),"2개월",
 AND(K342&gt;=28,K342&lt;=32),"1개월",
 AND(K342=0),"당월",
 TRUE,"그외"
)</f>
        <v>2개월</v>
      </c>
    </row>
    <row r="343" spans="1:12" ht="17.649999999999999" customHeight="1" x14ac:dyDescent="0.3">
      <c r="A343" s="5">
        <v>46113</v>
      </c>
      <c r="B343" s="6" t="s">
        <v>50</v>
      </c>
      <c r="C343" s="6" t="s">
        <v>59</v>
      </c>
      <c r="D343" s="5">
        <v>46082</v>
      </c>
      <c r="E343" s="6" t="s">
        <v>14</v>
      </c>
      <c r="F343" s="7">
        <v>1732</v>
      </c>
      <c r="G343" s="7">
        <v>177562.51905311781</v>
      </c>
      <c r="H343" s="7">
        <v>307538283</v>
      </c>
      <c r="I343" s="7">
        <v>70795925</v>
      </c>
      <c r="J343" s="7">
        <v>0</v>
      </c>
      <c r="K343">
        <f t="shared" si="5"/>
        <v>31</v>
      </c>
      <c r="L343" s="8" t="str" cm="1">
        <f t="array" ref="L343">_xlfn.IFS(
 AND(K343&gt;=89,K343&lt;=92),"3개월",
 AND(K343&gt;=58,K343&lt;=62),"2개월",
 AND(K343&gt;=28,K343&lt;=32),"1개월",
 AND(K343=0),"당월",
 TRUE,"그외"
)</f>
        <v>1개월</v>
      </c>
    </row>
    <row r="344" spans="1:12" ht="17.649999999999999" customHeight="1" x14ac:dyDescent="0.3">
      <c r="A344" s="5">
        <v>46113</v>
      </c>
      <c r="B344" s="6" t="s">
        <v>50</v>
      </c>
      <c r="C344" s="6" t="s">
        <v>59</v>
      </c>
      <c r="D344" s="5">
        <v>46082</v>
      </c>
      <c r="E344" s="6" t="s">
        <v>15</v>
      </c>
      <c r="F344" s="7">
        <v>1065</v>
      </c>
      <c r="G344" s="7">
        <v>189243.51830985921</v>
      </c>
      <c r="H344" s="7">
        <v>201544347</v>
      </c>
      <c r="I344" s="7">
        <v>33458320</v>
      </c>
      <c r="J344" s="7">
        <v>0</v>
      </c>
      <c r="K344">
        <f t="shared" si="5"/>
        <v>31</v>
      </c>
      <c r="L344" s="8" t="str" cm="1">
        <f t="array" ref="L344">_xlfn.IFS(
 AND(K344&gt;=89,K344&lt;=92),"3개월",
 AND(K344&gt;=58,K344&lt;=62),"2개월",
 AND(K344&gt;=28,K344&lt;=32),"1개월",
 AND(K344=0),"당월",
 TRUE,"그외"
)</f>
        <v>1개월</v>
      </c>
    </row>
    <row r="345" spans="1:12" ht="17.649999999999999" customHeight="1" x14ac:dyDescent="0.3">
      <c r="A345" s="5">
        <v>46113</v>
      </c>
      <c r="B345" s="6" t="s">
        <v>50</v>
      </c>
      <c r="C345" s="6" t="s">
        <v>59</v>
      </c>
      <c r="D345" s="5">
        <v>46113</v>
      </c>
      <c r="E345" s="6" t="s">
        <v>14</v>
      </c>
      <c r="F345" s="7">
        <v>429</v>
      </c>
      <c r="G345" s="7">
        <v>168841.993006993</v>
      </c>
      <c r="H345" s="7">
        <v>72433215</v>
      </c>
      <c r="I345" s="7">
        <v>17853190</v>
      </c>
      <c r="J345" s="7">
        <v>0</v>
      </c>
      <c r="K345">
        <f t="shared" si="5"/>
        <v>0</v>
      </c>
      <c r="L345" s="8" t="str" cm="1">
        <f t="array" ref="L345">_xlfn.IFS(
 AND(K345&gt;=89,K345&lt;=92),"3개월",
 AND(K345&gt;=58,K345&lt;=62),"2개월",
 AND(K345&gt;=28,K345&lt;=32),"1개월",
 AND(K345=0),"당월",
 TRUE,"그외"
)</f>
        <v>당월</v>
      </c>
    </row>
    <row r="346" spans="1:12" ht="17.649999999999999" customHeight="1" x14ac:dyDescent="0.3">
      <c r="A346" s="5">
        <v>46113</v>
      </c>
      <c r="B346" s="6" t="s">
        <v>50</v>
      </c>
      <c r="C346" s="6" t="s">
        <v>59</v>
      </c>
      <c r="D346" s="5">
        <v>46113</v>
      </c>
      <c r="E346" s="6" t="s">
        <v>15</v>
      </c>
      <c r="F346" s="7">
        <v>348</v>
      </c>
      <c r="G346" s="7">
        <v>174356.6724137931</v>
      </c>
      <c r="H346" s="7">
        <v>60676122</v>
      </c>
      <c r="I346" s="7">
        <v>17251508</v>
      </c>
      <c r="J346" s="7">
        <v>0</v>
      </c>
      <c r="K346">
        <f t="shared" si="5"/>
        <v>0</v>
      </c>
      <c r="L346" s="8" t="str" cm="1">
        <f t="array" ref="L346">_xlfn.IFS(
 AND(K346&gt;=89,K346&lt;=92),"3개월",
 AND(K346&gt;=58,K346&lt;=62),"2개월",
 AND(K346&gt;=28,K346&lt;=32),"1개월",
 AND(K346=0),"당월",
 TRUE,"그외"
)</f>
        <v>당월</v>
      </c>
    </row>
    <row r="347" spans="1:12" ht="17.649999999999999" customHeight="1" x14ac:dyDescent="0.3">
      <c r="A347" s="5">
        <v>46113</v>
      </c>
      <c r="B347" s="6" t="s">
        <v>60</v>
      </c>
      <c r="C347" s="6" t="s">
        <v>61</v>
      </c>
      <c r="D347" s="5">
        <v>45748</v>
      </c>
      <c r="E347" s="6" t="s">
        <v>15</v>
      </c>
      <c r="F347" s="7">
        <v>1</v>
      </c>
      <c r="G347" s="7">
        <v>111500</v>
      </c>
      <c r="H347" s="7">
        <v>111500</v>
      </c>
      <c r="I347" s="7">
        <v>27500</v>
      </c>
      <c r="J347" s="7">
        <v>0</v>
      </c>
      <c r="K347">
        <f t="shared" si="5"/>
        <v>365</v>
      </c>
      <c r="L347" s="8" t="str" cm="1">
        <f t="array" ref="L347">_xlfn.IFS(
 AND(K347&gt;=89,K347&lt;=92),"3개월",
 AND(K347&gt;=58,K347&lt;=62),"2개월",
 AND(K347&gt;=28,K347&lt;=32),"1개월",
 AND(K347=0),"당월",
 TRUE,"그외"
)</f>
        <v>그외</v>
      </c>
    </row>
    <row r="348" spans="1:12" ht="17.649999999999999" customHeight="1" x14ac:dyDescent="0.3">
      <c r="A348" s="5">
        <v>46113</v>
      </c>
      <c r="B348" s="6" t="s">
        <v>60</v>
      </c>
      <c r="C348" s="6" t="s">
        <v>61</v>
      </c>
      <c r="D348" s="5">
        <v>45931</v>
      </c>
      <c r="E348" s="6" t="s">
        <v>15</v>
      </c>
      <c r="F348" s="7">
        <v>375</v>
      </c>
      <c r="G348" s="7">
        <v>194469.992</v>
      </c>
      <c r="H348" s="7">
        <v>72926247</v>
      </c>
      <c r="I348" s="7">
        <v>18667034</v>
      </c>
      <c r="J348" s="7">
        <v>0</v>
      </c>
      <c r="K348">
        <f t="shared" si="5"/>
        <v>182</v>
      </c>
      <c r="L348" s="8" t="str" cm="1">
        <f t="array" ref="L348">_xlfn.IFS(
 AND(K348&gt;=89,K348&lt;=92),"3개월",
 AND(K348&gt;=58,K348&lt;=62),"2개월",
 AND(K348&gt;=28,K348&lt;=32),"1개월",
 AND(K348=0),"당월",
 TRUE,"그외"
)</f>
        <v>그외</v>
      </c>
    </row>
    <row r="349" spans="1:12" ht="17.649999999999999" customHeight="1" x14ac:dyDescent="0.3">
      <c r="A349" s="5">
        <v>46113</v>
      </c>
      <c r="B349" s="6" t="s">
        <v>60</v>
      </c>
      <c r="C349" s="6" t="s">
        <v>61</v>
      </c>
      <c r="D349" s="5">
        <v>45962</v>
      </c>
      <c r="E349" s="6" t="s">
        <v>15</v>
      </c>
      <c r="F349" s="7">
        <v>984</v>
      </c>
      <c r="G349" s="7">
        <v>195132.9756097561</v>
      </c>
      <c r="H349" s="7">
        <v>192010848</v>
      </c>
      <c r="I349" s="7">
        <v>47078855</v>
      </c>
      <c r="J349" s="7">
        <v>0</v>
      </c>
      <c r="K349">
        <f t="shared" si="5"/>
        <v>151</v>
      </c>
      <c r="L349" s="8" t="str" cm="1">
        <f t="array" ref="L349">_xlfn.IFS(
 AND(K349&gt;=89,K349&lt;=92),"3개월",
 AND(K349&gt;=58,K349&lt;=62),"2개월",
 AND(K349&gt;=28,K349&lt;=32),"1개월",
 AND(K349=0),"당월",
 TRUE,"그외"
)</f>
        <v>그외</v>
      </c>
    </row>
    <row r="350" spans="1:12" ht="17.649999999999999" customHeight="1" x14ac:dyDescent="0.3">
      <c r="A350" s="5">
        <v>46113</v>
      </c>
      <c r="B350" s="6" t="s">
        <v>60</v>
      </c>
      <c r="C350" s="6" t="s">
        <v>61</v>
      </c>
      <c r="D350" s="5">
        <v>45992</v>
      </c>
      <c r="E350" s="6" t="s">
        <v>15</v>
      </c>
      <c r="F350" s="7">
        <v>573</v>
      </c>
      <c r="G350" s="7">
        <v>207877.28097731239</v>
      </c>
      <c r="H350" s="7">
        <v>119113682</v>
      </c>
      <c r="I350" s="7">
        <v>32830491</v>
      </c>
      <c r="J350" s="7">
        <v>0</v>
      </c>
      <c r="K350">
        <f t="shared" si="5"/>
        <v>121</v>
      </c>
      <c r="L350" s="8" t="str" cm="1">
        <f t="array" ref="L350">_xlfn.IFS(
 AND(K350&gt;=89,K350&lt;=92),"3개월",
 AND(K350&gt;=58,K350&lt;=62),"2개월",
 AND(K350&gt;=28,K350&lt;=32),"1개월",
 AND(K350=0),"당월",
 TRUE,"그외"
)</f>
        <v>그외</v>
      </c>
    </row>
    <row r="351" spans="1:12" ht="17.649999999999999" customHeight="1" x14ac:dyDescent="0.3">
      <c r="A351" s="5">
        <v>46113</v>
      </c>
      <c r="B351" s="6" t="s">
        <v>60</v>
      </c>
      <c r="C351" s="6" t="s">
        <v>61</v>
      </c>
      <c r="D351" s="5">
        <v>46023</v>
      </c>
      <c r="E351" s="6" t="s">
        <v>15</v>
      </c>
      <c r="F351" s="7">
        <v>805</v>
      </c>
      <c r="G351" s="7">
        <v>247481.42857142861</v>
      </c>
      <c r="H351" s="7">
        <v>199222550</v>
      </c>
      <c r="I351" s="7">
        <v>47828543</v>
      </c>
      <c r="J351" s="7">
        <v>0</v>
      </c>
      <c r="K351">
        <f t="shared" si="5"/>
        <v>90</v>
      </c>
      <c r="L351" s="8" t="str" cm="1">
        <f t="array" ref="L351">_xlfn.IFS(
 AND(K351&gt;=89,K351&lt;=92),"3개월",
 AND(K351&gt;=58,K351&lt;=62),"2개월",
 AND(K351&gt;=28,K351&lt;=32),"1개월",
 AND(K351=0),"당월",
 TRUE,"그외"
)</f>
        <v>3개월</v>
      </c>
    </row>
    <row r="352" spans="1:12" ht="17.649999999999999" customHeight="1" x14ac:dyDescent="0.3">
      <c r="A352" s="5">
        <v>46113</v>
      </c>
      <c r="B352" s="6" t="s">
        <v>60</v>
      </c>
      <c r="C352" s="6" t="s">
        <v>61</v>
      </c>
      <c r="D352" s="5">
        <v>46054</v>
      </c>
      <c r="E352" s="6" t="s">
        <v>14</v>
      </c>
      <c r="F352" s="7">
        <v>850</v>
      </c>
      <c r="G352" s="7">
        <v>103312.9411764706</v>
      </c>
      <c r="H352" s="7">
        <v>87816000</v>
      </c>
      <c r="I352" s="7">
        <v>18700000</v>
      </c>
      <c r="J352" s="7">
        <v>0</v>
      </c>
      <c r="K352">
        <f t="shared" si="5"/>
        <v>59</v>
      </c>
      <c r="L352" s="8" t="str" cm="1">
        <f t="array" ref="L352">_xlfn.IFS(
 AND(K352&gt;=89,K352&lt;=92),"3개월",
 AND(K352&gt;=58,K352&lt;=62),"2개월",
 AND(K352&gt;=28,K352&lt;=32),"1개월",
 AND(K352=0),"당월",
 TRUE,"그외"
)</f>
        <v>2개월</v>
      </c>
    </row>
    <row r="353" spans="1:12" ht="17.649999999999999" customHeight="1" x14ac:dyDescent="0.3">
      <c r="A353" s="5">
        <v>46113</v>
      </c>
      <c r="B353" s="6" t="s">
        <v>60</v>
      </c>
      <c r="C353" s="6" t="s">
        <v>61</v>
      </c>
      <c r="D353" s="5">
        <v>46054</v>
      </c>
      <c r="E353" s="6" t="s">
        <v>15</v>
      </c>
      <c r="F353" s="7">
        <v>1263</v>
      </c>
      <c r="G353" s="7">
        <v>241064.43626286619</v>
      </c>
      <c r="H353" s="7">
        <v>304464383</v>
      </c>
      <c r="I353" s="7">
        <v>52720912</v>
      </c>
      <c r="J353" s="7">
        <v>0</v>
      </c>
      <c r="K353">
        <f t="shared" si="5"/>
        <v>59</v>
      </c>
      <c r="L353" s="8" t="str" cm="1">
        <f t="array" ref="L353">_xlfn.IFS(
 AND(K353&gt;=89,K353&lt;=92),"3개월",
 AND(K353&gt;=58,K353&lt;=62),"2개월",
 AND(K353&gt;=28,K353&lt;=32),"1개월",
 AND(K353=0),"당월",
 TRUE,"그외"
)</f>
        <v>2개월</v>
      </c>
    </row>
    <row r="354" spans="1:12" ht="17.649999999999999" customHeight="1" x14ac:dyDescent="0.3">
      <c r="A354" s="5">
        <v>46113</v>
      </c>
      <c r="B354" s="6" t="s">
        <v>60</v>
      </c>
      <c r="C354" s="6" t="s">
        <v>61</v>
      </c>
      <c r="D354" s="5">
        <v>46082</v>
      </c>
      <c r="E354" s="6" t="s">
        <v>14</v>
      </c>
      <c r="F354" s="7">
        <v>3065</v>
      </c>
      <c r="G354" s="7">
        <v>220746.78303425771</v>
      </c>
      <c r="H354" s="7">
        <v>676588890</v>
      </c>
      <c r="I354" s="7">
        <v>161559620</v>
      </c>
      <c r="J354" s="7">
        <v>0</v>
      </c>
      <c r="K354">
        <f t="shared" si="5"/>
        <v>31</v>
      </c>
      <c r="L354" s="8" t="str" cm="1">
        <f t="array" ref="L354">_xlfn.IFS(
 AND(K354&gt;=89,K354&lt;=92),"3개월",
 AND(K354&gt;=58,K354&lt;=62),"2개월",
 AND(K354&gt;=28,K354&lt;=32),"1개월",
 AND(K354=0),"당월",
 TRUE,"그외"
)</f>
        <v>1개월</v>
      </c>
    </row>
    <row r="355" spans="1:12" ht="17.649999999999999" customHeight="1" x14ac:dyDescent="0.3">
      <c r="A355" s="5">
        <v>46113</v>
      </c>
      <c r="B355" s="6" t="s">
        <v>60</v>
      </c>
      <c r="C355" s="6" t="s">
        <v>61</v>
      </c>
      <c r="D355" s="5">
        <v>46082</v>
      </c>
      <c r="E355" s="6" t="s">
        <v>15</v>
      </c>
      <c r="F355" s="7">
        <v>3595</v>
      </c>
      <c r="G355" s="7">
        <v>286792.78692628653</v>
      </c>
      <c r="H355" s="7">
        <v>1031020069</v>
      </c>
      <c r="I355" s="7">
        <v>184538363</v>
      </c>
      <c r="J355" s="7">
        <v>0</v>
      </c>
      <c r="K355">
        <f t="shared" si="5"/>
        <v>31</v>
      </c>
      <c r="L355" s="8" t="str" cm="1">
        <f t="array" ref="L355">_xlfn.IFS(
 AND(K355&gt;=89,K355&lt;=92),"3개월",
 AND(K355&gt;=58,K355&lt;=62),"2개월",
 AND(K355&gt;=28,K355&lt;=32),"1개월",
 AND(K355=0),"당월",
 TRUE,"그외"
)</f>
        <v>1개월</v>
      </c>
    </row>
    <row r="356" spans="1:12" ht="17.649999999999999" customHeight="1" x14ac:dyDescent="0.3">
      <c r="A356" s="5">
        <v>46113</v>
      </c>
      <c r="B356" s="6" t="s">
        <v>60</v>
      </c>
      <c r="C356" s="6" t="s">
        <v>61</v>
      </c>
      <c r="D356" s="5">
        <v>46113</v>
      </c>
      <c r="E356" s="6" t="s">
        <v>14</v>
      </c>
      <c r="F356" s="7">
        <v>3291</v>
      </c>
      <c r="G356" s="7">
        <v>124211.66575508961</v>
      </c>
      <c r="H356" s="7">
        <v>408780592</v>
      </c>
      <c r="I356" s="7">
        <v>14758180</v>
      </c>
      <c r="J356" s="7">
        <v>0</v>
      </c>
      <c r="K356">
        <f t="shared" si="5"/>
        <v>0</v>
      </c>
      <c r="L356" s="8" t="str" cm="1">
        <f t="array" ref="L356">_xlfn.IFS(
 AND(K356&gt;=89,K356&lt;=92),"3개월",
 AND(K356&gt;=58,K356&lt;=62),"2개월",
 AND(K356&gt;=28,K356&lt;=32),"1개월",
 AND(K356=0),"당월",
 TRUE,"그외"
)</f>
        <v>당월</v>
      </c>
    </row>
    <row r="357" spans="1:12" ht="17.649999999999999" customHeight="1" x14ac:dyDescent="0.3">
      <c r="A357" s="5">
        <v>46113</v>
      </c>
      <c r="B357" s="6" t="s">
        <v>60</v>
      </c>
      <c r="C357" s="6" t="s">
        <v>61</v>
      </c>
      <c r="D357" s="5">
        <v>46113</v>
      </c>
      <c r="E357" s="6" t="s">
        <v>15</v>
      </c>
      <c r="F357" s="7">
        <v>605</v>
      </c>
      <c r="G357" s="7">
        <v>397932.97024793387</v>
      </c>
      <c r="H357" s="7">
        <v>240749447</v>
      </c>
      <c r="I357" s="7">
        <v>55228087</v>
      </c>
      <c r="J357" s="7">
        <v>0</v>
      </c>
      <c r="K357">
        <f t="shared" si="5"/>
        <v>0</v>
      </c>
      <c r="L357" s="8" t="str" cm="1">
        <f t="array" ref="L357">_xlfn.IFS(
 AND(K357&gt;=89,K357&lt;=92),"3개월",
 AND(K357&gt;=58,K357&lt;=62),"2개월",
 AND(K357&gt;=28,K357&lt;=32),"1개월",
 AND(K357=0),"당월",
 TRUE,"그외"
)</f>
        <v>당월</v>
      </c>
    </row>
    <row r="358" spans="1:12" ht="17.649999999999999" customHeight="1" x14ac:dyDescent="0.3">
      <c r="A358" s="5">
        <v>46113</v>
      </c>
      <c r="B358" s="6" t="s">
        <v>60</v>
      </c>
      <c r="C358" s="6" t="s">
        <v>62</v>
      </c>
      <c r="D358" s="5">
        <v>45992</v>
      </c>
      <c r="E358" s="6" t="s">
        <v>15</v>
      </c>
      <c r="F358" s="7">
        <v>686</v>
      </c>
      <c r="G358" s="7">
        <v>301192.13848396501</v>
      </c>
      <c r="H358" s="7">
        <v>206617807</v>
      </c>
      <c r="I358" s="7">
        <v>31575335</v>
      </c>
      <c r="J358" s="7">
        <v>0</v>
      </c>
      <c r="K358">
        <f t="shared" si="5"/>
        <v>121</v>
      </c>
      <c r="L358" s="8" t="str" cm="1">
        <f t="array" ref="L358">_xlfn.IFS(
 AND(K358&gt;=89,K358&lt;=92),"3개월",
 AND(K358&gt;=58,K358&lt;=62),"2개월",
 AND(K358&gt;=28,K358&lt;=32),"1개월",
 AND(K358=0),"당월",
 TRUE,"그외"
)</f>
        <v>그외</v>
      </c>
    </row>
    <row r="359" spans="1:12" ht="17.649999999999999" customHeight="1" x14ac:dyDescent="0.3">
      <c r="A359" s="5">
        <v>46113</v>
      </c>
      <c r="B359" s="6" t="s">
        <v>60</v>
      </c>
      <c r="C359" s="6" t="s">
        <v>62</v>
      </c>
      <c r="D359" s="5">
        <v>46023</v>
      </c>
      <c r="E359" s="6" t="s">
        <v>15</v>
      </c>
      <c r="F359" s="7">
        <v>1902</v>
      </c>
      <c r="G359" s="7">
        <v>330458.39484752889</v>
      </c>
      <c r="H359" s="7">
        <v>628531867</v>
      </c>
      <c r="I359" s="7">
        <v>88388432</v>
      </c>
      <c r="J359" s="7">
        <v>0</v>
      </c>
      <c r="K359">
        <f t="shared" si="5"/>
        <v>90</v>
      </c>
      <c r="L359" s="8" t="str" cm="1">
        <f t="array" ref="L359">_xlfn.IFS(
 AND(K359&gt;=89,K359&lt;=92),"3개월",
 AND(K359&gt;=58,K359&lt;=62),"2개월",
 AND(K359&gt;=28,K359&lt;=32),"1개월",
 AND(K359=0),"당월",
 TRUE,"그외"
)</f>
        <v>3개월</v>
      </c>
    </row>
    <row r="360" spans="1:12" ht="17.649999999999999" customHeight="1" x14ac:dyDescent="0.3">
      <c r="A360" s="5">
        <v>46113</v>
      </c>
      <c r="B360" s="6" t="s">
        <v>60</v>
      </c>
      <c r="C360" s="6" t="s">
        <v>62</v>
      </c>
      <c r="D360" s="5">
        <v>46054</v>
      </c>
      <c r="E360" s="6" t="s">
        <v>14</v>
      </c>
      <c r="F360" s="7">
        <v>20</v>
      </c>
      <c r="G360" s="7">
        <v>249243.8</v>
      </c>
      <c r="H360" s="7">
        <v>4984876</v>
      </c>
      <c r="I360" s="7">
        <v>1127800</v>
      </c>
      <c r="J360" s="7">
        <v>0</v>
      </c>
      <c r="K360">
        <f t="shared" si="5"/>
        <v>59</v>
      </c>
      <c r="L360" s="8" t="str" cm="1">
        <f t="array" ref="L360">_xlfn.IFS(
 AND(K360&gt;=89,K360&lt;=92),"3개월",
 AND(K360&gt;=58,K360&lt;=62),"2개월",
 AND(K360&gt;=28,K360&lt;=32),"1개월",
 AND(K360=0),"당월",
 TRUE,"그외"
)</f>
        <v>2개월</v>
      </c>
    </row>
    <row r="361" spans="1:12" ht="17.649999999999999" customHeight="1" x14ac:dyDescent="0.3">
      <c r="A361" s="5">
        <v>46113</v>
      </c>
      <c r="B361" s="6" t="s">
        <v>60</v>
      </c>
      <c r="C361" s="6" t="s">
        <v>62</v>
      </c>
      <c r="D361" s="5">
        <v>46054</v>
      </c>
      <c r="E361" s="6" t="s">
        <v>15</v>
      </c>
      <c r="F361" s="7">
        <v>2766</v>
      </c>
      <c r="G361" s="7">
        <v>265199.45806218358</v>
      </c>
      <c r="H361" s="7">
        <v>733541701</v>
      </c>
      <c r="I361" s="7">
        <v>111633037</v>
      </c>
      <c r="J361" s="7">
        <v>0</v>
      </c>
      <c r="K361">
        <f t="shared" si="5"/>
        <v>59</v>
      </c>
      <c r="L361" s="8" t="str" cm="1">
        <f t="array" ref="L361">_xlfn.IFS(
 AND(K361&gt;=89,K361&lt;=92),"3개월",
 AND(K361&gt;=58,K361&lt;=62),"2개월",
 AND(K361&gt;=28,K361&lt;=32),"1개월",
 AND(K361=0),"당월",
 TRUE,"그외"
)</f>
        <v>2개월</v>
      </c>
    </row>
    <row r="362" spans="1:12" ht="17.649999999999999" customHeight="1" x14ac:dyDescent="0.3">
      <c r="A362" s="5">
        <v>46113</v>
      </c>
      <c r="B362" s="6" t="s">
        <v>60</v>
      </c>
      <c r="C362" s="6" t="s">
        <v>62</v>
      </c>
      <c r="D362" s="5">
        <v>46082</v>
      </c>
      <c r="E362" s="6" t="s">
        <v>14</v>
      </c>
      <c r="F362" s="7">
        <v>1870</v>
      </c>
      <c r="G362" s="7">
        <v>195517.42139037431</v>
      </c>
      <c r="H362" s="7">
        <v>365617578</v>
      </c>
      <c r="I362" s="7">
        <v>57454931</v>
      </c>
      <c r="J362" s="7">
        <v>0</v>
      </c>
      <c r="K362">
        <f t="shared" si="5"/>
        <v>31</v>
      </c>
      <c r="L362" s="8" t="str" cm="1">
        <f t="array" ref="L362">_xlfn.IFS(
 AND(K362&gt;=89,K362&lt;=92),"3개월",
 AND(K362&gt;=58,K362&lt;=62),"2개월",
 AND(K362&gt;=28,K362&lt;=32),"1개월",
 AND(K362=0),"당월",
 TRUE,"그외"
)</f>
        <v>1개월</v>
      </c>
    </row>
    <row r="363" spans="1:12" ht="17.649999999999999" customHeight="1" x14ac:dyDescent="0.3">
      <c r="A363" s="5">
        <v>46113</v>
      </c>
      <c r="B363" s="6" t="s">
        <v>60</v>
      </c>
      <c r="C363" s="6" t="s">
        <v>62</v>
      </c>
      <c r="D363" s="5">
        <v>46082</v>
      </c>
      <c r="E363" s="6" t="s">
        <v>15</v>
      </c>
      <c r="F363" s="7">
        <v>9837</v>
      </c>
      <c r="G363" s="7">
        <v>216414.61167022469</v>
      </c>
      <c r="H363" s="7">
        <v>2128870535</v>
      </c>
      <c r="I363" s="7">
        <v>414856924</v>
      </c>
      <c r="J363" s="7">
        <v>0</v>
      </c>
      <c r="K363">
        <f t="shared" si="5"/>
        <v>31</v>
      </c>
      <c r="L363" s="8" t="str" cm="1">
        <f t="array" ref="L363">_xlfn.IFS(
 AND(K363&gt;=89,K363&lt;=92),"3개월",
 AND(K363&gt;=58,K363&lt;=62),"2개월",
 AND(K363&gt;=28,K363&lt;=32),"1개월",
 AND(K363=0),"당월",
 TRUE,"그외"
)</f>
        <v>1개월</v>
      </c>
    </row>
    <row r="364" spans="1:12" ht="17.649999999999999" customHeight="1" x14ac:dyDescent="0.3">
      <c r="A364" s="5">
        <v>46113</v>
      </c>
      <c r="B364" s="6" t="s">
        <v>60</v>
      </c>
      <c r="C364" s="6" t="s">
        <v>62</v>
      </c>
      <c r="D364" s="5">
        <v>46113</v>
      </c>
      <c r="E364" s="6" t="s">
        <v>14</v>
      </c>
      <c r="F364" s="7">
        <v>1012</v>
      </c>
      <c r="G364" s="7">
        <v>131895.7509881423</v>
      </c>
      <c r="H364" s="7">
        <v>133478500</v>
      </c>
      <c r="I364" s="7">
        <v>4284000</v>
      </c>
      <c r="J364" s="7">
        <v>0</v>
      </c>
      <c r="K364">
        <f t="shared" si="5"/>
        <v>0</v>
      </c>
      <c r="L364" s="8" t="str" cm="1">
        <f t="array" ref="L364">_xlfn.IFS(
 AND(K364&gt;=89,K364&lt;=92),"3개월",
 AND(K364&gt;=58,K364&lt;=62),"2개월",
 AND(K364&gt;=28,K364&lt;=32),"1개월",
 AND(K364=0),"당월",
 TRUE,"그외"
)</f>
        <v>당월</v>
      </c>
    </row>
    <row r="365" spans="1:12" ht="17.649999999999999" customHeight="1" x14ac:dyDescent="0.3">
      <c r="A365" s="5">
        <v>46113</v>
      </c>
      <c r="B365" s="6" t="s">
        <v>60</v>
      </c>
      <c r="C365" s="6" t="s">
        <v>62</v>
      </c>
      <c r="D365" s="5">
        <v>46113</v>
      </c>
      <c r="E365" s="6" t="s">
        <v>15</v>
      </c>
      <c r="F365" s="7">
        <v>1537</v>
      </c>
      <c r="G365" s="7">
        <v>428854.47039687698</v>
      </c>
      <c r="H365" s="7">
        <v>659149321</v>
      </c>
      <c r="I365" s="7">
        <v>160774522</v>
      </c>
      <c r="J365" s="7">
        <v>0</v>
      </c>
      <c r="K365">
        <f t="shared" si="5"/>
        <v>0</v>
      </c>
      <c r="L365" s="8" t="str" cm="1">
        <f t="array" ref="L365">_xlfn.IFS(
 AND(K365&gt;=89,K365&lt;=92),"3개월",
 AND(K365&gt;=58,K365&lt;=62),"2개월",
 AND(K365&gt;=28,K365&lt;=32),"1개월",
 AND(K365=0),"당월",
 TRUE,"그외"
)</f>
        <v>당월</v>
      </c>
    </row>
    <row r="366" spans="1:12" ht="17.649999999999999" customHeight="1" x14ac:dyDescent="0.3">
      <c r="A366" s="5">
        <v>46113</v>
      </c>
      <c r="B366" s="6" t="s">
        <v>60</v>
      </c>
      <c r="C366" s="6" t="s">
        <v>63</v>
      </c>
      <c r="D366" s="5">
        <v>45962</v>
      </c>
      <c r="E366" s="6" t="s">
        <v>15</v>
      </c>
      <c r="F366" s="7">
        <v>758</v>
      </c>
      <c r="G366" s="7">
        <v>286742.28364116087</v>
      </c>
      <c r="H366" s="7">
        <v>217350651</v>
      </c>
      <c r="I366" s="7">
        <v>34835348</v>
      </c>
      <c r="J366" s="7">
        <v>0</v>
      </c>
      <c r="K366">
        <f t="shared" si="5"/>
        <v>151</v>
      </c>
      <c r="L366" s="8" t="str" cm="1">
        <f t="array" ref="L366">_xlfn.IFS(
 AND(K366&gt;=89,K366&lt;=92),"3개월",
 AND(K366&gt;=58,K366&lt;=62),"2개월",
 AND(K366&gt;=28,K366&lt;=32),"1개월",
 AND(K366=0),"당월",
 TRUE,"그외"
)</f>
        <v>그외</v>
      </c>
    </row>
    <row r="367" spans="1:12" ht="17.649999999999999" customHeight="1" x14ac:dyDescent="0.3">
      <c r="A367" s="5">
        <v>46113</v>
      </c>
      <c r="B367" s="6" t="s">
        <v>60</v>
      </c>
      <c r="C367" s="6" t="s">
        <v>63</v>
      </c>
      <c r="D367" s="5">
        <v>45992</v>
      </c>
      <c r="E367" s="6" t="s">
        <v>14</v>
      </c>
      <c r="F367" s="7">
        <v>33</v>
      </c>
      <c r="G367" s="7">
        <v>320052</v>
      </c>
      <c r="H367" s="7">
        <v>10561716</v>
      </c>
      <c r="I367" s="7">
        <v>1879941</v>
      </c>
      <c r="J367" s="7">
        <v>0</v>
      </c>
      <c r="K367">
        <f t="shared" si="5"/>
        <v>121</v>
      </c>
      <c r="L367" s="8" t="str" cm="1">
        <f t="array" ref="L367">_xlfn.IFS(
 AND(K367&gt;=89,K367&lt;=92),"3개월",
 AND(K367&gt;=58,K367&lt;=62),"2개월",
 AND(K367&gt;=28,K367&lt;=32),"1개월",
 AND(K367=0),"당월",
 TRUE,"그외"
)</f>
        <v>그외</v>
      </c>
    </row>
    <row r="368" spans="1:12" ht="17.649999999999999" customHeight="1" x14ac:dyDescent="0.3">
      <c r="A368" s="5">
        <v>46113</v>
      </c>
      <c r="B368" s="6" t="s">
        <v>60</v>
      </c>
      <c r="C368" s="6" t="s">
        <v>63</v>
      </c>
      <c r="D368" s="5">
        <v>45992</v>
      </c>
      <c r="E368" s="6" t="s">
        <v>15</v>
      </c>
      <c r="F368" s="7">
        <v>1135</v>
      </c>
      <c r="G368" s="7">
        <v>294309.99911894271</v>
      </c>
      <c r="H368" s="7">
        <v>334041849</v>
      </c>
      <c r="I368" s="7">
        <v>56237179</v>
      </c>
      <c r="J368" s="7">
        <v>0</v>
      </c>
      <c r="K368">
        <f t="shared" si="5"/>
        <v>121</v>
      </c>
      <c r="L368" s="8" t="str" cm="1">
        <f t="array" ref="L368">_xlfn.IFS(
 AND(K368&gt;=89,K368&lt;=92),"3개월",
 AND(K368&gt;=58,K368&lt;=62),"2개월",
 AND(K368&gt;=28,K368&lt;=32),"1개월",
 AND(K368=0),"당월",
 TRUE,"그외"
)</f>
        <v>그외</v>
      </c>
    </row>
    <row r="369" spans="1:12" ht="17.649999999999999" customHeight="1" x14ac:dyDescent="0.3">
      <c r="A369" s="5">
        <v>46113</v>
      </c>
      <c r="B369" s="6" t="s">
        <v>60</v>
      </c>
      <c r="C369" s="6" t="s">
        <v>63</v>
      </c>
      <c r="D369" s="5">
        <v>46023</v>
      </c>
      <c r="E369" s="6" t="s">
        <v>15</v>
      </c>
      <c r="F369" s="7">
        <v>1806</v>
      </c>
      <c r="G369" s="7">
        <v>311013.42746400891</v>
      </c>
      <c r="H369" s="7">
        <v>561690250</v>
      </c>
      <c r="I369" s="7">
        <v>89657808</v>
      </c>
      <c r="J369" s="7">
        <v>0</v>
      </c>
      <c r="K369">
        <f t="shared" si="5"/>
        <v>90</v>
      </c>
      <c r="L369" s="8" t="str" cm="1">
        <f t="array" ref="L369">_xlfn.IFS(
 AND(K369&gt;=89,K369&lt;=92),"3개월",
 AND(K369&gt;=58,K369&lt;=62),"2개월",
 AND(K369&gt;=28,K369&lt;=32),"1개월",
 AND(K369=0),"당월",
 TRUE,"그외"
)</f>
        <v>3개월</v>
      </c>
    </row>
    <row r="370" spans="1:12" ht="17.649999999999999" customHeight="1" x14ac:dyDescent="0.3">
      <c r="A370" s="5">
        <v>46113</v>
      </c>
      <c r="B370" s="6" t="s">
        <v>60</v>
      </c>
      <c r="C370" s="6" t="s">
        <v>63</v>
      </c>
      <c r="D370" s="5">
        <v>46054</v>
      </c>
      <c r="E370" s="6" t="s">
        <v>14</v>
      </c>
      <c r="F370" s="7">
        <v>4</v>
      </c>
      <c r="G370" s="7">
        <v>332701</v>
      </c>
      <c r="H370" s="7">
        <v>1330804</v>
      </c>
      <c r="I370" s="7">
        <v>225560</v>
      </c>
      <c r="J370" s="7">
        <v>0</v>
      </c>
      <c r="K370">
        <f t="shared" si="5"/>
        <v>59</v>
      </c>
      <c r="L370" s="8" t="str" cm="1">
        <f t="array" ref="L370">_xlfn.IFS(
 AND(K370&gt;=89,K370&lt;=92),"3개월",
 AND(K370&gt;=58,K370&lt;=62),"2개월",
 AND(K370&gt;=28,K370&lt;=32),"1개월",
 AND(K370=0),"당월",
 TRUE,"그외"
)</f>
        <v>2개월</v>
      </c>
    </row>
    <row r="371" spans="1:12" ht="17.649999999999999" customHeight="1" x14ac:dyDescent="0.3">
      <c r="A371" s="5">
        <v>46113</v>
      </c>
      <c r="B371" s="6" t="s">
        <v>60</v>
      </c>
      <c r="C371" s="6" t="s">
        <v>63</v>
      </c>
      <c r="D371" s="5">
        <v>46054</v>
      </c>
      <c r="E371" s="6" t="s">
        <v>15</v>
      </c>
      <c r="F371" s="7">
        <v>1475</v>
      </c>
      <c r="G371" s="7">
        <v>305334.6888135593</v>
      </c>
      <c r="H371" s="7">
        <v>450368666</v>
      </c>
      <c r="I371" s="7">
        <v>66834490</v>
      </c>
      <c r="J371" s="7">
        <v>0</v>
      </c>
      <c r="K371">
        <f t="shared" si="5"/>
        <v>59</v>
      </c>
      <c r="L371" s="8" t="str" cm="1">
        <f t="array" ref="L371">_xlfn.IFS(
 AND(K371&gt;=89,K371&lt;=92),"3개월",
 AND(K371&gt;=58,K371&lt;=62),"2개월",
 AND(K371&gt;=28,K371&lt;=32),"1개월",
 AND(K371=0),"당월",
 TRUE,"그외"
)</f>
        <v>2개월</v>
      </c>
    </row>
    <row r="372" spans="1:12" ht="17.649999999999999" customHeight="1" x14ac:dyDescent="0.3">
      <c r="A372" s="5">
        <v>46113</v>
      </c>
      <c r="B372" s="6" t="s">
        <v>60</v>
      </c>
      <c r="C372" s="6" t="s">
        <v>63</v>
      </c>
      <c r="D372" s="5">
        <v>46082</v>
      </c>
      <c r="E372" s="6" t="s">
        <v>14</v>
      </c>
      <c r="F372" s="7">
        <v>295</v>
      </c>
      <c r="G372" s="7">
        <v>248609.77627118639</v>
      </c>
      <c r="H372" s="7">
        <v>73339884</v>
      </c>
      <c r="I372" s="7">
        <v>12333039</v>
      </c>
      <c r="J372" s="7">
        <v>0</v>
      </c>
      <c r="K372">
        <f t="shared" si="5"/>
        <v>31</v>
      </c>
      <c r="L372" s="8" t="str" cm="1">
        <f t="array" ref="L372">_xlfn.IFS(
 AND(K372&gt;=89,K372&lt;=92),"3개월",
 AND(K372&gt;=58,K372&lt;=62),"2개월",
 AND(K372&gt;=28,K372&lt;=32),"1개월",
 AND(K372=0),"당월",
 TRUE,"그외"
)</f>
        <v>1개월</v>
      </c>
    </row>
    <row r="373" spans="1:12" ht="17.649999999999999" customHeight="1" x14ac:dyDescent="0.3">
      <c r="A373" s="5">
        <v>46113</v>
      </c>
      <c r="B373" s="6" t="s">
        <v>60</v>
      </c>
      <c r="C373" s="6" t="s">
        <v>63</v>
      </c>
      <c r="D373" s="5">
        <v>46082</v>
      </c>
      <c r="E373" s="6" t="s">
        <v>15</v>
      </c>
      <c r="F373" s="7">
        <v>3545</v>
      </c>
      <c r="G373" s="7">
        <v>241284.9365303244</v>
      </c>
      <c r="H373" s="7">
        <v>855355100</v>
      </c>
      <c r="I373" s="7">
        <v>163310949</v>
      </c>
      <c r="J373" s="7">
        <v>0</v>
      </c>
      <c r="K373">
        <f t="shared" si="5"/>
        <v>31</v>
      </c>
      <c r="L373" s="8" t="str" cm="1">
        <f t="array" ref="L373">_xlfn.IFS(
 AND(K373&gt;=89,K373&lt;=92),"3개월",
 AND(K373&gt;=58,K373&lt;=62),"2개월",
 AND(K373&gt;=28,K373&lt;=32),"1개월",
 AND(K373=0),"당월",
 TRUE,"그외"
)</f>
        <v>1개월</v>
      </c>
    </row>
    <row r="374" spans="1:12" ht="17.649999999999999" customHeight="1" x14ac:dyDescent="0.3">
      <c r="A374" s="5">
        <v>46113</v>
      </c>
      <c r="B374" s="6" t="s">
        <v>60</v>
      </c>
      <c r="C374" s="6" t="s">
        <v>63</v>
      </c>
      <c r="D374" s="5">
        <v>46113</v>
      </c>
      <c r="E374" s="6" t="s">
        <v>14</v>
      </c>
      <c r="F374" s="7">
        <v>20</v>
      </c>
      <c r="G374" s="7">
        <v>273149.8</v>
      </c>
      <c r="H374" s="7">
        <v>5462996</v>
      </c>
      <c r="I374" s="7">
        <v>1829372</v>
      </c>
      <c r="J374" s="7">
        <v>0</v>
      </c>
      <c r="K374">
        <f t="shared" si="5"/>
        <v>0</v>
      </c>
      <c r="L374" s="8" t="str" cm="1">
        <f t="array" ref="L374">_xlfn.IFS(
 AND(K374&gt;=89,K374&lt;=92),"3개월",
 AND(K374&gt;=58,K374&lt;=62),"2개월",
 AND(K374&gt;=28,K374&lt;=32),"1개월",
 AND(K374=0),"당월",
 TRUE,"그외"
)</f>
        <v>당월</v>
      </c>
    </row>
    <row r="375" spans="1:12" ht="17.649999999999999" customHeight="1" x14ac:dyDescent="0.3">
      <c r="A375" s="5">
        <v>46113</v>
      </c>
      <c r="B375" s="6" t="s">
        <v>60</v>
      </c>
      <c r="C375" s="6" t="s">
        <v>63</v>
      </c>
      <c r="D375" s="5">
        <v>46113</v>
      </c>
      <c r="E375" s="6" t="s">
        <v>15</v>
      </c>
      <c r="F375" s="7">
        <v>991</v>
      </c>
      <c r="G375" s="7">
        <v>303509.72351160442</v>
      </c>
      <c r="H375" s="7">
        <v>300778136</v>
      </c>
      <c r="I375" s="7">
        <v>110784661</v>
      </c>
      <c r="J375" s="7">
        <v>0</v>
      </c>
      <c r="K375">
        <f t="shared" si="5"/>
        <v>0</v>
      </c>
      <c r="L375" s="8" t="str" cm="1">
        <f t="array" ref="L375">_xlfn.IFS(
 AND(K375&gt;=89,K375&lt;=92),"3개월",
 AND(K375&gt;=58,K375&lt;=62),"2개월",
 AND(K375&gt;=28,K375&lt;=32),"1개월",
 AND(K375=0),"당월",
 TRUE,"그외"
)</f>
        <v>당월</v>
      </c>
    </row>
    <row r="376" spans="1:12" ht="17.649999999999999" customHeight="1" x14ac:dyDescent="0.3">
      <c r="A376" s="5">
        <v>46113</v>
      </c>
      <c r="B376" s="6" t="s">
        <v>60</v>
      </c>
      <c r="C376" s="6" t="s">
        <v>64</v>
      </c>
      <c r="D376" s="5">
        <v>45931</v>
      </c>
      <c r="E376" s="6" t="s">
        <v>15</v>
      </c>
      <c r="F376" s="7">
        <v>110</v>
      </c>
      <c r="G376" s="7">
        <v>182409.1727272727</v>
      </c>
      <c r="H376" s="7">
        <v>20065009</v>
      </c>
      <c r="I376" s="7">
        <v>3138241</v>
      </c>
      <c r="J376" s="7">
        <v>0</v>
      </c>
      <c r="K376">
        <f t="shared" si="5"/>
        <v>182</v>
      </c>
      <c r="L376" s="8" t="str" cm="1">
        <f t="array" ref="L376">_xlfn.IFS(
 AND(K376&gt;=89,K376&lt;=92),"3개월",
 AND(K376&gt;=58,K376&lt;=62),"2개월",
 AND(K376&gt;=28,K376&lt;=32),"1개월",
 AND(K376=0),"당월",
 TRUE,"그외"
)</f>
        <v>그외</v>
      </c>
    </row>
    <row r="377" spans="1:12" ht="17.649999999999999" customHeight="1" x14ac:dyDescent="0.3">
      <c r="A377" s="5">
        <v>46113</v>
      </c>
      <c r="B377" s="6" t="s">
        <v>60</v>
      </c>
      <c r="C377" s="6" t="s">
        <v>64</v>
      </c>
      <c r="D377" s="5">
        <v>45962</v>
      </c>
      <c r="E377" s="6" t="s">
        <v>15</v>
      </c>
      <c r="F377" s="7">
        <v>792</v>
      </c>
      <c r="G377" s="7">
        <v>155618.54419191921</v>
      </c>
      <c r="H377" s="7">
        <v>123249887</v>
      </c>
      <c r="I377" s="7">
        <v>21658110</v>
      </c>
      <c r="J377" s="7">
        <v>0</v>
      </c>
      <c r="K377">
        <f t="shared" si="5"/>
        <v>151</v>
      </c>
      <c r="L377" s="8" t="str" cm="1">
        <f t="array" ref="L377">_xlfn.IFS(
 AND(K377&gt;=89,K377&lt;=92),"3개월",
 AND(K377&gt;=58,K377&lt;=62),"2개월",
 AND(K377&gt;=28,K377&lt;=32),"1개월",
 AND(K377=0),"당월",
 TRUE,"그외"
)</f>
        <v>그외</v>
      </c>
    </row>
    <row r="378" spans="1:12" ht="17.649999999999999" customHeight="1" x14ac:dyDescent="0.3">
      <c r="A378" s="5">
        <v>46113</v>
      </c>
      <c r="B378" s="6" t="s">
        <v>60</v>
      </c>
      <c r="C378" s="6" t="s">
        <v>64</v>
      </c>
      <c r="D378" s="5">
        <v>45992</v>
      </c>
      <c r="E378" s="6" t="s">
        <v>15</v>
      </c>
      <c r="F378" s="7">
        <v>1032</v>
      </c>
      <c r="G378" s="7">
        <v>171549.75775193801</v>
      </c>
      <c r="H378" s="7">
        <v>177039350</v>
      </c>
      <c r="I378" s="7">
        <v>33419409</v>
      </c>
      <c r="J378" s="7">
        <v>0</v>
      </c>
      <c r="K378">
        <f t="shared" si="5"/>
        <v>121</v>
      </c>
      <c r="L378" s="8" t="str" cm="1">
        <f t="array" ref="L378">_xlfn.IFS(
 AND(K378&gt;=89,K378&lt;=92),"3개월",
 AND(K378&gt;=58,K378&lt;=62),"2개월",
 AND(K378&gt;=28,K378&lt;=32),"1개월",
 AND(K378=0),"당월",
 TRUE,"그외"
)</f>
        <v>그외</v>
      </c>
    </row>
    <row r="379" spans="1:12" ht="17.649999999999999" customHeight="1" x14ac:dyDescent="0.3">
      <c r="A379" s="5">
        <v>46113</v>
      </c>
      <c r="B379" s="6" t="s">
        <v>60</v>
      </c>
      <c r="C379" s="6" t="s">
        <v>64</v>
      </c>
      <c r="D379" s="5">
        <v>46023</v>
      </c>
      <c r="E379" s="6" t="s">
        <v>15</v>
      </c>
      <c r="F379" s="7">
        <v>2308</v>
      </c>
      <c r="G379" s="7">
        <v>188597.72183708841</v>
      </c>
      <c r="H379" s="7">
        <v>435283542</v>
      </c>
      <c r="I379" s="7">
        <v>75968062</v>
      </c>
      <c r="J379" s="7">
        <v>0</v>
      </c>
      <c r="K379">
        <f t="shared" si="5"/>
        <v>90</v>
      </c>
      <c r="L379" s="8" t="str" cm="1">
        <f t="array" ref="L379">_xlfn.IFS(
 AND(K379&gt;=89,K379&lt;=92),"3개월",
 AND(K379&gt;=58,K379&lt;=62),"2개월",
 AND(K379&gt;=28,K379&lt;=32),"1개월",
 AND(K379=0),"당월",
 TRUE,"그외"
)</f>
        <v>3개월</v>
      </c>
    </row>
    <row r="380" spans="1:12" ht="17.649999999999999" customHeight="1" x14ac:dyDescent="0.3">
      <c r="A380" s="5">
        <v>46113</v>
      </c>
      <c r="B380" s="6" t="s">
        <v>60</v>
      </c>
      <c r="C380" s="6" t="s">
        <v>64</v>
      </c>
      <c r="D380" s="5">
        <v>46054</v>
      </c>
      <c r="E380" s="6" t="s">
        <v>14</v>
      </c>
      <c r="F380" s="7">
        <v>1270</v>
      </c>
      <c r="G380" s="7">
        <v>147421.25984251971</v>
      </c>
      <c r="H380" s="7">
        <v>187225000</v>
      </c>
      <c r="I380" s="7">
        <v>27940000</v>
      </c>
      <c r="J380" s="7">
        <v>0</v>
      </c>
      <c r="K380">
        <f t="shared" si="5"/>
        <v>59</v>
      </c>
      <c r="L380" s="8" t="str" cm="1">
        <f t="array" ref="L380">_xlfn.IFS(
 AND(K380&gt;=89,K380&lt;=92),"3개월",
 AND(K380&gt;=58,K380&lt;=62),"2개월",
 AND(K380&gt;=28,K380&lt;=32),"1개월",
 AND(K380=0),"당월",
 TRUE,"그외"
)</f>
        <v>2개월</v>
      </c>
    </row>
    <row r="381" spans="1:12" ht="17.649999999999999" customHeight="1" x14ac:dyDescent="0.3">
      <c r="A381" s="5">
        <v>46113</v>
      </c>
      <c r="B381" s="6" t="s">
        <v>60</v>
      </c>
      <c r="C381" s="6" t="s">
        <v>64</v>
      </c>
      <c r="D381" s="5">
        <v>46054</v>
      </c>
      <c r="E381" s="6" t="s">
        <v>15</v>
      </c>
      <c r="F381" s="7">
        <v>2692</v>
      </c>
      <c r="G381" s="7">
        <v>185595.7778603269</v>
      </c>
      <c r="H381" s="7">
        <v>499623834</v>
      </c>
      <c r="I381" s="7">
        <v>63668067</v>
      </c>
      <c r="J381" s="7">
        <v>0</v>
      </c>
      <c r="K381">
        <f t="shared" si="5"/>
        <v>59</v>
      </c>
      <c r="L381" s="8" t="str" cm="1">
        <f t="array" ref="L381">_xlfn.IFS(
 AND(K381&gt;=89,K381&lt;=92),"3개월",
 AND(K381&gt;=58,K381&lt;=62),"2개월",
 AND(K381&gt;=28,K381&lt;=32),"1개월",
 AND(K381=0),"당월",
 TRUE,"그외"
)</f>
        <v>2개월</v>
      </c>
    </row>
    <row r="382" spans="1:12" ht="17.649999999999999" customHeight="1" x14ac:dyDescent="0.3">
      <c r="A382" s="5">
        <v>46113</v>
      </c>
      <c r="B382" s="6" t="s">
        <v>60</v>
      </c>
      <c r="C382" s="6" t="s">
        <v>64</v>
      </c>
      <c r="D382" s="5">
        <v>46082</v>
      </c>
      <c r="E382" s="6" t="s">
        <v>14</v>
      </c>
      <c r="F382" s="7">
        <v>4440</v>
      </c>
      <c r="G382" s="7">
        <v>154819.16351351349</v>
      </c>
      <c r="H382" s="7">
        <v>687397086</v>
      </c>
      <c r="I382" s="7">
        <v>128696558</v>
      </c>
      <c r="J382" s="7">
        <v>0</v>
      </c>
      <c r="K382">
        <f t="shared" si="5"/>
        <v>31</v>
      </c>
      <c r="L382" s="8" t="str" cm="1">
        <f t="array" ref="L382">_xlfn.IFS(
 AND(K382&gt;=89,K382&lt;=92),"3개월",
 AND(K382&gt;=58,K382&lt;=62),"2개월",
 AND(K382&gt;=28,K382&lt;=32),"1개월",
 AND(K382=0),"당월",
 TRUE,"그외"
)</f>
        <v>1개월</v>
      </c>
    </row>
    <row r="383" spans="1:12" ht="17.649999999999999" customHeight="1" x14ac:dyDescent="0.3">
      <c r="A383" s="5">
        <v>46113</v>
      </c>
      <c r="B383" s="6" t="s">
        <v>60</v>
      </c>
      <c r="C383" s="6" t="s">
        <v>64</v>
      </c>
      <c r="D383" s="5">
        <v>46082</v>
      </c>
      <c r="E383" s="6" t="s">
        <v>15</v>
      </c>
      <c r="F383" s="7">
        <v>7458</v>
      </c>
      <c r="G383" s="7">
        <v>199212.65835344599</v>
      </c>
      <c r="H383" s="7">
        <v>1485728006</v>
      </c>
      <c r="I383" s="7">
        <v>215156260</v>
      </c>
      <c r="J383" s="7">
        <v>0</v>
      </c>
      <c r="K383">
        <f t="shared" si="5"/>
        <v>31</v>
      </c>
      <c r="L383" s="8" t="str" cm="1">
        <f t="array" ref="L383">_xlfn.IFS(
 AND(K383&gt;=89,K383&lt;=92),"3개월",
 AND(K383&gt;=58,K383&lt;=62),"2개월",
 AND(K383&gt;=28,K383&lt;=32),"1개월",
 AND(K383=0),"당월",
 TRUE,"그외"
)</f>
        <v>1개월</v>
      </c>
    </row>
    <row r="384" spans="1:12" ht="17.649999999999999" customHeight="1" x14ac:dyDescent="0.3">
      <c r="A384" s="5">
        <v>46113</v>
      </c>
      <c r="B384" s="6" t="s">
        <v>60</v>
      </c>
      <c r="C384" s="6" t="s">
        <v>64</v>
      </c>
      <c r="D384" s="5">
        <v>46113</v>
      </c>
      <c r="E384" s="6" t="s">
        <v>14</v>
      </c>
      <c r="F384" s="7">
        <v>157</v>
      </c>
      <c r="G384" s="7">
        <v>207634.85350318471</v>
      </c>
      <c r="H384" s="7">
        <v>32598672</v>
      </c>
      <c r="I384" s="7">
        <v>11804944</v>
      </c>
      <c r="J384" s="7">
        <v>0</v>
      </c>
      <c r="K384">
        <f t="shared" si="5"/>
        <v>0</v>
      </c>
      <c r="L384" s="8" t="str" cm="1">
        <f t="array" ref="L384">_xlfn.IFS(
 AND(K384&gt;=89,K384&lt;=92),"3개월",
 AND(K384&gt;=58,K384&lt;=62),"2개월",
 AND(K384&gt;=28,K384&lt;=32),"1개월",
 AND(K384=0),"당월",
 TRUE,"그외"
)</f>
        <v>당월</v>
      </c>
    </row>
    <row r="385" spans="1:12" ht="17.649999999999999" customHeight="1" x14ac:dyDescent="0.3">
      <c r="A385" s="5">
        <v>46113</v>
      </c>
      <c r="B385" s="6" t="s">
        <v>60</v>
      </c>
      <c r="C385" s="6" t="s">
        <v>64</v>
      </c>
      <c r="D385" s="5">
        <v>46113</v>
      </c>
      <c r="E385" s="6" t="s">
        <v>15</v>
      </c>
      <c r="F385" s="7">
        <v>780</v>
      </c>
      <c r="G385" s="7">
        <v>275825.70769230771</v>
      </c>
      <c r="H385" s="7">
        <v>215144052</v>
      </c>
      <c r="I385" s="7">
        <v>54155921</v>
      </c>
      <c r="J385" s="7">
        <v>0</v>
      </c>
      <c r="K385">
        <f t="shared" si="5"/>
        <v>0</v>
      </c>
      <c r="L385" s="8" t="str" cm="1">
        <f t="array" ref="L385">_xlfn.IFS(
 AND(K385&gt;=89,K385&lt;=92),"3개월",
 AND(K385&gt;=58,K385&lt;=62),"2개월",
 AND(K385&gt;=28,K385&lt;=32),"1개월",
 AND(K385=0),"당월",
 TRUE,"그외"
)</f>
        <v>당월</v>
      </c>
    </row>
    <row r="386" spans="1:12" ht="17.649999999999999" customHeight="1" x14ac:dyDescent="0.3">
      <c r="A386" s="5">
        <v>46113</v>
      </c>
      <c r="B386" s="6" t="s">
        <v>60</v>
      </c>
      <c r="C386" s="6" t="s">
        <v>65</v>
      </c>
      <c r="D386" s="5">
        <v>45962</v>
      </c>
      <c r="E386" s="6" t="s">
        <v>15</v>
      </c>
      <c r="F386" s="7">
        <v>1</v>
      </c>
      <c r="G386" s="7">
        <v>186793</v>
      </c>
      <c r="H386" s="7">
        <v>186793</v>
      </c>
      <c r="I386" s="7">
        <v>44160</v>
      </c>
      <c r="J386" s="7">
        <v>0</v>
      </c>
      <c r="K386">
        <f t="shared" si="5"/>
        <v>151</v>
      </c>
      <c r="L386" s="8" t="str" cm="1">
        <f t="array" ref="L386">_xlfn.IFS(
 AND(K386&gt;=89,K386&lt;=92),"3개월",
 AND(K386&gt;=58,K386&lt;=62),"2개월",
 AND(K386&gt;=28,K386&lt;=32),"1개월",
 AND(K386=0),"당월",
 TRUE,"그외"
)</f>
        <v>그외</v>
      </c>
    </row>
    <row r="387" spans="1:12" ht="17.649999999999999" customHeight="1" x14ac:dyDescent="0.3">
      <c r="A387" s="5">
        <v>46113</v>
      </c>
      <c r="B387" s="6" t="s">
        <v>60</v>
      </c>
      <c r="C387" s="6" t="s">
        <v>65</v>
      </c>
      <c r="D387" s="5">
        <v>45992</v>
      </c>
      <c r="E387" s="6" t="s">
        <v>15</v>
      </c>
      <c r="F387" s="7">
        <v>61</v>
      </c>
      <c r="G387" s="7">
        <v>166482.8524590164</v>
      </c>
      <c r="H387" s="7">
        <v>10155454</v>
      </c>
      <c r="I387" s="7">
        <v>1956944</v>
      </c>
      <c r="J387" s="7">
        <v>0</v>
      </c>
      <c r="K387">
        <f t="shared" si="5"/>
        <v>121</v>
      </c>
      <c r="L387" s="8" t="str" cm="1">
        <f t="array" ref="L387">_xlfn.IFS(
 AND(K387&gt;=89,K387&lt;=92),"3개월",
 AND(K387&gt;=58,K387&lt;=62),"2개월",
 AND(K387&gt;=28,K387&lt;=32),"1개월",
 AND(K387=0),"당월",
 TRUE,"그외"
)</f>
        <v>그외</v>
      </c>
    </row>
    <row r="388" spans="1:12" ht="17.649999999999999" customHeight="1" x14ac:dyDescent="0.3">
      <c r="A388" s="5">
        <v>46113</v>
      </c>
      <c r="B388" s="6" t="s">
        <v>60</v>
      </c>
      <c r="C388" s="6" t="s">
        <v>65</v>
      </c>
      <c r="D388" s="5">
        <v>46023</v>
      </c>
      <c r="E388" s="6" t="s">
        <v>15</v>
      </c>
      <c r="F388" s="7">
        <v>514</v>
      </c>
      <c r="G388" s="7">
        <v>159722.91245136189</v>
      </c>
      <c r="H388" s="7">
        <v>82097577</v>
      </c>
      <c r="I388" s="7">
        <v>16792713</v>
      </c>
      <c r="J388" s="7">
        <v>0</v>
      </c>
      <c r="K388">
        <f t="shared" si="5"/>
        <v>90</v>
      </c>
      <c r="L388" s="8" t="str" cm="1">
        <f t="array" ref="L388">_xlfn.IFS(
 AND(K388&gt;=89,K388&lt;=92),"3개월",
 AND(K388&gt;=58,K388&lt;=62),"2개월",
 AND(K388&gt;=28,K388&lt;=32),"1개월",
 AND(K388=0),"당월",
 TRUE,"그외"
)</f>
        <v>3개월</v>
      </c>
    </row>
    <row r="389" spans="1:12" ht="17.649999999999999" customHeight="1" x14ac:dyDescent="0.3">
      <c r="A389" s="5">
        <v>46113</v>
      </c>
      <c r="B389" s="6" t="s">
        <v>60</v>
      </c>
      <c r="C389" s="6" t="s">
        <v>65</v>
      </c>
      <c r="D389" s="5">
        <v>46054</v>
      </c>
      <c r="E389" s="6" t="s">
        <v>14</v>
      </c>
      <c r="F389" s="7">
        <v>336</v>
      </c>
      <c r="G389" s="7">
        <v>139321.42857142861</v>
      </c>
      <c r="H389" s="7">
        <v>46812000</v>
      </c>
      <c r="I389" s="7">
        <v>7392000</v>
      </c>
      <c r="J389" s="7">
        <v>0</v>
      </c>
      <c r="K389">
        <f t="shared" si="5"/>
        <v>59</v>
      </c>
      <c r="L389" s="8" t="str" cm="1">
        <f t="array" ref="L389">_xlfn.IFS(
 AND(K389&gt;=89,K389&lt;=92),"3개월",
 AND(K389&gt;=58,K389&lt;=62),"2개월",
 AND(K389&gt;=28,K389&lt;=32),"1개월",
 AND(K389=0),"당월",
 TRUE,"그외"
)</f>
        <v>2개월</v>
      </c>
    </row>
    <row r="390" spans="1:12" ht="17.649999999999999" customHeight="1" x14ac:dyDescent="0.3">
      <c r="A390" s="5">
        <v>46113</v>
      </c>
      <c r="B390" s="6" t="s">
        <v>60</v>
      </c>
      <c r="C390" s="6" t="s">
        <v>65</v>
      </c>
      <c r="D390" s="5">
        <v>46054</v>
      </c>
      <c r="E390" s="6" t="s">
        <v>15</v>
      </c>
      <c r="F390" s="7">
        <v>524</v>
      </c>
      <c r="G390" s="7">
        <v>179260.7061068702</v>
      </c>
      <c r="H390" s="7">
        <v>93932610</v>
      </c>
      <c r="I390" s="7">
        <v>12788522</v>
      </c>
      <c r="J390" s="7">
        <v>0</v>
      </c>
      <c r="K390">
        <f t="shared" si="5"/>
        <v>59</v>
      </c>
      <c r="L390" s="8" t="str" cm="1">
        <f t="array" ref="L390">_xlfn.IFS(
 AND(K390&gt;=89,K390&lt;=92),"3개월",
 AND(K390&gt;=58,K390&lt;=62),"2개월",
 AND(K390&gt;=28,K390&lt;=32),"1개월",
 AND(K390=0),"당월",
 TRUE,"그외"
)</f>
        <v>2개월</v>
      </c>
    </row>
    <row r="391" spans="1:12" ht="17.649999999999999" customHeight="1" x14ac:dyDescent="0.3">
      <c r="A391" s="5">
        <v>46113</v>
      </c>
      <c r="B391" s="6" t="s">
        <v>60</v>
      </c>
      <c r="C391" s="6" t="s">
        <v>65</v>
      </c>
      <c r="D391" s="5">
        <v>46082</v>
      </c>
      <c r="E391" s="6" t="s">
        <v>14</v>
      </c>
      <c r="F391" s="7">
        <v>689</v>
      </c>
      <c r="G391" s="7">
        <v>137250.3628447025</v>
      </c>
      <c r="H391" s="7">
        <v>94565500</v>
      </c>
      <c r="I391" s="7">
        <v>19199500</v>
      </c>
      <c r="J391" s="7">
        <v>0</v>
      </c>
      <c r="K391">
        <f t="shared" si="5"/>
        <v>31</v>
      </c>
      <c r="L391" s="8" t="str" cm="1">
        <f t="array" ref="L391">_xlfn.IFS(
 AND(K391&gt;=89,K391&lt;=92),"3개월",
 AND(K391&gt;=58,K391&lt;=62),"2개월",
 AND(K391&gt;=28,K391&lt;=32),"1개월",
 AND(K391=0),"당월",
 TRUE,"그외"
)</f>
        <v>1개월</v>
      </c>
    </row>
    <row r="392" spans="1:12" ht="17.649999999999999" customHeight="1" x14ac:dyDescent="0.3">
      <c r="A392" s="5">
        <v>46113</v>
      </c>
      <c r="B392" s="6" t="s">
        <v>60</v>
      </c>
      <c r="C392" s="6" t="s">
        <v>65</v>
      </c>
      <c r="D392" s="5">
        <v>46082</v>
      </c>
      <c r="E392" s="6" t="s">
        <v>15</v>
      </c>
      <c r="F392" s="7">
        <v>653</v>
      </c>
      <c r="G392" s="7">
        <v>174520.73353751909</v>
      </c>
      <c r="H392" s="7">
        <v>113962039</v>
      </c>
      <c r="I392" s="7">
        <v>19750410</v>
      </c>
      <c r="J392" s="7">
        <v>0</v>
      </c>
      <c r="K392">
        <f t="shared" si="5"/>
        <v>31</v>
      </c>
      <c r="L392" s="8" t="str" cm="1">
        <f t="array" ref="L392">_xlfn.IFS(
 AND(K392&gt;=89,K392&lt;=92),"3개월",
 AND(K392&gt;=58,K392&lt;=62),"2개월",
 AND(K392&gt;=28,K392&lt;=32),"1개월",
 AND(K392=0),"당월",
 TRUE,"그외"
)</f>
        <v>1개월</v>
      </c>
    </row>
    <row r="393" spans="1:12" ht="17.649999999999999" customHeight="1" x14ac:dyDescent="0.3">
      <c r="A393" s="5">
        <v>46113</v>
      </c>
      <c r="B393" s="6" t="s">
        <v>60</v>
      </c>
      <c r="C393" s="6" t="s">
        <v>65</v>
      </c>
      <c r="D393" s="5">
        <v>46113</v>
      </c>
      <c r="E393" s="6" t="s">
        <v>14</v>
      </c>
      <c r="F393" s="7">
        <v>4</v>
      </c>
      <c r="G393" s="7">
        <v>158400</v>
      </c>
      <c r="H393" s="7">
        <v>633600</v>
      </c>
      <c r="I393" s="7">
        <v>231600</v>
      </c>
      <c r="J393" s="7">
        <v>0</v>
      </c>
      <c r="K393">
        <f t="shared" si="5"/>
        <v>0</v>
      </c>
      <c r="L393" s="8" t="str" cm="1">
        <f t="array" ref="L393">_xlfn.IFS(
 AND(K393&gt;=89,K393&lt;=92),"3개월",
 AND(K393&gt;=58,K393&lt;=62),"2개월",
 AND(K393&gt;=28,K393&lt;=32),"1개월",
 AND(K393=0),"당월",
 TRUE,"그외"
)</f>
        <v>당월</v>
      </c>
    </row>
    <row r="394" spans="1:12" ht="17.649999999999999" customHeight="1" x14ac:dyDescent="0.3">
      <c r="A394" s="5">
        <v>46113</v>
      </c>
      <c r="B394" s="6" t="s">
        <v>60</v>
      </c>
      <c r="C394" s="6" t="s">
        <v>65</v>
      </c>
      <c r="D394" s="5">
        <v>46113</v>
      </c>
      <c r="E394" s="6" t="s">
        <v>15</v>
      </c>
      <c r="F394" s="7">
        <v>85</v>
      </c>
      <c r="G394" s="7">
        <v>257637.8</v>
      </c>
      <c r="H394" s="7">
        <v>21899213</v>
      </c>
      <c r="I394" s="7">
        <v>6488526</v>
      </c>
      <c r="J394" s="7">
        <v>0</v>
      </c>
      <c r="K394">
        <f t="shared" ref="K394:K457" si="6">A394-D394</f>
        <v>0</v>
      </c>
      <c r="L394" s="8" t="str" cm="1">
        <f t="array" ref="L394">_xlfn.IFS(
 AND(K394&gt;=89,K394&lt;=92),"3개월",
 AND(K394&gt;=58,K394&lt;=62),"2개월",
 AND(K394&gt;=28,K394&lt;=32),"1개월",
 AND(K394=0),"당월",
 TRUE,"그외"
)</f>
        <v>당월</v>
      </c>
    </row>
    <row r="395" spans="1:12" ht="17.649999999999999" customHeight="1" x14ac:dyDescent="0.3">
      <c r="A395" s="5">
        <v>46113</v>
      </c>
      <c r="B395" s="6" t="s">
        <v>60</v>
      </c>
      <c r="C395" s="6" t="s">
        <v>66</v>
      </c>
      <c r="D395" s="5">
        <v>45962</v>
      </c>
      <c r="E395" s="6" t="s">
        <v>15</v>
      </c>
      <c r="F395" s="7">
        <v>49</v>
      </c>
      <c r="G395" s="7">
        <v>214855.1020408163</v>
      </c>
      <c r="H395" s="7">
        <v>10527900</v>
      </c>
      <c r="I395" s="7">
        <v>1308300</v>
      </c>
      <c r="J395" s="7">
        <v>0</v>
      </c>
      <c r="K395">
        <f t="shared" si="6"/>
        <v>151</v>
      </c>
      <c r="L395" s="8" t="str" cm="1">
        <f t="array" ref="L395">_xlfn.IFS(
 AND(K395&gt;=89,K395&lt;=92),"3개월",
 AND(K395&gt;=58,K395&lt;=62),"2개월",
 AND(K395&gt;=28,K395&lt;=32),"1개월",
 AND(K395=0),"당월",
 TRUE,"그외"
)</f>
        <v>그외</v>
      </c>
    </row>
    <row r="396" spans="1:12" ht="17.649999999999999" customHeight="1" x14ac:dyDescent="0.3">
      <c r="A396" s="5">
        <v>46113</v>
      </c>
      <c r="B396" s="6" t="s">
        <v>60</v>
      </c>
      <c r="C396" s="6" t="s">
        <v>66</v>
      </c>
      <c r="D396" s="5">
        <v>45992</v>
      </c>
      <c r="E396" s="6" t="s">
        <v>15</v>
      </c>
      <c r="F396" s="7">
        <v>96</v>
      </c>
      <c r="G396" s="7">
        <v>206875</v>
      </c>
      <c r="H396" s="7">
        <v>19860000</v>
      </c>
      <c r="I396" s="7">
        <v>3043200</v>
      </c>
      <c r="J396" s="7">
        <v>0</v>
      </c>
      <c r="K396">
        <f t="shared" si="6"/>
        <v>121</v>
      </c>
      <c r="L396" s="8" t="str" cm="1">
        <f t="array" ref="L396">_xlfn.IFS(
 AND(K396&gt;=89,K396&lt;=92),"3개월",
 AND(K396&gt;=58,K396&lt;=62),"2개월",
 AND(K396&gt;=28,K396&lt;=32),"1개월",
 AND(K396=0),"당월",
 TRUE,"그외"
)</f>
        <v>그외</v>
      </c>
    </row>
    <row r="397" spans="1:12" ht="17.649999999999999" customHeight="1" x14ac:dyDescent="0.3">
      <c r="A397" s="5">
        <v>46113</v>
      </c>
      <c r="B397" s="6" t="s">
        <v>60</v>
      </c>
      <c r="C397" s="6" t="s">
        <v>66</v>
      </c>
      <c r="D397" s="5">
        <v>46023</v>
      </c>
      <c r="E397" s="6" t="s">
        <v>15</v>
      </c>
      <c r="F397" s="7">
        <v>399</v>
      </c>
      <c r="G397" s="7">
        <v>200226.17293233081</v>
      </c>
      <c r="H397" s="7">
        <v>79890243</v>
      </c>
      <c r="I397" s="7">
        <v>12911791</v>
      </c>
      <c r="J397" s="7">
        <v>0</v>
      </c>
      <c r="K397">
        <f t="shared" si="6"/>
        <v>90</v>
      </c>
      <c r="L397" s="8" t="str" cm="1">
        <f t="array" ref="L397">_xlfn.IFS(
 AND(K397&gt;=89,K397&lt;=92),"3개월",
 AND(K397&gt;=58,K397&lt;=62),"2개월",
 AND(K397&gt;=28,K397&lt;=32),"1개월",
 AND(K397=0),"당월",
 TRUE,"그외"
)</f>
        <v>3개월</v>
      </c>
    </row>
    <row r="398" spans="1:12" ht="17.649999999999999" customHeight="1" x14ac:dyDescent="0.3">
      <c r="A398" s="5">
        <v>46113</v>
      </c>
      <c r="B398" s="6" t="s">
        <v>60</v>
      </c>
      <c r="C398" s="6" t="s">
        <v>66</v>
      </c>
      <c r="D398" s="5">
        <v>46054</v>
      </c>
      <c r="E398" s="6" t="s">
        <v>14</v>
      </c>
      <c r="F398" s="7">
        <v>1474</v>
      </c>
      <c r="G398" s="7">
        <v>124528.4938941655</v>
      </c>
      <c r="H398" s="7">
        <v>183555000</v>
      </c>
      <c r="I398" s="7">
        <v>32428000</v>
      </c>
      <c r="J398" s="7">
        <v>0</v>
      </c>
      <c r="K398">
        <f t="shared" si="6"/>
        <v>59</v>
      </c>
      <c r="L398" s="8" t="str" cm="1">
        <f t="array" ref="L398">_xlfn.IFS(
 AND(K398&gt;=89,K398&lt;=92),"3개월",
 AND(K398&gt;=58,K398&lt;=62),"2개월",
 AND(K398&gt;=28,K398&lt;=32),"1개월",
 AND(K398=0),"당월",
 TRUE,"그외"
)</f>
        <v>2개월</v>
      </c>
    </row>
    <row r="399" spans="1:12" ht="17.649999999999999" customHeight="1" x14ac:dyDescent="0.3">
      <c r="A399" s="5">
        <v>46113</v>
      </c>
      <c r="B399" s="6" t="s">
        <v>60</v>
      </c>
      <c r="C399" s="6" t="s">
        <v>66</v>
      </c>
      <c r="D399" s="5">
        <v>46054</v>
      </c>
      <c r="E399" s="6" t="s">
        <v>15</v>
      </c>
      <c r="F399" s="7">
        <v>1152</v>
      </c>
      <c r="G399" s="7">
        <v>165097.73697916669</v>
      </c>
      <c r="H399" s="7">
        <v>190192593</v>
      </c>
      <c r="I399" s="7">
        <v>26000399</v>
      </c>
      <c r="J399" s="7">
        <v>0</v>
      </c>
      <c r="K399">
        <f t="shared" si="6"/>
        <v>59</v>
      </c>
      <c r="L399" s="8" t="str" cm="1">
        <f t="array" ref="L399">_xlfn.IFS(
 AND(K399&gt;=89,K399&lt;=92),"3개월",
 AND(K399&gt;=58,K399&lt;=62),"2개월",
 AND(K399&gt;=28,K399&lt;=32),"1개월",
 AND(K399=0),"당월",
 TRUE,"그외"
)</f>
        <v>2개월</v>
      </c>
    </row>
    <row r="400" spans="1:12" ht="17.649999999999999" customHeight="1" x14ac:dyDescent="0.3">
      <c r="A400" s="5">
        <v>46113</v>
      </c>
      <c r="B400" s="6" t="s">
        <v>60</v>
      </c>
      <c r="C400" s="6" t="s">
        <v>66</v>
      </c>
      <c r="D400" s="5">
        <v>46082</v>
      </c>
      <c r="E400" s="6" t="s">
        <v>14</v>
      </c>
      <c r="F400" s="7">
        <v>1067</v>
      </c>
      <c r="G400" s="7">
        <v>151252.6391752577</v>
      </c>
      <c r="H400" s="7">
        <v>161386566</v>
      </c>
      <c r="I400" s="7">
        <v>31849661</v>
      </c>
      <c r="J400" s="7">
        <v>0</v>
      </c>
      <c r="K400">
        <f t="shared" si="6"/>
        <v>31</v>
      </c>
      <c r="L400" s="8" t="str" cm="1">
        <f t="array" ref="L400">_xlfn.IFS(
 AND(K400&gt;=89,K400&lt;=92),"3개월",
 AND(K400&gt;=58,K400&lt;=62),"2개월",
 AND(K400&gt;=28,K400&lt;=32),"1개월",
 AND(K400=0),"당월",
 TRUE,"그외"
)</f>
        <v>1개월</v>
      </c>
    </row>
    <row r="401" spans="1:12" ht="17.649999999999999" customHeight="1" x14ac:dyDescent="0.3">
      <c r="A401" s="5">
        <v>46113</v>
      </c>
      <c r="B401" s="6" t="s">
        <v>60</v>
      </c>
      <c r="C401" s="6" t="s">
        <v>66</v>
      </c>
      <c r="D401" s="5">
        <v>46082</v>
      </c>
      <c r="E401" s="6" t="s">
        <v>15</v>
      </c>
      <c r="F401" s="7">
        <v>1695</v>
      </c>
      <c r="G401" s="7">
        <v>187396.93982300881</v>
      </c>
      <c r="H401" s="7">
        <v>317637813</v>
      </c>
      <c r="I401" s="7">
        <v>48557485</v>
      </c>
      <c r="J401" s="7">
        <v>0</v>
      </c>
      <c r="K401">
        <f t="shared" si="6"/>
        <v>31</v>
      </c>
      <c r="L401" s="8" t="str" cm="1">
        <f t="array" ref="L401">_xlfn.IFS(
 AND(K401&gt;=89,K401&lt;=92),"3개월",
 AND(K401&gt;=58,K401&lt;=62),"2개월",
 AND(K401&gt;=28,K401&lt;=32),"1개월",
 AND(K401=0),"당월",
 TRUE,"그외"
)</f>
        <v>1개월</v>
      </c>
    </row>
    <row r="402" spans="1:12" ht="17.649999999999999" customHeight="1" x14ac:dyDescent="0.3">
      <c r="A402" s="5">
        <v>46113</v>
      </c>
      <c r="B402" s="6" t="s">
        <v>60</v>
      </c>
      <c r="C402" s="6" t="s">
        <v>66</v>
      </c>
      <c r="D402" s="5">
        <v>46113</v>
      </c>
      <c r="E402" s="6" t="s">
        <v>14</v>
      </c>
      <c r="F402" s="7">
        <v>72</v>
      </c>
      <c r="G402" s="7">
        <v>197705.55555555559</v>
      </c>
      <c r="H402" s="7">
        <v>14234800</v>
      </c>
      <c r="I402" s="7">
        <v>3272800</v>
      </c>
      <c r="J402" s="7">
        <v>0</v>
      </c>
      <c r="K402">
        <f t="shared" si="6"/>
        <v>0</v>
      </c>
      <c r="L402" s="8" t="str" cm="1">
        <f t="array" ref="L402">_xlfn.IFS(
 AND(K402&gt;=89,K402&lt;=92),"3개월",
 AND(K402&gt;=58,K402&lt;=62),"2개월",
 AND(K402&gt;=28,K402&lt;=32),"1개월",
 AND(K402=0),"당월",
 TRUE,"그외"
)</f>
        <v>당월</v>
      </c>
    </row>
    <row r="403" spans="1:12" ht="17.649999999999999" customHeight="1" x14ac:dyDescent="0.3">
      <c r="A403" s="5">
        <v>46113</v>
      </c>
      <c r="B403" s="6" t="s">
        <v>60</v>
      </c>
      <c r="C403" s="6" t="s">
        <v>66</v>
      </c>
      <c r="D403" s="5">
        <v>46113</v>
      </c>
      <c r="E403" s="6" t="s">
        <v>15</v>
      </c>
      <c r="F403" s="7">
        <v>260</v>
      </c>
      <c r="G403" s="7">
        <v>361004.59230769228</v>
      </c>
      <c r="H403" s="7">
        <v>93861194</v>
      </c>
      <c r="I403" s="7">
        <v>20541699</v>
      </c>
      <c r="J403" s="7">
        <v>0</v>
      </c>
      <c r="K403">
        <f t="shared" si="6"/>
        <v>0</v>
      </c>
      <c r="L403" s="8" t="str" cm="1">
        <f t="array" ref="L403">_xlfn.IFS(
 AND(K403&gt;=89,K403&lt;=92),"3개월",
 AND(K403&gt;=58,K403&lt;=62),"2개월",
 AND(K403&gt;=28,K403&lt;=32),"1개월",
 AND(K403=0),"당월",
 TRUE,"그외"
)</f>
        <v>당월</v>
      </c>
    </row>
    <row r="404" spans="1:12" ht="17.649999999999999" customHeight="1" x14ac:dyDescent="0.3">
      <c r="A404" s="5">
        <v>46113</v>
      </c>
      <c r="B404" s="6" t="s">
        <v>60</v>
      </c>
      <c r="C404" s="6" t="s">
        <v>67</v>
      </c>
      <c r="D404" s="5">
        <v>45931</v>
      </c>
      <c r="E404" s="6" t="s">
        <v>15</v>
      </c>
      <c r="F404" s="7">
        <v>162</v>
      </c>
      <c r="G404" s="7">
        <v>183058.024691358</v>
      </c>
      <c r="H404" s="7">
        <v>29655400</v>
      </c>
      <c r="I404" s="7">
        <v>4357725</v>
      </c>
      <c r="J404" s="7">
        <v>0</v>
      </c>
      <c r="K404">
        <f t="shared" si="6"/>
        <v>182</v>
      </c>
      <c r="L404" s="8" t="str" cm="1">
        <f t="array" ref="L404">_xlfn.IFS(
 AND(K404&gt;=89,K404&lt;=92),"3개월",
 AND(K404&gt;=58,K404&lt;=62),"2개월",
 AND(K404&gt;=28,K404&lt;=32),"1개월",
 AND(K404=0),"당월",
 TRUE,"그외"
)</f>
        <v>그외</v>
      </c>
    </row>
    <row r="405" spans="1:12" ht="17.649999999999999" customHeight="1" x14ac:dyDescent="0.3">
      <c r="A405" s="5">
        <v>46113</v>
      </c>
      <c r="B405" s="6" t="s">
        <v>60</v>
      </c>
      <c r="C405" s="6" t="s">
        <v>67</v>
      </c>
      <c r="D405" s="5">
        <v>45962</v>
      </c>
      <c r="E405" s="6" t="s">
        <v>15</v>
      </c>
      <c r="F405" s="7">
        <v>480</v>
      </c>
      <c r="G405" s="7">
        <v>175554.11249999999</v>
      </c>
      <c r="H405" s="7">
        <v>84265974</v>
      </c>
      <c r="I405" s="7">
        <v>13106221</v>
      </c>
      <c r="J405" s="7">
        <v>0</v>
      </c>
      <c r="K405">
        <f t="shared" si="6"/>
        <v>151</v>
      </c>
      <c r="L405" s="8" t="str" cm="1">
        <f t="array" ref="L405">_xlfn.IFS(
 AND(K405&gt;=89,K405&lt;=92),"3개월",
 AND(K405&gt;=58,K405&lt;=62),"2개월",
 AND(K405&gt;=28,K405&lt;=32),"1개월",
 AND(K405=0),"당월",
 TRUE,"그외"
)</f>
        <v>그외</v>
      </c>
    </row>
    <row r="406" spans="1:12" ht="17.649999999999999" customHeight="1" x14ac:dyDescent="0.3">
      <c r="A406" s="5">
        <v>46113</v>
      </c>
      <c r="B406" s="6" t="s">
        <v>60</v>
      </c>
      <c r="C406" s="6" t="s">
        <v>67</v>
      </c>
      <c r="D406" s="5">
        <v>45992</v>
      </c>
      <c r="E406" s="6" t="s">
        <v>15</v>
      </c>
      <c r="F406" s="7">
        <v>540</v>
      </c>
      <c r="G406" s="7">
        <v>168476.49444444451</v>
      </c>
      <c r="H406" s="7">
        <v>90977307</v>
      </c>
      <c r="I406" s="7">
        <v>17117615</v>
      </c>
      <c r="J406" s="7">
        <v>0</v>
      </c>
      <c r="K406">
        <f t="shared" si="6"/>
        <v>121</v>
      </c>
      <c r="L406" s="8" t="str" cm="1">
        <f t="array" ref="L406">_xlfn.IFS(
 AND(K406&gt;=89,K406&lt;=92),"3개월",
 AND(K406&gt;=58,K406&lt;=62),"2개월",
 AND(K406&gt;=28,K406&lt;=32),"1개월",
 AND(K406=0),"당월",
 TRUE,"그외"
)</f>
        <v>그외</v>
      </c>
    </row>
    <row r="407" spans="1:12" ht="17.649999999999999" customHeight="1" x14ac:dyDescent="0.3">
      <c r="A407" s="5">
        <v>46113</v>
      </c>
      <c r="B407" s="6" t="s">
        <v>60</v>
      </c>
      <c r="C407" s="6" t="s">
        <v>67</v>
      </c>
      <c r="D407" s="5">
        <v>46023</v>
      </c>
      <c r="E407" s="6" t="s">
        <v>14</v>
      </c>
      <c r="F407" s="7">
        <v>144</v>
      </c>
      <c r="G407" s="7">
        <v>124577.7777777778</v>
      </c>
      <c r="H407" s="7">
        <v>17939200</v>
      </c>
      <c r="I407" s="7">
        <v>4651200</v>
      </c>
      <c r="J407" s="7">
        <v>0</v>
      </c>
      <c r="K407">
        <f t="shared" si="6"/>
        <v>90</v>
      </c>
      <c r="L407" s="8" t="str" cm="1">
        <f t="array" ref="L407">_xlfn.IFS(
 AND(K407&gt;=89,K407&lt;=92),"3개월",
 AND(K407&gt;=58,K407&lt;=62),"2개월",
 AND(K407&gt;=28,K407&lt;=32),"1개월",
 AND(K407=0),"당월",
 TRUE,"그외"
)</f>
        <v>3개월</v>
      </c>
    </row>
    <row r="408" spans="1:12" ht="17.649999999999999" customHeight="1" x14ac:dyDescent="0.3">
      <c r="A408" s="5">
        <v>46113</v>
      </c>
      <c r="B408" s="6" t="s">
        <v>60</v>
      </c>
      <c r="C408" s="6" t="s">
        <v>67</v>
      </c>
      <c r="D408" s="5">
        <v>46023</v>
      </c>
      <c r="E408" s="6" t="s">
        <v>15</v>
      </c>
      <c r="F408" s="7">
        <v>999</v>
      </c>
      <c r="G408" s="7">
        <v>183955.94394394389</v>
      </c>
      <c r="H408" s="7">
        <v>183771988</v>
      </c>
      <c r="I408" s="7">
        <v>31191708</v>
      </c>
      <c r="J408" s="7">
        <v>0</v>
      </c>
      <c r="K408">
        <f t="shared" si="6"/>
        <v>90</v>
      </c>
      <c r="L408" s="8" t="str" cm="1">
        <f t="array" ref="L408">_xlfn.IFS(
 AND(K408&gt;=89,K408&lt;=92),"3개월",
 AND(K408&gt;=58,K408&lt;=62),"2개월",
 AND(K408&gt;=28,K408&lt;=32),"1개월",
 AND(K408=0),"당월",
 TRUE,"그외"
)</f>
        <v>3개월</v>
      </c>
    </row>
    <row r="409" spans="1:12" ht="17.649999999999999" customHeight="1" x14ac:dyDescent="0.3">
      <c r="A409" s="5">
        <v>46113</v>
      </c>
      <c r="B409" s="6" t="s">
        <v>60</v>
      </c>
      <c r="C409" s="6" t="s">
        <v>67</v>
      </c>
      <c r="D409" s="5">
        <v>46054</v>
      </c>
      <c r="E409" s="6" t="s">
        <v>14</v>
      </c>
      <c r="F409" s="7">
        <v>2089</v>
      </c>
      <c r="G409" s="7">
        <v>130007.9463858305</v>
      </c>
      <c r="H409" s="7">
        <v>271586600</v>
      </c>
      <c r="I409" s="7">
        <v>45978600</v>
      </c>
      <c r="J409" s="7">
        <v>0</v>
      </c>
      <c r="K409">
        <f t="shared" si="6"/>
        <v>59</v>
      </c>
      <c r="L409" s="8" t="str" cm="1">
        <f t="array" ref="L409">_xlfn.IFS(
 AND(K409&gt;=89,K409&lt;=92),"3개월",
 AND(K409&gt;=58,K409&lt;=62),"2개월",
 AND(K409&gt;=28,K409&lt;=32),"1개월",
 AND(K409=0),"당월",
 TRUE,"그외"
)</f>
        <v>2개월</v>
      </c>
    </row>
    <row r="410" spans="1:12" ht="17.649999999999999" customHeight="1" x14ac:dyDescent="0.3">
      <c r="A410" s="5">
        <v>46113</v>
      </c>
      <c r="B410" s="6" t="s">
        <v>60</v>
      </c>
      <c r="C410" s="6" t="s">
        <v>67</v>
      </c>
      <c r="D410" s="5">
        <v>46054</v>
      </c>
      <c r="E410" s="6" t="s">
        <v>15</v>
      </c>
      <c r="F410" s="7">
        <v>1569</v>
      </c>
      <c r="G410" s="7">
        <v>176366.5379222435</v>
      </c>
      <c r="H410" s="7">
        <v>276719098</v>
      </c>
      <c r="I410" s="7">
        <v>35947430</v>
      </c>
      <c r="J410" s="7">
        <v>0</v>
      </c>
      <c r="K410">
        <f t="shared" si="6"/>
        <v>59</v>
      </c>
      <c r="L410" s="8" t="str" cm="1">
        <f t="array" ref="L410">_xlfn.IFS(
 AND(K410&gt;=89,K410&lt;=92),"3개월",
 AND(K410&gt;=58,K410&lt;=62),"2개월",
 AND(K410&gt;=28,K410&lt;=32),"1개월",
 AND(K410=0),"당월",
 TRUE,"그외"
)</f>
        <v>2개월</v>
      </c>
    </row>
    <row r="411" spans="1:12" ht="17.649999999999999" customHeight="1" x14ac:dyDescent="0.3">
      <c r="A411" s="5">
        <v>46113</v>
      </c>
      <c r="B411" s="6" t="s">
        <v>60</v>
      </c>
      <c r="C411" s="6" t="s">
        <v>67</v>
      </c>
      <c r="D411" s="5">
        <v>46082</v>
      </c>
      <c r="E411" s="6" t="s">
        <v>14</v>
      </c>
      <c r="F411" s="7">
        <v>2060</v>
      </c>
      <c r="G411" s="7">
        <v>141640.24271844659</v>
      </c>
      <c r="H411" s="7">
        <v>291778900</v>
      </c>
      <c r="I411" s="7">
        <v>57420900</v>
      </c>
      <c r="J411" s="7">
        <v>0</v>
      </c>
      <c r="K411">
        <f t="shared" si="6"/>
        <v>31</v>
      </c>
      <c r="L411" s="8" t="str" cm="1">
        <f t="array" ref="L411">_xlfn.IFS(
 AND(K411&gt;=89,K411&lt;=92),"3개월",
 AND(K411&gt;=58,K411&lt;=62),"2개월",
 AND(K411&gt;=28,K411&lt;=32),"1개월",
 AND(K411=0),"당월",
 TRUE,"그외"
)</f>
        <v>1개월</v>
      </c>
    </row>
    <row r="412" spans="1:12" ht="17.649999999999999" customHeight="1" x14ac:dyDescent="0.3">
      <c r="A412" s="5">
        <v>46113</v>
      </c>
      <c r="B412" s="6" t="s">
        <v>60</v>
      </c>
      <c r="C412" s="6" t="s">
        <v>67</v>
      </c>
      <c r="D412" s="5">
        <v>46082</v>
      </c>
      <c r="E412" s="6" t="s">
        <v>15</v>
      </c>
      <c r="F412" s="7">
        <v>2309</v>
      </c>
      <c r="G412" s="7">
        <v>207889.30316154179</v>
      </c>
      <c r="H412" s="7">
        <v>480016401</v>
      </c>
      <c r="I412" s="7">
        <v>65178006</v>
      </c>
      <c r="J412" s="7">
        <v>0</v>
      </c>
      <c r="K412">
        <f t="shared" si="6"/>
        <v>31</v>
      </c>
      <c r="L412" s="8" t="str" cm="1">
        <f t="array" ref="L412">_xlfn.IFS(
 AND(K412&gt;=89,K412&lt;=92),"3개월",
 AND(K412&gt;=58,K412&lt;=62),"2개월",
 AND(K412&gt;=28,K412&lt;=32),"1개월",
 AND(K412=0),"당월",
 TRUE,"그외"
)</f>
        <v>1개월</v>
      </c>
    </row>
    <row r="413" spans="1:12" ht="17.649999999999999" customHeight="1" x14ac:dyDescent="0.3">
      <c r="A413" s="5">
        <v>46113</v>
      </c>
      <c r="B413" s="6" t="s">
        <v>60</v>
      </c>
      <c r="C413" s="6" t="s">
        <v>67</v>
      </c>
      <c r="D413" s="5">
        <v>46113</v>
      </c>
      <c r="E413" s="6" t="s">
        <v>14</v>
      </c>
      <c r="F413" s="7">
        <v>11</v>
      </c>
      <c r="G413" s="7">
        <v>225645.45454545459</v>
      </c>
      <c r="H413" s="7">
        <v>2482100</v>
      </c>
      <c r="I413" s="7">
        <v>775100</v>
      </c>
      <c r="J413" s="7">
        <v>0</v>
      </c>
      <c r="K413">
        <f t="shared" si="6"/>
        <v>0</v>
      </c>
      <c r="L413" s="8" t="str" cm="1">
        <f t="array" ref="L413">_xlfn.IFS(
 AND(K413&gt;=89,K413&lt;=92),"3개월",
 AND(K413&gt;=58,K413&lt;=62),"2개월",
 AND(K413&gt;=28,K413&lt;=32),"1개월",
 AND(K413=0),"당월",
 TRUE,"그외"
)</f>
        <v>당월</v>
      </c>
    </row>
    <row r="414" spans="1:12" ht="17.649999999999999" customHeight="1" x14ac:dyDescent="0.3">
      <c r="A414" s="5">
        <v>46113</v>
      </c>
      <c r="B414" s="6" t="s">
        <v>60</v>
      </c>
      <c r="C414" s="6" t="s">
        <v>67</v>
      </c>
      <c r="D414" s="5">
        <v>46113</v>
      </c>
      <c r="E414" s="6" t="s">
        <v>15</v>
      </c>
      <c r="F414" s="7">
        <v>296</v>
      </c>
      <c r="G414" s="7">
        <v>256336.44932432429</v>
      </c>
      <c r="H414" s="7">
        <v>75875589</v>
      </c>
      <c r="I414" s="7">
        <v>20215816</v>
      </c>
      <c r="J414" s="7">
        <v>0</v>
      </c>
      <c r="K414">
        <f t="shared" si="6"/>
        <v>0</v>
      </c>
      <c r="L414" s="8" t="str" cm="1">
        <f t="array" ref="L414">_xlfn.IFS(
 AND(K414&gt;=89,K414&lt;=92),"3개월",
 AND(K414&gt;=58,K414&lt;=62),"2개월",
 AND(K414&gt;=28,K414&lt;=32),"1개월",
 AND(K414=0),"당월",
 TRUE,"그외"
)</f>
        <v>당월</v>
      </c>
    </row>
    <row r="415" spans="1:12" ht="17.649999999999999" customHeight="1" x14ac:dyDescent="0.3">
      <c r="A415" s="5">
        <v>46113</v>
      </c>
      <c r="B415" s="6" t="s">
        <v>60</v>
      </c>
      <c r="C415" s="6" t="s">
        <v>68</v>
      </c>
      <c r="D415" s="5">
        <v>45931</v>
      </c>
      <c r="E415" s="6" t="s">
        <v>15</v>
      </c>
      <c r="F415" s="7">
        <v>27</v>
      </c>
      <c r="G415" s="7">
        <v>219733.33333333331</v>
      </c>
      <c r="H415" s="7">
        <v>5932800</v>
      </c>
      <c r="I415" s="7">
        <v>712800</v>
      </c>
      <c r="J415" s="7">
        <v>0</v>
      </c>
      <c r="K415">
        <f t="shared" si="6"/>
        <v>182</v>
      </c>
      <c r="L415" s="8" t="str" cm="1">
        <f t="array" ref="L415">_xlfn.IFS(
 AND(K415&gt;=89,K415&lt;=92),"3개월",
 AND(K415&gt;=58,K415&lt;=62),"2개월",
 AND(K415&gt;=28,K415&lt;=32),"1개월",
 AND(K415=0),"당월",
 TRUE,"그외"
)</f>
        <v>그외</v>
      </c>
    </row>
    <row r="416" spans="1:12" ht="17.649999999999999" customHeight="1" x14ac:dyDescent="0.3">
      <c r="A416" s="5">
        <v>46113</v>
      </c>
      <c r="B416" s="6" t="s">
        <v>60</v>
      </c>
      <c r="C416" s="6" t="s">
        <v>68</v>
      </c>
      <c r="D416" s="5">
        <v>45962</v>
      </c>
      <c r="E416" s="6" t="s">
        <v>15</v>
      </c>
      <c r="F416" s="7">
        <v>138</v>
      </c>
      <c r="G416" s="7">
        <v>214703.88405797101</v>
      </c>
      <c r="H416" s="7">
        <v>29629136</v>
      </c>
      <c r="I416" s="7">
        <v>3684000</v>
      </c>
      <c r="J416" s="7">
        <v>0</v>
      </c>
      <c r="K416">
        <f t="shared" si="6"/>
        <v>151</v>
      </c>
      <c r="L416" s="8" t="str" cm="1">
        <f t="array" ref="L416">_xlfn.IFS(
 AND(K416&gt;=89,K416&lt;=92),"3개월",
 AND(K416&gt;=58,K416&lt;=62),"2개월",
 AND(K416&gt;=28,K416&lt;=32),"1개월",
 AND(K416=0),"당월",
 TRUE,"그외"
)</f>
        <v>그외</v>
      </c>
    </row>
    <row r="417" spans="1:12" ht="17.649999999999999" customHeight="1" x14ac:dyDescent="0.3">
      <c r="A417" s="5">
        <v>46113</v>
      </c>
      <c r="B417" s="6" t="s">
        <v>60</v>
      </c>
      <c r="C417" s="6" t="s">
        <v>68</v>
      </c>
      <c r="D417" s="5">
        <v>45992</v>
      </c>
      <c r="E417" s="6" t="s">
        <v>15</v>
      </c>
      <c r="F417" s="7">
        <v>235</v>
      </c>
      <c r="G417" s="7">
        <v>198206.5446808511</v>
      </c>
      <c r="H417" s="7">
        <v>46578538</v>
      </c>
      <c r="I417" s="7">
        <v>7394054</v>
      </c>
      <c r="J417" s="7">
        <v>0</v>
      </c>
      <c r="K417">
        <f t="shared" si="6"/>
        <v>121</v>
      </c>
      <c r="L417" s="8" t="str" cm="1">
        <f t="array" ref="L417">_xlfn.IFS(
 AND(K417&gt;=89,K417&lt;=92),"3개월",
 AND(K417&gt;=58,K417&lt;=62),"2개월",
 AND(K417&gt;=28,K417&lt;=32),"1개월",
 AND(K417=0),"당월",
 TRUE,"그외"
)</f>
        <v>그외</v>
      </c>
    </row>
    <row r="418" spans="1:12" ht="17.649999999999999" customHeight="1" x14ac:dyDescent="0.3">
      <c r="A418" s="5">
        <v>46113</v>
      </c>
      <c r="B418" s="6" t="s">
        <v>60</v>
      </c>
      <c r="C418" s="6" t="s">
        <v>68</v>
      </c>
      <c r="D418" s="5">
        <v>46023</v>
      </c>
      <c r="E418" s="6" t="s">
        <v>15</v>
      </c>
      <c r="F418" s="7">
        <v>1241</v>
      </c>
      <c r="G418" s="7">
        <v>188400.47784045129</v>
      </c>
      <c r="H418" s="7">
        <v>233804993</v>
      </c>
      <c r="I418" s="7">
        <v>40120015</v>
      </c>
      <c r="J418" s="7">
        <v>0</v>
      </c>
      <c r="K418">
        <f t="shared" si="6"/>
        <v>90</v>
      </c>
      <c r="L418" s="8" t="str" cm="1">
        <f t="array" ref="L418">_xlfn.IFS(
 AND(K418&gt;=89,K418&lt;=92),"3개월",
 AND(K418&gt;=58,K418&lt;=62),"2개월",
 AND(K418&gt;=28,K418&lt;=32),"1개월",
 AND(K418=0),"당월",
 TRUE,"그외"
)</f>
        <v>3개월</v>
      </c>
    </row>
    <row r="419" spans="1:12" ht="17.649999999999999" customHeight="1" x14ac:dyDescent="0.3">
      <c r="A419" s="5">
        <v>46113</v>
      </c>
      <c r="B419" s="6" t="s">
        <v>60</v>
      </c>
      <c r="C419" s="6" t="s">
        <v>68</v>
      </c>
      <c r="D419" s="5">
        <v>46054</v>
      </c>
      <c r="E419" s="6" t="s">
        <v>14</v>
      </c>
      <c r="F419" s="7">
        <v>1323</v>
      </c>
      <c r="G419" s="7">
        <v>146634.92063492059</v>
      </c>
      <c r="H419" s="7">
        <v>193998000</v>
      </c>
      <c r="I419" s="7">
        <v>29106000</v>
      </c>
      <c r="J419" s="7">
        <v>0</v>
      </c>
      <c r="K419">
        <f t="shared" si="6"/>
        <v>59</v>
      </c>
      <c r="L419" s="8" t="str" cm="1">
        <f t="array" ref="L419">_xlfn.IFS(
 AND(K419&gt;=89,K419&lt;=92),"3개월",
 AND(K419&gt;=58,K419&lt;=62),"2개월",
 AND(K419&gt;=28,K419&lt;=32),"1개월",
 AND(K419=0),"당월",
 TRUE,"그외"
)</f>
        <v>2개월</v>
      </c>
    </row>
    <row r="420" spans="1:12" ht="17.649999999999999" customHeight="1" x14ac:dyDescent="0.3">
      <c r="A420" s="5">
        <v>46113</v>
      </c>
      <c r="B420" s="6" t="s">
        <v>60</v>
      </c>
      <c r="C420" s="6" t="s">
        <v>68</v>
      </c>
      <c r="D420" s="5">
        <v>46054</v>
      </c>
      <c r="E420" s="6" t="s">
        <v>15</v>
      </c>
      <c r="F420" s="7">
        <v>970</v>
      </c>
      <c r="G420" s="7">
        <v>203080.84226804119</v>
      </c>
      <c r="H420" s="7">
        <v>196988417</v>
      </c>
      <c r="I420" s="7">
        <v>22513945</v>
      </c>
      <c r="J420" s="7">
        <v>0</v>
      </c>
      <c r="K420">
        <f t="shared" si="6"/>
        <v>59</v>
      </c>
      <c r="L420" s="8" t="str" cm="1">
        <f t="array" ref="L420">_xlfn.IFS(
 AND(K420&gt;=89,K420&lt;=92),"3개월",
 AND(K420&gt;=58,K420&lt;=62),"2개월",
 AND(K420&gt;=28,K420&lt;=32),"1개월",
 AND(K420=0),"당월",
 TRUE,"그외"
)</f>
        <v>2개월</v>
      </c>
    </row>
    <row r="421" spans="1:12" ht="17.649999999999999" customHeight="1" x14ac:dyDescent="0.3">
      <c r="A421" s="5">
        <v>46113</v>
      </c>
      <c r="B421" s="6" t="s">
        <v>60</v>
      </c>
      <c r="C421" s="6" t="s">
        <v>68</v>
      </c>
      <c r="D421" s="5">
        <v>46082</v>
      </c>
      <c r="E421" s="6" t="s">
        <v>14</v>
      </c>
      <c r="F421" s="7">
        <v>787</v>
      </c>
      <c r="G421" s="7">
        <v>165604.44726810671</v>
      </c>
      <c r="H421" s="7">
        <v>130330700</v>
      </c>
      <c r="I421" s="7">
        <v>21933700</v>
      </c>
      <c r="J421" s="7">
        <v>0</v>
      </c>
      <c r="K421">
        <f t="shared" si="6"/>
        <v>31</v>
      </c>
      <c r="L421" s="8" t="str" cm="1">
        <f t="array" ref="L421">_xlfn.IFS(
 AND(K421&gt;=89,K421&lt;=92),"3개월",
 AND(K421&gt;=58,K421&lt;=62),"2개월",
 AND(K421&gt;=28,K421&lt;=32),"1개월",
 AND(K421=0),"당월",
 TRUE,"그외"
)</f>
        <v>1개월</v>
      </c>
    </row>
    <row r="422" spans="1:12" ht="17.649999999999999" customHeight="1" x14ac:dyDescent="0.3">
      <c r="A422" s="5">
        <v>46113</v>
      </c>
      <c r="B422" s="6" t="s">
        <v>60</v>
      </c>
      <c r="C422" s="6" t="s">
        <v>68</v>
      </c>
      <c r="D422" s="5">
        <v>46082</v>
      </c>
      <c r="E422" s="6" t="s">
        <v>15</v>
      </c>
      <c r="F422" s="7">
        <v>1151</v>
      </c>
      <c r="G422" s="7">
        <v>203270.65855777581</v>
      </c>
      <c r="H422" s="7">
        <v>233964528</v>
      </c>
      <c r="I422" s="7">
        <v>32308094</v>
      </c>
      <c r="J422" s="7">
        <v>0</v>
      </c>
      <c r="K422">
        <f t="shared" si="6"/>
        <v>31</v>
      </c>
      <c r="L422" s="8" t="str" cm="1">
        <f t="array" ref="L422">_xlfn.IFS(
 AND(K422&gt;=89,K422&lt;=92),"3개월",
 AND(K422&gt;=58,K422&lt;=62),"2개월",
 AND(K422&gt;=28,K422&lt;=32),"1개월",
 AND(K422=0),"당월",
 TRUE,"그외"
)</f>
        <v>1개월</v>
      </c>
    </row>
    <row r="423" spans="1:12" ht="17.649999999999999" customHeight="1" x14ac:dyDescent="0.3">
      <c r="A423" s="5">
        <v>46113</v>
      </c>
      <c r="B423" s="6" t="s">
        <v>60</v>
      </c>
      <c r="C423" s="6" t="s">
        <v>68</v>
      </c>
      <c r="D423" s="5">
        <v>46113</v>
      </c>
      <c r="E423" s="6" t="s">
        <v>14</v>
      </c>
      <c r="F423" s="7">
        <v>13</v>
      </c>
      <c r="G423" s="7">
        <v>281607.69230769231</v>
      </c>
      <c r="H423" s="7">
        <v>3660900</v>
      </c>
      <c r="I423" s="7">
        <v>890900</v>
      </c>
      <c r="J423" s="7">
        <v>0</v>
      </c>
      <c r="K423">
        <f t="shared" si="6"/>
        <v>0</v>
      </c>
      <c r="L423" s="8" t="str" cm="1">
        <f t="array" ref="L423">_xlfn.IFS(
 AND(K423&gt;=89,K423&lt;=92),"3개월",
 AND(K423&gt;=58,K423&lt;=62),"2개월",
 AND(K423&gt;=28,K423&lt;=32),"1개월",
 AND(K423=0),"당월",
 TRUE,"그외"
)</f>
        <v>당월</v>
      </c>
    </row>
    <row r="424" spans="1:12" ht="17.649999999999999" customHeight="1" x14ac:dyDescent="0.3">
      <c r="A424" s="5">
        <v>46113</v>
      </c>
      <c r="B424" s="6" t="s">
        <v>60</v>
      </c>
      <c r="C424" s="6" t="s">
        <v>68</v>
      </c>
      <c r="D424" s="5">
        <v>46113</v>
      </c>
      <c r="E424" s="6" t="s">
        <v>15</v>
      </c>
      <c r="F424" s="7">
        <v>253</v>
      </c>
      <c r="G424" s="7">
        <v>275774.95256916998</v>
      </c>
      <c r="H424" s="7">
        <v>69771063</v>
      </c>
      <c r="I424" s="7">
        <v>17701762</v>
      </c>
      <c r="J424" s="7">
        <v>0</v>
      </c>
      <c r="K424">
        <f t="shared" si="6"/>
        <v>0</v>
      </c>
      <c r="L424" s="8" t="str" cm="1">
        <f t="array" ref="L424">_xlfn.IFS(
 AND(K424&gt;=89,K424&lt;=92),"3개월",
 AND(K424&gt;=58,K424&lt;=62),"2개월",
 AND(K424&gt;=28,K424&lt;=32),"1개월",
 AND(K424=0),"당월",
 TRUE,"그외"
)</f>
        <v>당월</v>
      </c>
    </row>
    <row r="425" spans="1:12" ht="17.649999999999999" customHeight="1" x14ac:dyDescent="0.3">
      <c r="A425" s="5">
        <v>46113</v>
      </c>
      <c r="B425" s="6" t="s">
        <v>60</v>
      </c>
      <c r="C425" s="6" t="s">
        <v>69</v>
      </c>
      <c r="D425" s="5">
        <v>45962</v>
      </c>
      <c r="E425" s="6" t="s">
        <v>15</v>
      </c>
      <c r="F425" s="7">
        <v>44</v>
      </c>
      <c r="G425" s="7">
        <v>207586.59090909091</v>
      </c>
      <c r="H425" s="7">
        <v>9133810</v>
      </c>
      <c r="I425" s="7">
        <v>1174800</v>
      </c>
      <c r="J425" s="7">
        <v>0</v>
      </c>
      <c r="K425">
        <f t="shared" si="6"/>
        <v>151</v>
      </c>
      <c r="L425" s="8" t="str" cm="1">
        <f t="array" ref="L425">_xlfn.IFS(
 AND(K425&gt;=89,K425&lt;=92),"3개월",
 AND(K425&gt;=58,K425&lt;=62),"2개월",
 AND(K425&gt;=28,K425&lt;=32),"1개월",
 AND(K425=0),"당월",
 TRUE,"그외"
)</f>
        <v>그외</v>
      </c>
    </row>
    <row r="426" spans="1:12" ht="17.649999999999999" customHeight="1" x14ac:dyDescent="0.3">
      <c r="A426" s="5">
        <v>46113</v>
      </c>
      <c r="B426" s="6" t="s">
        <v>60</v>
      </c>
      <c r="C426" s="6" t="s">
        <v>69</v>
      </c>
      <c r="D426" s="5">
        <v>45992</v>
      </c>
      <c r="E426" s="6" t="s">
        <v>15</v>
      </c>
      <c r="F426" s="7">
        <v>65</v>
      </c>
      <c r="G426" s="7">
        <v>198112.30769230769</v>
      </c>
      <c r="H426" s="7">
        <v>12877300</v>
      </c>
      <c r="I426" s="7">
        <v>2060500</v>
      </c>
      <c r="J426" s="7">
        <v>0</v>
      </c>
      <c r="K426">
        <f t="shared" si="6"/>
        <v>121</v>
      </c>
      <c r="L426" s="8" t="str" cm="1">
        <f t="array" ref="L426">_xlfn.IFS(
 AND(K426&gt;=89,K426&lt;=92),"3개월",
 AND(K426&gt;=58,K426&lt;=62),"2개월",
 AND(K426&gt;=28,K426&lt;=32),"1개월",
 AND(K426=0),"당월",
 TRUE,"그외"
)</f>
        <v>그외</v>
      </c>
    </row>
    <row r="427" spans="1:12" ht="17.649999999999999" customHeight="1" x14ac:dyDescent="0.3">
      <c r="A427" s="5">
        <v>46113</v>
      </c>
      <c r="B427" s="6" t="s">
        <v>60</v>
      </c>
      <c r="C427" s="6" t="s">
        <v>69</v>
      </c>
      <c r="D427" s="5">
        <v>46023</v>
      </c>
      <c r="E427" s="6" t="s">
        <v>15</v>
      </c>
      <c r="F427" s="7">
        <v>738</v>
      </c>
      <c r="G427" s="7">
        <v>187013.65447154469</v>
      </c>
      <c r="H427" s="7">
        <v>138016077</v>
      </c>
      <c r="I427" s="7">
        <v>23844763</v>
      </c>
      <c r="J427" s="7">
        <v>0</v>
      </c>
      <c r="K427">
        <f t="shared" si="6"/>
        <v>90</v>
      </c>
      <c r="L427" s="8" t="str" cm="1">
        <f t="array" ref="L427">_xlfn.IFS(
 AND(K427&gt;=89,K427&lt;=92),"3개월",
 AND(K427&gt;=58,K427&lt;=62),"2개월",
 AND(K427&gt;=28,K427&lt;=32),"1개월",
 AND(K427=0),"당월",
 TRUE,"그외"
)</f>
        <v>3개월</v>
      </c>
    </row>
    <row r="428" spans="1:12" ht="17.649999999999999" customHeight="1" x14ac:dyDescent="0.3">
      <c r="A428" s="5">
        <v>46113</v>
      </c>
      <c r="B428" s="6" t="s">
        <v>60</v>
      </c>
      <c r="C428" s="6" t="s">
        <v>69</v>
      </c>
      <c r="D428" s="5">
        <v>46054</v>
      </c>
      <c r="E428" s="6" t="s">
        <v>14</v>
      </c>
      <c r="F428" s="7">
        <v>1361</v>
      </c>
      <c r="G428" s="7">
        <v>119670.8302718589</v>
      </c>
      <c r="H428" s="7">
        <v>162872000</v>
      </c>
      <c r="I428" s="7">
        <v>29942000</v>
      </c>
      <c r="J428" s="7">
        <v>0</v>
      </c>
      <c r="K428">
        <f t="shared" si="6"/>
        <v>59</v>
      </c>
      <c r="L428" s="8" t="str" cm="1">
        <f t="array" ref="L428">_xlfn.IFS(
 AND(K428&gt;=89,K428&lt;=92),"3개월",
 AND(K428&gt;=58,K428&lt;=62),"2개월",
 AND(K428&gt;=28,K428&lt;=32),"1개월",
 AND(K428=0),"당월",
 TRUE,"그외"
)</f>
        <v>2개월</v>
      </c>
    </row>
    <row r="429" spans="1:12" ht="17.649999999999999" customHeight="1" x14ac:dyDescent="0.3">
      <c r="A429" s="5">
        <v>46113</v>
      </c>
      <c r="B429" s="6" t="s">
        <v>60</v>
      </c>
      <c r="C429" s="6" t="s">
        <v>69</v>
      </c>
      <c r="D429" s="5">
        <v>46054</v>
      </c>
      <c r="E429" s="6" t="s">
        <v>15</v>
      </c>
      <c r="F429" s="7">
        <v>1250</v>
      </c>
      <c r="G429" s="7">
        <v>189346.2568</v>
      </c>
      <c r="H429" s="7">
        <v>236682821</v>
      </c>
      <c r="I429" s="7">
        <v>28373251</v>
      </c>
      <c r="J429" s="7">
        <v>0</v>
      </c>
      <c r="K429">
        <f t="shared" si="6"/>
        <v>59</v>
      </c>
      <c r="L429" s="8" t="str" cm="1">
        <f t="array" ref="L429">_xlfn.IFS(
 AND(K429&gt;=89,K429&lt;=92),"3개월",
 AND(K429&gt;=58,K429&lt;=62),"2개월",
 AND(K429&gt;=28,K429&lt;=32),"1개월",
 AND(K429=0),"당월",
 TRUE,"그외"
)</f>
        <v>2개월</v>
      </c>
    </row>
    <row r="430" spans="1:12" ht="17.649999999999999" customHeight="1" x14ac:dyDescent="0.3">
      <c r="A430" s="5">
        <v>46113</v>
      </c>
      <c r="B430" s="6" t="s">
        <v>60</v>
      </c>
      <c r="C430" s="6" t="s">
        <v>69</v>
      </c>
      <c r="D430" s="5">
        <v>46082</v>
      </c>
      <c r="E430" s="6" t="s">
        <v>14</v>
      </c>
      <c r="F430" s="7">
        <v>890</v>
      </c>
      <c r="G430" s="7">
        <v>149472.80898876401</v>
      </c>
      <c r="H430" s="7">
        <v>133030800</v>
      </c>
      <c r="I430" s="7">
        <v>24783800</v>
      </c>
      <c r="J430" s="7">
        <v>0</v>
      </c>
      <c r="K430">
        <f t="shared" si="6"/>
        <v>31</v>
      </c>
      <c r="L430" s="8" t="str" cm="1">
        <f t="array" ref="L430">_xlfn.IFS(
 AND(K430&gt;=89,K430&lt;=92),"3개월",
 AND(K430&gt;=58,K430&lt;=62),"2개월",
 AND(K430&gt;=28,K430&lt;=32),"1개월",
 AND(K430=0),"당월",
 TRUE,"그외"
)</f>
        <v>1개월</v>
      </c>
    </row>
    <row r="431" spans="1:12" ht="17.649999999999999" customHeight="1" x14ac:dyDescent="0.3">
      <c r="A431" s="5">
        <v>46113</v>
      </c>
      <c r="B431" s="6" t="s">
        <v>60</v>
      </c>
      <c r="C431" s="6" t="s">
        <v>69</v>
      </c>
      <c r="D431" s="5">
        <v>46082</v>
      </c>
      <c r="E431" s="6" t="s">
        <v>15</v>
      </c>
      <c r="F431" s="7">
        <v>1432</v>
      </c>
      <c r="G431" s="7">
        <v>195479.93575418991</v>
      </c>
      <c r="H431" s="7">
        <v>279927268</v>
      </c>
      <c r="I431" s="7">
        <v>39789063</v>
      </c>
      <c r="J431" s="7">
        <v>0</v>
      </c>
      <c r="K431">
        <f t="shared" si="6"/>
        <v>31</v>
      </c>
      <c r="L431" s="8" t="str" cm="1">
        <f t="array" ref="L431">_xlfn.IFS(
 AND(K431&gt;=89,K431&lt;=92),"3개월",
 AND(K431&gt;=58,K431&lt;=62),"2개월",
 AND(K431&gt;=28,K431&lt;=32),"1개월",
 AND(K431=0),"당월",
 TRUE,"그외"
)</f>
        <v>1개월</v>
      </c>
    </row>
    <row r="432" spans="1:12" ht="17.649999999999999" customHeight="1" x14ac:dyDescent="0.3">
      <c r="A432" s="5">
        <v>46113</v>
      </c>
      <c r="B432" s="6" t="s">
        <v>60</v>
      </c>
      <c r="C432" s="6" t="s">
        <v>69</v>
      </c>
      <c r="D432" s="5">
        <v>46113</v>
      </c>
      <c r="E432" s="6" t="s">
        <v>14</v>
      </c>
      <c r="F432" s="7">
        <v>88</v>
      </c>
      <c r="G432" s="7">
        <v>212636.36363636359</v>
      </c>
      <c r="H432" s="7">
        <v>18712000</v>
      </c>
      <c r="I432" s="7">
        <v>6428000</v>
      </c>
      <c r="J432" s="7">
        <v>0</v>
      </c>
      <c r="K432">
        <f t="shared" si="6"/>
        <v>0</v>
      </c>
      <c r="L432" s="8" t="str" cm="1">
        <f t="array" ref="L432">_xlfn.IFS(
 AND(K432&gt;=89,K432&lt;=92),"3개월",
 AND(K432&gt;=58,K432&lt;=62),"2개월",
 AND(K432&gt;=28,K432&lt;=32),"1개월",
 AND(K432=0),"당월",
 TRUE,"그외"
)</f>
        <v>당월</v>
      </c>
    </row>
    <row r="433" spans="1:12" ht="17.649999999999999" customHeight="1" x14ac:dyDescent="0.3">
      <c r="A433" s="5">
        <v>46113</v>
      </c>
      <c r="B433" s="6" t="s">
        <v>60</v>
      </c>
      <c r="C433" s="6" t="s">
        <v>69</v>
      </c>
      <c r="D433" s="5">
        <v>46113</v>
      </c>
      <c r="E433" s="6" t="s">
        <v>15</v>
      </c>
      <c r="F433" s="7">
        <v>180</v>
      </c>
      <c r="G433" s="7">
        <v>290770.44444444438</v>
      </c>
      <c r="H433" s="7">
        <v>52338680</v>
      </c>
      <c r="I433" s="7">
        <v>12057462</v>
      </c>
      <c r="J433" s="7">
        <v>0</v>
      </c>
      <c r="K433">
        <f t="shared" si="6"/>
        <v>0</v>
      </c>
      <c r="L433" s="8" t="str" cm="1">
        <f t="array" ref="L433">_xlfn.IFS(
 AND(K433&gt;=89,K433&lt;=92),"3개월",
 AND(K433&gt;=58,K433&lt;=62),"2개월",
 AND(K433&gt;=28,K433&lt;=32),"1개월",
 AND(K433=0),"당월",
 TRUE,"그외"
)</f>
        <v>당월</v>
      </c>
    </row>
    <row r="434" spans="1:12" ht="17.649999999999999" customHeight="1" x14ac:dyDescent="0.3">
      <c r="A434" s="5">
        <v>46113</v>
      </c>
      <c r="B434" s="6" t="s">
        <v>60</v>
      </c>
      <c r="C434" s="6" t="s">
        <v>70</v>
      </c>
      <c r="D434" s="5">
        <v>45962</v>
      </c>
      <c r="E434" s="6" t="s">
        <v>15</v>
      </c>
      <c r="F434" s="7">
        <v>17</v>
      </c>
      <c r="G434" s="7">
        <v>227464.70588235301</v>
      </c>
      <c r="H434" s="7">
        <v>3866900</v>
      </c>
      <c r="I434" s="7">
        <v>453900</v>
      </c>
      <c r="J434" s="7">
        <v>0</v>
      </c>
      <c r="K434">
        <f t="shared" si="6"/>
        <v>151</v>
      </c>
      <c r="L434" s="8" t="str" cm="1">
        <f t="array" ref="L434">_xlfn.IFS(
 AND(K434&gt;=89,K434&lt;=92),"3개월",
 AND(K434&gt;=58,K434&lt;=62),"2개월",
 AND(K434&gt;=28,K434&lt;=32),"1개월",
 AND(K434=0),"당월",
 TRUE,"그외"
)</f>
        <v>그외</v>
      </c>
    </row>
    <row r="435" spans="1:12" ht="17.649999999999999" customHeight="1" x14ac:dyDescent="0.3">
      <c r="A435" s="5">
        <v>46113</v>
      </c>
      <c r="B435" s="6" t="s">
        <v>60</v>
      </c>
      <c r="C435" s="6" t="s">
        <v>70</v>
      </c>
      <c r="D435" s="5">
        <v>45992</v>
      </c>
      <c r="E435" s="6" t="s">
        <v>15</v>
      </c>
      <c r="F435" s="7">
        <v>26</v>
      </c>
      <c r="G435" s="7">
        <v>247915.3846153846</v>
      </c>
      <c r="H435" s="7">
        <v>6445800</v>
      </c>
      <c r="I435" s="7">
        <v>824200</v>
      </c>
      <c r="J435" s="7">
        <v>0</v>
      </c>
      <c r="K435">
        <f t="shared" si="6"/>
        <v>121</v>
      </c>
      <c r="L435" s="8" t="str" cm="1">
        <f t="array" ref="L435">_xlfn.IFS(
 AND(K435&gt;=89,K435&lt;=92),"3개월",
 AND(K435&gt;=58,K435&lt;=62),"2개월",
 AND(K435&gt;=28,K435&lt;=32),"1개월",
 AND(K435=0),"당월",
 TRUE,"그외"
)</f>
        <v>그외</v>
      </c>
    </row>
    <row r="436" spans="1:12" ht="17.649999999999999" customHeight="1" x14ac:dyDescent="0.3">
      <c r="A436" s="5">
        <v>46113</v>
      </c>
      <c r="B436" s="6" t="s">
        <v>60</v>
      </c>
      <c r="C436" s="6" t="s">
        <v>70</v>
      </c>
      <c r="D436" s="5">
        <v>46023</v>
      </c>
      <c r="E436" s="6" t="s">
        <v>15</v>
      </c>
      <c r="F436" s="7">
        <v>153</v>
      </c>
      <c r="G436" s="7">
        <v>223220.67973856209</v>
      </c>
      <c r="H436" s="7">
        <v>34152764</v>
      </c>
      <c r="I436" s="7">
        <v>5088464</v>
      </c>
      <c r="J436" s="7">
        <v>0</v>
      </c>
      <c r="K436">
        <f t="shared" si="6"/>
        <v>90</v>
      </c>
      <c r="L436" s="8" t="str" cm="1">
        <f t="array" ref="L436">_xlfn.IFS(
 AND(K436&gt;=89,K436&lt;=92),"3개월",
 AND(K436&gt;=58,K436&lt;=62),"2개월",
 AND(K436&gt;=28,K436&lt;=32),"1개월",
 AND(K436=0),"당월",
 TRUE,"그외"
)</f>
        <v>3개월</v>
      </c>
    </row>
    <row r="437" spans="1:12" ht="17.649999999999999" customHeight="1" x14ac:dyDescent="0.3">
      <c r="A437" s="5">
        <v>46113</v>
      </c>
      <c r="B437" s="6" t="s">
        <v>60</v>
      </c>
      <c r="C437" s="6" t="s">
        <v>70</v>
      </c>
      <c r="D437" s="5">
        <v>46054</v>
      </c>
      <c r="E437" s="6" t="s">
        <v>14</v>
      </c>
      <c r="F437" s="7">
        <v>25</v>
      </c>
      <c r="G437" s="7">
        <v>173880</v>
      </c>
      <c r="H437" s="7">
        <v>4347000</v>
      </c>
      <c r="I437" s="7">
        <v>550000</v>
      </c>
      <c r="J437" s="7">
        <v>0</v>
      </c>
      <c r="K437">
        <f t="shared" si="6"/>
        <v>59</v>
      </c>
      <c r="L437" s="8" t="str" cm="1">
        <f t="array" ref="L437">_xlfn.IFS(
 AND(K437&gt;=89,K437&lt;=92),"3개월",
 AND(K437&gt;=58,K437&lt;=62),"2개월",
 AND(K437&gt;=28,K437&lt;=32),"1개월",
 AND(K437=0),"당월",
 TRUE,"그외"
)</f>
        <v>2개월</v>
      </c>
    </row>
    <row r="438" spans="1:12" ht="17.649999999999999" customHeight="1" x14ac:dyDescent="0.3">
      <c r="A438" s="5">
        <v>46113</v>
      </c>
      <c r="B438" s="6" t="s">
        <v>60</v>
      </c>
      <c r="C438" s="6" t="s">
        <v>70</v>
      </c>
      <c r="D438" s="5">
        <v>46054</v>
      </c>
      <c r="E438" s="6" t="s">
        <v>15</v>
      </c>
      <c r="F438" s="7">
        <v>225</v>
      </c>
      <c r="G438" s="7">
        <v>180517.47111111111</v>
      </c>
      <c r="H438" s="7">
        <v>40616431</v>
      </c>
      <c r="I438" s="7">
        <v>5400909</v>
      </c>
      <c r="J438" s="7">
        <v>0</v>
      </c>
      <c r="K438">
        <f t="shared" si="6"/>
        <v>59</v>
      </c>
      <c r="L438" s="8" t="str" cm="1">
        <f t="array" ref="L438">_xlfn.IFS(
 AND(K438&gt;=89,K438&lt;=92),"3개월",
 AND(K438&gt;=58,K438&lt;=62),"2개월",
 AND(K438&gt;=28,K438&lt;=32),"1개월",
 AND(K438=0),"당월",
 TRUE,"그외"
)</f>
        <v>2개월</v>
      </c>
    </row>
    <row r="439" spans="1:12" ht="17.649999999999999" customHeight="1" x14ac:dyDescent="0.3">
      <c r="A439" s="5">
        <v>46113</v>
      </c>
      <c r="B439" s="6" t="s">
        <v>60</v>
      </c>
      <c r="C439" s="6" t="s">
        <v>70</v>
      </c>
      <c r="D439" s="5">
        <v>46082</v>
      </c>
      <c r="E439" s="6" t="s">
        <v>14</v>
      </c>
      <c r="F439" s="7">
        <v>295</v>
      </c>
      <c r="G439" s="7">
        <v>145161.01694915249</v>
      </c>
      <c r="H439" s="7">
        <v>42822500</v>
      </c>
      <c r="I439" s="7">
        <v>8230500</v>
      </c>
      <c r="J439" s="7">
        <v>0</v>
      </c>
      <c r="K439">
        <f t="shared" si="6"/>
        <v>31</v>
      </c>
      <c r="L439" s="8" t="str" cm="1">
        <f t="array" ref="L439">_xlfn.IFS(
 AND(K439&gt;=89,K439&lt;=92),"3개월",
 AND(K439&gt;=58,K439&lt;=62),"2개월",
 AND(K439&gt;=28,K439&lt;=32),"1개월",
 AND(K439=0),"당월",
 TRUE,"그외"
)</f>
        <v>1개월</v>
      </c>
    </row>
    <row r="440" spans="1:12" ht="17.649999999999999" customHeight="1" x14ac:dyDescent="0.3">
      <c r="A440" s="5">
        <v>46113</v>
      </c>
      <c r="B440" s="6" t="s">
        <v>60</v>
      </c>
      <c r="C440" s="6" t="s">
        <v>70</v>
      </c>
      <c r="D440" s="5">
        <v>46082</v>
      </c>
      <c r="E440" s="6" t="s">
        <v>15</v>
      </c>
      <c r="F440" s="7">
        <v>423</v>
      </c>
      <c r="G440" s="7">
        <v>180925.30260047279</v>
      </c>
      <c r="H440" s="7">
        <v>76531403</v>
      </c>
      <c r="I440" s="7">
        <v>14884569</v>
      </c>
      <c r="J440" s="7">
        <v>0</v>
      </c>
      <c r="K440">
        <f t="shared" si="6"/>
        <v>31</v>
      </c>
      <c r="L440" s="8" t="str" cm="1">
        <f t="array" ref="L440">_xlfn.IFS(
 AND(K440&gt;=89,K440&lt;=92),"3개월",
 AND(K440&gt;=58,K440&lt;=62),"2개월",
 AND(K440&gt;=28,K440&lt;=32),"1개월",
 AND(K440=0),"당월",
 TRUE,"그외"
)</f>
        <v>1개월</v>
      </c>
    </row>
    <row r="441" spans="1:12" ht="17.649999999999999" customHeight="1" x14ac:dyDescent="0.3">
      <c r="A441" s="5">
        <v>46113</v>
      </c>
      <c r="B441" s="6" t="s">
        <v>60</v>
      </c>
      <c r="C441" s="6" t="s">
        <v>70</v>
      </c>
      <c r="D441" s="5">
        <v>46113</v>
      </c>
      <c r="E441" s="6" t="s">
        <v>14</v>
      </c>
      <c r="F441" s="7">
        <v>6</v>
      </c>
      <c r="G441" s="7">
        <v>164733.33333333331</v>
      </c>
      <c r="H441" s="7">
        <v>988400</v>
      </c>
      <c r="I441" s="7">
        <v>407400</v>
      </c>
      <c r="J441" s="7">
        <v>0</v>
      </c>
      <c r="K441">
        <f t="shared" si="6"/>
        <v>0</v>
      </c>
      <c r="L441" s="8" t="str" cm="1">
        <f t="array" ref="L441">_xlfn.IFS(
 AND(K441&gt;=89,K441&lt;=92),"3개월",
 AND(K441&gt;=58,K441&lt;=62),"2개월",
 AND(K441&gt;=28,K441&lt;=32),"1개월",
 AND(K441=0),"당월",
 TRUE,"그외"
)</f>
        <v>당월</v>
      </c>
    </row>
    <row r="442" spans="1:12" ht="17.649999999999999" customHeight="1" x14ac:dyDescent="0.3">
      <c r="A442" s="5">
        <v>46113</v>
      </c>
      <c r="B442" s="6" t="s">
        <v>60</v>
      </c>
      <c r="C442" s="6" t="s">
        <v>70</v>
      </c>
      <c r="D442" s="5">
        <v>46113</v>
      </c>
      <c r="E442" s="6" t="s">
        <v>15</v>
      </c>
      <c r="F442" s="7">
        <v>141</v>
      </c>
      <c r="G442" s="7">
        <v>215882.16312056739</v>
      </c>
      <c r="H442" s="7">
        <v>30439385</v>
      </c>
      <c r="I442" s="7">
        <v>11360486</v>
      </c>
      <c r="J442" s="7">
        <v>0</v>
      </c>
      <c r="K442">
        <f t="shared" si="6"/>
        <v>0</v>
      </c>
      <c r="L442" s="8" t="str" cm="1">
        <f t="array" ref="L442">_xlfn.IFS(
 AND(K442&gt;=89,K442&lt;=92),"3개월",
 AND(K442&gt;=58,K442&lt;=62),"2개월",
 AND(K442&gt;=28,K442&lt;=32),"1개월",
 AND(K442=0),"당월",
 TRUE,"그외"
)</f>
        <v>당월</v>
      </c>
    </row>
    <row r="443" spans="1:12" ht="17.649999999999999" customHeight="1" x14ac:dyDescent="0.3">
      <c r="A443" s="5">
        <v>46113</v>
      </c>
      <c r="B443" s="6" t="s">
        <v>60</v>
      </c>
      <c r="C443" s="6" t="s">
        <v>71</v>
      </c>
      <c r="D443" s="5">
        <v>46023</v>
      </c>
      <c r="E443" s="6" t="s">
        <v>15</v>
      </c>
      <c r="F443" s="7">
        <v>985</v>
      </c>
      <c r="G443" s="7">
        <v>188485.7959390863</v>
      </c>
      <c r="H443" s="7">
        <v>185658509</v>
      </c>
      <c r="I443" s="7">
        <v>31991042</v>
      </c>
      <c r="J443" s="7">
        <v>0</v>
      </c>
      <c r="K443">
        <f t="shared" si="6"/>
        <v>90</v>
      </c>
      <c r="L443" s="8" t="str" cm="1">
        <f t="array" ref="L443">_xlfn.IFS(
 AND(K443&gt;=89,K443&lt;=92),"3개월",
 AND(K443&gt;=58,K443&lt;=62),"2개월",
 AND(K443&gt;=28,K443&lt;=32),"1개월",
 AND(K443=0),"당월",
 TRUE,"그외"
)</f>
        <v>3개월</v>
      </c>
    </row>
    <row r="444" spans="1:12" ht="17.649999999999999" customHeight="1" x14ac:dyDescent="0.3">
      <c r="A444" s="5">
        <v>46113</v>
      </c>
      <c r="B444" s="6" t="s">
        <v>60</v>
      </c>
      <c r="C444" s="6" t="s">
        <v>71</v>
      </c>
      <c r="D444" s="5">
        <v>46054</v>
      </c>
      <c r="E444" s="6" t="s">
        <v>14</v>
      </c>
      <c r="F444" s="7">
        <v>2079</v>
      </c>
      <c r="G444" s="7">
        <v>147000.481000481</v>
      </c>
      <c r="H444" s="7">
        <v>305614000</v>
      </c>
      <c r="I444" s="7">
        <v>45738000</v>
      </c>
      <c r="J444" s="7">
        <v>0</v>
      </c>
      <c r="K444">
        <f t="shared" si="6"/>
        <v>59</v>
      </c>
      <c r="L444" s="8" t="str" cm="1">
        <f t="array" ref="L444">_xlfn.IFS(
 AND(K444&gt;=89,K444&lt;=92),"3개월",
 AND(K444&gt;=58,K444&lt;=62),"2개월",
 AND(K444&gt;=28,K444&lt;=32),"1개월",
 AND(K444=0),"당월",
 TRUE,"그외"
)</f>
        <v>2개월</v>
      </c>
    </row>
    <row r="445" spans="1:12" ht="17.649999999999999" customHeight="1" x14ac:dyDescent="0.3">
      <c r="A445" s="5">
        <v>46113</v>
      </c>
      <c r="B445" s="6" t="s">
        <v>60</v>
      </c>
      <c r="C445" s="6" t="s">
        <v>71</v>
      </c>
      <c r="D445" s="5">
        <v>46054</v>
      </c>
      <c r="E445" s="6" t="s">
        <v>15</v>
      </c>
      <c r="F445" s="7">
        <v>1688</v>
      </c>
      <c r="G445" s="7">
        <v>184230.30331753561</v>
      </c>
      <c r="H445" s="7">
        <v>310980752</v>
      </c>
      <c r="I445" s="7">
        <v>38981975</v>
      </c>
      <c r="J445" s="7">
        <v>0</v>
      </c>
      <c r="K445">
        <f t="shared" si="6"/>
        <v>59</v>
      </c>
      <c r="L445" s="8" t="str" cm="1">
        <f t="array" ref="L445">_xlfn.IFS(
 AND(K445&gt;=89,K445&lt;=92),"3개월",
 AND(K445&gt;=58,K445&lt;=62),"2개월",
 AND(K445&gt;=28,K445&lt;=32),"1개월",
 AND(K445=0),"당월",
 TRUE,"그외"
)</f>
        <v>2개월</v>
      </c>
    </row>
    <row r="446" spans="1:12" ht="17.649999999999999" customHeight="1" x14ac:dyDescent="0.3">
      <c r="A446" s="5">
        <v>46113</v>
      </c>
      <c r="B446" s="6" t="s">
        <v>60</v>
      </c>
      <c r="C446" s="6" t="s">
        <v>71</v>
      </c>
      <c r="D446" s="5">
        <v>46082</v>
      </c>
      <c r="E446" s="6" t="s">
        <v>14</v>
      </c>
      <c r="F446" s="7">
        <v>2441</v>
      </c>
      <c r="G446" s="7">
        <v>146652.97009422371</v>
      </c>
      <c r="H446" s="7">
        <v>357979900</v>
      </c>
      <c r="I446" s="7">
        <v>68103900</v>
      </c>
      <c r="J446" s="7">
        <v>0</v>
      </c>
      <c r="K446">
        <f t="shared" si="6"/>
        <v>31</v>
      </c>
      <c r="L446" s="8" t="str" cm="1">
        <f t="array" ref="L446">_xlfn.IFS(
 AND(K446&gt;=89,K446&lt;=92),"3개월",
 AND(K446&gt;=58,K446&lt;=62),"2개월",
 AND(K446&gt;=28,K446&lt;=32),"1개월",
 AND(K446=0),"당월",
 TRUE,"그외"
)</f>
        <v>1개월</v>
      </c>
    </row>
    <row r="447" spans="1:12" ht="17.649999999999999" customHeight="1" x14ac:dyDescent="0.3">
      <c r="A447" s="5">
        <v>46113</v>
      </c>
      <c r="B447" s="6" t="s">
        <v>60</v>
      </c>
      <c r="C447" s="6" t="s">
        <v>71</v>
      </c>
      <c r="D447" s="5">
        <v>46082</v>
      </c>
      <c r="E447" s="6" t="s">
        <v>15</v>
      </c>
      <c r="F447" s="7">
        <v>2326</v>
      </c>
      <c r="G447" s="7">
        <v>204041.65477214099</v>
      </c>
      <c r="H447" s="7">
        <v>474600889</v>
      </c>
      <c r="I447" s="7">
        <v>68525176</v>
      </c>
      <c r="J447" s="7">
        <v>0</v>
      </c>
      <c r="K447">
        <f t="shared" si="6"/>
        <v>31</v>
      </c>
      <c r="L447" s="8" t="str" cm="1">
        <f t="array" ref="L447">_xlfn.IFS(
 AND(K447&gt;=89,K447&lt;=92),"3개월",
 AND(K447&gt;=58,K447&lt;=62),"2개월",
 AND(K447&gt;=28,K447&lt;=32),"1개월",
 AND(K447=0),"당월",
 TRUE,"그외"
)</f>
        <v>1개월</v>
      </c>
    </row>
    <row r="448" spans="1:12" ht="17.649999999999999" customHeight="1" x14ac:dyDescent="0.3">
      <c r="A448" s="5">
        <v>46113</v>
      </c>
      <c r="B448" s="6" t="s">
        <v>60</v>
      </c>
      <c r="C448" s="6" t="s">
        <v>71</v>
      </c>
      <c r="D448" s="5">
        <v>46113</v>
      </c>
      <c r="E448" s="6" t="s">
        <v>14</v>
      </c>
      <c r="F448" s="7">
        <v>75</v>
      </c>
      <c r="G448" s="7">
        <v>183254.66666666669</v>
      </c>
      <c r="H448" s="7">
        <v>13744100</v>
      </c>
      <c r="I448" s="7">
        <v>5957100</v>
      </c>
      <c r="J448" s="7">
        <v>0</v>
      </c>
      <c r="K448">
        <f t="shared" si="6"/>
        <v>0</v>
      </c>
      <c r="L448" s="8" t="str" cm="1">
        <f t="array" ref="L448">_xlfn.IFS(
 AND(K448&gt;=89,K448&lt;=92),"3개월",
 AND(K448&gt;=58,K448&lt;=62),"2개월",
 AND(K448&gt;=28,K448&lt;=32),"1개월",
 AND(K448=0),"당월",
 TRUE,"그외"
)</f>
        <v>당월</v>
      </c>
    </row>
    <row r="449" spans="1:12" ht="17.649999999999999" customHeight="1" x14ac:dyDescent="0.3">
      <c r="A449" s="5">
        <v>46113</v>
      </c>
      <c r="B449" s="6" t="s">
        <v>60</v>
      </c>
      <c r="C449" s="6" t="s">
        <v>71</v>
      </c>
      <c r="D449" s="5">
        <v>46113</v>
      </c>
      <c r="E449" s="6" t="s">
        <v>15</v>
      </c>
      <c r="F449" s="7">
        <v>364</v>
      </c>
      <c r="G449" s="7">
        <v>217374.37087912089</v>
      </c>
      <c r="H449" s="7">
        <v>79124271</v>
      </c>
      <c r="I449" s="7">
        <v>16938568</v>
      </c>
      <c r="J449" s="7">
        <v>0</v>
      </c>
      <c r="K449">
        <f t="shared" si="6"/>
        <v>0</v>
      </c>
      <c r="L449" s="8" t="str" cm="1">
        <f t="array" ref="L449">_xlfn.IFS(
 AND(K449&gt;=89,K449&lt;=92),"3개월",
 AND(K449&gt;=58,K449&lt;=62),"2개월",
 AND(K449&gt;=28,K449&lt;=32),"1개월",
 AND(K449=0),"당월",
 TRUE,"그외"
)</f>
        <v>당월</v>
      </c>
    </row>
    <row r="450" spans="1:12" ht="17.649999999999999" customHeight="1" x14ac:dyDescent="0.3">
      <c r="A450" s="5">
        <v>46113</v>
      </c>
      <c r="B450" s="6" t="s">
        <v>60</v>
      </c>
      <c r="C450" s="6" t="s">
        <v>72</v>
      </c>
      <c r="D450" s="5">
        <v>45962</v>
      </c>
      <c r="E450" s="6" t="s">
        <v>15</v>
      </c>
      <c r="F450" s="7">
        <v>217</v>
      </c>
      <c r="G450" s="7">
        <v>170576.56682027649</v>
      </c>
      <c r="H450" s="7">
        <v>37015115</v>
      </c>
      <c r="I450" s="7">
        <v>4545420</v>
      </c>
      <c r="J450" s="7">
        <v>0</v>
      </c>
      <c r="K450">
        <f t="shared" si="6"/>
        <v>151</v>
      </c>
      <c r="L450" s="8" t="str" cm="1">
        <f t="array" ref="L450">_xlfn.IFS(
 AND(K450&gt;=89,K450&lt;=92),"3개월",
 AND(K450&gt;=58,K450&lt;=62),"2개월",
 AND(K450&gt;=28,K450&lt;=32),"1개월",
 AND(K450=0),"당월",
 TRUE,"그외"
)</f>
        <v>그외</v>
      </c>
    </row>
    <row r="451" spans="1:12" ht="17.649999999999999" customHeight="1" x14ac:dyDescent="0.3">
      <c r="A451" s="5">
        <v>46113</v>
      </c>
      <c r="B451" s="6" t="s">
        <v>60</v>
      </c>
      <c r="C451" s="6" t="s">
        <v>72</v>
      </c>
      <c r="D451" s="5">
        <v>45992</v>
      </c>
      <c r="E451" s="6" t="s">
        <v>15</v>
      </c>
      <c r="F451" s="7">
        <v>252</v>
      </c>
      <c r="G451" s="7">
        <v>174668.0396825397</v>
      </c>
      <c r="H451" s="7">
        <v>44016346</v>
      </c>
      <c r="I451" s="7">
        <v>6112050</v>
      </c>
      <c r="J451" s="7">
        <v>0</v>
      </c>
      <c r="K451">
        <f t="shared" si="6"/>
        <v>121</v>
      </c>
      <c r="L451" s="8" t="str" cm="1">
        <f t="array" ref="L451">_xlfn.IFS(
 AND(K451&gt;=89,K451&lt;=92),"3개월",
 AND(K451&gt;=58,K451&lt;=62),"2개월",
 AND(K451&gt;=28,K451&lt;=32),"1개월",
 AND(K451=0),"당월",
 TRUE,"그외"
)</f>
        <v>그외</v>
      </c>
    </row>
    <row r="452" spans="1:12" ht="17.649999999999999" customHeight="1" x14ac:dyDescent="0.3">
      <c r="A452" s="5">
        <v>46113</v>
      </c>
      <c r="B452" s="6" t="s">
        <v>60</v>
      </c>
      <c r="C452" s="6" t="s">
        <v>72</v>
      </c>
      <c r="D452" s="5">
        <v>46023</v>
      </c>
      <c r="E452" s="6" t="s">
        <v>15</v>
      </c>
      <c r="F452" s="7">
        <v>1105</v>
      </c>
      <c r="G452" s="7">
        <v>163481.0895927602</v>
      </c>
      <c r="H452" s="7">
        <v>180646604</v>
      </c>
      <c r="I452" s="7">
        <v>27250897</v>
      </c>
      <c r="J452" s="7">
        <v>0</v>
      </c>
      <c r="K452">
        <f t="shared" si="6"/>
        <v>90</v>
      </c>
      <c r="L452" s="8" t="str" cm="1">
        <f t="array" ref="L452">_xlfn.IFS(
 AND(K452&gt;=89,K452&lt;=92),"3개월",
 AND(K452&gt;=58,K452&lt;=62),"2개월",
 AND(K452&gt;=28,K452&lt;=32),"1개월",
 AND(K452=0),"당월",
 TRUE,"그외"
)</f>
        <v>3개월</v>
      </c>
    </row>
    <row r="453" spans="1:12" ht="17.649999999999999" customHeight="1" x14ac:dyDescent="0.3">
      <c r="A453" s="5">
        <v>46113</v>
      </c>
      <c r="B453" s="6" t="s">
        <v>60</v>
      </c>
      <c r="C453" s="6" t="s">
        <v>72</v>
      </c>
      <c r="D453" s="5">
        <v>46054</v>
      </c>
      <c r="E453" s="6" t="s">
        <v>14</v>
      </c>
      <c r="F453" s="7">
        <v>502</v>
      </c>
      <c r="G453" s="7">
        <v>89466.533864541838</v>
      </c>
      <c r="H453" s="7">
        <v>44912200</v>
      </c>
      <c r="I453" s="7">
        <v>8835200</v>
      </c>
      <c r="J453" s="7">
        <v>0</v>
      </c>
      <c r="K453">
        <f t="shared" si="6"/>
        <v>59</v>
      </c>
      <c r="L453" s="8" t="str" cm="1">
        <f t="array" ref="L453">_xlfn.IFS(
 AND(K453&gt;=89,K453&lt;=92),"3개월",
 AND(K453&gt;=58,K453&lt;=62),"2개월",
 AND(K453&gt;=28,K453&lt;=32),"1개월",
 AND(K453=0),"당월",
 TRUE,"그외"
)</f>
        <v>2개월</v>
      </c>
    </row>
    <row r="454" spans="1:12" ht="17.649999999999999" customHeight="1" x14ac:dyDescent="0.3">
      <c r="A454" s="5">
        <v>46113</v>
      </c>
      <c r="B454" s="6" t="s">
        <v>60</v>
      </c>
      <c r="C454" s="6" t="s">
        <v>72</v>
      </c>
      <c r="D454" s="5">
        <v>46054</v>
      </c>
      <c r="E454" s="6" t="s">
        <v>15</v>
      </c>
      <c r="F454" s="7">
        <v>1639</v>
      </c>
      <c r="G454" s="7">
        <v>165902.08663819401</v>
      </c>
      <c r="H454" s="7">
        <v>271913520</v>
      </c>
      <c r="I454" s="7">
        <v>28516872</v>
      </c>
      <c r="J454" s="7">
        <v>0</v>
      </c>
      <c r="K454">
        <f t="shared" si="6"/>
        <v>59</v>
      </c>
      <c r="L454" s="8" t="str" cm="1">
        <f t="array" ref="L454">_xlfn.IFS(
 AND(K454&gt;=89,K454&lt;=92),"3개월",
 AND(K454&gt;=58,K454&lt;=62),"2개월",
 AND(K454&gt;=28,K454&lt;=32),"1개월",
 AND(K454=0),"당월",
 TRUE,"그외"
)</f>
        <v>2개월</v>
      </c>
    </row>
    <row r="455" spans="1:12" ht="17.649999999999999" customHeight="1" x14ac:dyDescent="0.3">
      <c r="A455" s="5">
        <v>46113</v>
      </c>
      <c r="B455" s="6" t="s">
        <v>60</v>
      </c>
      <c r="C455" s="6" t="s">
        <v>72</v>
      </c>
      <c r="D455" s="5">
        <v>46082</v>
      </c>
      <c r="E455" s="6" t="s">
        <v>14</v>
      </c>
      <c r="F455" s="7">
        <v>3187</v>
      </c>
      <c r="G455" s="7">
        <v>157340.5710699718</v>
      </c>
      <c r="H455" s="7">
        <v>501444400</v>
      </c>
      <c r="I455" s="7">
        <v>67434400</v>
      </c>
      <c r="J455" s="7">
        <v>0</v>
      </c>
      <c r="K455">
        <f t="shared" si="6"/>
        <v>31</v>
      </c>
      <c r="L455" s="8" t="str" cm="1">
        <f t="array" ref="L455">_xlfn.IFS(
 AND(K455&gt;=89,K455&lt;=92),"3개월",
 AND(K455&gt;=58,K455&lt;=62),"2개월",
 AND(K455&gt;=28,K455&lt;=32),"1개월",
 AND(K455=0),"당월",
 TRUE,"그외"
)</f>
        <v>1개월</v>
      </c>
    </row>
    <row r="456" spans="1:12" ht="17.649999999999999" customHeight="1" x14ac:dyDescent="0.3">
      <c r="A456" s="5">
        <v>46113</v>
      </c>
      <c r="B456" s="6" t="s">
        <v>60</v>
      </c>
      <c r="C456" s="6" t="s">
        <v>72</v>
      </c>
      <c r="D456" s="5">
        <v>46082</v>
      </c>
      <c r="E456" s="6" t="s">
        <v>15</v>
      </c>
      <c r="F456" s="7">
        <v>3185</v>
      </c>
      <c r="G456" s="7">
        <v>183895.57142857139</v>
      </c>
      <c r="H456" s="7">
        <v>585707395</v>
      </c>
      <c r="I456" s="7">
        <v>68644656</v>
      </c>
      <c r="J456" s="7">
        <v>0</v>
      </c>
      <c r="K456">
        <f t="shared" si="6"/>
        <v>31</v>
      </c>
      <c r="L456" s="8" t="str" cm="1">
        <f t="array" ref="L456">_xlfn.IFS(
 AND(K456&gt;=89,K456&lt;=92),"3개월",
 AND(K456&gt;=58,K456&lt;=62),"2개월",
 AND(K456&gt;=28,K456&lt;=32),"1개월",
 AND(K456=0),"당월",
 TRUE,"그외"
)</f>
        <v>1개월</v>
      </c>
    </row>
    <row r="457" spans="1:12" ht="17.649999999999999" customHeight="1" x14ac:dyDescent="0.3">
      <c r="A457" s="5">
        <v>46113</v>
      </c>
      <c r="B457" s="6" t="s">
        <v>60</v>
      </c>
      <c r="C457" s="6" t="s">
        <v>72</v>
      </c>
      <c r="D457" s="5">
        <v>46113</v>
      </c>
      <c r="E457" s="6" t="s">
        <v>14</v>
      </c>
      <c r="F457" s="7">
        <v>237</v>
      </c>
      <c r="G457" s="7">
        <v>124055.6962025316</v>
      </c>
      <c r="H457" s="7">
        <v>29401200</v>
      </c>
      <c r="I457" s="7">
        <v>14717200</v>
      </c>
      <c r="J457" s="7">
        <v>0</v>
      </c>
      <c r="K457">
        <f t="shared" si="6"/>
        <v>0</v>
      </c>
      <c r="L457" s="8" t="str" cm="1">
        <f t="array" ref="L457">_xlfn.IFS(
 AND(K457&gt;=89,K457&lt;=92),"3개월",
 AND(K457&gt;=58,K457&lt;=62),"2개월",
 AND(K457&gt;=28,K457&lt;=32),"1개월",
 AND(K457=0),"당월",
 TRUE,"그외"
)</f>
        <v>당월</v>
      </c>
    </row>
    <row r="458" spans="1:12" ht="17.649999999999999" customHeight="1" x14ac:dyDescent="0.3">
      <c r="A458" s="5">
        <v>46113</v>
      </c>
      <c r="B458" s="6" t="s">
        <v>60</v>
      </c>
      <c r="C458" s="6" t="s">
        <v>72</v>
      </c>
      <c r="D458" s="5">
        <v>46113</v>
      </c>
      <c r="E458" s="6" t="s">
        <v>15</v>
      </c>
      <c r="F458" s="7">
        <v>505</v>
      </c>
      <c r="G458" s="7">
        <v>269278.16435643559</v>
      </c>
      <c r="H458" s="7">
        <v>135985473</v>
      </c>
      <c r="I458" s="7">
        <v>30163757</v>
      </c>
      <c r="J458" s="7">
        <v>0</v>
      </c>
      <c r="K458">
        <f t="shared" ref="K458:K521" si="7">A458-D458</f>
        <v>0</v>
      </c>
      <c r="L458" s="8" t="str" cm="1">
        <f t="array" ref="L458">_xlfn.IFS(
 AND(K458&gt;=89,K458&lt;=92),"3개월",
 AND(K458&gt;=58,K458&lt;=62),"2개월",
 AND(K458&gt;=28,K458&lt;=32),"1개월",
 AND(K458=0),"당월",
 TRUE,"그외"
)</f>
        <v>당월</v>
      </c>
    </row>
    <row r="459" spans="1:12" ht="17.649999999999999" customHeight="1" x14ac:dyDescent="0.3">
      <c r="A459" s="5">
        <v>46113</v>
      </c>
      <c r="B459" s="6" t="s">
        <v>60</v>
      </c>
      <c r="C459" s="6" t="s">
        <v>73</v>
      </c>
      <c r="D459" s="5">
        <v>46054</v>
      </c>
      <c r="E459" s="6" t="s">
        <v>15</v>
      </c>
      <c r="F459" s="7">
        <v>21</v>
      </c>
      <c r="G459" s="7">
        <v>182872.0476190476</v>
      </c>
      <c r="H459" s="7">
        <v>3840313</v>
      </c>
      <c r="I459" s="7">
        <v>714406</v>
      </c>
      <c r="J459" s="7">
        <v>0</v>
      </c>
      <c r="K459">
        <f t="shared" si="7"/>
        <v>59</v>
      </c>
      <c r="L459" s="8" t="str" cm="1">
        <f t="array" ref="L459">_xlfn.IFS(
 AND(K459&gt;=89,K459&lt;=92),"3개월",
 AND(K459&gt;=58,K459&lt;=62),"2개월",
 AND(K459&gt;=28,K459&lt;=32),"1개월",
 AND(K459=0),"당월",
 TRUE,"그외"
)</f>
        <v>2개월</v>
      </c>
    </row>
    <row r="460" spans="1:12" ht="17.649999999999999" customHeight="1" x14ac:dyDescent="0.3">
      <c r="A460" s="5">
        <v>46113</v>
      </c>
      <c r="B460" s="6" t="s">
        <v>60</v>
      </c>
      <c r="C460" s="6" t="s">
        <v>73</v>
      </c>
      <c r="D460" s="5">
        <v>46113</v>
      </c>
      <c r="E460" s="6" t="s">
        <v>14</v>
      </c>
      <c r="F460" s="7">
        <v>322</v>
      </c>
      <c r="G460" s="7">
        <v>171683.86956521741</v>
      </c>
      <c r="H460" s="7">
        <v>55282206</v>
      </c>
      <c r="I460" s="7">
        <v>16744486</v>
      </c>
      <c r="J460" s="7">
        <v>0</v>
      </c>
      <c r="K460">
        <f t="shared" si="7"/>
        <v>0</v>
      </c>
      <c r="L460" s="8" t="str" cm="1">
        <f t="array" ref="L460">_xlfn.IFS(
 AND(K460&gt;=89,K460&lt;=92),"3개월",
 AND(K460&gt;=58,K460&lt;=62),"2개월",
 AND(K460&gt;=28,K460&lt;=32),"1개월",
 AND(K460=0),"당월",
 TRUE,"그외"
)</f>
        <v>당월</v>
      </c>
    </row>
    <row r="461" spans="1:12" ht="17.649999999999999" customHeight="1" x14ac:dyDescent="0.3">
      <c r="A461" s="5">
        <v>46113</v>
      </c>
      <c r="B461" s="6" t="s">
        <v>60</v>
      </c>
      <c r="C461" s="6" t="s">
        <v>73</v>
      </c>
      <c r="D461" s="5">
        <v>46113</v>
      </c>
      <c r="E461" s="6" t="s">
        <v>15</v>
      </c>
      <c r="F461" s="7">
        <v>95</v>
      </c>
      <c r="G461" s="7">
        <v>247178.93684210529</v>
      </c>
      <c r="H461" s="7">
        <v>23481999</v>
      </c>
      <c r="I461" s="7">
        <v>8539529</v>
      </c>
      <c r="J461" s="7">
        <v>0</v>
      </c>
      <c r="K461">
        <f t="shared" si="7"/>
        <v>0</v>
      </c>
      <c r="L461" s="8" t="str" cm="1">
        <f t="array" ref="L461">_xlfn.IFS(
 AND(K461&gt;=89,K461&lt;=92),"3개월",
 AND(K461&gt;=58,K461&lt;=62),"2개월",
 AND(K461&gt;=28,K461&lt;=32),"1개월",
 AND(K461=0),"당월",
 TRUE,"그외"
)</f>
        <v>당월</v>
      </c>
    </row>
    <row r="462" spans="1:12" ht="17.649999999999999" customHeight="1" x14ac:dyDescent="0.3">
      <c r="A462" s="5">
        <v>46113</v>
      </c>
      <c r="B462" s="6" t="s">
        <v>60</v>
      </c>
      <c r="C462" s="6" t="s">
        <v>74</v>
      </c>
      <c r="D462" s="5">
        <v>45962</v>
      </c>
      <c r="E462" s="6" t="s">
        <v>15</v>
      </c>
      <c r="F462" s="7">
        <v>4</v>
      </c>
      <c r="G462" s="7">
        <v>244300</v>
      </c>
      <c r="H462" s="7">
        <v>977200</v>
      </c>
      <c r="I462" s="7">
        <v>112400</v>
      </c>
      <c r="J462" s="7">
        <v>0</v>
      </c>
      <c r="K462">
        <f t="shared" si="7"/>
        <v>151</v>
      </c>
      <c r="L462" s="8" t="str" cm="1">
        <f t="array" ref="L462">_xlfn.IFS(
 AND(K462&gt;=89,K462&lt;=92),"3개월",
 AND(K462&gt;=58,K462&lt;=62),"2개월",
 AND(K462&gt;=28,K462&lt;=32),"1개월",
 AND(K462=0),"당월",
 TRUE,"그외"
)</f>
        <v>그외</v>
      </c>
    </row>
    <row r="463" spans="1:12" ht="17.649999999999999" customHeight="1" x14ac:dyDescent="0.3">
      <c r="A463" s="5">
        <v>46113</v>
      </c>
      <c r="B463" s="6" t="s">
        <v>60</v>
      </c>
      <c r="C463" s="6" t="s">
        <v>74</v>
      </c>
      <c r="D463" s="5">
        <v>45992</v>
      </c>
      <c r="E463" s="6" t="s">
        <v>15</v>
      </c>
      <c r="F463" s="7">
        <v>70</v>
      </c>
      <c r="G463" s="7">
        <v>195268.92857142861</v>
      </c>
      <c r="H463" s="7">
        <v>13668825</v>
      </c>
      <c r="I463" s="7">
        <v>1833800</v>
      </c>
      <c r="J463" s="7">
        <v>0</v>
      </c>
      <c r="K463">
        <f t="shared" si="7"/>
        <v>121</v>
      </c>
      <c r="L463" s="8" t="str" cm="1">
        <f t="array" ref="L463">_xlfn.IFS(
 AND(K463&gt;=89,K463&lt;=92),"3개월",
 AND(K463&gt;=58,K463&lt;=62),"2개월",
 AND(K463&gt;=28,K463&lt;=32),"1개월",
 AND(K463=0),"당월",
 TRUE,"그외"
)</f>
        <v>그외</v>
      </c>
    </row>
    <row r="464" spans="1:12" ht="17.649999999999999" customHeight="1" x14ac:dyDescent="0.3">
      <c r="A464" s="5">
        <v>46113</v>
      </c>
      <c r="B464" s="6" t="s">
        <v>60</v>
      </c>
      <c r="C464" s="6" t="s">
        <v>74</v>
      </c>
      <c r="D464" s="5">
        <v>46023</v>
      </c>
      <c r="E464" s="6" t="s">
        <v>15</v>
      </c>
      <c r="F464" s="7">
        <v>231</v>
      </c>
      <c r="G464" s="7">
        <v>198544.06926406929</v>
      </c>
      <c r="H464" s="7">
        <v>45863680</v>
      </c>
      <c r="I464" s="7">
        <v>8171118</v>
      </c>
      <c r="J464" s="7">
        <v>0</v>
      </c>
      <c r="K464">
        <f t="shared" si="7"/>
        <v>90</v>
      </c>
      <c r="L464" s="8" t="str" cm="1">
        <f t="array" ref="L464">_xlfn.IFS(
 AND(K464&gt;=89,K464&lt;=92),"3개월",
 AND(K464&gt;=58,K464&lt;=62),"2개월",
 AND(K464&gt;=28,K464&lt;=32),"1개월",
 AND(K464=0),"당월",
 TRUE,"그외"
)</f>
        <v>3개월</v>
      </c>
    </row>
    <row r="465" spans="1:12" ht="17.649999999999999" customHeight="1" x14ac:dyDescent="0.3">
      <c r="A465" s="5">
        <v>46113</v>
      </c>
      <c r="B465" s="6" t="s">
        <v>60</v>
      </c>
      <c r="C465" s="6" t="s">
        <v>74</v>
      </c>
      <c r="D465" s="5">
        <v>46054</v>
      </c>
      <c r="E465" s="6" t="s">
        <v>14</v>
      </c>
      <c r="F465" s="7">
        <v>38</v>
      </c>
      <c r="G465" s="7">
        <v>160842.10526315789</v>
      </c>
      <c r="H465" s="7">
        <v>6112000</v>
      </c>
      <c r="I465" s="7">
        <v>950000</v>
      </c>
      <c r="J465" s="7">
        <v>0</v>
      </c>
      <c r="K465">
        <f t="shared" si="7"/>
        <v>59</v>
      </c>
      <c r="L465" s="8" t="str" cm="1">
        <f t="array" ref="L465">_xlfn.IFS(
 AND(K465&gt;=89,K465&lt;=92),"3개월",
 AND(K465&gt;=58,K465&lt;=62),"2개월",
 AND(K465&gt;=28,K465&lt;=32),"1개월",
 AND(K465=0),"당월",
 TRUE,"그외"
)</f>
        <v>2개월</v>
      </c>
    </row>
    <row r="466" spans="1:12" ht="17.649999999999999" customHeight="1" x14ac:dyDescent="0.3">
      <c r="A466" s="5">
        <v>46113</v>
      </c>
      <c r="B466" s="6" t="s">
        <v>60</v>
      </c>
      <c r="C466" s="6" t="s">
        <v>74</v>
      </c>
      <c r="D466" s="5">
        <v>46054</v>
      </c>
      <c r="E466" s="6" t="s">
        <v>15</v>
      </c>
      <c r="F466" s="7">
        <v>242</v>
      </c>
      <c r="G466" s="7">
        <v>209315.78512396701</v>
      </c>
      <c r="H466" s="7">
        <v>50654420</v>
      </c>
      <c r="I466" s="7">
        <v>6497888</v>
      </c>
      <c r="J466" s="7">
        <v>0</v>
      </c>
      <c r="K466">
        <f t="shared" si="7"/>
        <v>59</v>
      </c>
      <c r="L466" s="8" t="str" cm="1">
        <f t="array" ref="L466">_xlfn.IFS(
 AND(K466&gt;=89,K466&lt;=92),"3개월",
 AND(K466&gt;=58,K466&lt;=62),"2개월",
 AND(K466&gt;=28,K466&lt;=32),"1개월",
 AND(K466=0),"당월",
 TRUE,"그외"
)</f>
        <v>2개월</v>
      </c>
    </row>
    <row r="467" spans="1:12" ht="17.649999999999999" customHeight="1" x14ac:dyDescent="0.3">
      <c r="A467" s="5">
        <v>46113</v>
      </c>
      <c r="B467" s="6" t="s">
        <v>60</v>
      </c>
      <c r="C467" s="6" t="s">
        <v>74</v>
      </c>
      <c r="D467" s="5">
        <v>46082</v>
      </c>
      <c r="E467" s="6" t="s">
        <v>14</v>
      </c>
      <c r="F467" s="7">
        <v>207</v>
      </c>
      <c r="G467" s="7">
        <v>158009.66183574879</v>
      </c>
      <c r="H467" s="7">
        <v>32708000</v>
      </c>
      <c r="I467" s="7">
        <v>6077000</v>
      </c>
      <c r="J467" s="7">
        <v>0</v>
      </c>
      <c r="K467">
        <f t="shared" si="7"/>
        <v>31</v>
      </c>
      <c r="L467" s="8" t="str" cm="1">
        <f t="array" ref="L467">_xlfn.IFS(
 AND(K467&gt;=89,K467&lt;=92),"3개월",
 AND(K467&gt;=58,K467&lt;=62),"2개월",
 AND(K467&gt;=28,K467&lt;=32),"1개월",
 AND(K467=0),"당월",
 TRUE,"그외"
)</f>
        <v>1개월</v>
      </c>
    </row>
    <row r="468" spans="1:12" ht="17.649999999999999" customHeight="1" x14ac:dyDescent="0.3">
      <c r="A468" s="5">
        <v>46113</v>
      </c>
      <c r="B468" s="6" t="s">
        <v>60</v>
      </c>
      <c r="C468" s="6" t="s">
        <v>74</v>
      </c>
      <c r="D468" s="5">
        <v>46082</v>
      </c>
      <c r="E468" s="6" t="s">
        <v>15</v>
      </c>
      <c r="F468" s="7">
        <v>1471</v>
      </c>
      <c r="G468" s="7">
        <v>166298.68320870161</v>
      </c>
      <c r="H468" s="7">
        <v>244625363</v>
      </c>
      <c r="I468" s="7">
        <v>45099138</v>
      </c>
      <c r="J468" s="7">
        <v>0</v>
      </c>
      <c r="K468">
        <f t="shared" si="7"/>
        <v>31</v>
      </c>
      <c r="L468" s="8" t="str" cm="1">
        <f t="array" ref="L468">_xlfn.IFS(
 AND(K468&gt;=89,K468&lt;=92),"3개월",
 AND(K468&gt;=58,K468&lt;=62),"2개월",
 AND(K468&gt;=28,K468&lt;=32),"1개월",
 AND(K468=0),"당월",
 TRUE,"그외"
)</f>
        <v>1개월</v>
      </c>
    </row>
    <row r="469" spans="1:12" ht="17.649999999999999" customHeight="1" x14ac:dyDescent="0.3">
      <c r="A469" s="5">
        <v>46113</v>
      </c>
      <c r="B469" s="6" t="s">
        <v>60</v>
      </c>
      <c r="C469" s="6" t="s">
        <v>74</v>
      </c>
      <c r="D469" s="5">
        <v>46113</v>
      </c>
      <c r="E469" s="6" t="s">
        <v>14</v>
      </c>
      <c r="F469" s="7">
        <v>20</v>
      </c>
      <c r="G469" s="7">
        <v>223200</v>
      </c>
      <c r="H469" s="7">
        <v>4464000</v>
      </c>
      <c r="I469" s="7">
        <v>1904000</v>
      </c>
      <c r="J469" s="7">
        <v>0</v>
      </c>
      <c r="K469">
        <f t="shared" si="7"/>
        <v>0</v>
      </c>
      <c r="L469" s="8" t="str" cm="1">
        <f t="array" ref="L469">_xlfn.IFS(
 AND(K469&gt;=89,K469&lt;=92),"3개월",
 AND(K469&gt;=58,K469&lt;=62),"2개월",
 AND(K469&gt;=28,K469&lt;=32),"1개월",
 AND(K469=0),"당월",
 TRUE,"그외"
)</f>
        <v>당월</v>
      </c>
    </row>
    <row r="470" spans="1:12" ht="17.649999999999999" customHeight="1" x14ac:dyDescent="0.3">
      <c r="A470" s="5">
        <v>46113</v>
      </c>
      <c r="B470" s="6" t="s">
        <v>60</v>
      </c>
      <c r="C470" s="6" t="s">
        <v>74</v>
      </c>
      <c r="D470" s="5">
        <v>46113</v>
      </c>
      <c r="E470" s="6" t="s">
        <v>15</v>
      </c>
      <c r="F470" s="7">
        <v>329</v>
      </c>
      <c r="G470" s="7">
        <v>225837.273556231</v>
      </c>
      <c r="H470" s="7">
        <v>74300463</v>
      </c>
      <c r="I470" s="7">
        <v>22760519</v>
      </c>
      <c r="J470" s="7">
        <v>0</v>
      </c>
      <c r="K470">
        <f t="shared" si="7"/>
        <v>0</v>
      </c>
      <c r="L470" s="8" t="str" cm="1">
        <f t="array" ref="L470">_xlfn.IFS(
 AND(K470&gt;=89,K470&lt;=92),"3개월",
 AND(K470&gt;=58,K470&lt;=62),"2개월",
 AND(K470&gt;=28,K470&lt;=32),"1개월",
 AND(K470=0),"당월",
 TRUE,"그외"
)</f>
        <v>당월</v>
      </c>
    </row>
    <row r="471" spans="1:12" ht="17.649999999999999" customHeight="1" x14ac:dyDescent="0.3">
      <c r="A471" s="5">
        <v>46113</v>
      </c>
      <c r="B471" s="6" t="s">
        <v>75</v>
      </c>
      <c r="C471" s="6" t="s">
        <v>76</v>
      </c>
      <c r="D471" s="5">
        <v>46023</v>
      </c>
      <c r="E471" s="6" t="s">
        <v>15</v>
      </c>
      <c r="F471" s="7">
        <v>2</v>
      </c>
      <c r="G471" s="7">
        <v>372300</v>
      </c>
      <c r="H471" s="7">
        <v>744600</v>
      </c>
      <c r="I471" s="7">
        <v>64600</v>
      </c>
      <c r="J471" s="7">
        <v>0</v>
      </c>
      <c r="K471">
        <f t="shared" si="7"/>
        <v>90</v>
      </c>
      <c r="L471" s="8" t="str" cm="1">
        <f t="array" ref="L471">_xlfn.IFS(
 AND(K471&gt;=89,K471&lt;=92),"3개월",
 AND(K471&gt;=58,K471&lt;=62),"2개월",
 AND(K471&gt;=28,K471&lt;=32),"1개월",
 AND(K471=0),"당월",
 TRUE,"그외"
)</f>
        <v>3개월</v>
      </c>
    </row>
    <row r="472" spans="1:12" ht="17.649999999999999" customHeight="1" x14ac:dyDescent="0.3">
      <c r="A472" s="5">
        <v>46113</v>
      </c>
      <c r="B472" s="6" t="s">
        <v>75</v>
      </c>
      <c r="C472" s="6" t="s">
        <v>77</v>
      </c>
      <c r="D472" s="5">
        <v>45962</v>
      </c>
      <c r="E472" s="6" t="s">
        <v>14</v>
      </c>
      <c r="F472" s="7">
        <v>8</v>
      </c>
      <c r="G472" s="7">
        <v>288377</v>
      </c>
      <c r="H472" s="7">
        <v>2307016</v>
      </c>
      <c r="I472" s="7">
        <v>605144</v>
      </c>
      <c r="J472" s="7">
        <v>0</v>
      </c>
      <c r="K472">
        <f t="shared" si="7"/>
        <v>151</v>
      </c>
      <c r="L472" s="8" t="str" cm="1">
        <f t="array" ref="L472">_xlfn.IFS(
 AND(K472&gt;=89,K472&lt;=92),"3개월",
 AND(K472&gt;=58,K472&lt;=62),"2개월",
 AND(K472&gt;=28,K472&lt;=32),"1개월",
 AND(K472=0),"당월",
 TRUE,"그외"
)</f>
        <v>그외</v>
      </c>
    </row>
    <row r="473" spans="1:12" ht="17.649999999999999" customHeight="1" x14ac:dyDescent="0.3">
      <c r="A473" s="5">
        <v>46113</v>
      </c>
      <c r="B473" s="6" t="s">
        <v>75</v>
      </c>
      <c r="C473" s="6" t="s">
        <v>77</v>
      </c>
      <c r="D473" s="5">
        <v>45962</v>
      </c>
      <c r="E473" s="6" t="s">
        <v>15</v>
      </c>
      <c r="F473" s="7">
        <v>45</v>
      </c>
      <c r="G473" s="7">
        <v>190856.08888888889</v>
      </c>
      <c r="H473" s="7">
        <v>8588524</v>
      </c>
      <c r="I473" s="7">
        <v>3408729</v>
      </c>
      <c r="J473" s="7">
        <v>0</v>
      </c>
      <c r="K473">
        <f t="shared" si="7"/>
        <v>151</v>
      </c>
      <c r="L473" s="8" t="str" cm="1">
        <f t="array" ref="L473">_xlfn.IFS(
 AND(K473&gt;=89,K473&lt;=92),"3개월",
 AND(K473&gt;=58,K473&lt;=62),"2개월",
 AND(K473&gt;=28,K473&lt;=32),"1개월",
 AND(K473=0),"당월",
 TRUE,"그외"
)</f>
        <v>그외</v>
      </c>
    </row>
    <row r="474" spans="1:12" ht="17.649999999999999" customHeight="1" x14ac:dyDescent="0.3">
      <c r="A474" s="5">
        <v>46113</v>
      </c>
      <c r="B474" s="6" t="s">
        <v>75</v>
      </c>
      <c r="C474" s="6" t="s">
        <v>77</v>
      </c>
      <c r="D474" s="5">
        <v>45992</v>
      </c>
      <c r="E474" s="6" t="s">
        <v>14</v>
      </c>
      <c r="F474" s="7">
        <v>4</v>
      </c>
      <c r="G474" s="7">
        <v>197274.5</v>
      </c>
      <c r="H474" s="7">
        <v>789098</v>
      </c>
      <c r="I474" s="7">
        <v>300632</v>
      </c>
      <c r="J474" s="7">
        <v>0</v>
      </c>
      <c r="K474">
        <f t="shared" si="7"/>
        <v>121</v>
      </c>
      <c r="L474" s="8" t="str" cm="1">
        <f t="array" ref="L474">_xlfn.IFS(
 AND(K474&gt;=89,K474&lt;=92),"3개월",
 AND(K474&gt;=58,K474&lt;=62),"2개월",
 AND(K474&gt;=28,K474&lt;=32),"1개월",
 AND(K474=0),"당월",
 TRUE,"그외"
)</f>
        <v>그외</v>
      </c>
    </row>
    <row r="475" spans="1:12" ht="17.649999999999999" customHeight="1" x14ac:dyDescent="0.3">
      <c r="A475" s="5">
        <v>46113</v>
      </c>
      <c r="B475" s="6" t="s">
        <v>75</v>
      </c>
      <c r="C475" s="6" t="s">
        <v>77</v>
      </c>
      <c r="D475" s="5">
        <v>45992</v>
      </c>
      <c r="E475" s="6" t="s">
        <v>15</v>
      </c>
      <c r="F475" s="7">
        <v>83</v>
      </c>
      <c r="G475" s="7">
        <v>204042.42168674699</v>
      </c>
      <c r="H475" s="7">
        <v>16935521</v>
      </c>
      <c r="I475" s="7">
        <v>6285137</v>
      </c>
      <c r="J475" s="7">
        <v>0</v>
      </c>
      <c r="K475">
        <f t="shared" si="7"/>
        <v>121</v>
      </c>
      <c r="L475" s="8" t="str" cm="1">
        <f t="array" ref="L475">_xlfn.IFS(
 AND(K475&gt;=89,K475&lt;=92),"3개월",
 AND(K475&gt;=58,K475&lt;=62),"2개월",
 AND(K475&gt;=28,K475&lt;=32),"1개월",
 AND(K475=0),"당월",
 TRUE,"그외"
)</f>
        <v>그외</v>
      </c>
    </row>
    <row r="476" spans="1:12" ht="17.649999999999999" customHeight="1" x14ac:dyDescent="0.3">
      <c r="A476" s="5">
        <v>46113</v>
      </c>
      <c r="B476" s="6" t="s">
        <v>75</v>
      </c>
      <c r="C476" s="6" t="s">
        <v>77</v>
      </c>
      <c r="D476" s="5">
        <v>46023</v>
      </c>
      <c r="E476" s="6" t="s">
        <v>14</v>
      </c>
      <c r="F476" s="7">
        <v>31</v>
      </c>
      <c r="G476" s="7">
        <v>250724.5161290323</v>
      </c>
      <c r="H476" s="7">
        <v>7772460</v>
      </c>
      <c r="I476" s="7">
        <v>2337194</v>
      </c>
      <c r="J476" s="7">
        <v>0</v>
      </c>
      <c r="K476">
        <f t="shared" si="7"/>
        <v>90</v>
      </c>
      <c r="L476" s="8" t="str" cm="1">
        <f t="array" ref="L476">_xlfn.IFS(
 AND(K476&gt;=89,K476&lt;=92),"3개월",
 AND(K476&gt;=58,K476&lt;=62),"2개월",
 AND(K476&gt;=28,K476&lt;=32),"1개월",
 AND(K476=0),"당월",
 TRUE,"그외"
)</f>
        <v>3개월</v>
      </c>
    </row>
    <row r="477" spans="1:12" ht="17.649999999999999" customHeight="1" x14ac:dyDescent="0.3">
      <c r="A477" s="5">
        <v>46113</v>
      </c>
      <c r="B477" s="6" t="s">
        <v>75</v>
      </c>
      <c r="C477" s="6" t="s">
        <v>77</v>
      </c>
      <c r="D477" s="5">
        <v>46023</v>
      </c>
      <c r="E477" s="6" t="s">
        <v>15</v>
      </c>
      <c r="F477" s="7">
        <v>232</v>
      </c>
      <c r="G477" s="7">
        <v>233818.10344827591</v>
      </c>
      <c r="H477" s="7">
        <v>54245800</v>
      </c>
      <c r="I477" s="7">
        <v>17300820</v>
      </c>
      <c r="J477" s="7">
        <v>0</v>
      </c>
      <c r="K477">
        <f t="shared" si="7"/>
        <v>90</v>
      </c>
      <c r="L477" s="8" t="str" cm="1">
        <f t="array" ref="L477">_xlfn.IFS(
 AND(K477&gt;=89,K477&lt;=92),"3개월",
 AND(K477&gt;=58,K477&lt;=62),"2개월",
 AND(K477&gt;=28,K477&lt;=32),"1개월",
 AND(K477=0),"당월",
 TRUE,"그외"
)</f>
        <v>3개월</v>
      </c>
    </row>
    <row r="478" spans="1:12" ht="17.649999999999999" customHeight="1" x14ac:dyDescent="0.3">
      <c r="A478" s="5">
        <v>46113</v>
      </c>
      <c r="B478" s="6" t="s">
        <v>75</v>
      </c>
      <c r="C478" s="6" t="s">
        <v>77</v>
      </c>
      <c r="D478" s="5">
        <v>46054</v>
      </c>
      <c r="E478" s="6" t="s">
        <v>14</v>
      </c>
      <c r="F478" s="7">
        <v>68</v>
      </c>
      <c r="G478" s="7">
        <v>262805.9117647059</v>
      </c>
      <c r="H478" s="7">
        <v>17870802</v>
      </c>
      <c r="I478" s="7">
        <v>6018400</v>
      </c>
      <c r="J478" s="7">
        <v>0</v>
      </c>
      <c r="K478">
        <f t="shared" si="7"/>
        <v>59</v>
      </c>
      <c r="L478" s="8" t="str" cm="1">
        <f t="array" ref="L478">_xlfn.IFS(
 AND(K478&gt;=89,K478&lt;=92),"3개월",
 AND(K478&gt;=58,K478&lt;=62),"2개월",
 AND(K478&gt;=28,K478&lt;=32),"1개월",
 AND(K478=0),"당월",
 TRUE,"그외"
)</f>
        <v>2개월</v>
      </c>
    </row>
    <row r="479" spans="1:12" ht="17.649999999999999" customHeight="1" x14ac:dyDescent="0.3">
      <c r="A479" s="5">
        <v>46113</v>
      </c>
      <c r="B479" s="6" t="s">
        <v>75</v>
      </c>
      <c r="C479" s="6" t="s">
        <v>77</v>
      </c>
      <c r="D479" s="5">
        <v>46054</v>
      </c>
      <c r="E479" s="6" t="s">
        <v>15</v>
      </c>
      <c r="F479" s="7">
        <v>202</v>
      </c>
      <c r="G479" s="7">
        <v>328997.18811881187</v>
      </c>
      <c r="H479" s="7">
        <v>66457432</v>
      </c>
      <c r="I479" s="7">
        <v>17415136</v>
      </c>
      <c r="J479" s="7">
        <v>0</v>
      </c>
      <c r="K479">
        <f t="shared" si="7"/>
        <v>59</v>
      </c>
      <c r="L479" s="8" t="str" cm="1">
        <f t="array" ref="L479">_xlfn.IFS(
 AND(K479&gt;=89,K479&lt;=92),"3개월",
 AND(K479&gt;=58,K479&lt;=62),"2개월",
 AND(K479&gt;=28,K479&lt;=32),"1개월",
 AND(K479=0),"당월",
 TRUE,"그외"
)</f>
        <v>2개월</v>
      </c>
    </row>
    <row r="480" spans="1:12" ht="17.649999999999999" customHeight="1" x14ac:dyDescent="0.3">
      <c r="A480" s="5">
        <v>46113</v>
      </c>
      <c r="B480" s="6" t="s">
        <v>75</v>
      </c>
      <c r="C480" s="6" t="s">
        <v>77</v>
      </c>
      <c r="D480" s="5">
        <v>46082</v>
      </c>
      <c r="E480" s="6" t="s">
        <v>14</v>
      </c>
      <c r="F480" s="7">
        <v>335</v>
      </c>
      <c r="G480" s="7">
        <v>250165.26268656721</v>
      </c>
      <c r="H480" s="7">
        <v>83805363</v>
      </c>
      <c r="I480" s="7">
        <v>29464487</v>
      </c>
      <c r="J480" s="7">
        <v>0</v>
      </c>
      <c r="K480">
        <f t="shared" si="7"/>
        <v>31</v>
      </c>
      <c r="L480" s="8" t="str" cm="1">
        <f t="array" ref="L480">_xlfn.IFS(
 AND(K480&gt;=89,K480&lt;=92),"3개월",
 AND(K480&gt;=58,K480&lt;=62),"2개월",
 AND(K480&gt;=28,K480&lt;=32),"1개월",
 AND(K480=0),"당월",
 TRUE,"그외"
)</f>
        <v>1개월</v>
      </c>
    </row>
    <row r="481" spans="1:12" ht="17.649999999999999" customHeight="1" x14ac:dyDescent="0.3">
      <c r="A481" s="5">
        <v>46113</v>
      </c>
      <c r="B481" s="6" t="s">
        <v>75</v>
      </c>
      <c r="C481" s="6" t="s">
        <v>77</v>
      </c>
      <c r="D481" s="5">
        <v>46082</v>
      </c>
      <c r="E481" s="6" t="s">
        <v>15</v>
      </c>
      <c r="F481" s="7">
        <v>214</v>
      </c>
      <c r="G481" s="7">
        <v>293504.01869158878</v>
      </c>
      <c r="H481" s="7">
        <v>62809860</v>
      </c>
      <c r="I481" s="7">
        <v>18083598</v>
      </c>
      <c r="J481" s="7">
        <v>0</v>
      </c>
      <c r="K481">
        <f t="shared" si="7"/>
        <v>31</v>
      </c>
      <c r="L481" s="8" t="str" cm="1">
        <f t="array" ref="L481">_xlfn.IFS(
 AND(K481&gt;=89,K481&lt;=92),"3개월",
 AND(K481&gt;=58,K481&lt;=62),"2개월",
 AND(K481&gt;=28,K481&lt;=32),"1개월",
 AND(K481=0),"당월",
 TRUE,"그외"
)</f>
        <v>1개월</v>
      </c>
    </row>
    <row r="482" spans="1:12" ht="17.649999999999999" customHeight="1" x14ac:dyDescent="0.3">
      <c r="A482" s="5">
        <v>46113</v>
      </c>
      <c r="B482" s="6" t="s">
        <v>75</v>
      </c>
      <c r="C482" s="6" t="s">
        <v>77</v>
      </c>
      <c r="D482" s="5">
        <v>46113</v>
      </c>
      <c r="E482" s="6" t="s">
        <v>15</v>
      </c>
      <c r="F482" s="7">
        <v>13</v>
      </c>
      <c r="G482" s="7">
        <v>449421.53846153838</v>
      </c>
      <c r="H482" s="7">
        <v>5842480</v>
      </c>
      <c r="I482" s="7">
        <v>1098762</v>
      </c>
      <c r="J482" s="7">
        <v>0</v>
      </c>
      <c r="K482">
        <f t="shared" si="7"/>
        <v>0</v>
      </c>
      <c r="L482" s="8" t="str" cm="1">
        <f t="array" ref="L482">_xlfn.IFS(
 AND(K482&gt;=89,K482&lt;=92),"3개월",
 AND(K482&gt;=58,K482&lt;=62),"2개월",
 AND(K482&gt;=28,K482&lt;=32),"1개월",
 AND(K482=0),"당월",
 TRUE,"그외"
)</f>
        <v>당월</v>
      </c>
    </row>
    <row r="483" spans="1:12" ht="17.649999999999999" customHeight="1" x14ac:dyDescent="0.3">
      <c r="A483" s="5">
        <v>46113</v>
      </c>
      <c r="B483" s="6" t="s">
        <v>75</v>
      </c>
      <c r="C483" s="6" t="s">
        <v>78</v>
      </c>
      <c r="D483" s="5">
        <v>46082</v>
      </c>
      <c r="E483" s="6" t="s">
        <v>15</v>
      </c>
      <c r="F483" s="7">
        <v>696</v>
      </c>
      <c r="G483" s="7">
        <v>431391.12068965519</v>
      </c>
      <c r="H483" s="7">
        <v>300248220</v>
      </c>
      <c r="I483" s="7">
        <v>0</v>
      </c>
      <c r="J483" s="7">
        <v>0</v>
      </c>
      <c r="K483">
        <f t="shared" si="7"/>
        <v>31</v>
      </c>
      <c r="L483" s="8" t="str" cm="1">
        <f t="array" ref="L483">_xlfn.IFS(
 AND(K483&gt;=89,K483&lt;=92),"3개월",
 AND(K483&gt;=58,K483&lt;=62),"2개월",
 AND(K483&gt;=28,K483&lt;=32),"1개월",
 AND(K483=0),"당월",
 TRUE,"그외"
)</f>
        <v>1개월</v>
      </c>
    </row>
    <row r="484" spans="1:12" ht="17.649999999999999" customHeight="1" x14ac:dyDescent="0.3">
      <c r="A484" s="5">
        <v>46113</v>
      </c>
      <c r="B484" s="6" t="s">
        <v>75</v>
      </c>
      <c r="C484" s="6" t="s">
        <v>79</v>
      </c>
      <c r="D484" s="5">
        <v>46023</v>
      </c>
      <c r="E484" s="6" t="s">
        <v>14</v>
      </c>
      <c r="F484" s="7">
        <v>3</v>
      </c>
      <c r="G484" s="7">
        <v>97466.666666666672</v>
      </c>
      <c r="H484" s="7">
        <v>292400</v>
      </c>
      <c r="I484" s="7">
        <v>96900</v>
      </c>
      <c r="J484" s="7">
        <v>0</v>
      </c>
      <c r="K484">
        <f t="shared" si="7"/>
        <v>90</v>
      </c>
      <c r="L484" s="8" t="str" cm="1">
        <f t="array" ref="L484">_xlfn.IFS(
 AND(K484&gt;=89,K484&lt;=92),"3개월",
 AND(K484&gt;=58,K484&lt;=62),"2개월",
 AND(K484&gt;=28,K484&lt;=32),"1개월",
 AND(K484=0),"당월",
 TRUE,"그외"
)</f>
        <v>3개월</v>
      </c>
    </row>
    <row r="485" spans="1:12" ht="17.649999999999999" customHeight="1" x14ac:dyDescent="0.3">
      <c r="A485" s="5">
        <v>46113</v>
      </c>
      <c r="B485" s="6" t="s">
        <v>75</v>
      </c>
      <c r="C485" s="6" t="s">
        <v>79</v>
      </c>
      <c r="D485" s="5">
        <v>46023</v>
      </c>
      <c r="E485" s="6" t="s">
        <v>15</v>
      </c>
      <c r="F485" s="7">
        <v>94</v>
      </c>
      <c r="G485" s="7">
        <v>171445.25531914891</v>
      </c>
      <c r="H485" s="7">
        <v>16115854</v>
      </c>
      <c r="I485" s="7">
        <v>3708688</v>
      </c>
      <c r="J485" s="7">
        <v>0</v>
      </c>
      <c r="K485">
        <f t="shared" si="7"/>
        <v>90</v>
      </c>
      <c r="L485" s="8" t="str" cm="1">
        <f t="array" ref="L485">_xlfn.IFS(
 AND(K485&gt;=89,K485&lt;=92),"3개월",
 AND(K485&gt;=58,K485&lt;=62),"2개월",
 AND(K485&gt;=28,K485&lt;=32),"1개월",
 AND(K485=0),"당월",
 TRUE,"그외"
)</f>
        <v>3개월</v>
      </c>
    </row>
    <row r="486" spans="1:12" ht="17.649999999999999" customHeight="1" x14ac:dyDescent="0.3">
      <c r="A486" s="5">
        <v>46113</v>
      </c>
      <c r="B486" s="6" t="s">
        <v>75</v>
      </c>
      <c r="C486" s="6" t="s">
        <v>79</v>
      </c>
      <c r="D486" s="5">
        <v>46054</v>
      </c>
      <c r="E486" s="6" t="s">
        <v>14</v>
      </c>
      <c r="F486" s="7">
        <v>87</v>
      </c>
      <c r="G486" s="7">
        <v>86419.540229885053</v>
      </c>
      <c r="H486" s="7">
        <v>7518500</v>
      </c>
      <c r="I486" s="7">
        <v>1914000</v>
      </c>
      <c r="J486" s="7">
        <v>0</v>
      </c>
      <c r="K486">
        <f t="shared" si="7"/>
        <v>59</v>
      </c>
      <c r="L486" s="8" t="str" cm="1">
        <f t="array" ref="L486">_xlfn.IFS(
 AND(K486&gt;=89,K486&lt;=92),"3개월",
 AND(K486&gt;=58,K486&lt;=62),"2개월",
 AND(K486&gt;=28,K486&lt;=32),"1개월",
 AND(K486=0),"당월",
 TRUE,"그외"
)</f>
        <v>2개월</v>
      </c>
    </row>
    <row r="487" spans="1:12" ht="17.649999999999999" customHeight="1" x14ac:dyDescent="0.3">
      <c r="A487" s="5">
        <v>46113</v>
      </c>
      <c r="B487" s="6" t="s">
        <v>75</v>
      </c>
      <c r="C487" s="6" t="s">
        <v>79</v>
      </c>
      <c r="D487" s="5">
        <v>46054</v>
      </c>
      <c r="E487" s="6" t="s">
        <v>15</v>
      </c>
      <c r="F487" s="7">
        <v>367</v>
      </c>
      <c r="G487" s="7">
        <v>155939.6158038147</v>
      </c>
      <c r="H487" s="7">
        <v>57229839</v>
      </c>
      <c r="I487" s="7">
        <v>9717797</v>
      </c>
      <c r="J487" s="7">
        <v>0</v>
      </c>
      <c r="K487">
        <f t="shared" si="7"/>
        <v>59</v>
      </c>
      <c r="L487" s="8" t="str" cm="1">
        <f t="array" ref="L487">_xlfn.IFS(
 AND(K487&gt;=89,K487&lt;=92),"3개월",
 AND(K487&gt;=58,K487&lt;=62),"2개월",
 AND(K487&gt;=28,K487&lt;=32),"1개월",
 AND(K487=0),"당월",
 TRUE,"그외"
)</f>
        <v>2개월</v>
      </c>
    </row>
    <row r="488" spans="1:12" ht="17.649999999999999" customHeight="1" x14ac:dyDescent="0.3">
      <c r="A488" s="5">
        <v>46113</v>
      </c>
      <c r="B488" s="6" t="s">
        <v>75</v>
      </c>
      <c r="C488" s="6" t="s">
        <v>79</v>
      </c>
      <c r="D488" s="5">
        <v>46082</v>
      </c>
      <c r="E488" s="6" t="s">
        <v>14</v>
      </c>
      <c r="F488" s="7">
        <v>447</v>
      </c>
      <c r="G488" s="7">
        <v>138311.6331096197</v>
      </c>
      <c r="H488" s="7">
        <v>61825300</v>
      </c>
      <c r="I488" s="7">
        <v>12471300</v>
      </c>
      <c r="J488" s="7">
        <v>0</v>
      </c>
      <c r="K488">
        <f t="shared" si="7"/>
        <v>31</v>
      </c>
      <c r="L488" s="8" t="str" cm="1">
        <f t="array" ref="L488">_xlfn.IFS(
 AND(K488&gt;=89,K488&lt;=92),"3개월",
 AND(K488&gt;=58,K488&lt;=62),"2개월",
 AND(K488&gt;=28,K488&lt;=32),"1개월",
 AND(K488=0),"당월",
 TRUE,"그외"
)</f>
        <v>1개월</v>
      </c>
    </row>
    <row r="489" spans="1:12" ht="17.649999999999999" customHeight="1" x14ac:dyDescent="0.3">
      <c r="A489" s="5">
        <v>46113</v>
      </c>
      <c r="B489" s="6" t="s">
        <v>75</v>
      </c>
      <c r="C489" s="6" t="s">
        <v>79</v>
      </c>
      <c r="D489" s="5">
        <v>46082</v>
      </c>
      <c r="E489" s="6" t="s">
        <v>15</v>
      </c>
      <c r="F489" s="7">
        <v>964</v>
      </c>
      <c r="G489" s="7">
        <v>182552.36514522819</v>
      </c>
      <c r="H489" s="7">
        <v>175980480</v>
      </c>
      <c r="I489" s="7">
        <v>36393763</v>
      </c>
      <c r="J489" s="7">
        <v>0</v>
      </c>
      <c r="K489">
        <f t="shared" si="7"/>
        <v>31</v>
      </c>
      <c r="L489" s="8" t="str" cm="1">
        <f t="array" ref="L489">_xlfn.IFS(
 AND(K489&gt;=89,K489&lt;=92),"3개월",
 AND(K489&gt;=58,K489&lt;=62),"2개월",
 AND(K489&gt;=28,K489&lt;=32),"1개월",
 AND(K489=0),"당월",
 TRUE,"그외"
)</f>
        <v>1개월</v>
      </c>
    </row>
    <row r="490" spans="1:12" ht="17.649999999999999" customHeight="1" x14ac:dyDescent="0.3">
      <c r="A490" s="5">
        <v>46113</v>
      </c>
      <c r="B490" s="6" t="s">
        <v>75</v>
      </c>
      <c r="C490" s="6" t="s">
        <v>79</v>
      </c>
      <c r="D490" s="5">
        <v>46113</v>
      </c>
      <c r="E490" s="6" t="s">
        <v>14</v>
      </c>
      <c r="F490" s="7">
        <v>43</v>
      </c>
      <c r="G490" s="7">
        <v>142132.5581395349</v>
      </c>
      <c r="H490" s="7">
        <v>6111700</v>
      </c>
      <c r="I490" s="7">
        <v>2399700</v>
      </c>
      <c r="J490" s="7">
        <v>0</v>
      </c>
      <c r="K490">
        <f t="shared" si="7"/>
        <v>0</v>
      </c>
      <c r="L490" s="8" t="str" cm="1">
        <f t="array" ref="L490">_xlfn.IFS(
 AND(K490&gt;=89,K490&lt;=92),"3개월",
 AND(K490&gt;=58,K490&lt;=62),"2개월",
 AND(K490&gt;=28,K490&lt;=32),"1개월",
 AND(K490=0),"당월",
 TRUE,"그외"
)</f>
        <v>당월</v>
      </c>
    </row>
    <row r="491" spans="1:12" ht="17.649999999999999" customHeight="1" x14ac:dyDescent="0.3">
      <c r="A491" s="5">
        <v>46113</v>
      </c>
      <c r="B491" s="6" t="s">
        <v>75</v>
      </c>
      <c r="C491" s="6" t="s">
        <v>79</v>
      </c>
      <c r="D491" s="5">
        <v>46113</v>
      </c>
      <c r="E491" s="6" t="s">
        <v>15</v>
      </c>
      <c r="F491" s="7">
        <v>551</v>
      </c>
      <c r="G491" s="7">
        <v>259039.25408348459</v>
      </c>
      <c r="H491" s="7">
        <v>142730629</v>
      </c>
      <c r="I491" s="7">
        <v>35114819</v>
      </c>
      <c r="J491" s="7">
        <v>0</v>
      </c>
      <c r="K491">
        <f t="shared" si="7"/>
        <v>0</v>
      </c>
      <c r="L491" s="8" t="str" cm="1">
        <f t="array" ref="L491">_xlfn.IFS(
 AND(K491&gt;=89,K491&lt;=92),"3개월",
 AND(K491&gt;=58,K491&lt;=62),"2개월",
 AND(K491&gt;=28,K491&lt;=32),"1개월",
 AND(K491=0),"당월",
 TRUE,"그외"
)</f>
        <v>당월</v>
      </c>
    </row>
    <row r="492" spans="1:12" ht="17.649999999999999" customHeight="1" x14ac:dyDescent="0.3">
      <c r="A492" s="5">
        <v>46113</v>
      </c>
      <c r="B492" s="6" t="s">
        <v>75</v>
      </c>
      <c r="C492" s="6" t="s">
        <v>80</v>
      </c>
      <c r="D492" s="5">
        <v>45931</v>
      </c>
      <c r="E492" s="6" t="s">
        <v>15</v>
      </c>
      <c r="F492" s="7">
        <v>222</v>
      </c>
      <c r="G492" s="7">
        <v>385630.46396396402</v>
      </c>
      <c r="H492" s="7">
        <v>85609963</v>
      </c>
      <c r="I492" s="7">
        <v>3143800</v>
      </c>
      <c r="J492" s="7">
        <v>0</v>
      </c>
      <c r="K492">
        <f t="shared" si="7"/>
        <v>182</v>
      </c>
      <c r="L492" s="8" t="str" cm="1">
        <f t="array" ref="L492">_xlfn.IFS(
 AND(K492&gt;=89,K492&lt;=92),"3개월",
 AND(K492&gt;=58,K492&lt;=62),"2개월",
 AND(K492&gt;=28,K492&lt;=32),"1개월",
 AND(K492=0),"당월",
 TRUE,"그외"
)</f>
        <v>그외</v>
      </c>
    </row>
    <row r="493" spans="1:12" ht="17.649999999999999" customHeight="1" x14ac:dyDescent="0.3">
      <c r="A493" s="5">
        <v>46113</v>
      </c>
      <c r="B493" s="6" t="s">
        <v>75</v>
      </c>
      <c r="C493" s="6" t="s">
        <v>80</v>
      </c>
      <c r="D493" s="5">
        <v>45962</v>
      </c>
      <c r="E493" s="6" t="s">
        <v>15</v>
      </c>
      <c r="F493" s="7">
        <v>215</v>
      </c>
      <c r="G493" s="7">
        <v>400273.24186046509</v>
      </c>
      <c r="H493" s="7">
        <v>86058747</v>
      </c>
      <c r="I493" s="7">
        <v>5724303</v>
      </c>
      <c r="J493" s="7">
        <v>0</v>
      </c>
      <c r="K493">
        <f t="shared" si="7"/>
        <v>151</v>
      </c>
      <c r="L493" s="8" t="str" cm="1">
        <f t="array" ref="L493">_xlfn.IFS(
 AND(K493&gt;=89,K493&lt;=92),"3개월",
 AND(K493&gt;=58,K493&lt;=62),"2개월",
 AND(K493&gt;=28,K493&lt;=32),"1개월",
 AND(K493=0),"당월",
 TRUE,"그외"
)</f>
        <v>그외</v>
      </c>
    </row>
    <row r="494" spans="1:12" ht="17.649999999999999" customHeight="1" x14ac:dyDescent="0.3">
      <c r="A494" s="5">
        <v>46113</v>
      </c>
      <c r="B494" s="6" t="s">
        <v>75</v>
      </c>
      <c r="C494" s="6" t="s">
        <v>80</v>
      </c>
      <c r="D494" s="5">
        <v>45992</v>
      </c>
      <c r="E494" s="6" t="s">
        <v>15</v>
      </c>
      <c r="F494" s="7">
        <v>214</v>
      </c>
      <c r="G494" s="7">
        <v>429308.0981308411</v>
      </c>
      <c r="H494" s="7">
        <v>91871933</v>
      </c>
      <c r="I494" s="7">
        <v>6886241</v>
      </c>
      <c r="J494" s="7">
        <v>0</v>
      </c>
      <c r="K494">
        <f t="shared" si="7"/>
        <v>121</v>
      </c>
      <c r="L494" s="8" t="str" cm="1">
        <f t="array" ref="L494">_xlfn.IFS(
 AND(K494&gt;=89,K494&lt;=92),"3개월",
 AND(K494&gt;=58,K494&lt;=62),"2개월",
 AND(K494&gt;=28,K494&lt;=32),"1개월",
 AND(K494=0),"당월",
 TRUE,"그외"
)</f>
        <v>그외</v>
      </c>
    </row>
    <row r="495" spans="1:12" ht="17.649999999999999" customHeight="1" x14ac:dyDescent="0.3">
      <c r="A495" s="5">
        <v>46113</v>
      </c>
      <c r="B495" s="6" t="s">
        <v>75</v>
      </c>
      <c r="C495" s="6" t="s">
        <v>80</v>
      </c>
      <c r="D495" s="5">
        <v>46023</v>
      </c>
      <c r="E495" s="6" t="s">
        <v>14</v>
      </c>
      <c r="F495" s="7">
        <v>2</v>
      </c>
      <c r="G495" s="7">
        <v>280400</v>
      </c>
      <c r="H495" s="7">
        <v>560800</v>
      </c>
      <c r="I495" s="7">
        <v>158800</v>
      </c>
      <c r="J495" s="7">
        <v>0</v>
      </c>
      <c r="K495">
        <f t="shared" si="7"/>
        <v>90</v>
      </c>
      <c r="L495" s="8" t="str" cm="1">
        <f t="array" ref="L495">_xlfn.IFS(
 AND(K495&gt;=89,K495&lt;=92),"3개월",
 AND(K495&gt;=58,K495&lt;=62),"2개월",
 AND(K495&gt;=28,K495&lt;=32),"1개월",
 AND(K495=0),"당월",
 TRUE,"그외"
)</f>
        <v>3개월</v>
      </c>
    </row>
    <row r="496" spans="1:12" ht="17.649999999999999" customHeight="1" x14ac:dyDescent="0.3">
      <c r="A496" s="5">
        <v>46113</v>
      </c>
      <c r="B496" s="6" t="s">
        <v>75</v>
      </c>
      <c r="C496" s="6" t="s">
        <v>80</v>
      </c>
      <c r="D496" s="5">
        <v>46023</v>
      </c>
      <c r="E496" s="6" t="s">
        <v>15</v>
      </c>
      <c r="F496" s="7">
        <v>796</v>
      </c>
      <c r="G496" s="7">
        <v>475332.11934673373</v>
      </c>
      <c r="H496" s="7">
        <v>378364367</v>
      </c>
      <c r="I496" s="7">
        <v>21554488</v>
      </c>
      <c r="J496" s="7">
        <v>0</v>
      </c>
      <c r="K496">
        <f t="shared" si="7"/>
        <v>90</v>
      </c>
      <c r="L496" s="8" t="str" cm="1">
        <f t="array" ref="L496">_xlfn.IFS(
 AND(K496&gt;=89,K496&lt;=92),"3개월",
 AND(K496&gt;=58,K496&lt;=62),"2개월",
 AND(K496&gt;=28,K496&lt;=32),"1개월",
 AND(K496=0),"당월",
 TRUE,"그외"
)</f>
        <v>3개월</v>
      </c>
    </row>
    <row r="497" spans="1:12" ht="17.649999999999999" customHeight="1" x14ac:dyDescent="0.3">
      <c r="A497" s="5">
        <v>46113</v>
      </c>
      <c r="B497" s="6" t="s">
        <v>75</v>
      </c>
      <c r="C497" s="6" t="s">
        <v>80</v>
      </c>
      <c r="D497" s="5">
        <v>46054</v>
      </c>
      <c r="E497" s="6" t="s">
        <v>14</v>
      </c>
      <c r="F497" s="7">
        <v>97</v>
      </c>
      <c r="G497" s="7">
        <v>215400</v>
      </c>
      <c r="H497" s="7">
        <v>20893800</v>
      </c>
      <c r="I497" s="7">
        <v>5276800</v>
      </c>
      <c r="J497" s="7">
        <v>0</v>
      </c>
      <c r="K497">
        <f t="shared" si="7"/>
        <v>59</v>
      </c>
      <c r="L497" s="8" t="str" cm="1">
        <f t="array" ref="L497">_xlfn.IFS(
 AND(K497&gt;=89,K497&lt;=92),"3개월",
 AND(K497&gt;=58,K497&lt;=62),"2개월",
 AND(K497&gt;=28,K497&lt;=32),"1개월",
 AND(K497=0),"당월",
 TRUE,"그외"
)</f>
        <v>2개월</v>
      </c>
    </row>
    <row r="498" spans="1:12" ht="17.649999999999999" customHeight="1" x14ac:dyDescent="0.3">
      <c r="A498" s="5">
        <v>46113</v>
      </c>
      <c r="B498" s="6" t="s">
        <v>75</v>
      </c>
      <c r="C498" s="6" t="s">
        <v>80</v>
      </c>
      <c r="D498" s="5">
        <v>46054</v>
      </c>
      <c r="E498" s="6" t="s">
        <v>15</v>
      </c>
      <c r="F498" s="7">
        <v>1184</v>
      </c>
      <c r="G498" s="7">
        <v>505773.95354729728</v>
      </c>
      <c r="H498" s="7">
        <v>598836361</v>
      </c>
      <c r="I498" s="7">
        <v>32638092</v>
      </c>
      <c r="J498" s="7">
        <v>0</v>
      </c>
      <c r="K498">
        <f t="shared" si="7"/>
        <v>59</v>
      </c>
      <c r="L498" s="8" t="str" cm="1">
        <f t="array" ref="L498">_xlfn.IFS(
 AND(K498&gt;=89,K498&lt;=92),"3개월",
 AND(K498&gt;=58,K498&lt;=62),"2개월",
 AND(K498&gt;=28,K498&lt;=32),"1개월",
 AND(K498=0),"당월",
 TRUE,"그외"
)</f>
        <v>2개월</v>
      </c>
    </row>
    <row r="499" spans="1:12" ht="17.649999999999999" customHeight="1" x14ac:dyDescent="0.3">
      <c r="A499" s="5">
        <v>46113</v>
      </c>
      <c r="B499" s="6" t="s">
        <v>75</v>
      </c>
      <c r="C499" s="6" t="s">
        <v>80</v>
      </c>
      <c r="D499" s="5">
        <v>46082</v>
      </c>
      <c r="E499" s="6" t="s">
        <v>14</v>
      </c>
      <c r="F499" s="7">
        <v>1936</v>
      </c>
      <c r="G499" s="7">
        <v>335595.55785123969</v>
      </c>
      <c r="H499" s="7">
        <v>649713000</v>
      </c>
      <c r="I499" s="7">
        <v>128102000</v>
      </c>
      <c r="J499" s="7">
        <v>0</v>
      </c>
      <c r="K499">
        <f t="shared" si="7"/>
        <v>31</v>
      </c>
      <c r="L499" s="8" t="str" cm="1">
        <f t="array" ref="L499">_xlfn.IFS(
 AND(K499&gt;=89,K499&lt;=92),"3개월",
 AND(K499&gt;=58,K499&lt;=62),"2개월",
 AND(K499&gt;=28,K499&lt;=32),"1개월",
 AND(K499=0),"당월",
 TRUE,"그외"
)</f>
        <v>1개월</v>
      </c>
    </row>
    <row r="500" spans="1:12" ht="17.649999999999999" customHeight="1" x14ac:dyDescent="0.3">
      <c r="A500" s="5">
        <v>46113</v>
      </c>
      <c r="B500" s="6" t="s">
        <v>75</v>
      </c>
      <c r="C500" s="6" t="s">
        <v>80</v>
      </c>
      <c r="D500" s="5">
        <v>46082</v>
      </c>
      <c r="E500" s="6" t="s">
        <v>15</v>
      </c>
      <c r="F500" s="7">
        <v>2311</v>
      </c>
      <c r="G500" s="7">
        <v>533689.61618347035</v>
      </c>
      <c r="H500" s="7">
        <v>1233356703</v>
      </c>
      <c r="I500" s="7">
        <v>87910350</v>
      </c>
      <c r="J500" s="7">
        <v>0</v>
      </c>
      <c r="K500">
        <f t="shared" si="7"/>
        <v>31</v>
      </c>
      <c r="L500" s="8" t="str" cm="1">
        <f t="array" ref="L500">_xlfn.IFS(
 AND(K500&gt;=89,K500&lt;=92),"3개월",
 AND(K500&gt;=58,K500&lt;=62),"2개월",
 AND(K500&gt;=28,K500&lt;=32),"1개월",
 AND(K500=0),"당월",
 TRUE,"그외"
)</f>
        <v>1개월</v>
      </c>
    </row>
    <row r="501" spans="1:12" ht="17.649999999999999" customHeight="1" x14ac:dyDescent="0.3">
      <c r="A501" s="5">
        <v>46113</v>
      </c>
      <c r="B501" s="6" t="s">
        <v>75</v>
      </c>
      <c r="C501" s="6" t="s">
        <v>80</v>
      </c>
      <c r="D501" s="5">
        <v>46113</v>
      </c>
      <c r="E501" s="6" t="s">
        <v>14</v>
      </c>
      <c r="F501" s="7">
        <v>19</v>
      </c>
      <c r="G501" s="7">
        <v>231468.4210526316</v>
      </c>
      <c r="H501" s="7">
        <v>4397900</v>
      </c>
      <c r="I501" s="7">
        <v>3478900</v>
      </c>
      <c r="J501" s="7">
        <v>0</v>
      </c>
      <c r="K501">
        <f t="shared" si="7"/>
        <v>0</v>
      </c>
      <c r="L501" s="8" t="str" cm="1">
        <f t="array" ref="L501">_xlfn.IFS(
 AND(K501&gt;=89,K501&lt;=92),"3개월",
 AND(K501&gt;=58,K501&lt;=62),"2개월",
 AND(K501&gt;=28,K501&lt;=32),"1개월",
 AND(K501=0),"당월",
 TRUE,"그외"
)</f>
        <v>당월</v>
      </c>
    </row>
    <row r="502" spans="1:12" ht="17.649999999999999" customHeight="1" x14ac:dyDescent="0.3">
      <c r="A502" s="5">
        <v>46113</v>
      </c>
      <c r="B502" s="6" t="s">
        <v>75</v>
      </c>
      <c r="C502" s="6" t="s">
        <v>80</v>
      </c>
      <c r="D502" s="5">
        <v>46113</v>
      </c>
      <c r="E502" s="6" t="s">
        <v>15</v>
      </c>
      <c r="F502" s="7">
        <v>735</v>
      </c>
      <c r="G502" s="7">
        <v>581119.08435374149</v>
      </c>
      <c r="H502" s="7">
        <v>427122527</v>
      </c>
      <c r="I502" s="7">
        <v>42243682</v>
      </c>
      <c r="J502" s="7">
        <v>0</v>
      </c>
      <c r="K502">
        <f t="shared" si="7"/>
        <v>0</v>
      </c>
      <c r="L502" s="8" t="str" cm="1">
        <f t="array" ref="L502">_xlfn.IFS(
 AND(K502&gt;=89,K502&lt;=92),"3개월",
 AND(K502&gt;=58,K502&lt;=62),"2개월",
 AND(K502&gt;=28,K502&lt;=32),"1개월",
 AND(K502=0),"당월",
 TRUE,"그외"
)</f>
        <v>당월</v>
      </c>
    </row>
    <row r="503" spans="1:12" ht="17.649999999999999" customHeight="1" x14ac:dyDescent="0.3">
      <c r="A503" s="5">
        <v>46113</v>
      </c>
      <c r="B503" s="6" t="s">
        <v>81</v>
      </c>
      <c r="C503" s="6" t="s">
        <v>82</v>
      </c>
      <c r="D503" s="5">
        <v>46023</v>
      </c>
      <c r="E503" s="6" t="s">
        <v>15</v>
      </c>
      <c r="F503" s="7">
        <v>7</v>
      </c>
      <c r="G503" s="7">
        <v>141395.8571428571</v>
      </c>
      <c r="H503" s="7">
        <v>989771</v>
      </c>
      <c r="I503" s="7">
        <v>232615</v>
      </c>
      <c r="J503" s="7">
        <v>0</v>
      </c>
      <c r="K503">
        <f t="shared" si="7"/>
        <v>90</v>
      </c>
      <c r="L503" s="8" t="str" cm="1">
        <f t="array" ref="L503">_xlfn.IFS(
 AND(K503&gt;=89,K503&lt;=92),"3개월",
 AND(K503&gt;=58,K503&lt;=62),"2개월",
 AND(K503&gt;=28,K503&lt;=32),"1개월",
 AND(K503=0),"당월",
 TRUE,"그외"
)</f>
        <v>3개월</v>
      </c>
    </row>
    <row r="504" spans="1:12" ht="17.649999999999999" customHeight="1" x14ac:dyDescent="0.3">
      <c r="A504" s="5">
        <v>46113</v>
      </c>
      <c r="B504" s="6" t="s">
        <v>81</v>
      </c>
      <c r="C504" s="6" t="s">
        <v>82</v>
      </c>
      <c r="D504" s="5">
        <v>46054</v>
      </c>
      <c r="E504" s="6" t="s">
        <v>15</v>
      </c>
      <c r="F504" s="7">
        <v>14</v>
      </c>
      <c r="G504" s="7">
        <v>118098.7857142857</v>
      </c>
      <c r="H504" s="7">
        <v>1653383</v>
      </c>
      <c r="I504" s="7">
        <v>339566</v>
      </c>
      <c r="J504" s="7">
        <v>0</v>
      </c>
      <c r="K504">
        <f t="shared" si="7"/>
        <v>59</v>
      </c>
      <c r="L504" s="8" t="str" cm="1">
        <f t="array" ref="L504">_xlfn.IFS(
 AND(K504&gt;=89,K504&lt;=92),"3개월",
 AND(K504&gt;=58,K504&lt;=62),"2개월",
 AND(K504&gt;=28,K504&lt;=32),"1개월",
 AND(K504=0),"당월",
 TRUE,"그외"
)</f>
        <v>2개월</v>
      </c>
    </row>
    <row r="505" spans="1:12" ht="17.649999999999999" customHeight="1" x14ac:dyDescent="0.3">
      <c r="A505" s="5">
        <v>46113</v>
      </c>
      <c r="B505" s="6" t="s">
        <v>81</v>
      </c>
      <c r="C505" s="6" t="s">
        <v>82</v>
      </c>
      <c r="D505" s="5">
        <v>46082</v>
      </c>
      <c r="E505" s="6" t="s">
        <v>14</v>
      </c>
      <c r="F505" s="7">
        <v>10</v>
      </c>
      <c r="G505" s="7">
        <v>104265</v>
      </c>
      <c r="H505" s="7">
        <v>1042650</v>
      </c>
      <c r="I505" s="7">
        <v>446850</v>
      </c>
      <c r="J505" s="7">
        <v>0</v>
      </c>
      <c r="K505">
        <f t="shared" si="7"/>
        <v>31</v>
      </c>
      <c r="L505" s="8" t="str" cm="1">
        <f t="array" ref="L505">_xlfn.IFS(
 AND(K505&gt;=89,K505&lt;=92),"3개월",
 AND(K505&gt;=58,K505&lt;=62),"2개월",
 AND(K505&gt;=28,K505&lt;=32),"1개월",
 AND(K505=0),"당월",
 TRUE,"그외"
)</f>
        <v>1개월</v>
      </c>
    </row>
    <row r="506" spans="1:12" ht="17.649999999999999" customHeight="1" x14ac:dyDescent="0.3">
      <c r="A506" s="5">
        <v>46113</v>
      </c>
      <c r="B506" s="6" t="s">
        <v>81</v>
      </c>
      <c r="C506" s="6" t="s">
        <v>82</v>
      </c>
      <c r="D506" s="5">
        <v>46082</v>
      </c>
      <c r="E506" s="6" t="s">
        <v>15</v>
      </c>
      <c r="F506" s="7">
        <v>62</v>
      </c>
      <c r="G506" s="7">
        <v>120129.0967741935</v>
      </c>
      <c r="H506" s="7">
        <v>7448004</v>
      </c>
      <c r="I506" s="7">
        <v>1669957</v>
      </c>
      <c r="J506" s="7">
        <v>0</v>
      </c>
      <c r="K506">
        <f t="shared" si="7"/>
        <v>31</v>
      </c>
      <c r="L506" s="8" t="str" cm="1">
        <f t="array" ref="L506">_xlfn.IFS(
 AND(K506&gt;=89,K506&lt;=92),"3개월",
 AND(K506&gt;=58,K506&lt;=62),"2개월",
 AND(K506&gt;=28,K506&lt;=32),"1개월",
 AND(K506=0),"당월",
 TRUE,"그외"
)</f>
        <v>1개월</v>
      </c>
    </row>
    <row r="507" spans="1:12" ht="17.649999999999999" customHeight="1" x14ac:dyDescent="0.3">
      <c r="A507" s="5">
        <v>46113</v>
      </c>
      <c r="B507" s="6" t="s">
        <v>81</v>
      </c>
      <c r="C507" s="6" t="s">
        <v>82</v>
      </c>
      <c r="D507" s="5">
        <v>46113</v>
      </c>
      <c r="E507" s="6" t="s">
        <v>14</v>
      </c>
      <c r="F507" s="7">
        <v>1</v>
      </c>
      <c r="G507" s="7">
        <v>103600</v>
      </c>
      <c r="H507" s="7">
        <v>103600</v>
      </c>
      <c r="I507" s="7">
        <v>44400</v>
      </c>
      <c r="J507" s="7">
        <v>0</v>
      </c>
      <c r="K507">
        <f t="shared" si="7"/>
        <v>0</v>
      </c>
      <c r="L507" s="8" t="str" cm="1">
        <f t="array" ref="L507">_xlfn.IFS(
 AND(K507&gt;=89,K507&lt;=92),"3개월",
 AND(K507&gt;=58,K507&lt;=62),"2개월",
 AND(K507&gt;=28,K507&lt;=32),"1개월",
 AND(K507=0),"당월",
 TRUE,"그외"
)</f>
        <v>당월</v>
      </c>
    </row>
    <row r="508" spans="1:12" ht="17.649999999999999" customHeight="1" x14ac:dyDescent="0.3">
      <c r="A508" s="5">
        <v>46113</v>
      </c>
      <c r="B508" s="6" t="s">
        <v>81</v>
      </c>
      <c r="C508" s="6" t="s">
        <v>82</v>
      </c>
      <c r="D508" s="5">
        <v>46113</v>
      </c>
      <c r="E508" s="6" t="s">
        <v>15</v>
      </c>
      <c r="F508" s="7">
        <v>59</v>
      </c>
      <c r="G508" s="7">
        <v>166685.57627118641</v>
      </c>
      <c r="H508" s="7">
        <v>9834449</v>
      </c>
      <c r="I508" s="7">
        <v>3213286</v>
      </c>
      <c r="J508" s="7">
        <v>0</v>
      </c>
      <c r="K508">
        <f t="shared" si="7"/>
        <v>0</v>
      </c>
      <c r="L508" s="8" t="str" cm="1">
        <f t="array" ref="L508">_xlfn.IFS(
 AND(K508&gt;=89,K508&lt;=92),"3개월",
 AND(K508&gt;=58,K508&lt;=62),"2개월",
 AND(K508&gt;=28,K508&lt;=32),"1개월",
 AND(K508=0),"당월",
 TRUE,"그외"
)</f>
        <v>당월</v>
      </c>
    </row>
    <row r="509" spans="1:12" ht="17.649999999999999" customHeight="1" x14ac:dyDescent="0.3">
      <c r="A509" s="5">
        <v>46113</v>
      </c>
      <c r="B509" s="6" t="s">
        <v>81</v>
      </c>
      <c r="C509" s="6" t="s">
        <v>83</v>
      </c>
      <c r="D509" s="5">
        <v>46082</v>
      </c>
      <c r="E509" s="6" t="s">
        <v>15</v>
      </c>
      <c r="F509" s="7">
        <v>38</v>
      </c>
      <c r="G509" s="7">
        <v>96895.289473684214</v>
      </c>
      <c r="H509" s="7">
        <v>3682021</v>
      </c>
      <c r="I509" s="7">
        <v>817749</v>
      </c>
      <c r="J509" s="7">
        <v>0</v>
      </c>
      <c r="K509">
        <f t="shared" si="7"/>
        <v>31</v>
      </c>
      <c r="L509" s="8" t="str" cm="1">
        <f t="array" ref="L509">_xlfn.IFS(
 AND(K509&gt;=89,K509&lt;=92),"3개월",
 AND(K509&gt;=58,K509&lt;=62),"2개월",
 AND(K509&gt;=28,K509&lt;=32),"1개월",
 AND(K509=0),"당월",
 TRUE,"그외"
)</f>
        <v>1개월</v>
      </c>
    </row>
    <row r="510" spans="1:12" ht="17.649999999999999" customHeight="1" x14ac:dyDescent="0.3">
      <c r="A510" s="5">
        <v>46113</v>
      </c>
      <c r="B510" s="6" t="s">
        <v>81</v>
      </c>
      <c r="C510" s="6" t="s">
        <v>83</v>
      </c>
      <c r="D510" s="5">
        <v>46113</v>
      </c>
      <c r="E510" s="6" t="s">
        <v>15</v>
      </c>
      <c r="F510" s="7">
        <v>63</v>
      </c>
      <c r="G510" s="7">
        <v>167284.57142857139</v>
      </c>
      <c r="H510" s="7">
        <v>10538928</v>
      </c>
      <c r="I510" s="7">
        <v>3754411</v>
      </c>
      <c r="J510" s="7">
        <v>0</v>
      </c>
      <c r="K510">
        <f t="shared" si="7"/>
        <v>0</v>
      </c>
      <c r="L510" s="8" t="str" cm="1">
        <f t="array" ref="L510">_xlfn.IFS(
 AND(K510&gt;=89,K510&lt;=92),"3개월",
 AND(K510&gt;=58,K510&lt;=62),"2개월",
 AND(K510&gt;=28,K510&lt;=32),"1개월",
 AND(K510=0),"당월",
 TRUE,"그외"
)</f>
        <v>당월</v>
      </c>
    </row>
    <row r="511" spans="1:12" ht="17.649999999999999" customHeight="1" x14ac:dyDescent="0.3">
      <c r="A511" s="5">
        <v>46113</v>
      </c>
      <c r="B511" s="6" t="s">
        <v>84</v>
      </c>
      <c r="C511" s="6" t="s">
        <v>85</v>
      </c>
      <c r="D511" s="5">
        <v>45931</v>
      </c>
      <c r="E511" s="6" t="s">
        <v>15</v>
      </c>
      <c r="F511" s="7">
        <v>451</v>
      </c>
      <c r="G511" s="7">
        <v>803551.84257206204</v>
      </c>
      <c r="H511" s="7">
        <v>362401881</v>
      </c>
      <c r="I511" s="7">
        <v>35409603</v>
      </c>
      <c r="J511" s="7">
        <v>0</v>
      </c>
      <c r="K511">
        <f t="shared" si="7"/>
        <v>182</v>
      </c>
      <c r="L511" s="8" t="str" cm="1">
        <f t="array" ref="L511">_xlfn.IFS(
 AND(K511&gt;=89,K511&lt;=92),"3개월",
 AND(K511&gt;=58,K511&lt;=62),"2개월",
 AND(K511&gt;=28,K511&lt;=32),"1개월",
 AND(K511=0),"당월",
 TRUE,"그외"
)</f>
        <v>그외</v>
      </c>
    </row>
    <row r="512" spans="1:12" ht="17.649999999999999" customHeight="1" x14ac:dyDescent="0.3">
      <c r="A512" s="5">
        <v>46113</v>
      </c>
      <c r="B512" s="6" t="s">
        <v>84</v>
      </c>
      <c r="C512" s="6" t="s">
        <v>85</v>
      </c>
      <c r="D512" s="5">
        <v>45962</v>
      </c>
      <c r="E512" s="6" t="s">
        <v>15</v>
      </c>
      <c r="F512" s="7">
        <v>524</v>
      </c>
      <c r="G512" s="7">
        <v>790698.7022900763</v>
      </c>
      <c r="H512" s="7">
        <v>414326120</v>
      </c>
      <c r="I512" s="7">
        <v>43963738</v>
      </c>
      <c r="J512" s="7">
        <v>0</v>
      </c>
      <c r="K512">
        <f t="shared" si="7"/>
        <v>151</v>
      </c>
      <c r="L512" s="8" t="str" cm="1">
        <f t="array" ref="L512">_xlfn.IFS(
 AND(K512&gt;=89,K512&lt;=92),"3개월",
 AND(K512&gt;=58,K512&lt;=62),"2개월",
 AND(K512&gt;=28,K512&lt;=32),"1개월",
 AND(K512=0),"당월",
 TRUE,"그외"
)</f>
        <v>그외</v>
      </c>
    </row>
    <row r="513" spans="1:12" ht="17.649999999999999" customHeight="1" x14ac:dyDescent="0.3">
      <c r="A513" s="5">
        <v>46113</v>
      </c>
      <c r="B513" s="6" t="s">
        <v>84</v>
      </c>
      <c r="C513" s="6" t="s">
        <v>85</v>
      </c>
      <c r="D513" s="5">
        <v>45992</v>
      </c>
      <c r="E513" s="6" t="s">
        <v>15</v>
      </c>
      <c r="F513" s="7">
        <v>638</v>
      </c>
      <c r="G513" s="7">
        <v>831459.84952978056</v>
      </c>
      <c r="H513" s="7">
        <v>530471384</v>
      </c>
      <c r="I513" s="7">
        <v>60122198</v>
      </c>
      <c r="J513" s="7">
        <v>0</v>
      </c>
      <c r="K513">
        <f t="shared" si="7"/>
        <v>121</v>
      </c>
      <c r="L513" s="8" t="str" cm="1">
        <f t="array" ref="L513">_xlfn.IFS(
 AND(K513&gt;=89,K513&lt;=92),"3개월",
 AND(K513&gt;=58,K513&lt;=62),"2개월",
 AND(K513&gt;=28,K513&lt;=32),"1개월",
 AND(K513=0),"당월",
 TRUE,"그외"
)</f>
        <v>그외</v>
      </c>
    </row>
    <row r="514" spans="1:12" ht="17.649999999999999" customHeight="1" x14ac:dyDescent="0.3">
      <c r="A514" s="5">
        <v>46113</v>
      </c>
      <c r="B514" s="6" t="s">
        <v>84</v>
      </c>
      <c r="C514" s="6" t="s">
        <v>85</v>
      </c>
      <c r="D514" s="5">
        <v>46023</v>
      </c>
      <c r="E514" s="6" t="s">
        <v>14</v>
      </c>
      <c r="F514" s="7">
        <v>1</v>
      </c>
      <c r="G514" s="7">
        <v>16800000</v>
      </c>
      <c r="H514" s="7">
        <v>16800000</v>
      </c>
      <c r="I514" s="7">
        <v>0</v>
      </c>
      <c r="J514" s="7">
        <v>0</v>
      </c>
      <c r="K514">
        <f t="shared" si="7"/>
        <v>90</v>
      </c>
      <c r="L514" s="8" t="str" cm="1">
        <f t="array" ref="L514">_xlfn.IFS(
 AND(K514&gt;=89,K514&lt;=92),"3개월",
 AND(K514&gt;=58,K514&lt;=62),"2개월",
 AND(K514&gt;=28,K514&lt;=32),"1개월",
 AND(K514=0),"당월",
 TRUE,"그외"
)</f>
        <v>3개월</v>
      </c>
    </row>
    <row r="515" spans="1:12" ht="17.649999999999999" customHeight="1" x14ac:dyDescent="0.3">
      <c r="A515" s="5">
        <v>46113</v>
      </c>
      <c r="B515" s="6" t="s">
        <v>84</v>
      </c>
      <c r="C515" s="6" t="s">
        <v>85</v>
      </c>
      <c r="D515" s="5">
        <v>46023</v>
      </c>
      <c r="E515" s="6" t="s">
        <v>15</v>
      </c>
      <c r="F515" s="7">
        <v>979</v>
      </c>
      <c r="G515" s="7">
        <v>844923.21041879465</v>
      </c>
      <c r="H515" s="7">
        <v>827179823</v>
      </c>
      <c r="I515" s="7">
        <v>88720766</v>
      </c>
      <c r="J515" s="7">
        <v>0</v>
      </c>
      <c r="K515">
        <f t="shared" si="7"/>
        <v>90</v>
      </c>
      <c r="L515" s="8" t="str" cm="1">
        <f t="array" ref="L515">_xlfn.IFS(
 AND(K515&gt;=89,K515&lt;=92),"3개월",
 AND(K515&gt;=58,K515&lt;=62),"2개월",
 AND(K515&gt;=28,K515&lt;=32),"1개월",
 AND(K515=0),"당월",
 TRUE,"그외"
)</f>
        <v>3개월</v>
      </c>
    </row>
    <row r="516" spans="1:12" ht="17.649999999999999" customHeight="1" x14ac:dyDescent="0.3">
      <c r="A516" s="5">
        <v>46113</v>
      </c>
      <c r="B516" s="6" t="s">
        <v>84</v>
      </c>
      <c r="C516" s="6" t="s">
        <v>85</v>
      </c>
      <c r="D516" s="5">
        <v>46054</v>
      </c>
      <c r="E516" s="6" t="s">
        <v>14</v>
      </c>
      <c r="F516" s="7">
        <v>72</v>
      </c>
      <c r="G516" s="7">
        <v>708913.88888888888</v>
      </c>
      <c r="H516" s="7">
        <v>51041800</v>
      </c>
      <c r="I516" s="7">
        <v>3916800</v>
      </c>
      <c r="J516" s="7">
        <v>0</v>
      </c>
      <c r="K516">
        <f t="shared" si="7"/>
        <v>59</v>
      </c>
      <c r="L516" s="8" t="str" cm="1">
        <f t="array" ref="L516">_xlfn.IFS(
 AND(K516&gt;=89,K516&lt;=92),"3개월",
 AND(K516&gt;=58,K516&lt;=62),"2개월",
 AND(K516&gt;=28,K516&lt;=32),"1개월",
 AND(K516=0),"당월",
 TRUE,"그외"
)</f>
        <v>2개월</v>
      </c>
    </row>
    <row r="517" spans="1:12" ht="17.649999999999999" customHeight="1" x14ac:dyDescent="0.3">
      <c r="A517" s="5">
        <v>46113</v>
      </c>
      <c r="B517" s="6" t="s">
        <v>84</v>
      </c>
      <c r="C517" s="6" t="s">
        <v>85</v>
      </c>
      <c r="D517" s="5">
        <v>46054</v>
      </c>
      <c r="E517" s="6" t="s">
        <v>15</v>
      </c>
      <c r="F517" s="7">
        <v>1022</v>
      </c>
      <c r="G517" s="7">
        <v>732694.78571428568</v>
      </c>
      <c r="H517" s="7">
        <v>748814071</v>
      </c>
      <c r="I517" s="7">
        <v>72391065</v>
      </c>
      <c r="J517" s="7">
        <v>0</v>
      </c>
      <c r="K517">
        <f t="shared" si="7"/>
        <v>59</v>
      </c>
      <c r="L517" s="8" t="str" cm="1">
        <f t="array" ref="L517">_xlfn.IFS(
 AND(K517&gt;=89,K517&lt;=92),"3개월",
 AND(K517&gt;=58,K517&lt;=62),"2개월",
 AND(K517&gt;=28,K517&lt;=32),"1개월",
 AND(K517=0),"당월",
 TRUE,"그외"
)</f>
        <v>2개월</v>
      </c>
    </row>
    <row r="518" spans="1:12" ht="17.649999999999999" customHeight="1" x14ac:dyDescent="0.3">
      <c r="A518" s="5">
        <v>46113</v>
      </c>
      <c r="B518" s="6" t="s">
        <v>84</v>
      </c>
      <c r="C518" s="6" t="s">
        <v>85</v>
      </c>
      <c r="D518" s="5">
        <v>46082</v>
      </c>
      <c r="E518" s="6" t="s">
        <v>14</v>
      </c>
      <c r="F518" s="7">
        <v>897</v>
      </c>
      <c r="G518" s="7">
        <v>640146.77814938687</v>
      </c>
      <c r="H518" s="7">
        <v>574211660</v>
      </c>
      <c r="I518" s="7">
        <v>25823200</v>
      </c>
      <c r="J518" s="7">
        <v>0</v>
      </c>
      <c r="K518">
        <f t="shared" si="7"/>
        <v>31</v>
      </c>
      <c r="L518" s="8" t="str" cm="1">
        <f t="array" ref="L518">_xlfn.IFS(
 AND(K518&gt;=89,K518&lt;=92),"3개월",
 AND(K518&gt;=58,K518&lt;=62),"2개월",
 AND(K518&gt;=28,K518&lt;=32),"1개월",
 AND(K518=0),"당월",
 TRUE,"그외"
)</f>
        <v>1개월</v>
      </c>
    </row>
    <row r="519" spans="1:12" ht="17.649999999999999" customHeight="1" x14ac:dyDescent="0.3">
      <c r="A519" s="5">
        <v>46113</v>
      </c>
      <c r="B519" s="6" t="s">
        <v>84</v>
      </c>
      <c r="C519" s="6" t="s">
        <v>85</v>
      </c>
      <c r="D519" s="5">
        <v>46082</v>
      </c>
      <c r="E519" s="6" t="s">
        <v>15</v>
      </c>
      <c r="F519" s="7">
        <v>1685</v>
      </c>
      <c r="G519" s="7">
        <v>1051510.902077151</v>
      </c>
      <c r="H519" s="7">
        <v>1771795870</v>
      </c>
      <c r="I519" s="7">
        <v>175713890</v>
      </c>
      <c r="J519" s="7">
        <v>0</v>
      </c>
      <c r="K519">
        <f t="shared" si="7"/>
        <v>31</v>
      </c>
      <c r="L519" s="8" t="str" cm="1">
        <f t="array" ref="L519">_xlfn.IFS(
 AND(K519&gt;=89,K519&lt;=92),"3개월",
 AND(K519&gt;=58,K519&lt;=62),"2개월",
 AND(K519&gt;=28,K519&lt;=32),"1개월",
 AND(K519=0),"당월",
 TRUE,"그외"
)</f>
        <v>1개월</v>
      </c>
    </row>
    <row r="520" spans="1:12" ht="17.649999999999999" customHeight="1" x14ac:dyDescent="0.3">
      <c r="A520" s="5">
        <v>46113</v>
      </c>
      <c r="B520" s="6" t="s">
        <v>84</v>
      </c>
      <c r="C520" s="6" t="s">
        <v>85</v>
      </c>
      <c r="D520" s="5">
        <v>46113</v>
      </c>
      <c r="E520" s="6" t="s">
        <v>14</v>
      </c>
      <c r="F520" s="7">
        <v>666</v>
      </c>
      <c r="G520" s="7">
        <v>651137.38738738734</v>
      </c>
      <c r="H520" s="7">
        <v>433657500</v>
      </c>
      <c r="I520" s="7">
        <v>1632500</v>
      </c>
      <c r="J520" s="7">
        <v>0</v>
      </c>
      <c r="K520">
        <f t="shared" si="7"/>
        <v>0</v>
      </c>
      <c r="L520" s="8" t="str" cm="1">
        <f t="array" ref="L520">_xlfn.IFS(
 AND(K520&gt;=89,K520&lt;=92),"3개월",
 AND(K520&gt;=58,K520&lt;=62),"2개월",
 AND(K520&gt;=28,K520&lt;=32),"1개월",
 AND(K520=0),"당월",
 TRUE,"그외"
)</f>
        <v>당월</v>
      </c>
    </row>
    <row r="521" spans="1:12" ht="17.649999999999999" customHeight="1" x14ac:dyDescent="0.3">
      <c r="A521" s="5">
        <v>46113</v>
      </c>
      <c r="B521" s="6" t="s">
        <v>84</v>
      </c>
      <c r="C521" s="6" t="s">
        <v>85</v>
      </c>
      <c r="D521" s="5">
        <v>46113</v>
      </c>
      <c r="E521" s="6" t="s">
        <v>15</v>
      </c>
      <c r="F521" s="7">
        <v>394</v>
      </c>
      <c r="G521" s="7">
        <v>1087664.7741116751</v>
      </c>
      <c r="H521" s="7">
        <v>428539921</v>
      </c>
      <c r="I521" s="7">
        <v>84382127</v>
      </c>
      <c r="J521" s="7">
        <v>0</v>
      </c>
      <c r="K521">
        <f t="shared" si="7"/>
        <v>0</v>
      </c>
      <c r="L521" s="8" t="str" cm="1">
        <f t="array" ref="L521">_xlfn.IFS(
 AND(K521&gt;=89,K521&lt;=92),"3개월",
 AND(K521&gt;=58,K521&lt;=62),"2개월",
 AND(K521&gt;=28,K521&lt;=32),"1개월",
 AND(K521=0),"당월",
 TRUE,"그외"
)</f>
        <v>당월</v>
      </c>
    </row>
    <row r="522" spans="1:12" ht="17.649999999999999" customHeight="1" x14ac:dyDescent="0.3">
      <c r="A522" s="5">
        <v>46113</v>
      </c>
      <c r="B522" s="6" t="s">
        <v>84</v>
      </c>
      <c r="C522" s="6" t="s">
        <v>86</v>
      </c>
      <c r="D522" s="5">
        <v>45931</v>
      </c>
      <c r="E522" s="6" t="s">
        <v>15</v>
      </c>
      <c r="F522" s="7">
        <v>1004</v>
      </c>
      <c r="G522" s="7">
        <v>651558.05976095621</v>
      </c>
      <c r="H522" s="7">
        <v>654164292</v>
      </c>
      <c r="I522" s="7">
        <v>74463761</v>
      </c>
      <c r="J522" s="7">
        <v>0</v>
      </c>
      <c r="K522">
        <f t="shared" ref="K522:K585" si="8">A522-D522</f>
        <v>182</v>
      </c>
      <c r="L522" s="8" t="str" cm="1">
        <f t="array" ref="L522">_xlfn.IFS(
 AND(K522&gt;=89,K522&lt;=92),"3개월",
 AND(K522&gt;=58,K522&lt;=62),"2개월",
 AND(K522&gt;=28,K522&lt;=32),"1개월",
 AND(K522=0),"당월",
 TRUE,"그외"
)</f>
        <v>그외</v>
      </c>
    </row>
    <row r="523" spans="1:12" ht="17.649999999999999" customHeight="1" x14ac:dyDescent="0.3">
      <c r="A523" s="5">
        <v>46113</v>
      </c>
      <c r="B523" s="6" t="s">
        <v>84</v>
      </c>
      <c r="C523" s="6" t="s">
        <v>86</v>
      </c>
      <c r="D523" s="5">
        <v>45962</v>
      </c>
      <c r="E523" s="6" t="s">
        <v>15</v>
      </c>
      <c r="F523" s="7">
        <v>984</v>
      </c>
      <c r="G523" s="7">
        <v>615524.44410569104</v>
      </c>
      <c r="H523" s="7">
        <v>605676053</v>
      </c>
      <c r="I523" s="7">
        <v>76881788</v>
      </c>
      <c r="J523" s="7">
        <v>0</v>
      </c>
      <c r="K523">
        <f t="shared" si="8"/>
        <v>151</v>
      </c>
      <c r="L523" s="8" t="str" cm="1">
        <f t="array" ref="L523">_xlfn.IFS(
 AND(K523&gt;=89,K523&lt;=92),"3개월",
 AND(K523&gt;=58,K523&lt;=62),"2개월",
 AND(K523&gt;=28,K523&lt;=32),"1개월",
 AND(K523=0),"당월",
 TRUE,"그외"
)</f>
        <v>그외</v>
      </c>
    </row>
    <row r="524" spans="1:12" ht="17.649999999999999" customHeight="1" x14ac:dyDescent="0.3">
      <c r="A524" s="5">
        <v>46113</v>
      </c>
      <c r="B524" s="6" t="s">
        <v>84</v>
      </c>
      <c r="C524" s="6" t="s">
        <v>86</v>
      </c>
      <c r="D524" s="5">
        <v>45992</v>
      </c>
      <c r="E524" s="6" t="s">
        <v>15</v>
      </c>
      <c r="F524" s="7">
        <v>1029</v>
      </c>
      <c r="G524" s="7">
        <v>690213.43148688052</v>
      </c>
      <c r="H524" s="7">
        <v>710229621</v>
      </c>
      <c r="I524" s="7">
        <v>95985823</v>
      </c>
      <c r="J524" s="7">
        <v>0</v>
      </c>
      <c r="K524">
        <f t="shared" si="8"/>
        <v>121</v>
      </c>
      <c r="L524" s="8" t="str" cm="1">
        <f t="array" ref="L524">_xlfn.IFS(
 AND(K524&gt;=89,K524&lt;=92),"3개월",
 AND(K524&gt;=58,K524&lt;=62),"2개월",
 AND(K524&gt;=28,K524&lt;=32),"1개월",
 AND(K524=0),"당월",
 TRUE,"그외"
)</f>
        <v>그외</v>
      </c>
    </row>
    <row r="525" spans="1:12" ht="17.649999999999999" customHeight="1" x14ac:dyDescent="0.3">
      <c r="A525" s="5">
        <v>46113</v>
      </c>
      <c r="B525" s="6" t="s">
        <v>84</v>
      </c>
      <c r="C525" s="6" t="s">
        <v>86</v>
      </c>
      <c r="D525" s="5">
        <v>46023</v>
      </c>
      <c r="E525" s="6" t="s">
        <v>14</v>
      </c>
      <c r="F525" s="7">
        <v>1</v>
      </c>
      <c r="G525" s="7">
        <v>8925000</v>
      </c>
      <c r="H525" s="7">
        <v>8925000</v>
      </c>
      <c r="I525" s="7">
        <v>0</v>
      </c>
      <c r="J525" s="7">
        <v>0</v>
      </c>
      <c r="K525">
        <f t="shared" si="8"/>
        <v>90</v>
      </c>
      <c r="L525" s="8" t="str" cm="1">
        <f t="array" ref="L525">_xlfn.IFS(
 AND(K525&gt;=89,K525&lt;=92),"3개월",
 AND(K525&gt;=58,K525&lt;=62),"2개월",
 AND(K525&gt;=28,K525&lt;=32),"1개월",
 AND(K525=0),"당월",
 TRUE,"그외"
)</f>
        <v>3개월</v>
      </c>
    </row>
    <row r="526" spans="1:12" ht="17.649999999999999" customHeight="1" x14ac:dyDescent="0.3">
      <c r="A526" s="5">
        <v>46113</v>
      </c>
      <c r="B526" s="6" t="s">
        <v>84</v>
      </c>
      <c r="C526" s="6" t="s">
        <v>86</v>
      </c>
      <c r="D526" s="5">
        <v>46023</v>
      </c>
      <c r="E526" s="6" t="s">
        <v>15</v>
      </c>
      <c r="F526" s="7">
        <v>1545</v>
      </c>
      <c r="G526" s="7">
        <v>733749.89644012949</v>
      </c>
      <c r="H526" s="7">
        <v>1133643590</v>
      </c>
      <c r="I526" s="7">
        <v>142190691</v>
      </c>
      <c r="J526" s="7">
        <v>0</v>
      </c>
      <c r="K526">
        <f t="shared" si="8"/>
        <v>90</v>
      </c>
      <c r="L526" s="8" t="str" cm="1">
        <f t="array" ref="L526">_xlfn.IFS(
 AND(K526&gt;=89,K526&lt;=92),"3개월",
 AND(K526&gt;=58,K526&lt;=62),"2개월",
 AND(K526&gt;=28,K526&lt;=32),"1개월",
 AND(K526=0),"당월",
 TRUE,"그외"
)</f>
        <v>3개월</v>
      </c>
    </row>
    <row r="527" spans="1:12" ht="17.649999999999999" customHeight="1" x14ac:dyDescent="0.3">
      <c r="A527" s="5">
        <v>46113</v>
      </c>
      <c r="B527" s="6" t="s">
        <v>84</v>
      </c>
      <c r="C527" s="6" t="s">
        <v>86</v>
      </c>
      <c r="D527" s="5">
        <v>46054</v>
      </c>
      <c r="E527" s="6" t="s">
        <v>14</v>
      </c>
      <c r="F527" s="7">
        <v>34</v>
      </c>
      <c r="G527" s="7">
        <v>642635.29411764711</v>
      </c>
      <c r="H527" s="7">
        <v>21849600</v>
      </c>
      <c r="I527" s="7">
        <v>1849600</v>
      </c>
      <c r="J527" s="7">
        <v>0</v>
      </c>
      <c r="K527">
        <f t="shared" si="8"/>
        <v>59</v>
      </c>
      <c r="L527" s="8" t="str" cm="1">
        <f t="array" ref="L527">_xlfn.IFS(
 AND(K527&gt;=89,K527&lt;=92),"3개월",
 AND(K527&gt;=58,K527&lt;=62),"2개월",
 AND(K527&gt;=28,K527&lt;=32),"1개월",
 AND(K527=0),"당월",
 TRUE,"그외"
)</f>
        <v>2개월</v>
      </c>
    </row>
    <row r="528" spans="1:12" ht="17.649999999999999" customHeight="1" x14ac:dyDescent="0.3">
      <c r="A528" s="5">
        <v>46113</v>
      </c>
      <c r="B528" s="6" t="s">
        <v>84</v>
      </c>
      <c r="C528" s="6" t="s">
        <v>86</v>
      </c>
      <c r="D528" s="5">
        <v>46054</v>
      </c>
      <c r="E528" s="6" t="s">
        <v>15</v>
      </c>
      <c r="F528" s="7">
        <v>2109</v>
      </c>
      <c r="G528" s="7">
        <v>657172.61213845422</v>
      </c>
      <c r="H528" s="7">
        <v>1385977039</v>
      </c>
      <c r="I528" s="7">
        <v>158203129</v>
      </c>
      <c r="J528" s="7">
        <v>0</v>
      </c>
      <c r="K528">
        <f t="shared" si="8"/>
        <v>59</v>
      </c>
      <c r="L528" s="8" t="str" cm="1">
        <f t="array" ref="L528">_xlfn.IFS(
 AND(K528&gt;=89,K528&lt;=92),"3개월",
 AND(K528&gt;=58,K528&lt;=62),"2개월",
 AND(K528&gt;=28,K528&lt;=32),"1개월",
 AND(K528=0),"당월",
 TRUE,"그외"
)</f>
        <v>2개월</v>
      </c>
    </row>
    <row r="529" spans="1:12" ht="17.649999999999999" customHeight="1" x14ac:dyDescent="0.3">
      <c r="A529" s="5">
        <v>46113</v>
      </c>
      <c r="B529" s="6" t="s">
        <v>84</v>
      </c>
      <c r="C529" s="6" t="s">
        <v>86</v>
      </c>
      <c r="D529" s="5">
        <v>46082</v>
      </c>
      <c r="E529" s="6" t="s">
        <v>14</v>
      </c>
      <c r="F529" s="7">
        <v>3870</v>
      </c>
      <c r="G529" s="7">
        <v>486846.95426356589</v>
      </c>
      <c r="H529" s="7">
        <v>1884097713</v>
      </c>
      <c r="I529" s="7">
        <v>261071200</v>
      </c>
      <c r="J529" s="7">
        <v>0</v>
      </c>
      <c r="K529">
        <f t="shared" si="8"/>
        <v>31</v>
      </c>
      <c r="L529" s="8" t="str" cm="1">
        <f t="array" ref="L529">_xlfn.IFS(
 AND(K529&gt;=89,K529&lt;=92),"3개월",
 AND(K529&gt;=58,K529&lt;=62),"2개월",
 AND(K529&gt;=28,K529&lt;=32),"1개월",
 AND(K529=0),"당월",
 TRUE,"그외"
)</f>
        <v>1개월</v>
      </c>
    </row>
    <row r="530" spans="1:12" ht="17.649999999999999" customHeight="1" x14ac:dyDescent="0.3">
      <c r="A530" s="5">
        <v>46113</v>
      </c>
      <c r="B530" s="6" t="s">
        <v>84</v>
      </c>
      <c r="C530" s="6" t="s">
        <v>86</v>
      </c>
      <c r="D530" s="5">
        <v>46082</v>
      </c>
      <c r="E530" s="6" t="s">
        <v>15</v>
      </c>
      <c r="F530" s="7">
        <v>4227</v>
      </c>
      <c r="G530" s="7">
        <v>845849.24792997399</v>
      </c>
      <c r="H530" s="7">
        <v>3575404771</v>
      </c>
      <c r="I530" s="7">
        <v>384986068</v>
      </c>
      <c r="J530" s="7">
        <v>0</v>
      </c>
      <c r="K530">
        <f t="shared" si="8"/>
        <v>31</v>
      </c>
      <c r="L530" s="8" t="str" cm="1">
        <f t="array" ref="L530">_xlfn.IFS(
 AND(K530&gt;=89,K530&lt;=92),"3개월",
 AND(K530&gt;=58,K530&lt;=62),"2개월",
 AND(K530&gt;=28,K530&lt;=32),"1개월",
 AND(K530=0),"당월",
 TRUE,"그외"
)</f>
        <v>1개월</v>
      </c>
    </row>
    <row r="531" spans="1:12" ht="17.649999999999999" customHeight="1" x14ac:dyDescent="0.3">
      <c r="A531" s="5">
        <v>46113</v>
      </c>
      <c r="B531" s="6" t="s">
        <v>84</v>
      </c>
      <c r="C531" s="6" t="s">
        <v>86</v>
      </c>
      <c r="D531" s="5">
        <v>46113</v>
      </c>
      <c r="E531" s="6" t="s">
        <v>14</v>
      </c>
      <c r="F531" s="7">
        <v>90</v>
      </c>
      <c r="G531" s="7">
        <v>664569.1555555556</v>
      </c>
      <c r="H531" s="7">
        <v>59811224</v>
      </c>
      <c r="I531" s="7">
        <v>18519500</v>
      </c>
      <c r="J531" s="7">
        <v>0</v>
      </c>
      <c r="K531">
        <f t="shared" si="8"/>
        <v>0</v>
      </c>
      <c r="L531" s="8" t="str" cm="1">
        <f t="array" ref="L531">_xlfn.IFS(
 AND(K531&gt;=89,K531&lt;=92),"3개월",
 AND(K531&gt;=58,K531&lt;=62),"2개월",
 AND(K531&gt;=28,K531&lt;=32),"1개월",
 AND(K531=0),"당월",
 TRUE,"그외"
)</f>
        <v>당월</v>
      </c>
    </row>
    <row r="532" spans="1:12" ht="17.649999999999999" customHeight="1" x14ac:dyDescent="0.3">
      <c r="A532" s="5">
        <v>46113</v>
      </c>
      <c r="B532" s="6" t="s">
        <v>84</v>
      </c>
      <c r="C532" s="6" t="s">
        <v>86</v>
      </c>
      <c r="D532" s="5">
        <v>46113</v>
      </c>
      <c r="E532" s="6" t="s">
        <v>15</v>
      </c>
      <c r="F532" s="7">
        <v>770</v>
      </c>
      <c r="G532" s="7">
        <v>1130148.6753246749</v>
      </c>
      <c r="H532" s="7">
        <v>870214480</v>
      </c>
      <c r="I532" s="7">
        <v>165629452</v>
      </c>
      <c r="J532" s="7">
        <v>0</v>
      </c>
      <c r="K532">
        <f t="shared" si="8"/>
        <v>0</v>
      </c>
      <c r="L532" s="8" t="str" cm="1">
        <f t="array" ref="L532">_xlfn.IFS(
 AND(K532&gt;=89,K532&lt;=92),"3개월",
 AND(K532&gt;=58,K532&lt;=62),"2개월",
 AND(K532&gt;=28,K532&lt;=32),"1개월",
 AND(K532=0),"당월",
 TRUE,"그외"
)</f>
        <v>당월</v>
      </c>
    </row>
    <row r="533" spans="1:12" ht="17.649999999999999" customHeight="1" x14ac:dyDescent="0.3">
      <c r="A533" s="5">
        <v>46113</v>
      </c>
      <c r="B533" s="6" t="s">
        <v>84</v>
      </c>
      <c r="C533" s="6" t="s">
        <v>86</v>
      </c>
      <c r="D533" s="5">
        <v>46143</v>
      </c>
      <c r="E533" s="6" t="s">
        <v>15</v>
      </c>
      <c r="F533" s="7">
        <v>4</v>
      </c>
      <c r="G533" s="7">
        <v>665394</v>
      </c>
      <c r="H533" s="7">
        <v>2661576</v>
      </c>
      <c r="I533" s="7">
        <v>780504</v>
      </c>
      <c r="J533" s="7">
        <v>0</v>
      </c>
      <c r="K533">
        <f t="shared" si="8"/>
        <v>-30</v>
      </c>
      <c r="L533" s="8" t="str" cm="1">
        <f t="array" ref="L533">_xlfn.IFS(
 AND(K533&gt;=89,K533&lt;=92),"3개월",
 AND(K533&gt;=58,K533&lt;=62),"2개월",
 AND(K533&gt;=28,K533&lt;=32),"1개월",
 AND(K533=0),"당월",
 TRUE,"그외"
)</f>
        <v>그외</v>
      </c>
    </row>
    <row r="534" spans="1:12" ht="17.649999999999999" customHeight="1" x14ac:dyDescent="0.3">
      <c r="A534" s="5">
        <v>46113</v>
      </c>
      <c r="B534" s="6" t="s">
        <v>84</v>
      </c>
      <c r="C534" s="6" t="s">
        <v>87</v>
      </c>
      <c r="D534" s="5">
        <v>45931</v>
      </c>
      <c r="E534" s="6" t="s">
        <v>15</v>
      </c>
      <c r="F534" s="7">
        <v>199</v>
      </c>
      <c r="G534" s="7">
        <v>500169.72864321608</v>
      </c>
      <c r="H534" s="7">
        <v>99533776</v>
      </c>
      <c r="I534" s="7">
        <v>15449255</v>
      </c>
      <c r="J534" s="7">
        <v>0</v>
      </c>
      <c r="K534">
        <f t="shared" si="8"/>
        <v>182</v>
      </c>
      <c r="L534" s="8" t="str" cm="1">
        <f t="array" ref="L534">_xlfn.IFS(
 AND(K534&gt;=89,K534&lt;=92),"3개월",
 AND(K534&gt;=58,K534&lt;=62),"2개월",
 AND(K534&gt;=28,K534&lt;=32),"1개월",
 AND(K534=0),"당월",
 TRUE,"그외"
)</f>
        <v>그외</v>
      </c>
    </row>
    <row r="535" spans="1:12" ht="17.649999999999999" customHeight="1" x14ac:dyDescent="0.3">
      <c r="A535" s="5">
        <v>46113</v>
      </c>
      <c r="B535" s="6" t="s">
        <v>84</v>
      </c>
      <c r="C535" s="6" t="s">
        <v>87</v>
      </c>
      <c r="D535" s="5">
        <v>45962</v>
      </c>
      <c r="E535" s="6" t="s">
        <v>15</v>
      </c>
      <c r="F535" s="7">
        <v>312</v>
      </c>
      <c r="G535" s="7">
        <v>619123.27884615387</v>
      </c>
      <c r="H535" s="7">
        <v>193166463</v>
      </c>
      <c r="I535" s="7">
        <v>26542510</v>
      </c>
      <c r="J535" s="7">
        <v>0</v>
      </c>
      <c r="K535">
        <f t="shared" si="8"/>
        <v>151</v>
      </c>
      <c r="L535" s="8" t="str" cm="1">
        <f t="array" ref="L535">_xlfn.IFS(
 AND(K535&gt;=89,K535&lt;=92),"3개월",
 AND(K535&gt;=58,K535&lt;=62),"2개월",
 AND(K535&gt;=28,K535&lt;=32),"1개월",
 AND(K535=0),"당월",
 TRUE,"그외"
)</f>
        <v>그외</v>
      </c>
    </row>
    <row r="536" spans="1:12" ht="17.649999999999999" customHeight="1" x14ac:dyDescent="0.3">
      <c r="A536" s="5">
        <v>46113</v>
      </c>
      <c r="B536" s="6" t="s">
        <v>84</v>
      </c>
      <c r="C536" s="6" t="s">
        <v>87</v>
      </c>
      <c r="D536" s="5">
        <v>45992</v>
      </c>
      <c r="E536" s="6" t="s">
        <v>15</v>
      </c>
      <c r="F536" s="7">
        <v>349</v>
      </c>
      <c r="G536" s="7">
        <v>658805.04011461313</v>
      </c>
      <c r="H536" s="7">
        <v>229922959</v>
      </c>
      <c r="I536" s="7">
        <v>35922132</v>
      </c>
      <c r="J536" s="7">
        <v>0</v>
      </c>
      <c r="K536">
        <f t="shared" si="8"/>
        <v>121</v>
      </c>
      <c r="L536" s="8" t="str" cm="1">
        <f t="array" ref="L536">_xlfn.IFS(
 AND(K536&gt;=89,K536&lt;=92),"3개월",
 AND(K536&gt;=58,K536&lt;=62),"2개월",
 AND(K536&gt;=28,K536&lt;=32),"1개월",
 AND(K536=0),"당월",
 TRUE,"그외"
)</f>
        <v>그외</v>
      </c>
    </row>
    <row r="537" spans="1:12" ht="17.649999999999999" customHeight="1" x14ac:dyDescent="0.3">
      <c r="A537" s="5">
        <v>46113</v>
      </c>
      <c r="B537" s="6" t="s">
        <v>84</v>
      </c>
      <c r="C537" s="6" t="s">
        <v>87</v>
      </c>
      <c r="D537" s="5">
        <v>46023</v>
      </c>
      <c r="E537" s="6" t="s">
        <v>14</v>
      </c>
      <c r="F537" s="7">
        <v>45</v>
      </c>
      <c r="G537" s="7">
        <v>361066.66666666669</v>
      </c>
      <c r="H537" s="7">
        <v>16248000</v>
      </c>
      <c r="I537" s="7">
        <v>3573000</v>
      </c>
      <c r="J537" s="7">
        <v>0</v>
      </c>
      <c r="K537">
        <f t="shared" si="8"/>
        <v>90</v>
      </c>
      <c r="L537" s="8" t="str" cm="1">
        <f t="array" ref="L537">_xlfn.IFS(
 AND(K537&gt;=89,K537&lt;=92),"3개월",
 AND(K537&gt;=58,K537&lt;=62),"2개월",
 AND(K537&gt;=28,K537&lt;=32),"1개월",
 AND(K537=0),"당월",
 TRUE,"그외"
)</f>
        <v>3개월</v>
      </c>
    </row>
    <row r="538" spans="1:12" ht="17.649999999999999" customHeight="1" x14ac:dyDescent="0.3">
      <c r="A538" s="5">
        <v>46113</v>
      </c>
      <c r="B538" s="6" t="s">
        <v>84</v>
      </c>
      <c r="C538" s="6" t="s">
        <v>87</v>
      </c>
      <c r="D538" s="5">
        <v>46023</v>
      </c>
      <c r="E538" s="6" t="s">
        <v>15</v>
      </c>
      <c r="F538" s="7">
        <v>637</v>
      </c>
      <c r="G538" s="7">
        <v>660797.47409733129</v>
      </c>
      <c r="H538" s="7">
        <v>420927991</v>
      </c>
      <c r="I538" s="7">
        <v>69933845</v>
      </c>
      <c r="J538" s="7">
        <v>0</v>
      </c>
      <c r="K538">
        <f t="shared" si="8"/>
        <v>90</v>
      </c>
      <c r="L538" s="8" t="str" cm="1">
        <f t="array" ref="L538">_xlfn.IFS(
 AND(K538&gt;=89,K538&lt;=92),"3개월",
 AND(K538&gt;=58,K538&lt;=62),"2개월",
 AND(K538&gt;=28,K538&lt;=32),"1개월",
 AND(K538=0),"당월",
 TRUE,"그외"
)</f>
        <v>3개월</v>
      </c>
    </row>
    <row r="539" spans="1:12" ht="17.649999999999999" customHeight="1" x14ac:dyDescent="0.3">
      <c r="A539" s="5">
        <v>46113</v>
      </c>
      <c r="B539" s="6" t="s">
        <v>84</v>
      </c>
      <c r="C539" s="6" t="s">
        <v>87</v>
      </c>
      <c r="D539" s="5">
        <v>46054</v>
      </c>
      <c r="E539" s="6" t="s">
        <v>14</v>
      </c>
      <c r="F539" s="7">
        <v>1</v>
      </c>
      <c r="G539" s="7">
        <v>404400</v>
      </c>
      <c r="H539" s="7">
        <v>404400</v>
      </c>
      <c r="I539" s="7">
        <v>54400</v>
      </c>
      <c r="J539" s="7">
        <v>0</v>
      </c>
      <c r="K539">
        <f t="shared" si="8"/>
        <v>59</v>
      </c>
      <c r="L539" s="8" t="str" cm="1">
        <f t="array" ref="L539">_xlfn.IFS(
 AND(K539&gt;=89,K539&lt;=92),"3개월",
 AND(K539&gt;=58,K539&lt;=62),"2개월",
 AND(K539&gt;=28,K539&lt;=32),"1개월",
 AND(K539=0),"당월",
 TRUE,"그외"
)</f>
        <v>2개월</v>
      </c>
    </row>
    <row r="540" spans="1:12" ht="17.649999999999999" customHeight="1" x14ac:dyDescent="0.3">
      <c r="A540" s="5">
        <v>46113</v>
      </c>
      <c r="B540" s="6" t="s">
        <v>84</v>
      </c>
      <c r="C540" s="6" t="s">
        <v>87</v>
      </c>
      <c r="D540" s="5">
        <v>46054</v>
      </c>
      <c r="E540" s="6" t="s">
        <v>15</v>
      </c>
      <c r="F540" s="7">
        <v>1160</v>
      </c>
      <c r="G540" s="7">
        <v>613888.43793103448</v>
      </c>
      <c r="H540" s="7">
        <v>712110588</v>
      </c>
      <c r="I540" s="7">
        <v>109540210</v>
      </c>
      <c r="J540" s="7">
        <v>0</v>
      </c>
      <c r="K540">
        <f t="shared" si="8"/>
        <v>59</v>
      </c>
      <c r="L540" s="8" t="str" cm="1">
        <f t="array" ref="L540">_xlfn.IFS(
 AND(K540&gt;=89,K540&lt;=92),"3개월",
 AND(K540&gt;=58,K540&lt;=62),"2개월",
 AND(K540&gt;=28,K540&lt;=32),"1개월",
 AND(K540=0),"당월",
 TRUE,"그외"
)</f>
        <v>2개월</v>
      </c>
    </row>
    <row r="541" spans="1:12" ht="17.649999999999999" customHeight="1" x14ac:dyDescent="0.3">
      <c r="A541" s="5">
        <v>46113</v>
      </c>
      <c r="B541" s="6" t="s">
        <v>84</v>
      </c>
      <c r="C541" s="6" t="s">
        <v>87</v>
      </c>
      <c r="D541" s="5">
        <v>46082</v>
      </c>
      <c r="E541" s="6" t="s">
        <v>14</v>
      </c>
      <c r="F541" s="7">
        <v>727</v>
      </c>
      <c r="G541" s="7">
        <v>434149.25997248967</v>
      </c>
      <c r="H541" s="7">
        <v>315626512</v>
      </c>
      <c r="I541" s="7">
        <v>49010000</v>
      </c>
      <c r="J541" s="7">
        <v>0</v>
      </c>
      <c r="K541">
        <f t="shared" si="8"/>
        <v>31</v>
      </c>
      <c r="L541" s="8" t="str" cm="1">
        <f t="array" ref="L541">_xlfn.IFS(
 AND(K541&gt;=89,K541&lt;=92),"3개월",
 AND(K541&gt;=58,K541&lt;=62),"2개월",
 AND(K541&gt;=28,K541&lt;=32),"1개월",
 AND(K541=0),"당월",
 TRUE,"그외"
)</f>
        <v>1개월</v>
      </c>
    </row>
    <row r="542" spans="1:12" ht="17.649999999999999" customHeight="1" x14ac:dyDescent="0.3">
      <c r="A542" s="5">
        <v>46113</v>
      </c>
      <c r="B542" s="6" t="s">
        <v>84</v>
      </c>
      <c r="C542" s="6" t="s">
        <v>87</v>
      </c>
      <c r="D542" s="5">
        <v>46082</v>
      </c>
      <c r="E542" s="6" t="s">
        <v>15</v>
      </c>
      <c r="F542" s="7">
        <v>1497</v>
      </c>
      <c r="G542" s="7">
        <v>871525.89779559115</v>
      </c>
      <c r="H542" s="7">
        <v>1304674269</v>
      </c>
      <c r="I542" s="7">
        <v>184702123</v>
      </c>
      <c r="J542" s="7">
        <v>0</v>
      </c>
      <c r="K542">
        <f t="shared" si="8"/>
        <v>31</v>
      </c>
      <c r="L542" s="8" t="str" cm="1">
        <f t="array" ref="L542">_xlfn.IFS(
 AND(K542&gt;=89,K542&lt;=92),"3개월",
 AND(K542&gt;=58,K542&lt;=62),"2개월",
 AND(K542&gt;=28,K542&lt;=32),"1개월",
 AND(K542=0),"당월",
 TRUE,"그외"
)</f>
        <v>1개월</v>
      </c>
    </row>
    <row r="543" spans="1:12" ht="17.649999999999999" customHeight="1" x14ac:dyDescent="0.3">
      <c r="A543" s="5">
        <v>46113</v>
      </c>
      <c r="B543" s="6" t="s">
        <v>84</v>
      </c>
      <c r="C543" s="6" t="s">
        <v>87</v>
      </c>
      <c r="D543" s="5">
        <v>46113</v>
      </c>
      <c r="E543" s="6" t="s">
        <v>14</v>
      </c>
      <c r="F543" s="7">
        <v>2</v>
      </c>
      <c r="G543" s="7">
        <v>667600</v>
      </c>
      <c r="H543" s="7">
        <v>1335200</v>
      </c>
      <c r="I543" s="7">
        <v>135200</v>
      </c>
      <c r="J543" s="7">
        <v>0</v>
      </c>
      <c r="K543">
        <f t="shared" si="8"/>
        <v>0</v>
      </c>
      <c r="L543" s="8" t="str" cm="1">
        <f t="array" ref="L543">_xlfn.IFS(
 AND(K543&gt;=89,K543&lt;=92),"3개월",
 AND(K543&gt;=58,K543&lt;=62),"2개월",
 AND(K543&gt;=28,K543&lt;=32),"1개월",
 AND(K543=0),"당월",
 TRUE,"그외"
)</f>
        <v>당월</v>
      </c>
    </row>
    <row r="544" spans="1:12" ht="17.649999999999999" customHeight="1" x14ac:dyDescent="0.3">
      <c r="A544" s="5">
        <v>46113</v>
      </c>
      <c r="B544" s="6" t="s">
        <v>84</v>
      </c>
      <c r="C544" s="6" t="s">
        <v>87</v>
      </c>
      <c r="D544" s="5">
        <v>46113</v>
      </c>
      <c r="E544" s="6" t="s">
        <v>15</v>
      </c>
      <c r="F544" s="7">
        <v>604</v>
      </c>
      <c r="G544" s="7">
        <v>993878.34437086096</v>
      </c>
      <c r="H544" s="7">
        <v>600302520</v>
      </c>
      <c r="I544" s="7">
        <v>143972869</v>
      </c>
      <c r="J544" s="7">
        <v>0</v>
      </c>
      <c r="K544">
        <f t="shared" si="8"/>
        <v>0</v>
      </c>
      <c r="L544" s="8" t="str" cm="1">
        <f t="array" ref="L544">_xlfn.IFS(
 AND(K544&gt;=89,K544&lt;=92),"3개월",
 AND(K544&gt;=58,K544&lt;=62),"2개월",
 AND(K544&gt;=28,K544&lt;=32),"1개월",
 AND(K544=0),"당월",
 TRUE,"그외"
)</f>
        <v>당월</v>
      </c>
    </row>
    <row r="545" spans="1:12" ht="17.649999999999999" customHeight="1" x14ac:dyDescent="0.3">
      <c r="A545" s="5">
        <v>46113</v>
      </c>
      <c r="B545" s="6" t="s">
        <v>84</v>
      </c>
      <c r="C545" s="6" t="s">
        <v>87</v>
      </c>
      <c r="D545" s="5">
        <v>46143</v>
      </c>
      <c r="E545" s="6" t="s">
        <v>15</v>
      </c>
      <c r="F545" s="7">
        <v>1</v>
      </c>
      <c r="G545" s="7">
        <v>716100</v>
      </c>
      <c r="H545" s="7">
        <v>716100</v>
      </c>
      <c r="I545" s="7">
        <v>213900</v>
      </c>
      <c r="J545" s="7">
        <v>0</v>
      </c>
      <c r="K545">
        <f t="shared" si="8"/>
        <v>-30</v>
      </c>
      <c r="L545" s="8" t="str" cm="1">
        <f t="array" ref="L545">_xlfn.IFS(
 AND(K545&gt;=89,K545&lt;=92),"3개월",
 AND(K545&gt;=58,K545&lt;=62),"2개월",
 AND(K545&gt;=28,K545&lt;=32),"1개월",
 AND(K545=0),"당월",
 TRUE,"그외"
)</f>
        <v>그외</v>
      </c>
    </row>
    <row r="546" spans="1:12" ht="17.649999999999999" customHeight="1" x14ac:dyDescent="0.3">
      <c r="A546" s="5">
        <v>46113</v>
      </c>
      <c r="B546" s="6" t="s">
        <v>84</v>
      </c>
      <c r="C546" s="6" t="s">
        <v>88</v>
      </c>
      <c r="D546" s="5">
        <v>45931</v>
      </c>
      <c r="E546" s="6" t="s">
        <v>15</v>
      </c>
      <c r="F546" s="7">
        <v>627</v>
      </c>
      <c r="G546" s="7">
        <v>675705.6523125997</v>
      </c>
      <c r="H546" s="7">
        <v>423667444</v>
      </c>
      <c r="I546" s="7">
        <v>54473779</v>
      </c>
      <c r="J546" s="7">
        <v>0</v>
      </c>
      <c r="K546">
        <f t="shared" si="8"/>
        <v>182</v>
      </c>
      <c r="L546" s="8" t="str" cm="1">
        <f t="array" ref="L546">_xlfn.IFS(
 AND(K546&gt;=89,K546&lt;=92),"3개월",
 AND(K546&gt;=58,K546&lt;=62),"2개월",
 AND(K546&gt;=28,K546&lt;=32),"1개월",
 AND(K546=0),"당월",
 TRUE,"그외"
)</f>
        <v>그외</v>
      </c>
    </row>
    <row r="547" spans="1:12" ht="17.649999999999999" customHeight="1" x14ac:dyDescent="0.3">
      <c r="A547" s="5">
        <v>46113</v>
      </c>
      <c r="B547" s="6" t="s">
        <v>84</v>
      </c>
      <c r="C547" s="6" t="s">
        <v>88</v>
      </c>
      <c r="D547" s="5">
        <v>45962</v>
      </c>
      <c r="E547" s="6" t="s">
        <v>15</v>
      </c>
      <c r="F547" s="7">
        <v>636</v>
      </c>
      <c r="G547" s="7">
        <v>614737.14308176097</v>
      </c>
      <c r="H547" s="7">
        <v>390972823</v>
      </c>
      <c r="I547" s="7">
        <v>58405056</v>
      </c>
      <c r="J547" s="7">
        <v>0</v>
      </c>
      <c r="K547">
        <f t="shared" si="8"/>
        <v>151</v>
      </c>
      <c r="L547" s="8" t="str" cm="1">
        <f t="array" ref="L547">_xlfn.IFS(
 AND(K547&gt;=89,K547&lt;=92),"3개월",
 AND(K547&gt;=58,K547&lt;=62),"2개월",
 AND(K547&gt;=28,K547&lt;=32),"1개월",
 AND(K547=0),"당월",
 TRUE,"그외"
)</f>
        <v>그외</v>
      </c>
    </row>
    <row r="548" spans="1:12" ht="17.649999999999999" customHeight="1" x14ac:dyDescent="0.3">
      <c r="A548" s="5">
        <v>46113</v>
      </c>
      <c r="B548" s="6" t="s">
        <v>84</v>
      </c>
      <c r="C548" s="6" t="s">
        <v>88</v>
      </c>
      <c r="D548" s="5">
        <v>45992</v>
      </c>
      <c r="E548" s="6" t="s">
        <v>15</v>
      </c>
      <c r="F548" s="7">
        <v>602</v>
      </c>
      <c r="G548" s="7">
        <v>693385.26245847181</v>
      </c>
      <c r="H548" s="7">
        <v>417417928</v>
      </c>
      <c r="I548" s="7">
        <v>62138057</v>
      </c>
      <c r="J548" s="7">
        <v>0</v>
      </c>
      <c r="K548">
        <f t="shared" si="8"/>
        <v>121</v>
      </c>
      <c r="L548" s="8" t="str" cm="1">
        <f t="array" ref="L548">_xlfn.IFS(
 AND(K548&gt;=89,K548&lt;=92),"3개월",
 AND(K548&gt;=58,K548&lt;=62),"2개월",
 AND(K548&gt;=28,K548&lt;=32),"1개월",
 AND(K548=0),"당월",
 TRUE,"그외"
)</f>
        <v>그외</v>
      </c>
    </row>
    <row r="549" spans="1:12" ht="17.649999999999999" customHeight="1" x14ac:dyDescent="0.3">
      <c r="A549" s="5">
        <v>46113</v>
      </c>
      <c r="B549" s="6" t="s">
        <v>84</v>
      </c>
      <c r="C549" s="6" t="s">
        <v>88</v>
      </c>
      <c r="D549" s="5">
        <v>46023</v>
      </c>
      <c r="E549" s="6" t="s">
        <v>15</v>
      </c>
      <c r="F549" s="7">
        <v>1892</v>
      </c>
      <c r="G549" s="7">
        <v>694156.30919661734</v>
      </c>
      <c r="H549" s="7">
        <v>1313343737</v>
      </c>
      <c r="I549" s="7">
        <v>204972116</v>
      </c>
      <c r="J549" s="7">
        <v>0</v>
      </c>
      <c r="K549">
        <f t="shared" si="8"/>
        <v>90</v>
      </c>
      <c r="L549" s="8" t="str" cm="1">
        <f t="array" ref="L549">_xlfn.IFS(
 AND(K549&gt;=89,K549&lt;=92),"3개월",
 AND(K549&gt;=58,K549&lt;=62),"2개월",
 AND(K549&gt;=28,K549&lt;=32),"1개월",
 AND(K549=0),"당월",
 TRUE,"그외"
)</f>
        <v>3개월</v>
      </c>
    </row>
    <row r="550" spans="1:12" ht="17.649999999999999" customHeight="1" x14ac:dyDescent="0.3">
      <c r="A550" s="5">
        <v>46113</v>
      </c>
      <c r="B550" s="6" t="s">
        <v>84</v>
      </c>
      <c r="C550" s="6" t="s">
        <v>88</v>
      </c>
      <c r="D550" s="5">
        <v>46054</v>
      </c>
      <c r="E550" s="6" t="s">
        <v>15</v>
      </c>
      <c r="F550" s="7">
        <v>2138</v>
      </c>
      <c r="G550" s="7">
        <v>655705.79840972868</v>
      </c>
      <c r="H550" s="7">
        <v>1401898997</v>
      </c>
      <c r="I550" s="7">
        <v>196641715</v>
      </c>
      <c r="J550" s="7">
        <v>0</v>
      </c>
      <c r="K550">
        <f t="shared" si="8"/>
        <v>59</v>
      </c>
      <c r="L550" s="8" t="str" cm="1">
        <f t="array" ref="L550">_xlfn.IFS(
 AND(K550&gt;=89,K550&lt;=92),"3개월",
 AND(K550&gt;=58,K550&lt;=62),"2개월",
 AND(K550&gt;=28,K550&lt;=32),"1개월",
 AND(K550=0),"당월",
 TRUE,"그외"
)</f>
        <v>2개월</v>
      </c>
    </row>
    <row r="551" spans="1:12" ht="17.649999999999999" customHeight="1" x14ac:dyDescent="0.3">
      <c r="A551" s="5">
        <v>46113</v>
      </c>
      <c r="B551" s="6" t="s">
        <v>84</v>
      </c>
      <c r="C551" s="6" t="s">
        <v>88</v>
      </c>
      <c r="D551" s="5">
        <v>46082</v>
      </c>
      <c r="E551" s="6" t="s">
        <v>14</v>
      </c>
      <c r="F551" s="7">
        <v>751</v>
      </c>
      <c r="G551" s="7">
        <v>525052.45805592544</v>
      </c>
      <c r="H551" s="7">
        <v>394314396</v>
      </c>
      <c r="I551" s="7">
        <v>50767600</v>
      </c>
      <c r="J551" s="7">
        <v>0</v>
      </c>
      <c r="K551">
        <f t="shared" si="8"/>
        <v>31</v>
      </c>
      <c r="L551" s="8" t="str" cm="1">
        <f t="array" ref="L551">_xlfn.IFS(
 AND(K551&gt;=89,K551&lt;=92),"3개월",
 AND(K551&gt;=58,K551&lt;=62),"2개월",
 AND(K551&gt;=28,K551&lt;=32),"1개월",
 AND(K551=0),"당월",
 TRUE,"그외"
)</f>
        <v>1개월</v>
      </c>
    </row>
    <row r="552" spans="1:12" ht="17.649999999999999" customHeight="1" x14ac:dyDescent="0.3">
      <c r="A552" s="5">
        <v>46113</v>
      </c>
      <c r="B552" s="6" t="s">
        <v>84</v>
      </c>
      <c r="C552" s="6" t="s">
        <v>88</v>
      </c>
      <c r="D552" s="5">
        <v>46082</v>
      </c>
      <c r="E552" s="6" t="s">
        <v>15</v>
      </c>
      <c r="F552" s="7">
        <v>2627</v>
      </c>
      <c r="G552" s="7">
        <v>926854.2702702703</v>
      </c>
      <c r="H552" s="7">
        <v>2434846168</v>
      </c>
      <c r="I552" s="7">
        <v>301113421</v>
      </c>
      <c r="J552" s="7">
        <v>0</v>
      </c>
      <c r="K552">
        <f t="shared" si="8"/>
        <v>31</v>
      </c>
      <c r="L552" s="8" t="str" cm="1">
        <f t="array" ref="L552">_xlfn.IFS(
 AND(K552&gt;=89,K552&lt;=92),"3개월",
 AND(K552&gt;=58,K552&lt;=62),"2개월",
 AND(K552&gt;=28,K552&lt;=32),"1개월",
 AND(K552=0),"당월",
 TRUE,"그외"
)</f>
        <v>1개월</v>
      </c>
    </row>
    <row r="553" spans="1:12" ht="17.649999999999999" customHeight="1" x14ac:dyDescent="0.3">
      <c r="A553" s="5">
        <v>46113</v>
      </c>
      <c r="B553" s="6" t="s">
        <v>84</v>
      </c>
      <c r="C553" s="6" t="s">
        <v>88</v>
      </c>
      <c r="D553" s="5">
        <v>46113</v>
      </c>
      <c r="E553" s="6" t="s">
        <v>15</v>
      </c>
      <c r="F553" s="7">
        <v>729</v>
      </c>
      <c r="G553" s="7">
        <v>1238477.8779149521</v>
      </c>
      <c r="H553" s="7">
        <v>902850373</v>
      </c>
      <c r="I553" s="7">
        <v>177025973</v>
      </c>
      <c r="J553" s="7">
        <v>0</v>
      </c>
      <c r="K553">
        <f t="shared" si="8"/>
        <v>0</v>
      </c>
      <c r="L553" s="8" t="str" cm="1">
        <f t="array" ref="L553">_xlfn.IFS(
 AND(K553&gt;=89,K553&lt;=92),"3개월",
 AND(K553&gt;=58,K553&lt;=62),"2개월",
 AND(K553&gt;=28,K553&lt;=32),"1개월",
 AND(K553=0),"당월",
 TRUE,"그외"
)</f>
        <v>당월</v>
      </c>
    </row>
    <row r="554" spans="1:12" ht="17.649999999999999" customHeight="1" x14ac:dyDescent="0.3">
      <c r="A554" s="5">
        <v>46113</v>
      </c>
      <c r="B554" s="6" t="s">
        <v>89</v>
      </c>
      <c r="C554" s="6" t="s">
        <v>90</v>
      </c>
      <c r="D554" s="5">
        <v>45962</v>
      </c>
      <c r="E554" s="6" t="s">
        <v>15</v>
      </c>
      <c r="F554" s="7">
        <v>255</v>
      </c>
      <c r="G554" s="7">
        <v>458170.91372549022</v>
      </c>
      <c r="H554" s="7">
        <v>116833583</v>
      </c>
      <c r="I554" s="7">
        <v>21638283</v>
      </c>
      <c r="J554" s="7">
        <v>0</v>
      </c>
      <c r="K554">
        <f t="shared" si="8"/>
        <v>151</v>
      </c>
      <c r="L554" s="8" t="str" cm="1">
        <f t="array" ref="L554">_xlfn.IFS(
 AND(K554&gt;=89,K554&lt;=92),"3개월",
 AND(K554&gt;=58,K554&lt;=62),"2개월",
 AND(K554&gt;=28,K554&lt;=32),"1개월",
 AND(K554=0),"당월",
 TRUE,"그외"
)</f>
        <v>그외</v>
      </c>
    </row>
    <row r="555" spans="1:12" ht="17.649999999999999" customHeight="1" x14ac:dyDescent="0.3">
      <c r="A555" s="5">
        <v>46113</v>
      </c>
      <c r="B555" s="6" t="s">
        <v>89</v>
      </c>
      <c r="C555" s="6" t="s">
        <v>90</v>
      </c>
      <c r="D555" s="5">
        <v>45992</v>
      </c>
      <c r="E555" s="6" t="s">
        <v>15</v>
      </c>
      <c r="F555" s="7">
        <v>311</v>
      </c>
      <c r="G555" s="7">
        <v>496712.3279742765</v>
      </c>
      <c r="H555" s="7">
        <v>154477534</v>
      </c>
      <c r="I555" s="7">
        <v>36081505</v>
      </c>
      <c r="J555" s="7">
        <v>0</v>
      </c>
      <c r="K555">
        <f t="shared" si="8"/>
        <v>121</v>
      </c>
      <c r="L555" s="8" t="str" cm="1">
        <f t="array" ref="L555">_xlfn.IFS(
 AND(K555&gt;=89,K555&lt;=92),"3개월",
 AND(K555&gt;=58,K555&lt;=62),"2개월",
 AND(K555&gt;=28,K555&lt;=32),"1개월",
 AND(K555=0),"당월",
 TRUE,"그외"
)</f>
        <v>그외</v>
      </c>
    </row>
    <row r="556" spans="1:12" ht="17.649999999999999" customHeight="1" x14ac:dyDescent="0.3">
      <c r="A556" s="5">
        <v>46113</v>
      </c>
      <c r="B556" s="6" t="s">
        <v>89</v>
      </c>
      <c r="C556" s="6" t="s">
        <v>90</v>
      </c>
      <c r="D556" s="5">
        <v>46023</v>
      </c>
      <c r="E556" s="6" t="s">
        <v>15</v>
      </c>
      <c r="F556" s="7">
        <v>1426</v>
      </c>
      <c r="G556" s="7">
        <v>465956.51332398318</v>
      </c>
      <c r="H556" s="7">
        <v>664453988</v>
      </c>
      <c r="I556" s="7">
        <v>161293924</v>
      </c>
      <c r="J556" s="7">
        <v>0</v>
      </c>
      <c r="K556">
        <f t="shared" si="8"/>
        <v>90</v>
      </c>
      <c r="L556" s="8" t="str" cm="1">
        <f t="array" ref="L556">_xlfn.IFS(
 AND(K556&gt;=89,K556&lt;=92),"3개월",
 AND(K556&gt;=58,K556&lt;=62),"2개월",
 AND(K556&gt;=28,K556&lt;=32),"1개월",
 AND(K556=0),"당월",
 TRUE,"그외"
)</f>
        <v>3개월</v>
      </c>
    </row>
    <row r="557" spans="1:12" ht="17.649999999999999" customHeight="1" x14ac:dyDescent="0.3">
      <c r="A557" s="5">
        <v>46113</v>
      </c>
      <c r="B557" s="6" t="s">
        <v>89</v>
      </c>
      <c r="C557" s="6" t="s">
        <v>90</v>
      </c>
      <c r="D557" s="5">
        <v>46054</v>
      </c>
      <c r="E557" s="6" t="s">
        <v>14</v>
      </c>
      <c r="F557" s="7">
        <v>28</v>
      </c>
      <c r="G557" s="7">
        <v>240792.8571428571</v>
      </c>
      <c r="H557" s="7">
        <v>6742200</v>
      </c>
      <c r="I557" s="7">
        <v>1523200</v>
      </c>
      <c r="J557" s="7">
        <v>0</v>
      </c>
      <c r="K557">
        <f t="shared" si="8"/>
        <v>59</v>
      </c>
      <c r="L557" s="8" t="str" cm="1">
        <f t="array" ref="L557">_xlfn.IFS(
 AND(K557&gt;=89,K557&lt;=92),"3개월",
 AND(K557&gt;=58,K557&lt;=62),"2개월",
 AND(K557&gt;=28,K557&lt;=32),"1개월",
 AND(K557=0),"당월",
 TRUE,"그외"
)</f>
        <v>2개월</v>
      </c>
    </row>
    <row r="558" spans="1:12" ht="17.649999999999999" customHeight="1" x14ac:dyDescent="0.3">
      <c r="A558" s="5">
        <v>46113</v>
      </c>
      <c r="B558" s="6" t="s">
        <v>89</v>
      </c>
      <c r="C558" s="6" t="s">
        <v>90</v>
      </c>
      <c r="D558" s="5">
        <v>46054</v>
      </c>
      <c r="E558" s="6" t="s">
        <v>15</v>
      </c>
      <c r="F558" s="7">
        <v>1659</v>
      </c>
      <c r="G558" s="7">
        <v>527612.94695599761</v>
      </c>
      <c r="H558" s="7">
        <v>875309879</v>
      </c>
      <c r="I558" s="7">
        <v>169989907</v>
      </c>
      <c r="J558" s="7">
        <v>0</v>
      </c>
      <c r="K558">
        <f t="shared" si="8"/>
        <v>59</v>
      </c>
      <c r="L558" s="8" t="str" cm="1">
        <f t="array" ref="L558">_xlfn.IFS(
 AND(K558&gt;=89,K558&lt;=92),"3개월",
 AND(K558&gt;=58,K558&lt;=62),"2개월",
 AND(K558&gt;=28,K558&lt;=32),"1개월",
 AND(K558=0),"당월",
 TRUE,"그외"
)</f>
        <v>2개월</v>
      </c>
    </row>
    <row r="559" spans="1:12" ht="17.649999999999999" customHeight="1" x14ac:dyDescent="0.3">
      <c r="A559" s="5">
        <v>46113</v>
      </c>
      <c r="B559" s="6" t="s">
        <v>89</v>
      </c>
      <c r="C559" s="6" t="s">
        <v>90</v>
      </c>
      <c r="D559" s="5">
        <v>46082</v>
      </c>
      <c r="E559" s="6" t="s">
        <v>14</v>
      </c>
      <c r="F559" s="7">
        <v>443</v>
      </c>
      <c r="G559" s="7">
        <v>393402.46501128672</v>
      </c>
      <c r="H559" s="7">
        <v>174277292</v>
      </c>
      <c r="I559" s="7">
        <v>33364821</v>
      </c>
      <c r="J559" s="7">
        <v>0</v>
      </c>
      <c r="K559">
        <f t="shared" si="8"/>
        <v>31</v>
      </c>
      <c r="L559" s="8" t="str" cm="1">
        <f t="array" ref="L559">_xlfn.IFS(
 AND(K559&gt;=89,K559&lt;=92),"3개월",
 AND(K559&gt;=58,K559&lt;=62),"2개월",
 AND(K559&gt;=28,K559&lt;=32),"1개월",
 AND(K559=0),"당월",
 TRUE,"그외"
)</f>
        <v>1개월</v>
      </c>
    </row>
    <row r="560" spans="1:12" ht="17.649999999999999" customHeight="1" x14ac:dyDescent="0.3">
      <c r="A560" s="5">
        <v>46113</v>
      </c>
      <c r="B560" s="6" t="s">
        <v>89</v>
      </c>
      <c r="C560" s="6" t="s">
        <v>90</v>
      </c>
      <c r="D560" s="5">
        <v>46082</v>
      </c>
      <c r="E560" s="6" t="s">
        <v>15</v>
      </c>
      <c r="F560" s="7">
        <v>2488</v>
      </c>
      <c r="G560" s="7">
        <v>733241.86776527332</v>
      </c>
      <c r="H560" s="7">
        <v>1824305767</v>
      </c>
      <c r="I560" s="7">
        <v>277465311</v>
      </c>
      <c r="J560" s="7">
        <v>0</v>
      </c>
      <c r="K560">
        <f t="shared" si="8"/>
        <v>31</v>
      </c>
      <c r="L560" s="8" t="str" cm="1">
        <f t="array" ref="L560">_xlfn.IFS(
 AND(K560&gt;=89,K560&lt;=92),"3개월",
 AND(K560&gt;=58,K560&lt;=62),"2개월",
 AND(K560&gt;=28,K560&lt;=32),"1개월",
 AND(K560=0),"당월",
 TRUE,"그외"
)</f>
        <v>1개월</v>
      </c>
    </row>
    <row r="561" spans="1:12" ht="17.649999999999999" customHeight="1" x14ac:dyDescent="0.3">
      <c r="A561" s="5">
        <v>46113</v>
      </c>
      <c r="B561" s="6" t="s">
        <v>89</v>
      </c>
      <c r="C561" s="6" t="s">
        <v>90</v>
      </c>
      <c r="D561" s="5">
        <v>46113</v>
      </c>
      <c r="E561" s="6" t="s">
        <v>14</v>
      </c>
      <c r="F561" s="7">
        <v>26</v>
      </c>
      <c r="G561" s="7">
        <v>700001.92307692312</v>
      </c>
      <c r="H561" s="7">
        <v>18200050</v>
      </c>
      <c r="I561" s="7">
        <v>5575150</v>
      </c>
      <c r="J561" s="7">
        <v>0</v>
      </c>
      <c r="K561">
        <f t="shared" si="8"/>
        <v>0</v>
      </c>
      <c r="L561" s="8" t="str" cm="1">
        <f t="array" ref="L561">_xlfn.IFS(
 AND(K561&gt;=89,K561&lt;=92),"3개월",
 AND(K561&gt;=58,K561&lt;=62),"2개월",
 AND(K561&gt;=28,K561&lt;=32),"1개월",
 AND(K561=0),"당월",
 TRUE,"그외"
)</f>
        <v>당월</v>
      </c>
    </row>
    <row r="562" spans="1:12" ht="17.649999999999999" customHeight="1" x14ac:dyDescent="0.3">
      <c r="A562" s="5">
        <v>46113</v>
      </c>
      <c r="B562" s="6" t="s">
        <v>89</v>
      </c>
      <c r="C562" s="6" t="s">
        <v>90</v>
      </c>
      <c r="D562" s="5">
        <v>46113</v>
      </c>
      <c r="E562" s="6" t="s">
        <v>15</v>
      </c>
      <c r="F562" s="7">
        <v>650</v>
      </c>
      <c r="G562" s="7">
        <v>771106.17076923081</v>
      </c>
      <c r="H562" s="7">
        <v>501219011</v>
      </c>
      <c r="I562" s="7">
        <v>129087020</v>
      </c>
      <c r="J562" s="7">
        <v>0</v>
      </c>
      <c r="K562">
        <f t="shared" si="8"/>
        <v>0</v>
      </c>
      <c r="L562" s="8" t="str" cm="1">
        <f t="array" ref="L562">_xlfn.IFS(
 AND(K562&gt;=89,K562&lt;=92),"3개월",
 AND(K562&gt;=58,K562&lt;=62),"2개월",
 AND(K562&gt;=28,K562&lt;=32),"1개월",
 AND(K562=0),"당월",
 TRUE,"그외"
)</f>
        <v>당월</v>
      </c>
    </row>
    <row r="563" spans="1:12" ht="17.649999999999999" customHeight="1" x14ac:dyDescent="0.3">
      <c r="A563" s="5">
        <v>46113</v>
      </c>
      <c r="B563" s="6" t="s">
        <v>89</v>
      </c>
      <c r="C563" s="6" t="s">
        <v>90</v>
      </c>
      <c r="D563" s="5">
        <v>46143</v>
      </c>
      <c r="E563" s="6" t="s">
        <v>15</v>
      </c>
      <c r="F563" s="7">
        <v>4</v>
      </c>
      <c r="G563" s="7">
        <v>554563.25</v>
      </c>
      <c r="H563" s="7">
        <v>2218253</v>
      </c>
      <c r="I563" s="7">
        <v>856510</v>
      </c>
      <c r="J563" s="7">
        <v>0</v>
      </c>
      <c r="K563">
        <f t="shared" si="8"/>
        <v>-30</v>
      </c>
      <c r="L563" s="8" t="str" cm="1">
        <f t="array" ref="L563">_xlfn.IFS(
 AND(K563&gt;=89,K563&lt;=92),"3개월",
 AND(K563&gt;=58,K563&lt;=62),"2개월",
 AND(K563&gt;=28,K563&lt;=32),"1개월",
 AND(K563=0),"당월",
 TRUE,"그외"
)</f>
        <v>그외</v>
      </c>
    </row>
    <row r="564" spans="1:12" ht="17.649999999999999" customHeight="1" x14ac:dyDescent="0.3">
      <c r="A564" s="5">
        <v>46143</v>
      </c>
      <c r="B564" s="6" t="s">
        <v>12</v>
      </c>
      <c r="C564" s="6" t="s">
        <v>13</v>
      </c>
      <c r="D564" s="5">
        <v>45778</v>
      </c>
      <c r="E564" s="6" t="s">
        <v>15</v>
      </c>
      <c r="F564" s="7">
        <v>2</v>
      </c>
      <c r="G564" s="7">
        <v>36818.5</v>
      </c>
      <c r="H564" s="7">
        <v>73637</v>
      </c>
      <c r="I564" s="7">
        <v>17600</v>
      </c>
      <c r="J564" s="7">
        <v>1600</v>
      </c>
      <c r="K564">
        <f t="shared" si="8"/>
        <v>365</v>
      </c>
      <c r="L564" s="8" t="str" cm="1">
        <f t="array" ref="L564">_xlfn.IFS(
 AND(K564&gt;=89,K564&lt;=92),"3개월",
 AND(K564&gt;=58,K564&lt;=62),"2개월",
 AND(K564&gt;=28,K564&lt;=32),"1개월",
 AND(K564=0),"당월",
 TRUE,"그외"
)</f>
        <v>그외</v>
      </c>
    </row>
    <row r="565" spans="1:12" ht="17.649999999999999" customHeight="1" x14ac:dyDescent="0.3">
      <c r="A565" s="5">
        <v>46143</v>
      </c>
      <c r="B565" s="6" t="s">
        <v>12</v>
      </c>
      <c r="C565" s="6" t="s">
        <v>13</v>
      </c>
      <c r="D565" s="5">
        <v>46023</v>
      </c>
      <c r="E565" s="6" t="s">
        <v>14</v>
      </c>
      <c r="F565" s="7">
        <v>72</v>
      </c>
      <c r="G565" s="7">
        <v>107146.75</v>
      </c>
      <c r="H565" s="7">
        <v>7714566</v>
      </c>
      <c r="I565" s="7">
        <v>792000</v>
      </c>
      <c r="J565" s="7">
        <v>72000</v>
      </c>
      <c r="K565">
        <f t="shared" si="8"/>
        <v>120</v>
      </c>
      <c r="L565" s="8" t="str" cm="1">
        <f t="array" ref="L565">_xlfn.IFS(
 AND(K565&gt;=89,K565&lt;=92),"3개월",
 AND(K565&gt;=58,K565&lt;=62),"2개월",
 AND(K565&gt;=28,K565&lt;=32),"1개월",
 AND(K565=0),"당월",
 TRUE,"그외"
)</f>
        <v>그외</v>
      </c>
    </row>
    <row r="566" spans="1:12" ht="17.649999999999999" customHeight="1" x14ac:dyDescent="0.3">
      <c r="A566" s="5">
        <v>46143</v>
      </c>
      <c r="B566" s="6" t="s">
        <v>12</v>
      </c>
      <c r="C566" s="6" t="s">
        <v>13</v>
      </c>
      <c r="D566" s="5">
        <v>46023</v>
      </c>
      <c r="E566" s="6" t="s">
        <v>15</v>
      </c>
      <c r="F566" s="7">
        <v>6448</v>
      </c>
      <c r="G566" s="7">
        <v>103089.88213399499</v>
      </c>
      <c r="H566" s="7">
        <v>664723560</v>
      </c>
      <c r="I566" s="7">
        <v>70928000</v>
      </c>
      <c r="J566" s="7">
        <v>6448000</v>
      </c>
      <c r="K566">
        <f t="shared" si="8"/>
        <v>120</v>
      </c>
      <c r="L566" s="8" t="str" cm="1">
        <f t="array" ref="L566">_xlfn.IFS(
 AND(K566&gt;=89,K566&lt;=92),"3개월",
 AND(K566&gt;=58,K566&lt;=62),"2개월",
 AND(K566&gt;=28,K566&lt;=32),"1개월",
 AND(K566=0),"당월",
 TRUE,"그외"
)</f>
        <v>그외</v>
      </c>
    </row>
    <row r="567" spans="1:12" ht="17.649999999999999" customHeight="1" x14ac:dyDescent="0.3">
      <c r="A567" s="5">
        <v>46143</v>
      </c>
      <c r="B567" s="6" t="s">
        <v>12</v>
      </c>
      <c r="C567" s="6" t="s">
        <v>13</v>
      </c>
      <c r="D567" s="5">
        <v>46054</v>
      </c>
      <c r="E567" s="6" t="s">
        <v>14</v>
      </c>
      <c r="F567" s="7">
        <v>110</v>
      </c>
      <c r="G567" s="7">
        <v>92529.327272727271</v>
      </c>
      <c r="H567" s="7">
        <v>10178226</v>
      </c>
      <c r="I567" s="7">
        <v>968000</v>
      </c>
      <c r="J567" s="7">
        <v>88000</v>
      </c>
      <c r="K567">
        <f t="shared" si="8"/>
        <v>89</v>
      </c>
      <c r="L567" s="8" t="str" cm="1">
        <f t="array" ref="L567">_xlfn.IFS(
 AND(K567&gt;=89,K567&lt;=92),"3개월",
 AND(K567&gt;=58,K567&lt;=62),"2개월",
 AND(K567&gt;=28,K567&lt;=32),"1개월",
 AND(K567=0),"당월",
 TRUE,"그외"
)</f>
        <v>3개월</v>
      </c>
    </row>
    <row r="568" spans="1:12" ht="17.649999999999999" customHeight="1" x14ac:dyDescent="0.3">
      <c r="A568" s="5">
        <v>46143</v>
      </c>
      <c r="B568" s="6" t="s">
        <v>12</v>
      </c>
      <c r="C568" s="6" t="s">
        <v>13</v>
      </c>
      <c r="D568" s="5">
        <v>46054</v>
      </c>
      <c r="E568" s="6" t="s">
        <v>15</v>
      </c>
      <c r="F568" s="7">
        <v>5429</v>
      </c>
      <c r="G568" s="7">
        <v>96230.894824092829</v>
      </c>
      <c r="H568" s="7">
        <v>522437528</v>
      </c>
      <c r="I568" s="7">
        <v>47621200</v>
      </c>
      <c r="J568" s="7">
        <v>4329200</v>
      </c>
      <c r="K568">
        <f t="shared" si="8"/>
        <v>89</v>
      </c>
      <c r="L568" s="8" t="str" cm="1">
        <f t="array" ref="L568">_xlfn.IFS(
 AND(K568&gt;=89,K568&lt;=92),"3개월",
 AND(K568&gt;=58,K568&lt;=62),"2개월",
 AND(K568&gt;=28,K568&lt;=32),"1개월",
 AND(K568=0),"당월",
 TRUE,"그외"
)</f>
        <v>3개월</v>
      </c>
    </row>
    <row r="569" spans="1:12" ht="17.649999999999999" customHeight="1" x14ac:dyDescent="0.3">
      <c r="A569" s="5">
        <v>46143</v>
      </c>
      <c r="B569" s="6" t="s">
        <v>12</v>
      </c>
      <c r="C569" s="6" t="s">
        <v>13</v>
      </c>
      <c r="D569" s="5">
        <v>46082</v>
      </c>
      <c r="E569" s="6" t="s">
        <v>14</v>
      </c>
      <c r="F569" s="7">
        <v>1193</v>
      </c>
      <c r="G569" s="7">
        <v>82491.51886001676</v>
      </c>
      <c r="H569" s="7">
        <v>98412382</v>
      </c>
      <c r="I569" s="7">
        <v>9186100</v>
      </c>
      <c r="J569" s="7">
        <v>835100</v>
      </c>
      <c r="K569">
        <f t="shared" si="8"/>
        <v>61</v>
      </c>
      <c r="L569" s="8" t="str" cm="1">
        <f t="array" ref="L569">_xlfn.IFS(
 AND(K569&gt;=89,K569&lt;=92),"3개월",
 AND(K569&gt;=58,K569&lt;=62),"2개월",
 AND(K569&gt;=28,K569&lt;=32),"1개월",
 AND(K569=0),"당월",
 TRUE,"그외"
)</f>
        <v>2개월</v>
      </c>
    </row>
    <row r="570" spans="1:12" ht="17.649999999999999" customHeight="1" x14ac:dyDescent="0.3">
      <c r="A570" s="5">
        <v>46143</v>
      </c>
      <c r="B570" s="6" t="s">
        <v>12</v>
      </c>
      <c r="C570" s="6" t="s">
        <v>13</v>
      </c>
      <c r="D570" s="5">
        <v>46082</v>
      </c>
      <c r="E570" s="6" t="s">
        <v>15</v>
      </c>
      <c r="F570" s="7">
        <v>15494</v>
      </c>
      <c r="G570" s="7">
        <v>91545.969794759265</v>
      </c>
      <c r="H570" s="7">
        <v>1418413256</v>
      </c>
      <c r="I570" s="7">
        <v>118417377</v>
      </c>
      <c r="J570" s="7">
        <v>10764100</v>
      </c>
      <c r="K570">
        <f t="shared" si="8"/>
        <v>61</v>
      </c>
      <c r="L570" s="8" t="str" cm="1">
        <f t="array" ref="L570">_xlfn.IFS(
 AND(K570&gt;=89,K570&lt;=92),"3개월",
 AND(K570&gt;=58,K570&lt;=62),"2개월",
 AND(K570&gt;=28,K570&lt;=32),"1개월",
 AND(K570=0),"당월",
 TRUE,"그외"
)</f>
        <v>2개월</v>
      </c>
    </row>
    <row r="571" spans="1:12" ht="17.649999999999999" customHeight="1" x14ac:dyDescent="0.3">
      <c r="A571" s="5">
        <v>46143</v>
      </c>
      <c r="B571" s="6" t="s">
        <v>12</v>
      </c>
      <c r="C571" s="6" t="s">
        <v>13</v>
      </c>
      <c r="D571" s="5">
        <v>46113</v>
      </c>
      <c r="E571" s="6" t="s">
        <v>14</v>
      </c>
      <c r="F571" s="7">
        <v>5990</v>
      </c>
      <c r="G571" s="7">
        <v>83391.66911519198</v>
      </c>
      <c r="H571" s="7">
        <v>499516098</v>
      </c>
      <c r="I571" s="7">
        <v>52008000</v>
      </c>
      <c r="J571" s="7">
        <v>4728000</v>
      </c>
      <c r="K571">
        <f t="shared" si="8"/>
        <v>30</v>
      </c>
      <c r="L571" s="8" t="str" cm="1">
        <f t="array" ref="L571">_xlfn.IFS(
 AND(K571&gt;=89,K571&lt;=92),"3개월",
 AND(K571&gt;=58,K571&lt;=62),"2개월",
 AND(K571&gt;=28,K571&lt;=32),"1개월",
 AND(K571=0),"당월",
 TRUE,"그외"
)</f>
        <v>1개월</v>
      </c>
    </row>
    <row r="572" spans="1:12" ht="17.649999999999999" customHeight="1" x14ac:dyDescent="0.3">
      <c r="A572" s="5">
        <v>46143</v>
      </c>
      <c r="B572" s="6" t="s">
        <v>12</v>
      </c>
      <c r="C572" s="6" t="s">
        <v>13</v>
      </c>
      <c r="D572" s="5">
        <v>46113</v>
      </c>
      <c r="E572" s="6" t="s">
        <v>15</v>
      </c>
      <c r="F572" s="7">
        <v>43224</v>
      </c>
      <c r="G572" s="7">
        <v>69351.610401628728</v>
      </c>
      <c r="H572" s="7">
        <v>2997654008</v>
      </c>
      <c r="I572" s="7">
        <v>368581700</v>
      </c>
      <c r="J572" s="7">
        <v>33507427</v>
      </c>
      <c r="K572">
        <f t="shared" si="8"/>
        <v>30</v>
      </c>
      <c r="L572" s="8" t="str" cm="1">
        <f t="array" ref="L572">_xlfn.IFS(
 AND(K572&gt;=89,K572&lt;=92),"3개월",
 AND(K572&gt;=58,K572&lt;=62),"2개월",
 AND(K572&gt;=28,K572&lt;=32),"1개월",
 AND(K572=0),"당월",
 TRUE,"그외"
)</f>
        <v>1개월</v>
      </c>
    </row>
    <row r="573" spans="1:12" ht="17.649999999999999" customHeight="1" x14ac:dyDescent="0.3">
      <c r="A573" s="5">
        <v>46143</v>
      </c>
      <c r="B573" s="6" t="s">
        <v>12</v>
      </c>
      <c r="C573" s="6" t="s">
        <v>13</v>
      </c>
      <c r="D573" s="5">
        <v>46143</v>
      </c>
      <c r="E573" s="6" t="s">
        <v>14</v>
      </c>
      <c r="F573" s="7">
        <v>1929</v>
      </c>
      <c r="G573" s="7">
        <v>88151.462934162773</v>
      </c>
      <c r="H573" s="7">
        <v>170044172</v>
      </c>
      <c r="I573" s="7">
        <v>43821200</v>
      </c>
      <c r="J573" s="7">
        <v>3982488</v>
      </c>
      <c r="K573">
        <f t="shared" si="8"/>
        <v>0</v>
      </c>
      <c r="L573" s="8" t="str" cm="1">
        <f t="array" ref="L573">_xlfn.IFS(
 AND(K573&gt;=89,K573&lt;=92),"3개월",
 AND(K573&gt;=58,K573&lt;=62),"2개월",
 AND(K573&gt;=28,K573&lt;=32),"1개월",
 AND(K573=0),"당월",
 TRUE,"그외"
)</f>
        <v>당월</v>
      </c>
    </row>
    <row r="574" spans="1:12" ht="17.649999999999999" customHeight="1" x14ac:dyDescent="0.3">
      <c r="A574" s="5">
        <v>46143</v>
      </c>
      <c r="B574" s="6" t="s">
        <v>12</v>
      </c>
      <c r="C574" s="6" t="s">
        <v>13</v>
      </c>
      <c r="D574" s="5">
        <v>46143</v>
      </c>
      <c r="E574" s="6" t="s">
        <v>15</v>
      </c>
      <c r="F574" s="7">
        <v>20053</v>
      </c>
      <c r="G574" s="7">
        <v>78487.67924998753</v>
      </c>
      <c r="H574" s="7">
        <v>1573913432</v>
      </c>
      <c r="I574" s="7">
        <v>475355000</v>
      </c>
      <c r="J574" s="7">
        <v>43200576</v>
      </c>
      <c r="K574">
        <f t="shared" si="8"/>
        <v>0</v>
      </c>
      <c r="L574" s="8" t="str" cm="1">
        <f t="array" ref="L574">_xlfn.IFS(
 AND(K574&gt;=89,K574&lt;=92),"3개월",
 AND(K574&gt;=58,K574&lt;=62),"2개월",
 AND(K574&gt;=28,K574&lt;=32),"1개월",
 AND(K574=0),"당월",
 TRUE,"그외"
)</f>
        <v>당월</v>
      </c>
    </row>
    <row r="575" spans="1:12" ht="17.649999999999999" customHeight="1" x14ac:dyDescent="0.3">
      <c r="A575" s="5">
        <v>46143</v>
      </c>
      <c r="B575" s="6" t="s">
        <v>12</v>
      </c>
      <c r="C575" s="6" t="s">
        <v>16</v>
      </c>
      <c r="D575" s="5">
        <v>46023</v>
      </c>
      <c r="E575" s="6" t="s">
        <v>14</v>
      </c>
      <c r="F575" s="7">
        <v>177</v>
      </c>
      <c r="G575" s="7">
        <v>91819</v>
      </c>
      <c r="H575" s="7">
        <v>16251963</v>
      </c>
      <c r="I575" s="7">
        <v>1947000</v>
      </c>
      <c r="J575" s="7">
        <v>177000</v>
      </c>
      <c r="K575">
        <f t="shared" si="8"/>
        <v>120</v>
      </c>
      <c r="L575" s="8" t="str" cm="1">
        <f t="array" ref="L575">_xlfn.IFS(
 AND(K575&gt;=89,K575&lt;=92),"3개월",
 AND(K575&gt;=58,K575&lt;=62),"2개월",
 AND(K575&gt;=28,K575&lt;=32),"1개월",
 AND(K575=0),"당월",
 TRUE,"그외"
)</f>
        <v>그외</v>
      </c>
    </row>
    <row r="576" spans="1:12" ht="17.649999999999999" customHeight="1" x14ac:dyDescent="0.3">
      <c r="A576" s="5">
        <v>46143</v>
      </c>
      <c r="B576" s="6" t="s">
        <v>12</v>
      </c>
      <c r="C576" s="6" t="s">
        <v>16</v>
      </c>
      <c r="D576" s="5">
        <v>46023</v>
      </c>
      <c r="E576" s="6" t="s">
        <v>15</v>
      </c>
      <c r="F576" s="7">
        <v>3536</v>
      </c>
      <c r="G576" s="7">
        <v>88592.799208144803</v>
      </c>
      <c r="H576" s="7">
        <v>313264138</v>
      </c>
      <c r="I576" s="7">
        <v>38881918</v>
      </c>
      <c r="J576" s="7">
        <v>3530800</v>
      </c>
      <c r="K576">
        <f t="shared" si="8"/>
        <v>120</v>
      </c>
      <c r="L576" s="8" t="str" cm="1">
        <f t="array" ref="L576">_xlfn.IFS(
 AND(K576&gt;=89,K576&lt;=92),"3개월",
 AND(K576&gt;=58,K576&lt;=62),"2개월",
 AND(K576&gt;=28,K576&lt;=32),"1개월",
 AND(K576=0),"당월",
 TRUE,"그외"
)</f>
        <v>그외</v>
      </c>
    </row>
    <row r="577" spans="1:12" ht="17.649999999999999" customHeight="1" x14ac:dyDescent="0.3">
      <c r="A577" s="5">
        <v>46143</v>
      </c>
      <c r="B577" s="6" t="s">
        <v>12</v>
      </c>
      <c r="C577" s="6" t="s">
        <v>16</v>
      </c>
      <c r="D577" s="5">
        <v>46054</v>
      </c>
      <c r="E577" s="6" t="s">
        <v>14</v>
      </c>
      <c r="F577" s="7">
        <v>201</v>
      </c>
      <c r="G577" s="7">
        <v>85440.880597014926</v>
      </c>
      <c r="H577" s="7">
        <v>17173617</v>
      </c>
      <c r="I577" s="7">
        <v>1768800</v>
      </c>
      <c r="J577" s="7">
        <v>160800</v>
      </c>
      <c r="K577">
        <f t="shared" si="8"/>
        <v>89</v>
      </c>
      <c r="L577" s="8" t="str" cm="1">
        <f t="array" ref="L577">_xlfn.IFS(
 AND(K577&gt;=89,K577&lt;=92),"3개월",
 AND(K577&gt;=58,K577&lt;=62),"2개월",
 AND(K577&gt;=28,K577&lt;=32),"1개월",
 AND(K577=0),"당월",
 TRUE,"그외"
)</f>
        <v>3개월</v>
      </c>
    </row>
    <row r="578" spans="1:12" ht="17.649999999999999" customHeight="1" x14ac:dyDescent="0.3">
      <c r="A578" s="5">
        <v>46143</v>
      </c>
      <c r="B578" s="6" t="s">
        <v>12</v>
      </c>
      <c r="C578" s="6" t="s">
        <v>16</v>
      </c>
      <c r="D578" s="5">
        <v>46054</v>
      </c>
      <c r="E578" s="6" t="s">
        <v>15</v>
      </c>
      <c r="F578" s="7">
        <v>4459</v>
      </c>
      <c r="G578" s="7">
        <v>80319.055393586008</v>
      </c>
      <c r="H578" s="7">
        <v>358142668</v>
      </c>
      <c r="I578" s="7">
        <v>39267230</v>
      </c>
      <c r="J578" s="7">
        <v>3568800</v>
      </c>
      <c r="K578">
        <f t="shared" si="8"/>
        <v>89</v>
      </c>
      <c r="L578" s="8" t="str" cm="1">
        <f t="array" ref="L578">_xlfn.IFS(
 AND(K578&gt;=89,K578&lt;=92),"3개월",
 AND(K578&gt;=58,K578&lt;=62),"2개월",
 AND(K578&gt;=28,K578&lt;=32),"1개월",
 AND(K578=0),"당월",
 TRUE,"그외"
)</f>
        <v>3개월</v>
      </c>
    </row>
    <row r="579" spans="1:12" ht="17.649999999999999" customHeight="1" x14ac:dyDescent="0.3">
      <c r="A579" s="5">
        <v>46143</v>
      </c>
      <c r="B579" s="6" t="s">
        <v>12</v>
      </c>
      <c r="C579" s="6" t="s">
        <v>16</v>
      </c>
      <c r="D579" s="5">
        <v>46082</v>
      </c>
      <c r="E579" s="6" t="s">
        <v>14</v>
      </c>
      <c r="F579" s="7">
        <v>1691</v>
      </c>
      <c r="G579" s="7">
        <v>78125.438793613241</v>
      </c>
      <c r="H579" s="7">
        <v>132110117</v>
      </c>
      <c r="I579" s="7">
        <v>13020700</v>
      </c>
      <c r="J579" s="7">
        <v>1183700</v>
      </c>
      <c r="K579">
        <f t="shared" si="8"/>
        <v>61</v>
      </c>
      <c r="L579" s="8" t="str" cm="1">
        <f t="array" ref="L579">_xlfn.IFS(
 AND(K579&gt;=89,K579&lt;=92),"3개월",
 AND(K579&gt;=58,K579&lt;=62),"2개월",
 AND(K579&gt;=28,K579&lt;=32),"1개월",
 AND(K579=0),"당월",
 TRUE,"그외"
)</f>
        <v>2개월</v>
      </c>
    </row>
    <row r="580" spans="1:12" ht="17.649999999999999" customHeight="1" x14ac:dyDescent="0.3">
      <c r="A580" s="5">
        <v>46143</v>
      </c>
      <c r="B580" s="6" t="s">
        <v>12</v>
      </c>
      <c r="C580" s="6" t="s">
        <v>16</v>
      </c>
      <c r="D580" s="5">
        <v>46082</v>
      </c>
      <c r="E580" s="6" t="s">
        <v>15</v>
      </c>
      <c r="F580" s="7">
        <v>12427</v>
      </c>
      <c r="G580" s="7">
        <v>71329.919610525467</v>
      </c>
      <c r="H580" s="7">
        <v>886416911</v>
      </c>
      <c r="I580" s="7">
        <v>95805732</v>
      </c>
      <c r="J580" s="7">
        <v>8706300</v>
      </c>
      <c r="K580">
        <f t="shared" si="8"/>
        <v>61</v>
      </c>
      <c r="L580" s="8" t="str" cm="1">
        <f t="array" ref="L580">_xlfn.IFS(
 AND(K580&gt;=89,K580&lt;=92),"3개월",
 AND(K580&gt;=58,K580&lt;=62),"2개월",
 AND(K580&gt;=28,K580&lt;=32),"1개월",
 AND(K580=0),"당월",
 TRUE,"그외"
)</f>
        <v>2개월</v>
      </c>
    </row>
    <row r="581" spans="1:12" ht="17.649999999999999" customHeight="1" x14ac:dyDescent="0.3">
      <c r="A581" s="5">
        <v>46143</v>
      </c>
      <c r="B581" s="6" t="s">
        <v>12</v>
      </c>
      <c r="C581" s="6" t="s">
        <v>16</v>
      </c>
      <c r="D581" s="5">
        <v>46113</v>
      </c>
      <c r="E581" s="6" t="s">
        <v>14</v>
      </c>
      <c r="F581" s="7">
        <v>3151</v>
      </c>
      <c r="G581" s="7">
        <v>74007.830212630914</v>
      </c>
      <c r="H581" s="7">
        <v>233198673</v>
      </c>
      <c r="I581" s="7">
        <v>27728800</v>
      </c>
      <c r="J581" s="7">
        <v>2520800</v>
      </c>
      <c r="K581">
        <f t="shared" si="8"/>
        <v>30</v>
      </c>
      <c r="L581" s="8" t="str" cm="1">
        <f t="array" ref="L581">_xlfn.IFS(
 AND(K581&gt;=89,K581&lt;=92),"3개월",
 AND(K581&gt;=58,K581&lt;=62),"2개월",
 AND(K581&gt;=28,K581&lt;=32),"1개월",
 AND(K581=0),"당월",
 TRUE,"그외"
)</f>
        <v>1개월</v>
      </c>
    </row>
    <row r="582" spans="1:12" ht="17.649999999999999" customHeight="1" x14ac:dyDescent="0.3">
      <c r="A582" s="5">
        <v>46143</v>
      </c>
      <c r="B582" s="6" t="s">
        <v>12</v>
      </c>
      <c r="C582" s="6" t="s">
        <v>16</v>
      </c>
      <c r="D582" s="5">
        <v>46113</v>
      </c>
      <c r="E582" s="6" t="s">
        <v>15</v>
      </c>
      <c r="F582" s="7">
        <v>16936</v>
      </c>
      <c r="G582" s="7">
        <v>66692.064300897502</v>
      </c>
      <c r="H582" s="7">
        <v>1129496801</v>
      </c>
      <c r="I582" s="7">
        <v>145708439</v>
      </c>
      <c r="J582" s="7">
        <v>13242400</v>
      </c>
      <c r="K582">
        <f t="shared" si="8"/>
        <v>30</v>
      </c>
      <c r="L582" s="8" t="str" cm="1">
        <f t="array" ref="L582">_xlfn.IFS(
 AND(K582&gt;=89,K582&lt;=92),"3개월",
 AND(K582&gt;=58,K582&lt;=62),"2개월",
 AND(K582&gt;=28,K582&lt;=32),"1개월",
 AND(K582=0),"당월",
 TRUE,"그외"
)</f>
        <v>1개월</v>
      </c>
    </row>
    <row r="583" spans="1:12" ht="17.649999999999999" customHeight="1" x14ac:dyDescent="0.3">
      <c r="A583" s="5">
        <v>46143</v>
      </c>
      <c r="B583" s="6" t="s">
        <v>12</v>
      </c>
      <c r="C583" s="6" t="s">
        <v>16</v>
      </c>
      <c r="D583" s="5">
        <v>46143</v>
      </c>
      <c r="E583" s="6" t="s">
        <v>14</v>
      </c>
      <c r="F583" s="7">
        <v>12</v>
      </c>
      <c r="G583" s="7">
        <v>81122</v>
      </c>
      <c r="H583" s="7">
        <v>973464</v>
      </c>
      <c r="I583" s="7">
        <v>96800</v>
      </c>
      <c r="J583" s="7">
        <v>8800</v>
      </c>
      <c r="K583">
        <f t="shared" si="8"/>
        <v>0</v>
      </c>
      <c r="L583" s="8" t="str" cm="1">
        <f t="array" ref="L583">_xlfn.IFS(
 AND(K583&gt;=89,K583&lt;=92),"3개월",
 AND(K583&gt;=58,K583&lt;=62),"2개월",
 AND(K583&gt;=28,K583&lt;=32),"1개월",
 AND(K583=0),"당월",
 TRUE,"그외"
)</f>
        <v>당월</v>
      </c>
    </row>
    <row r="584" spans="1:12" ht="17.649999999999999" customHeight="1" x14ac:dyDescent="0.3">
      <c r="A584" s="5">
        <v>46143</v>
      </c>
      <c r="B584" s="6" t="s">
        <v>12</v>
      </c>
      <c r="C584" s="6" t="s">
        <v>16</v>
      </c>
      <c r="D584" s="5">
        <v>46143</v>
      </c>
      <c r="E584" s="6" t="s">
        <v>15</v>
      </c>
      <c r="F584" s="7">
        <v>4756</v>
      </c>
      <c r="G584" s="7">
        <v>78859.785323801509</v>
      </c>
      <c r="H584" s="7">
        <v>375057139</v>
      </c>
      <c r="I584" s="7">
        <v>110630200</v>
      </c>
      <c r="J584" s="7">
        <v>10054176</v>
      </c>
      <c r="K584">
        <f t="shared" si="8"/>
        <v>0</v>
      </c>
      <c r="L584" s="8" t="str" cm="1">
        <f t="array" ref="L584">_xlfn.IFS(
 AND(K584&gt;=89,K584&lt;=92),"3개월",
 AND(K584&gt;=58,K584&lt;=62),"2개월",
 AND(K584&gt;=28,K584&lt;=32),"1개월",
 AND(K584=0),"당월",
 TRUE,"그외"
)</f>
        <v>당월</v>
      </c>
    </row>
    <row r="585" spans="1:12" ht="17.649999999999999" customHeight="1" x14ac:dyDescent="0.3">
      <c r="A585" s="5">
        <v>46143</v>
      </c>
      <c r="B585" s="6" t="s">
        <v>12</v>
      </c>
      <c r="C585" s="6" t="s">
        <v>17</v>
      </c>
      <c r="D585" s="5">
        <v>46023</v>
      </c>
      <c r="E585" s="6" t="s">
        <v>14</v>
      </c>
      <c r="F585" s="7">
        <v>76</v>
      </c>
      <c r="G585" s="7">
        <v>76364</v>
      </c>
      <c r="H585" s="7">
        <v>5803664</v>
      </c>
      <c r="I585" s="7">
        <v>836000</v>
      </c>
      <c r="J585" s="7">
        <v>76000</v>
      </c>
      <c r="K585">
        <f t="shared" si="8"/>
        <v>120</v>
      </c>
      <c r="L585" s="8" t="str" cm="1">
        <f t="array" ref="L585">_xlfn.IFS(
 AND(K585&gt;=89,K585&lt;=92),"3개월",
 AND(K585&gt;=58,K585&lt;=62),"2개월",
 AND(K585&gt;=28,K585&lt;=32),"1개월",
 AND(K585=0),"당월",
 TRUE,"그외"
)</f>
        <v>그외</v>
      </c>
    </row>
    <row r="586" spans="1:12" ht="17.649999999999999" customHeight="1" x14ac:dyDescent="0.3">
      <c r="A586" s="5">
        <v>46143</v>
      </c>
      <c r="B586" s="6" t="s">
        <v>12</v>
      </c>
      <c r="C586" s="6" t="s">
        <v>17</v>
      </c>
      <c r="D586" s="5">
        <v>46023</v>
      </c>
      <c r="E586" s="6" t="s">
        <v>15</v>
      </c>
      <c r="F586" s="7">
        <v>3208</v>
      </c>
      <c r="G586" s="7">
        <v>73742.155548628434</v>
      </c>
      <c r="H586" s="7">
        <v>236564835</v>
      </c>
      <c r="I586" s="7">
        <v>35288000</v>
      </c>
      <c r="J586" s="7">
        <v>3208000</v>
      </c>
      <c r="K586">
        <f t="shared" ref="K586:K649" si="9">A586-D586</f>
        <v>120</v>
      </c>
      <c r="L586" s="8" t="str" cm="1">
        <f t="array" ref="L586">_xlfn.IFS(
 AND(K586&gt;=89,K586&lt;=92),"3개월",
 AND(K586&gt;=58,K586&lt;=62),"2개월",
 AND(K586&gt;=28,K586&lt;=32),"1개월",
 AND(K586=0),"당월",
 TRUE,"그외"
)</f>
        <v>그외</v>
      </c>
    </row>
    <row r="587" spans="1:12" ht="17.649999999999999" customHeight="1" x14ac:dyDescent="0.3">
      <c r="A587" s="5">
        <v>46143</v>
      </c>
      <c r="B587" s="6" t="s">
        <v>12</v>
      </c>
      <c r="C587" s="6" t="s">
        <v>17</v>
      </c>
      <c r="D587" s="5">
        <v>46054</v>
      </c>
      <c r="E587" s="6" t="s">
        <v>14</v>
      </c>
      <c r="F587" s="7">
        <v>45</v>
      </c>
      <c r="G587" s="7">
        <v>74364</v>
      </c>
      <c r="H587" s="7">
        <v>3346380</v>
      </c>
      <c r="I587" s="7">
        <v>396000</v>
      </c>
      <c r="J587" s="7">
        <v>36000</v>
      </c>
      <c r="K587">
        <f t="shared" si="9"/>
        <v>89</v>
      </c>
      <c r="L587" s="8" t="str" cm="1">
        <f t="array" ref="L587">_xlfn.IFS(
 AND(K587&gt;=89,K587&lt;=92),"3개월",
 AND(K587&gt;=58,K587&lt;=62),"2개월",
 AND(K587&gt;=28,K587&lt;=32),"1개월",
 AND(K587=0),"당월",
 TRUE,"그외"
)</f>
        <v>3개월</v>
      </c>
    </row>
    <row r="588" spans="1:12" ht="17.649999999999999" customHeight="1" x14ac:dyDescent="0.3">
      <c r="A588" s="5">
        <v>46143</v>
      </c>
      <c r="B588" s="6" t="s">
        <v>12</v>
      </c>
      <c r="C588" s="6" t="s">
        <v>17</v>
      </c>
      <c r="D588" s="5">
        <v>46054</v>
      </c>
      <c r="E588" s="6" t="s">
        <v>15</v>
      </c>
      <c r="F588" s="7">
        <v>2739</v>
      </c>
      <c r="G588" s="7">
        <v>65190.979189485217</v>
      </c>
      <c r="H588" s="7">
        <v>178558092</v>
      </c>
      <c r="I588" s="7">
        <v>24145000</v>
      </c>
      <c r="J588" s="7">
        <v>2195000</v>
      </c>
      <c r="K588">
        <f t="shared" si="9"/>
        <v>89</v>
      </c>
      <c r="L588" s="8" t="str" cm="1">
        <f t="array" ref="L588">_xlfn.IFS(
 AND(K588&gt;=89,K588&lt;=92),"3개월",
 AND(K588&gt;=58,K588&lt;=62),"2개월",
 AND(K588&gt;=28,K588&lt;=32),"1개월",
 AND(K588=0),"당월",
 TRUE,"그외"
)</f>
        <v>3개월</v>
      </c>
    </row>
    <row r="589" spans="1:12" ht="17.649999999999999" customHeight="1" x14ac:dyDescent="0.3">
      <c r="A589" s="5">
        <v>46143</v>
      </c>
      <c r="B589" s="6" t="s">
        <v>12</v>
      </c>
      <c r="C589" s="6" t="s">
        <v>17</v>
      </c>
      <c r="D589" s="5">
        <v>46082</v>
      </c>
      <c r="E589" s="6" t="s">
        <v>14</v>
      </c>
      <c r="F589" s="7">
        <v>368</v>
      </c>
      <c r="G589" s="7">
        <v>70300.739130434784</v>
      </c>
      <c r="H589" s="7">
        <v>25870672</v>
      </c>
      <c r="I589" s="7">
        <v>2833600</v>
      </c>
      <c r="J589" s="7">
        <v>257600</v>
      </c>
      <c r="K589">
        <f t="shared" si="9"/>
        <v>61</v>
      </c>
      <c r="L589" s="8" t="str" cm="1">
        <f t="array" ref="L589">_xlfn.IFS(
 AND(K589&gt;=89,K589&lt;=92),"3개월",
 AND(K589&gt;=58,K589&lt;=62),"2개월",
 AND(K589&gt;=28,K589&lt;=32),"1개월",
 AND(K589=0),"당월",
 TRUE,"그외"
)</f>
        <v>2개월</v>
      </c>
    </row>
    <row r="590" spans="1:12" ht="17.649999999999999" customHeight="1" x14ac:dyDescent="0.3">
      <c r="A590" s="5">
        <v>46143</v>
      </c>
      <c r="B590" s="6" t="s">
        <v>12</v>
      </c>
      <c r="C590" s="6" t="s">
        <v>17</v>
      </c>
      <c r="D590" s="5">
        <v>46082</v>
      </c>
      <c r="E590" s="6" t="s">
        <v>15</v>
      </c>
      <c r="F590" s="7">
        <v>7184</v>
      </c>
      <c r="G590" s="7">
        <v>60124.786469933177</v>
      </c>
      <c r="H590" s="7">
        <v>431936466</v>
      </c>
      <c r="I590" s="7">
        <v>55293700</v>
      </c>
      <c r="J590" s="7">
        <v>5026700</v>
      </c>
      <c r="K590">
        <f t="shared" si="9"/>
        <v>61</v>
      </c>
      <c r="L590" s="8" t="str" cm="1">
        <f t="array" ref="L590">_xlfn.IFS(
 AND(K590&gt;=89,K590&lt;=92),"3개월",
 AND(K590&gt;=58,K590&lt;=62),"2개월",
 AND(K590&gt;=28,K590&lt;=32),"1개월",
 AND(K590=0),"당월",
 TRUE,"그외"
)</f>
        <v>2개월</v>
      </c>
    </row>
    <row r="591" spans="1:12" ht="17.649999999999999" customHeight="1" x14ac:dyDescent="0.3">
      <c r="A591" s="5">
        <v>46143</v>
      </c>
      <c r="B591" s="6" t="s">
        <v>12</v>
      </c>
      <c r="C591" s="6" t="s">
        <v>17</v>
      </c>
      <c r="D591" s="5">
        <v>46113</v>
      </c>
      <c r="E591" s="6" t="s">
        <v>14</v>
      </c>
      <c r="F591" s="7">
        <v>3101</v>
      </c>
      <c r="G591" s="7">
        <v>63313.932279909714</v>
      </c>
      <c r="H591" s="7">
        <v>196336504</v>
      </c>
      <c r="I591" s="7">
        <v>27284400</v>
      </c>
      <c r="J591" s="7">
        <v>2480400</v>
      </c>
      <c r="K591">
        <f t="shared" si="9"/>
        <v>30</v>
      </c>
      <c r="L591" s="8" t="str" cm="1">
        <f t="array" ref="L591">_xlfn.IFS(
 AND(K591&gt;=89,K591&lt;=92),"3개월",
 AND(K591&gt;=58,K591&lt;=62),"2개월",
 AND(K591&gt;=28,K591&lt;=32),"1개월",
 AND(K591=0),"당월",
 TRUE,"그외"
)</f>
        <v>1개월</v>
      </c>
    </row>
    <row r="592" spans="1:12" ht="17.649999999999999" customHeight="1" x14ac:dyDescent="0.3">
      <c r="A592" s="5">
        <v>46143</v>
      </c>
      <c r="B592" s="6" t="s">
        <v>12</v>
      </c>
      <c r="C592" s="6" t="s">
        <v>17</v>
      </c>
      <c r="D592" s="5">
        <v>46113</v>
      </c>
      <c r="E592" s="6" t="s">
        <v>15</v>
      </c>
      <c r="F592" s="7">
        <v>10644</v>
      </c>
      <c r="G592" s="7">
        <v>57044.82544156332</v>
      </c>
      <c r="H592" s="7">
        <v>607185122</v>
      </c>
      <c r="I592" s="7">
        <v>93404300</v>
      </c>
      <c r="J592" s="7">
        <v>8491300</v>
      </c>
      <c r="K592">
        <f t="shared" si="9"/>
        <v>30</v>
      </c>
      <c r="L592" s="8" t="str" cm="1">
        <f t="array" ref="L592">_xlfn.IFS(
 AND(K592&gt;=89,K592&lt;=92),"3개월",
 AND(K592&gt;=58,K592&lt;=62),"2개월",
 AND(K592&gt;=28,K592&lt;=32),"1개월",
 AND(K592=0),"당월",
 TRUE,"그외"
)</f>
        <v>1개월</v>
      </c>
    </row>
    <row r="593" spans="1:12" ht="17.649999999999999" customHeight="1" x14ac:dyDescent="0.3">
      <c r="A593" s="5">
        <v>46143</v>
      </c>
      <c r="B593" s="6" t="s">
        <v>12</v>
      </c>
      <c r="C593" s="6" t="s">
        <v>17</v>
      </c>
      <c r="D593" s="5">
        <v>46143</v>
      </c>
      <c r="E593" s="6" t="s">
        <v>14</v>
      </c>
      <c r="F593" s="7">
        <v>10</v>
      </c>
      <c r="G593" s="7">
        <v>70891.399999999994</v>
      </c>
      <c r="H593" s="7">
        <v>708914</v>
      </c>
      <c r="I593" s="7">
        <v>152800</v>
      </c>
      <c r="J593" s="7">
        <v>13888</v>
      </c>
      <c r="K593">
        <f t="shared" si="9"/>
        <v>0</v>
      </c>
      <c r="L593" s="8" t="str" cm="1">
        <f t="array" ref="L593">_xlfn.IFS(
 AND(K593&gt;=89,K593&lt;=92),"3개월",
 AND(K593&gt;=58,K593&lt;=62),"2개월",
 AND(K593&gt;=28,K593&lt;=32),"1개월",
 AND(K593=0),"당월",
 TRUE,"그외"
)</f>
        <v>당월</v>
      </c>
    </row>
    <row r="594" spans="1:12" ht="17.649999999999999" customHeight="1" x14ac:dyDescent="0.3">
      <c r="A594" s="5">
        <v>46143</v>
      </c>
      <c r="B594" s="6" t="s">
        <v>12</v>
      </c>
      <c r="C594" s="6" t="s">
        <v>17</v>
      </c>
      <c r="D594" s="5">
        <v>46143</v>
      </c>
      <c r="E594" s="6" t="s">
        <v>15</v>
      </c>
      <c r="F594" s="7">
        <v>3539</v>
      </c>
      <c r="G594" s="7">
        <v>63019.036450974847</v>
      </c>
      <c r="H594" s="7">
        <v>223024370</v>
      </c>
      <c r="I594" s="7">
        <v>84655000</v>
      </c>
      <c r="J594" s="7">
        <v>7693504</v>
      </c>
      <c r="K594">
        <f t="shared" si="9"/>
        <v>0</v>
      </c>
      <c r="L594" s="8" t="str" cm="1">
        <f t="array" ref="L594">_xlfn.IFS(
 AND(K594&gt;=89,K594&lt;=92),"3개월",
 AND(K594&gt;=58,K594&lt;=62),"2개월",
 AND(K594&gt;=28,K594&lt;=32),"1개월",
 AND(K594=0),"당월",
 TRUE,"그외"
)</f>
        <v>당월</v>
      </c>
    </row>
    <row r="595" spans="1:12" ht="17.649999999999999" customHeight="1" x14ac:dyDescent="0.3">
      <c r="A595" s="5">
        <v>46143</v>
      </c>
      <c r="B595" s="6" t="s">
        <v>12</v>
      </c>
      <c r="C595" s="6" t="s">
        <v>18</v>
      </c>
      <c r="D595" s="5">
        <v>46023</v>
      </c>
      <c r="E595" s="6" t="s">
        <v>14</v>
      </c>
      <c r="F595" s="7">
        <v>114</v>
      </c>
      <c r="G595" s="7">
        <v>97113.526315789481</v>
      </c>
      <c r="H595" s="7">
        <v>11070942</v>
      </c>
      <c r="I595" s="7">
        <v>1254000</v>
      </c>
      <c r="J595" s="7">
        <v>114000</v>
      </c>
      <c r="K595">
        <f t="shared" si="9"/>
        <v>120</v>
      </c>
      <c r="L595" s="8" t="str" cm="1">
        <f t="array" ref="L595">_xlfn.IFS(
 AND(K595&gt;=89,K595&lt;=92),"3개월",
 AND(K595&gt;=58,K595&lt;=62),"2개월",
 AND(K595&gt;=28,K595&lt;=32),"1개월",
 AND(K595=0),"당월",
 TRUE,"그외"
)</f>
        <v>그외</v>
      </c>
    </row>
    <row r="596" spans="1:12" ht="17.649999999999999" customHeight="1" x14ac:dyDescent="0.3">
      <c r="A596" s="5">
        <v>46143</v>
      </c>
      <c r="B596" s="6" t="s">
        <v>12</v>
      </c>
      <c r="C596" s="6" t="s">
        <v>18</v>
      </c>
      <c r="D596" s="5">
        <v>46023</v>
      </c>
      <c r="E596" s="6" t="s">
        <v>15</v>
      </c>
      <c r="F596" s="7">
        <v>3277</v>
      </c>
      <c r="G596" s="7">
        <v>92854.56789746719</v>
      </c>
      <c r="H596" s="7">
        <v>304284419</v>
      </c>
      <c r="I596" s="7">
        <v>36047000</v>
      </c>
      <c r="J596" s="7">
        <v>3277000</v>
      </c>
      <c r="K596">
        <f t="shared" si="9"/>
        <v>120</v>
      </c>
      <c r="L596" s="8" t="str" cm="1">
        <f t="array" ref="L596">_xlfn.IFS(
 AND(K596&gt;=89,K596&lt;=92),"3개월",
 AND(K596&gt;=58,K596&lt;=62),"2개월",
 AND(K596&gt;=28,K596&lt;=32),"1개월",
 AND(K596=0),"당월",
 TRUE,"그외"
)</f>
        <v>그외</v>
      </c>
    </row>
    <row r="597" spans="1:12" ht="17.649999999999999" customHeight="1" x14ac:dyDescent="0.3">
      <c r="A597" s="5">
        <v>46143</v>
      </c>
      <c r="B597" s="6" t="s">
        <v>12</v>
      </c>
      <c r="C597" s="6" t="s">
        <v>18</v>
      </c>
      <c r="D597" s="5">
        <v>46054</v>
      </c>
      <c r="E597" s="6" t="s">
        <v>14</v>
      </c>
      <c r="F597" s="7">
        <v>462</v>
      </c>
      <c r="G597" s="7">
        <v>87386.311688311689</v>
      </c>
      <c r="H597" s="7">
        <v>40372476</v>
      </c>
      <c r="I597" s="7">
        <v>4065600</v>
      </c>
      <c r="J597" s="7">
        <v>369600</v>
      </c>
      <c r="K597">
        <f t="shared" si="9"/>
        <v>89</v>
      </c>
      <c r="L597" s="8" t="str" cm="1">
        <f t="array" ref="L597">_xlfn.IFS(
 AND(K597&gt;=89,K597&lt;=92),"3개월",
 AND(K597&gt;=58,K597&lt;=62),"2개월",
 AND(K597&gt;=28,K597&lt;=32),"1개월",
 AND(K597=0),"당월",
 TRUE,"그외"
)</f>
        <v>3개월</v>
      </c>
    </row>
    <row r="598" spans="1:12" ht="17.649999999999999" customHeight="1" x14ac:dyDescent="0.3">
      <c r="A598" s="5">
        <v>46143</v>
      </c>
      <c r="B598" s="6" t="s">
        <v>12</v>
      </c>
      <c r="C598" s="6" t="s">
        <v>18</v>
      </c>
      <c r="D598" s="5">
        <v>46054</v>
      </c>
      <c r="E598" s="6" t="s">
        <v>15</v>
      </c>
      <c r="F598" s="7">
        <v>3931</v>
      </c>
      <c r="G598" s="7">
        <v>87589.064360213684</v>
      </c>
      <c r="H598" s="7">
        <v>344312612</v>
      </c>
      <c r="I598" s="7">
        <v>34654400</v>
      </c>
      <c r="J598" s="7">
        <v>3150400</v>
      </c>
      <c r="K598">
        <f t="shared" si="9"/>
        <v>89</v>
      </c>
      <c r="L598" s="8" t="str" cm="1">
        <f t="array" ref="L598">_xlfn.IFS(
 AND(K598&gt;=89,K598&lt;=92),"3개월",
 AND(K598&gt;=58,K598&lt;=62),"2개월",
 AND(K598&gt;=28,K598&lt;=32),"1개월",
 AND(K598=0),"당월",
 TRUE,"그외"
)</f>
        <v>3개월</v>
      </c>
    </row>
    <row r="599" spans="1:12" ht="17.649999999999999" customHeight="1" x14ac:dyDescent="0.3">
      <c r="A599" s="5">
        <v>46143</v>
      </c>
      <c r="B599" s="6" t="s">
        <v>12</v>
      </c>
      <c r="C599" s="6" t="s">
        <v>18</v>
      </c>
      <c r="D599" s="5">
        <v>46082</v>
      </c>
      <c r="E599" s="6" t="s">
        <v>14</v>
      </c>
      <c r="F599" s="7">
        <v>804</v>
      </c>
      <c r="G599" s="7">
        <v>81555.593283582086</v>
      </c>
      <c r="H599" s="7">
        <v>65570697</v>
      </c>
      <c r="I599" s="7">
        <v>6208400</v>
      </c>
      <c r="J599" s="7">
        <v>564400</v>
      </c>
      <c r="K599">
        <f t="shared" si="9"/>
        <v>61</v>
      </c>
      <c r="L599" s="8" t="str" cm="1">
        <f t="array" ref="L599">_xlfn.IFS(
 AND(K599&gt;=89,K599&lt;=92),"3개월",
 AND(K599&gt;=58,K599&lt;=62),"2개월",
 AND(K599&gt;=28,K599&lt;=32),"1개월",
 AND(K599=0),"당월",
 TRUE,"그외"
)</f>
        <v>2개월</v>
      </c>
    </row>
    <row r="600" spans="1:12" ht="17.649999999999999" customHeight="1" x14ac:dyDescent="0.3">
      <c r="A600" s="5">
        <v>46143</v>
      </c>
      <c r="B600" s="6" t="s">
        <v>12</v>
      </c>
      <c r="C600" s="6" t="s">
        <v>18</v>
      </c>
      <c r="D600" s="5">
        <v>46082</v>
      </c>
      <c r="E600" s="6" t="s">
        <v>15</v>
      </c>
      <c r="F600" s="7">
        <v>9332</v>
      </c>
      <c r="G600" s="7">
        <v>78738.522396056578</v>
      </c>
      <c r="H600" s="7">
        <v>734787891</v>
      </c>
      <c r="I600" s="7">
        <v>71847990</v>
      </c>
      <c r="J600" s="7">
        <v>6530400</v>
      </c>
      <c r="K600">
        <f t="shared" si="9"/>
        <v>61</v>
      </c>
      <c r="L600" s="8" t="str" cm="1">
        <f t="array" ref="L600">_xlfn.IFS(
 AND(K600&gt;=89,K600&lt;=92),"3개월",
 AND(K600&gt;=58,K600&lt;=62),"2개월",
 AND(K600&gt;=28,K600&lt;=32),"1개월",
 AND(K600=0),"당월",
 TRUE,"그외"
)</f>
        <v>2개월</v>
      </c>
    </row>
    <row r="601" spans="1:12" ht="17.649999999999999" customHeight="1" x14ac:dyDescent="0.3">
      <c r="A601" s="5">
        <v>46143</v>
      </c>
      <c r="B601" s="6" t="s">
        <v>12</v>
      </c>
      <c r="C601" s="6" t="s">
        <v>18</v>
      </c>
      <c r="D601" s="5">
        <v>46113</v>
      </c>
      <c r="E601" s="6" t="s">
        <v>14</v>
      </c>
      <c r="F601" s="7">
        <v>3119</v>
      </c>
      <c r="G601" s="7">
        <v>73023.493747996152</v>
      </c>
      <c r="H601" s="7">
        <v>227760277</v>
      </c>
      <c r="I601" s="7">
        <v>27445000</v>
      </c>
      <c r="J601" s="7">
        <v>2495000</v>
      </c>
      <c r="K601">
        <f t="shared" si="9"/>
        <v>30</v>
      </c>
      <c r="L601" s="8" t="str" cm="1">
        <f t="array" ref="L601">_xlfn.IFS(
 AND(K601&gt;=89,K601&lt;=92),"3개월",
 AND(K601&gt;=58,K601&lt;=62),"2개월",
 AND(K601&gt;=28,K601&lt;=32),"1개월",
 AND(K601=0),"당월",
 TRUE,"그외"
)</f>
        <v>1개월</v>
      </c>
    </row>
    <row r="602" spans="1:12" ht="17.649999999999999" customHeight="1" x14ac:dyDescent="0.3">
      <c r="A602" s="5">
        <v>46143</v>
      </c>
      <c r="B602" s="6" t="s">
        <v>12</v>
      </c>
      <c r="C602" s="6" t="s">
        <v>18</v>
      </c>
      <c r="D602" s="5">
        <v>46113</v>
      </c>
      <c r="E602" s="6" t="s">
        <v>15</v>
      </c>
      <c r="F602" s="7">
        <v>10266</v>
      </c>
      <c r="G602" s="7">
        <v>71647.063802844335</v>
      </c>
      <c r="H602" s="7">
        <v>735528757</v>
      </c>
      <c r="I602" s="7">
        <v>89931446</v>
      </c>
      <c r="J602" s="7">
        <v>8171000</v>
      </c>
      <c r="K602">
        <f t="shared" si="9"/>
        <v>30</v>
      </c>
      <c r="L602" s="8" t="str" cm="1">
        <f t="array" ref="L602">_xlfn.IFS(
 AND(K602&gt;=89,K602&lt;=92),"3개월",
 AND(K602&gt;=58,K602&lt;=62),"2개월",
 AND(K602&gt;=28,K602&lt;=32),"1개월",
 AND(K602=0),"당월",
 TRUE,"그외"
)</f>
        <v>1개월</v>
      </c>
    </row>
    <row r="603" spans="1:12" ht="17.649999999999999" customHeight="1" x14ac:dyDescent="0.3">
      <c r="A603" s="5">
        <v>46143</v>
      </c>
      <c r="B603" s="6" t="s">
        <v>12</v>
      </c>
      <c r="C603" s="6" t="s">
        <v>18</v>
      </c>
      <c r="D603" s="5">
        <v>46143</v>
      </c>
      <c r="E603" s="6" t="s">
        <v>14</v>
      </c>
      <c r="F603" s="7">
        <v>7</v>
      </c>
      <c r="G603" s="7">
        <v>80208.142857142855</v>
      </c>
      <c r="H603" s="7">
        <v>561457</v>
      </c>
      <c r="I603" s="7">
        <v>61600</v>
      </c>
      <c r="J603" s="7">
        <v>5600</v>
      </c>
      <c r="K603">
        <f t="shared" si="9"/>
        <v>0</v>
      </c>
      <c r="L603" s="8" t="str" cm="1">
        <f t="array" ref="L603">_xlfn.IFS(
 AND(K603&gt;=89,K603&lt;=92),"3개월",
 AND(K603&gt;=58,K603&lt;=62),"2개월",
 AND(K603&gt;=28,K603&lt;=32),"1개월",
 AND(K603=0),"당월",
 TRUE,"그외"
)</f>
        <v>당월</v>
      </c>
    </row>
    <row r="604" spans="1:12" ht="17.649999999999999" customHeight="1" x14ac:dyDescent="0.3">
      <c r="A604" s="5">
        <v>46143</v>
      </c>
      <c r="B604" s="6" t="s">
        <v>12</v>
      </c>
      <c r="C604" s="6" t="s">
        <v>18</v>
      </c>
      <c r="D604" s="5">
        <v>46143</v>
      </c>
      <c r="E604" s="6" t="s">
        <v>15</v>
      </c>
      <c r="F604" s="7">
        <v>7443</v>
      </c>
      <c r="G604" s="7">
        <v>83046.988176810424</v>
      </c>
      <c r="H604" s="7">
        <v>618118733</v>
      </c>
      <c r="I604" s="7">
        <v>182075300</v>
      </c>
      <c r="J604" s="7">
        <v>16547060</v>
      </c>
      <c r="K604">
        <f t="shared" si="9"/>
        <v>0</v>
      </c>
      <c r="L604" s="8" t="str" cm="1">
        <f t="array" ref="L604">_xlfn.IFS(
 AND(K604&gt;=89,K604&lt;=92),"3개월",
 AND(K604&gt;=58,K604&lt;=62),"2개월",
 AND(K604&gt;=28,K604&lt;=32),"1개월",
 AND(K604=0),"당월",
 TRUE,"그외"
)</f>
        <v>당월</v>
      </c>
    </row>
    <row r="605" spans="1:12" ht="17.649999999999999" customHeight="1" x14ac:dyDescent="0.3">
      <c r="A605" s="5">
        <v>46143</v>
      </c>
      <c r="B605" s="6" t="s">
        <v>12</v>
      </c>
      <c r="C605" s="6" t="s">
        <v>19</v>
      </c>
      <c r="D605" s="5">
        <v>46023</v>
      </c>
      <c r="E605" s="6" t="s">
        <v>15</v>
      </c>
      <c r="F605" s="7">
        <v>24</v>
      </c>
      <c r="G605" s="7">
        <v>87916.875</v>
      </c>
      <c r="H605" s="7">
        <v>2110005</v>
      </c>
      <c r="I605" s="7">
        <v>264000</v>
      </c>
      <c r="J605" s="7">
        <v>24000</v>
      </c>
      <c r="K605">
        <f t="shared" si="9"/>
        <v>120</v>
      </c>
      <c r="L605" s="8" t="str" cm="1">
        <f t="array" ref="L605">_xlfn.IFS(
 AND(K605&gt;=89,K605&lt;=92),"3개월",
 AND(K605&gt;=58,K605&lt;=62),"2개월",
 AND(K605&gt;=28,K605&lt;=32),"1개월",
 AND(K605=0),"당월",
 TRUE,"그외"
)</f>
        <v>그외</v>
      </c>
    </row>
    <row r="606" spans="1:12" ht="17.649999999999999" customHeight="1" x14ac:dyDescent="0.3">
      <c r="A606" s="5">
        <v>46143</v>
      </c>
      <c r="B606" s="6" t="s">
        <v>12</v>
      </c>
      <c r="C606" s="6" t="s">
        <v>19</v>
      </c>
      <c r="D606" s="5">
        <v>46054</v>
      </c>
      <c r="E606" s="6" t="s">
        <v>15</v>
      </c>
      <c r="F606" s="7">
        <v>32</v>
      </c>
      <c r="G606" s="7">
        <v>63944.5</v>
      </c>
      <c r="H606" s="7">
        <v>2046224</v>
      </c>
      <c r="I606" s="7">
        <v>264000</v>
      </c>
      <c r="J606" s="7">
        <v>24000</v>
      </c>
      <c r="K606">
        <f t="shared" si="9"/>
        <v>89</v>
      </c>
      <c r="L606" s="8" t="str" cm="1">
        <f t="array" ref="L606">_xlfn.IFS(
 AND(K606&gt;=89,K606&lt;=92),"3개월",
 AND(K606&gt;=58,K606&lt;=62),"2개월",
 AND(K606&gt;=28,K606&lt;=32),"1개월",
 AND(K606=0),"당월",
 TRUE,"그외"
)</f>
        <v>3개월</v>
      </c>
    </row>
    <row r="607" spans="1:12" ht="17.649999999999999" customHeight="1" x14ac:dyDescent="0.3">
      <c r="A607" s="5">
        <v>46143</v>
      </c>
      <c r="B607" s="6" t="s">
        <v>12</v>
      </c>
      <c r="C607" s="6" t="s">
        <v>19</v>
      </c>
      <c r="D607" s="5">
        <v>46082</v>
      </c>
      <c r="E607" s="6" t="s">
        <v>15</v>
      </c>
      <c r="F607" s="7">
        <v>157</v>
      </c>
      <c r="G607" s="7">
        <v>51383.356687898093</v>
      </c>
      <c r="H607" s="7">
        <v>8067187</v>
      </c>
      <c r="I607" s="7">
        <v>1064800</v>
      </c>
      <c r="J607" s="7">
        <v>96800</v>
      </c>
      <c r="K607">
        <f t="shared" si="9"/>
        <v>61</v>
      </c>
      <c r="L607" s="8" t="str" cm="1">
        <f t="array" ref="L607">_xlfn.IFS(
 AND(K607&gt;=89,K607&lt;=92),"3개월",
 AND(K607&gt;=58,K607&lt;=62),"2개월",
 AND(K607&gt;=28,K607&lt;=32),"1개월",
 AND(K607=0),"당월",
 TRUE,"그외"
)</f>
        <v>2개월</v>
      </c>
    </row>
    <row r="608" spans="1:12" ht="17.649999999999999" customHeight="1" x14ac:dyDescent="0.3">
      <c r="A608" s="5">
        <v>46143</v>
      </c>
      <c r="B608" s="6" t="s">
        <v>12</v>
      </c>
      <c r="C608" s="6" t="s">
        <v>19</v>
      </c>
      <c r="D608" s="5">
        <v>46113</v>
      </c>
      <c r="E608" s="6" t="s">
        <v>14</v>
      </c>
      <c r="F608" s="7">
        <v>39</v>
      </c>
      <c r="G608" s="7">
        <v>68000</v>
      </c>
      <c r="H608" s="7">
        <v>2652000</v>
      </c>
      <c r="I608" s="7">
        <v>343200</v>
      </c>
      <c r="J608" s="7">
        <v>31200</v>
      </c>
      <c r="K608">
        <f t="shared" si="9"/>
        <v>30</v>
      </c>
      <c r="L608" s="8" t="str" cm="1">
        <f t="array" ref="L608">_xlfn.IFS(
 AND(K608&gt;=89,K608&lt;=92),"3개월",
 AND(K608&gt;=58,K608&lt;=62),"2개월",
 AND(K608&gt;=28,K608&lt;=32),"1개월",
 AND(K608=0),"당월",
 TRUE,"그외"
)</f>
        <v>1개월</v>
      </c>
    </row>
    <row r="609" spans="1:12" ht="17.649999999999999" customHeight="1" x14ac:dyDescent="0.3">
      <c r="A609" s="5">
        <v>46143</v>
      </c>
      <c r="B609" s="6" t="s">
        <v>12</v>
      </c>
      <c r="C609" s="6" t="s">
        <v>19</v>
      </c>
      <c r="D609" s="5">
        <v>46113</v>
      </c>
      <c r="E609" s="6" t="s">
        <v>15</v>
      </c>
      <c r="F609" s="7">
        <v>2837</v>
      </c>
      <c r="G609" s="7">
        <v>59123.44272118435</v>
      </c>
      <c r="H609" s="7">
        <v>167733207</v>
      </c>
      <c r="I609" s="7">
        <v>22084700</v>
      </c>
      <c r="J609" s="7">
        <v>2007700</v>
      </c>
      <c r="K609">
        <f t="shared" si="9"/>
        <v>30</v>
      </c>
      <c r="L609" s="8" t="str" cm="1">
        <f t="array" ref="L609">_xlfn.IFS(
 AND(K609&gt;=89,K609&lt;=92),"3개월",
 AND(K609&gt;=58,K609&lt;=62),"2개월",
 AND(K609&gt;=28,K609&lt;=32),"1개월",
 AND(K609=0),"당월",
 TRUE,"그외"
)</f>
        <v>1개월</v>
      </c>
    </row>
    <row r="610" spans="1:12" ht="17.649999999999999" customHeight="1" x14ac:dyDescent="0.3">
      <c r="A610" s="5">
        <v>46143</v>
      </c>
      <c r="B610" s="6" t="s">
        <v>12</v>
      </c>
      <c r="C610" s="6" t="s">
        <v>19</v>
      </c>
      <c r="D610" s="5">
        <v>46143</v>
      </c>
      <c r="E610" s="6" t="s">
        <v>14</v>
      </c>
      <c r="F610" s="7">
        <v>100</v>
      </c>
      <c r="G610" s="7">
        <v>50910</v>
      </c>
      <c r="H610" s="7">
        <v>5091000</v>
      </c>
      <c r="I610" s="7">
        <v>2500000</v>
      </c>
      <c r="J610" s="7">
        <v>227200</v>
      </c>
      <c r="K610">
        <f t="shared" si="9"/>
        <v>0</v>
      </c>
      <c r="L610" s="8" t="str" cm="1">
        <f t="array" ref="L610">_xlfn.IFS(
 AND(K610&gt;=89,K610&lt;=92),"3개월",
 AND(K610&gt;=58,K610&lt;=62),"2개월",
 AND(K610&gt;=28,K610&lt;=32),"1개월",
 AND(K610=0),"당월",
 TRUE,"그외"
)</f>
        <v>당월</v>
      </c>
    </row>
    <row r="611" spans="1:12" ht="17.649999999999999" customHeight="1" x14ac:dyDescent="0.3">
      <c r="A611" s="5">
        <v>46143</v>
      </c>
      <c r="B611" s="6" t="s">
        <v>12</v>
      </c>
      <c r="C611" s="6" t="s">
        <v>19</v>
      </c>
      <c r="D611" s="5">
        <v>46143</v>
      </c>
      <c r="E611" s="6" t="s">
        <v>15</v>
      </c>
      <c r="F611" s="7">
        <v>2867</v>
      </c>
      <c r="G611" s="7">
        <v>65100.344611091743</v>
      </c>
      <c r="H611" s="7">
        <v>186642688</v>
      </c>
      <c r="I611" s="7">
        <v>67835400</v>
      </c>
      <c r="J611" s="7">
        <v>6164896</v>
      </c>
      <c r="K611">
        <f t="shared" si="9"/>
        <v>0</v>
      </c>
      <c r="L611" s="8" t="str" cm="1">
        <f t="array" ref="L611">_xlfn.IFS(
 AND(K611&gt;=89,K611&lt;=92),"3개월",
 AND(K611&gt;=58,K611&lt;=62),"2개월",
 AND(K611&gt;=28,K611&lt;=32),"1개월",
 AND(K611=0),"당월",
 TRUE,"그외"
)</f>
        <v>당월</v>
      </c>
    </row>
    <row r="612" spans="1:12" ht="17.649999999999999" customHeight="1" x14ac:dyDescent="0.3">
      <c r="A612" s="5">
        <v>46143</v>
      </c>
      <c r="B612" s="6" t="s">
        <v>20</v>
      </c>
      <c r="C612" s="6" t="s">
        <v>21</v>
      </c>
      <c r="D612" s="5">
        <v>46113</v>
      </c>
      <c r="E612" s="6" t="s">
        <v>14</v>
      </c>
      <c r="F612" s="7">
        <v>339</v>
      </c>
      <c r="G612" s="7">
        <v>1154336.283185841</v>
      </c>
      <c r="H612" s="7">
        <v>391320000</v>
      </c>
      <c r="I612" s="7">
        <v>0</v>
      </c>
      <c r="J612" s="7">
        <v>0</v>
      </c>
      <c r="K612">
        <f t="shared" si="9"/>
        <v>30</v>
      </c>
      <c r="L612" s="8" t="str" cm="1">
        <f t="array" ref="L612">_xlfn.IFS(
 AND(K612&gt;=89,K612&lt;=92),"3개월",
 AND(K612&gt;=58,K612&lt;=62),"2개월",
 AND(K612&gt;=28,K612&lt;=32),"1개월",
 AND(K612=0),"당월",
 TRUE,"그외"
)</f>
        <v>1개월</v>
      </c>
    </row>
    <row r="613" spans="1:12" ht="17.649999999999999" customHeight="1" x14ac:dyDescent="0.3">
      <c r="A613" s="5">
        <v>46143</v>
      </c>
      <c r="B613" s="6" t="s">
        <v>20</v>
      </c>
      <c r="C613" s="6" t="s">
        <v>21</v>
      </c>
      <c r="D613" s="5">
        <v>46113</v>
      </c>
      <c r="E613" s="6" t="s">
        <v>15</v>
      </c>
      <c r="F613" s="7">
        <v>8</v>
      </c>
      <c r="G613" s="7">
        <v>0</v>
      </c>
      <c r="H613" s="7">
        <v>0</v>
      </c>
      <c r="I613" s="7">
        <v>0</v>
      </c>
      <c r="J613" s="7">
        <v>0</v>
      </c>
      <c r="K613">
        <f t="shared" si="9"/>
        <v>30</v>
      </c>
      <c r="L613" s="8" t="str" cm="1">
        <f t="array" ref="L613">_xlfn.IFS(
 AND(K613&gt;=89,K613&lt;=92),"3개월",
 AND(K613&gt;=58,K613&lt;=62),"2개월",
 AND(K613&gt;=28,K613&lt;=32),"1개월",
 AND(K613=0),"당월",
 TRUE,"그외"
)</f>
        <v>1개월</v>
      </c>
    </row>
    <row r="614" spans="1:12" ht="17.649999999999999" customHeight="1" x14ac:dyDescent="0.3">
      <c r="A614" s="5">
        <v>46143</v>
      </c>
      <c r="B614" s="6" t="s">
        <v>20</v>
      </c>
      <c r="C614" s="6" t="s">
        <v>21</v>
      </c>
      <c r="D614" s="5">
        <v>46143</v>
      </c>
      <c r="E614" s="6" t="s">
        <v>14</v>
      </c>
      <c r="F614" s="7">
        <v>374</v>
      </c>
      <c r="G614" s="7">
        <v>0</v>
      </c>
      <c r="H614" s="7">
        <v>0</v>
      </c>
      <c r="I614" s="7">
        <v>0</v>
      </c>
      <c r="J614" s="7">
        <v>0</v>
      </c>
      <c r="K614">
        <f t="shared" si="9"/>
        <v>0</v>
      </c>
      <c r="L614" s="8" t="str" cm="1">
        <f t="array" ref="L614">_xlfn.IFS(
 AND(K614&gt;=89,K614&lt;=92),"3개월",
 AND(K614&gt;=58,K614&lt;=62),"2개월",
 AND(K614&gt;=28,K614&lt;=32),"1개월",
 AND(K614=0),"당월",
 TRUE,"그외"
)</f>
        <v>당월</v>
      </c>
    </row>
    <row r="615" spans="1:12" ht="17.649999999999999" customHeight="1" x14ac:dyDescent="0.3">
      <c r="A615" s="5">
        <v>46143</v>
      </c>
      <c r="B615" s="6" t="s">
        <v>20</v>
      </c>
      <c r="C615" s="6" t="s">
        <v>22</v>
      </c>
      <c r="D615" s="5">
        <v>45931</v>
      </c>
      <c r="E615" s="6" t="s">
        <v>15</v>
      </c>
      <c r="F615" s="7">
        <v>260</v>
      </c>
      <c r="G615" s="7">
        <v>189198.56153846151</v>
      </c>
      <c r="H615" s="7">
        <v>49191626</v>
      </c>
      <c r="I615" s="7">
        <v>3085113</v>
      </c>
      <c r="J615" s="7">
        <v>0</v>
      </c>
      <c r="K615">
        <f t="shared" si="9"/>
        <v>212</v>
      </c>
      <c r="L615" s="8" t="str" cm="1">
        <f t="array" ref="L615">_xlfn.IFS(
 AND(K615&gt;=89,K615&lt;=92),"3개월",
 AND(K615&gt;=58,K615&lt;=62),"2개월",
 AND(K615&gt;=28,K615&lt;=32),"1개월",
 AND(K615=0),"당월",
 TRUE,"그외"
)</f>
        <v>그외</v>
      </c>
    </row>
    <row r="616" spans="1:12" ht="17.649999999999999" customHeight="1" x14ac:dyDescent="0.3">
      <c r="A616" s="5">
        <v>46143</v>
      </c>
      <c r="B616" s="6" t="s">
        <v>20</v>
      </c>
      <c r="C616" s="6" t="s">
        <v>22</v>
      </c>
      <c r="D616" s="5">
        <v>45962</v>
      </c>
      <c r="E616" s="6" t="s">
        <v>14</v>
      </c>
      <c r="F616" s="7">
        <v>12</v>
      </c>
      <c r="G616" s="7">
        <v>78943.25</v>
      </c>
      <c r="H616" s="7">
        <v>947319</v>
      </c>
      <c r="I616" s="7">
        <v>351744</v>
      </c>
      <c r="J616" s="7">
        <v>0</v>
      </c>
      <c r="K616">
        <f t="shared" si="9"/>
        <v>181</v>
      </c>
      <c r="L616" s="8" t="str" cm="1">
        <f t="array" ref="L616">_xlfn.IFS(
 AND(K616&gt;=89,K616&lt;=92),"3개월",
 AND(K616&gt;=58,K616&lt;=62),"2개월",
 AND(K616&gt;=28,K616&lt;=32),"1개월",
 AND(K616=0),"당월",
 TRUE,"그외"
)</f>
        <v>그외</v>
      </c>
    </row>
    <row r="617" spans="1:12" ht="17.649999999999999" customHeight="1" x14ac:dyDescent="0.3">
      <c r="A617" s="5">
        <v>46143</v>
      </c>
      <c r="B617" s="6" t="s">
        <v>20</v>
      </c>
      <c r="C617" s="6" t="s">
        <v>22</v>
      </c>
      <c r="D617" s="5">
        <v>45962</v>
      </c>
      <c r="E617" s="6" t="s">
        <v>15</v>
      </c>
      <c r="F617" s="7">
        <v>711</v>
      </c>
      <c r="G617" s="7">
        <v>186782.8663853727</v>
      </c>
      <c r="H617" s="7">
        <v>132802618</v>
      </c>
      <c r="I617" s="7">
        <v>9201012</v>
      </c>
      <c r="J617" s="7">
        <v>0</v>
      </c>
      <c r="K617">
        <f t="shared" si="9"/>
        <v>181</v>
      </c>
      <c r="L617" s="8" t="str" cm="1">
        <f t="array" ref="L617">_xlfn.IFS(
 AND(K617&gt;=89,K617&lt;=92),"3개월",
 AND(K617&gt;=58,K617&lt;=62),"2개월",
 AND(K617&gt;=28,K617&lt;=32),"1개월",
 AND(K617=0),"당월",
 TRUE,"그외"
)</f>
        <v>그외</v>
      </c>
    </row>
    <row r="618" spans="1:12" ht="17.649999999999999" customHeight="1" x14ac:dyDescent="0.3">
      <c r="A618" s="5">
        <v>46143</v>
      </c>
      <c r="B618" s="6" t="s">
        <v>20</v>
      </c>
      <c r="C618" s="6" t="s">
        <v>22</v>
      </c>
      <c r="D618" s="5">
        <v>45992</v>
      </c>
      <c r="E618" s="6" t="s">
        <v>14</v>
      </c>
      <c r="F618" s="7">
        <v>26</v>
      </c>
      <c r="G618" s="7">
        <v>75960.230769230766</v>
      </c>
      <c r="H618" s="7">
        <v>1974966</v>
      </c>
      <c r="I618" s="7">
        <v>763098</v>
      </c>
      <c r="J618" s="7">
        <v>0</v>
      </c>
      <c r="K618">
        <f t="shared" si="9"/>
        <v>151</v>
      </c>
      <c r="L618" s="8" t="str" cm="1">
        <f t="array" ref="L618">_xlfn.IFS(
 AND(K618&gt;=89,K618&lt;=92),"3개월",
 AND(K618&gt;=58,K618&lt;=62),"2개월",
 AND(K618&gt;=28,K618&lt;=32),"1개월",
 AND(K618=0),"당월",
 TRUE,"그외"
)</f>
        <v>그외</v>
      </c>
    </row>
    <row r="619" spans="1:12" ht="17.649999999999999" customHeight="1" x14ac:dyDescent="0.3">
      <c r="A619" s="5">
        <v>46143</v>
      </c>
      <c r="B619" s="6" t="s">
        <v>20</v>
      </c>
      <c r="C619" s="6" t="s">
        <v>22</v>
      </c>
      <c r="D619" s="5">
        <v>45992</v>
      </c>
      <c r="E619" s="6" t="s">
        <v>15</v>
      </c>
      <c r="F619" s="7">
        <v>522</v>
      </c>
      <c r="G619" s="7">
        <v>172981.4348659004</v>
      </c>
      <c r="H619" s="7">
        <v>90296309</v>
      </c>
      <c r="I619" s="7">
        <v>8435742</v>
      </c>
      <c r="J619" s="7">
        <v>0</v>
      </c>
      <c r="K619">
        <f t="shared" si="9"/>
        <v>151</v>
      </c>
      <c r="L619" s="8" t="str" cm="1">
        <f t="array" ref="L619">_xlfn.IFS(
 AND(K619&gt;=89,K619&lt;=92),"3개월",
 AND(K619&gt;=58,K619&lt;=62),"2개월",
 AND(K619&gt;=28,K619&lt;=32),"1개월",
 AND(K619=0),"당월",
 TRUE,"그외"
)</f>
        <v>그외</v>
      </c>
    </row>
    <row r="620" spans="1:12" ht="17.649999999999999" customHeight="1" x14ac:dyDescent="0.3">
      <c r="A620" s="5">
        <v>46143</v>
      </c>
      <c r="B620" s="6" t="s">
        <v>20</v>
      </c>
      <c r="C620" s="6" t="s">
        <v>22</v>
      </c>
      <c r="D620" s="5">
        <v>46023</v>
      </c>
      <c r="E620" s="6" t="s">
        <v>14</v>
      </c>
      <c r="F620" s="7">
        <v>109</v>
      </c>
      <c r="G620" s="7">
        <v>84307.935779816515</v>
      </c>
      <c r="H620" s="7">
        <v>9189565</v>
      </c>
      <c r="I620" s="7">
        <v>3165508</v>
      </c>
      <c r="J620" s="7">
        <v>0</v>
      </c>
      <c r="K620">
        <f t="shared" si="9"/>
        <v>120</v>
      </c>
      <c r="L620" s="8" t="str" cm="1">
        <f t="array" ref="L620">_xlfn.IFS(
 AND(K620&gt;=89,K620&lt;=92),"3개월",
 AND(K620&gt;=58,K620&lt;=62),"2개월",
 AND(K620&gt;=28,K620&lt;=32),"1개월",
 AND(K620=0),"당월",
 TRUE,"그외"
)</f>
        <v>그외</v>
      </c>
    </row>
    <row r="621" spans="1:12" ht="17.649999999999999" customHeight="1" x14ac:dyDescent="0.3">
      <c r="A621" s="5">
        <v>46143</v>
      </c>
      <c r="B621" s="6" t="s">
        <v>20</v>
      </c>
      <c r="C621" s="6" t="s">
        <v>22</v>
      </c>
      <c r="D621" s="5">
        <v>46023</v>
      </c>
      <c r="E621" s="6" t="s">
        <v>15</v>
      </c>
      <c r="F621" s="7">
        <v>1334</v>
      </c>
      <c r="G621" s="7">
        <v>172337.12593703149</v>
      </c>
      <c r="H621" s="7">
        <v>229897726</v>
      </c>
      <c r="I621" s="7">
        <v>20855091</v>
      </c>
      <c r="J621" s="7">
        <v>0</v>
      </c>
      <c r="K621">
        <f t="shared" si="9"/>
        <v>120</v>
      </c>
      <c r="L621" s="8" t="str" cm="1">
        <f t="array" ref="L621">_xlfn.IFS(
 AND(K621&gt;=89,K621&lt;=92),"3개월",
 AND(K621&gt;=58,K621&lt;=62),"2개월",
 AND(K621&gt;=28,K621&lt;=32),"1개월",
 AND(K621=0),"당월",
 TRUE,"그외"
)</f>
        <v>그외</v>
      </c>
    </row>
    <row r="622" spans="1:12" ht="17.649999999999999" customHeight="1" x14ac:dyDescent="0.3">
      <c r="A622" s="5">
        <v>46143</v>
      </c>
      <c r="B622" s="6" t="s">
        <v>20</v>
      </c>
      <c r="C622" s="6" t="s">
        <v>22</v>
      </c>
      <c r="D622" s="5">
        <v>46054</v>
      </c>
      <c r="E622" s="6" t="s">
        <v>14</v>
      </c>
      <c r="F622" s="7">
        <v>321</v>
      </c>
      <c r="G622" s="7">
        <v>111156.6853582554</v>
      </c>
      <c r="H622" s="7">
        <v>35681296</v>
      </c>
      <c r="I622" s="7">
        <v>6703437</v>
      </c>
      <c r="J622" s="7">
        <v>0</v>
      </c>
      <c r="K622">
        <f t="shared" si="9"/>
        <v>89</v>
      </c>
      <c r="L622" s="8" t="str" cm="1">
        <f t="array" ref="L622">_xlfn.IFS(
 AND(K622&gt;=89,K622&lt;=92),"3개월",
 AND(K622&gt;=58,K622&lt;=62),"2개월",
 AND(K622&gt;=28,K622&lt;=32),"1개월",
 AND(K622=0),"당월",
 TRUE,"그외"
)</f>
        <v>3개월</v>
      </c>
    </row>
    <row r="623" spans="1:12" ht="17.649999999999999" customHeight="1" x14ac:dyDescent="0.3">
      <c r="A623" s="5">
        <v>46143</v>
      </c>
      <c r="B623" s="6" t="s">
        <v>20</v>
      </c>
      <c r="C623" s="6" t="s">
        <v>22</v>
      </c>
      <c r="D623" s="5">
        <v>46054</v>
      </c>
      <c r="E623" s="6" t="s">
        <v>15</v>
      </c>
      <c r="F623" s="7">
        <v>3150</v>
      </c>
      <c r="G623" s="7">
        <v>160571.92253968251</v>
      </c>
      <c r="H623" s="7">
        <v>505801556</v>
      </c>
      <c r="I623" s="7">
        <v>38704080</v>
      </c>
      <c r="J623" s="7">
        <v>0</v>
      </c>
      <c r="K623">
        <f t="shared" si="9"/>
        <v>89</v>
      </c>
      <c r="L623" s="8" t="str" cm="1">
        <f t="array" ref="L623">_xlfn.IFS(
 AND(K623&gt;=89,K623&lt;=92),"3개월",
 AND(K623&gt;=58,K623&lt;=62),"2개월",
 AND(K623&gt;=28,K623&lt;=32),"1개월",
 AND(K623=0),"당월",
 TRUE,"그외"
)</f>
        <v>3개월</v>
      </c>
    </row>
    <row r="624" spans="1:12" ht="17.649999999999999" customHeight="1" x14ac:dyDescent="0.3">
      <c r="A624" s="5">
        <v>46143</v>
      </c>
      <c r="B624" s="6" t="s">
        <v>20</v>
      </c>
      <c r="C624" s="6" t="s">
        <v>22</v>
      </c>
      <c r="D624" s="5">
        <v>46082</v>
      </c>
      <c r="E624" s="6" t="s">
        <v>14</v>
      </c>
      <c r="F624" s="7">
        <v>2659</v>
      </c>
      <c r="G624" s="7">
        <v>137901.159458443</v>
      </c>
      <c r="H624" s="7">
        <v>366679183</v>
      </c>
      <c r="I624" s="7">
        <v>42241863</v>
      </c>
      <c r="J624" s="7">
        <v>0</v>
      </c>
      <c r="K624">
        <f t="shared" si="9"/>
        <v>61</v>
      </c>
      <c r="L624" s="8" t="str" cm="1">
        <f t="array" ref="L624">_xlfn.IFS(
 AND(K624&gt;=89,K624&lt;=92),"3개월",
 AND(K624&gt;=58,K624&lt;=62),"2개월",
 AND(K624&gt;=28,K624&lt;=32),"1개월",
 AND(K624=0),"당월",
 TRUE,"그외"
)</f>
        <v>2개월</v>
      </c>
    </row>
    <row r="625" spans="1:12" ht="17.649999999999999" customHeight="1" x14ac:dyDescent="0.3">
      <c r="A625" s="5">
        <v>46143</v>
      </c>
      <c r="B625" s="6" t="s">
        <v>20</v>
      </c>
      <c r="C625" s="6" t="s">
        <v>22</v>
      </c>
      <c r="D625" s="5">
        <v>46082</v>
      </c>
      <c r="E625" s="6" t="s">
        <v>15</v>
      </c>
      <c r="F625" s="7">
        <v>10278</v>
      </c>
      <c r="G625" s="7">
        <v>144542.02082117141</v>
      </c>
      <c r="H625" s="7">
        <v>1485602890</v>
      </c>
      <c r="I625" s="7">
        <v>151823727</v>
      </c>
      <c r="J625" s="7">
        <v>0</v>
      </c>
      <c r="K625">
        <f t="shared" si="9"/>
        <v>61</v>
      </c>
      <c r="L625" s="8" t="str" cm="1">
        <f t="array" ref="L625">_xlfn.IFS(
 AND(K625&gt;=89,K625&lt;=92),"3개월",
 AND(K625&gt;=58,K625&lt;=62),"2개월",
 AND(K625&gt;=28,K625&lt;=32),"1개월",
 AND(K625=0),"당월",
 TRUE,"그외"
)</f>
        <v>2개월</v>
      </c>
    </row>
    <row r="626" spans="1:12" ht="17.649999999999999" customHeight="1" x14ac:dyDescent="0.3">
      <c r="A626" s="5">
        <v>46143</v>
      </c>
      <c r="B626" s="6" t="s">
        <v>20</v>
      </c>
      <c r="C626" s="6" t="s">
        <v>22</v>
      </c>
      <c r="D626" s="5">
        <v>46113</v>
      </c>
      <c r="E626" s="6" t="s">
        <v>14</v>
      </c>
      <c r="F626" s="7">
        <v>1723</v>
      </c>
      <c r="G626" s="7">
        <v>143430.28148578061</v>
      </c>
      <c r="H626" s="7">
        <v>247130375</v>
      </c>
      <c r="I626" s="7">
        <v>57553592</v>
      </c>
      <c r="J626" s="7">
        <v>0</v>
      </c>
      <c r="K626">
        <f t="shared" si="9"/>
        <v>30</v>
      </c>
      <c r="L626" s="8" t="str" cm="1">
        <f t="array" ref="L626">_xlfn.IFS(
 AND(K626&gt;=89,K626&lt;=92),"3개월",
 AND(K626&gt;=58,K626&lt;=62),"2개월",
 AND(K626&gt;=28,K626&lt;=32),"1개월",
 AND(K626=0),"당월",
 TRUE,"그외"
)</f>
        <v>1개월</v>
      </c>
    </row>
    <row r="627" spans="1:12" ht="17.649999999999999" customHeight="1" x14ac:dyDescent="0.3">
      <c r="A627" s="5">
        <v>46143</v>
      </c>
      <c r="B627" s="6" t="s">
        <v>20</v>
      </c>
      <c r="C627" s="6" t="s">
        <v>22</v>
      </c>
      <c r="D627" s="5">
        <v>46113</v>
      </c>
      <c r="E627" s="6" t="s">
        <v>15</v>
      </c>
      <c r="F627" s="7">
        <v>11817</v>
      </c>
      <c r="G627" s="7">
        <v>141760.6284166878</v>
      </c>
      <c r="H627" s="7">
        <v>1675185346</v>
      </c>
      <c r="I627" s="7">
        <v>400637709</v>
      </c>
      <c r="J627" s="7">
        <v>0</v>
      </c>
      <c r="K627">
        <f t="shared" si="9"/>
        <v>30</v>
      </c>
      <c r="L627" s="8" t="str" cm="1">
        <f t="array" ref="L627">_xlfn.IFS(
 AND(K627&gt;=89,K627&lt;=92),"3개월",
 AND(K627&gt;=58,K627&lt;=62),"2개월",
 AND(K627&gt;=28,K627&lt;=32),"1개월",
 AND(K627=0),"당월",
 TRUE,"그외"
)</f>
        <v>1개월</v>
      </c>
    </row>
    <row r="628" spans="1:12" ht="17.649999999999999" customHeight="1" x14ac:dyDescent="0.3">
      <c r="A628" s="5">
        <v>46143</v>
      </c>
      <c r="B628" s="6" t="s">
        <v>20</v>
      </c>
      <c r="C628" s="6" t="s">
        <v>22</v>
      </c>
      <c r="D628" s="5">
        <v>46143</v>
      </c>
      <c r="E628" s="6" t="s">
        <v>14</v>
      </c>
      <c r="F628" s="7">
        <v>58</v>
      </c>
      <c r="G628" s="7">
        <v>169478.1724137931</v>
      </c>
      <c r="H628" s="7">
        <v>9829734</v>
      </c>
      <c r="I628" s="7">
        <v>3398912</v>
      </c>
      <c r="J628" s="7">
        <v>0</v>
      </c>
      <c r="K628">
        <f t="shared" si="9"/>
        <v>0</v>
      </c>
      <c r="L628" s="8" t="str" cm="1">
        <f t="array" ref="L628">_xlfn.IFS(
 AND(K628&gt;=89,K628&lt;=92),"3개월",
 AND(K628&gt;=58,K628&lt;=62),"2개월",
 AND(K628&gt;=28,K628&lt;=32),"1개월",
 AND(K628=0),"당월",
 TRUE,"그외"
)</f>
        <v>당월</v>
      </c>
    </row>
    <row r="629" spans="1:12" ht="17.649999999999999" customHeight="1" x14ac:dyDescent="0.3">
      <c r="A629" s="5">
        <v>46143</v>
      </c>
      <c r="B629" s="6" t="s">
        <v>20</v>
      </c>
      <c r="C629" s="6" t="s">
        <v>22</v>
      </c>
      <c r="D629" s="5">
        <v>46143</v>
      </c>
      <c r="E629" s="6" t="s">
        <v>15</v>
      </c>
      <c r="F629" s="7">
        <v>1901</v>
      </c>
      <c r="G629" s="7">
        <v>136735.31088900581</v>
      </c>
      <c r="H629" s="7">
        <v>259933826</v>
      </c>
      <c r="I629" s="7">
        <v>100657369</v>
      </c>
      <c r="J629" s="7">
        <v>0</v>
      </c>
      <c r="K629">
        <f t="shared" si="9"/>
        <v>0</v>
      </c>
      <c r="L629" s="8" t="str" cm="1">
        <f t="array" ref="L629">_xlfn.IFS(
 AND(K629&gt;=89,K629&lt;=92),"3개월",
 AND(K629&gt;=58,K629&lt;=62),"2개월",
 AND(K629&gt;=28,K629&lt;=32),"1개월",
 AND(K629=0),"당월",
 TRUE,"그외"
)</f>
        <v>당월</v>
      </c>
    </row>
    <row r="630" spans="1:12" ht="17.649999999999999" customHeight="1" x14ac:dyDescent="0.3">
      <c r="A630" s="5">
        <v>46143</v>
      </c>
      <c r="B630" s="6" t="s">
        <v>20</v>
      </c>
      <c r="C630" s="6" t="s">
        <v>23</v>
      </c>
      <c r="D630" s="5">
        <v>45931</v>
      </c>
      <c r="E630" s="6" t="s">
        <v>15</v>
      </c>
      <c r="F630" s="7">
        <v>34</v>
      </c>
      <c r="G630" s="7">
        <v>148033.9411764706</v>
      </c>
      <c r="H630" s="7">
        <v>5033154</v>
      </c>
      <c r="I630" s="7">
        <v>446560</v>
      </c>
      <c r="J630" s="7">
        <v>0</v>
      </c>
      <c r="K630">
        <f t="shared" si="9"/>
        <v>212</v>
      </c>
      <c r="L630" s="8" t="str" cm="1">
        <f t="array" ref="L630">_xlfn.IFS(
 AND(K630&gt;=89,K630&lt;=92),"3개월",
 AND(K630&gt;=58,K630&lt;=62),"2개월",
 AND(K630&gt;=28,K630&lt;=32),"1개월",
 AND(K630=0),"당월",
 TRUE,"그외"
)</f>
        <v>그외</v>
      </c>
    </row>
    <row r="631" spans="1:12" ht="17.649999999999999" customHeight="1" x14ac:dyDescent="0.3">
      <c r="A631" s="5">
        <v>46143</v>
      </c>
      <c r="B631" s="6" t="s">
        <v>20</v>
      </c>
      <c r="C631" s="6" t="s">
        <v>23</v>
      </c>
      <c r="D631" s="5">
        <v>45962</v>
      </c>
      <c r="E631" s="6" t="s">
        <v>15</v>
      </c>
      <c r="F631" s="7">
        <v>290</v>
      </c>
      <c r="G631" s="7">
        <v>149726.47241379309</v>
      </c>
      <c r="H631" s="7">
        <v>43420677</v>
      </c>
      <c r="I631" s="7">
        <v>3224259</v>
      </c>
      <c r="J631" s="7">
        <v>0</v>
      </c>
      <c r="K631">
        <f t="shared" si="9"/>
        <v>181</v>
      </c>
      <c r="L631" s="8" t="str" cm="1">
        <f t="array" ref="L631">_xlfn.IFS(
 AND(K631&gt;=89,K631&lt;=92),"3개월",
 AND(K631&gt;=58,K631&lt;=62),"2개월",
 AND(K631&gt;=28,K631&lt;=32),"1개월",
 AND(K631=0),"당월",
 TRUE,"그외"
)</f>
        <v>그외</v>
      </c>
    </row>
    <row r="632" spans="1:12" ht="17.649999999999999" customHeight="1" x14ac:dyDescent="0.3">
      <c r="A632" s="5">
        <v>46143</v>
      </c>
      <c r="B632" s="6" t="s">
        <v>20</v>
      </c>
      <c r="C632" s="6" t="s">
        <v>23</v>
      </c>
      <c r="D632" s="5">
        <v>45992</v>
      </c>
      <c r="E632" s="6" t="s">
        <v>15</v>
      </c>
      <c r="F632" s="7">
        <v>131</v>
      </c>
      <c r="G632" s="7">
        <v>159532.29007633589</v>
      </c>
      <c r="H632" s="7">
        <v>20898730</v>
      </c>
      <c r="I632" s="7">
        <v>1959166</v>
      </c>
      <c r="J632" s="7">
        <v>0</v>
      </c>
      <c r="K632">
        <f t="shared" si="9"/>
        <v>151</v>
      </c>
      <c r="L632" s="8" t="str" cm="1">
        <f t="array" ref="L632">_xlfn.IFS(
 AND(K632&gt;=89,K632&lt;=92),"3개월",
 AND(K632&gt;=58,K632&lt;=62),"2개월",
 AND(K632&gt;=28,K632&lt;=32),"1개월",
 AND(K632=0),"당월",
 TRUE,"그외"
)</f>
        <v>그외</v>
      </c>
    </row>
    <row r="633" spans="1:12" ht="17.649999999999999" customHeight="1" x14ac:dyDescent="0.3">
      <c r="A633" s="5">
        <v>46143</v>
      </c>
      <c r="B633" s="6" t="s">
        <v>20</v>
      </c>
      <c r="C633" s="6" t="s">
        <v>23</v>
      </c>
      <c r="D633" s="5">
        <v>46023</v>
      </c>
      <c r="E633" s="6" t="s">
        <v>15</v>
      </c>
      <c r="F633" s="7">
        <v>793</v>
      </c>
      <c r="G633" s="7">
        <v>177999.38965952079</v>
      </c>
      <c r="H633" s="7">
        <v>141153516</v>
      </c>
      <c r="I633" s="7">
        <v>15075372</v>
      </c>
      <c r="J633" s="7">
        <v>0</v>
      </c>
      <c r="K633">
        <f t="shared" si="9"/>
        <v>120</v>
      </c>
      <c r="L633" s="8" t="str" cm="1">
        <f t="array" ref="L633">_xlfn.IFS(
 AND(K633&gt;=89,K633&lt;=92),"3개월",
 AND(K633&gt;=58,K633&lt;=62),"2개월",
 AND(K633&gt;=28,K633&lt;=32),"1개월",
 AND(K633=0),"당월",
 TRUE,"그외"
)</f>
        <v>그외</v>
      </c>
    </row>
    <row r="634" spans="1:12" ht="17.649999999999999" customHeight="1" x14ac:dyDescent="0.3">
      <c r="A634" s="5">
        <v>46143</v>
      </c>
      <c r="B634" s="6" t="s">
        <v>20</v>
      </c>
      <c r="C634" s="6" t="s">
        <v>23</v>
      </c>
      <c r="D634" s="5">
        <v>46054</v>
      </c>
      <c r="E634" s="6" t="s">
        <v>14</v>
      </c>
      <c r="F634" s="7">
        <v>76</v>
      </c>
      <c r="G634" s="7">
        <v>98878.947368421053</v>
      </c>
      <c r="H634" s="7">
        <v>7514800</v>
      </c>
      <c r="I634" s="7">
        <v>554800</v>
      </c>
      <c r="J634" s="7">
        <v>0</v>
      </c>
      <c r="K634">
        <f t="shared" si="9"/>
        <v>89</v>
      </c>
      <c r="L634" s="8" t="str" cm="1">
        <f t="array" ref="L634">_xlfn.IFS(
 AND(K634&gt;=89,K634&lt;=92),"3개월",
 AND(K634&gt;=58,K634&lt;=62),"2개월",
 AND(K634&gt;=28,K634&lt;=32),"1개월",
 AND(K634=0),"당월",
 TRUE,"그외"
)</f>
        <v>3개월</v>
      </c>
    </row>
    <row r="635" spans="1:12" ht="17.649999999999999" customHeight="1" x14ac:dyDescent="0.3">
      <c r="A635" s="5">
        <v>46143</v>
      </c>
      <c r="B635" s="6" t="s">
        <v>20</v>
      </c>
      <c r="C635" s="6" t="s">
        <v>23</v>
      </c>
      <c r="D635" s="5">
        <v>46054</v>
      </c>
      <c r="E635" s="6" t="s">
        <v>15</v>
      </c>
      <c r="F635" s="7">
        <v>1340</v>
      </c>
      <c r="G635" s="7">
        <v>163827.05223880601</v>
      </c>
      <c r="H635" s="7">
        <v>219528250</v>
      </c>
      <c r="I635" s="7">
        <v>19407069</v>
      </c>
      <c r="J635" s="7">
        <v>0</v>
      </c>
      <c r="K635">
        <f t="shared" si="9"/>
        <v>89</v>
      </c>
      <c r="L635" s="8" t="str" cm="1">
        <f t="array" ref="L635">_xlfn.IFS(
 AND(K635&gt;=89,K635&lt;=92),"3개월",
 AND(K635&gt;=58,K635&lt;=62),"2개월",
 AND(K635&gt;=28,K635&lt;=32),"1개월",
 AND(K635=0),"당월",
 TRUE,"그외"
)</f>
        <v>3개월</v>
      </c>
    </row>
    <row r="636" spans="1:12" ht="17.649999999999999" customHeight="1" x14ac:dyDescent="0.3">
      <c r="A636" s="5">
        <v>46143</v>
      </c>
      <c r="B636" s="6" t="s">
        <v>20</v>
      </c>
      <c r="C636" s="6" t="s">
        <v>23</v>
      </c>
      <c r="D636" s="5">
        <v>46082</v>
      </c>
      <c r="E636" s="6" t="s">
        <v>14</v>
      </c>
      <c r="F636" s="7">
        <v>647</v>
      </c>
      <c r="G636" s="7">
        <v>109820.8655332303</v>
      </c>
      <c r="H636" s="7">
        <v>71054100</v>
      </c>
      <c r="I636" s="7">
        <v>6664100</v>
      </c>
      <c r="J636" s="7">
        <v>0</v>
      </c>
      <c r="K636">
        <f t="shared" si="9"/>
        <v>61</v>
      </c>
      <c r="L636" s="8" t="str" cm="1">
        <f t="array" ref="L636">_xlfn.IFS(
 AND(K636&gt;=89,K636&lt;=92),"3개월",
 AND(K636&gt;=58,K636&lt;=62),"2개월",
 AND(K636&gt;=28,K636&lt;=32),"1개월",
 AND(K636=0),"당월",
 TRUE,"그외"
)</f>
        <v>2개월</v>
      </c>
    </row>
    <row r="637" spans="1:12" ht="17.649999999999999" customHeight="1" x14ac:dyDescent="0.3">
      <c r="A637" s="5">
        <v>46143</v>
      </c>
      <c r="B637" s="6" t="s">
        <v>20</v>
      </c>
      <c r="C637" s="6" t="s">
        <v>23</v>
      </c>
      <c r="D637" s="5">
        <v>46082</v>
      </c>
      <c r="E637" s="6" t="s">
        <v>15</v>
      </c>
      <c r="F637" s="7">
        <v>3402</v>
      </c>
      <c r="G637" s="7">
        <v>154639.38683127571</v>
      </c>
      <c r="H637" s="7">
        <v>526083194</v>
      </c>
      <c r="I637" s="7">
        <v>55109885</v>
      </c>
      <c r="J637" s="7">
        <v>0</v>
      </c>
      <c r="K637">
        <f t="shared" si="9"/>
        <v>61</v>
      </c>
      <c r="L637" s="8" t="str" cm="1">
        <f t="array" ref="L637">_xlfn.IFS(
 AND(K637&gt;=89,K637&lt;=92),"3개월",
 AND(K637&gt;=58,K637&lt;=62),"2개월",
 AND(K637&gt;=28,K637&lt;=32),"1개월",
 AND(K637=0),"당월",
 TRUE,"그외"
)</f>
        <v>2개월</v>
      </c>
    </row>
    <row r="638" spans="1:12" ht="17.649999999999999" customHeight="1" x14ac:dyDescent="0.3">
      <c r="A638" s="5">
        <v>46143</v>
      </c>
      <c r="B638" s="6" t="s">
        <v>20</v>
      </c>
      <c r="C638" s="6" t="s">
        <v>23</v>
      </c>
      <c r="D638" s="5">
        <v>46113</v>
      </c>
      <c r="E638" s="6" t="s">
        <v>14</v>
      </c>
      <c r="F638" s="7">
        <v>309</v>
      </c>
      <c r="G638" s="7">
        <v>125405.1779935275</v>
      </c>
      <c r="H638" s="7">
        <v>38750200</v>
      </c>
      <c r="I638" s="7">
        <v>9435200</v>
      </c>
      <c r="J638" s="7">
        <v>0</v>
      </c>
      <c r="K638">
        <f t="shared" si="9"/>
        <v>30</v>
      </c>
      <c r="L638" s="8" t="str" cm="1">
        <f t="array" ref="L638">_xlfn.IFS(
 AND(K638&gt;=89,K638&lt;=92),"3개월",
 AND(K638&gt;=58,K638&lt;=62),"2개월",
 AND(K638&gt;=28,K638&lt;=32),"1개월",
 AND(K638=0),"당월",
 TRUE,"그외"
)</f>
        <v>1개월</v>
      </c>
    </row>
    <row r="639" spans="1:12" ht="17.649999999999999" customHeight="1" x14ac:dyDescent="0.3">
      <c r="A639" s="5">
        <v>46143</v>
      </c>
      <c r="B639" s="6" t="s">
        <v>20</v>
      </c>
      <c r="C639" s="6" t="s">
        <v>23</v>
      </c>
      <c r="D639" s="5">
        <v>46113</v>
      </c>
      <c r="E639" s="6" t="s">
        <v>15</v>
      </c>
      <c r="F639" s="7">
        <v>1792</v>
      </c>
      <c r="G639" s="7">
        <v>134067.11272321429</v>
      </c>
      <c r="H639" s="7">
        <v>240248266</v>
      </c>
      <c r="I639" s="7">
        <v>58664492</v>
      </c>
      <c r="J639" s="7">
        <v>0</v>
      </c>
      <c r="K639">
        <f t="shared" si="9"/>
        <v>30</v>
      </c>
      <c r="L639" s="8" t="str" cm="1">
        <f t="array" ref="L639">_xlfn.IFS(
 AND(K639&gt;=89,K639&lt;=92),"3개월",
 AND(K639&gt;=58,K639&lt;=62),"2개월",
 AND(K639&gt;=28,K639&lt;=32),"1개월",
 AND(K639=0),"당월",
 TRUE,"그외"
)</f>
        <v>1개월</v>
      </c>
    </row>
    <row r="640" spans="1:12" ht="17.649999999999999" customHeight="1" x14ac:dyDescent="0.3">
      <c r="A640" s="5">
        <v>46143</v>
      </c>
      <c r="B640" s="6" t="s">
        <v>20</v>
      </c>
      <c r="C640" s="6" t="s">
        <v>23</v>
      </c>
      <c r="D640" s="5">
        <v>46143</v>
      </c>
      <c r="E640" s="6" t="s">
        <v>14</v>
      </c>
      <c r="F640" s="7">
        <v>8</v>
      </c>
      <c r="G640" s="7">
        <v>0</v>
      </c>
      <c r="H640" s="7">
        <v>0</v>
      </c>
      <c r="I640" s="7">
        <v>0</v>
      </c>
      <c r="J640" s="7">
        <v>0</v>
      </c>
      <c r="K640">
        <f t="shared" si="9"/>
        <v>0</v>
      </c>
      <c r="L640" s="8" t="str" cm="1">
        <f t="array" ref="L640">_xlfn.IFS(
 AND(K640&gt;=89,K640&lt;=92),"3개월",
 AND(K640&gt;=58,K640&lt;=62),"2개월",
 AND(K640&gt;=28,K640&lt;=32),"1개월",
 AND(K640=0),"당월",
 TRUE,"그외"
)</f>
        <v>당월</v>
      </c>
    </row>
    <row r="641" spans="1:12" ht="17.649999999999999" customHeight="1" x14ac:dyDescent="0.3">
      <c r="A641" s="5">
        <v>46143</v>
      </c>
      <c r="B641" s="6" t="s">
        <v>20</v>
      </c>
      <c r="C641" s="6" t="s">
        <v>23</v>
      </c>
      <c r="D641" s="5">
        <v>46143</v>
      </c>
      <c r="E641" s="6" t="s">
        <v>15</v>
      </c>
      <c r="F641" s="7">
        <v>306</v>
      </c>
      <c r="G641" s="7">
        <v>143869.9509803922</v>
      </c>
      <c r="H641" s="7">
        <v>44024205</v>
      </c>
      <c r="I641" s="7">
        <v>16929027</v>
      </c>
      <c r="J641" s="7">
        <v>0</v>
      </c>
      <c r="K641">
        <f t="shared" si="9"/>
        <v>0</v>
      </c>
      <c r="L641" s="8" t="str" cm="1">
        <f t="array" ref="L641">_xlfn.IFS(
 AND(K641&gt;=89,K641&lt;=92),"3개월",
 AND(K641&gt;=58,K641&lt;=62),"2개월",
 AND(K641&gt;=28,K641&lt;=32),"1개월",
 AND(K641=0),"당월",
 TRUE,"그외"
)</f>
        <v>당월</v>
      </c>
    </row>
    <row r="642" spans="1:12" ht="17.649999999999999" customHeight="1" x14ac:dyDescent="0.3">
      <c r="A642" s="5">
        <v>46143</v>
      </c>
      <c r="B642" s="6" t="s">
        <v>20</v>
      </c>
      <c r="C642" s="6" t="s">
        <v>24</v>
      </c>
      <c r="D642" s="5">
        <v>45931</v>
      </c>
      <c r="E642" s="6" t="s">
        <v>15</v>
      </c>
      <c r="F642" s="7">
        <v>234</v>
      </c>
      <c r="G642" s="7">
        <v>143284.74358974359</v>
      </c>
      <c r="H642" s="7">
        <v>33528630</v>
      </c>
      <c r="I642" s="7">
        <v>2386382</v>
      </c>
      <c r="J642" s="7">
        <v>0</v>
      </c>
      <c r="K642">
        <f t="shared" si="9"/>
        <v>212</v>
      </c>
      <c r="L642" s="8" t="str" cm="1">
        <f t="array" ref="L642">_xlfn.IFS(
 AND(K642&gt;=89,K642&lt;=92),"3개월",
 AND(K642&gt;=58,K642&lt;=62),"2개월",
 AND(K642&gt;=28,K642&lt;=32),"1개월",
 AND(K642=0),"당월",
 TRUE,"그외"
)</f>
        <v>그외</v>
      </c>
    </row>
    <row r="643" spans="1:12" ht="17.649999999999999" customHeight="1" x14ac:dyDescent="0.3">
      <c r="A643" s="5">
        <v>46143</v>
      </c>
      <c r="B643" s="6" t="s">
        <v>20</v>
      </c>
      <c r="C643" s="6" t="s">
        <v>24</v>
      </c>
      <c r="D643" s="5">
        <v>45962</v>
      </c>
      <c r="E643" s="6" t="s">
        <v>15</v>
      </c>
      <c r="F643" s="7">
        <v>325</v>
      </c>
      <c r="G643" s="7">
        <v>152153.3261538462</v>
      </c>
      <c r="H643" s="7">
        <v>49449831</v>
      </c>
      <c r="I643" s="7">
        <v>3316963</v>
      </c>
      <c r="J643" s="7">
        <v>0</v>
      </c>
      <c r="K643">
        <f t="shared" si="9"/>
        <v>181</v>
      </c>
      <c r="L643" s="8" t="str" cm="1">
        <f t="array" ref="L643">_xlfn.IFS(
 AND(K643&gt;=89,K643&lt;=92),"3개월",
 AND(K643&gt;=58,K643&lt;=62),"2개월",
 AND(K643&gt;=28,K643&lt;=32),"1개월",
 AND(K643=0),"당월",
 TRUE,"그외"
)</f>
        <v>그외</v>
      </c>
    </row>
    <row r="644" spans="1:12" ht="17.649999999999999" customHeight="1" x14ac:dyDescent="0.3">
      <c r="A644" s="5">
        <v>46143</v>
      </c>
      <c r="B644" s="6" t="s">
        <v>20</v>
      </c>
      <c r="C644" s="6" t="s">
        <v>24</v>
      </c>
      <c r="D644" s="5">
        <v>45992</v>
      </c>
      <c r="E644" s="6" t="s">
        <v>15</v>
      </c>
      <c r="F644" s="7">
        <v>361</v>
      </c>
      <c r="G644" s="7">
        <v>147587.26869806091</v>
      </c>
      <c r="H644" s="7">
        <v>53279004</v>
      </c>
      <c r="I644" s="7">
        <v>4540764</v>
      </c>
      <c r="J644" s="7">
        <v>0</v>
      </c>
      <c r="K644">
        <f t="shared" si="9"/>
        <v>151</v>
      </c>
      <c r="L644" s="8" t="str" cm="1">
        <f t="array" ref="L644">_xlfn.IFS(
 AND(K644&gt;=89,K644&lt;=92),"3개월",
 AND(K644&gt;=58,K644&lt;=62),"2개월",
 AND(K644&gt;=28,K644&lt;=32),"1개월",
 AND(K644=0),"당월",
 TRUE,"그외"
)</f>
        <v>그외</v>
      </c>
    </row>
    <row r="645" spans="1:12" ht="17.649999999999999" customHeight="1" x14ac:dyDescent="0.3">
      <c r="A645" s="5">
        <v>46143</v>
      </c>
      <c r="B645" s="6" t="s">
        <v>20</v>
      </c>
      <c r="C645" s="6" t="s">
        <v>24</v>
      </c>
      <c r="D645" s="5">
        <v>46023</v>
      </c>
      <c r="E645" s="6" t="s">
        <v>15</v>
      </c>
      <c r="F645" s="7">
        <v>1036</v>
      </c>
      <c r="G645" s="7">
        <v>151816.37934362929</v>
      </c>
      <c r="H645" s="7">
        <v>157281769</v>
      </c>
      <c r="I645" s="7">
        <v>13580768</v>
      </c>
      <c r="J645" s="7">
        <v>0</v>
      </c>
      <c r="K645">
        <f t="shared" si="9"/>
        <v>120</v>
      </c>
      <c r="L645" s="8" t="str" cm="1">
        <f t="array" ref="L645">_xlfn.IFS(
 AND(K645&gt;=89,K645&lt;=92),"3개월",
 AND(K645&gt;=58,K645&lt;=62),"2개월",
 AND(K645&gt;=28,K645&lt;=32),"1개월",
 AND(K645=0),"당월",
 TRUE,"그외"
)</f>
        <v>그외</v>
      </c>
    </row>
    <row r="646" spans="1:12" ht="17.649999999999999" customHeight="1" x14ac:dyDescent="0.3">
      <c r="A646" s="5">
        <v>46143</v>
      </c>
      <c r="B646" s="6" t="s">
        <v>20</v>
      </c>
      <c r="C646" s="6" t="s">
        <v>24</v>
      </c>
      <c r="D646" s="5">
        <v>46054</v>
      </c>
      <c r="E646" s="6" t="s">
        <v>15</v>
      </c>
      <c r="F646" s="7">
        <v>2123</v>
      </c>
      <c r="G646" s="7">
        <v>157438.16297691941</v>
      </c>
      <c r="H646" s="7">
        <v>334241220</v>
      </c>
      <c r="I646" s="7">
        <v>18841339</v>
      </c>
      <c r="J646" s="7">
        <v>0</v>
      </c>
      <c r="K646">
        <f t="shared" si="9"/>
        <v>89</v>
      </c>
      <c r="L646" s="8" t="str" cm="1">
        <f t="array" ref="L646">_xlfn.IFS(
 AND(K646&gt;=89,K646&lt;=92),"3개월",
 AND(K646&gt;=58,K646&lt;=62),"2개월",
 AND(K646&gt;=28,K646&lt;=32),"1개월",
 AND(K646=0),"당월",
 TRUE,"그외"
)</f>
        <v>3개월</v>
      </c>
    </row>
    <row r="647" spans="1:12" ht="17.649999999999999" customHeight="1" x14ac:dyDescent="0.3">
      <c r="A647" s="5">
        <v>46143</v>
      </c>
      <c r="B647" s="6" t="s">
        <v>20</v>
      </c>
      <c r="C647" s="6" t="s">
        <v>24</v>
      </c>
      <c r="D647" s="5">
        <v>46082</v>
      </c>
      <c r="E647" s="6" t="s">
        <v>14</v>
      </c>
      <c r="F647" s="7">
        <v>1427</v>
      </c>
      <c r="G647" s="7">
        <v>141249.58794674141</v>
      </c>
      <c r="H647" s="7">
        <v>201563162</v>
      </c>
      <c r="I647" s="7">
        <v>14771539</v>
      </c>
      <c r="J647" s="7">
        <v>0</v>
      </c>
      <c r="K647">
        <f t="shared" si="9"/>
        <v>61</v>
      </c>
      <c r="L647" s="8" t="str" cm="1">
        <f t="array" ref="L647">_xlfn.IFS(
 AND(K647&gt;=89,K647&lt;=92),"3개월",
 AND(K647&gt;=58,K647&lt;=62),"2개월",
 AND(K647&gt;=28,K647&lt;=32),"1개월",
 AND(K647=0),"당월",
 TRUE,"그외"
)</f>
        <v>2개월</v>
      </c>
    </row>
    <row r="648" spans="1:12" ht="17.649999999999999" customHeight="1" x14ac:dyDescent="0.3">
      <c r="A648" s="5">
        <v>46143</v>
      </c>
      <c r="B648" s="6" t="s">
        <v>20</v>
      </c>
      <c r="C648" s="6" t="s">
        <v>24</v>
      </c>
      <c r="D648" s="5">
        <v>46082</v>
      </c>
      <c r="E648" s="6" t="s">
        <v>15</v>
      </c>
      <c r="F648" s="7">
        <v>7445</v>
      </c>
      <c r="G648" s="7">
        <v>150221.72827400939</v>
      </c>
      <c r="H648" s="7">
        <v>1118400767</v>
      </c>
      <c r="I648" s="7">
        <v>87673183</v>
      </c>
      <c r="J648" s="7">
        <v>0</v>
      </c>
      <c r="K648">
        <f t="shared" si="9"/>
        <v>61</v>
      </c>
      <c r="L648" s="8" t="str" cm="1">
        <f t="array" ref="L648">_xlfn.IFS(
 AND(K648&gt;=89,K648&lt;=92),"3개월",
 AND(K648&gt;=58,K648&lt;=62),"2개월",
 AND(K648&gt;=28,K648&lt;=32),"1개월",
 AND(K648=0),"당월",
 TRUE,"그외"
)</f>
        <v>2개월</v>
      </c>
    </row>
    <row r="649" spans="1:12" ht="17.649999999999999" customHeight="1" x14ac:dyDescent="0.3">
      <c r="A649" s="5">
        <v>46143</v>
      </c>
      <c r="B649" s="6" t="s">
        <v>20</v>
      </c>
      <c r="C649" s="6" t="s">
        <v>24</v>
      </c>
      <c r="D649" s="5">
        <v>46113</v>
      </c>
      <c r="E649" s="6" t="s">
        <v>14</v>
      </c>
      <c r="F649" s="7">
        <v>614</v>
      </c>
      <c r="G649" s="7">
        <v>135178.664495114</v>
      </c>
      <c r="H649" s="7">
        <v>82999700</v>
      </c>
      <c r="I649" s="7">
        <v>18849700</v>
      </c>
      <c r="J649" s="7">
        <v>0</v>
      </c>
      <c r="K649">
        <f t="shared" si="9"/>
        <v>30</v>
      </c>
      <c r="L649" s="8" t="str" cm="1">
        <f t="array" ref="L649">_xlfn.IFS(
 AND(K649&gt;=89,K649&lt;=92),"3개월",
 AND(K649&gt;=58,K649&lt;=62),"2개월",
 AND(K649&gt;=28,K649&lt;=32),"1개월",
 AND(K649=0),"당월",
 TRUE,"그외"
)</f>
        <v>1개월</v>
      </c>
    </row>
    <row r="650" spans="1:12" ht="17.649999999999999" customHeight="1" x14ac:dyDescent="0.3">
      <c r="A650" s="5">
        <v>46143</v>
      </c>
      <c r="B650" s="6" t="s">
        <v>20</v>
      </c>
      <c r="C650" s="6" t="s">
        <v>24</v>
      </c>
      <c r="D650" s="5">
        <v>46113</v>
      </c>
      <c r="E650" s="6" t="s">
        <v>15</v>
      </c>
      <c r="F650" s="7">
        <v>6767</v>
      </c>
      <c r="G650" s="7">
        <v>130187.5880005911</v>
      </c>
      <c r="H650" s="7">
        <v>880979408</v>
      </c>
      <c r="I650" s="7">
        <v>210530524</v>
      </c>
      <c r="J650" s="7">
        <v>0</v>
      </c>
      <c r="K650">
        <f t="shared" ref="K650:K713" si="10">A650-D650</f>
        <v>30</v>
      </c>
      <c r="L650" s="8" t="str" cm="1">
        <f t="array" ref="L650">_xlfn.IFS(
 AND(K650&gt;=89,K650&lt;=92),"3개월",
 AND(K650&gt;=58,K650&lt;=62),"2개월",
 AND(K650&gt;=28,K650&lt;=32),"1개월",
 AND(K650=0),"당월",
 TRUE,"그외"
)</f>
        <v>1개월</v>
      </c>
    </row>
    <row r="651" spans="1:12" ht="17.649999999999999" customHeight="1" x14ac:dyDescent="0.3">
      <c r="A651" s="5">
        <v>46143</v>
      </c>
      <c r="B651" s="6" t="s">
        <v>20</v>
      </c>
      <c r="C651" s="6" t="s">
        <v>24</v>
      </c>
      <c r="D651" s="5">
        <v>46143</v>
      </c>
      <c r="E651" s="6" t="s">
        <v>14</v>
      </c>
      <c r="F651" s="7">
        <v>6</v>
      </c>
      <c r="G651" s="7">
        <v>109333.3333333333</v>
      </c>
      <c r="H651" s="7">
        <v>656000</v>
      </c>
      <c r="I651" s="7">
        <v>296000</v>
      </c>
      <c r="J651" s="7">
        <v>0</v>
      </c>
      <c r="K651">
        <f t="shared" si="10"/>
        <v>0</v>
      </c>
      <c r="L651" s="8" t="str" cm="1">
        <f t="array" ref="L651">_xlfn.IFS(
 AND(K651&gt;=89,K651&lt;=92),"3개월",
 AND(K651&gt;=58,K651&lt;=62),"2개월",
 AND(K651&gt;=28,K651&lt;=32),"1개월",
 AND(K651=0),"당월",
 TRUE,"그외"
)</f>
        <v>당월</v>
      </c>
    </row>
    <row r="652" spans="1:12" ht="17.649999999999999" customHeight="1" x14ac:dyDescent="0.3">
      <c r="A652" s="5">
        <v>46143</v>
      </c>
      <c r="B652" s="6" t="s">
        <v>20</v>
      </c>
      <c r="C652" s="6" t="s">
        <v>24</v>
      </c>
      <c r="D652" s="5">
        <v>46143</v>
      </c>
      <c r="E652" s="6" t="s">
        <v>15</v>
      </c>
      <c r="F652" s="7">
        <v>880</v>
      </c>
      <c r="G652" s="7">
        <v>153306.90909090909</v>
      </c>
      <c r="H652" s="7">
        <v>134910080</v>
      </c>
      <c r="I652" s="7">
        <v>47354474</v>
      </c>
      <c r="J652" s="7">
        <v>0</v>
      </c>
      <c r="K652">
        <f t="shared" si="10"/>
        <v>0</v>
      </c>
      <c r="L652" s="8" t="str" cm="1">
        <f t="array" ref="L652">_xlfn.IFS(
 AND(K652&gt;=89,K652&lt;=92),"3개월",
 AND(K652&gt;=58,K652&lt;=62),"2개월",
 AND(K652&gt;=28,K652&lt;=32),"1개월",
 AND(K652=0),"당월",
 TRUE,"그외"
)</f>
        <v>당월</v>
      </c>
    </row>
    <row r="653" spans="1:12" ht="17.649999999999999" customHeight="1" x14ac:dyDescent="0.3">
      <c r="A653" s="5">
        <v>46143</v>
      </c>
      <c r="B653" s="6" t="s">
        <v>20</v>
      </c>
      <c r="C653" s="6" t="s">
        <v>25</v>
      </c>
      <c r="D653" s="5">
        <v>45962</v>
      </c>
      <c r="E653" s="6" t="s">
        <v>15</v>
      </c>
      <c r="F653" s="7">
        <v>291</v>
      </c>
      <c r="G653" s="7">
        <v>184812.46391752581</v>
      </c>
      <c r="H653" s="7">
        <v>53780427</v>
      </c>
      <c r="I653" s="7">
        <v>3705858</v>
      </c>
      <c r="J653" s="7">
        <v>0</v>
      </c>
      <c r="K653">
        <f t="shared" si="10"/>
        <v>181</v>
      </c>
      <c r="L653" s="8" t="str" cm="1">
        <f t="array" ref="L653">_xlfn.IFS(
 AND(K653&gt;=89,K653&lt;=92),"3개월",
 AND(K653&gt;=58,K653&lt;=62),"2개월",
 AND(K653&gt;=28,K653&lt;=32),"1개월",
 AND(K653=0),"당월",
 TRUE,"그외"
)</f>
        <v>그외</v>
      </c>
    </row>
    <row r="654" spans="1:12" ht="17.649999999999999" customHeight="1" x14ac:dyDescent="0.3">
      <c r="A654" s="5">
        <v>46143</v>
      </c>
      <c r="B654" s="6" t="s">
        <v>20</v>
      </c>
      <c r="C654" s="6" t="s">
        <v>25</v>
      </c>
      <c r="D654" s="5">
        <v>45992</v>
      </c>
      <c r="E654" s="6" t="s">
        <v>15</v>
      </c>
      <c r="F654" s="7">
        <v>433</v>
      </c>
      <c r="G654" s="7">
        <v>171024.27713625869</v>
      </c>
      <c r="H654" s="7">
        <v>74053512</v>
      </c>
      <c r="I654" s="7">
        <v>6261676</v>
      </c>
      <c r="J654" s="7">
        <v>0</v>
      </c>
      <c r="K654">
        <f t="shared" si="10"/>
        <v>151</v>
      </c>
      <c r="L654" s="8" t="str" cm="1">
        <f t="array" ref="L654">_xlfn.IFS(
 AND(K654&gt;=89,K654&lt;=92),"3개월",
 AND(K654&gt;=58,K654&lt;=62),"2개월",
 AND(K654&gt;=28,K654&lt;=32),"1개월",
 AND(K654=0),"당월",
 TRUE,"그외"
)</f>
        <v>그외</v>
      </c>
    </row>
    <row r="655" spans="1:12" ht="17.649999999999999" customHeight="1" x14ac:dyDescent="0.3">
      <c r="A655" s="5">
        <v>46143</v>
      </c>
      <c r="B655" s="6" t="s">
        <v>20</v>
      </c>
      <c r="C655" s="6" t="s">
        <v>25</v>
      </c>
      <c r="D655" s="5">
        <v>46023</v>
      </c>
      <c r="E655" s="6" t="s">
        <v>15</v>
      </c>
      <c r="F655" s="7">
        <v>1361</v>
      </c>
      <c r="G655" s="7">
        <v>172914.6686260103</v>
      </c>
      <c r="H655" s="7">
        <v>235336864</v>
      </c>
      <c r="I655" s="7">
        <v>23004144</v>
      </c>
      <c r="J655" s="7">
        <v>0</v>
      </c>
      <c r="K655">
        <f t="shared" si="10"/>
        <v>120</v>
      </c>
      <c r="L655" s="8" t="str" cm="1">
        <f t="array" ref="L655">_xlfn.IFS(
 AND(K655&gt;=89,K655&lt;=92),"3개월",
 AND(K655&gt;=58,K655&lt;=62),"2개월",
 AND(K655&gt;=28,K655&lt;=32),"1개월",
 AND(K655=0),"당월",
 TRUE,"그외"
)</f>
        <v>그외</v>
      </c>
    </row>
    <row r="656" spans="1:12" ht="17.649999999999999" customHeight="1" x14ac:dyDescent="0.3">
      <c r="A656" s="5">
        <v>46143</v>
      </c>
      <c r="B656" s="6" t="s">
        <v>20</v>
      </c>
      <c r="C656" s="6" t="s">
        <v>25</v>
      </c>
      <c r="D656" s="5">
        <v>46054</v>
      </c>
      <c r="E656" s="6" t="s">
        <v>14</v>
      </c>
      <c r="F656" s="7">
        <v>46</v>
      </c>
      <c r="G656" s="7">
        <v>146042.82608695651</v>
      </c>
      <c r="H656" s="7">
        <v>6717970</v>
      </c>
      <c r="I656" s="7">
        <v>446080</v>
      </c>
      <c r="J656" s="7">
        <v>0</v>
      </c>
      <c r="K656">
        <f t="shared" si="10"/>
        <v>89</v>
      </c>
      <c r="L656" s="8" t="str" cm="1">
        <f t="array" ref="L656">_xlfn.IFS(
 AND(K656&gt;=89,K656&lt;=92),"3개월",
 AND(K656&gt;=58,K656&lt;=62),"2개월",
 AND(K656&gt;=28,K656&lt;=32),"1개월",
 AND(K656=0),"당월",
 TRUE,"그외"
)</f>
        <v>3개월</v>
      </c>
    </row>
    <row r="657" spans="1:12" ht="17.649999999999999" customHeight="1" x14ac:dyDescent="0.3">
      <c r="A657" s="5">
        <v>46143</v>
      </c>
      <c r="B657" s="6" t="s">
        <v>20</v>
      </c>
      <c r="C657" s="6" t="s">
        <v>25</v>
      </c>
      <c r="D657" s="5">
        <v>46054</v>
      </c>
      <c r="E657" s="6" t="s">
        <v>15</v>
      </c>
      <c r="F657" s="7">
        <v>1951</v>
      </c>
      <c r="G657" s="7">
        <v>153495.8170169144</v>
      </c>
      <c r="H657" s="7">
        <v>299470339</v>
      </c>
      <c r="I657" s="7">
        <v>28133929</v>
      </c>
      <c r="J657" s="7">
        <v>0</v>
      </c>
      <c r="K657">
        <f t="shared" si="10"/>
        <v>89</v>
      </c>
      <c r="L657" s="8" t="str" cm="1">
        <f t="array" ref="L657">_xlfn.IFS(
 AND(K657&gt;=89,K657&lt;=92),"3개월",
 AND(K657&gt;=58,K657&lt;=62),"2개월",
 AND(K657&gt;=28,K657&lt;=32),"1개월",
 AND(K657=0),"당월",
 TRUE,"그외"
)</f>
        <v>3개월</v>
      </c>
    </row>
    <row r="658" spans="1:12" ht="17.649999999999999" customHeight="1" x14ac:dyDescent="0.3">
      <c r="A658" s="5">
        <v>46143</v>
      </c>
      <c r="B658" s="6" t="s">
        <v>20</v>
      </c>
      <c r="C658" s="6" t="s">
        <v>25</v>
      </c>
      <c r="D658" s="5">
        <v>46082</v>
      </c>
      <c r="E658" s="6" t="s">
        <v>14</v>
      </c>
      <c r="F658" s="7">
        <v>546</v>
      </c>
      <c r="G658" s="7">
        <v>141255.13736263741</v>
      </c>
      <c r="H658" s="7">
        <v>77125305</v>
      </c>
      <c r="I658" s="7">
        <v>6948564</v>
      </c>
      <c r="J658" s="7">
        <v>0</v>
      </c>
      <c r="K658">
        <f t="shared" si="10"/>
        <v>61</v>
      </c>
      <c r="L658" s="8" t="str" cm="1">
        <f t="array" ref="L658">_xlfn.IFS(
 AND(K658&gt;=89,K658&lt;=92),"3개월",
 AND(K658&gt;=58,K658&lt;=62),"2개월",
 AND(K658&gt;=28,K658&lt;=32),"1개월",
 AND(K658=0),"당월",
 TRUE,"그외"
)</f>
        <v>2개월</v>
      </c>
    </row>
    <row r="659" spans="1:12" ht="17.649999999999999" customHeight="1" x14ac:dyDescent="0.3">
      <c r="A659" s="5">
        <v>46143</v>
      </c>
      <c r="B659" s="6" t="s">
        <v>20</v>
      </c>
      <c r="C659" s="6" t="s">
        <v>25</v>
      </c>
      <c r="D659" s="5">
        <v>46082</v>
      </c>
      <c r="E659" s="6" t="s">
        <v>15</v>
      </c>
      <c r="F659" s="7">
        <v>6852</v>
      </c>
      <c r="G659" s="7">
        <v>130751.08508464679</v>
      </c>
      <c r="H659" s="7">
        <v>895906435</v>
      </c>
      <c r="I659" s="7">
        <v>105810905</v>
      </c>
      <c r="J659" s="7">
        <v>0</v>
      </c>
      <c r="K659">
        <f t="shared" si="10"/>
        <v>61</v>
      </c>
      <c r="L659" s="8" t="str" cm="1">
        <f t="array" ref="L659">_xlfn.IFS(
 AND(K659&gt;=89,K659&lt;=92),"3개월",
 AND(K659&gt;=58,K659&lt;=62),"2개월",
 AND(K659&gt;=28,K659&lt;=32),"1개월",
 AND(K659=0),"당월",
 TRUE,"그외"
)</f>
        <v>2개월</v>
      </c>
    </row>
    <row r="660" spans="1:12" ht="17.649999999999999" customHeight="1" x14ac:dyDescent="0.3">
      <c r="A660" s="5">
        <v>46143</v>
      </c>
      <c r="B660" s="6" t="s">
        <v>20</v>
      </c>
      <c r="C660" s="6" t="s">
        <v>25</v>
      </c>
      <c r="D660" s="5">
        <v>46113</v>
      </c>
      <c r="E660" s="6" t="s">
        <v>14</v>
      </c>
      <c r="F660" s="7">
        <v>343</v>
      </c>
      <c r="G660" s="7">
        <v>162960.12827988341</v>
      </c>
      <c r="H660" s="7">
        <v>55895324</v>
      </c>
      <c r="I660" s="7">
        <v>12923304</v>
      </c>
      <c r="J660" s="7">
        <v>0</v>
      </c>
      <c r="K660">
        <f t="shared" si="10"/>
        <v>30</v>
      </c>
      <c r="L660" s="8" t="str" cm="1">
        <f t="array" ref="L660">_xlfn.IFS(
 AND(K660&gt;=89,K660&lt;=92),"3개월",
 AND(K660&gt;=58,K660&lt;=62),"2개월",
 AND(K660&gt;=28,K660&lt;=32),"1개월",
 AND(K660=0),"당월",
 TRUE,"그외"
)</f>
        <v>1개월</v>
      </c>
    </row>
    <row r="661" spans="1:12" ht="17.649999999999999" customHeight="1" x14ac:dyDescent="0.3">
      <c r="A661" s="5">
        <v>46143</v>
      </c>
      <c r="B661" s="6" t="s">
        <v>20</v>
      </c>
      <c r="C661" s="6" t="s">
        <v>25</v>
      </c>
      <c r="D661" s="5">
        <v>46113</v>
      </c>
      <c r="E661" s="6" t="s">
        <v>15</v>
      </c>
      <c r="F661" s="7">
        <v>6515</v>
      </c>
      <c r="G661" s="7">
        <v>124677.6383729854</v>
      </c>
      <c r="H661" s="7">
        <v>812274814</v>
      </c>
      <c r="I661" s="7">
        <v>227327476</v>
      </c>
      <c r="J661" s="7">
        <v>0</v>
      </c>
      <c r="K661">
        <f t="shared" si="10"/>
        <v>30</v>
      </c>
      <c r="L661" s="8" t="str" cm="1">
        <f t="array" ref="L661">_xlfn.IFS(
 AND(K661&gt;=89,K661&lt;=92),"3개월",
 AND(K661&gt;=58,K661&lt;=62),"2개월",
 AND(K661&gt;=28,K661&lt;=32),"1개월",
 AND(K661=0),"당월",
 TRUE,"그외"
)</f>
        <v>1개월</v>
      </c>
    </row>
    <row r="662" spans="1:12" ht="17.649999999999999" customHeight="1" x14ac:dyDescent="0.3">
      <c r="A662" s="5">
        <v>46143</v>
      </c>
      <c r="B662" s="6" t="s">
        <v>20</v>
      </c>
      <c r="C662" s="6" t="s">
        <v>25</v>
      </c>
      <c r="D662" s="5">
        <v>46143</v>
      </c>
      <c r="E662" s="6" t="s">
        <v>14</v>
      </c>
      <c r="F662" s="7">
        <v>4</v>
      </c>
      <c r="G662" s="7">
        <v>198600</v>
      </c>
      <c r="H662" s="7">
        <v>794400</v>
      </c>
      <c r="I662" s="7">
        <v>234400</v>
      </c>
      <c r="J662" s="7">
        <v>0</v>
      </c>
      <c r="K662">
        <f t="shared" si="10"/>
        <v>0</v>
      </c>
      <c r="L662" s="8" t="str" cm="1">
        <f t="array" ref="L662">_xlfn.IFS(
 AND(K662&gt;=89,K662&lt;=92),"3개월",
 AND(K662&gt;=58,K662&lt;=62),"2개월",
 AND(K662&gt;=28,K662&lt;=32),"1개월",
 AND(K662=0),"당월",
 TRUE,"그외"
)</f>
        <v>당월</v>
      </c>
    </row>
    <row r="663" spans="1:12" ht="17.649999999999999" customHeight="1" x14ac:dyDescent="0.3">
      <c r="A663" s="5">
        <v>46143</v>
      </c>
      <c r="B663" s="6" t="s">
        <v>20</v>
      </c>
      <c r="C663" s="6" t="s">
        <v>25</v>
      </c>
      <c r="D663" s="5">
        <v>46143</v>
      </c>
      <c r="E663" s="6" t="s">
        <v>15</v>
      </c>
      <c r="F663" s="7">
        <v>978</v>
      </c>
      <c r="G663" s="7">
        <v>127877.00920245401</v>
      </c>
      <c r="H663" s="7">
        <v>125063715</v>
      </c>
      <c r="I663" s="7">
        <v>55305735</v>
      </c>
      <c r="J663" s="7">
        <v>0</v>
      </c>
      <c r="K663">
        <f t="shared" si="10"/>
        <v>0</v>
      </c>
      <c r="L663" s="8" t="str" cm="1">
        <f t="array" ref="L663">_xlfn.IFS(
 AND(K663&gt;=89,K663&lt;=92),"3개월",
 AND(K663&gt;=58,K663&lt;=62),"2개월",
 AND(K663&gt;=28,K663&lt;=32),"1개월",
 AND(K663=0),"당월",
 TRUE,"그외"
)</f>
        <v>당월</v>
      </c>
    </row>
    <row r="664" spans="1:12" ht="17.649999999999999" customHeight="1" x14ac:dyDescent="0.3">
      <c r="A664" s="5">
        <v>46143</v>
      </c>
      <c r="B664" s="6" t="s">
        <v>20</v>
      </c>
      <c r="C664" s="6" t="s">
        <v>26</v>
      </c>
      <c r="D664" s="5">
        <v>46054</v>
      </c>
      <c r="E664" s="6" t="s">
        <v>15</v>
      </c>
      <c r="F664" s="7">
        <v>38</v>
      </c>
      <c r="G664" s="7">
        <v>139913.71052631579</v>
      </c>
      <c r="H664" s="7">
        <v>5316721</v>
      </c>
      <c r="I664" s="7">
        <v>332030</v>
      </c>
      <c r="J664" s="7">
        <v>0</v>
      </c>
      <c r="K664">
        <f t="shared" si="10"/>
        <v>89</v>
      </c>
      <c r="L664" s="8" t="str" cm="1">
        <f t="array" ref="L664">_xlfn.IFS(
 AND(K664&gt;=89,K664&lt;=92),"3개월",
 AND(K664&gt;=58,K664&lt;=62),"2개월",
 AND(K664&gt;=28,K664&lt;=32),"1개월",
 AND(K664=0),"당월",
 TRUE,"그외"
)</f>
        <v>3개월</v>
      </c>
    </row>
    <row r="665" spans="1:12" ht="17.649999999999999" customHeight="1" x14ac:dyDescent="0.3">
      <c r="A665" s="5">
        <v>46143</v>
      </c>
      <c r="B665" s="6" t="s">
        <v>20</v>
      </c>
      <c r="C665" s="6" t="s">
        <v>26</v>
      </c>
      <c r="D665" s="5">
        <v>46082</v>
      </c>
      <c r="E665" s="6" t="s">
        <v>14</v>
      </c>
      <c r="F665" s="7">
        <v>508</v>
      </c>
      <c r="G665" s="7">
        <v>120598.77952755911</v>
      </c>
      <c r="H665" s="7">
        <v>61264180</v>
      </c>
      <c r="I665" s="7">
        <v>6206562</v>
      </c>
      <c r="J665" s="7">
        <v>0</v>
      </c>
      <c r="K665">
        <f t="shared" si="10"/>
        <v>61</v>
      </c>
      <c r="L665" s="8" t="str" cm="1">
        <f t="array" ref="L665">_xlfn.IFS(
 AND(K665&gt;=89,K665&lt;=92),"3개월",
 AND(K665&gt;=58,K665&lt;=62),"2개월",
 AND(K665&gt;=28,K665&lt;=32),"1개월",
 AND(K665=0),"당월",
 TRUE,"그외"
)</f>
        <v>2개월</v>
      </c>
    </row>
    <row r="666" spans="1:12" ht="17.649999999999999" customHeight="1" x14ac:dyDescent="0.3">
      <c r="A666" s="5">
        <v>46143</v>
      </c>
      <c r="B666" s="6" t="s">
        <v>20</v>
      </c>
      <c r="C666" s="6" t="s">
        <v>26</v>
      </c>
      <c r="D666" s="5">
        <v>46082</v>
      </c>
      <c r="E666" s="6" t="s">
        <v>15</v>
      </c>
      <c r="F666" s="7">
        <v>4246</v>
      </c>
      <c r="G666" s="7">
        <v>134630.39731512009</v>
      </c>
      <c r="H666" s="7">
        <v>571640667</v>
      </c>
      <c r="I666" s="7">
        <v>62932347</v>
      </c>
      <c r="J666" s="7">
        <v>0</v>
      </c>
      <c r="K666">
        <f t="shared" si="10"/>
        <v>61</v>
      </c>
      <c r="L666" s="8" t="str" cm="1">
        <f t="array" ref="L666">_xlfn.IFS(
 AND(K666&gt;=89,K666&lt;=92),"3개월",
 AND(K666&gt;=58,K666&lt;=62),"2개월",
 AND(K666&gt;=28,K666&lt;=32),"1개월",
 AND(K666=0),"당월",
 TRUE,"그외"
)</f>
        <v>2개월</v>
      </c>
    </row>
    <row r="667" spans="1:12" ht="17.649999999999999" customHeight="1" x14ac:dyDescent="0.3">
      <c r="A667" s="5">
        <v>46143</v>
      </c>
      <c r="B667" s="6" t="s">
        <v>20</v>
      </c>
      <c r="C667" s="6" t="s">
        <v>26</v>
      </c>
      <c r="D667" s="5">
        <v>46113</v>
      </c>
      <c r="E667" s="6" t="s">
        <v>14</v>
      </c>
      <c r="F667" s="7">
        <v>604</v>
      </c>
      <c r="G667" s="7">
        <v>128781.7135761589</v>
      </c>
      <c r="H667" s="7">
        <v>77784155</v>
      </c>
      <c r="I667" s="7">
        <v>25363918</v>
      </c>
      <c r="J667" s="7">
        <v>0</v>
      </c>
      <c r="K667">
        <f t="shared" si="10"/>
        <v>30</v>
      </c>
      <c r="L667" s="8" t="str" cm="1">
        <f t="array" ref="L667">_xlfn.IFS(
 AND(K667&gt;=89,K667&lt;=92),"3개월",
 AND(K667&gt;=58,K667&lt;=62),"2개월",
 AND(K667&gt;=28,K667&lt;=32),"1개월",
 AND(K667=0),"당월",
 TRUE,"그외"
)</f>
        <v>1개월</v>
      </c>
    </row>
    <row r="668" spans="1:12" ht="17.649999999999999" customHeight="1" x14ac:dyDescent="0.3">
      <c r="A668" s="5">
        <v>46143</v>
      </c>
      <c r="B668" s="6" t="s">
        <v>20</v>
      </c>
      <c r="C668" s="6" t="s">
        <v>26</v>
      </c>
      <c r="D668" s="5">
        <v>46113</v>
      </c>
      <c r="E668" s="6" t="s">
        <v>15</v>
      </c>
      <c r="F668" s="7">
        <v>3354</v>
      </c>
      <c r="G668" s="7">
        <v>136825.28920691711</v>
      </c>
      <c r="H668" s="7">
        <v>458912020</v>
      </c>
      <c r="I668" s="7">
        <v>109213766</v>
      </c>
      <c r="J668" s="7">
        <v>0</v>
      </c>
      <c r="K668">
        <f t="shared" si="10"/>
        <v>30</v>
      </c>
      <c r="L668" s="8" t="str" cm="1">
        <f t="array" ref="L668">_xlfn.IFS(
 AND(K668&gt;=89,K668&lt;=92),"3개월",
 AND(K668&gt;=58,K668&lt;=62),"2개월",
 AND(K668&gt;=28,K668&lt;=32),"1개월",
 AND(K668=0),"당월",
 TRUE,"그외"
)</f>
        <v>1개월</v>
      </c>
    </row>
    <row r="669" spans="1:12" ht="17.649999999999999" customHeight="1" x14ac:dyDescent="0.3">
      <c r="A669" s="5">
        <v>46143</v>
      </c>
      <c r="B669" s="6" t="s">
        <v>20</v>
      </c>
      <c r="C669" s="6" t="s">
        <v>26</v>
      </c>
      <c r="D669" s="5">
        <v>46143</v>
      </c>
      <c r="E669" s="6" t="s">
        <v>15</v>
      </c>
      <c r="F669" s="7">
        <v>474</v>
      </c>
      <c r="G669" s="7">
        <v>149694.69198312229</v>
      </c>
      <c r="H669" s="7">
        <v>70955284</v>
      </c>
      <c r="I669" s="7">
        <v>26201648</v>
      </c>
      <c r="J669" s="7">
        <v>0</v>
      </c>
      <c r="K669">
        <f t="shared" si="10"/>
        <v>0</v>
      </c>
      <c r="L669" s="8" t="str" cm="1">
        <f t="array" ref="L669">_xlfn.IFS(
 AND(K669&gt;=89,K669&lt;=92),"3개월",
 AND(K669&gt;=58,K669&lt;=62),"2개월",
 AND(K669&gt;=28,K669&lt;=32),"1개월",
 AND(K669=0),"당월",
 TRUE,"그외"
)</f>
        <v>당월</v>
      </c>
    </row>
    <row r="670" spans="1:12" ht="17.649999999999999" customHeight="1" x14ac:dyDescent="0.3">
      <c r="A670" s="5">
        <v>46143</v>
      </c>
      <c r="B670" s="6" t="s">
        <v>20</v>
      </c>
      <c r="C670" s="6" t="s">
        <v>27</v>
      </c>
      <c r="D670" s="5">
        <v>45931</v>
      </c>
      <c r="E670" s="6" t="s">
        <v>15</v>
      </c>
      <c r="F670" s="7">
        <v>83</v>
      </c>
      <c r="G670" s="7">
        <v>190282.09638554219</v>
      </c>
      <c r="H670" s="7">
        <v>15793414</v>
      </c>
      <c r="I670" s="7">
        <v>1328172</v>
      </c>
      <c r="J670" s="7">
        <v>0</v>
      </c>
      <c r="K670">
        <f t="shared" si="10"/>
        <v>212</v>
      </c>
      <c r="L670" s="8" t="str" cm="1">
        <f t="array" ref="L670">_xlfn.IFS(
 AND(K670&gt;=89,K670&lt;=92),"3개월",
 AND(K670&gt;=58,K670&lt;=62),"2개월",
 AND(K670&gt;=28,K670&lt;=32),"1개월",
 AND(K670=0),"당월",
 TRUE,"그외"
)</f>
        <v>그외</v>
      </c>
    </row>
    <row r="671" spans="1:12" ht="17.649999999999999" customHeight="1" x14ac:dyDescent="0.3">
      <c r="A671" s="5">
        <v>46143</v>
      </c>
      <c r="B671" s="6" t="s">
        <v>20</v>
      </c>
      <c r="C671" s="6" t="s">
        <v>27</v>
      </c>
      <c r="D671" s="5">
        <v>45962</v>
      </c>
      <c r="E671" s="6" t="s">
        <v>14</v>
      </c>
      <c r="F671" s="7">
        <v>18</v>
      </c>
      <c r="G671" s="7">
        <v>91654.611111111109</v>
      </c>
      <c r="H671" s="7">
        <v>1649783</v>
      </c>
      <c r="I671" s="7">
        <v>526695</v>
      </c>
      <c r="J671" s="7">
        <v>0</v>
      </c>
      <c r="K671">
        <f t="shared" si="10"/>
        <v>181</v>
      </c>
      <c r="L671" s="8" t="str" cm="1">
        <f t="array" ref="L671">_xlfn.IFS(
 AND(K671&gt;=89,K671&lt;=92),"3개월",
 AND(K671&gt;=58,K671&lt;=62),"2개월",
 AND(K671&gt;=28,K671&lt;=32),"1개월",
 AND(K671=0),"당월",
 TRUE,"그외"
)</f>
        <v>그외</v>
      </c>
    </row>
    <row r="672" spans="1:12" ht="17.649999999999999" customHeight="1" x14ac:dyDescent="0.3">
      <c r="A672" s="5">
        <v>46143</v>
      </c>
      <c r="B672" s="6" t="s">
        <v>20</v>
      </c>
      <c r="C672" s="6" t="s">
        <v>27</v>
      </c>
      <c r="D672" s="5">
        <v>45962</v>
      </c>
      <c r="E672" s="6" t="s">
        <v>15</v>
      </c>
      <c r="F672" s="7">
        <v>208</v>
      </c>
      <c r="G672" s="7">
        <v>181112.37019230769</v>
      </c>
      <c r="H672" s="7">
        <v>37671373</v>
      </c>
      <c r="I672" s="7">
        <v>3750032</v>
      </c>
      <c r="J672" s="7">
        <v>0</v>
      </c>
      <c r="K672">
        <f t="shared" si="10"/>
        <v>181</v>
      </c>
      <c r="L672" s="8" t="str" cm="1">
        <f t="array" ref="L672">_xlfn.IFS(
 AND(K672&gt;=89,K672&lt;=92),"3개월",
 AND(K672&gt;=58,K672&lt;=62),"2개월",
 AND(K672&gt;=28,K672&lt;=32),"1개월",
 AND(K672=0),"당월",
 TRUE,"그외"
)</f>
        <v>그외</v>
      </c>
    </row>
    <row r="673" spans="1:12" ht="17.649999999999999" customHeight="1" x14ac:dyDescent="0.3">
      <c r="A673" s="5">
        <v>46143</v>
      </c>
      <c r="B673" s="6" t="s">
        <v>20</v>
      </c>
      <c r="C673" s="6" t="s">
        <v>27</v>
      </c>
      <c r="D673" s="5">
        <v>45992</v>
      </c>
      <c r="E673" s="6" t="s">
        <v>14</v>
      </c>
      <c r="F673" s="7">
        <v>43</v>
      </c>
      <c r="G673" s="7">
        <v>90762.58139534884</v>
      </c>
      <c r="H673" s="7">
        <v>3902791</v>
      </c>
      <c r="I673" s="7">
        <v>1260969</v>
      </c>
      <c r="J673" s="7">
        <v>0</v>
      </c>
      <c r="K673">
        <f t="shared" si="10"/>
        <v>151</v>
      </c>
      <c r="L673" s="8" t="str" cm="1">
        <f t="array" ref="L673">_xlfn.IFS(
 AND(K673&gt;=89,K673&lt;=92),"3개월",
 AND(K673&gt;=58,K673&lt;=62),"2개월",
 AND(K673&gt;=28,K673&lt;=32),"1개월",
 AND(K673=0),"당월",
 TRUE,"그외"
)</f>
        <v>그외</v>
      </c>
    </row>
    <row r="674" spans="1:12" ht="17.649999999999999" customHeight="1" x14ac:dyDescent="0.3">
      <c r="A674" s="5">
        <v>46143</v>
      </c>
      <c r="B674" s="6" t="s">
        <v>20</v>
      </c>
      <c r="C674" s="6" t="s">
        <v>27</v>
      </c>
      <c r="D674" s="5">
        <v>45992</v>
      </c>
      <c r="E674" s="6" t="s">
        <v>15</v>
      </c>
      <c r="F674" s="7">
        <v>351</v>
      </c>
      <c r="G674" s="7">
        <v>243315.01709401709</v>
      </c>
      <c r="H674" s="7">
        <v>85403571</v>
      </c>
      <c r="I674" s="7">
        <v>5242310</v>
      </c>
      <c r="J674" s="7">
        <v>0</v>
      </c>
      <c r="K674">
        <f t="shared" si="10"/>
        <v>151</v>
      </c>
      <c r="L674" s="8" t="str" cm="1">
        <f t="array" ref="L674">_xlfn.IFS(
 AND(K674&gt;=89,K674&lt;=92),"3개월",
 AND(K674&gt;=58,K674&lt;=62),"2개월",
 AND(K674&gt;=28,K674&lt;=32),"1개월",
 AND(K674=0),"당월",
 TRUE,"그외"
)</f>
        <v>그외</v>
      </c>
    </row>
    <row r="675" spans="1:12" ht="17.649999999999999" customHeight="1" x14ac:dyDescent="0.3">
      <c r="A675" s="5">
        <v>46143</v>
      </c>
      <c r="B675" s="6" t="s">
        <v>20</v>
      </c>
      <c r="C675" s="6" t="s">
        <v>27</v>
      </c>
      <c r="D675" s="5">
        <v>46023</v>
      </c>
      <c r="E675" s="6" t="s">
        <v>14</v>
      </c>
      <c r="F675" s="7">
        <v>41</v>
      </c>
      <c r="G675" s="7">
        <v>101868.6585365854</v>
      </c>
      <c r="H675" s="7">
        <v>4176615</v>
      </c>
      <c r="I675" s="7">
        <v>1109343</v>
      </c>
      <c r="J675" s="7">
        <v>0</v>
      </c>
      <c r="K675">
        <f t="shared" si="10"/>
        <v>120</v>
      </c>
      <c r="L675" s="8" t="str" cm="1">
        <f t="array" ref="L675">_xlfn.IFS(
 AND(K675&gt;=89,K675&lt;=92),"3개월",
 AND(K675&gt;=58,K675&lt;=62),"2개월",
 AND(K675&gt;=28,K675&lt;=32),"1개월",
 AND(K675=0),"당월",
 TRUE,"그외"
)</f>
        <v>그외</v>
      </c>
    </row>
    <row r="676" spans="1:12" ht="17.649999999999999" customHeight="1" x14ac:dyDescent="0.3">
      <c r="A676" s="5">
        <v>46143</v>
      </c>
      <c r="B676" s="6" t="s">
        <v>20</v>
      </c>
      <c r="C676" s="6" t="s">
        <v>27</v>
      </c>
      <c r="D676" s="5">
        <v>46023</v>
      </c>
      <c r="E676" s="6" t="s">
        <v>15</v>
      </c>
      <c r="F676" s="7">
        <v>507</v>
      </c>
      <c r="G676" s="7">
        <v>216372.45167652861</v>
      </c>
      <c r="H676" s="7">
        <v>109700833</v>
      </c>
      <c r="I676" s="7">
        <v>9908838</v>
      </c>
      <c r="J676" s="7">
        <v>0</v>
      </c>
      <c r="K676">
        <f t="shared" si="10"/>
        <v>120</v>
      </c>
      <c r="L676" s="8" t="str" cm="1">
        <f t="array" ref="L676">_xlfn.IFS(
 AND(K676&gt;=89,K676&lt;=92),"3개월",
 AND(K676&gt;=58,K676&lt;=62),"2개월",
 AND(K676&gt;=28,K676&lt;=32),"1개월",
 AND(K676=0),"당월",
 TRUE,"그외"
)</f>
        <v>그외</v>
      </c>
    </row>
    <row r="677" spans="1:12" ht="17.649999999999999" customHeight="1" x14ac:dyDescent="0.3">
      <c r="A677" s="5">
        <v>46143</v>
      </c>
      <c r="B677" s="6" t="s">
        <v>20</v>
      </c>
      <c r="C677" s="6" t="s">
        <v>27</v>
      </c>
      <c r="D677" s="5">
        <v>46054</v>
      </c>
      <c r="E677" s="6" t="s">
        <v>14</v>
      </c>
      <c r="F677" s="7">
        <v>75</v>
      </c>
      <c r="G677" s="7">
        <v>101054.0533333333</v>
      </c>
      <c r="H677" s="7">
        <v>7579054</v>
      </c>
      <c r="I677" s="7">
        <v>2485557</v>
      </c>
      <c r="J677" s="7">
        <v>0</v>
      </c>
      <c r="K677">
        <f t="shared" si="10"/>
        <v>89</v>
      </c>
      <c r="L677" s="8" t="str" cm="1">
        <f t="array" ref="L677">_xlfn.IFS(
 AND(K677&gt;=89,K677&lt;=92),"3개월",
 AND(K677&gt;=58,K677&lt;=62),"2개월",
 AND(K677&gt;=28,K677&lt;=32),"1개월",
 AND(K677=0),"당월",
 TRUE,"그외"
)</f>
        <v>3개월</v>
      </c>
    </row>
    <row r="678" spans="1:12" ht="17.649999999999999" customHeight="1" x14ac:dyDescent="0.3">
      <c r="A678" s="5">
        <v>46143</v>
      </c>
      <c r="B678" s="6" t="s">
        <v>20</v>
      </c>
      <c r="C678" s="6" t="s">
        <v>27</v>
      </c>
      <c r="D678" s="5">
        <v>46054</v>
      </c>
      <c r="E678" s="6" t="s">
        <v>15</v>
      </c>
      <c r="F678" s="7">
        <v>1552</v>
      </c>
      <c r="G678" s="7">
        <v>182360.49033505161</v>
      </c>
      <c r="H678" s="7">
        <v>283023481</v>
      </c>
      <c r="I678" s="7">
        <v>23195659</v>
      </c>
      <c r="J678" s="7">
        <v>0</v>
      </c>
      <c r="K678">
        <f t="shared" si="10"/>
        <v>89</v>
      </c>
      <c r="L678" s="8" t="str" cm="1">
        <f t="array" ref="L678">_xlfn.IFS(
 AND(K678&gt;=89,K678&lt;=92),"3개월",
 AND(K678&gt;=58,K678&lt;=62),"2개월",
 AND(K678&gt;=28,K678&lt;=32),"1개월",
 AND(K678=0),"당월",
 TRUE,"그외"
)</f>
        <v>3개월</v>
      </c>
    </row>
    <row r="679" spans="1:12" ht="17.649999999999999" customHeight="1" x14ac:dyDescent="0.3">
      <c r="A679" s="5">
        <v>46143</v>
      </c>
      <c r="B679" s="6" t="s">
        <v>20</v>
      </c>
      <c r="C679" s="6" t="s">
        <v>27</v>
      </c>
      <c r="D679" s="5">
        <v>46082</v>
      </c>
      <c r="E679" s="6" t="s">
        <v>14</v>
      </c>
      <c r="F679" s="7">
        <v>2303</v>
      </c>
      <c r="G679" s="7">
        <v>137973.07294832831</v>
      </c>
      <c r="H679" s="7">
        <v>317751987</v>
      </c>
      <c r="I679" s="7">
        <v>40386650</v>
      </c>
      <c r="J679" s="7">
        <v>0</v>
      </c>
      <c r="K679">
        <f t="shared" si="10"/>
        <v>61</v>
      </c>
      <c r="L679" s="8" t="str" cm="1">
        <f t="array" ref="L679">_xlfn.IFS(
 AND(K679&gt;=89,K679&lt;=92),"3개월",
 AND(K679&gt;=58,K679&lt;=62),"2개월",
 AND(K679&gt;=28,K679&lt;=32),"1개월",
 AND(K679=0),"당월",
 TRUE,"그외"
)</f>
        <v>2개월</v>
      </c>
    </row>
    <row r="680" spans="1:12" ht="17.649999999999999" customHeight="1" x14ac:dyDescent="0.3">
      <c r="A680" s="5">
        <v>46143</v>
      </c>
      <c r="B680" s="6" t="s">
        <v>20</v>
      </c>
      <c r="C680" s="6" t="s">
        <v>27</v>
      </c>
      <c r="D680" s="5">
        <v>46082</v>
      </c>
      <c r="E680" s="6" t="s">
        <v>15</v>
      </c>
      <c r="F680" s="7">
        <v>7784</v>
      </c>
      <c r="G680" s="7">
        <v>158066.04817574509</v>
      </c>
      <c r="H680" s="7">
        <v>1230386119</v>
      </c>
      <c r="I680" s="7">
        <v>132900646</v>
      </c>
      <c r="J680" s="7">
        <v>0</v>
      </c>
      <c r="K680">
        <f t="shared" si="10"/>
        <v>61</v>
      </c>
      <c r="L680" s="8" t="str" cm="1">
        <f t="array" ref="L680">_xlfn.IFS(
 AND(K680&gt;=89,K680&lt;=92),"3개월",
 AND(K680&gt;=58,K680&lt;=62),"2개월",
 AND(K680&gt;=28,K680&lt;=32),"1개월",
 AND(K680=0),"당월",
 TRUE,"그외"
)</f>
        <v>2개월</v>
      </c>
    </row>
    <row r="681" spans="1:12" ht="17.649999999999999" customHeight="1" x14ac:dyDescent="0.3">
      <c r="A681" s="5">
        <v>46143</v>
      </c>
      <c r="B681" s="6" t="s">
        <v>20</v>
      </c>
      <c r="C681" s="6" t="s">
        <v>27</v>
      </c>
      <c r="D681" s="5">
        <v>46113</v>
      </c>
      <c r="E681" s="6" t="s">
        <v>14</v>
      </c>
      <c r="F681" s="7">
        <v>2780</v>
      </c>
      <c r="G681" s="7">
        <v>171267.24712230219</v>
      </c>
      <c r="H681" s="7">
        <v>476122947</v>
      </c>
      <c r="I681" s="7">
        <v>74479658</v>
      </c>
      <c r="J681" s="7">
        <v>0</v>
      </c>
      <c r="K681">
        <f t="shared" si="10"/>
        <v>30</v>
      </c>
      <c r="L681" s="8" t="str" cm="1">
        <f t="array" ref="L681">_xlfn.IFS(
 AND(K681&gt;=89,K681&lt;=92),"3개월",
 AND(K681&gt;=58,K681&lt;=62),"2개월",
 AND(K681&gt;=28,K681&lt;=32),"1개월",
 AND(K681=0),"당월",
 TRUE,"그외"
)</f>
        <v>1개월</v>
      </c>
    </row>
    <row r="682" spans="1:12" ht="17.649999999999999" customHeight="1" x14ac:dyDescent="0.3">
      <c r="A682" s="5">
        <v>46143</v>
      </c>
      <c r="B682" s="6" t="s">
        <v>20</v>
      </c>
      <c r="C682" s="6" t="s">
        <v>27</v>
      </c>
      <c r="D682" s="5">
        <v>46113</v>
      </c>
      <c r="E682" s="6" t="s">
        <v>15</v>
      </c>
      <c r="F682" s="7">
        <v>11193</v>
      </c>
      <c r="G682" s="7">
        <v>139847.79317430541</v>
      </c>
      <c r="H682" s="7">
        <v>1565316349</v>
      </c>
      <c r="I682" s="7">
        <v>380487209</v>
      </c>
      <c r="J682" s="7">
        <v>0</v>
      </c>
      <c r="K682">
        <f t="shared" si="10"/>
        <v>30</v>
      </c>
      <c r="L682" s="8" t="str" cm="1">
        <f t="array" ref="L682">_xlfn.IFS(
 AND(K682&gt;=89,K682&lt;=92),"3개월",
 AND(K682&gt;=58,K682&lt;=62),"2개월",
 AND(K682&gt;=28,K682&lt;=32),"1개월",
 AND(K682=0),"당월",
 TRUE,"그외"
)</f>
        <v>1개월</v>
      </c>
    </row>
    <row r="683" spans="1:12" ht="17.649999999999999" customHeight="1" x14ac:dyDescent="0.3">
      <c r="A683" s="5">
        <v>46143</v>
      </c>
      <c r="B683" s="6" t="s">
        <v>20</v>
      </c>
      <c r="C683" s="6" t="s">
        <v>27</v>
      </c>
      <c r="D683" s="5">
        <v>46143</v>
      </c>
      <c r="E683" s="6" t="s">
        <v>14</v>
      </c>
      <c r="F683" s="7">
        <v>933</v>
      </c>
      <c r="G683" s="7">
        <v>89956.478027867095</v>
      </c>
      <c r="H683" s="7">
        <v>83929394</v>
      </c>
      <c r="I683" s="7">
        <v>2361712</v>
      </c>
      <c r="J683" s="7">
        <v>0</v>
      </c>
      <c r="K683">
        <f t="shared" si="10"/>
        <v>0</v>
      </c>
      <c r="L683" s="8" t="str" cm="1">
        <f t="array" ref="L683">_xlfn.IFS(
 AND(K683&gt;=89,K683&lt;=92),"3개월",
 AND(K683&gt;=58,K683&lt;=62),"2개월",
 AND(K683&gt;=28,K683&lt;=32),"1개월",
 AND(K683=0),"당월",
 TRUE,"그외"
)</f>
        <v>당월</v>
      </c>
    </row>
    <row r="684" spans="1:12" ht="17.649999999999999" customHeight="1" x14ac:dyDescent="0.3">
      <c r="A684" s="5">
        <v>46143</v>
      </c>
      <c r="B684" s="6" t="s">
        <v>20</v>
      </c>
      <c r="C684" s="6" t="s">
        <v>27</v>
      </c>
      <c r="D684" s="5">
        <v>46143</v>
      </c>
      <c r="E684" s="6" t="s">
        <v>15</v>
      </c>
      <c r="F684" s="7">
        <v>1604</v>
      </c>
      <c r="G684" s="7">
        <v>132545.6122194514</v>
      </c>
      <c r="H684" s="7">
        <v>212603162</v>
      </c>
      <c r="I684" s="7">
        <v>83331194</v>
      </c>
      <c r="J684" s="7">
        <v>0</v>
      </c>
      <c r="K684">
        <f t="shared" si="10"/>
        <v>0</v>
      </c>
      <c r="L684" s="8" t="str" cm="1">
        <f t="array" ref="L684">_xlfn.IFS(
 AND(K684&gt;=89,K684&lt;=92),"3개월",
 AND(K684&gt;=58,K684&lt;=62),"2개월",
 AND(K684&gt;=28,K684&lt;=32),"1개월",
 AND(K684=0),"당월",
 TRUE,"그외"
)</f>
        <v>당월</v>
      </c>
    </row>
    <row r="685" spans="1:12" ht="17.649999999999999" customHeight="1" x14ac:dyDescent="0.3">
      <c r="A685" s="5">
        <v>46143</v>
      </c>
      <c r="B685" s="6" t="s">
        <v>20</v>
      </c>
      <c r="C685" s="6" t="s">
        <v>28</v>
      </c>
      <c r="D685" s="5">
        <v>45931</v>
      </c>
      <c r="E685" s="6" t="s">
        <v>15</v>
      </c>
      <c r="F685" s="7">
        <v>93</v>
      </c>
      <c r="G685" s="7">
        <v>164592.47311827959</v>
      </c>
      <c r="H685" s="7">
        <v>15307100</v>
      </c>
      <c r="I685" s="7">
        <v>902100</v>
      </c>
      <c r="J685" s="7">
        <v>0</v>
      </c>
      <c r="K685">
        <f t="shared" si="10"/>
        <v>212</v>
      </c>
      <c r="L685" s="8" t="str" cm="1">
        <f t="array" ref="L685">_xlfn.IFS(
 AND(K685&gt;=89,K685&lt;=92),"3개월",
 AND(K685&gt;=58,K685&lt;=62),"2개월",
 AND(K685&gt;=28,K685&lt;=32),"1개월",
 AND(K685=0),"당월",
 TRUE,"그외"
)</f>
        <v>그외</v>
      </c>
    </row>
    <row r="686" spans="1:12" ht="17.649999999999999" customHeight="1" x14ac:dyDescent="0.3">
      <c r="A686" s="5">
        <v>46143</v>
      </c>
      <c r="B686" s="6" t="s">
        <v>20</v>
      </c>
      <c r="C686" s="6" t="s">
        <v>28</v>
      </c>
      <c r="D686" s="5">
        <v>45962</v>
      </c>
      <c r="E686" s="6" t="s">
        <v>15</v>
      </c>
      <c r="F686" s="7">
        <v>259</v>
      </c>
      <c r="G686" s="7">
        <v>177454.84169884169</v>
      </c>
      <c r="H686" s="7">
        <v>45960804</v>
      </c>
      <c r="I686" s="7">
        <v>2869152</v>
      </c>
      <c r="J686" s="7">
        <v>0</v>
      </c>
      <c r="K686">
        <f t="shared" si="10"/>
        <v>181</v>
      </c>
      <c r="L686" s="8" t="str" cm="1">
        <f t="array" ref="L686">_xlfn.IFS(
 AND(K686&gt;=89,K686&lt;=92),"3개월",
 AND(K686&gt;=58,K686&lt;=62),"2개월",
 AND(K686&gt;=28,K686&lt;=32),"1개월",
 AND(K686=0),"당월",
 TRUE,"그외"
)</f>
        <v>그외</v>
      </c>
    </row>
    <row r="687" spans="1:12" ht="17.649999999999999" customHeight="1" x14ac:dyDescent="0.3">
      <c r="A687" s="5">
        <v>46143</v>
      </c>
      <c r="B687" s="6" t="s">
        <v>20</v>
      </c>
      <c r="C687" s="6" t="s">
        <v>28</v>
      </c>
      <c r="D687" s="5">
        <v>45992</v>
      </c>
      <c r="E687" s="6" t="s">
        <v>15</v>
      </c>
      <c r="F687" s="7">
        <v>177</v>
      </c>
      <c r="G687" s="7">
        <v>197012.89265536721</v>
      </c>
      <c r="H687" s="7">
        <v>34871282</v>
      </c>
      <c r="I687" s="7">
        <v>2265911</v>
      </c>
      <c r="J687" s="7">
        <v>0</v>
      </c>
      <c r="K687">
        <f t="shared" si="10"/>
        <v>151</v>
      </c>
      <c r="L687" s="8" t="str" cm="1">
        <f t="array" ref="L687">_xlfn.IFS(
 AND(K687&gt;=89,K687&lt;=92),"3개월",
 AND(K687&gt;=58,K687&lt;=62),"2개월",
 AND(K687&gt;=28,K687&lt;=32),"1개월",
 AND(K687=0),"당월",
 TRUE,"그외"
)</f>
        <v>그외</v>
      </c>
    </row>
    <row r="688" spans="1:12" ht="17.649999999999999" customHeight="1" x14ac:dyDescent="0.3">
      <c r="A688" s="5">
        <v>46143</v>
      </c>
      <c r="B688" s="6" t="s">
        <v>20</v>
      </c>
      <c r="C688" s="6" t="s">
        <v>28</v>
      </c>
      <c r="D688" s="5">
        <v>46023</v>
      </c>
      <c r="E688" s="6" t="s">
        <v>15</v>
      </c>
      <c r="F688" s="7">
        <v>522</v>
      </c>
      <c r="G688" s="7">
        <v>202141.16858237551</v>
      </c>
      <c r="H688" s="7">
        <v>105517690</v>
      </c>
      <c r="I688" s="7">
        <v>6950371</v>
      </c>
      <c r="J688" s="7">
        <v>0</v>
      </c>
      <c r="K688">
        <f t="shared" si="10"/>
        <v>120</v>
      </c>
      <c r="L688" s="8" t="str" cm="1">
        <f t="array" ref="L688">_xlfn.IFS(
 AND(K688&gt;=89,K688&lt;=92),"3개월",
 AND(K688&gt;=58,K688&lt;=62),"2개월",
 AND(K688&gt;=28,K688&lt;=32),"1개월",
 AND(K688=0),"당월",
 TRUE,"그외"
)</f>
        <v>그외</v>
      </c>
    </row>
    <row r="689" spans="1:12" ht="17.649999999999999" customHeight="1" x14ac:dyDescent="0.3">
      <c r="A689" s="5">
        <v>46143</v>
      </c>
      <c r="B689" s="6" t="s">
        <v>20</v>
      </c>
      <c r="C689" s="6" t="s">
        <v>28</v>
      </c>
      <c r="D689" s="5">
        <v>46054</v>
      </c>
      <c r="E689" s="6" t="s">
        <v>14</v>
      </c>
      <c r="F689" s="7">
        <v>38</v>
      </c>
      <c r="G689" s="7">
        <v>250457.89473684211</v>
      </c>
      <c r="H689" s="7">
        <v>9517400</v>
      </c>
      <c r="I689" s="7">
        <v>277400</v>
      </c>
      <c r="J689" s="7">
        <v>0</v>
      </c>
      <c r="K689">
        <f t="shared" si="10"/>
        <v>89</v>
      </c>
      <c r="L689" s="8" t="str" cm="1">
        <f t="array" ref="L689">_xlfn.IFS(
 AND(K689&gt;=89,K689&lt;=92),"3개월",
 AND(K689&gt;=58,K689&lt;=62),"2개월",
 AND(K689&gt;=28,K689&lt;=32),"1개월",
 AND(K689=0),"당월",
 TRUE,"그외"
)</f>
        <v>3개월</v>
      </c>
    </row>
    <row r="690" spans="1:12" ht="17.649999999999999" customHeight="1" x14ac:dyDescent="0.3">
      <c r="A690" s="5">
        <v>46143</v>
      </c>
      <c r="B690" s="6" t="s">
        <v>20</v>
      </c>
      <c r="C690" s="6" t="s">
        <v>28</v>
      </c>
      <c r="D690" s="5">
        <v>46054</v>
      </c>
      <c r="E690" s="6" t="s">
        <v>15</v>
      </c>
      <c r="F690" s="7">
        <v>876</v>
      </c>
      <c r="G690" s="7">
        <v>190282.75913242009</v>
      </c>
      <c r="H690" s="7">
        <v>166687697</v>
      </c>
      <c r="I690" s="7">
        <v>9311039</v>
      </c>
      <c r="J690" s="7">
        <v>0</v>
      </c>
      <c r="K690">
        <f t="shared" si="10"/>
        <v>89</v>
      </c>
      <c r="L690" s="8" t="str" cm="1">
        <f t="array" ref="L690">_xlfn.IFS(
 AND(K690&gt;=89,K690&lt;=92),"3개월",
 AND(K690&gt;=58,K690&lt;=62),"2개월",
 AND(K690&gt;=28,K690&lt;=32),"1개월",
 AND(K690=0),"당월",
 TRUE,"그외"
)</f>
        <v>3개월</v>
      </c>
    </row>
    <row r="691" spans="1:12" ht="17.649999999999999" customHeight="1" x14ac:dyDescent="0.3">
      <c r="A691" s="5">
        <v>46143</v>
      </c>
      <c r="B691" s="6" t="s">
        <v>20</v>
      </c>
      <c r="C691" s="6" t="s">
        <v>28</v>
      </c>
      <c r="D691" s="5">
        <v>46082</v>
      </c>
      <c r="E691" s="6" t="s">
        <v>14</v>
      </c>
      <c r="F691" s="7">
        <v>1187</v>
      </c>
      <c r="G691" s="7">
        <v>179781.8871103623</v>
      </c>
      <c r="H691" s="7">
        <v>213401100</v>
      </c>
      <c r="I691" s="7">
        <v>12226100</v>
      </c>
      <c r="J691" s="7">
        <v>0</v>
      </c>
      <c r="K691">
        <f t="shared" si="10"/>
        <v>61</v>
      </c>
      <c r="L691" s="8" t="str" cm="1">
        <f t="array" ref="L691">_xlfn.IFS(
 AND(K691&gt;=89,K691&lt;=92),"3개월",
 AND(K691&gt;=58,K691&lt;=62),"2개월",
 AND(K691&gt;=28,K691&lt;=32),"1개월",
 AND(K691=0),"당월",
 TRUE,"그외"
)</f>
        <v>2개월</v>
      </c>
    </row>
    <row r="692" spans="1:12" ht="17.649999999999999" customHeight="1" x14ac:dyDescent="0.3">
      <c r="A692" s="5">
        <v>46143</v>
      </c>
      <c r="B692" s="6" t="s">
        <v>20</v>
      </c>
      <c r="C692" s="6" t="s">
        <v>28</v>
      </c>
      <c r="D692" s="5">
        <v>46082</v>
      </c>
      <c r="E692" s="6" t="s">
        <v>15</v>
      </c>
      <c r="F692" s="7">
        <v>3019</v>
      </c>
      <c r="G692" s="7">
        <v>170013.94932096719</v>
      </c>
      <c r="H692" s="7">
        <v>513272113</v>
      </c>
      <c r="I692" s="7">
        <v>39274807</v>
      </c>
      <c r="J692" s="7">
        <v>0</v>
      </c>
      <c r="K692">
        <f t="shared" si="10"/>
        <v>61</v>
      </c>
      <c r="L692" s="8" t="str" cm="1">
        <f t="array" ref="L692">_xlfn.IFS(
 AND(K692&gt;=89,K692&lt;=92),"3개월",
 AND(K692&gt;=58,K692&lt;=62),"2개월",
 AND(K692&gt;=28,K692&lt;=32),"1개월",
 AND(K692=0),"당월",
 TRUE,"그외"
)</f>
        <v>2개월</v>
      </c>
    </row>
    <row r="693" spans="1:12" ht="17.649999999999999" customHeight="1" x14ac:dyDescent="0.3">
      <c r="A693" s="5">
        <v>46143</v>
      </c>
      <c r="B693" s="6" t="s">
        <v>20</v>
      </c>
      <c r="C693" s="6" t="s">
        <v>28</v>
      </c>
      <c r="D693" s="5">
        <v>46113</v>
      </c>
      <c r="E693" s="6" t="s">
        <v>14</v>
      </c>
      <c r="F693" s="7">
        <v>457</v>
      </c>
      <c r="G693" s="7">
        <v>177845.89934354491</v>
      </c>
      <c r="H693" s="7">
        <v>81275576</v>
      </c>
      <c r="I693" s="7">
        <v>14355052</v>
      </c>
      <c r="J693" s="7">
        <v>0</v>
      </c>
      <c r="K693">
        <f t="shared" si="10"/>
        <v>30</v>
      </c>
      <c r="L693" s="8" t="str" cm="1">
        <f t="array" ref="L693">_xlfn.IFS(
 AND(K693&gt;=89,K693&lt;=92),"3개월",
 AND(K693&gt;=58,K693&lt;=62),"2개월",
 AND(K693&gt;=28,K693&lt;=32),"1개월",
 AND(K693=0),"당월",
 TRUE,"그외"
)</f>
        <v>1개월</v>
      </c>
    </row>
    <row r="694" spans="1:12" ht="17.649999999999999" customHeight="1" x14ac:dyDescent="0.3">
      <c r="A694" s="5">
        <v>46143</v>
      </c>
      <c r="B694" s="6" t="s">
        <v>20</v>
      </c>
      <c r="C694" s="6" t="s">
        <v>28</v>
      </c>
      <c r="D694" s="5">
        <v>46113</v>
      </c>
      <c r="E694" s="6" t="s">
        <v>15</v>
      </c>
      <c r="F694" s="7">
        <v>2590</v>
      </c>
      <c r="G694" s="7">
        <v>163820.19189189191</v>
      </c>
      <c r="H694" s="7">
        <v>424294297</v>
      </c>
      <c r="I694" s="7">
        <v>87090574</v>
      </c>
      <c r="J694" s="7">
        <v>0</v>
      </c>
      <c r="K694">
        <f t="shared" si="10"/>
        <v>30</v>
      </c>
      <c r="L694" s="8" t="str" cm="1">
        <f t="array" ref="L694">_xlfn.IFS(
 AND(K694&gt;=89,K694&lt;=92),"3개월",
 AND(K694&gt;=58,K694&lt;=62),"2개월",
 AND(K694&gt;=28,K694&lt;=32),"1개월",
 AND(K694=0),"당월",
 TRUE,"그외"
)</f>
        <v>1개월</v>
      </c>
    </row>
    <row r="695" spans="1:12" ht="17.649999999999999" customHeight="1" x14ac:dyDescent="0.3">
      <c r="A695" s="5">
        <v>46143</v>
      </c>
      <c r="B695" s="6" t="s">
        <v>20</v>
      </c>
      <c r="C695" s="6" t="s">
        <v>28</v>
      </c>
      <c r="D695" s="5">
        <v>46143</v>
      </c>
      <c r="E695" s="6" t="s">
        <v>14</v>
      </c>
      <c r="F695" s="7">
        <v>10</v>
      </c>
      <c r="G695" s="7">
        <v>213600</v>
      </c>
      <c r="H695" s="7">
        <v>2136000</v>
      </c>
      <c r="I695" s="7">
        <v>586000</v>
      </c>
      <c r="J695" s="7">
        <v>0</v>
      </c>
      <c r="K695">
        <f t="shared" si="10"/>
        <v>0</v>
      </c>
      <c r="L695" s="8" t="str" cm="1">
        <f t="array" ref="L695">_xlfn.IFS(
 AND(K695&gt;=89,K695&lt;=92),"3개월",
 AND(K695&gt;=58,K695&lt;=62),"2개월",
 AND(K695&gt;=28,K695&lt;=32),"1개월",
 AND(K695=0),"당월",
 TRUE,"그외"
)</f>
        <v>당월</v>
      </c>
    </row>
    <row r="696" spans="1:12" ht="17.649999999999999" customHeight="1" x14ac:dyDescent="0.3">
      <c r="A696" s="5">
        <v>46143</v>
      </c>
      <c r="B696" s="6" t="s">
        <v>20</v>
      </c>
      <c r="C696" s="6" t="s">
        <v>28</v>
      </c>
      <c r="D696" s="5">
        <v>46143</v>
      </c>
      <c r="E696" s="6" t="s">
        <v>15</v>
      </c>
      <c r="F696" s="7">
        <v>280</v>
      </c>
      <c r="G696" s="7">
        <v>171361.06785714289</v>
      </c>
      <c r="H696" s="7">
        <v>47981099</v>
      </c>
      <c r="I696" s="7">
        <v>15259342</v>
      </c>
      <c r="J696" s="7">
        <v>0</v>
      </c>
      <c r="K696">
        <f t="shared" si="10"/>
        <v>0</v>
      </c>
      <c r="L696" s="8" t="str" cm="1">
        <f t="array" ref="L696">_xlfn.IFS(
 AND(K696&gt;=89,K696&lt;=92),"3개월",
 AND(K696&gt;=58,K696&lt;=62),"2개월",
 AND(K696&gt;=28,K696&lt;=32),"1개월",
 AND(K696=0),"당월",
 TRUE,"그외"
)</f>
        <v>당월</v>
      </c>
    </row>
    <row r="697" spans="1:12" ht="17.649999999999999" customHeight="1" x14ac:dyDescent="0.3">
      <c r="A697" s="5">
        <v>46143</v>
      </c>
      <c r="B697" s="6" t="s">
        <v>20</v>
      </c>
      <c r="C697" s="6" t="s">
        <v>29</v>
      </c>
      <c r="D697" s="5">
        <v>45931</v>
      </c>
      <c r="E697" s="6" t="s">
        <v>15</v>
      </c>
      <c r="F697" s="7">
        <v>103</v>
      </c>
      <c r="G697" s="7">
        <v>200384.39805825241</v>
      </c>
      <c r="H697" s="7">
        <v>20639593</v>
      </c>
      <c r="I697" s="7">
        <v>1270455</v>
      </c>
      <c r="J697" s="7">
        <v>0</v>
      </c>
      <c r="K697">
        <f t="shared" si="10"/>
        <v>212</v>
      </c>
      <c r="L697" s="8" t="str" cm="1">
        <f t="array" ref="L697">_xlfn.IFS(
 AND(K697&gt;=89,K697&lt;=92),"3개월",
 AND(K697&gt;=58,K697&lt;=62),"2개월",
 AND(K697&gt;=28,K697&lt;=32),"1개월",
 AND(K697=0),"당월",
 TRUE,"그외"
)</f>
        <v>그외</v>
      </c>
    </row>
    <row r="698" spans="1:12" ht="17.649999999999999" customHeight="1" x14ac:dyDescent="0.3">
      <c r="A698" s="5">
        <v>46143</v>
      </c>
      <c r="B698" s="6" t="s">
        <v>20</v>
      </c>
      <c r="C698" s="6" t="s">
        <v>29</v>
      </c>
      <c r="D698" s="5">
        <v>45962</v>
      </c>
      <c r="E698" s="6" t="s">
        <v>15</v>
      </c>
      <c r="F698" s="7">
        <v>88</v>
      </c>
      <c r="G698" s="7">
        <v>228261.48863636359</v>
      </c>
      <c r="H698" s="7">
        <v>20087011</v>
      </c>
      <c r="I698" s="7">
        <v>959477</v>
      </c>
      <c r="J698" s="7">
        <v>0</v>
      </c>
      <c r="K698">
        <f t="shared" si="10"/>
        <v>181</v>
      </c>
      <c r="L698" s="8" t="str" cm="1">
        <f t="array" ref="L698">_xlfn.IFS(
 AND(K698&gt;=89,K698&lt;=92),"3개월",
 AND(K698&gt;=58,K698&lt;=62),"2개월",
 AND(K698&gt;=28,K698&lt;=32),"1개월",
 AND(K698=0),"당월",
 TRUE,"그외"
)</f>
        <v>그외</v>
      </c>
    </row>
    <row r="699" spans="1:12" ht="17.649999999999999" customHeight="1" x14ac:dyDescent="0.3">
      <c r="A699" s="5">
        <v>46143</v>
      </c>
      <c r="B699" s="6" t="s">
        <v>20</v>
      </c>
      <c r="C699" s="6" t="s">
        <v>29</v>
      </c>
      <c r="D699" s="5">
        <v>45992</v>
      </c>
      <c r="E699" s="6" t="s">
        <v>15</v>
      </c>
      <c r="F699" s="7">
        <v>104</v>
      </c>
      <c r="G699" s="7">
        <v>184162.9615384615</v>
      </c>
      <c r="H699" s="7">
        <v>19152948</v>
      </c>
      <c r="I699" s="7">
        <v>1601032</v>
      </c>
      <c r="J699" s="7">
        <v>0</v>
      </c>
      <c r="K699">
        <f t="shared" si="10"/>
        <v>151</v>
      </c>
      <c r="L699" s="8" t="str" cm="1">
        <f t="array" ref="L699">_xlfn.IFS(
 AND(K699&gt;=89,K699&lt;=92),"3개월",
 AND(K699&gt;=58,K699&lt;=62),"2개월",
 AND(K699&gt;=28,K699&lt;=32),"1개월",
 AND(K699=0),"당월",
 TRUE,"그외"
)</f>
        <v>그외</v>
      </c>
    </row>
    <row r="700" spans="1:12" ht="17.649999999999999" customHeight="1" x14ac:dyDescent="0.3">
      <c r="A700" s="5">
        <v>46143</v>
      </c>
      <c r="B700" s="6" t="s">
        <v>20</v>
      </c>
      <c r="C700" s="6" t="s">
        <v>29</v>
      </c>
      <c r="D700" s="5">
        <v>46023</v>
      </c>
      <c r="E700" s="6" t="s">
        <v>15</v>
      </c>
      <c r="F700" s="7">
        <v>312</v>
      </c>
      <c r="G700" s="7">
        <v>162056.7948717949</v>
      </c>
      <c r="H700" s="7">
        <v>50561720</v>
      </c>
      <c r="I700" s="7">
        <v>4459945</v>
      </c>
      <c r="J700" s="7">
        <v>0</v>
      </c>
      <c r="K700">
        <f t="shared" si="10"/>
        <v>120</v>
      </c>
      <c r="L700" s="8" t="str" cm="1">
        <f t="array" ref="L700">_xlfn.IFS(
 AND(K700&gt;=89,K700&lt;=92),"3개월",
 AND(K700&gt;=58,K700&lt;=62),"2개월",
 AND(K700&gt;=28,K700&lt;=32),"1개월",
 AND(K700=0),"당월",
 TRUE,"그외"
)</f>
        <v>그외</v>
      </c>
    </row>
    <row r="701" spans="1:12" ht="17.649999999999999" customHeight="1" x14ac:dyDescent="0.3">
      <c r="A701" s="5">
        <v>46143</v>
      </c>
      <c r="B701" s="6" t="s">
        <v>20</v>
      </c>
      <c r="C701" s="6" t="s">
        <v>29</v>
      </c>
      <c r="D701" s="5">
        <v>46054</v>
      </c>
      <c r="E701" s="6" t="s">
        <v>15</v>
      </c>
      <c r="F701" s="7">
        <v>2326</v>
      </c>
      <c r="G701" s="7">
        <v>171497.27300085989</v>
      </c>
      <c r="H701" s="7">
        <v>398902657</v>
      </c>
      <c r="I701" s="7">
        <v>23454206</v>
      </c>
      <c r="J701" s="7">
        <v>0</v>
      </c>
      <c r="K701">
        <f t="shared" si="10"/>
        <v>89</v>
      </c>
      <c r="L701" s="8" t="str" cm="1">
        <f t="array" ref="L701">_xlfn.IFS(
 AND(K701&gt;=89,K701&lt;=92),"3개월",
 AND(K701&gt;=58,K701&lt;=62),"2개월",
 AND(K701&gt;=28,K701&lt;=32),"1개월",
 AND(K701=0),"당월",
 TRUE,"그외"
)</f>
        <v>3개월</v>
      </c>
    </row>
    <row r="702" spans="1:12" ht="17.649999999999999" customHeight="1" x14ac:dyDescent="0.3">
      <c r="A702" s="5">
        <v>46143</v>
      </c>
      <c r="B702" s="6" t="s">
        <v>20</v>
      </c>
      <c r="C702" s="6" t="s">
        <v>29</v>
      </c>
      <c r="D702" s="5">
        <v>46082</v>
      </c>
      <c r="E702" s="6" t="s">
        <v>14</v>
      </c>
      <c r="F702" s="7">
        <v>1670</v>
      </c>
      <c r="G702" s="7">
        <v>176470.2982035928</v>
      </c>
      <c r="H702" s="7">
        <v>294705398</v>
      </c>
      <c r="I702" s="7">
        <v>17225460</v>
      </c>
      <c r="J702" s="7">
        <v>0</v>
      </c>
      <c r="K702">
        <f t="shared" si="10"/>
        <v>61</v>
      </c>
      <c r="L702" s="8" t="str" cm="1">
        <f t="array" ref="L702">_xlfn.IFS(
 AND(K702&gt;=89,K702&lt;=92),"3개월",
 AND(K702&gt;=58,K702&lt;=62),"2개월",
 AND(K702&gt;=28,K702&lt;=32),"1개월",
 AND(K702=0),"당월",
 TRUE,"그외"
)</f>
        <v>2개월</v>
      </c>
    </row>
    <row r="703" spans="1:12" ht="17.649999999999999" customHeight="1" x14ac:dyDescent="0.3">
      <c r="A703" s="5">
        <v>46143</v>
      </c>
      <c r="B703" s="6" t="s">
        <v>20</v>
      </c>
      <c r="C703" s="6" t="s">
        <v>29</v>
      </c>
      <c r="D703" s="5">
        <v>46082</v>
      </c>
      <c r="E703" s="6" t="s">
        <v>15</v>
      </c>
      <c r="F703" s="7">
        <v>5270</v>
      </c>
      <c r="G703" s="7">
        <v>180746.90056926</v>
      </c>
      <c r="H703" s="7">
        <v>952536166</v>
      </c>
      <c r="I703" s="7">
        <v>65644200</v>
      </c>
      <c r="J703" s="7">
        <v>0</v>
      </c>
      <c r="K703">
        <f t="shared" si="10"/>
        <v>61</v>
      </c>
      <c r="L703" s="8" t="str" cm="1">
        <f t="array" ref="L703">_xlfn.IFS(
 AND(K703&gt;=89,K703&lt;=92),"3개월",
 AND(K703&gt;=58,K703&lt;=62),"2개월",
 AND(K703&gt;=28,K703&lt;=32),"1개월",
 AND(K703=0),"당월",
 TRUE,"그외"
)</f>
        <v>2개월</v>
      </c>
    </row>
    <row r="704" spans="1:12" ht="17.649999999999999" customHeight="1" x14ac:dyDescent="0.3">
      <c r="A704" s="5">
        <v>46143</v>
      </c>
      <c r="B704" s="6" t="s">
        <v>20</v>
      </c>
      <c r="C704" s="6" t="s">
        <v>29</v>
      </c>
      <c r="D704" s="5">
        <v>46113</v>
      </c>
      <c r="E704" s="6" t="s">
        <v>14</v>
      </c>
      <c r="F704" s="7">
        <v>1098</v>
      </c>
      <c r="G704" s="7">
        <v>173809.56284152999</v>
      </c>
      <c r="H704" s="7">
        <v>190842900</v>
      </c>
      <c r="I704" s="7">
        <v>33551900</v>
      </c>
      <c r="J704" s="7">
        <v>0</v>
      </c>
      <c r="K704">
        <f t="shared" si="10"/>
        <v>30</v>
      </c>
      <c r="L704" s="8" t="str" cm="1">
        <f t="array" ref="L704">_xlfn.IFS(
 AND(K704&gt;=89,K704&lt;=92),"3개월",
 AND(K704&gt;=58,K704&lt;=62),"2개월",
 AND(K704&gt;=28,K704&lt;=32),"1개월",
 AND(K704=0),"당월",
 TRUE,"그외"
)</f>
        <v>1개월</v>
      </c>
    </row>
    <row r="705" spans="1:12" ht="17.649999999999999" customHeight="1" x14ac:dyDescent="0.3">
      <c r="A705" s="5">
        <v>46143</v>
      </c>
      <c r="B705" s="6" t="s">
        <v>20</v>
      </c>
      <c r="C705" s="6" t="s">
        <v>29</v>
      </c>
      <c r="D705" s="5">
        <v>46113</v>
      </c>
      <c r="E705" s="6" t="s">
        <v>15</v>
      </c>
      <c r="F705" s="7">
        <v>6307</v>
      </c>
      <c r="G705" s="7">
        <v>151495.32693832251</v>
      </c>
      <c r="H705" s="7">
        <v>955481027</v>
      </c>
      <c r="I705" s="7">
        <v>201389709</v>
      </c>
      <c r="J705" s="7">
        <v>0</v>
      </c>
      <c r="K705">
        <f t="shared" si="10"/>
        <v>30</v>
      </c>
      <c r="L705" s="8" t="str" cm="1">
        <f t="array" ref="L705">_xlfn.IFS(
 AND(K705&gt;=89,K705&lt;=92),"3개월",
 AND(K705&gt;=58,K705&lt;=62),"2개월",
 AND(K705&gt;=28,K705&lt;=32),"1개월",
 AND(K705=0),"당월",
 TRUE,"그외"
)</f>
        <v>1개월</v>
      </c>
    </row>
    <row r="706" spans="1:12" ht="17.649999999999999" customHeight="1" x14ac:dyDescent="0.3">
      <c r="A706" s="5">
        <v>46143</v>
      </c>
      <c r="B706" s="6" t="s">
        <v>20</v>
      </c>
      <c r="C706" s="6" t="s">
        <v>29</v>
      </c>
      <c r="D706" s="5">
        <v>46143</v>
      </c>
      <c r="E706" s="6" t="s">
        <v>14</v>
      </c>
      <c r="F706" s="7">
        <v>20</v>
      </c>
      <c r="G706" s="7">
        <v>187200</v>
      </c>
      <c r="H706" s="7">
        <v>3744000</v>
      </c>
      <c r="I706" s="7">
        <v>370000</v>
      </c>
      <c r="J706" s="7">
        <v>0</v>
      </c>
      <c r="K706">
        <f t="shared" si="10"/>
        <v>0</v>
      </c>
      <c r="L706" s="8" t="str" cm="1">
        <f t="array" ref="L706">_xlfn.IFS(
 AND(K706&gt;=89,K706&lt;=92),"3개월",
 AND(K706&gt;=58,K706&lt;=62),"2개월",
 AND(K706&gt;=28,K706&lt;=32),"1개월",
 AND(K706=0),"당월",
 TRUE,"그외"
)</f>
        <v>당월</v>
      </c>
    </row>
    <row r="707" spans="1:12" ht="17.649999999999999" customHeight="1" x14ac:dyDescent="0.3">
      <c r="A707" s="5">
        <v>46143</v>
      </c>
      <c r="B707" s="6" t="s">
        <v>20</v>
      </c>
      <c r="C707" s="6" t="s">
        <v>29</v>
      </c>
      <c r="D707" s="5">
        <v>46143</v>
      </c>
      <c r="E707" s="6" t="s">
        <v>15</v>
      </c>
      <c r="F707" s="7">
        <v>1164</v>
      </c>
      <c r="G707" s="7">
        <v>145630.97164948451</v>
      </c>
      <c r="H707" s="7">
        <v>169514451</v>
      </c>
      <c r="I707" s="7">
        <v>62394019</v>
      </c>
      <c r="J707" s="7">
        <v>0</v>
      </c>
      <c r="K707">
        <f t="shared" si="10"/>
        <v>0</v>
      </c>
      <c r="L707" s="8" t="str" cm="1">
        <f t="array" ref="L707">_xlfn.IFS(
 AND(K707&gt;=89,K707&lt;=92),"3개월",
 AND(K707&gt;=58,K707&lt;=62),"2개월",
 AND(K707&gt;=28,K707&lt;=32),"1개월",
 AND(K707=0),"당월",
 TRUE,"그외"
)</f>
        <v>당월</v>
      </c>
    </row>
    <row r="708" spans="1:12" ht="17.649999999999999" customHeight="1" x14ac:dyDescent="0.3">
      <c r="A708" s="5">
        <v>46143</v>
      </c>
      <c r="B708" s="6" t="s">
        <v>20</v>
      </c>
      <c r="C708" s="6" t="s">
        <v>30</v>
      </c>
      <c r="D708" s="5">
        <v>45931</v>
      </c>
      <c r="E708" s="6" t="s">
        <v>15</v>
      </c>
      <c r="F708" s="7">
        <v>190</v>
      </c>
      <c r="G708" s="7">
        <v>179541.02105263161</v>
      </c>
      <c r="H708" s="7">
        <v>34112794</v>
      </c>
      <c r="I708" s="7">
        <v>2250948</v>
      </c>
      <c r="J708" s="7">
        <v>0</v>
      </c>
      <c r="K708">
        <f t="shared" si="10"/>
        <v>212</v>
      </c>
      <c r="L708" s="8" t="str" cm="1">
        <f t="array" ref="L708">_xlfn.IFS(
 AND(K708&gt;=89,K708&lt;=92),"3개월",
 AND(K708&gt;=58,K708&lt;=62),"2개월",
 AND(K708&gt;=28,K708&lt;=32),"1개월",
 AND(K708=0),"당월",
 TRUE,"그외"
)</f>
        <v>그외</v>
      </c>
    </row>
    <row r="709" spans="1:12" ht="17.649999999999999" customHeight="1" x14ac:dyDescent="0.3">
      <c r="A709" s="5">
        <v>46143</v>
      </c>
      <c r="B709" s="6" t="s">
        <v>20</v>
      </c>
      <c r="C709" s="6" t="s">
        <v>30</v>
      </c>
      <c r="D709" s="5">
        <v>45962</v>
      </c>
      <c r="E709" s="6" t="s">
        <v>15</v>
      </c>
      <c r="F709" s="7">
        <v>430</v>
      </c>
      <c r="G709" s="7">
        <v>151829.53023255811</v>
      </c>
      <c r="H709" s="7">
        <v>65286698</v>
      </c>
      <c r="I709" s="7">
        <v>4965417</v>
      </c>
      <c r="J709" s="7">
        <v>0</v>
      </c>
      <c r="K709">
        <f t="shared" si="10"/>
        <v>181</v>
      </c>
      <c r="L709" s="8" t="str" cm="1">
        <f t="array" ref="L709">_xlfn.IFS(
 AND(K709&gt;=89,K709&lt;=92),"3개월",
 AND(K709&gt;=58,K709&lt;=62),"2개월",
 AND(K709&gt;=28,K709&lt;=32),"1개월",
 AND(K709=0),"당월",
 TRUE,"그외"
)</f>
        <v>그외</v>
      </c>
    </row>
    <row r="710" spans="1:12" ht="17.649999999999999" customHeight="1" x14ac:dyDescent="0.3">
      <c r="A710" s="5">
        <v>46143</v>
      </c>
      <c r="B710" s="6" t="s">
        <v>20</v>
      </c>
      <c r="C710" s="6" t="s">
        <v>30</v>
      </c>
      <c r="D710" s="5">
        <v>45992</v>
      </c>
      <c r="E710" s="6" t="s">
        <v>15</v>
      </c>
      <c r="F710" s="7">
        <v>691</v>
      </c>
      <c r="G710" s="7">
        <v>157291.4486251809</v>
      </c>
      <c r="H710" s="7">
        <v>108688391</v>
      </c>
      <c r="I710" s="7">
        <v>9606305</v>
      </c>
      <c r="J710" s="7">
        <v>0</v>
      </c>
      <c r="K710">
        <f t="shared" si="10"/>
        <v>151</v>
      </c>
      <c r="L710" s="8" t="str" cm="1">
        <f t="array" ref="L710">_xlfn.IFS(
 AND(K710&gt;=89,K710&lt;=92),"3개월",
 AND(K710&gt;=58,K710&lt;=62),"2개월",
 AND(K710&gt;=28,K710&lt;=32),"1개월",
 AND(K710=0),"당월",
 TRUE,"그외"
)</f>
        <v>그외</v>
      </c>
    </row>
    <row r="711" spans="1:12" ht="17.649999999999999" customHeight="1" x14ac:dyDescent="0.3">
      <c r="A711" s="5">
        <v>46143</v>
      </c>
      <c r="B711" s="6" t="s">
        <v>20</v>
      </c>
      <c r="C711" s="6" t="s">
        <v>30</v>
      </c>
      <c r="D711" s="5">
        <v>46023</v>
      </c>
      <c r="E711" s="6" t="s">
        <v>14</v>
      </c>
      <c r="F711" s="7">
        <v>16</v>
      </c>
      <c r="G711" s="7">
        <v>97991.25</v>
      </c>
      <c r="H711" s="7">
        <v>1567860</v>
      </c>
      <c r="I711" s="7">
        <v>458544</v>
      </c>
      <c r="J711" s="7">
        <v>0</v>
      </c>
      <c r="K711">
        <f t="shared" si="10"/>
        <v>120</v>
      </c>
      <c r="L711" s="8" t="str" cm="1">
        <f t="array" ref="L711">_xlfn.IFS(
 AND(K711&gt;=89,K711&lt;=92),"3개월",
 AND(K711&gt;=58,K711&lt;=62),"2개월",
 AND(K711&gt;=28,K711&lt;=32),"1개월",
 AND(K711=0),"당월",
 TRUE,"그외"
)</f>
        <v>그외</v>
      </c>
    </row>
    <row r="712" spans="1:12" ht="17.649999999999999" customHeight="1" x14ac:dyDescent="0.3">
      <c r="A712" s="5">
        <v>46143</v>
      </c>
      <c r="B712" s="6" t="s">
        <v>20</v>
      </c>
      <c r="C712" s="6" t="s">
        <v>30</v>
      </c>
      <c r="D712" s="5">
        <v>46023</v>
      </c>
      <c r="E712" s="6" t="s">
        <v>15</v>
      </c>
      <c r="F712" s="7">
        <v>1654</v>
      </c>
      <c r="G712" s="7">
        <v>183214.184401451</v>
      </c>
      <c r="H712" s="7">
        <v>303036261</v>
      </c>
      <c r="I712" s="7">
        <v>24268888</v>
      </c>
      <c r="J712" s="7">
        <v>0</v>
      </c>
      <c r="K712">
        <f t="shared" si="10"/>
        <v>120</v>
      </c>
      <c r="L712" s="8" t="str" cm="1">
        <f t="array" ref="L712">_xlfn.IFS(
 AND(K712&gt;=89,K712&lt;=92),"3개월",
 AND(K712&gt;=58,K712&lt;=62),"2개월",
 AND(K712&gt;=28,K712&lt;=32),"1개월",
 AND(K712=0),"당월",
 TRUE,"그외"
)</f>
        <v>그외</v>
      </c>
    </row>
    <row r="713" spans="1:12" ht="17.649999999999999" customHeight="1" x14ac:dyDescent="0.3">
      <c r="A713" s="5">
        <v>46143</v>
      </c>
      <c r="B713" s="6" t="s">
        <v>20</v>
      </c>
      <c r="C713" s="6" t="s">
        <v>30</v>
      </c>
      <c r="D713" s="5">
        <v>46054</v>
      </c>
      <c r="E713" s="6" t="s">
        <v>14</v>
      </c>
      <c r="F713" s="7">
        <v>18</v>
      </c>
      <c r="G713" s="7">
        <v>115472.6666666667</v>
      </c>
      <c r="H713" s="7">
        <v>2078508</v>
      </c>
      <c r="I713" s="7">
        <v>621812</v>
      </c>
      <c r="J713" s="7">
        <v>0</v>
      </c>
      <c r="K713">
        <f t="shared" si="10"/>
        <v>89</v>
      </c>
      <c r="L713" s="8" t="str" cm="1">
        <f t="array" ref="L713">_xlfn.IFS(
 AND(K713&gt;=89,K713&lt;=92),"3개월",
 AND(K713&gt;=58,K713&lt;=62),"2개월",
 AND(K713&gt;=28,K713&lt;=32),"1개월",
 AND(K713=0),"당월",
 TRUE,"그외"
)</f>
        <v>3개월</v>
      </c>
    </row>
    <row r="714" spans="1:12" ht="17.649999999999999" customHeight="1" x14ac:dyDescent="0.3">
      <c r="A714" s="5">
        <v>46143</v>
      </c>
      <c r="B714" s="6" t="s">
        <v>20</v>
      </c>
      <c r="C714" s="6" t="s">
        <v>30</v>
      </c>
      <c r="D714" s="5">
        <v>46054</v>
      </c>
      <c r="E714" s="6" t="s">
        <v>15</v>
      </c>
      <c r="F714" s="7">
        <v>1345</v>
      </c>
      <c r="G714" s="7">
        <v>191681.34721189589</v>
      </c>
      <c r="H714" s="7">
        <v>257811412</v>
      </c>
      <c r="I714" s="7">
        <v>14910396</v>
      </c>
      <c r="J714" s="7">
        <v>0</v>
      </c>
      <c r="K714">
        <f t="shared" ref="K714:K777" si="11">A714-D714</f>
        <v>89</v>
      </c>
      <c r="L714" s="8" t="str" cm="1">
        <f t="array" ref="L714">_xlfn.IFS(
 AND(K714&gt;=89,K714&lt;=92),"3개월",
 AND(K714&gt;=58,K714&lt;=62),"2개월",
 AND(K714&gt;=28,K714&lt;=32),"1개월",
 AND(K714=0),"당월",
 TRUE,"그외"
)</f>
        <v>3개월</v>
      </c>
    </row>
    <row r="715" spans="1:12" ht="17.649999999999999" customHeight="1" x14ac:dyDescent="0.3">
      <c r="A715" s="5">
        <v>46143</v>
      </c>
      <c r="B715" s="6" t="s">
        <v>20</v>
      </c>
      <c r="C715" s="6" t="s">
        <v>30</v>
      </c>
      <c r="D715" s="5">
        <v>46082</v>
      </c>
      <c r="E715" s="6" t="s">
        <v>14</v>
      </c>
      <c r="F715" s="7">
        <v>1463</v>
      </c>
      <c r="G715" s="7">
        <v>163403.2125768968</v>
      </c>
      <c r="H715" s="7">
        <v>239058900</v>
      </c>
      <c r="I715" s="7">
        <v>15093360</v>
      </c>
      <c r="J715" s="7">
        <v>0</v>
      </c>
      <c r="K715">
        <f t="shared" si="11"/>
        <v>61</v>
      </c>
      <c r="L715" s="8" t="str" cm="1">
        <f t="array" ref="L715">_xlfn.IFS(
 AND(K715&gt;=89,K715&lt;=92),"3개월",
 AND(K715&gt;=58,K715&lt;=62),"2개월",
 AND(K715&gt;=28,K715&lt;=32),"1개월",
 AND(K715=0),"당월",
 TRUE,"그외"
)</f>
        <v>2개월</v>
      </c>
    </row>
    <row r="716" spans="1:12" ht="17.649999999999999" customHeight="1" x14ac:dyDescent="0.3">
      <c r="A716" s="5">
        <v>46143</v>
      </c>
      <c r="B716" s="6" t="s">
        <v>20</v>
      </c>
      <c r="C716" s="6" t="s">
        <v>30</v>
      </c>
      <c r="D716" s="5">
        <v>46082</v>
      </c>
      <c r="E716" s="6" t="s">
        <v>15</v>
      </c>
      <c r="F716" s="7">
        <v>4004</v>
      </c>
      <c r="G716" s="7">
        <v>144390.37787212789</v>
      </c>
      <c r="H716" s="7">
        <v>578139073</v>
      </c>
      <c r="I716" s="7">
        <v>58972761</v>
      </c>
      <c r="J716" s="7">
        <v>0</v>
      </c>
      <c r="K716">
        <f t="shared" si="11"/>
        <v>61</v>
      </c>
      <c r="L716" s="8" t="str" cm="1">
        <f t="array" ref="L716">_xlfn.IFS(
 AND(K716&gt;=89,K716&lt;=92),"3개월",
 AND(K716&gt;=58,K716&lt;=62),"2개월",
 AND(K716&gt;=28,K716&lt;=32),"1개월",
 AND(K716=0),"당월",
 TRUE,"그외"
)</f>
        <v>2개월</v>
      </c>
    </row>
    <row r="717" spans="1:12" ht="17.649999999999999" customHeight="1" x14ac:dyDescent="0.3">
      <c r="A717" s="5">
        <v>46143</v>
      </c>
      <c r="B717" s="6" t="s">
        <v>20</v>
      </c>
      <c r="C717" s="6" t="s">
        <v>30</v>
      </c>
      <c r="D717" s="5">
        <v>46113</v>
      </c>
      <c r="E717" s="6" t="s">
        <v>14</v>
      </c>
      <c r="F717" s="7">
        <v>970</v>
      </c>
      <c r="G717" s="7">
        <v>146170.07525773201</v>
      </c>
      <c r="H717" s="7">
        <v>141784973</v>
      </c>
      <c r="I717" s="7">
        <v>29955668</v>
      </c>
      <c r="J717" s="7">
        <v>0</v>
      </c>
      <c r="K717">
        <f t="shared" si="11"/>
        <v>30</v>
      </c>
      <c r="L717" s="8" t="str" cm="1">
        <f t="array" ref="L717">_xlfn.IFS(
 AND(K717&gt;=89,K717&lt;=92),"3개월",
 AND(K717&gt;=58,K717&lt;=62),"2개월",
 AND(K717&gt;=28,K717&lt;=32),"1개월",
 AND(K717=0),"당월",
 TRUE,"그외"
)</f>
        <v>1개월</v>
      </c>
    </row>
    <row r="718" spans="1:12" ht="17.649999999999999" customHeight="1" x14ac:dyDescent="0.3">
      <c r="A718" s="5">
        <v>46143</v>
      </c>
      <c r="B718" s="6" t="s">
        <v>20</v>
      </c>
      <c r="C718" s="6" t="s">
        <v>30</v>
      </c>
      <c r="D718" s="5">
        <v>46113</v>
      </c>
      <c r="E718" s="6" t="s">
        <v>15</v>
      </c>
      <c r="F718" s="7">
        <v>7048</v>
      </c>
      <c r="G718" s="7">
        <v>121998.02539727579</v>
      </c>
      <c r="H718" s="7">
        <v>859842083</v>
      </c>
      <c r="I718" s="7">
        <v>234965087</v>
      </c>
      <c r="J718" s="7">
        <v>0</v>
      </c>
      <c r="K718">
        <f t="shared" si="11"/>
        <v>30</v>
      </c>
      <c r="L718" s="8" t="str" cm="1">
        <f t="array" ref="L718">_xlfn.IFS(
 AND(K718&gt;=89,K718&lt;=92),"3개월",
 AND(K718&gt;=58,K718&lt;=62),"2개월",
 AND(K718&gt;=28,K718&lt;=32),"1개월",
 AND(K718=0),"당월",
 TRUE,"그외"
)</f>
        <v>1개월</v>
      </c>
    </row>
    <row r="719" spans="1:12" ht="17.649999999999999" customHeight="1" x14ac:dyDescent="0.3">
      <c r="A719" s="5">
        <v>46143</v>
      </c>
      <c r="B719" s="6" t="s">
        <v>20</v>
      </c>
      <c r="C719" s="6" t="s">
        <v>30</v>
      </c>
      <c r="D719" s="5">
        <v>46143</v>
      </c>
      <c r="E719" s="6" t="s">
        <v>14</v>
      </c>
      <c r="F719" s="7">
        <v>25</v>
      </c>
      <c r="G719" s="7">
        <v>151872</v>
      </c>
      <c r="H719" s="7">
        <v>3796800</v>
      </c>
      <c r="I719" s="7">
        <v>1312800</v>
      </c>
      <c r="J719" s="7">
        <v>0</v>
      </c>
      <c r="K719">
        <f t="shared" si="11"/>
        <v>0</v>
      </c>
      <c r="L719" s="8" t="str" cm="1">
        <f t="array" ref="L719">_xlfn.IFS(
 AND(K719&gt;=89,K719&lt;=92),"3개월",
 AND(K719&gt;=58,K719&lt;=62),"2개월",
 AND(K719&gt;=28,K719&lt;=32),"1개월",
 AND(K719=0),"당월",
 TRUE,"그외"
)</f>
        <v>당월</v>
      </c>
    </row>
    <row r="720" spans="1:12" ht="17.649999999999999" customHeight="1" x14ac:dyDescent="0.3">
      <c r="A720" s="5">
        <v>46143</v>
      </c>
      <c r="B720" s="6" t="s">
        <v>20</v>
      </c>
      <c r="C720" s="6" t="s">
        <v>30</v>
      </c>
      <c r="D720" s="5">
        <v>46143</v>
      </c>
      <c r="E720" s="6" t="s">
        <v>15</v>
      </c>
      <c r="F720" s="7">
        <v>873</v>
      </c>
      <c r="G720" s="7">
        <v>125341.69530355099</v>
      </c>
      <c r="H720" s="7">
        <v>109423300</v>
      </c>
      <c r="I720" s="7">
        <v>49143071</v>
      </c>
      <c r="J720" s="7">
        <v>0</v>
      </c>
      <c r="K720">
        <f t="shared" si="11"/>
        <v>0</v>
      </c>
      <c r="L720" s="8" t="str" cm="1">
        <f t="array" ref="L720">_xlfn.IFS(
 AND(K720&gt;=89,K720&lt;=92),"3개월",
 AND(K720&gt;=58,K720&lt;=62),"2개월",
 AND(K720&gt;=28,K720&lt;=32),"1개월",
 AND(K720=0),"당월",
 TRUE,"그외"
)</f>
        <v>당월</v>
      </c>
    </row>
    <row r="721" spans="1:12" ht="17.649999999999999" customHeight="1" x14ac:dyDescent="0.3">
      <c r="A721" s="5">
        <v>46143</v>
      </c>
      <c r="B721" s="6" t="s">
        <v>20</v>
      </c>
      <c r="C721" s="6" t="s">
        <v>31</v>
      </c>
      <c r="D721" s="5">
        <v>45931</v>
      </c>
      <c r="E721" s="6" t="s">
        <v>15</v>
      </c>
      <c r="F721" s="7">
        <v>111</v>
      </c>
      <c r="G721" s="7">
        <v>181459.8108108108</v>
      </c>
      <c r="H721" s="7">
        <v>20142039</v>
      </c>
      <c r="I721" s="7">
        <v>2336088</v>
      </c>
      <c r="J721" s="7">
        <v>0</v>
      </c>
      <c r="K721">
        <f t="shared" si="11"/>
        <v>212</v>
      </c>
      <c r="L721" s="8" t="str" cm="1">
        <f t="array" ref="L721">_xlfn.IFS(
 AND(K721&gt;=89,K721&lt;=92),"3개월",
 AND(K721&gt;=58,K721&lt;=62),"2개월",
 AND(K721&gt;=28,K721&lt;=32),"1개월",
 AND(K721=0),"당월",
 TRUE,"그외"
)</f>
        <v>그외</v>
      </c>
    </row>
    <row r="722" spans="1:12" ht="17.649999999999999" customHeight="1" x14ac:dyDescent="0.3">
      <c r="A722" s="5">
        <v>46143</v>
      </c>
      <c r="B722" s="6" t="s">
        <v>20</v>
      </c>
      <c r="C722" s="6" t="s">
        <v>31</v>
      </c>
      <c r="D722" s="5">
        <v>45962</v>
      </c>
      <c r="E722" s="6" t="s">
        <v>15</v>
      </c>
      <c r="F722" s="7">
        <v>182</v>
      </c>
      <c r="G722" s="7">
        <v>233441.87362637359</v>
      </c>
      <c r="H722" s="7">
        <v>42486421</v>
      </c>
      <c r="I722" s="7">
        <v>4054601</v>
      </c>
      <c r="J722" s="7">
        <v>0</v>
      </c>
      <c r="K722">
        <f t="shared" si="11"/>
        <v>181</v>
      </c>
      <c r="L722" s="8" t="str" cm="1">
        <f t="array" ref="L722">_xlfn.IFS(
 AND(K722&gt;=89,K722&lt;=92),"3개월",
 AND(K722&gt;=58,K722&lt;=62),"2개월",
 AND(K722&gt;=28,K722&lt;=32),"1개월",
 AND(K722=0),"당월",
 TRUE,"그외"
)</f>
        <v>그외</v>
      </c>
    </row>
    <row r="723" spans="1:12" ht="17.649999999999999" customHeight="1" x14ac:dyDescent="0.3">
      <c r="A723" s="5">
        <v>46143</v>
      </c>
      <c r="B723" s="6" t="s">
        <v>20</v>
      </c>
      <c r="C723" s="6" t="s">
        <v>31</v>
      </c>
      <c r="D723" s="5">
        <v>45992</v>
      </c>
      <c r="E723" s="6" t="s">
        <v>14</v>
      </c>
      <c r="F723" s="7">
        <v>18</v>
      </c>
      <c r="G723" s="7">
        <v>126400.94444444439</v>
      </c>
      <c r="H723" s="7">
        <v>2275217</v>
      </c>
      <c r="I723" s="7">
        <v>525100</v>
      </c>
      <c r="J723" s="7">
        <v>0</v>
      </c>
      <c r="K723">
        <f t="shared" si="11"/>
        <v>151</v>
      </c>
      <c r="L723" s="8" t="str" cm="1">
        <f t="array" ref="L723">_xlfn.IFS(
 AND(K723&gt;=89,K723&lt;=92),"3개월",
 AND(K723&gt;=58,K723&lt;=62),"2개월",
 AND(K723&gt;=28,K723&lt;=32),"1개월",
 AND(K723=0),"당월",
 TRUE,"그외"
)</f>
        <v>그외</v>
      </c>
    </row>
    <row r="724" spans="1:12" ht="17.649999999999999" customHeight="1" x14ac:dyDescent="0.3">
      <c r="A724" s="5">
        <v>46143</v>
      </c>
      <c r="B724" s="6" t="s">
        <v>20</v>
      </c>
      <c r="C724" s="6" t="s">
        <v>31</v>
      </c>
      <c r="D724" s="5">
        <v>45992</v>
      </c>
      <c r="E724" s="6" t="s">
        <v>15</v>
      </c>
      <c r="F724" s="7">
        <v>173</v>
      </c>
      <c r="G724" s="7">
        <v>217717.94797687861</v>
      </c>
      <c r="H724" s="7">
        <v>37665205</v>
      </c>
      <c r="I724" s="7">
        <v>3354141</v>
      </c>
      <c r="J724" s="7">
        <v>0</v>
      </c>
      <c r="K724">
        <f t="shared" si="11"/>
        <v>151</v>
      </c>
      <c r="L724" s="8" t="str" cm="1">
        <f t="array" ref="L724">_xlfn.IFS(
 AND(K724&gt;=89,K724&lt;=92),"3개월",
 AND(K724&gt;=58,K724&lt;=62),"2개월",
 AND(K724&gt;=28,K724&lt;=32),"1개월",
 AND(K724=0),"당월",
 TRUE,"그외"
)</f>
        <v>그외</v>
      </c>
    </row>
    <row r="725" spans="1:12" ht="17.649999999999999" customHeight="1" x14ac:dyDescent="0.3">
      <c r="A725" s="5">
        <v>46143</v>
      </c>
      <c r="B725" s="6" t="s">
        <v>20</v>
      </c>
      <c r="C725" s="6" t="s">
        <v>31</v>
      </c>
      <c r="D725" s="5">
        <v>46023</v>
      </c>
      <c r="E725" s="6" t="s">
        <v>14</v>
      </c>
      <c r="F725" s="7">
        <v>137</v>
      </c>
      <c r="G725" s="7">
        <v>138743.3284671533</v>
      </c>
      <c r="H725" s="7">
        <v>19007836</v>
      </c>
      <c r="I725" s="7">
        <v>3928984</v>
      </c>
      <c r="J725" s="7">
        <v>0</v>
      </c>
      <c r="K725">
        <f t="shared" si="11"/>
        <v>120</v>
      </c>
      <c r="L725" s="8" t="str" cm="1">
        <f t="array" ref="L725">_xlfn.IFS(
 AND(K725&gt;=89,K725&lt;=92),"3개월",
 AND(K725&gt;=58,K725&lt;=62),"2개월",
 AND(K725&gt;=28,K725&lt;=32),"1개월",
 AND(K725=0),"당월",
 TRUE,"그외"
)</f>
        <v>그외</v>
      </c>
    </row>
    <row r="726" spans="1:12" ht="17.649999999999999" customHeight="1" x14ac:dyDescent="0.3">
      <c r="A726" s="5">
        <v>46143</v>
      </c>
      <c r="B726" s="6" t="s">
        <v>20</v>
      </c>
      <c r="C726" s="6" t="s">
        <v>31</v>
      </c>
      <c r="D726" s="5">
        <v>46023</v>
      </c>
      <c r="E726" s="6" t="s">
        <v>15</v>
      </c>
      <c r="F726" s="7">
        <v>704</v>
      </c>
      <c r="G726" s="7">
        <v>180594.83664772729</v>
      </c>
      <c r="H726" s="7">
        <v>127138765</v>
      </c>
      <c r="I726" s="7">
        <v>14292991</v>
      </c>
      <c r="J726" s="7">
        <v>0</v>
      </c>
      <c r="K726">
        <f t="shared" si="11"/>
        <v>120</v>
      </c>
      <c r="L726" s="8" t="str" cm="1">
        <f t="array" ref="L726">_xlfn.IFS(
 AND(K726&gt;=89,K726&lt;=92),"3개월",
 AND(K726&gt;=58,K726&lt;=62),"2개월",
 AND(K726&gt;=28,K726&lt;=32),"1개월",
 AND(K726=0),"당월",
 TRUE,"그외"
)</f>
        <v>그외</v>
      </c>
    </row>
    <row r="727" spans="1:12" ht="17.649999999999999" customHeight="1" x14ac:dyDescent="0.3">
      <c r="A727" s="5">
        <v>46143</v>
      </c>
      <c r="B727" s="6" t="s">
        <v>20</v>
      </c>
      <c r="C727" s="6" t="s">
        <v>31</v>
      </c>
      <c r="D727" s="5">
        <v>46054</v>
      </c>
      <c r="E727" s="6" t="s">
        <v>14</v>
      </c>
      <c r="F727" s="7">
        <v>165</v>
      </c>
      <c r="G727" s="7">
        <v>142009.61818181819</v>
      </c>
      <c r="H727" s="7">
        <v>23431587</v>
      </c>
      <c r="I727" s="7">
        <v>5703454</v>
      </c>
      <c r="J727" s="7">
        <v>0</v>
      </c>
      <c r="K727">
        <f t="shared" si="11"/>
        <v>89</v>
      </c>
      <c r="L727" s="8" t="str" cm="1">
        <f t="array" ref="L727">_xlfn.IFS(
 AND(K727&gt;=89,K727&lt;=92),"3개월",
 AND(K727&gt;=58,K727&lt;=62),"2개월",
 AND(K727&gt;=28,K727&lt;=32),"1개월",
 AND(K727=0),"당월",
 TRUE,"그외"
)</f>
        <v>3개월</v>
      </c>
    </row>
    <row r="728" spans="1:12" ht="17.649999999999999" customHeight="1" x14ac:dyDescent="0.3">
      <c r="A728" s="5">
        <v>46143</v>
      </c>
      <c r="B728" s="6" t="s">
        <v>20</v>
      </c>
      <c r="C728" s="6" t="s">
        <v>31</v>
      </c>
      <c r="D728" s="5">
        <v>46054</v>
      </c>
      <c r="E728" s="6" t="s">
        <v>15</v>
      </c>
      <c r="F728" s="7">
        <v>1341</v>
      </c>
      <c r="G728" s="7">
        <v>189774.82177479489</v>
      </c>
      <c r="H728" s="7">
        <v>254488036</v>
      </c>
      <c r="I728" s="7">
        <v>24003107</v>
      </c>
      <c r="J728" s="7">
        <v>0</v>
      </c>
      <c r="K728">
        <f t="shared" si="11"/>
        <v>89</v>
      </c>
      <c r="L728" s="8" t="str" cm="1">
        <f t="array" ref="L728">_xlfn.IFS(
 AND(K728&gt;=89,K728&lt;=92),"3개월",
 AND(K728&gt;=58,K728&lt;=62),"2개월",
 AND(K728&gt;=28,K728&lt;=32),"1개월",
 AND(K728=0),"당월",
 TRUE,"그외"
)</f>
        <v>3개월</v>
      </c>
    </row>
    <row r="729" spans="1:12" ht="17.649999999999999" customHeight="1" x14ac:dyDescent="0.3">
      <c r="A729" s="5">
        <v>46143</v>
      </c>
      <c r="B729" s="6" t="s">
        <v>20</v>
      </c>
      <c r="C729" s="6" t="s">
        <v>31</v>
      </c>
      <c r="D729" s="5">
        <v>46082</v>
      </c>
      <c r="E729" s="6" t="s">
        <v>14</v>
      </c>
      <c r="F729" s="7">
        <v>1040</v>
      </c>
      <c r="G729" s="7">
        <v>149388.8826923077</v>
      </c>
      <c r="H729" s="7">
        <v>155364438</v>
      </c>
      <c r="I729" s="7">
        <v>25935200</v>
      </c>
      <c r="J729" s="7">
        <v>0</v>
      </c>
      <c r="K729">
        <f t="shared" si="11"/>
        <v>61</v>
      </c>
      <c r="L729" s="8" t="str" cm="1">
        <f t="array" ref="L729">_xlfn.IFS(
 AND(K729&gt;=89,K729&lt;=92),"3개월",
 AND(K729&gt;=58,K729&lt;=62),"2개월",
 AND(K729&gt;=28,K729&lt;=32),"1개월",
 AND(K729=0),"당월",
 TRUE,"그외"
)</f>
        <v>2개월</v>
      </c>
    </row>
    <row r="730" spans="1:12" ht="17.649999999999999" customHeight="1" x14ac:dyDescent="0.3">
      <c r="A730" s="5">
        <v>46143</v>
      </c>
      <c r="B730" s="6" t="s">
        <v>20</v>
      </c>
      <c r="C730" s="6" t="s">
        <v>31</v>
      </c>
      <c r="D730" s="5">
        <v>46082</v>
      </c>
      <c r="E730" s="6" t="s">
        <v>15</v>
      </c>
      <c r="F730" s="7">
        <v>2717</v>
      </c>
      <c r="G730" s="7">
        <v>186399.54729481041</v>
      </c>
      <c r="H730" s="7">
        <v>506447570</v>
      </c>
      <c r="I730" s="7">
        <v>48141343</v>
      </c>
      <c r="J730" s="7">
        <v>0</v>
      </c>
      <c r="K730">
        <f t="shared" si="11"/>
        <v>61</v>
      </c>
      <c r="L730" s="8" t="str" cm="1">
        <f t="array" ref="L730">_xlfn.IFS(
 AND(K730&gt;=89,K730&lt;=92),"3개월",
 AND(K730&gt;=58,K730&lt;=62),"2개월",
 AND(K730&gt;=28,K730&lt;=32),"1개월",
 AND(K730=0),"당월",
 TRUE,"그외"
)</f>
        <v>2개월</v>
      </c>
    </row>
    <row r="731" spans="1:12" ht="17.649999999999999" customHeight="1" x14ac:dyDescent="0.3">
      <c r="A731" s="5">
        <v>46143</v>
      </c>
      <c r="B731" s="6" t="s">
        <v>20</v>
      </c>
      <c r="C731" s="6" t="s">
        <v>31</v>
      </c>
      <c r="D731" s="5">
        <v>46113</v>
      </c>
      <c r="E731" s="6" t="s">
        <v>14</v>
      </c>
      <c r="F731" s="7">
        <v>997</v>
      </c>
      <c r="G731" s="7">
        <v>157164.86058174519</v>
      </c>
      <c r="H731" s="7">
        <v>156693366</v>
      </c>
      <c r="I731" s="7">
        <v>42327239</v>
      </c>
      <c r="J731" s="7">
        <v>0</v>
      </c>
      <c r="K731">
        <f t="shared" si="11"/>
        <v>30</v>
      </c>
      <c r="L731" s="8" t="str" cm="1">
        <f t="array" ref="L731">_xlfn.IFS(
 AND(K731&gt;=89,K731&lt;=92),"3개월",
 AND(K731&gt;=58,K731&lt;=62),"2개월",
 AND(K731&gt;=28,K731&lt;=32),"1개월",
 AND(K731=0),"당월",
 TRUE,"그외"
)</f>
        <v>1개월</v>
      </c>
    </row>
    <row r="732" spans="1:12" ht="17.649999999999999" customHeight="1" x14ac:dyDescent="0.3">
      <c r="A732" s="5">
        <v>46143</v>
      </c>
      <c r="B732" s="6" t="s">
        <v>20</v>
      </c>
      <c r="C732" s="6" t="s">
        <v>31</v>
      </c>
      <c r="D732" s="5">
        <v>46113</v>
      </c>
      <c r="E732" s="6" t="s">
        <v>15</v>
      </c>
      <c r="F732" s="7">
        <v>2274</v>
      </c>
      <c r="G732" s="7">
        <v>210216.2343887423</v>
      </c>
      <c r="H732" s="7">
        <v>478031717</v>
      </c>
      <c r="I732" s="7">
        <v>84944700</v>
      </c>
      <c r="J732" s="7">
        <v>0</v>
      </c>
      <c r="K732">
        <f t="shared" si="11"/>
        <v>30</v>
      </c>
      <c r="L732" s="8" t="str" cm="1">
        <f t="array" ref="L732">_xlfn.IFS(
 AND(K732&gt;=89,K732&lt;=92),"3개월",
 AND(K732&gt;=58,K732&lt;=62),"2개월",
 AND(K732&gt;=28,K732&lt;=32),"1개월",
 AND(K732=0),"당월",
 TRUE,"그외"
)</f>
        <v>1개월</v>
      </c>
    </row>
    <row r="733" spans="1:12" ht="17.649999999999999" customHeight="1" x14ac:dyDescent="0.3">
      <c r="A733" s="5">
        <v>46143</v>
      </c>
      <c r="B733" s="6" t="s">
        <v>20</v>
      </c>
      <c r="C733" s="6" t="s">
        <v>31</v>
      </c>
      <c r="D733" s="5">
        <v>46143</v>
      </c>
      <c r="E733" s="6" t="s">
        <v>14</v>
      </c>
      <c r="F733" s="7">
        <v>2</v>
      </c>
      <c r="G733" s="7">
        <v>188711</v>
      </c>
      <c r="H733" s="7">
        <v>377422</v>
      </c>
      <c r="I733" s="7">
        <v>172912</v>
      </c>
      <c r="J733" s="7">
        <v>0</v>
      </c>
      <c r="K733">
        <f t="shared" si="11"/>
        <v>0</v>
      </c>
      <c r="L733" s="8" t="str" cm="1">
        <f t="array" ref="L733">_xlfn.IFS(
 AND(K733&gt;=89,K733&lt;=92),"3개월",
 AND(K733&gt;=58,K733&lt;=62),"2개월",
 AND(K733&gt;=28,K733&lt;=32),"1개월",
 AND(K733=0),"당월",
 TRUE,"그외"
)</f>
        <v>당월</v>
      </c>
    </row>
    <row r="734" spans="1:12" ht="17.649999999999999" customHeight="1" x14ac:dyDescent="0.3">
      <c r="A734" s="5">
        <v>46143</v>
      </c>
      <c r="B734" s="6" t="s">
        <v>20</v>
      </c>
      <c r="C734" s="6" t="s">
        <v>31</v>
      </c>
      <c r="D734" s="5">
        <v>46143</v>
      </c>
      <c r="E734" s="6" t="s">
        <v>15</v>
      </c>
      <c r="F734" s="7">
        <v>418</v>
      </c>
      <c r="G734" s="7">
        <v>197765.15071770339</v>
      </c>
      <c r="H734" s="7">
        <v>82665833</v>
      </c>
      <c r="I734" s="7">
        <v>24182536</v>
      </c>
      <c r="J734" s="7">
        <v>0</v>
      </c>
      <c r="K734">
        <f t="shared" si="11"/>
        <v>0</v>
      </c>
      <c r="L734" s="8" t="str" cm="1">
        <f t="array" ref="L734">_xlfn.IFS(
 AND(K734&gt;=89,K734&lt;=92),"3개월",
 AND(K734&gt;=58,K734&lt;=62),"2개월",
 AND(K734&gt;=28,K734&lt;=32),"1개월",
 AND(K734=0),"당월",
 TRUE,"그외"
)</f>
        <v>당월</v>
      </c>
    </row>
    <row r="735" spans="1:12" ht="17.649999999999999" customHeight="1" x14ac:dyDescent="0.3">
      <c r="A735" s="5">
        <v>46143</v>
      </c>
      <c r="B735" s="6" t="s">
        <v>20</v>
      </c>
      <c r="C735" s="6" t="s">
        <v>32</v>
      </c>
      <c r="D735" s="5">
        <v>45931</v>
      </c>
      <c r="E735" s="6" t="s">
        <v>15</v>
      </c>
      <c r="F735" s="7">
        <v>183</v>
      </c>
      <c r="G735" s="7">
        <v>123874.1530054645</v>
      </c>
      <c r="H735" s="7">
        <v>22668970</v>
      </c>
      <c r="I735" s="7">
        <v>3895364</v>
      </c>
      <c r="J735" s="7">
        <v>0</v>
      </c>
      <c r="K735">
        <f t="shared" si="11"/>
        <v>212</v>
      </c>
      <c r="L735" s="8" t="str" cm="1">
        <f t="array" ref="L735">_xlfn.IFS(
 AND(K735&gt;=89,K735&lt;=92),"3개월",
 AND(K735&gt;=58,K735&lt;=62),"2개월",
 AND(K735&gt;=28,K735&lt;=32),"1개월",
 AND(K735=0),"당월",
 TRUE,"그외"
)</f>
        <v>그외</v>
      </c>
    </row>
    <row r="736" spans="1:12" ht="17.649999999999999" customHeight="1" x14ac:dyDescent="0.3">
      <c r="A736" s="5">
        <v>46143</v>
      </c>
      <c r="B736" s="6" t="s">
        <v>20</v>
      </c>
      <c r="C736" s="6" t="s">
        <v>32</v>
      </c>
      <c r="D736" s="5">
        <v>45962</v>
      </c>
      <c r="E736" s="6" t="s">
        <v>14</v>
      </c>
      <c r="F736" s="7">
        <v>26</v>
      </c>
      <c r="G736" s="7">
        <v>109027</v>
      </c>
      <c r="H736" s="7">
        <v>2834702</v>
      </c>
      <c r="I736" s="7">
        <v>757588</v>
      </c>
      <c r="J736" s="7">
        <v>0</v>
      </c>
      <c r="K736">
        <f t="shared" si="11"/>
        <v>181</v>
      </c>
      <c r="L736" s="8" t="str" cm="1">
        <f t="array" ref="L736">_xlfn.IFS(
 AND(K736&gt;=89,K736&lt;=92),"3개월",
 AND(K736&gt;=58,K736&lt;=62),"2개월",
 AND(K736&gt;=28,K736&lt;=32),"1개월",
 AND(K736=0),"당월",
 TRUE,"그외"
)</f>
        <v>그외</v>
      </c>
    </row>
    <row r="737" spans="1:12" ht="17.649999999999999" customHeight="1" x14ac:dyDescent="0.3">
      <c r="A737" s="5">
        <v>46143</v>
      </c>
      <c r="B737" s="6" t="s">
        <v>20</v>
      </c>
      <c r="C737" s="6" t="s">
        <v>32</v>
      </c>
      <c r="D737" s="5">
        <v>45962</v>
      </c>
      <c r="E737" s="6" t="s">
        <v>15</v>
      </c>
      <c r="F737" s="7">
        <v>1057</v>
      </c>
      <c r="G737" s="7">
        <v>129320.86187322609</v>
      </c>
      <c r="H737" s="7">
        <v>136692151</v>
      </c>
      <c r="I737" s="7">
        <v>21310065</v>
      </c>
      <c r="J737" s="7">
        <v>0</v>
      </c>
      <c r="K737">
        <f t="shared" si="11"/>
        <v>181</v>
      </c>
      <c r="L737" s="8" t="str" cm="1">
        <f t="array" ref="L737">_xlfn.IFS(
 AND(K737&gt;=89,K737&lt;=92),"3개월",
 AND(K737&gt;=58,K737&lt;=62),"2개월",
 AND(K737&gt;=28,K737&lt;=32),"1개월",
 AND(K737=0),"당월",
 TRUE,"그외"
)</f>
        <v>그외</v>
      </c>
    </row>
    <row r="738" spans="1:12" ht="17.649999999999999" customHeight="1" x14ac:dyDescent="0.3">
      <c r="A738" s="5">
        <v>46143</v>
      </c>
      <c r="B738" s="6" t="s">
        <v>20</v>
      </c>
      <c r="C738" s="6" t="s">
        <v>32</v>
      </c>
      <c r="D738" s="5">
        <v>45992</v>
      </c>
      <c r="E738" s="6" t="s">
        <v>14</v>
      </c>
      <c r="F738" s="7">
        <v>40</v>
      </c>
      <c r="G738" s="7">
        <v>116381.6</v>
      </c>
      <c r="H738" s="7">
        <v>4655264</v>
      </c>
      <c r="I738" s="7">
        <v>1161864</v>
      </c>
      <c r="J738" s="7">
        <v>0</v>
      </c>
      <c r="K738">
        <f t="shared" si="11"/>
        <v>151</v>
      </c>
      <c r="L738" s="8" t="str" cm="1">
        <f t="array" ref="L738">_xlfn.IFS(
 AND(K738&gt;=89,K738&lt;=92),"3개월",
 AND(K738&gt;=58,K738&lt;=62),"2개월",
 AND(K738&gt;=28,K738&lt;=32),"1개월",
 AND(K738=0),"당월",
 TRUE,"그외"
)</f>
        <v>그외</v>
      </c>
    </row>
    <row r="739" spans="1:12" ht="17.649999999999999" customHeight="1" x14ac:dyDescent="0.3">
      <c r="A739" s="5">
        <v>46143</v>
      </c>
      <c r="B739" s="6" t="s">
        <v>20</v>
      </c>
      <c r="C739" s="6" t="s">
        <v>32</v>
      </c>
      <c r="D739" s="5">
        <v>45992</v>
      </c>
      <c r="E739" s="6" t="s">
        <v>15</v>
      </c>
      <c r="F739" s="7">
        <v>874</v>
      </c>
      <c r="G739" s="7">
        <v>140809.29061784901</v>
      </c>
      <c r="H739" s="7">
        <v>123067320</v>
      </c>
      <c r="I739" s="7">
        <v>20183623</v>
      </c>
      <c r="J739" s="7">
        <v>0</v>
      </c>
      <c r="K739">
        <f t="shared" si="11"/>
        <v>151</v>
      </c>
      <c r="L739" s="8" t="str" cm="1">
        <f t="array" ref="L739">_xlfn.IFS(
 AND(K739&gt;=89,K739&lt;=92),"3개월",
 AND(K739&gt;=58,K739&lt;=62),"2개월",
 AND(K739&gt;=28,K739&lt;=32),"1개월",
 AND(K739=0),"당월",
 TRUE,"그외"
)</f>
        <v>그외</v>
      </c>
    </row>
    <row r="740" spans="1:12" ht="17.649999999999999" customHeight="1" x14ac:dyDescent="0.3">
      <c r="A740" s="5">
        <v>46143</v>
      </c>
      <c r="B740" s="6" t="s">
        <v>20</v>
      </c>
      <c r="C740" s="6" t="s">
        <v>32</v>
      </c>
      <c r="D740" s="5">
        <v>46023</v>
      </c>
      <c r="E740" s="6" t="s">
        <v>14</v>
      </c>
      <c r="F740" s="7">
        <v>310</v>
      </c>
      <c r="G740" s="7">
        <v>112948.5193548387</v>
      </c>
      <c r="H740" s="7">
        <v>35014041</v>
      </c>
      <c r="I740" s="7">
        <v>8907882</v>
      </c>
      <c r="J740" s="7">
        <v>0</v>
      </c>
      <c r="K740">
        <f t="shared" si="11"/>
        <v>120</v>
      </c>
      <c r="L740" s="8" t="str" cm="1">
        <f t="array" ref="L740">_xlfn.IFS(
 AND(K740&gt;=89,K740&lt;=92),"3개월",
 AND(K740&gt;=58,K740&lt;=62),"2개월",
 AND(K740&gt;=28,K740&lt;=32),"1개월",
 AND(K740=0),"당월",
 TRUE,"그외"
)</f>
        <v>그외</v>
      </c>
    </row>
    <row r="741" spans="1:12" ht="17.649999999999999" customHeight="1" x14ac:dyDescent="0.3">
      <c r="A741" s="5">
        <v>46143</v>
      </c>
      <c r="B741" s="6" t="s">
        <v>20</v>
      </c>
      <c r="C741" s="6" t="s">
        <v>32</v>
      </c>
      <c r="D741" s="5">
        <v>46023</v>
      </c>
      <c r="E741" s="6" t="s">
        <v>15</v>
      </c>
      <c r="F741" s="7">
        <v>1335</v>
      </c>
      <c r="G741" s="7">
        <v>169221.7947565543</v>
      </c>
      <c r="H741" s="7">
        <v>225911096</v>
      </c>
      <c r="I741" s="7">
        <v>32152298</v>
      </c>
      <c r="J741" s="7">
        <v>0</v>
      </c>
      <c r="K741">
        <f t="shared" si="11"/>
        <v>120</v>
      </c>
      <c r="L741" s="8" t="str" cm="1">
        <f t="array" ref="L741">_xlfn.IFS(
 AND(K741&gt;=89,K741&lt;=92),"3개월",
 AND(K741&gt;=58,K741&lt;=62),"2개월",
 AND(K741&gt;=28,K741&lt;=32),"1개월",
 AND(K741=0),"당월",
 TRUE,"그외"
)</f>
        <v>그외</v>
      </c>
    </row>
    <row r="742" spans="1:12" ht="17.649999999999999" customHeight="1" x14ac:dyDescent="0.3">
      <c r="A742" s="5">
        <v>46143</v>
      </c>
      <c r="B742" s="6" t="s">
        <v>20</v>
      </c>
      <c r="C742" s="6" t="s">
        <v>32</v>
      </c>
      <c r="D742" s="5">
        <v>46054</v>
      </c>
      <c r="E742" s="6" t="s">
        <v>14</v>
      </c>
      <c r="F742" s="7">
        <v>314</v>
      </c>
      <c r="G742" s="7">
        <v>214369.32165605089</v>
      </c>
      <c r="H742" s="7">
        <v>67311967</v>
      </c>
      <c r="I742" s="7">
        <v>6485892</v>
      </c>
      <c r="J742" s="7">
        <v>0</v>
      </c>
      <c r="K742">
        <f t="shared" si="11"/>
        <v>89</v>
      </c>
      <c r="L742" s="8" t="str" cm="1">
        <f t="array" ref="L742">_xlfn.IFS(
 AND(K742&gt;=89,K742&lt;=92),"3개월",
 AND(K742&gt;=58,K742&lt;=62),"2개월",
 AND(K742&gt;=28,K742&lt;=32),"1개월",
 AND(K742=0),"당월",
 TRUE,"그외"
)</f>
        <v>3개월</v>
      </c>
    </row>
    <row r="743" spans="1:12" ht="17.649999999999999" customHeight="1" x14ac:dyDescent="0.3">
      <c r="A743" s="5">
        <v>46143</v>
      </c>
      <c r="B743" s="6" t="s">
        <v>20</v>
      </c>
      <c r="C743" s="6" t="s">
        <v>32</v>
      </c>
      <c r="D743" s="5">
        <v>46054</v>
      </c>
      <c r="E743" s="6" t="s">
        <v>15</v>
      </c>
      <c r="F743" s="7">
        <v>1758</v>
      </c>
      <c r="G743" s="7">
        <v>196511.91638225259</v>
      </c>
      <c r="H743" s="7">
        <v>345467949</v>
      </c>
      <c r="I743" s="7">
        <v>37828815</v>
      </c>
      <c r="J743" s="7">
        <v>0</v>
      </c>
      <c r="K743">
        <f t="shared" si="11"/>
        <v>89</v>
      </c>
      <c r="L743" s="8" t="str" cm="1">
        <f t="array" ref="L743">_xlfn.IFS(
 AND(K743&gt;=89,K743&lt;=92),"3개월",
 AND(K743&gt;=58,K743&lt;=62),"2개월",
 AND(K743&gt;=28,K743&lt;=32),"1개월",
 AND(K743=0),"당월",
 TRUE,"그외"
)</f>
        <v>3개월</v>
      </c>
    </row>
    <row r="744" spans="1:12" ht="17.649999999999999" customHeight="1" x14ac:dyDescent="0.3">
      <c r="A744" s="5">
        <v>46143</v>
      </c>
      <c r="B744" s="6" t="s">
        <v>20</v>
      </c>
      <c r="C744" s="6" t="s">
        <v>32</v>
      </c>
      <c r="D744" s="5">
        <v>46082</v>
      </c>
      <c r="E744" s="6" t="s">
        <v>14</v>
      </c>
      <c r="F744" s="7">
        <v>2062</v>
      </c>
      <c r="G744" s="7">
        <v>169364.06256062069</v>
      </c>
      <c r="H744" s="7">
        <v>349228697</v>
      </c>
      <c r="I744" s="7">
        <v>42093094</v>
      </c>
      <c r="J744" s="7">
        <v>0</v>
      </c>
      <c r="K744">
        <f t="shared" si="11"/>
        <v>61</v>
      </c>
      <c r="L744" s="8" t="str" cm="1">
        <f t="array" ref="L744">_xlfn.IFS(
 AND(K744&gt;=89,K744&lt;=92),"3개월",
 AND(K744&gt;=58,K744&lt;=62),"2개월",
 AND(K744&gt;=28,K744&lt;=32),"1개월",
 AND(K744=0),"당월",
 TRUE,"그외"
)</f>
        <v>2개월</v>
      </c>
    </row>
    <row r="745" spans="1:12" ht="17.649999999999999" customHeight="1" x14ac:dyDescent="0.3">
      <c r="A745" s="5">
        <v>46143</v>
      </c>
      <c r="B745" s="6" t="s">
        <v>20</v>
      </c>
      <c r="C745" s="6" t="s">
        <v>32</v>
      </c>
      <c r="D745" s="5">
        <v>46082</v>
      </c>
      <c r="E745" s="6" t="s">
        <v>15</v>
      </c>
      <c r="F745" s="7">
        <v>4520</v>
      </c>
      <c r="G745" s="7">
        <v>192859.6424778761</v>
      </c>
      <c r="H745" s="7">
        <v>871725584</v>
      </c>
      <c r="I745" s="7">
        <v>104172800</v>
      </c>
      <c r="J745" s="7">
        <v>0</v>
      </c>
      <c r="K745">
        <f t="shared" si="11"/>
        <v>61</v>
      </c>
      <c r="L745" s="8" t="str" cm="1">
        <f t="array" ref="L745">_xlfn.IFS(
 AND(K745&gt;=89,K745&lt;=92),"3개월",
 AND(K745&gt;=58,K745&lt;=62),"2개월",
 AND(K745&gt;=28,K745&lt;=32),"1개월",
 AND(K745=0),"당월",
 TRUE,"그외"
)</f>
        <v>2개월</v>
      </c>
    </row>
    <row r="746" spans="1:12" ht="17.649999999999999" customHeight="1" x14ac:dyDescent="0.3">
      <c r="A746" s="5">
        <v>46143</v>
      </c>
      <c r="B746" s="6" t="s">
        <v>20</v>
      </c>
      <c r="C746" s="6" t="s">
        <v>32</v>
      </c>
      <c r="D746" s="5">
        <v>46113</v>
      </c>
      <c r="E746" s="6" t="s">
        <v>14</v>
      </c>
      <c r="F746" s="7">
        <v>1972</v>
      </c>
      <c r="G746" s="7">
        <v>248412.5760649087</v>
      </c>
      <c r="H746" s="7">
        <v>489869600</v>
      </c>
      <c r="I746" s="7">
        <v>70572370</v>
      </c>
      <c r="J746" s="7">
        <v>0</v>
      </c>
      <c r="K746">
        <f t="shared" si="11"/>
        <v>30</v>
      </c>
      <c r="L746" s="8" t="str" cm="1">
        <f t="array" ref="L746">_xlfn.IFS(
 AND(K746&gt;=89,K746&lt;=92),"3개월",
 AND(K746&gt;=58,K746&lt;=62),"2개월",
 AND(K746&gt;=28,K746&lt;=32),"1개월",
 AND(K746=0),"당월",
 TRUE,"그외"
)</f>
        <v>1개월</v>
      </c>
    </row>
    <row r="747" spans="1:12" ht="17.649999999999999" customHeight="1" x14ac:dyDescent="0.3">
      <c r="A747" s="5">
        <v>46143</v>
      </c>
      <c r="B747" s="6" t="s">
        <v>20</v>
      </c>
      <c r="C747" s="6" t="s">
        <v>32</v>
      </c>
      <c r="D747" s="5">
        <v>46113</v>
      </c>
      <c r="E747" s="6" t="s">
        <v>15</v>
      </c>
      <c r="F747" s="7">
        <v>9537</v>
      </c>
      <c r="G747" s="7">
        <v>166519.3447625039</v>
      </c>
      <c r="H747" s="7">
        <v>1588094991</v>
      </c>
      <c r="I747" s="7">
        <v>458562551</v>
      </c>
      <c r="J747" s="7">
        <v>0</v>
      </c>
      <c r="K747">
        <f t="shared" si="11"/>
        <v>30</v>
      </c>
      <c r="L747" s="8" t="str" cm="1">
        <f t="array" ref="L747">_xlfn.IFS(
 AND(K747&gt;=89,K747&lt;=92),"3개월",
 AND(K747&gt;=58,K747&lt;=62),"2개월",
 AND(K747&gt;=28,K747&lt;=32),"1개월",
 AND(K747=0),"당월",
 TRUE,"그외"
)</f>
        <v>1개월</v>
      </c>
    </row>
    <row r="748" spans="1:12" ht="17.649999999999999" customHeight="1" x14ac:dyDescent="0.3">
      <c r="A748" s="5">
        <v>46143</v>
      </c>
      <c r="B748" s="6" t="s">
        <v>20</v>
      </c>
      <c r="C748" s="6" t="s">
        <v>32</v>
      </c>
      <c r="D748" s="5">
        <v>46143</v>
      </c>
      <c r="E748" s="6" t="s">
        <v>14</v>
      </c>
      <c r="F748" s="7">
        <v>896</v>
      </c>
      <c r="G748" s="7">
        <v>58874.84375</v>
      </c>
      <c r="H748" s="7">
        <v>52751860</v>
      </c>
      <c r="I748" s="7">
        <v>2318200</v>
      </c>
      <c r="J748" s="7">
        <v>0</v>
      </c>
      <c r="K748">
        <f t="shared" si="11"/>
        <v>0</v>
      </c>
      <c r="L748" s="8" t="str" cm="1">
        <f t="array" ref="L748">_xlfn.IFS(
 AND(K748&gt;=89,K748&lt;=92),"3개월",
 AND(K748&gt;=58,K748&lt;=62),"2개월",
 AND(K748&gt;=28,K748&lt;=32),"1개월",
 AND(K748=0),"당월",
 TRUE,"그외"
)</f>
        <v>당월</v>
      </c>
    </row>
    <row r="749" spans="1:12" ht="17.649999999999999" customHeight="1" x14ac:dyDescent="0.3">
      <c r="A749" s="5">
        <v>46143</v>
      </c>
      <c r="B749" s="6" t="s">
        <v>20</v>
      </c>
      <c r="C749" s="6" t="s">
        <v>32</v>
      </c>
      <c r="D749" s="5">
        <v>46143</v>
      </c>
      <c r="E749" s="6" t="s">
        <v>15</v>
      </c>
      <c r="F749" s="7">
        <v>959</v>
      </c>
      <c r="G749" s="7">
        <v>175175.01876955159</v>
      </c>
      <c r="H749" s="7">
        <v>167992843</v>
      </c>
      <c r="I749" s="7">
        <v>67570868</v>
      </c>
      <c r="J749" s="7">
        <v>0</v>
      </c>
      <c r="K749">
        <f t="shared" si="11"/>
        <v>0</v>
      </c>
      <c r="L749" s="8" t="str" cm="1">
        <f t="array" ref="L749">_xlfn.IFS(
 AND(K749&gt;=89,K749&lt;=92),"3개월",
 AND(K749&gt;=58,K749&lt;=62),"2개월",
 AND(K749&gt;=28,K749&lt;=32),"1개월",
 AND(K749=0),"당월",
 TRUE,"그외"
)</f>
        <v>당월</v>
      </c>
    </row>
    <row r="750" spans="1:12" ht="17.649999999999999" customHeight="1" x14ac:dyDescent="0.3">
      <c r="A750" s="5">
        <v>46143</v>
      </c>
      <c r="B750" s="6" t="s">
        <v>20</v>
      </c>
      <c r="C750" s="6" t="s">
        <v>33</v>
      </c>
      <c r="D750" s="5">
        <v>45931</v>
      </c>
      <c r="E750" s="6" t="s">
        <v>15</v>
      </c>
      <c r="F750" s="7">
        <v>67</v>
      </c>
      <c r="G750" s="7">
        <v>155366.58208955219</v>
      </c>
      <c r="H750" s="7">
        <v>10409561</v>
      </c>
      <c r="I750" s="7">
        <v>1254644</v>
      </c>
      <c r="J750" s="7">
        <v>0</v>
      </c>
      <c r="K750">
        <f t="shared" si="11"/>
        <v>212</v>
      </c>
      <c r="L750" s="8" t="str" cm="1">
        <f t="array" ref="L750">_xlfn.IFS(
 AND(K750&gt;=89,K750&lt;=92),"3개월",
 AND(K750&gt;=58,K750&lt;=62),"2개월",
 AND(K750&gt;=28,K750&lt;=32),"1개월",
 AND(K750=0),"당월",
 TRUE,"그외"
)</f>
        <v>그외</v>
      </c>
    </row>
    <row r="751" spans="1:12" ht="17.649999999999999" customHeight="1" x14ac:dyDescent="0.3">
      <c r="A751" s="5">
        <v>46143</v>
      </c>
      <c r="B751" s="6" t="s">
        <v>20</v>
      </c>
      <c r="C751" s="6" t="s">
        <v>33</v>
      </c>
      <c r="D751" s="5">
        <v>45962</v>
      </c>
      <c r="E751" s="6" t="s">
        <v>14</v>
      </c>
      <c r="F751" s="7">
        <v>3</v>
      </c>
      <c r="G751" s="7">
        <v>287306</v>
      </c>
      <c r="H751" s="7">
        <v>861918</v>
      </c>
      <c r="I751" s="7">
        <v>87801</v>
      </c>
      <c r="J751" s="7">
        <v>0</v>
      </c>
      <c r="K751">
        <f t="shared" si="11"/>
        <v>181</v>
      </c>
      <c r="L751" s="8" t="str" cm="1">
        <f t="array" ref="L751">_xlfn.IFS(
 AND(K751&gt;=89,K751&lt;=92),"3개월",
 AND(K751&gt;=58,K751&lt;=62),"2개월",
 AND(K751&gt;=28,K751&lt;=32),"1개월",
 AND(K751=0),"당월",
 TRUE,"그외"
)</f>
        <v>그외</v>
      </c>
    </row>
    <row r="752" spans="1:12" ht="17.649999999999999" customHeight="1" x14ac:dyDescent="0.3">
      <c r="A752" s="5">
        <v>46143</v>
      </c>
      <c r="B752" s="6" t="s">
        <v>20</v>
      </c>
      <c r="C752" s="6" t="s">
        <v>33</v>
      </c>
      <c r="D752" s="5">
        <v>45962</v>
      </c>
      <c r="E752" s="6" t="s">
        <v>15</v>
      </c>
      <c r="F752" s="7">
        <v>192</v>
      </c>
      <c r="G752" s="7">
        <v>152650.921875</v>
      </c>
      <c r="H752" s="7">
        <v>29308977</v>
      </c>
      <c r="I752" s="7">
        <v>3731090</v>
      </c>
      <c r="J752" s="7">
        <v>0</v>
      </c>
      <c r="K752">
        <f t="shared" si="11"/>
        <v>181</v>
      </c>
      <c r="L752" s="8" t="str" cm="1">
        <f t="array" ref="L752">_xlfn.IFS(
 AND(K752&gt;=89,K752&lt;=92),"3개월",
 AND(K752&gt;=58,K752&lt;=62),"2개월",
 AND(K752&gt;=28,K752&lt;=32),"1개월",
 AND(K752=0),"당월",
 TRUE,"그외"
)</f>
        <v>그외</v>
      </c>
    </row>
    <row r="753" spans="1:12" ht="17.649999999999999" customHeight="1" x14ac:dyDescent="0.3">
      <c r="A753" s="5">
        <v>46143</v>
      </c>
      <c r="B753" s="6" t="s">
        <v>20</v>
      </c>
      <c r="C753" s="6" t="s">
        <v>33</v>
      </c>
      <c r="D753" s="5">
        <v>45992</v>
      </c>
      <c r="E753" s="6" t="s">
        <v>14</v>
      </c>
      <c r="F753" s="7">
        <v>9</v>
      </c>
      <c r="G753" s="7">
        <v>165813.11111111109</v>
      </c>
      <c r="H753" s="7">
        <v>1492318</v>
      </c>
      <c r="I753" s="7">
        <v>263637</v>
      </c>
      <c r="J753" s="7">
        <v>0</v>
      </c>
      <c r="K753">
        <f t="shared" si="11"/>
        <v>151</v>
      </c>
      <c r="L753" s="8" t="str" cm="1">
        <f t="array" ref="L753">_xlfn.IFS(
 AND(K753&gt;=89,K753&lt;=92),"3개월",
 AND(K753&gt;=58,K753&lt;=62),"2개월",
 AND(K753&gt;=28,K753&lt;=32),"1개월",
 AND(K753=0),"당월",
 TRUE,"그외"
)</f>
        <v>그외</v>
      </c>
    </row>
    <row r="754" spans="1:12" ht="17.649999999999999" customHeight="1" x14ac:dyDescent="0.3">
      <c r="A754" s="5">
        <v>46143</v>
      </c>
      <c r="B754" s="6" t="s">
        <v>20</v>
      </c>
      <c r="C754" s="6" t="s">
        <v>33</v>
      </c>
      <c r="D754" s="5">
        <v>45992</v>
      </c>
      <c r="E754" s="6" t="s">
        <v>15</v>
      </c>
      <c r="F754" s="7">
        <v>353</v>
      </c>
      <c r="G754" s="7">
        <v>190874.63739376771</v>
      </c>
      <c r="H754" s="7">
        <v>67378747</v>
      </c>
      <c r="I754" s="7">
        <v>7535139</v>
      </c>
      <c r="J754" s="7">
        <v>0</v>
      </c>
      <c r="K754">
        <f t="shared" si="11"/>
        <v>151</v>
      </c>
      <c r="L754" s="8" t="str" cm="1">
        <f t="array" ref="L754">_xlfn.IFS(
 AND(K754&gt;=89,K754&lt;=92),"3개월",
 AND(K754&gt;=58,K754&lt;=62),"2개월",
 AND(K754&gt;=28,K754&lt;=32),"1개월",
 AND(K754=0),"당월",
 TRUE,"그외"
)</f>
        <v>그외</v>
      </c>
    </row>
    <row r="755" spans="1:12" ht="17.649999999999999" customHeight="1" x14ac:dyDescent="0.3">
      <c r="A755" s="5">
        <v>46143</v>
      </c>
      <c r="B755" s="6" t="s">
        <v>20</v>
      </c>
      <c r="C755" s="6" t="s">
        <v>33</v>
      </c>
      <c r="D755" s="5">
        <v>46023</v>
      </c>
      <c r="E755" s="6" t="s">
        <v>14</v>
      </c>
      <c r="F755" s="7">
        <v>16</v>
      </c>
      <c r="G755" s="7">
        <v>160411.5</v>
      </c>
      <c r="H755" s="7">
        <v>2566584</v>
      </c>
      <c r="I755" s="7">
        <v>460655</v>
      </c>
      <c r="J755" s="7">
        <v>0</v>
      </c>
      <c r="K755">
        <f t="shared" si="11"/>
        <v>120</v>
      </c>
      <c r="L755" s="8" t="str" cm="1">
        <f t="array" ref="L755">_xlfn.IFS(
 AND(K755&gt;=89,K755&lt;=92),"3개월",
 AND(K755&gt;=58,K755&lt;=62),"2개월",
 AND(K755&gt;=28,K755&lt;=32),"1개월",
 AND(K755=0),"당월",
 TRUE,"그외"
)</f>
        <v>그외</v>
      </c>
    </row>
    <row r="756" spans="1:12" ht="17.649999999999999" customHeight="1" x14ac:dyDescent="0.3">
      <c r="A756" s="5">
        <v>46143</v>
      </c>
      <c r="B756" s="6" t="s">
        <v>20</v>
      </c>
      <c r="C756" s="6" t="s">
        <v>33</v>
      </c>
      <c r="D756" s="5">
        <v>46023</v>
      </c>
      <c r="E756" s="6" t="s">
        <v>15</v>
      </c>
      <c r="F756" s="7">
        <v>683</v>
      </c>
      <c r="G756" s="7">
        <v>215871.03221083459</v>
      </c>
      <c r="H756" s="7">
        <v>147439915</v>
      </c>
      <c r="I756" s="7">
        <v>15469427</v>
      </c>
      <c r="J756" s="7">
        <v>0</v>
      </c>
      <c r="K756">
        <f t="shared" si="11"/>
        <v>120</v>
      </c>
      <c r="L756" s="8" t="str" cm="1">
        <f t="array" ref="L756">_xlfn.IFS(
 AND(K756&gt;=89,K756&lt;=92),"3개월",
 AND(K756&gt;=58,K756&lt;=62),"2개월",
 AND(K756&gt;=28,K756&lt;=32),"1개월",
 AND(K756=0),"당월",
 TRUE,"그외"
)</f>
        <v>그외</v>
      </c>
    </row>
    <row r="757" spans="1:12" ht="17.649999999999999" customHeight="1" x14ac:dyDescent="0.3">
      <c r="A757" s="5">
        <v>46143</v>
      </c>
      <c r="B757" s="6" t="s">
        <v>20</v>
      </c>
      <c r="C757" s="6" t="s">
        <v>33</v>
      </c>
      <c r="D757" s="5">
        <v>46054</v>
      </c>
      <c r="E757" s="6" t="s">
        <v>14</v>
      </c>
      <c r="F757" s="7">
        <v>53</v>
      </c>
      <c r="G757" s="7">
        <v>156367.98113207551</v>
      </c>
      <c r="H757" s="7">
        <v>8287503</v>
      </c>
      <c r="I757" s="7">
        <v>1838780</v>
      </c>
      <c r="J757" s="7">
        <v>0</v>
      </c>
      <c r="K757">
        <f t="shared" si="11"/>
        <v>89</v>
      </c>
      <c r="L757" s="8" t="str" cm="1">
        <f t="array" ref="L757">_xlfn.IFS(
 AND(K757&gt;=89,K757&lt;=92),"3개월",
 AND(K757&gt;=58,K757&lt;=62),"2개월",
 AND(K757&gt;=28,K757&lt;=32),"1개월",
 AND(K757=0),"당월",
 TRUE,"그외"
)</f>
        <v>3개월</v>
      </c>
    </row>
    <row r="758" spans="1:12" ht="17.649999999999999" customHeight="1" x14ac:dyDescent="0.3">
      <c r="A758" s="5">
        <v>46143</v>
      </c>
      <c r="B758" s="6" t="s">
        <v>20</v>
      </c>
      <c r="C758" s="6" t="s">
        <v>33</v>
      </c>
      <c r="D758" s="5">
        <v>46054</v>
      </c>
      <c r="E758" s="6" t="s">
        <v>15</v>
      </c>
      <c r="F758" s="7">
        <v>1077</v>
      </c>
      <c r="G758" s="7">
        <v>239428.70844939651</v>
      </c>
      <c r="H758" s="7">
        <v>257864719</v>
      </c>
      <c r="I758" s="7">
        <v>20624345</v>
      </c>
      <c r="J758" s="7">
        <v>0</v>
      </c>
      <c r="K758">
        <f t="shared" si="11"/>
        <v>89</v>
      </c>
      <c r="L758" s="8" t="str" cm="1">
        <f t="array" ref="L758">_xlfn.IFS(
 AND(K758&gt;=89,K758&lt;=92),"3개월",
 AND(K758&gt;=58,K758&lt;=62),"2개월",
 AND(K758&gt;=28,K758&lt;=32),"1개월",
 AND(K758=0),"당월",
 TRUE,"그외"
)</f>
        <v>3개월</v>
      </c>
    </row>
    <row r="759" spans="1:12" ht="17.649999999999999" customHeight="1" x14ac:dyDescent="0.3">
      <c r="A759" s="5">
        <v>46143</v>
      </c>
      <c r="B759" s="6" t="s">
        <v>20</v>
      </c>
      <c r="C759" s="6" t="s">
        <v>33</v>
      </c>
      <c r="D759" s="5">
        <v>46082</v>
      </c>
      <c r="E759" s="6" t="s">
        <v>14</v>
      </c>
      <c r="F759" s="7">
        <v>727</v>
      </c>
      <c r="G759" s="7">
        <v>193910.9972489684</v>
      </c>
      <c r="H759" s="7">
        <v>140973295</v>
      </c>
      <c r="I759" s="7">
        <v>14532085</v>
      </c>
      <c r="J759" s="7">
        <v>0</v>
      </c>
      <c r="K759">
        <f t="shared" si="11"/>
        <v>61</v>
      </c>
      <c r="L759" s="8" t="str" cm="1">
        <f t="array" ref="L759">_xlfn.IFS(
 AND(K759&gt;=89,K759&lt;=92),"3개월",
 AND(K759&gt;=58,K759&lt;=62),"2개월",
 AND(K759&gt;=28,K759&lt;=32),"1개월",
 AND(K759=0),"당월",
 TRUE,"그외"
)</f>
        <v>2개월</v>
      </c>
    </row>
    <row r="760" spans="1:12" ht="17.649999999999999" customHeight="1" x14ac:dyDescent="0.3">
      <c r="A760" s="5">
        <v>46143</v>
      </c>
      <c r="B760" s="6" t="s">
        <v>20</v>
      </c>
      <c r="C760" s="6" t="s">
        <v>33</v>
      </c>
      <c r="D760" s="5">
        <v>46082</v>
      </c>
      <c r="E760" s="6" t="s">
        <v>15</v>
      </c>
      <c r="F760" s="7">
        <v>3063</v>
      </c>
      <c r="G760" s="7">
        <v>209641.09598432909</v>
      </c>
      <c r="H760" s="7">
        <v>642130677</v>
      </c>
      <c r="I760" s="7">
        <v>62605884</v>
      </c>
      <c r="J760" s="7">
        <v>0</v>
      </c>
      <c r="K760">
        <f t="shared" si="11"/>
        <v>61</v>
      </c>
      <c r="L760" s="8" t="str" cm="1">
        <f t="array" ref="L760">_xlfn.IFS(
 AND(K760&gt;=89,K760&lt;=92),"3개월",
 AND(K760&gt;=58,K760&lt;=62),"2개월",
 AND(K760&gt;=28,K760&lt;=32),"1개월",
 AND(K760=0),"당월",
 TRUE,"그외"
)</f>
        <v>2개월</v>
      </c>
    </row>
    <row r="761" spans="1:12" ht="17.649999999999999" customHeight="1" x14ac:dyDescent="0.3">
      <c r="A761" s="5">
        <v>46143</v>
      </c>
      <c r="B761" s="6" t="s">
        <v>20</v>
      </c>
      <c r="C761" s="6" t="s">
        <v>33</v>
      </c>
      <c r="D761" s="5">
        <v>46113</v>
      </c>
      <c r="E761" s="6" t="s">
        <v>14</v>
      </c>
      <c r="F761" s="7">
        <v>397</v>
      </c>
      <c r="G761" s="7">
        <v>175432.9521410579</v>
      </c>
      <c r="H761" s="7">
        <v>69646882</v>
      </c>
      <c r="I761" s="7">
        <v>20495293</v>
      </c>
      <c r="J761" s="7">
        <v>0</v>
      </c>
      <c r="K761">
        <f t="shared" si="11"/>
        <v>30</v>
      </c>
      <c r="L761" s="8" t="str" cm="1">
        <f t="array" ref="L761">_xlfn.IFS(
 AND(K761&gt;=89,K761&lt;=92),"3개월",
 AND(K761&gt;=58,K761&lt;=62),"2개월",
 AND(K761&gt;=28,K761&lt;=32),"1개월",
 AND(K761=0),"당월",
 TRUE,"그외"
)</f>
        <v>1개월</v>
      </c>
    </row>
    <row r="762" spans="1:12" ht="17.649999999999999" customHeight="1" x14ac:dyDescent="0.3">
      <c r="A762" s="5">
        <v>46143</v>
      </c>
      <c r="B762" s="6" t="s">
        <v>20</v>
      </c>
      <c r="C762" s="6" t="s">
        <v>33</v>
      </c>
      <c r="D762" s="5">
        <v>46113</v>
      </c>
      <c r="E762" s="6" t="s">
        <v>15</v>
      </c>
      <c r="F762" s="7">
        <v>2647</v>
      </c>
      <c r="G762" s="7">
        <v>202705.77937287491</v>
      </c>
      <c r="H762" s="7">
        <v>536562198</v>
      </c>
      <c r="I762" s="7">
        <v>130288225</v>
      </c>
      <c r="J762" s="7">
        <v>0</v>
      </c>
      <c r="K762">
        <f t="shared" si="11"/>
        <v>30</v>
      </c>
      <c r="L762" s="8" t="str" cm="1">
        <f t="array" ref="L762">_xlfn.IFS(
 AND(K762&gt;=89,K762&lt;=92),"3개월",
 AND(K762&gt;=58,K762&lt;=62),"2개월",
 AND(K762&gt;=28,K762&lt;=32),"1개월",
 AND(K762=0),"당월",
 TRUE,"그외"
)</f>
        <v>1개월</v>
      </c>
    </row>
    <row r="763" spans="1:12" ht="17.649999999999999" customHeight="1" x14ac:dyDescent="0.3">
      <c r="A763" s="5">
        <v>46143</v>
      </c>
      <c r="B763" s="6" t="s">
        <v>20</v>
      </c>
      <c r="C763" s="6" t="s">
        <v>33</v>
      </c>
      <c r="D763" s="5">
        <v>46143</v>
      </c>
      <c r="E763" s="6" t="s">
        <v>15</v>
      </c>
      <c r="F763" s="7">
        <v>368</v>
      </c>
      <c r="G763" s="7">
        <v>227934.66847826089</v>
      </c>
      <c r="H763" s="7">
        <v>83879958</v>
      </c>
      <c r="I763" s="7">
        <v>30241474</v>
      </c>
      <c r="J763" s="7">
        <v>0</v>
      </c>
      <c r="K763">
        <f t="shared" si="11"/>
        <v>0</v>
      </c>
      <c r="L763" s="8" t="str" cm="1">
        <f t="array" ref="L763">_xlfn.IFS(
 AND(K763&gt;=89,K763&lt;=92),"3개월",
 AND(K763&gt;=58,K763&lt;=62),"2개월",
 AND(K763&gt;=28,K763&lt;=32),"1개월",
 AND(K763=0),"당월",
 TRUE,"그외"
)</f>
        <v>당월</v>
      </c>
    </row>
    <row r="764" spans="1:12" ht="17.649999999999999" customHeight="1" x14ac:dyDescent="0.3">
      <c r="A764" s="5">
        <v>46143</v>
      </c>
      <c r="B764" s="6" t="s">
        <v>20</v>
      </c>
      <c r="C764" s="6" t="s">
        <v>34</v>
      </c>
      <c r="D764" s="5">
        <v>46082</v>
      </c>
      <c r="E764" s="6" t="s">
        <v>14</v>
      </c>
      <c r="F764" s="7">
        <v>170</v>
      </c>
      <c r="G764" s="7">
        <v>100213.1470588235</v>
      </c>
      <c r="H764" s="7">
        <v>17036235</v>
      </c>
      <c r="I764" s="7">
        <v>5895934</v>
      </c>
      <c r="J764" s="7">
        <v>0</v>
      </c>
      <c r="K764">
        <f t="shared" si="11"/>
        <v>61</v>
      </c>
      <c r="L764" s="8" t="str" cm="1">
        <f t="array" ref="L764">_xlfn.IFS(
 AND(K764&gt;=89,K764&lt;=92),"3개월",
 AND(K764&gt;=58,K764&lt;=62),"2개월",
 AND(K764&gt;=28,K764&lt;=32),"1개월",
 AND(K764=0),"당월",
 TRUE,"그외"
)</f>
        <v>2개월</v>
      </c>
    </row>
    <row r="765" spans="1:12" ht="17.649999999999999" customHeight="1" x14ac:dyDescent="0.3">
      <c r="A765" s="5">
        <v>46143</v>
      </c>
      <c r="B765" s="6" t="s">
        <v>20</v>
      </c>
      <c r="C765" s="6" t="s">
        <v>34</v>
      </c>
      <c r="D765" s="5">
        <v>46082</v>
      </c>
      <c r="E765" s="6" t="s">
        <v>15</v>
      </c>
      <c r="F765" s="7">
        <v>1628</v>
      </c>
      <c r="G765" s="7">
        <v>160434.769041769</v>
      </c>
      <c r="H765" s="7">
        <v>261187804</v>
      </c>
      <c r="I765" s="7">
        <v>36261919</v>
      </c>
      <c r="J765" s="7">
        <v>0</v>
      </c>
      <c r="K765">
        <f t="shared" si="11"/>
        <v>61</v>
      </c>
      <c r="L765" s="8" t="str" cm="1">
        <f t="array" ref="L765">_xlfn.IFS(
 AND(K765&gt;=89,K765&lt;=92),"3개월",
 AND(K765&gt;=58,K765&lt;=62),"2개월",
 AND(K765&gt;=28,K765&lt;=32),"1개월",
 AND(K765=0),"당월",
 TRUE,"그외"
)</f>
        <v>2개월</v>
      </c>
    </row>
    <row r="766" spans="1:12" ht="17.649999999999999" customHeight="1" x14ac:dyDescent="0.3">
      <c r="A766" s="5">
        <v>46143</v>
      </c>
      <c r="B766" s="6" t="s">
        <v>20</v>
      </c>
      <c r="C766" s="6" t="s">
        <v>34</v>
      </c>
      <c r="D766" s="5">
        <v>46113</v>
      </c>
      <c r="E766" s="6" t="s">
        <v>14</v>
      </c>
      <c r="F766" s="7">
        <v>261</v>
      </c>
      <c r="G766" s="7">
        <v>127775.5977011494</v>
      </c>
      <c r="H766" s="7">
        <v>33349431</v>
      </c>
      <c r="I766" s="7">
        <v>11939072</v>
      </c>
      <c r="J766" s="7">
        <v>0</v>
      </c>
      <c r="K766">
        <f t="shared" si="11"/>
        <v>30</v>
      </c>
      <c r="L766" s="8" t="str" cm="1">
        <f t="array" ref="L766">_xlfn.IFS(
 AND(K766&gt;=89,K766&lt;=92),"3개월",
 AND(K766&gt;=58,K766&lt;=62),"2개월",
 AND(K766&gt;=28,K766&lt;=32),"1개월",
 AND(K766=0),"당월",
 TRUE,"그외"
)</f>
        <v>1개월</v>
      </c>
    </row>
    <row r="767" spans="1:12" ht="17.649999999999999" customHeight="1" x14ac:dyDescent="0.3">
      <c r="A767" s="5">
        <v>46143</v>
      </c>
      <c r="B767" s="6" t="s">
        <v>20</v>
      </c>
      <c r="C767" s="6" t="s">
        <v>34</v>
      </c>
      <c r="D767" s="5">
        <v>46113</v>
      </c>
      <c r="E767" s="6" t="s">
        <v>15</v>
      </c>
      <c r="F767" s="7">
        <v>1751</v>
      </c>
      <c r="G767" s="7">
        <v>182922.8823529412</v>
      </c>
      <c r="H767" s="7">
        <v>320297967</v>
      </c>
      <c r="I767" s="7">
        <v>86141452</v>
      </c>
      <c r="J767" s="7">
        <v>0</v>
      </c>
      <c r="K767">
        <f t="shared" si="11"/>
        <v>30</v>
      </c>
      <c r="L767" s="8" t="str" cm="1">
        <f t="array" ref="L767">_xlfn.IFS(
 AND(K767&gt;=89,K767&lt;=92),"3개월",
 AND(K767&gt;=58,K767&lt;=62),"2개월",
 AND(K767&gt;=28,K767&lt;=32),"1개월",
 AND(K767=0),"당월",
 TRUE,"그외"
)</f>
        <v>1개월</v>
      </c>
    </row>
    <row r="768" spans="1:12" ht="17.649999999999999" customHeight="1" x14ac:dyDescent="0.3">
      <c r="A768" s="5">
        <v>46143</v>
      </c>
      <c r="B768" s="6" t="s">
        <v>20</v>
      </c>
      <c r="C768" s="6" t="s">
        <v>34</v>
      </c>
      <c r="D768" s="5">
        <v>46143</v>
      </c>
      <c r="E768" s="6" t="s">
        <v>14</v>
      </c>
      <c r="F768" s="7">
        <v>10</v>
      </c>
      <c r="G768" s="7">
        <v>148328.79999999999</v>
      </c>
      <c r="H768" s="7">
        <v>1483288</v>
      </c>
      <c r="I768" s="7">
        <v>867728</v>
      </c>
      <c r="J768" s="7">
        <v>0</v>
      </c>
      <c r="K768">
        <f t="shared" si="11"/>
        <v>0</v>
      </c>
      <c r="L768" s="8" t="str" cm="1">
        <f t="array" ref="L768">_xlfn.IFS(
 AND(K768&gt;=89,K768&lt;=92),"3개월",
 AND(K768&gt;=58,K768&lt;=62),"2개월",
 AND(K768&gt;=28,K768&lt;=32),"1개월",
 AND(K768=0),"당월",
 TRUE,"그외"
)</f>
        <v>당월</v>
      </c>
    </row>
    <row r="769" spans="1:12" ht="17.649999999999999" customHeight="1" x14ac:dyDescent="0.3">
      <c r="A769" s="5">
        <v>46143</v>
      </c>
      <c r="B769" s="6" t="s">
        <v>20</v>
      </c>
      <c r="C769" s="6" t="s">
        <v>34</v>
      </c>
      <c r="D769" s="5">
        <v>46143</v>
      </c>
      <c r="E769" s="6" t="s">
        <v>15</v>
      </c>
      <c r="F769" s="7">
        <v>155</v>
      </c>
      <c r="G769" s="7">
        <v>159740.83870967739</v>
      </c>
      <c r="H769" s="7">
        <v>24759830</v>
      </c>
      <c r="I769" s="7">
        <v>12293939</v>
      </c>
      <c r="J769" s="7">
        <v>0</v>
      </c>
      <c r="K769">
        <f t="shared" si="11"/>
        <v>0</v>
      </c>
      <c r="L769" s="8" t="str" cm="1">
        <f t="array" ref="L769">_xlfn.IFS(
 AND(K769&gt;=89,K769&lt;=92),"3개월",
 AND(K769&gt;=58,K769&lt;=62),"2개월",
 AND(K769&gt;=28,K769&lt;=32),"1개월",
 AND(K769=0),"당월",
 TRUE,"그외"
)</f>
        <v>당월</v>
      </c>
    </row>
    <row r="770" spans="1:12" ht="17.649999999999999" customHeight="1" x14ac:dyDescent="0.3">
      <c r="A770" s="5">
        <v>46143</v>
      </c>
      <c r="B770" s="6" t="s">
        <v>20</v>
      </c>
      <c r="C770" s="6" t="s">
        <v>35</v>
      </c>
      <c r="D770" s="5">
        <v>45931</v>
      </c>
      <c r="E770" s="6" t="s">
        <v>15</v>
      </c>
      <c r="F770" s="7">
        <v>71</v>
      </c>
      <c r="G770" s="7">
        <v>151018.8309859155</v>
      </c>
      <c r="H770" s="7">
        <v>10722337</v>
      </c>
      <c r="I770" s="7">
        <v>1433442</v>
      </c>
      <c r="J770" s="7">
        <v>0</v>
      </c>
      <c r="K770">
        <f t="shared" si="11"/>
        <v>212</v>
      </c>
      <c r="L770" s="8" t="str" cm="1">
        <f t="array" ref="L770">_xlfn.IFS(
 AND(K770&gt;=89,K770&lt;=92),"3개월",
 AND(K770&gt;=58,K770&lt;=62),"2개월",
 AND(K770&gt;=28,K770&lt;=32),"1개월",
 AND(K770=0),"당월",
 TRUE,"그외"
)</f>
        <v>그외</v>
      </c>
    </row>
    <row r="771" spans="1:12" ht="17.649999999999999" customHeight="1" x14ac:dyDescent="0.3">
      <c r="A771" s="5">
        <v>46143</v>
      </c>
      <c r="B771" s="6" t="s">
        <v>20</v>
      </c>
      <c r="C771" s="6" t="s">
        <v>35</v>
      </c>
      <c r="D771" s="5">
        <v>45962</v>
      </c>
      <c r="E771" s="6" t="s">
        <v>14</v>
      </c>
      <c r="F771" s="7">
        <v>6</v>
      </c>
      <c r="G771" s="7">
        <v>141923</v>
      </c>
      <c r="H771" s="7">
        <v>851538</v>
      </c>
      <c r="I771" s="7">
        <v>174828</v>
      </c>
      <c r="J771" s="7">
        <v>0</v>
      </c>
      <c r="K771">
        <f t="shared" si="11"/>
        <v>181</v>
      </c>
      <c r="L771" s="8" t="str" cm="1">
        <f t="array" ref="L771">_xlfn.IFS(
 AND(K771&gt;=89,K771&lt;=92),"3개월",
 AND(K771&gt;=58,K771&lt;=62),"2개월",
 AND(K771&gt;=28,K771&lt;=32),"1개월",
 AND(K771=0),"당월",
 TRUE,"그외"
)</f>
        <v>그외</v>
      </c>
    </row>
    <row r="772" spans="1:12" ht="17.649999999999999" customHeight="1" x14ac:dyDescent="0.3">
      <c r="A772" s="5">
        <v>46143</v>
      </c>
      <c r="B772" s="6" t="s">
        <v>20</v>
      </c>
      <c r="C772" s="6" t="s">
        <v>35</v>
      </c>
      <c r="D772" s="5">
        <v>45962</v>
      </c>
      <c r="E772" s="6" t="s">
        <v>15</v>
      </c>
      <c r="F772" s="7">
        <v>316</v>
      </c>
      <c r="G772" s="7">
        <v>163214.14240506329</v>
      </c>
      <c r="H772" s="7">
        <v>51575669</v>
      </c>
      <c r="I772" s="7">
        <v>6626503</v>
      </c>
      <c r="J772" s="7">
        <v>0</v>
      </c>
      <c r="K772">
        <f t="shared" si="11"/>
        <v>181</v>
      </c>
      <c r="L772" s="8" t="str" cm="1">
        <f t="array" ref="L772">_xlfn.IFS(
 AND(K772&gt;=89,K772&lt;=92),"3개월",
 AND(K772&gt;=58,K772&lt;=62),"2개월",
 AND(K772&gt;=28,K772&lt;=32),"1개월",
 AND(K772=0),"당월",
 TRUE,"그외"
)</f>
        <v>그외</v>
      </c>
    </row>
    <row r="773" spans="1:12" ht="17.649999999999999" customHeight="1" x14ac:dyDescent="0.3">
      <c r="A773" s="5">
        <v>46143</v>
      </c>
      <c r="B773" s="6" t="s">
        <v>20</v>
      </c>
      <c r="C773" s="6" t="s">
        <v>35</v>
      </c>
      <c r="D773" s="5">
        <v>45992</v>
      </c>
      <c r="E773" s="6" t="s">
        <v>15</v>
      </c>
      <c r="F773" s="7">
        <v>147</v>
      </c>
      <c r="G773" s="7">
        <v>185288</v>
      </c>
      <c r="H773" s="7">
        <v>27237336</v>
      </c>
      <c r="I773" s="7">
        <v>3314954</v>
      </c>
      <c r="J773" s="7">
        <v>0</v>
      </c>
      <c r="K773">
        <f t="shared" si="11"/>
        <v>151</v>
      </c>
      <c r="L773" s="8" t="str" cm="1">
        <f t="array" ref="L773">_xlfn.IFS(
 AND(K773&gt;=89,K773&lt;=92),"3개월",
 AND(K773&gt;=58,K773&lt;=62),"2개월",
 AND(K773&gt;=28,K773&lt;=32),"1개월",
 AND(K773=0),"당월",
 TRUE,"그외"
)</f>
        <v>그외</v>
      </c>
    </row>
    <row r="774" spans="1:12" ht="17.649999999999999" customHeight="1" x14ac:dyDescent="0.3">
      <c r="A774" s="5">
        <v>46143</v>
      </c>
      <c r="B774" s="6" t="s">
        <v>20</v>
      </c>
      <c r="C774" s="6" t="s">
        <v>35</v>
      </c>
      <c r="D774" s="5">
        <v>46023</v>
      </c>
      <c r="E774" s="6" t="s">
        <v>15</v>
      </c>
      <c r="F774" s="7">
        <v>273</v>
      </c>
      <c r="G774" s="7">
        <v>171888.8315018315</v>
      </c>
      <c r="H774" s="7">
        <v>46925651</v>
      </c>
      <c r="I774" s="7">
        <v>6299322</v>
      </c>
      <c r="J774" s="7">
        <v>0</v>
      </c>
      <c r="K774">
        <f t="shared" si="11"/>
        <v>120</v>
      </c>
      <c r="L774" s="8" t="str" cm="1">
        <f t="array" ref="L774">_xlfn.IFS(
 AND(K774&gt;=89,K774&lt;=92),"3개월",
 AND(K774&gt;=58,K774&lt;=62),"2개월",
 AND(K774&gt;=28,K774&lt;=32),"1개월",
 AND(K774=0),"당월",
 TRUE,"그외"
)</f>
        <v>그외</v>
      </c>
    </row>
    <row r="775" spans="1:12" ht="17.649999999999999" customHeight="1" x14ac:dyDescent="0.3">
      <c r="A775" s="5">
        <v>46143</v>
      </c>
      <c r="B775" s="6" t="s">
        <v>20</v>
      </c>
      <c r="C775" s="6" t="s">
        <v>35</v>
      </c>
      <c r="D775" s="5">
        <v>46054</v>
      </c>
      <c r="E775" s="6" t="s">
        <v>14</v>
      </c>
      <c r="F775" s="7">
        <v>183</v>
      </c>
      <c r="G775" s="7">
        <v>129861.74316939891</v>
      </c>
      <c r="H775" s="7">
        <v>23764699</v>
      </c>
      <c r="I775" s="7">
        <v>3109675</v>
      </c>
      <c r="J775" s="7">
        <v>0</v>
      </c>
      <c r="K775">
        <f t="shared" si="11"/>
        <v>89</v>
      </c>
      <c r="L775" s="8" t="str" cm="1">
        <f t="array" ref="L775">_xlfn.IFS(
 AND(K775&gt;=89,K775&lt;=92),"3개월",
 AND(K775&gt;=58,K775&lt;=62),"2개월",
 AND(K775&gt;=28,K775&lt;=32),"1개월",
 AND(K775=0),"당월",
 TRUE,"그외"
)</f>
        <v>3개월</v>
      </c>
    </row>
    <row r="776" spans="1:12" ht="17.649999999999999" customHeight="1" x14ac:dyDescent="0.3">
      <c r="A776" s="5">
        <v>46143</v>
      </c>
      <c r="B776" s="6" t="s">
        <v>20</v>
      </c>
      <c r="C776" s="6" t="s">
        <v>35</v>
      </c>
      <c r="D776" s="5">
        <v>46054</v>
      </c>
      <c r="E776" s="6" t="s">
        <v>15</v>
      </c>
      <c r="F776" s="7">
        <v>572</v>
      </c>
      <c r="G776" s="7">
        <v>180678.93006993009</v>
      </c>
      <c r="H776" s="7">
        <v>103348348</v>
      </c>
      <c r="I776" s="7">
        <v>11759196</v>
      </c>
      <c r="J776" s="7">
        <v>0</v>
      </c>
      <c r="K776">
        <f t="shared" si="11"/>
        <v>89</v>
      </c>
      <c r="L776" s="8" t="str" cm="1">
        <f t="array" ref="L776">_xlfn.IFS(
 AND(K776&gt;=89,K776&lt;=92),"3개월",
 AND(K776&gt;=58,K776&lt;=62),"2개월",
 AND(K776&gt;=28,K776&lt;=32),"1개월",
 AND(K776=0),"당월",
 TRUE,"그외"
)</f>
        <v>3개월</v>
      </c>
    </row>
    <row r="777" spans="1:12" ht="17.649999999999999" customHeight="1" x14ac:dyDescent="0.3">
      <c r="A777" s="5">
        <v>46143</v>
      </c>
      <c r="B777" s="6" t="s">
        <v>20</v>
      </c>
      <c r="C777" s="6" t="s">
        <v>35</v>
      </c>
      <c r="D777" s="5">
        <v>46082</v>
      </c>
      <c r="E777" s="6" t="s">
        <v>14</v>
      </c>
      <c r="F777" s="7">
        <v>1548</v>
      </c>
      <c r="G777" s="7">
        <v>168056.72545219641</v>
      </c>
      <c r="H777" s="7">
        <v>260151811</v>
      </c>
      <c r="I777" s="7">
        <v>27803741</v>
      </c>
      <c r="J777" s="7">
        <v>0</v>
      </c>
      <c r="K777">
        <f t="shared" si="11"/>
        <v>61</v>
      </c>
      <c r="L777" s="8" t="str" cm="1">
        <f t="array" ref="L777">_xlfn.IFS(
 AND(K777&gt;=89,K777&lt;=92),"3개월",
 AND(K777&gt;=58,K777&lt;=62),"2개월",
 AND(K777&gt;=28,K777&lt;=32),"1개월",
 AND(K777=0),"당월",
 TRUE,"그외"
)</f>
        <v>2개월</v>
      </c>
    </row>
    <row r="778" spans="1:12" ht="17.649999999999999" customHeight="1" x14ac:dyDescent="0.3">
      <c r="A778" s="5">
        <v>46143</v>
      </c>
      <c r="B778" s="6" t="s">
        <v>20</v>
      </c>
      <c r="C778" s="6" t="s">
        <v>35</v>
      </c>
      <c r="D778" s="5">
        <v>46082</v>
      </c>
      <c r="E778" s="6" t="s">
        <v>15</v>
      </c>
      <c r="F778" s="7">
        <v>3683</v>
      </c>
      <c r="G778" s="7">
        <v>194372.01547651371</v>
      </c>
      <c r="H778" s="7">
        <v>715872133</v>
      </c>
      <c r="I778" s="7">
        <v>76590673</v>
      </c>
      <c r="J778" s="7">
        <v>0</v>
      </c>
      <c r="K778">
        <f t="shared" ref="K778:K841" si="12">A778-D778</f>
        <v>61</v>
      </c>
      <c r="L778" s="8" t="str" cm="1">
        <f t="array" ref="L778">_xlfn.IFS(
 AND(K778&gt;=89,K778&lt;=92),"3개월",
 AND(K778&gt;=58,K778&lt;=62),"2개월",
 AND(K778&gt;=28,K778&lt;=32),"1개월",
 AND(K778=0),"당월",
 TRUE,"그외"
)</f>
        <v>2개월</v>
      </c>
    </row>
    <row r="779" spans="1:12" ht="17.649999999999999" customHeight="1" x14ac:dyDescent="0.3">
      <c r="A779" s="5">
        <v>46143</v>
      </c>
      <c r="B779" s="6" t="s">
        <v>20</v>
      </c>
      <c r="C779" s="6" t="s">
        <v>35</v>
      </c>
      <c r="D779" s="5">
        <v>46113</v>
      </c>
      <c r="E779" s="6" t="s">
        <v>14</v>
      </c>
      <c r="F779" s="7">
        <v>601</v>
      </c>
      <c r="G779" s="7">
        <v>205212.9434276206</v>
      </c>
      <c r="H779" s="7">
        <v>123332979</v>
      </c>
      <c r="I779" s="7">
        <v>31377536</v>
      </c>
      <c r="J779" s="7">
        <v>0</v>
      </c>
      <c r="K779">
        <f t="shared" si="12"/>
        <v>30</v>
      </c>
      <c r="L779" s="8" t="str" cm="1">
        <f t="array" ref="L779">_xlfn.IFS(
 AND(K779&gt;=89,K779&lt;=92),"3개월",
 AND(K779&gt;=58,K779&lt;=62),"2개월",
 AND(K779&gt;=28,K779&lt;=32),"1개월",
 AND(K779=0),"당월",
 TRUE,"그외"
)</f>
        <v>1개월</v>
      </c>
    </row>
    <row r="780" spans="1:12" ht="17.649999999999999" customHeight="1" x14ac:dyDescent="0.3">
      <c r="A780" s="5">
        <v>46143</v>
      </c>
      <c r="B780" s="6" t="s">
        <v>20</v>
      </c>
      <c r="C780" s="6" t="s">
        <v>35</v>
      </c>
      <c r="D780" s="5">
        <v>46113</v>
      </c>
      <c r="E780" s="6" t="s">
        <v>15</v>
      </c>
      <c r="F780" s="7">
        <v>2481</v>
      </c>
      <c r="G780" s="7">
        <v>210284.07940346631</v>
      </c>
      <c r="H780" s="7">
        <v>521714801</v>
      </c>
      <c r="I780" s="7">
        <v>119182678</v>
      </c>
      <c r="J780" s="7">
        <v>0</v>
      </c>
      <c r="K780">
        <f t="shared" si="12"/>
        <v>30</v>
      </c>
      <c r="L780" s="8" t="str" cm="1">
        <f t="array" ref="L780">_xlfn.IFS(
 AND(K780&gt;=89,K780&lt;=92),"3개월",
 AND(K780&gt;=58,K780&lt;=62),"2개월",
 AND(K780&gt;=28,K780&lt;=32),"1개월",
 AND(K780=0),"당월",
 TRUE,"그외"
)</f>
        <v>1개월</v>
      </c>
    </row>
    <row r="781" spans="1:12" ht="17.649999999999999" customHeight="1" x14ac:dyDescent="0.3">
      <c r="A781" s="5">
        <v>46143</v>
      </c>
      <c r="B781" s="6" t="s">
        <v>20</v>
      </c>
      <c r="C781" s="6" t="s">
        <v>35</v>
      </c>
      <c r="D781" s="5">
        <v>46143</v>
      </c>
      <c r="E781" s="6" t="s">
        <v>14</v>
      </c>
      <c r="F781" s="7">
        <v>44</v>
      </c>
      <c r="G781" s="7">
        <v>163218.18181818179</v>
      </c>
      <c r="H781" s="7">
        <v>7181600</v>
      </c>
      <c r="I781" s="7">
        <v>2521600</v>
      </c>
      <c r="J781" s="7">
        <v>0</v>
      </c>
      <c r="K781">
        <f t="shared" si="12"/>
        <v>0</v>
      </c>
      <c r="L781" s="8" t="str" cm="1">
        <f t="array" ref="L781">_xlfn.IFS(
 AND(K781&gt;=89,K781&lt;=92),"3개월",
 AND(K781&gt;=58,K781&lt;=62),"2개월",
 AND(K781&gt;=28,K781&lt;=32),"1개월",
 AND(K781=0),"당월",
 TRUE,"그외"
)</f>
        <v>당월</v>
      </c>
    </row>
    <row r="782" spans="1:12" ht="17.649999999999999" customHeight="1" x14ac:dyDescent="0.3">
      <c r="A782" s="5">
        <v>46143</v>
      </c>
      <c r="B782" s="6" t="s">
        <v>20</v>
      </c>
      <c r="C782" s="6" t="s">
        <v>35</v>
      </c>
      <c r="D782" s="5">
        <v>46143</v>
      </c>
      <c r="E782" s="6" t="s">
        <v>15</v>
      </c>
      <c r="F782" s="7">
        <v>264</v>
      </c>
      <c r="G782" s="7">
        <v>196084.22727272729</v>
      </c>
      <c r="H782" s="7">
        <v>51766236</v>
      </c>
      <c r="I782" s="7">
        <v>18756028</v>
      </c>
      <c r="J782" s="7">
        <v>0</v>
      </c>
      <c r="K782">
        <f t="shared" si="12"/>
        <v>0</v>
      </c>
      <c r="L782" s="8" t="str" cm="1">
        <f t="array" ref="L782">_xlfn.IFS(
 AND(K782&gt;=89,K782&lt;=92),"3개월",
 AND(K782&gt;=58,K782&lt;=62),"2개월",
 AND(K782&gt;=28,K782&lt;=32),"1개월",
 AND(K782=0),"당월",
 TRUE,"그외"
)</f>
        <v>당월</v>
      </c>
    </row>
    <row r="783" spans="1:12" ht="17.649999999999999" customHeight="1" x14ac:dyDescent="0.3">
      <c r="A783" s="5">
        <v>46143</v>
      </c>
      <c r="B783" s="6" t="s">
        <v>20</v>
      </c>
      <c r="C783" s="6" t="s">
        <v>36</v>
      </c>
      <c r="D783" s="5">
        <v>45931</v>
      </c>
      <c r="E783" s="6" t="s">
        <v>15</v>
      </c>
      <c r="F783" s="7">
        <v>134</v>
      </c>
      <c r="G783" s="7">
        <v>171108.88805970151</v>
      </c>
      <c r="H783" s="7">
        <v>22928591</v>
      </c>
      <c r="I783" s="7">
        <v>2275002</v>
      </c>
      <c r="J783" s="7">
        <v>0</v>
      </c>
      <c r="K783">
        <f t="shared" si="12"/>
        <v>212</v>
      </c>
      <c r="L783" s="8" t="str" cm="1">
        <f t="array" ref="L783">_xlfn.IFS(
 AND(K783&gt;=89,K783&lt;=92),"3개월",
 AND(K783&gt;=58,K783&lt;=62),"2개월",
 AND(K783&gt;=28,K783&lt;=32),"1개월",
 AND(K783=0),"당월",
 TRUE,"그외"
)</f>
        <v>그외</v>
      </c>
    </row>
    <row r="784" spans="1:12" ht="17.649999999999999" customHeight="1" x14ac:dyDescent="0.3">
      <c r="A784" s="5">
        <v>46143</v>
      </c>
      <c r="B784" s="6" t="s">
        <v>20</v>
      </c>
      <c r="C784" s="6" t="s">
        <v>36</v>
      </c>
      <c r="D784" s="5">
        <v>45962</v>
      </c>
      <c r="E784" s="6" t="s">
        <v>15</v>
      </c>
      <c r="F784" s="7">
        <v>237</v>
      </c>
      <c r="G784" s="7">
        <v>196057.78481012661</v>
      </c>
      <c r="H784" s="7">
        <v>46465695</v>
      </c>
      <c r="I784" s="7">
        <v>4463501</v>
      </c>
      <c r="J784" s="7">
        <v>0</v>
      </c>
      <c r="K784">
        <f t="shared" si="12"/>
        <v>181</v>
      </c>
      <c r="L784" s="8" t="str" cm="1">
        <f t="array" ref="L784">_xlfn.IFS(
 AND(K784&gt;=89,K784&lt;=92),"3개월",
 AND(K784&gt;=58,K784&lt;=62),"2개월",
 AND(K784&gt;=28,K784&lt;=32),"1개월",
 AND(K784=0),"당월",
 TRUE,"그외"
)</f>
        <v>그외</v>
      </c>
    </row>
    <row r="785" spans="1:12" ht="17.649999999999999" customHeight="1" x14ac:dyDescent="0.3">
      <c r="A785" s="5">
        <v>46143</v>
      </c>
      <c r="B785" s="6" t="s">
        <v>20</v>
      </c>
      <c r="C785" s="6" t="s">
        <v>36</v>
      </c>
      <c r="D785" s="5">
        <v>45992</v>
      </c>
      <c r="E785" s="6" t="s">
        <v>15</v>
      </c>
      <c r="F785" s="7">
        <v>152</v>
      </c>
      <c r="G785" s="7">
        <v>168443.375</v>
      </c>
      <c r="H785" s="7">
        <v>25603393</v>
      </c>
      <c r="I785" s="7">
        <v>3501170</v>
      </c>
      <c r="J785" s="7">
        <v>0</v>
      </c>
      <c r="K785">
        <f t="shared" si="12"/>
        <v>151</v>
      </c>
      <c r="L785" s="8" t="str" cm="1">
        <f t="array" ref="L785">_xlfn.IFS(
 AND(K785&gt;=89,K785&lt;=92),"3개월",
 AND(K785&gt;=58,K785&lt;=62),"2개월",
 AND(K785&gt;=28,K785&lt;=32),"1개월",
 AND(K785=0),"당월",
 TRUE,"그외"
)</f>
        <v>그외</v>
      </c>
    </row>
    <row r="786" spans="1:12" ht="17.649999999999999" customHeight="1" x14ac:dyDescent="0.3">
      <c r="A786" s="5">
        <v>46143</v>
      </c>
      <c r="B786" s="6" t="s">
        <v>20</v>
      </c>
      <c r="C786" s="6" t="s">
        <v>36</v>
      </c>
      <c r="D786" s="5">
        <v>46023</v>
      </c>
      <c r="E786" s="6" t="s">
        <v>14</v>
      </c>
      <c r="F786" s="7">
        <v>8</v>
      </c>
      <c r="G786" s="7">
        <v>126280.75</v>
      </c>
      <c r="H786" s="7">
        <v>1010246</v>
      </c>
      <c r="I786" s="7">
        <v>228180</v>
      </c>
      <c r="J786" s="7">
        <v>0</v>
      </c>
      <c r="K786">
        <f t="shared" si="12"/>
        <v>120</v>
      </c>
      <c r="L786" s="8" t="str" cm="1">
        <f t="array" ref="L786">_xlfn.IFS(
 AND(K786&gt;=89,K786&lt;=92),"3개월",
 AND(K786&gt;=58,K786&lt;=62),"2개월",
 AND(K786&gt;=28,K786&lt;=32),"1개월",
 AND(K786=0),"당월",
 TRUE,"그외"
)</f>
        <v>그외</v>
      </c>
    </row>
    <row r="787" spans="1:12" ht="17.649999999999999" customHeight="1" x14ac:dyDescent="0.3">
      <c r="A787" s="5">
        <v>46143</v>
      </c>
      <c r="B787" s="6" t="s">
        <v>20</v>
      </c>
      <c r="C787" s="6" t="s">
        <v>36</v>
      </c>
      <c r="D787" s="5">
        <v>46023</v>
      </c>
      <c r="E787" s="6" t="s">
        <v>15</v>
      </c>
      <c r="F787" s="7">
        <v>534</v>
      </c>
      <c r="G787" s="7">
        <v>194921.3801498127</v>
      </c>
      <c r="H787" s="7">
        <v>104088017</v>
      </c>
      <c r="I787" s="7">
        <v>12273557</v>
      </c>
      <c r="J787" s="7">
        <v>0</v>
      </c>
      <c r="K787">
        <f t="shared" si="12"/>
        <v>120</v>
      </c>
      <c r="L787" s="8" t="str" cm="1">
        <f t="array" ref="L787">_xlfn.IFS(
 AND(K787&gt;=89,K787&lt;=92),"3개월",
 AND(K787&gt;=58,K787&lt;=62),"2개월",
 AND(K787&gt;=28,K787&lt;=32),"1개월",
 AND(K787=0),"당월",
 TRUE,"그외"
)</f>
        <v>그외</v>
      </c>
    </row>
    <row r="788" spans="1:12" ht="17.649999999999999" customHeight="1" x14ac:dyDescent="0.3">
      <c r="A788" s="5">
        <v>46143</v>
      </c>
      <c r="B788" s="6" t="s">
        <v>20</v>
      </c>
      <c r="C788" s="6" t="s">
        <v>36</v>
      </c>
      <c r="D788" s="5">
        <v>46054</v>
      </c>
      <c r="E788" s="6" t="s">
        <v>14</v>
      </c>
      <c r="F788" s="7">
        <v>25</v>
      </c>
      <c r="G788" s="7">
        <v>132001.16</v>
      </c>
      <c r="H788" s="7">
        <v>3300029</v>
      </c>
      <c r="I788" s="7">
        <v>868318</v>
      </c>
      <c r="J788" s="7">
        <v>0</v>
      </c>
      <c r="K788">
        <f t="shared" si="12"/>
        <v>89</v>
      </c>
      <c r="L788" s="8" t="str" cm="1">
        <f t="array" ref="L788">_xlfn.IFS(
 AND(K788&gt;=89,K788&lt;=92),"3개월",
 AND(K788&gt;=58,K788&lt;=62),"2개월",
 AND(K788&gt;=28,K788&lt;=32),"1개월",
 AND(K788=0),"당월",
 TRUE,"그외"
)</f>
        <v>3개월</v>
      </c>
    </row>
    <row r="789" spans="1:12" ht="17.649999999999999" customHeight="1" x14ac:dyDescent="0.3">
      <c r="A789" s="5">
        <v>46143</v>
      </c>
      <c r="B789" s="6" t="s">
        <v>20</v>
      </c>
      <c r="C789" s="6" t="s">
        <v>36</v>
      </c>
      <c r="D789" s="5">
        <v>46054</v>
      </c>
      <c r="E789" s="6" t="s">
        <v>15</v>
      </c>
      <c r="F789" s="7">
        <v>571</v>
      </c>
      <c r="G789" s="7">
        <v>232796.8966725044</v>
      </c>
      <c r="H789" s="7">
        <v>132927028</v>
      </c>
      <c r="I789" s="7">
        <v>11324716</v>
      </c>
      <c r="J789" s="7">
        <v>0</v>
      </c>
      <c r="K789">
        <f t="shared" si="12"/>
        <v>89</v>
      </c>
      <c r="L789" s="8" t="str" cm="1">
        <f t="array" ref="L789">_xlfn.IFS(
 AND(K789&gt;=89,K789&lt;=92),"3개월",
 AND(K789&gt;=58,K789&lt;=62),"2개월",
 AND(K789&gt;=28,K789&lt;=32),"1개월",
 AND(K789=0),"당월",
 TRUE,"그외"
)</f>
        <v>3개월</v>
      </c>
    </row>
    <row r="790" spans="1:12" ht="17.649999999999999" customHeight="1" x14ac:dyDescent="0.3">
      <c r="A790" s="5">
        <v>46143</v>
      </c>
      <c r="B790" s="6" t="s">
        <v>20</v>
      </c>
      <c r="C790" s="6" t="s">
        <v>36</v>
      </c>
      <c r="D790" s="5">
        <v>46082</v>
      </c>
      <c r="E790" s="6" t="s">
        <v>14</v>
      </c>
      <c r="F790" s="7">
        <v>1129</v>
      </c>
      <c r="G790" s="7">
        <v>201255.87953941539</v>
      </c>
      <c r="H790" s="7">
        <v>227217888</v>
      </c>
      <c r="I790" s="7">
        <v>20684480</v>
      </c>
      <c r="J790" s="7">
        <v>0</v>
      </c>
      <c r="K790">
        <f t="shared" si="12"/>
        <v>61</v>
      </c>
      <c r="L790" s="8" t="str" cm="1">
        <f t="array" ref="L790">_xlfn.IFS(
 AND(K790&gt;=89,K790&lt;=92),"3개월",
 AND(K790&gt;=58,K790&lt;=62),"2개월",
 AND(K790&gt;=28,K790&lt;=32),"1개월",
 AND(K790=0),"당월",
 TRUE,"그외"
)</f>
        <v>2개월</v>
      </c>
    </row>
    <row r="791" spans="1:12" ht="17.649999999999999" customHeight="1" x14ac:dyDescent="0.3">
      <c r="A791" s="5">
        <v>46143</v>
      </c>
      <c r="B791" s="6" t="s">
        <v>20</v>
      </c>
      <c r="C791" s="6" t="s">
        <v>36</v>
      </c>
      <c r="D791" s="5">
        <v>46082</v>
      </c>
      <c r="E791" s="6" t="s">
        <v>15</v>
      </c>
      <c r="F791" s="7">
        <v>2815</v>
      </c>
      <c r="G791" s="7">
        <v>208370.53960923621</v>
      </c>
      <c r="H791" s="7">
        <v>586563069</v>
      </c>
      <c r="I791" s="7">
        <v>57052289</v>
      </c>
      <c r="J791" s="7">
        <v>0</v>
      </c>
      <c r="K791">
        <f t="shared" si="12"/>
        <v>61</v>
      </c>
      <c r="L791" s="8" t="str" cm="1">
        <f t="array" ref="L791">_xlfn.IFS(
 AND(K791&gt;=89,K791&lt;=92),"3개월",
 AND(K791&gt;=58,K791&lt;=62),"2개월",
 AND(K791&gt;=28,K791&lt;=32),"1개월",
 AND(K791=0),"당월",
 TRUE,"그외"
)</f>
        <v>2개월</v>
      </c>
    </row>
    <row r="792" spans="1:12" ht="17.649999999999999" customHeight="1" x14ac:dyDescent="0.3">
      <c r="A792" s="5">
        <v>46143</v>
      </c>
      <c r="B792" s="6" t="s">
        <v>20</v>
      </c>
      <c r="C792" s="6" t="s">
        <v>36</v>
      </c>
      <c r="D792" s="5">
        <v>46113</v>
      </c>
      <c r="E792" s="6" t="s">
        <v>14</v>
      </c>
      <c r="F792" s="7">
        <v>493</v>
      </c>
      <c r="G792" s="7">
        <v>195718.97363083161</v>
      </c>
      <c r="H792" s="7">
        <v>96489454</v>
      </c>
      <c r="I792" s="7">
        <v>26244442</v>
      </c>
      <c r="J792" s="7">
        <v>0</v>
      </c>
      <c r="K792">
        <f t="shared" si="12"/>
        <v>30</v>
      </c>
      <c r="L792" s="8" t="str" cm="1">
        <f t="array" ref="L792">_xlfn.IFS(
 AND(K792&gt;=89,K792&lt;=92),"3개월",
 AND(K792&gt;=58,K792&lt;=62),"2개월",
 AND(K792&gt;=28,K792&lt;=32),"1개월",
 AND(K792=0),"당월",
 TRUE,"그외"
)</f>
        <v>1개월</v>
      </c>
    </row>
    <row r="793" spans="1:12" ht="17.649999999999999" customHeight="1" x14ac:dyDescent="0.3">
      <c r="A793" s="5">
        <v>46143</v>
      </c>
      <c r="B793" s="6" t="s">
        <v>20</v>
      </c>
      <c r="C793" s="6" t="s">
        <v>36</v>
      </c>
      <c r="D793" s="5">
        <v>46113</v>
      </c>
      <c r="E793" s="6" t="s">
        <v>15</v>
      </c>
      <c r="F793" s="7">
        <v>2805</v>
      </c>
      <c r="G793" s="7">
        <v>171478.83885917999</v>
      </c>
      <c r="H793" s="7">
        <v>480998143</v>
      </c>
      <c r="I793" s="7">
        <v>135582520</v>
      </c>
      <c r="J793" s="7">
        <v>0</v>
      </c>
      <c r="K793">
        <f t="shared" si="12"/>
        <v>30</v>
      </c>
      <c r="L793" s="8" t="str" cm="1">
        <f t="array" ref="L793">_xlfn.IFS(
 AND(K793&gt;=89,K793&lt;=92),"3개월",
 AND(K793&gt;=58,K793&lt;=62),"2개월",
 AND(K793&gt;=28,K793&lt;=32),"1개월",
 AND(K793=0),"당월",
 TRUE,"그외"
)</f>
        <v>1개월</v>
      </c>
    </row>
    <row r="794" spans="1:12" ht="17.649999999999999" customHeight="1" x14ac:dyDescent="0.3">
      <c r="A794" s="5">
        <v>46143</v>
      </c>
      <c r="B794" s="6" t="s">
        <v>20</v>
      </c>
      <c r="C794" s="6" t="s">
        <v>36</v>
      </c>
      <c r="D794" s="5">
        <v>46143</v>
      </c>
      <c r="E794" s="6" t="s">
        <v>14</v>
      </c>
      <c r="F794" s="7">
        <v>12</v>
      </c>
      <c r="G794" s="7">
        <v>62903.666666666657</v>
      </c>
      <c r="H794" s="7">
        <v>754844</v>
      </c>
      <c r="I794" s="7">
        <v>345824</v>
      </c>
      <c r="J794" s="7">
        <v>0</v>
      </c>
      <c r="K794">
        <f t="shared" si="12"/>
        <v>0</v>
      </c>
      <c r="L794" s="8" t="str" cm="1">
        <f t="array" ref="L794">_xlfn.IFS(
 AND(K794&gt;=89,K794&lt;=92),"3개월",
 AND(K794&gt;=58,K794&lt;=62),"2개월",
 AND(K794&gt;=28,K794&lt;=32),"1개월",
 AND(K794=0),"당월",
 TRUE,"그외"
)</f>
        <v>당월</v>
      </c>
    </row>
    <row r="795" spans="1:12" ht="17.649999999999999" customHeight="1" x14ac:dyDescent="0.3">
      <c r="A795" s="5">
        <v>46143</v>
      </c>
      <c r="B795" s="6" t="s">
        <v>20</v>
      </c>
      <c r="C795" s="6" t="s">
        <v>36</v>
      </c>
      <c r="D795" s="5">
        <v>46143</v>
      </c>
      <c r="E795" s="6" t="s">
        <v>15</v>
      </c>
      <c r="F795" s="7">
        <v>303</v>
      </c>
      <c r="G795" s="7">
        <v>170244.49174917489</v>
      </c>
      <c r="H795" s="7">
        <v>51584081</v>
      </c>
      <c r="I795" s="7">
        <v>25346117</v>
      </c>
      <c r="J795" s="7">
        <v>0</v>
      </c>
      <c r="K795">
        <f t="shared" si="12"/>
        <v>0</v>
      </c>
      <c r="L795" s="8" t="str" cm="1">
        <f t="array" ref="L795">_xlfn.IFS(
 AND(K795&gt;=89,K795&lt;=92),"3개월",
 AND(K795&gt;=58,K795&lt;=62),"2개월",
 AND(K795&gt;=28,K795&lt;=32),"1개월",
 AND(K795=0),"당월",
 TRUE,"그외"
)</f>
        <v>당월</v>
      </c>
    </row>
    <row r="796" spans="1:12" ht="17.649999999999999" customHeight="1" x14ac:dyDescent="0.3">
      <c r="A796" s="5">
        <v>46143</v>
      </c>
      <c r="B796" s="6" t="s">
        <v>20</v>
      </c>
      <c r="C796" s="6" t="s">
        <v>37</v>
      </c>
      <c r="D796" s="5">
        <v>45931</v>
      </c>
      <c r="E796" s="6" t="s">
        <v>15</v>
      </c>
      <c r="F796" s="7">
        <v>29</v>
      </c>
      <c r="G796" s="7">
        <v>163257.89655172409</v>
      </c>
      <c r="H796" s="7">
        <v>4734479</v>
      </c>
      <c r="I796" s="7">
        <v>339413</v>
      </c>
      <c r="J796" s="7">
        <v>0</v>
      </c>
      <c r="K796">
        <f t="shared" si="12"/>
        <v>212</v>
      </c>
      <c r="L796" s="8" t="str" cm="1">
        <f t="array" ref="L796">_xlfn.IFS(
 AND(K796&gt;=89,K796&lt;=92),"3개월",
 AND(K796&gt;=58,K796&lt;=62),"2개월",
 AND(K796&gt;=28,K796&lt;=32),"1개월",
 AND(K796=0),"당월",
 TRUE,"그외"
)</f>
        <v>그외</v>
      </c>
    </row>
    <row r="797" spans="1:12" ht="17.649999999999999" customHeight="1" x14ac:dyDescent="0.3">
      <c r="A797" s="5">
        <v>46143</v>
      </c>
      <c r="B797" s="6" t="s">
        <v>20</v>
      </c>
      <c r="C797" s="6" t="s">
        <v>37</v>
      </c>
      <c r="D797" s="5">
        <v>45962</v>
      </c>
      <c r="E797" s="6" t="s">
        <v>15</v>
      </c>
      <c r="F797" s="7">
        <v>228</v>
      </c>
      <c r="G797" s="7">
        <v>134805.30263157899</v>
      </c>
      <c r="H797" s="7">
        <v>30735609</v>
      </c>
      <c r="I797" s="7">
        <v>2484506</v>
      </c>
      <c r="J797" s="7">
        <v>0</v>
      </c>
      <c r="K797">
        <f t="shared" si="12"/>
        <v>181</v>
      </c>
      <c r="L797" s="8" t="str" cm="1">
        <f t="array" ref="L797">_xlfn.IFS(
 AND(K797&gt;=89,K797&lt;=92),"3개월",
 AND(K797&gt;=58,K797&lt;=62),"2개월",
 AND(K797&gt;=28,K797&lt;=32),"1개월",
 AND(K797=0),"당월",
 TRUE,"그외"
)</f>
        <v>그외</v>
      </c>
    </row>
    <row r="798" spans="1:12" ht="17.649999999999999" customHeight="1" x14ac:dyDescent="0.3">
      <c r="A798" s="5">
        <v>46143</v>
      </c>
      <c r="B798" s="6" t="s">
        <v>20</v>
      </c>
      <c r="C798" s="6" t="s">
        <v>37</v>
      </c>
      <c r="D798" s="5">
        <v>45992</v>
      </c>
      <c r="E798" s="6" t="s">
        <v>15</v>
      </c>
      <c r="F798" s="7">
        <v>214</v>
      </c>
      <c r="G798" s="7">
        <v>158680.1401869159</v>
      </c>
      <c r="H798" s="7">
        <v>33957550</v>
      </c>
      <c r="I798" s="7">
        <v>2813360</v>
      </c>
      <c r="J798" s="7">
        <v>0</v>
      </c>
      <c r="K798">
        <f t="shared" si="12"/>
        <v>151</v>
      </c>
      <c r="L798" s="8" t="str" cm="1">
        <f t="array" ref="L798">_xlfn.IFS(
 AND(K798&gt;=89,K798&lt;=92),"3개월",
 AND(K798&gt;=58,K798&lt;=62),"2개월",
 AND(K798&gt;=28,K798&lt;=32),"1개월",
 AND(K798=0),"당월",
 TRUE,"그외"
)</f>
        <v>그외</v>
      </c>
    </row>
    <row r="799" spans="1:12" ht="17.649999999999999" customHeight="1" x14ac:dyDescent="0.3">
      <c r="A799" s="5">
        <v>46143</v>
      </c>
      <c r="B799" s="6" t="s">
        <v>20</v>
      </c>
      <c r="C799" s="6" t="s">
        <v>37</v>
      </c>
      <c r="D799" s="5">
        <v>46023</v>
      </c>
      <c r="E799" s="6" t="s">
        <v>14</v>
      </c>
      <c r="F799" s="7">
        <v>53</v>
      </c>
      <c r="G799" s="7">
        <v>165095.84905660379</v>
      </c>
      <c r="H799" s="7">
        <v>8750080</v>
      </c>
      <c r="I799" s="7">
        <v>730204</v>
      </c>
      <c r="J799" s="7">
        <v>0</v>
      </c>
      <c r="K799">
        <f t="shared" si="12"/>
        <v>120</v>
      </c>
      <c r="L799" s="8" t="str" cm="1">
        <f t="array" ref="L799">_xlfn.IFS(
 AND(K799&gt;=89,K799&lt;=92),"3개월",
 AND(K799&gt;=58,K799&lt;=62),"2개월",
 AND(K799&gt;=28,K799&lt;=32),"1개월",
 AND(K799=0),"당월",
 TRUE,"그외"
)</f>
        <v>그외</v>
      </c>
    </row>
    <row r="800" spans="1:12" ht="17.649999999999999" customHeight="1" x14ac:dyDescent="0.3">
      <c r="A800" s="5">
        <v>46143</v>
      </c>
      <c r="B800" s="6" t="s">
        <v>20</v>
      </c>
      <c r="C800" s="6" t="s">
        <v>37</v>
      </c>
      <c r="D800" s="5">
        <v>46023</v>
      </c>
      <c r="E800" s="6" t="s">
        <v>15</v>
      </c>
      <c r="F800" s="7">
        <v>822</v>
      </c>
      <c r="G800" s="7">
        <v>168248</v>
      </c>
      <c r="H800" s="7">
        <v>138299856</v>
      </c>
      <c r="I800" s="7">
        <v>11320297</v>
      </c>
      <c r="J800" s="7">
        <v>0</v>
      </c>
      <c r="K800">
        <f t="shared" si="12"/>
        <v>120</v>
      </c>
      <c r="L800" s="8" t="str" cm="1">
        <f t="array" ref="L800">_xlfn.IFS(
 AND(K800&gt;=89,K800&lt;=92),"3개월",
 AND(K800&gt;=58,K800&lt;=62),"2개월",
 AND(K800&gt;=28,K800&lt;=32),"1개월",
 AND(K800=0),"당월",
 TRUE,"그외"
)</f>
        <v>그외</v>
      </c>
    </row>
    <row r="801" spans="1:12" ht="17.649999999999999" customHeight="1" x14ac:dyDescent="0.3">
      <c r="A801" s="5">
        <v>46143</v>
      </c>
      <c r="B801" s="6" t="s">
        <v>20</v>
      </c>
      <c r="C801" s="6" t="s">
        <v>37</v>
      </c>
      <c r="D801" s="5">
        <v>46054</v>
      </c>
      <c r="E801" s="6" t="s">
        <v>14</v>
      </c>
      <c r="F801" s="7">
        <v>295</v>
      </c>
      <c r="G801" s="7">
        <v>201583.72542372881</v>
      </c>
      <c r="H801" s="7">
        <v>59467199</v>
      </c>
      <c r="I801" s="7">
        <v>2891209</v>
      </c>
      <c r="J801" s="7">
        <v>0</v>
      </c>
      <c r="K801">
        <f t="shared" si="12"/>
        <v>89</v>
      </c>
      <c r="L801" s="8" t="str" cm="1">
        <f t="array" ref="L801">_xlfn.IFS(
 AND(K801&gt;=89,K801&lt;=92),"3개월",
 AND(K801&gt;=58,K801&lt;=62),"2개월",
 AND(K801&gt;=28,K801&lt;=32),"1개월",
 AND(K801=0),"당월",
 TRUE,"그외"
)</f>
        <v>3개월</v>
      </c>
    </row>
    <row r="802" spans="1:12" ht="17.649999999999999" customHeight="1" x14ac:dyDescent="0.3">
      <c r="A802" s="5">
        <v>46143</v>
      </c>
      <c r="B802" s="6" t="s">
        <v>20</v>
      </c>
      <c r="C802" s="6" t="s">
        <v>37</v>
      </c>
      <c r="D802" s="5">
        <v>46054</v>
      </c>
      <c r="E802" s="6" t="s">
        <v>15</v>
      </c>
      <c r="F802" s="7">
        <v>1114</v>
      </c>
      <c r="G802" s="7">
        <v>170153.08707360859</v>
      </c>
      <c r="H802" s="7">
        <v>189550539</v>
      </c>
      <c r="I802" s="7">
        <v>13931353</v>
      </c>
      <c r="J802" s="7">
        <v>0</v>
      </c>
      <c r="K802">
        <f t="shared" si="12"/>
        <v>89</v>
      </c>
      <c r="L802" s="8" t="str" cm="1">
        <f t="array" ref="L802">_xlfn.IFS(
 AND(K802&gt;=89,K802&lt;=92),"3개월",
 AND(K802&gt;=58,K802&lt;=62),"2개월",
 AND(K802&gt;=28,K802&lt;=32),"1개월",
 AND(K802=0),"당월",
 TRUE,"그외"
)</f>
        <v>3개월</v>
      </c>
    </row>
    <row r="803" spans="1:12" ht="17.649999999999999" customHeight="1" x14ac:dyDescent="0.3">
      <c r="A803" s="5">
        <v>46143</v>
      </c>
      <c r="B803" s="6" t="s">
        <v>20</v>
      </c>
      <c r="C803" s="6" t="s">
        <v>37</v>
      </c>
      <c r="D803" s="5">
        <v>46082</v>
      </c>
      <c r="E803" s="6" t="s">
        <v>14</v>
      </c>
      <c r="F803" s="7">
        <v>2282</v>
      </c>
      <c r="G803" s="7">
        <v>154058.68229623139</v>
      </c>
      <c r="H803" s="7">
        <v>351561913</v>
      </c>
      <c r="I803" s="7">
        <v>24903812</v>
      </c>
      <c r="J803" s="7">
        <v>0</v>
      </c>
      <c r="K803">
        <f t="shared" si="12"/>
        <v>61</v>
      </c>
      <c r="L803" s="8" t="str" cm="1">
        <f t="array" ref="L803">_xlfn.IFS(
 AND(K803&gt;=89,K803&lt;=92),"3개월",
 AND(K803&gt;=58,K803&lt;=62),"2개월",
 AND(K803&gt;=28,K803&lt;=32),"1개월",
 AND(K803=0),"당월",
 TRUE,"그외"
)</f>
        <v>2개월</v>
      </c>
    </row>
    <row r="804" spans="1:12" ht="17.649999999999999" customHeight="1" x14ac:dyDescent="0.3">
      <c r="A804" s="5">
        <v>46143</v>
      </c>
      <c r="B804" s="6" t="s">
        <v>20</v>
      </c>
      <c r="C804" s="6" t="s">
        <v>37</v>
      </c>
      <c r="D804" s="5">
        <v>46082</v>
      </c>
      <c r="E804" s="6" t="s">
        <v>15</v>
      </c>
      <c r="F804" s="7">
        <v>1330</v>
      </c>
      <c r="G804" s="7">
        <v>177699.93007518799</v>
      </c>
      <c r="H804" s="7">
        <v>236340907</v>
      </c>
      <c r="I804" s="7">
        <v>21453185</v>
      </c>
      <c r="J804" s="7">
        <v>0</v>
      </c>
      <c r="K804">
        <f t="shared" si="12"/>
        <v>61</v>
      </c>
      <c r="L804" s="8" t="str" cm="1">
        <f t="array" ref="L804">_xlfn.IFS(
 AND(K804&gt;=89,K804&lt;=92),"3개월",
 AND(K804&gt;=58,K804&lt;=62),"2개월",
 AND(K804&gt;=28,K804&lt;=32),"1개월",
 AND(K804=0),"당월",
 TRUE,"그외"
)</f>
        <v>2개월</v>
      </c>
    </row>
    <row r="805" spans="1:12" ht="17.649999999999999" customHeight="1" x14ac:dyDescent="0.3">
      <c r="A805" s="5">
        <v>46143</v>
      </c>
      <c r="B805" s="6" t="s">
        <v>20</v>
      </c>
      <c r="C805" s="6" t="s">
        <v>37</v>
      </c>
      <c r="D805" s="5">
        <v>46113</v>
      </c>
      <c r="E805" s="6" t="s">
        <v>14</v>
      </c>
      <c r="F805" s="7">
        <v>1637</v>
      </c>
      <c r="G805" s="7">
        <v>159530.36469150879</v>
      </c>
      <c r="H805" s="7">
        <v>261151207</v>
      </c>
      <c r="I805" s="7">
        <v>51209684</v>
      </c>
      <c r="J805" s="7">
        <v>0</v>
      </c>
      <c r="K805">
        <f t="shared" si="12"/>
        <v>30</v>
      </c>
      <c r="L805" s="8" t="str" cm="1">
        <f t="array" ref="L805">_xlfn.IFS(
 AND(K805&gt;=89,K805&lt;=92),"3개월",
 AND(K805&gt;=58,K805&lt;=62),"2개월",
 AND(K805&gt;=28,K805&lt;=32),"1개월",
 AND(K805=0),"당월",
 TRUE,"그외"
)</f>
        <v>1개월</v>
      </c>
    </row>
    <row r="806" spans="1:12" ht="17.649999999999999" customHeight="1" x14ac:dyDescent="0.3">
      <c r="A806" s="5">
        <v>46143</v>
      </c>
      <c r="B806" s="6" t="s">
        <v>20</v>
      </c>
      <c r="C806" s="6" t="s">
        <v>37</v>
      </c>
      <c r="D806" s="5">
        <v>46113</v>
      </c>
      <c r="E806" s="6" t="s">
        <v>15</v>
      </c>
      <c r="F806" s="7">
        <v>1241</v>
      </c>
      <c r="G806" s="7">
        <v>181866.24657534249</v>
      </c>
      <c r="H806" s="7">
        <v>225696012</v>
      </c>
      <c r="I806" s="7">
        <v>42673597</v>
      </c>
      <c r="J806" s="7">
        <v>0</v>
      </c>
      <c r="K806">
        <f t="shared" si="12"/>
        <v>30</v>
      </c>
      <c r="L806" s="8" t="str" cm="1">
        <f t="array" ref="L806">_xlfn.IFS(
 AND(K806&gt;=89,K806&lt;=92),"3개월",
 AND(K806&gt;=58,K806&lt;=62),"2개월",
 AND(K806&gt;=28,K806&lt;=32),"1개월",
 AND(K806=0),"당월",
 TRUE,"그외"
)</f>
        <v>1개월</v>
      </c>
    </row>
    <row r="807" spans="1:12" ht="17.649999999999999" customHeight="1" x14ac:dyDescent="0.3">
      <c r="A807" s="5">
        <v>46143</v>
      </c>
      <c r="B807" s="6" t="s">
        <v>20</v>
      </c>
      <c r="C807" s="6" t="s">
        <v>37</v>
      </c>
      <c r="D807" s="5">
        <v>46143</v>
      </c>
      <c r="E807" s="6" t="s">
        <v>14</v>
      </c>
      <c r="F807" s="7">
        <v>33</v>
      </c>
      <c r="G807" s="7">
        <v>171619.2121212121</v>
      </c>
      <c r="H807" s="7">
        <v>5663434</v>
      </c>
      <c r="I807" s="7">
        <v>1313312</v>
      </c>
      <c r="J807" s="7">
        <v>0</v>
      </c>
      <c r="K807">
        <f t="shared" si="12"/>
        <v>0</v>
      </c>
      <c r="L807" s="8" t="str" cm="1">
        <f t="array" ref="L807">_xlfn.IFS(
 AND(K807&gt;=89,K807&lt;=92),"3개월",
 AND(K807&gt;=58,K807&lt;=62),"2개월",
 AND(K807&gt;=28,K807&lt;=32),"1개월",
 AND(K807=0),"당월",
 TRUE,"그외"
)</f>
        <v>당월</v>
      </c>
    </row>
    <row r="808" spans="1:12" ht="17.649999999999999" customHeight="1" x14ac:dyDescent="0.3">
      <c r="A808" s="5">
        <v>46143</v>
      </c>
      <c r="B808" s="6" t="s">
        <v>20</v>
      </c>
      <c r="C808" s="6" t="s">
        <v>37</v>
      </c>
      <c r="D808" s="5">
        <v>46143</v>
      </c>
      <c r="E808" s="6" t="s">
        <v>15</v>
      </c>
      <c r="F808" s="7">
        <v>166</v>
      </c>
      <c r="G808" s="7">
        <v>171776.77710843369</v>
      </c>
      <c r="H808" s="7">
        <v>28514945</v>
      </c>
      <c r="I808" s="7">
        <v>8919446</v>
      </c>
      <c r="J808" s="7">
        <v>0</v>
      </c>
      <c r="K808">
        <f t="shared" si="12"/>
        <v>0</v>
      </c>
      <c r="L808" s="8" t="str" cm="1">
        <f t="array" ref="L808">_xlfn.IFS(
 AND(K808&gt;=89,K808&lt;=92),"3개월",
 AND(K808&gt;=58,K808&lt;=62),"2개월",
 AND(K808&gt;=28,K808&lt;=32),"1개월",
 AND(K808=0),"당월",
 TRUE,"그외"
)</f>
        <v>당월</v>
      </c>
    </row>
    <row r="809" spans="1:12" ht="17.649999999999999" customHeight="1" x14ac:dyDescent="0.3">
      <c r="A809" s="5">
        <v>46143</v>
      </c>
      <c r="B809" s="6" t="s">
        <v>20</v>
      </c>
      <c r="C809" s="6" t="s">
        <v>38</v>
      </c>
      <c r="D809" s="5">
        <v>45992</v>
      </c>
      <c r="E809" s="6" t="s">
        <v>15</v>
      </c>
      <c r="F809" s="7">
        <v>66</v>
      </c>
      <c r="G809" s="7">
        <v>97777.712121212127</v>
      </c>
      <c r="H809" s="7">
        <v>6453329</v>
      </c>
      <c r="I809" s="7">
        <v>900045</v>
      </c>
      <c r="J809" s="7">
        <v>0</v>
      </c>
      <c r="K809">
        <f t="shared" si="12"/>
        <v>151</v>
      </c>
      <c r="L809" s="8" t="str" cm="1">
        <f t="array" ref="L809">_xlfn.IFS(
 AND(K809&gt;=89,K809&lt;=92),"3개월",
 AND(K809&gt;=58,K809&lt;=62),"2개월",
 AND(K809&gt;=28,K809&lt;=32),"1개월",
 AND(K809=0),"당월",
 TRUE,"그외"
)</f>
        <v>그외</v>
      </c>
    </row>
    <row r="810" spans="1:12" ht="17.649999999999999" customHeight="1" x14ac:dyDescent="0.3">
      <c r="A810" s="5">
        <v>46143</v>
      </c>
      <c r="B810" s="6" t="s">
        <v>20</v>
      </c>
      <c r="C810" s="6" t="s">
        <v>38</v>
      </c>
      <c r="D810" s="5">
        <v>46023</v>
      </c>
      <c r="E810" s="6" t="s">
        <v>15</v>
      </c>
      <c r="F810" s="7">
        <v>87</v>
      </c>
      <c r="G810" s="7">
        <v>124136.275862069</v>
      </c>
      <c r="H810" s="7">
        <v>10799856</v>
      </c>
      <c r="I810" s="7">
        <v>1464408</v>
      </c>
      <c r="J810" s="7">
        <v>0</v>
      </c>
      <c r="K810">
        <f t="shared" si="12"/>
        <v>120</v>
      </c>
      <c r="L810" s="8" t="str" cm="1">
        <f t="array" ref="L810">_xlfn.IFS(
 AND(K810&gt;=89,K810&lt;=92),"3개월",
 AND(K810&gt;=58,K810&lt;=62),"2개월",
 AND(K810&gt;=28,K810&lt;=32),"1개월",
 AND(K810=0),"당월",
 TRUE,"그외"
)</f>
        <v>그외</v>
      </c>
    </row>
    <row r="811" spans="1:12" ht="17.649999999999999" customHeight="1" x14ac:dyDescent="0.3">
      <c r="A811" s="5">
        <v>46143</v>
      </c>
      <c r="B811" s="6" t="s">
        <v>20</v>
      </c>
      <c r="C811" s="6" t="s">
        <v>38</v>
      </c>
      <c r="D811" s="5">
        <v>46054</v>
      </c>
      <c r="E811" s="6" t="s">
        <v>14</v>
      </c>
      <c r="F811" s="7">
        <v>79</v>
      </c>
      <c r="G811" s="7">
        <v>69408.506329113923</v>
      </c>
      <c r="H811" s="7">
        <v>5483272</v>
      </c>
      <c r="I811" s="7">
        <v>821626</v>
      </c>
      <c r="J811" s="7">
        <v>0</v>
      </c>
      <c r="K811">
        <f t="shared" si="12"/>
        <v>89</v>
      </c>
      <c r="L811" s="8" t="str" cm="1">
        <f t="array" ref="L811">_xlfn.IFS(
 AND(K811&gt;=89,K811&lt;=92),"3개월",
 AND(K811&gt;=58,K811&lt;=62),"2개월",
 AND(K811&gt;=28,K811&lt;=32),"1개월",
 AND(K811=0),"당월",
 TRUE,"그외"
)</f>
        <v>3개월</v>
      </c>
    </row>
    <row r="812" spans="1:12" ht="17.649999999999999" customHeight="1" x14ac:dyDescent="0.3">
      <c r="A812" s="5">
        <v>46143</v>
      </c>
      <c r="B812" s="6" t="s">
        <v>20</v>
      </c>
      <c r="C812" s="6" t="s">
        <v>38</v>
      </c>
      <c r="D812" s="5">
        <v>46054</v>
      </c>
      <c r="E812" s="6" t="s">
        <v>15</v>
      </c>
      <c r="F812" s="7">
        <v>335</v>
      </c>
      <c r="G812" s="7">
        <v>122293.3074626866</v>
      </c>
      <c r="H812" s="7">
        <v>40968258</v>
      </c>
      <c r="I812" s="7">
        <v>5105149</v>
      </c>
      <c r="J812" s="7">
        <v>0</v>
      </c>
      <c r="K812">
        <f t="shared" si="12"/>
        <v>89</v>
      </c>
      <c r="L812" s="8" t="str" cm="1">
        <f t="array" ref="L812">_xlfn.IFS(
 AND(K812&gt;=89,K812&lt;=92),"3개월",
 AND(K812&gt;=58,K812&lt;=62),"2개월",
 AND(K812&gt;=28,K812&lt;=32),"1개월",
 AND(K812=0),"당월",
 TRUE,"그외"
)</f>
        <v>3개월</v>
      </c>
    </row>
    <row r="813" spans="1:12" ht="17.649999999999999" customHeight="1" x14ac:dyDescent="0.3">
      <c r="A813" s="5">
        <v>46143</v>
      </c>
      <c r="B813" s="6" t="s">
        <v>20</v>
      </c>
      <c r="C813" s="6" t="s">
        <v>38</v>
      </c>
      <c r="D813" s="5">
        <v>46082</v>
      </c>
      <c r="E813" s="6" t="s">
        <v>14</v>
      </c>
      <c r="F813" s="7">
        <v>1291</v>
      </c>
      <c r="G813" s="7">
        <v>92582.646010844313</v>
      </c>
      <c r="H813" s="7">
        <v>119524196</v>
      </c>
      <c r="I813" s="7">
        <v>13928232</v>
      </c>
      <c r="J813" s="7">
        <v>0</v>
      </c>
      <c r="K813">
        <f t="shared" si="12"/>
        <v>61</v>
      </c>
      <c r="L813" s="8" t="str" cm="1">
        <f t="array" ref="L813">_xlfn.IFS(
 AND(K813&gt;=89,K813&lt;=92),"3개월",
 AND(K813&gt;=58,K813&lt;=62),"2개월",
 AND(K813&gt;=28,K813&lt;=32),"1개월",
 AND(K813=0),"당월",
 TRUE,"그외"
)</f>
        <v>2개월</v>
      </c>
    </row>
    <row r="814" spans="1:12" ht="17.649999999999999" customHeight="1" x14ac:dyDescent="0.3">
      <c r="A814" s="5">
        <v>46143</v>
      </c>
      <c r="B814" s="6" t="s">
        <v>20</v>
      </c>
      <c r="C814" s="6" t="s">
        <v>38</v>
      </c>
      <c r="D814" s="5">
        <v>46082</v>
      </c>
      <c r="E814" s="6" t="s">
        <v>15</v>
      </c>
      <c r="F814" s="7">
        <v>1508</v>
      </c>
      <c r="G814" s="7">
        <v>114965.59151193631</v>
      </c>
      <c r="H814" s="7">
        <v>173368112</v>
      </c>
      <c r="I814" s="7">
        <v>20799188</v>
      </c>
      <c r="J814" s="7">
        <v>0</v>
      </c>
      <c r="K814">
        <f t="shared" si="12"/>
        <v>61</v>
      </c>
      <c r="L814" s="8" t="str" cm="1">
        <f t="array" ref="L814">_xlfn.IFS(
 AND(K814&gt;=89,K814&lt;=92),"3개월",
 AND(K814&gt;=58,K814&lt;=62),"2개월",
 AND(K814&gt;=28,K814&lt;=32),"1개월",
 AND(K814=0),"당월",
 TRUE,"그외"
)</f>
        <v>2개월</v>
      </c>
    </row>
    <row r="815" spans="1:12" ht="17.649999999999999" customHeight="1" x14ac:dyDescent="0.3">
      <c r="A815" s="5">
        <v>46143</v>
      </c>
      <c r="B815" s="6" t="s">
        <v>20</v>
      </c>
      <c r="C815" s="6" t="s">
        <v>38</v>
      </c>
      <c r="D815" s="5">
        <v>46113</v>
      </c>
      <c r="E815" s="6" t="s">
        <v>14</v>
      </c>
      <c r="F815" s="7">
        <v>558</v>
      </c>
      <c r="G815" s="7">
        <v>108338.917562724</v>
      </c>
      <c r="H815" s="7">
        <v>60453116</v>
      </c>
      <c r="I815" s="7">
        <v>17649828</v>
      </c>
      <c r="J815" s="7">
        <v>0</v>
      </c>
      <c r="K815">
        <f t="shared" si="12"/>
        <v>30</v>
      </c>
      <c r="L815" s="8" t="str" cm="1">
        <f t="array" ref="L815">_xlfn.IFS(
 AND(K815&gt;=89,K815&lt;=92),"3개월",
 AND(K815&gt;=58,K815&lt;=62),"2개월",
 AND(K815&gt;=28,K815&lt;=32),"1개월",
 AND(K815=0),"당월",
 TRUE,"그외"
)</f>
        <v>1개월</v>
      </c>
    </row>
    <row r="816" spans="1:12" ht="17.649999999999999" customHeight="1" x14ac:dyDescent="0.3">
      <c r="A816" s="5">
        <v>46143</v>
      </c>
      <c r="B816" s="6" t="s">
        <v>20</v>
      </c>
      <c r="C816" s="6" t="s">
        <v>38</v>
      </c>
      <c r="D816" s="5">
        <v>46113</v>
      </c>
      <c r="E816" s="6" t="s">
        <v>15</v>
      </c>
      <c r="F816" s="7">
        <v>827</v>
      </c>
      <c r="G816" s="7">
        <v>128697.4727932285</v>
      </c>
      <c r="H816" s="7">
        <v>106432810</v>
      </c>
      <c r="I816" s="7">
        <v>26581527</v>
      </c>
      <c r="J816" s="7">
        <v>0</v>
      </c>
      <c r="K816">
        <f t="shared" si="12"/>
        <v>30</v>
      </c>
      <c r="L816" s="8" t="str" cm="1">
        <f t="array" ref="L816">_xlfn.IFS(
 AND(K816&gt;=89,K816&lt;=92),"3개월",
 AND(K816&gt;=58,K816&lt;=62),"2개월",
 AND(K816&gt;=28,K816&lt;=32),"1개월",
 AND(K816=0),"당월",
 TRUE,"그외"
)</f>
        <v>1개월</v>
      </c>
    </row>
    <row r="817" spans="1:12" ht="17.649999999999999" customHeight="1" x14ac:dyDescent="0.3">
      <c r="A817" s="5">
        <v>46143</v>
      </c>
      <c r="B817" s="6" t="s">
        <v>20</v>
      </c>
      <c r="C817" s="6" t="s">
        <v>38</v>
      </c>
      <c r="D817" s="5">
        <v>46143</v>
      </c>
      <c r="E817" s="6" t="s">
        <v>14</v>
      </c>
      <c r="F817" s="7">
        <v>14</v>
      </c>
      <c r="G817" s="7">
        <v>118600</v>
      </c>
      <c r="H817" s="7">
        <v>1660400</v>
      </c>
      <c r="I817" s="7">
        <v>820400</v>
      </c>
      <c r="J817" s="7">
        <v>0</v>
      </c>
      <c r="K817">
        <f t="shared" si="12"/>
        <v>0</v>
      </c>
      <c r="L817" s="8" t="str" cm="1">
        <f t="array" ref="L817">_xlfn.IFS(
 AND(K817&gt;=89,K817&lt;=92),"3개월",
 AND(K817&gt;=58,K817&lt;=62),"2개월",
 AND(K817&gt;=28,K817&lt;=32),"1개월",
 AND(K817=0),"당월",
 TRUE,"그외"
)</f>
        <v>당월</v>
      </c>
    </row>
    <row r="818" spans="1:12" ht="17.649999999999999" customHeight="1" x14ac:dyDescent="0.3">
      <c r="A818" s="5">
        <v>46143</v>
      </c>
      <c r="B818" s="6" t="s">
        <v>20</v>
      </c>
      <c r="C818" s="6" t="s">
        <v>38</v>
      </c>
      <c r="D818" s="5">
        <v>46143</v>
      </c>
      <c r="E818" s="6" t="s">
        <v>15</v>
      </c>
      <c r="F818" s="7">
        <v>124</v>
      </c>
      <c r="G818" s="7">
        <v>114740.24193548389</v>
      </c>
      <c r="H818" s="7">
        <v>14227790</v>
      </c>
      <c r="I818" s="7">
        <v>5860840</v>
      </c>
      <c r="J818" s="7">
        <v>0</v>
      </c>
      <c r="K818">
        <f t="shared" si="12"/>
        <v>0</v>
      </c>
      <c r="L818" s="8" t="str" cm="1">
        <f t="array" ref="L818">_xlfn.IFS(
 AND(K818&gt;=89,K818&lt;=92),"3개월",
 AND(K818&gt;=58,K818&lt;=62),"2개월",
 AND(K818&gt;=28,K818&lt;=32),"1개월",
 AND(K818=0),"당월",
 TRUE,"그외"
)</f>
        <v>당월</v>
      </c>
    </row>
    <row r="819" spans="1:12" ht="17.649999999999999" customHeight="1" x14ac:dyDescent="0.3">
      <c r="A819" s="5">
        <v>46143</v>
      </c>
      <c r="B819" s="6" t="s">
        <v>20</v>
      </c>
      <c r="C819" s="6" t="s">
        <v>39</v>
      </c>
      <c r="D819" s="5">
        <v>46082</v>
      </c>
      <c r="E819" s="6" t="s">
        <v>14</v>
      </c>
      <c r="F819" s="7">
        <v>2</v>
      </c>
      <c r="G819" s="7">
        <v>10600000</v>
      </c>
      <c r="H819" s="7">
        <v>21200000</v>
      </c>
      <c r="I819" s="7">
        <v>0</v>
      </c>
      <c r="J819" s="7">
        <v>0</v>
      </c>
      <c r="K819">
        <f t="shared" si="12"/>
        <v>61</v>
      </c>
      <c r="L819" s="8" t="str" cm="1">
        <f t="array" ref="L819">_xlfn.IFS(
 AND(K819&gt;=89,K819&lt;=92),"3개월",
 AND(K819&gt;=58,K819&lt;=62),"2개월",
 AND(K819&gt;=28,K819&lt;=32),"1개월",
 AND(K819=0),"당월",
 TRUE,"그외"
)</f>
        <v>2개월</v>
      </c>
    </row>
    <row r="820" spans="1:12" ht="17.649999999999999" customHeight="1" x14ac:dyDescent="0.3">
      <c r="A820" s="5">
        <v>46143</v>
      </c>
      <c r="B820" s="6" t="s">
        <v>20</v>
      </c>
      <c r="C820" s="6" t="s">
        <v>39</v>
      </c>
      <c r="D820" s="5">
        <v>46113</v>
      </c>
      <c r="E820" s="6" t="s">
        <v>14</v>
      </c>
      <c r="F820" s="7">
        <v>1230</v>
      </c>
      <c r="G820" s="7">
        <v>206829.26829268289</v>
      </c>
      <c r="H820" s="7">
        <v>254400000</v>
      </c>
      <c r="I820" s="7">
        <v>0</v>
      </c>
      <c r="J820" s="7">
        <v>0</v>
      </c>
      <c r="K820">
        <f t="shared" si="12"/>
        <v>30</v>
      </c>
      <c r="L820" s="8" t="str" cm="1">
        <f t="array" ref="L820">_xlfn.IFS(
 AND(K820&gt;=89,K820&lt;=92),"3개월",
 AND(K820&gt;=58,K820&lt;=62),"2개월",
 AND(K820&gt;=28,K820&lt;=32),"1개월",
 AND(K820=0),"당월",
 TRUE,"그외"
)</f>
        <v>1개월</v>
      </c>
    </row>
    <row r="821" spans="1:12" ht="17.649999999999999" customHeight="1" x14ac:dyDescent="0.3">
      <c r="A821" s="5">
        <v>46143</v>
      </c>
      <c r="B821" s="6" t="s">
        <v>20</v>
      </c>
      <c r="C821" s="6" t="s">
        <v>39</v>
      </c>
      <c r="D821" s="5">
        <v>46113</v>
      </c>
      <c r="E821" s="6" t="s">
        <v>15</v>
      </c>
      <c r="F821" s="7">
        <v>18</v>
      </c>
      <c r="G821" s="7">
        <v>0</v>
      </c>
      <c r="H821" s="7">
        <v>0</v>
      </c>
      <c r="I821" s="7">
        <v>0</v>
      </c>
      <c r="J821" s="7">
        <v>0</v>
      </c>
      <c r="K821">
        <f t="shared" si="12"/>
        <v>30</v>
      </c>
      <c r="L821" s="8" t="str" cm="1">
        <f t="array" ref="L821">_xlfn.IFS(
 AND(K821&gt;=89,K821&lt;=92),"3개월",
 AND(K821&gt;=58,K821&lt;=62),"2개월",
 AND(K821&gt;=28,K821&lt;=32),"1개월",
 AND(K821=0),"당월",
 TRUE,"그외"
)</f>
        <v>1개월</v>
      </c>
    </row>
    <row r="822" spans="1:12" ht="17.649999999999999" customHeight="1" x14ac:dyDescent="0.3">
      <c r="A822" s="5">
        <v>46143</v>
      </c>
      <c r="B822" s="6" t="s">
        <v>20</v>
      </c>
      <c r="C822" s="6" t="s">
        <v>39</v>
      </c>
      <c r="D822" s="5">
        <v>46143</v>
      </c>
      <c r="E822" s="6" t="s">
        <v>14</v>
      </c>
      <c r="F822" s="7">
        <v>532</v>
      </c>
      <c r="G822" s="7">
        <v>0</v>
      </c>
      <c r="H822" s="7">
        <v>0</v>
      </c>
      <c r="I822" s="7">
        <v>0</v>
      </c>
      <c r="J822" s="7">
        <v>0</v>
      </c>
      <c r="K822">
        <f t="shared" si="12"/>
        <v>0</v>
      </c>
      <c r="L822" s="8" t="str" cm="1">
        <f t="array" ref="L822">_xlfn.IFS(
 AND(K822&gt;=89,K822&lt;=92),"3개월",
 AND(K822&gt;=58,K822&lt;=62),"2개월",
 AND(K822&gt;=28,K822&lt;=32),"1개월",
 AND(K822=0),"당월",
 TRUE,"그외"
)</f>
        <v>당월</v>
      </c>
    </row>
    <row r="823" spans="1:12" ht="17.649999999999999" customHeight="1" x14ac:dyDescent="0.3">
      <c r="A823" s="5">
        <v>46143</v>
      </c>
      <c r="B823" s="6" t="s">
        <v>40</v>
      </c>
      <c r="C823" s="6" t="s">
        <v>91</v>
      </c>
      <c r="D823" s="5">
        <v>46113</v>
      </c>
      <c r="E823" s="6" t="s">
        <v>14</v>
      </c>
      <c r="F823" s="7">
        <v>8</v>
      </c>
      <c r="G823" s="7">
        <v>162005.125</v>
      </c>
      <c r="H823" s="7">
        <v>1296041</v>
      </c>
      <c r="I823" s="7">
        <v>683047</v>
      </c>
      <c r="J823" s="7">
        <v>0</v>
      </c>
      <c r="K823">
        <f t="shared" si="12"/>
        <v>30</v>
      </c>
      <c r="L823" s="8" t="str" cm="1">
        <f t="array" ref="L823">_xlfn.IFS(
 AND(K823&gt;=89,K823&lt;=92),"3개월",
 AND(K823&gt;=58,K823&lt;=62),"2개월",
 AND(K823&gt;=28,K823&lt;=32),"1개월",
 AND(K823=0),"당월",
 TRUE,"그외"
)</f>
        <v>1개월</v>
      </c>
    </row>
    <row r="824" spans="1:12" ht="17.649999999999999" customHeight="1" x14ac:dyDescent="0.3">
      <c r="A824" s="5">
        <v>46143</v>
      </c>
      <c r="B824" s="6" t="s">
        <v>40</v>
      </c>
      <c r="C824" s="6" t="s">
        <v>91</v>
      </c>
      <c r="D824" s="5">
        <v>46113</v>
      </c>
      <c r="E824" s="6" t="s">
        <v>15</v>
      </c>
      <c r="F824" s="7">
        <v>33</v>
      </c>
      <c r="G824" s="7">
        <v>153076.63636363641</v>
      </c>
      <c r="H824" s="7">
        <v>5051529</v>
      </c>
      <c r="I824" s="7">
        <v>1344666</v>
      </c>
      <c r="J824" s="7">
        <v>0</v>
      </c>
      <c r="K824">
        <f t="shared" si="12"/>
        <v>30</v>
      </c>
      <c r="L824" s="8" t="str" cm="1">
        <f t="array" ref="L824">_xlfn.IFS(
 AND(K824&gt;=89,K824&lt;=92),"3개월",
 AND(K824&gt;=58,K824&lt;=62),"2개월",
 AND(K824&gt;=28,K824&lt;=32),"1개월",
 AND(K824=0),"당월",
 TRUE,"그외"
)</f>
        <v>1개월</v>
      </c>
    </row>
    <row r="825" spans="1:12" ht="17.649999999999999" customHeight="1" x14ac:dyDescent="0.3">
      <c r="A825" s="5">
        <v>46143</v>
      </c>
      <c r="B825" s="6" t="s">
        <v>40</v>
      </c>
      <c r="C825" s="6" t="s">
        <v>42</v>
      </c>
      <c r="D825" s="5">
        <v>46054</v>
      </c>
      <c r="E825" s="6" t="s">
        <v>14</v>
      </c>
      <c r="F825" s="7">
        <v>30</v>
      </c>
      <c r="G825" s="7">
        <v>238900</v>
      </c>
      <c r="H825" s="7">
        <v>7167000</v>
      </c>
      <c r="I825" s="7">
        <v>441000</v>
      </c>
      <c r="J825" s="7">
        <v>0</v>
      </c>
      <c r="K825">
        <f t="shared" si="12"/>
        <v>89</v>
      </c>
      <c r="L825" s="8" t="str" cm="1">
        <f t="array" ref="L825">_xlfn.IFS(
 AND(K825&gt;=89,K825&lt;=92),"3개월",
 AND(K825&gt;=58,K825&lt;=62),"2개월",
 AND(K825&gt;=28,K825&lt;=32),"1개월",
 AND(K825=0),"당월",
 TRUE,"그외"
)</f>
        <v>3개월</v>
      </c>
    </row>
    <row r="826" spans="1:12" ht="17.649999999999999" customHeight="1" x14ac:dyDescent="0.3">
      <c r="A826" s="5">
        <v>46143</v>
      </c>
      <c r="B826" s="6" t="s">
        <v>40</v>
      </c>
      <c r="C826" s="6" t="s">
        <v>42</v>
      </c>
      <c r="D826" s="5">
        <v>46082</v>
      </c>
      <c r="E826" s="6" t="s">
        <v>14</v>
      </c>
      <c r="F826" s="7">
        <v>3041</v>
      </c>
      <c r="G826" s="7">
        <v>253152.77869122001</v>
      </c>
      <c r="H826" s="7">
        <v>769837600</v>
      </c>
      <c r="I826" s="7">
        <v>53521600</v>
      </c>
      <c r="J826" s="7">
        <v>0</v>
      </c>
      <c r="K826">
        <f t="shared" si="12"/>
        <v>61</v>
      </c>
      <c r="L826" s="8" t="str" cm="1">
        <f t="array" ref="L826">_xlfn.IFS(
 AND(K826&gt;=89,K826&lt;=92),"3개월",
 AND(K826&gt;=58,K826&lt;=62),"2개월",
 AND(K826&gt;=28,K826&lt;=32),"1개월",
 AND(K826=0),"당월",
 TRUE,"그외"
)</f>
        <v>2개월</v>
      </c>
    </row>
    <row r="827" spans="1:12" ht="17.649999999999999" customHeight="1" x14ac:dyDescent="0.3">
      <c r="A827" s="5">
        <v>46143</v>
      </c>
      <c r="B827" s="6" t="s">
        <v>40</v>
      </c>
      <c r="C827" s="6" t="s">
        <v>42</v>
      </c>
      <c r="D827" s="5">
        <v>46082</v>
      </c>
      <c r="E827" s="6" t="s">
        <v>15</v>
      </c>
      <c r="F827" s="7">
        <v>6</v>
      </c>
      <c r="G827" s="7">
        <v>707600</v>
      </c>
      <c r="H827" s="7">
        <v>4245600</v>
      </c>
      <c r="I827" s="7">
        <v>105600</v>
      </c>
      <c r="J827" s="7">
        <v>0</v>
      </c>
      <c r="K827">
        <f t="shared" si="12"/>
        <v>61</v>
      </c>
      <c r="L827" s="8" t="str" cm="1">
        <f t="array" ref="L827">_xlfn.IFS(
 AND(K827&gt;=89,K827&lt;=92),"3개월",
 AND(K827&gt;=58,K827&lt;=62),"2개월",
 AND(K827&gt;=28,K827&lt;=32),"1개월",
 AND(K827=0),"당월",
 TRUE,"그외"
)</f>
        <v>2개월</v>
      </c>
    </row>
    <row r="828" spans="1:12" ht="17.649999999999999" customHeight="1" x14ac:dyDescent="0.3">
      <c r="A828" s="5">
        <v>46143</v>
      </c>
      <c r="B828" s="6" t="s">
        <v>40</v>
      </c>
      <c r="C828" s="6" t="s">
        <v>42</v>
      </c>
      <c r="D828" s="5">
        <v>46113</v>
      </c>
      <c r="E828" s="6" t="s">
        <v>14</v>
      </c>
      <c r="F828" s="7">
        <v>683</v>
      </c>
      <c r="G828" s="7">
        <v>834480.81991215225</v>
      </c>
      <c r="H828" s="7">
        <v>569950400</v>
      </c>
      <c r="I828" s="7">
        <v>30113400</v>
      </c>
      <c r="J828" s="7">
        <v>0</v>
      </c>
      <c r="K828">
        <f t="shared" si="12"/>
        <v>30</v>
      </c>
      <c r="L828" s="8" t="str" cm="1">
        <f t="array" ref="L828">_xlfn.IFS(
 AND(K828&gt;=89,K828&lt;=92),"3개월",
 AND(K828&gt;=58,K828&lt;=62),"2개월",
 AND(K828&gt;=28,K828&lt;=32),"1개월",
 AND(K828=0),"당월",
 TRUE,"그외"
)</f>
        <v>1개월</v>
      </c>
    </row>
    <row r="829" spans="1:12" ht="17.649999999999999" customHeight="1" x14ac:dyDescent="0.3">
      <c r="A829" s="5">
        <v>46143</v>
      </c>
      <c r="B829" s="6" t="s">
        <v>40</v>
      </c>
      <c r="C829" s="6" t="s">
        <v>42</v>
      </c>
      <c r="D829" s="5">
        <v>46113</v>
      </c>
      <c r="E829" s="6" t="s">
        <v>15</v>
      </c>
      <c r="F829" s="7">
        <v>24</v>
      </c>
      <c r="G829" s="7">
        <v>6250</v>
      </c>
      <c r="H829" s="7">
        <v>150000</v>
      </c>
      <c r="I829" s="7">
        <v>0</v>
      </c>
      <c r="J829" s="7">
        <v>0</v>
      </c>
      <c r="K829">
        <f t="shared" si="12"/>
        <v>30</v>
      </c>
      <c r="L829" s="8" t="str" cm="1">
        <f t="array" ref="L829">_xlfn.IFS(
 AND(K829&gt;=89,K829&lt;=92),"3개월",
 AND(K829&gt;=58,K829&lt;=62),"2개월",
 AND(K829&gt;=28,K829&lt;=32),"1개월",
 AND(K829=0),"당월",
 TRUE,"그외"
)</f>
        <v>1개월</v>
      </c>
    </row>
    <row r="830" spans="1:12" ht="17.649999999999999" customHeight="1" x14ac:dyDescent="0.3">
      <c r="A830" s="5">
        <v>46143</v>
      </c>
      <c r="B830" s="6" t="s">
        <v>40</v>
      </c>
      <c r="C830" s="6" t="s">
        <v>42</v>
      </c>
      <c r="D830" s="5">
        <v>46143</v>
      </c>
      <c r="E830" s="6" t="s">
        <v>14</v>
      </c>
      <c r="F830" s="7">
        <v>408</v>
      </c>
      <c r="G830" s="7">
        <v>53065.686274509797</v>
      </c>
      <c r="H830" s="7">
        <v>21650800</v>
      </c>
      <c r="I830" s="7">
        <v>7430800</v>
      </c>
      <c r="J830" s="7">
        <v>0</v>
      </c>
      <c r="K830">
        <f t="shared" si="12"/>
        <v>0</v>
      </c>
      <c r="L830" s="8" t="str" cm="1">
        <f t="array" ref="L830">_xlfn.IFS(
 AND(K830&gt;=89,K830&lt;=92),"3개월",
 AND(K830&gt;=58,K830&lt;=62),"2개월",
 AND(K830&gt;=28,K830&lt;=32),"1개월",
 AND(K830=0),"당월",
 TRUE,"그외"
)</f>
        <v>당월</v>
      </c>
    </row>
    <row r="831" spans="1:12" ht="17.649999999999999" customHeight="1" x14ac:dyDescent="0.3">
      <c r="A831" s="5">
        <v>46143</v>
      </c>
      <c r="B831" s="6" t="s">
        <v>40</v>
      </c>
      <c r="C831" s="6" t="s">
        <v>42</v>
      </c>
      <c r="D831" s="5">
        <v>46143</v>
      </c>
      <c r="E831" s="6" t="s">
        <v>15</v>
      </c>
      <c r="F831" s="7">
        <v>2</v>
      </c>
      <c r="G831" s="7">
        <v>0</v>
      </c>
      <c r="H831" s="7">
        <v>0</v>
      </c>
      <c r="I831" s="7">
        <v>0</v>
      </c>
      <c r="J831" s="7">
        <v>0</v>
      </c>
      <c r="K831">
        <f t="shared" si="12"/>
        <v>0</v>
      </c>
      <c r="L831" s="8" t="str" cm="1">
        <f t="array" ref="L831">_xlfn.IFS(
 AND(K831&gt;=89,K831&lt;=92),"3개월",
 AND(K831&gt;=58,K831&lt;=62),"2개월",
 AND(K831&gt;=28,K831&lt;=32),"1개월",
 AND(K831=0),"당월",
 TRUE,"그외"
)</f>
        <v>당월</v>
      </c>
    </row>
    <row r="832" spans="1:12" ht="17.649999999999999" customHeight="1" x14ac:dyDescent="0.3">
      <c r="A832" s="5">
        <v>46143</v>
      </c>
      <c r="B832" s="6" t="s">
        <v>40</v>
      </c>
      <c r="C832" s="6" t="s">
        <v>92</v>
      </c>
      <c r="D832" s="5">
        <v>46054</v>
      </c>
      <c r="E832" s="6" t="s">
        <v>14</v>
      </c>
      <c r="F832" s="7">
        <v>192</v>
      </c>
      <c r="G832" s="7">
        <v>150737.5</v>
      </c>
      <c r="H832" s="7">
        <v>28941600</v>
      </c>
      <c r="I832" s="7">
        <v>1401600</v>
      </c>
      <c r="J832" s="7">
        <v>0</v>
      </c>
      <c r="K832">
        <f t="shared" si="12"/>
        <v>89</v>
      </c>
      <c r="L832" s="8" t="str" cm="1">
        <f t="array" ref="L832">_xlfn.IFS(
 AND(K832&gt;=89,K832&lt;=92),"3개월",
 AND(K832&gt;=58,K832&lt;=62),"2개월",
 AND(K832&gt;=28,K832&lt;=32),"1개월",
 AND(K832=0),"당월",
 TRUE,"그외"
)</f>
        <v>3개월</v>
      </c>
    </row>
    <row r="833" spans="1:12" ht="17.649999999999999" customHeight="1" x14ac:dyDescent="0.3">
      <c r="A833" s="5">
        <v>46143</v>
      </c>
      <c r="B833" s="6" t="s">
        <v>40</v>
      </c>
      <c r="C833" s="6" t="s">
        <v>92</v>
      </c>
      <c r="D833" s="5">
        <v>46082</v>
      </c>
      <c r="E833" s="6" t="s">
        <v>14</v>
      </c>
      <c r="F833" s="7">
        <v>504</v>
      </c>
      <c r="G833" s="7">
        <v>148110.02182539681</v>
      </c>
      <c r="H833" s="7">
        <v>74647451</v>
      </c>
      <c r="I833" s="7">
        <v>6159977</v>
      </c>
      <c r="J833" s="7">
        <v>0</v>
      </c>
      <c r="K833">
        <f t="shared" si="12"/>
        <v>61</v>
      </c>
      <c r="L833" s="8" t="str" cm="1">
        <f t="array" ref="L833">_xlfn.IFS(
 AND(K833&gt;=89,K833&lt;=92),"3개월",
 AND(K833&gt;=58,K833&lt;=62),"2개월",
 AND(K833&gt;=28,K833&lt;=32),"1개월",
 AND(K833=0),"당월",
 TRUE,"그외"
)</f>
        <v>2개월</v>
      </c>
    </row>
    <row r="834" spans="1:12" ht="17.649999999999999" customHeight="1" x14ac:dyDescent="0.3">
      <c r="A834" s="5">
        <v>46143</v>
      </c>
      <c r="B834" s="6" t="s">
        <v>40</v>
      </c>
      <c r="C834" s="6" t="s">
        <v>92</v>
      </c>
      <c r="D834" s="5">
        <v>46082</v>
      </c>
      <c r="E834" s="6" t="s">
        <v>15</v>
      </c>
      <c r="F834" s="7">
        <v>61</v>
      </c>
      <c r="G834" s="7">
        <v>156472.4426229508</v>
      </c>
      <c r="H834" s="7">
        <v>9544819</v>
      </c>
      <c r="I834" s="7">
        <v>995111</v>
      </c>
      <c r="J834" s="7">
        <v>0</v>
      </c>
      <c r="K834">
        <f t="shared" si="12"/>
        <v>61</v>
      </c>
      <c r="L834" s="8" t="str" cm="1">
        <f t="array" ref="L834">_xlfn.IFS(
 AND(K834&gt;=89,K834&lt;=92),"3개월",
 AND(K834&gt;=58,K834&lt;=62),"2개월",
 AND(K834&gt;=28,K834&lt;=32),"1개월",
 AND(K834=0),"당월",
 TRUE,"그외"
)</f>
        <v>2개월</v>
      </c>
    </row>
    <row r="835" spans="1:12" ht="17.649999999999999" customHeight="1" x14ac:dyDescent="0.3">
      <c r="A835" s="5">
        <v>46143</v>
      </c>
      <c r="B835" s="6" t="s">
        <v>40</v>
      </c>
      <c r="C835" s="6" t="s">
        <v>92</v>
      </c>
      <c r="D835" s="5">
        <v>46113</v>
      </c>
      <c r="E835" s="6" t="s">
        <v>14</v>
      </c>
      <c r="F835" s="7">
        <v>214</v>
      </c>
      <c r="G835" s="7">
        <v>145054.42990654209</v>
      </c>
      <c r="H835" s="7">
        <v>31041648</v>
      </c>
      <c r="I835" s="7">
        <v>8024663</v>
      </c>
      <c r="J835" s="7">
        <v>0</v>
      </c>
      <c r="K835">
        <f t="shared" si="12"/>
        <v>30</v>
      </c>
      <c r="L835" s="8" t="str" cm="1">
        <f t="array" ref="L835">_xlfn.IFS(
 AND(K835&gt;=89,K835&lt;=92),"3개월",
 AND(K835&gt;=58,K835&lt;=62),"2개월",
 AND(K835&gt;=28,K835&lt;=32),"1개월",
 AND(K835=0),"당월",
 TRUE,"그외"
)</f>
        <v>1개월</v>
      </c>
    </row>
    <row r="836" spans="1:12" ht="17.649999999999999" customHeight="1" x14ac:dyDescent="0.3">
      <c r="A836" s="5">
        <v>46143</v>
      </c>
      <c r="B836" s="6" t="s">
        <v>40</v>
      </c>
      <c r="C836" s="6" t="s">
        <v>92</v>
      </c>
      <c r="D836" s="5">
        <v>46113</v>
      </c>
      <c r="E836" s="6" t="s">
        <v>15</v>
      </c>
      <c r="F836" s="7">
        <v>60</v>
      </c>
      <c r="G836" s="7">
        <v>180052.08333333331</v>
      </c>
      <c r="H836" s="7">
        <v>10803125</v>
      </c>
      <c r="I836" s="7">
        <v>2298181</v>
      </c>
      <c r="J836" s="7">
        <v>0</v>
      </c>
      <c r="K836">
        <f t="shared" si="12"/>
        <v>30</v>
      </c>
      <c r="L836" s="8" t="str" cm="1">
        <f t="array" ref="L836">_xlfn.IFS(
 AND(K836&gt;=89,K836&lt;=92),"3개월",
 AND(K836&gt;=58,K836&lt;=62),"2개월",
 AND(K836&gt;=28,K836&lt;=32),"1개월",
 AND(K836=0),"당월",
 TRUE,"그외"
)</f>
        <v>1개월</v>
      </c>
    </row>
    <row r="837" spans="1:12" ht="17.649999999999999" customHeight="1" x14ac:dyDescent="0.3">
      <c r="A837" s="5">
        <v>46143</v>
      </c>
      <c r="B837" s="6" t="s">
        <v>40</v>
      </c>
      <c r="C837" s="6" t="s">
        <v>92</v>
      </c>
      <c r="D837" s="5">
        <v>46143</v>
      </c>
      <c r="E837" s="6" t="s">
        <v>14</v>
      </c>
      <c r="F837" s="7">
        <v>42</v>
      </c>
      <c r="G837" s="7">
        <v>108247.4523809524</v>
      </c>
      <c r="H837" s="7">
        <v>4546393</v>
      </c>
      <c r="I837" s="7">
        <v>3197868</v>
      </c>
      <c r="J837" s="7">
        <v>0</v>
      </c>
      <c r="K837">
        <f t="shared" si="12"/>
        <v>0</v>
      </c>
      <c r="L837" s="8" t="str" cm="1">
        <f t="array" ref="L837">_xlfn.IFS(
 AND(K837&gt;=89,K837&lt;=92),"3개월",
 AND(K837&gt;=58,K837&lt;=62),"2개월",
 AND(K837&gt;=28,K837&lt;=32),"1개월",
 AND(K837=0),"당월",
 TRUE,"그외"
)</f>
        <v>당월</v>
      </c>
    </row>
    <row r="838" spans="1:12" ht="17.649999999999999" customHeight="1" x14ac:dyDescent="0.3">
      <c r="A838" s="5">
        <v>46143</v>
      </c>
      <c r="B838" s="6" t="s">
        <v>40</v>
      </c>
      <c r="C838" s="6" t="s">
        <v>92</v>
      </c>
      <c r="D838" s="5">
        <v>46143</v>
      </c>
      <c r="E838" s="6" t="s">
        <v>15</v>
      </c>
      <c r="F838" s="7">
        <v>11</v>
      </c>
      <c r="G838" s="7">
        <v>200127.27272727271</v>
      </c>
      <c r="H838" s="7">
        <v>2201400</v>
      </c>
      <c r="I838" s="7">
        <v>527400</v>
      </c>
      <c r="J838" s="7">
        <v>0</v>
      </c>
      <c r="K838">
        <f t="shared" si="12"/>
        <v>0</v>
      </c>
      <c r="L838" s="8" t="str" cm="1">
        <f t="array" ref="L838">_xlfn.IFS(
 AND(K838&gt;=89,K838&lt;=92),"3개월",
 AND(K838&gt;=58,K838&lt;=62),"2개월",
 AND(K838&gt;=28,K838&lt;=32),"1개월",
 AND(K838=0),"당월",
 TRUE,"그외"
)</f>
        <v>당월</v>
      </c>
    </row>
    <row r="839" spans="1:12" ht="17.649999999999999" customHeight="1" x14ac:dyDescent="0.3">
      <c r="A839" s="5">
        <v>46143</v>
      </c>
      <c r="B839" s="6" t="s">
        <v>40</v>
      </c>
      <c r="C839" s="6" t="s">
        <v>93</v>
      </c>
      <c r="D839" s="5">
        <v>46082</v>
      </c>
      <c r="E839" s="6" t="s">
        <v>14</v>
      </c>
      <c r="F839" s="7">
        <v>1195</v>
      </c>
      <c r="G839" s="7">
        <v>158380.33472803349</v>
      </c>
      <c r="H839" s="7">
        <v>189264500</v>
      </c>
      <c r="I839" s="7">
        <v>12308500</v>
      </c>
      <c r="J839" s="7">
        <v>0</v>
      </c>
      <c r="K839">
        <f t="shared" si="12"/>
        <v>61</v>
      </c>
      <c r="L839" s="8" t="str" cm="1">
        <f t="array" ref="L839">_xlfn.IFS(
 AND(K839&gt;=89,K839&lt;=92),"3개월",
 AND(K839&gt;=58,K839&lt;=62),"2개월",
 AND(K839&gt;=28,K839&lt;=32),"1개월",
 AND(K839=0),"당월",
 TRUE,"그외"
)</f>
        <v>2개월</v>
      </c>
    </row>
    <row r="840" spans="1:12" ht="17.649999999999999" customHeight="1" x14ac:dyDescent="0.3">
      <c r="A840" s="5">
        <v>46143</v>
      </c>
      <c r="B840" s="6" t="s">
        <v>40</v>
      </c>
      <c r="C840" s="6" t="s">
        <v>93</v>
      </c>
      <c r="D840" s="5">
        <v>46082</v>
      </c>
      <c r="E840" s="6" t="s">
        <v>15</v>
      </c>
      <c r="F840" s="7">
        <v>14</v>
      </c>
      <c r="G840" s="7">
        <v>199900.1428571429</v>
      </c>
      <c r="H840" s="7">
        <v>2798602</v>
      </c>
      <c r="I840" s="7">
        <v>197626</v>
      </c>
      <c r="J840" s="7">
        <v>0</v>
      </c>
      <c r="K840">
        <f t="shared" si="12"/>
        <v>61</v>
      </c>
      <c r="L840" s="8" t="str" cm="1">
        <f t="array" ref="L840">_xlfn.IFS(
 AND(K840&gt;=89,K840&lt;=92),"3개월",
 AND(K840&gt;=58,K840&lt;=62),"2개월",
 AND(K840&gt;=28,K840&lt;=32),"1개월",
 AND(K840=0),"당월",
 TRUE,"그외"
)</f>
        <v>2개월</v>
      </c>
    </row>
    <row r="841" spans="1:12" ht="17.649999999999999" customHeight="1" x14ac:dyDescent="0.3">
      <c r="A841" s="5">
        <v>46143</v>
      </c>
      <c r="B841" s="6" t="s">
        <v>40</v>
      </c>
      <c r="C841" s="6" t="s">
        <v>93</v>
      </c>
      <c r="D841" s="5">
        <v>46113</v>
      </c>
      <c r="E841" s="6" t="s">
        <v>14</v>
      </c>
      <c r="F841" s="7">
        <v>400</v>
      </c>
      <c r="G841" s="7">
        <v>157487.5</v>
      </c>
      <c r="H841" s="7">
        <v>62995000</v>
      </c>
      <c r="I841" s="7">
        <v>12238000</v>
      </c>
      <c r="J841" s="7">
        <v>0</v>
      </c>
      <c r="K841">
        <f t="shared" si="12"/>
        <v>30</v>
      </c>
      <c r="L841" s="8" t="str" cm="1">
        <f t="array" ref="L841">_xlfn.IFS(
 AND(K841&gt;=89,K841&lt;=92),"3개월",
 AND(K841&gt;=58,K841&lt;=62),"2개월",
 AND(K841&gt;=28,K841&lt;=32),"1개월",
 AND(K841=0),"당월",
 TRUE,"그외"
)</f>
        <v>1개월</v>
      </c>
    </row>
    <row r="842" spans="1:12" ht="17.649999999999999" customHeight="1" x14ac:dyDescent="0.3">
      <c r="A842" s="5">
        <v>46143</v>
      </c>
      <c r="B842" s="6" t="s">
        <v>40</v>
      </c>
      <c r="C842" s="6" t="s">
        <v>93</v>
      </c>
      <c r="D842" s="5">
        <v>46113</v>
      </c>
      <c r="E842" s="6" t="s">
        <v>15</v>
      </c>
      <c r="F842" s="7">
        <v>27</v>
      </c>
      <c r="G842" s="7">
        <v>195934.51851851851</v>
      </c>
      <c r="H842" s="7">
        <v>5290232</v>
      </c>
      <c r="I842" s="7">
        <v>879422</v>
      </c>
      <c r="J842" s="7">
        <v>0</v>
      </c>
      <c r="K842">
        <f t="shared" ref="K842:K905" si="13">A842-D842</f>
        <v>30</v>
      </c>
      <c r="L842" s="8" t="str" cm="1">
        <f t="array" ref="L842">_xlfn.IFS(
 AND(K842&gt;=89,K842&lt;=92),"3개월",
 AND(K842&gt;=58,K842&lt;=62),"2개월",
 AND(K842&gt;=28,K842&lt;=32),"1개월",
 AND(K842=0),"당월",
 TRUE,"그외"
)</f>
        <v>1개월</v>
      </c>
    </row>
    <row r="843" spans="1:12" ht="17.649999999999999" customHeight="1" x14ac:dyDescent="0.3">
      <c r="A843" s="5">
        <v>46143</v>
      </c>
      <c r="B843" s="6" t="s">
        <v>40</v>
      </c>
      <c r="C843" s="6" t="s">
        <v>93</v>
      </c>
      <c r="D843" s="5">
        <v>46143</v>
      </c>
      <c r="E843" s="6" t="s">
        <v>14</v>
      </c>
      <c r="F843" s="7">
        <v>4</v>
      </c>
      <c r="G843" s="7">
        <v>233600</v>
      </c>
      <c r="H843" s="7">
        <v>934400</v>
      </c>
      <c r="I843" s="7">
        <v>234400</v>
      </c>
      <c r="J843" s="7">
        <v>0</v>
      </c>
      <c r="K843">
        <f t="shared" si="13"/>
        <v>0</v>
      </c>
      <c r="L843" s="8" t="str" cm="1">
        <f t="array" ref="L843">_xlfn.IFS(
 AND(K843&gt;=89,K843&lt;=92),"3개월",
 AND(K843&gt;=58,K843&lt;=62),"2개월",
 AND(K843&gt;=28,K843&lt;=32),"1개월",
 AND(K843=0),"당월",
 TRUE,"그외"
)</f>
        <v>당월</v>
      </c>
    </row>
    <row r="844" spans="1:12" ht="17.649999999999999" customHeight="1" x14ac:dyDescent="0.3">
      <c r="A844" s="5">
        <v>46143</v>
      </c>
      <c r="B844" s="6" t="s">
        <v>40</v>
      </c>
      <c r="C844" s="6" t="s">
        <v>93</v>
      </c>
      <c r="D844" s="5">
        <v>46143</v>
      </c>
      <c r="E844" s="6" t="s">
        <v>15</v>
      </c>
      <c r="F844" s="7">
        <v>3</v>
      </c>
      <c r="G844" s="7">
        <v>174207.33333333331</v>
      </c>
      <c r="H844" s="7">
        <v>522622</v>
      </c>
      <c r="I844" s="7">
        <v>143164</v>
      </c>
      <c r="J844" s="7">
        <v>0</v>
      </c>
      <c r="K844">
        <f t="shared" si="13"/>
        <v>0</v>
      </c>
      <c r="L844" s="8" t="str" cm="1">
        <f t="array" ref="L844">_xlfn.IFS(
 AND(K844&gt;=89,K844&lt;=92),"3개월",
 AND(K844&gt;=58,K844&lt;=62),"2개월",
 AND(K844&gt;=28,K844&lt;=32),"1개월",
 AND(K844=0),"당월",
 TRUE,"그외"
)</f>
        <v>당월</v>
      </c>
    </row>
    <row r="845" spans="1:12" ht="17.649999999999999" customHeight="1" x14ac:dyDescent="0.3">
      <c r="A845" s="5">
        <v>46143</v>
      </c>
      <c r="B845" s="6" t="s">
        <v>40</v>
      </c>
      <c r="C845" s="6" t="s">
        <v>44</v>
      </c>
      <c r="D845" s="5">
        <v>46113</v>
      </c>
      <c r="E845" s="6" t="s">
        <v>14</v>
      </c>
      <c r="F845" s="7">
        <v>238</v>
      </c>
      <c r="G845" s="7">
        <v>258403.36134453781</v>
      </c>
      <c r="H845" s="7">
        <v>61500000</v>
      </c>
      <c r="I845" s="7">
        <v>0</v>
      </c>
      <c r="J845" s="7">
        <v>0</v>
      </c>
      <c r="K845">
        <f t="shared" si="13"/>
        <v>30</v>
      </c>
      <c r="L845" s="8" t="str" cm="1">
        <f t="array" ref="L845">_xlfn.IFS(
 AND(K845&gt;=89,K845&lt;=92),"3개월",
 AND(K845&gt;=58,K845&lt;=62),"2개월",
 AND(K845&gt;=28,K845&lt;=32),"1개월",
 AND(K845=0),"당월",
 TRUE,"그외"
)</f>
        <v>1개월</v>
      </c>
    </row>
    <row r="846" spans="1:12" ht="17.649999999999999" customHeight="1" x14ac:dyDescent="0.3">
      <c r="A846" s="5">
        <v>46143</v>
      </c>
      <c r="B846" s="6" t="s">
        <v>40</v>
      </c>
      <c r="C846" s="6" t="s">
        <v>44</v>
      </c>
      <c r="D846" s="5">
        <v>46113</v>
      </c>
      <c r="E846" s="6" t="s">
        <v>15</v>
      </c>
      <c r="F846" s="7">
        <v>10</v>
      </c>
      <c r="G846" s="7">
        <v>0</v>
      </c>
      <c r="H846" s="7">
        <v>0</v>
      </c>
      <c r="I846" s="7">
        <v>0</v>
      </c>
      <c r="J846" s="7">
        <v>0</v>
      </c>
      <c r="K846">
        <f t="shared" si="13"/>
        <v>30</v>
      </c>
      <c r="L846" s="8" t="str" cm="1">
        <f t="array" ref="L846">_xlfn.IFS(
 AND(K846&gt;=89,K846&lt;=92),"3개월",
 AND(K846&gt;=58,K846&lt;=62),"2개월",
 AND(K846&gt;=28,K846&lt;=32),"1개월",
 AND(K846=0),"당월",
 TRUE,"그외"
)</f>
        <v>1개월</v>
      </c>
    </row>
    <row r="847" spans="1:12" ht="17.649999999999999" customHeight="1" x14ac:dyDescent="0.3">
      <c r="A847" s="5">
        <v>46143</v>
      </c>
      <c r="B847" s="6" t="s">
        <v>40</v>
      </c>
      <c r="C847" s="6" t="s">
        <v>44</v>
      </c>
      <c r="D847" s="5">
        <v>46143</v>
      </c>
      <c r="E847" s="6" t="s">
        <v>14</v>
      </c>
      <c r="F847" s="7">
        <v>107</v>
      </c>
      <c r="G847" s="7">
        <v>2299065.4205607479</v>
      </c>
      <c r="H847" s="7">
        <v>246000000</v>
      </c>
      <c r="I847" s="7">
        <v>0</v>
      </c>
      <c r="J847" s="7">
        <v>0</v>
      </c>
      <c r="K847">
        <f t="shared" si="13"/>
        <v>0</v>
      </c>
      <c r="L847" s="8" t="str" cm="1">
        <f t="array" ref="L847">_xlfn.IFS(
 AND(K847&gt;=89,K847&lt;=92),"3개월",
 AND(K847&gt;=58,K847&lt;=62),"2개월",
 AND(K847&gt;=28,K847&lt;=32),"1개월",
 AND(K847=0),"당월",
 TRUE,"그외"
)</f>
        <v>당월</v>
      </c>
    </row>
    <row r="848" spans="1:12" ht="17.649999999999999" customHeight="1" x14ac:dyDescent="0.3">
      <c r="A848" s="5">
        <v>46143</v>
      </c>
      <c r="B848" s="6" t="s">
        <v>40</v>
      </c>
      <c r="C848" s="6" t="s">
        <v>46</v>
      </c>
      <c r="D848" s="5">
        <v>46113</v>
      </c>
      <c r="E848" s="6" t="s">
        <v>14</v>
      </c>
      <c r="F848" s="7">
        <v>478</v>
      </c>
      <c r="G848" s="7">
        <v>313807.53138075309</v>
      </c>
      <c r="H848" s="7">
        <v>150000000</v>
      </c>
      <c r="I848" s="7">
        <v>0</v>
      </c>
      <c r="J848" s="7">
        <v>0</v>
      </c>
      <c r="K848">
        <f t="shared" si="13"/>
        <v>30</v>
      </c>
      <c r="L848" s="8" t="str" cm="1">
        <f t="array" ref="L848">_xlfn.IFS(
 AND(K848&gt;=89,K848&lt;=92),"3개월",
 AND(K848&gt;=58,K848&lt;=62),"2개월",
 AND(K848&gt;=28,K848&lt;=32),"1개월",
 AND(K848=0),"당월",
 TRUE,"그외"
)</f>
        <v>1개월</v>
      </c>
    </row>
    <row r="849" spans="1:12" ht="17.649999999999999" customHeight="1" x14ac:dyDescent="0.3">
      <c r="A849" s="5">
        <v>46143</v>
      </c>
      <c r="B849" s="6" t="s">
        <v>40</v>
      </c>
      <c r="C849" s="6" t="s">
        <v>46</v>
      </c>
      <c r="D849" s="5">
        <v>46113</v>
      </c>
      <c r="E849" s="6" t="s">
        <v>15</v>
      </c>
      <c r="F849" s="7">
        <v>18</v>
      </c>
      <c r="G849" s="7">
        <v>0</v>
      </c>
      <c r="H849" s="7">
        <v>0</v>
      </c>
      <c r="I849" s="7">
        <v>0</v>
      </c>
      <c r="J849" s="7">
        <v>0</v>
      </c>
      <c r="K849">
        <f t="shared" si="13"/>
        <v>30</v>
      </c>
      <c r="L849" s="8" t="str" cm="1">
        <f t="array" ref="L849">_xlfn.IFS(
 AND(K849&gt;=89,K849&lt;=92),"3개월",
 AND(K849&gt;=58,K849&lt;=62),"2개월",
 AND(K849&gt;=28,K849&lt;=32),"1개월",
 AND(K849=0),"당월",
 TRUE,"그외"
)</f>
        <v>1개월</v>
      </c>
    </row>
    <row r="850" spans="1:12" ht="17.649999999999999" customHeight="1" x14ac:dyDescent="0.3">
      <c r="A850" s="5">
        <v>46143</v>
      </c>
      <c r="B850" s="6" t="s">
        <v>40</v>
      </c>
      <c r="C850" s="6" t="s">
        <v>46</v>
      </c>
      <c r="D850" s="5">
        <v>46143</v>
      </c>
      <c r="E850" s="6" t="s">
        <v>14</v>
      </c>
      <c r="F850" s="7">
        <v>262</v>
      </c>
      <c r="G850" s="7">
        <v>0</v>
      </c>
      <c r="H850" s="7">
        <v>0</v>
      </c>
      <c r="I850" s="7">
        <v>0</v>
      </c>
      <c r="J850" s="7">
        <v>0</v>
      </c>
      <c r="K850">
        <f t="shared" si="13"/>
        <v>0</v>
      </c>
      <c r="L850" s="8" t="str" cm="1">
        <f t="array" ref="L850">_xlfn.IFS(
 AND(K850&gt;=89,K850&lt;=92),"3개월",
 AND(K850&gt;=58,K850&lt;=62),"2개월",
 AND(K850&gt;=28,K850&lt;=32),"1개월",
 AND(K850=0),"당월",
 TRUE,"그외"
)</f>
        <v>당월</v>
      </c>
    </row>
    <row r="851" spans="1:12" ht="17.649999999999999" customHeight="1" x14ac:dyDescent="0.3">
      <c r="A851" s="5">
        <v>46143</v>
      </c>
      <c r="B851" s="6" t="s">
        <v>40</v>
      </c>
      <c r="C851" s="6" t="s">
        <v>47</v>
      </c>
      <c r="D851" s="5">
        <v>45992</v>
      </c>
      <c r="E851" s="6" t="s">
        <v>15</v>
      </c>
      <c r="F851" s="7">
        <v>377</v>
      </c>
      <c r="G851" s="7">
        <v>162737.5039787798</v>
      </c>
      <c r="H851" s="7">
        <v>61352039</v>
      </c>
      <c r="I851" s="7">
        <v>9356539</v>
      </c>
      <c r="J851" s="7">
        <v>0</v>
      </c>
      <c r="K851">
        <f t="shared" si="13"/>
        <v>151</v>
      </c>
      <c r="L851" s="8" t="str" cm="1">
        <f t="array" ref="L851">_xlfn.IFS(
 AND(K851&gt;=89,K851&lt;=92),"3개월",
 AND(K851&gt;=58,K851&lt;=62),"2개월",
 AND(K851&gt;=28,K851&lt;=32),"1개월",
 AND(K851=0),"당월",
 TRUE,"그외"
)</f>
        <v>그외</v>
      </c>
    </row>
    <row r="852" spans="1:12" ht="17.649999999999999" customHeight="1" x14ac:dyDescent="0.3">
      <c r="A852" s="5">
        <v>46143</v>
      </c>
      <c r="B852" s="6" t="s">
        <v>40</v>
      </c>
      <c r="C852" s="6" t="s">
        <v>47</v>
      </c>
      <c r="D852" s="5">
        <v>46023</v>
      </c>
      <c r="E852" s="6" t="s">
        <v>15</v>
      </c>
      <c r="F852" s="7">
        <v>466</v>
      </c>
      <c r="G852" s="7">
        <v>194132.81759656651</v>
      </c>
      <c r="H852" s="7">
        <v>90465893</v>
      </c>
      <c r="I852" s="7">
        <v>12290496</v>
      </c>
      <c r="J852" s="7">
        <v>0</v>
      </c>
      <c r="K852">
        <f t="shared" si="13"/>
        <v>120</v>
      </c>
      <c r="L852" s="8" t="str" cm="1">
        <f t="array" ref="L852">_xlfn.IFS(
 AND(K852&gt;=89,K852&lt;=92),"3개월",
 AND(K852&gt;=58,K852&lt;=62),"2개월",
 AND(K852&gt;=28,K852&lt;=32),"1개월",
 AND(K852=0),"당월",
 TRUE,"그외"
)</f>
        <v>그외</v>
      </c>
    </row>
    <row r="853" spans="1:12" ht="17.649999999999999" customHeight="1" x14ac:dyDescent="0.3">
      <c r="A853" s="5">
        <v>46143</v>
      </c>
      <c r="B853" s="6" t="s">
        <v>40</v>
      </c>
      <c r="C853" s="6" t="s">
        <v>47</v>
      </c>
      <c r="D853" s="5">
        <v>46054</v>
      </c>
      <c r="E853" s="6" t="s">
        <v>14</v>
      </c>
      <c r="F853" s="7">
        <v>21</v>
      </c>
      <c r="G853" s="7">
        <v>92409.523809523816</v>
      </c>
      <c r="H853" s="7">
        <v>1940600</v>
      </c>
      <c r="I853" s="7">
        <v>369600</v>
      </c>
      <c r="J853" s="7">
        <v>0</v>
      </c>
      <c r="K853">
        <f t="shared" si="13"/>
        <v>89</v>
      </c>
      <c r="L853" s="8" t="str" cm="1">
        <f t="array" ref="L853">_xlfn.IFS(
 AND(K853&gt;=89,K853&lt;=92),"3개월",
 AND(K853&gt;=58,K853&lt;=62),"2개월",
 AND(K853&gt;=28,K853&lt;=32),"1개월",
 AND(K853=0),"당월",
 TRUE,"그외"
)</f>
        <v>3개월</v>
      </c>
    </row>
    <row r="854" spans="1:12" ht="17.649999999999999" customHeight="1" x14ac:dyDescent="0.3">
      <c r="A854" s="5">
        <v>46143</v>
      </c>
      <c r="B854" s="6" t="s">
        <v>40</v>
      </c>
      <c r="C854" s="6" t="s">
        <v>47</v>
      </c>
      <c r="D854" s="5">
        <v>46054</v>
      </c>
      <c r="E854" s="6" t="s">
        <v>15</v>
      </c>
      <c r="F854" s="7">
        <v>514</v>
      </c>
      <c r="G854" s="7">
        <v>198630.9610894942</v>
      </c>
      <c r="H854" s="7">
        <v>102096314</v>
      </c>
      <c r="I854" s="7">
        <v>10172410</v>
      </c>
      <c r="J854" s="7">
        <v>0</v>
      </c>
      <c r="K854">
        <f t="shared" si="13"/>
        <v>89</v>
      </c>
      <c r="L854" s="8" t="str" cm="1">
        <f t="array" ref="L854">_xlfn.IFS(
 AND(K854&gt;=89,K854&lt;=92),"3개월",
 AND(K854&gt;=58,K854&lt;=62),"2개월",
 AND(K854&gt;=28,K854&lt;=32),"1개월",
 AND(K854=0),"당월",
 TRUE,"그외"
)</f>
        <v>3개월</v>
      </c>
    </row>
    <row r="855" spans="1:12" ht="17.649999999999999" customHeight="1" x14ac:dyDescent="0.3">
      <c r="A855" s="5">
        <v>46143</v>
      </c>
      <c r="B855" s="6" t="s">
        <v>40</v>
      </c>
      <c r="C855" s="6" t="s">
        <v>47</v>
      </c>
      <c r="D855" s="5">
        <v>46082</v>
      </c>
      <c r="E855" s="6" t="s">
        <v>14</v>
      </c>
      <c r="F855" s="7">
        <v>703</v>
      </c>
      <c r="G855" s="7">
        <v>191559.74537695589</v>
      </c>
      <c r="H855" s="7">
        <v>134666501</v>
      </c>
      <c r="I855" s="7">
        <v>16715190</v>
      </c>
      <c r="J855" s="7">
        <v>0</v>
      </c>
      <c r="K855">
        <f t="shared" si="13"/>
        <v>61</v>
      </c>
      <c r="L855" s="8" t="str" cm="1">
        <f t="array" ref="L855">_xlfn.IFS(
 AND(K855&gt;=89,K855&lt;=92),"3개월",
 AND(K855&gt;=58,K855&lt;=62),"2개월",
 AND(K855&gt;=28,K855&lt;=32),"1개월",
 AND(K855=0),"당월",
 TRUE,"그외"
)</f>
        <v>2개월</v>
      </c>
    </row>
    <row r="856" spans="1:12" ht="17.649999999999999" customHeight="1" x14ac:dyDescent="0.3">
      <c r="A856" s="5">
        <v>46143</v>
      </c>
      <c r="B856" s="6" t="s">
        <v>40</v>
      </c>
      <c r="C856" s="6" t="s">
        <v>47</v>
      </c>
      <c r="D856" s="5">
        <v>46082</v>
      </c>
      <c r="E856" s="6" t="s">
        <v>15</v>
      </c>
      <c r="F856" s="7">
        <v>4117</v>
      </c>
      <c r="G856" s="7">
        <v>156218.94146222979</v>
      </c>
      <c r="H856" s="7">
        <v>643153382</v>
      </c>
      <c r="I856" s="7">
        <v>104406975</v>
      </c>
      <c r="J856" s="7">
        <v>0</v>
      </c>
      <c r="K856">
        <f t="shared" si="13"/>
        <v>61</v>
      </c>
      <c r="L856" s="8" t="str" cm="1">
        <f t="array" ref="L856">_xlfn.IFS(
 AND(K856&gt;=89,K856&lt;=92),"3개월",
 AND(K856&gt;=58,K856&lt;=62),"2개월",
 AND(K856&gt;=28,K856&lt;=32),"1개월",
 AND(K856=0),"당월",
 TRUE,"그외"
)</f>
        <v>2개월</v>
      </c>
    </row>
    <row r="857" spans="1:12" ht="17.649999999999999" customHeight="1" x14ac:dyDescent="0.3">
      <c r="A857" s="5">
        <v>46143</v>
      </c>
      <c r="B857" s="6" t="s">
        <v>40</v>
      </c>
      <c r="C857" s="6" t="s">
        <v>47</v>
      </c>
      <c r="D857" s="5">
        <v>46113</v>
      </c>
      <c r="E857" s="6" t="s">
        <v>14</v>
      </c>
      <c r="F857" s="7">
        <v>805</v>
      </c>
      <c r="G857" s="7">
        <v>165424.9552795031</v>
      </c>
      <c r="H857" s="7">
        <v>133167089</v>
      </c>
      <c r="I857" s="7">
        <v>44748176</v>
      </c>
      <c r="J857" s="7">
        <v>0</v>
      </c>
      <c r="K857">
        <f t="shared" si="13"/>
        <v>30</v>
      </c>
      <c r="L857" s="8" t="str" cm="1">
        <f t="array" ref="L857">_xlfn.IFS(
 AND(K857&gt;=89,K857&lt;=92),"3개월",
 AND(K857&gt;=58,K857&lt;=62),"2개월",
 AND(K857&gt;=28,K857&lt;=32),"1개월",
 AND(K857=0),"당월",
 TRUE,"그외"
)</f>
        <v>1개월</v>
      </c>
    </row>
    <row r="858" spans="1:12" ht="17.649999999999999" customHeight="1" x14ac:dyDescent="0.3">
      <c r="A858" s="5">
        <v>46143</v>
      </c>
      <c r="B858" s="6" t="s">
        <v>40</v>
      </c>
      <c r="C858" s="6" t="s">
        <v>47</v>
      </c>
      <c r="D858" s="5">
        <v>46113</v>
      </c>
      <c r="E858" s="6" t="s">
        <v>15</v>
      </c>
      <c r="F858" s="7">
        <v>3584</v>
      </c>
      <c r="G858" s="7">
        <v>177086.78794642861</v>
      </c>
      <c r="H858" s="7">
        <v>634679048</v>
      </c>
      <c r="I858" s="7">
        <v>240766371</v>
      </c>
      <c r="J858" s="7">
        <v>0</v>
      </c>
      <c r="K858">
        <f t="shared" si="13"/>
        <v>30</v>
      </c>
      <c r="L858" s="8" t="str" cm="1">
        <f t="array" ref="L858">_xlfn.IFS(
 AND(K858&gt;=89,K858&lt;=92),"3개월",
 AND(K858&gt;=58,K858&lt;=62),"2개월",
 AND(K858&gt;=28,K858&lt;=32),"1개월",
 AND(K858=0),"당월",
 TRUE,"그외"
)</f>
        <v>1개월</v>
      </c>
    </row>
    <row r="859" spans="1:12" ht="17.649999999999999" customHeight="1" x14ac:dyDescent="0.3">
      <c r="A859" s="5">
        <v>46143</v>
      </c>
      <c r="B859" s="6" t="s">
        <v>40</v>
      </c>
      <c r="C859" s="6" t="s">
        <v>47</v>
      </c>
      <c r="D859" s="5">
        <v>46143</v>
      </c>
      <c r="E859" s="6" t="s">
        <v>14</v>
      </c>
      <c r="F859" s="7">
        <v>178</v>
      </c>
      <c r="G859" s="7">
        <v>198761.29213483151</v>
      </c>
      <c r="H859" s="7">
        <v>35379510</v>
      </c>
      <c r="I859" s="7">
        <v>15459088</v>
      </c>
      <c r="J859" s="7">
        <v>0</v>
      </c>
      <c r="K859">
        <f t="shared" si="13"/>
        <v>0</v>
      </c>
      <c r="L859" s="8" t="str" cm="1">
        <f t="array" ref="L859">_xlfn.IFS(
 AND(K859&gt;=89,K859&lt;=92),"3개월",
 AND(K859&gt;=58,K859&lt;=62),"2개월",
 AND(K859&gt;=28,K859&lt;=32),"1개월",
 AND(K859=0),"당월",
 TRUE,"그외"
)</f>
        <v>당월</v>
      </c>
    </row>
    <row r="860" spans="1:12" ht="17.649999999999999" customHeight="1" x14ac:dyDescent="0.3">
      <c r="A860" s="5">
        <v>46143</v>
      </c>
      <c r="B860" s="6" t="s">
        <v>40</v>
      </c>
      <c r="C860" s="6" t="s">
        <v>47</v>
      </c>
      <c r="D860" s="5">
        <v>46143</v>
      </c>
      <c r="E860" s="6" t="s">
        <v>15</v>
      </c>
      <c r="F860" s="7">
        <v>572</v>
      </c>
      <c r="G860" s="7">
        <v>174915.04195804201</v>
      </c>
      <c r="H860" s="7">
        <v>100051404</v>
      </c>
      <c r="I860" s="7">
        <v>49717371</v>
      </c>
      <c r="J860" s="7">
        <v>0</v>
      </c>
      <c r="K860">
        <f t="shared" si="13"/>
        <v>0</v>
      </c>
      <c r="L860" s="8" t="str" cm="1">
        <f t="array" ref="L860">_xlfn.IFS(
 AND(K860&gt;=89,K860&lt;=92),"3개월",
 AND(K860&gt;=58,K860&lt;=62),"2개월",
 AND(K860&gt;=28,K860&lt;=32),"1개월",
 AND(K860=0),"당월",
 TRUE,"그외"
)</f>
        <v>당월</v>
      </c>
    </row>
    <row r="861" spans="1:12" ht="17.649999999999999" customHeight="1" x14ac:dyDescent="0.3">
      <c r="A861" s="5">
        <v>46143</v>
      </c>
      <c r="B861" s="6" t="s">
        <v>40</v>
      </c>
      <c r="C861" s="6" t="s">
        <v>48</v>
      </c>
      <c r="D861" s="5">
        <v>46023</v>
      </c>
      <c r="E861" s="6" t="s">
        <v>15</v>
      </c>
      <c r="F861" s="7">
        <v>110</v>
      </c>
      <c r="G861" s="7">
        <v>170058.25454545449</v>
      </c>
      <c r="H861" s="7">
        <v>18706408</v>
      </c>
      <c r="I861" s="7">
        <v>3157133</v>
      </c>
      <c r="J861" s="7">
        <v>0</v>
      </c>
      <c r="K861">
        <f t="shared" si="13"/>
        <v>120</v>
      </c>
      <c r="L861" s="8" t="str" cm="1">
        <f t="array" ref="L861">_xlfn.IFS(
 AND(K861&gt;=89,K861&lt;=92),"3개월",
 AND(K861&gt;=58,K861&lt;=62),"2개월",
 AND(K861&gt;=28,K861&lt;=32),"1개월",
 AND(K861=0),"당월",
 TRUE,"그외"
)</f>
        <v>그외</v>
      </c>
    </row>
    <row r="862" spans="1:12" ht="17.649999999999999" customHeight="1" x14ac:dyDescent="0.3">
      <c r="A862" s="5">
        <v>46143</v>
      </c>
      <c r="B862" s="6" t="s">
        <v>40</v>
      </c>
      <c r="C862" s="6" t="s">
        <v>48</v>
      </c>
      <c r="D862" s="5">
        <v>46054</v>
      </c>
      <c r="E862" s="6" t="s">
        <v>14</v>
      </c>
      <c r="F862" s="7">
        <v>9</v>
      </c>
      <c r="G862" s="7">
        <v>175536.33333333331</v>
      </c>
      <c r="H862" s="7">
        <v>1579827</v>
      </c>
      <c r="I862" s="7">
        <v>167127</v>
      </c>
      <c r="J862" s="7">
        <v>0</v>
      </c>
      <c r="K862">
        <f t="shared" si="13"/>
        <v>89</v>
      </c>
      <c r="L862" s="8" t="str" cm="1">
        <f t="array" ref="L862">_xlfn.IFS(
 AND(K862&gt;=89,K862&lt;=92),"3개월",
 AND(K862&gt;=58,K862&lt;=62),"2개월",
 AND(K862&gt;=28,K862&lt;=32),"1개월",
 AND(K862=0),"당월",
 TRUE,"그외"
)</f>
        <v>3개월</v>
      </c>
    </row>
    <row r="863" spans="1:12" ht="17.649999999999999" customHeight="1" x14ac:dyDescent="0.3">
      <c r="A863" s="5">
        <v>46143</v>
      </c>
      <c r="B863" s="6" t="s">
        <v>40</v>
      </c>
      <c r="C863" s="6" t="s">
        <v>48</v>
      </c>
      <c r="D863" s="5">
        <v>46054</v>
      </c>
      <c r="E863" s="6" t="s">
        <v>15</v>
      </c>
      <c r="F863" s="7">
        <v>365</v>
      </c>
      <c r="G863" s="7">
        <v>177869.43561643839</v>
      </c>
      <c r="H863" s="7">
        <v>64922344</v>
      </c>
      <c r="I863" s="7">
        <v>7616385</v>
      </c>
      <c r="J863" s="7">
        <v>0</v>
      </c>
      <c r="K863">
        <f t="shared" si="13"/>
        <v>89</v>
      </c>
      <c r="L863" s="8" t="str" cm="1">
        <f t="array" ref="L863">_xlfn.IFS(
 AND(K863&gt;=89,K863&lt;=92),"3개월",
 AND(K863&gt;=58,K863&lt;=62),"2개월",
 AND(K863&gt;=28,K863&lt;=32),"1개월",
 AND(K863=0),"당월",
 TRUE,"그외"
)</f>
        <v>3개월</v>
      </c>
    </row>
    <row r="864" spans="1:12" ht="17.649999999999999" customHeight="1" x14ac:dyDescent="0.3">
      <c r="A864" s="5">
        <v>46143</v>
      </c>
      <c r="B864" s="6" t="s">
        <v>40</v>
      </c>
      <c r="C864" s="6" t="s">
        <v>48</v>
      </c>
      <c r="D864" s="5">
        <v>46082</v>
      </c>
      <c r="E864" s="6" t="s">
        <v>14</v>
      </c>
      <c r="F864" s="7">
        <v>303</v>
      </c>
      <c r="G864" s="7">
        <v>178914.1815181518</v>
      </c>
      <c r="H864" s="7">
        <v>54210997</v>
      </c>
      <c r="I864" s="7">
        <v>9132983</v>
      </c>
      <c r="J864" s="7">
        <v>0</v>
      </c>
      <c r="K864">
        <f t="shared" si="13"/>
        <v>61</v>
      </c>
      <c r="L864" s="8" t="str" cm="1">
        <f t="array" ref="L864">_xlfn.IFS(
 AND(K864&gt;=89,K864&lt;=92),"3개월",
 AND(K864&gt;=58,K864&lt;=62),"2개월",
 AND(K864&gt;=28,K864&lt;=32),"1개월",
 AND(K864=0),"당월",
 TRUE,"그외"
)</f>
        <v>2개월</v>
      </c>
    </row>
    <row r="865" spans="1:12" ht="17.649999999999999" customHeight="1" x14ac:dyDescent="0.3">
      <c r="A865" s="5">
        <v>46143</v>
      </c>
      <c r="B865" s="6" t="s">
        <v>40</v>
      </c>
      <c r="C865" s="6" t="s">
        <v>48</v>
      </c>
      <c r="D865" s="5">
        <v>46082</v>
      </c>
      <c r="E865" s="6" t="s">
        <v>15</v>
      </c>
      <c r="F865" s="7">
        <v>2105</v>
      </c>
      <c r="G865" s="7">
        <v>168618.07600950121</v>
      </c>
      <c r="H865" s="7">
        <v>354941050</v>
      </c>
      <c r="I865" s="7">
        <v>56249638</v>
      </c>
      <c r="J865" s="7">
        <v>0</v>
      </c>
      <c r="K865">
        <f t="shared" si="13"/>
        <v>61</v>
      </c>
      <c r="L865" s="8" t="str" cm="1">
        <f t="array" ref="L865">_xlfn.IFS(
 AND(K865&gt;=89,K865&lt;=92),"3개월",
 AND(K865&gt;=58,K865&lt;=62),"2개월",
 AND(K865&gt;=28,K865&lt;=32),"1개월",
 AND(K865=0),"당월",
 TRUE,"그외"
)</f>
        <v>2개월</v>
      </c>
    </row>
    <row r="866" spans="1:12" ht="17.649999999999999" customHeight="1" x14ac:dyDescent="0.3">
      <c r="A866" s="5">
        <v>46143</v>
      </c>
      <c r="B866" s="6" t="s">
        <v>40</v>
      </c>
      <c r="C866" s="6" t="s">
        <v>48</v>
      </c>
      <c r="D866" s="5">
        <v>46113</v>
      </c>
      <c r="E866" s="6" t="s">
        <v>14</v>
      </c>
      <c r="F866" s="7">
        <v>645</v>
      </c>
      <c r="G866" s="7">
        <v>154042.19069767441</v>
      </c>
      <c r="H866" s="7">
        <v>99357213</v>
      </c>
      <c r="I866" s="7">
        <v>39003878</v>
      </c>
      <c r="J866" s="7">
        <v>0</v>
      </c>
      <c r="K866">
        <f t="shared" si="13"/>
        <v>30</v>
      </c>
      <c r="L866" s="8" t="str" cm="1">
        <f t="array" ref="L866">_xlfn.IFS(
 AND(K866&gt;=89,K866&lt;=92),"3개월",
 AND(K866&gt;=58,K866&lt;=62),"2개월",
 AND(K866&gt;=28,K866&lt;=32),"1개월",
 AND(K866=0),"당월",
 TRUE,"그외"
)</f>
        <v>1개월</v>
      </c>
    </row>
    <row r="867" spans="1:12" ht="17.649999999999999" customHeight="1" x14ac:dyDescent="0.3">
      <c r="A867" s="5">
        <v>46143</v>
      </c>
      <c r="B867" s="6" t="s">
        <v>40</v>
      </c>
      <c r="C867" s="6" t="s">
        <v>48</v>
      </c>
      <c r="D867" s="5">
        <v>46113</v>
      </c>
      <c r="E867" s="6" t="s">
        <v>15</v>
      </c>
      <c r="F867" s="7">
        <v>2125</v>
      </c>
      <c r="G867" s="7">
        <v>173236.68847058821</v>
      </c>
      <c r="H867" s="7">
        <v>368127963</v>
      </c>
      <c r="I867" s="7">
        <v>130611355</v>
      </c>
      <c r="J867" s="7">
        <v>0</v>
      </c>
      <c r="K867">
        <f t="shared" si="13"/>
        <v>30</v>
      </c>
      <c r="L867" s="8" t="str" cm="1">
        <f t="array" ref="L867">_xlfn.IFS(
 AND(K867&gt;=89,K867&lt;=92),"3개월",
 AND(K867&gt;=58,K867&lt;=62),"2개월",
 AND(K867&gt;=28,K867&lt;=32),"1개월",
 AND(K867=0),"당월",
 TRUE,"그외"
)</f>
        <v>1개월</v>
      </c>
    </row>
    <row r="868" spans="1:12" ht="17.649999999999999" customHeight="1" x14ac:dyDescent="0.3">
      <c r="A868" s="5">
        <v>46143</v>
      </c>
      <c r="B868" s="6" t="s">
        <v>40</v>
      </c>
      <c r="C868" s="6" t="s">
        <v>48</v>
      </c>
      <c r="D868" s="5">
        <v>46143</v>
      </c>
      <c r="E868" s="6" t="s">
        <v>14</v>
      </c>
      <c r="F868" s="7">
        <v>309</v>
      </c>
      <c r="G868" s="7">
        <v>143335.90291262139</v>
      </c>
      <c r="H868" s="7">
        <v>44290794</v>
      </c>
      <c r="I868" s="7">
        <v>23374323</v>
      </c>
      <c r="J868" s="7">
        <v>0</v>
      </c>
      <c r="K868">
        <f t="shared" si="13"/>
        <v>0</v>
      </c>
      <c r="L868" s="8" t="str" cm="1">
        <f t="array" ref="L868">_xlfn.IFS(
 AND(K868&gt;=89,K868&lt;=92),"3개월",
 AND(K868&gt;=58,K868&lt;=62),"2개월",
 AND(K868&gt;=28,K868&lt;=32),"1개월",
 AND(K868=0),"당월",
 TRUE,"그외"
)</f>
        <v>당월</v>
      </c>
    </row>
    <row r="869" spans="1:12" ht="17.649999999999999" customHeight="1" x14ac:dyDescent="0.3">
      <c r="A869" s="5">
        <v>46143</v>
      </c>
      <c r="B869" s="6" t="s">
        <v>40</v>
      </c>
      <c r="C869" s="6" t="s">
        <v>48</v>
      </c>
      <c r="D869" s="5">
        <v>46143</v>
      </c>
      <c r="E869" s="6" t="s">
        <v>15</v>
      </c>
      <c r="F869" s="7">
        <v>245</v>
      </c>
      <c r="G869" s="7">
        <v>168975.13469387751</v>
      </c>
      <c r="H869" s="7">
        <v>41398908</v>
      </c>
      <c r="I869" s="7">
        <v>15302495</v>
      </c>
      <c r="J869" s="7">
        <v>0</v>
      </c>
      <c r="K869">
        <f t="shared" si="13"/>
        <v>0</v>
      </c>
      <c r="L869" s="8" t="str" cm="1">
        <f t="array" ref="L869">_xlfn.IFS(
 AND(K869&gt;=89,K869&lt;=92),"3개월",
 AND(K869&gt;=58,K869&lt;=62),"2개월",
 AND(K869&gt;=28,K869&lt;=32),"1개월",
 AND(K869=0),"당월",
 TRUE,"그외"
)</f>
        <v>당월</v>
      </c>
    </row>
    <row r="870" spans="1:12" ht="17.649999999999999" customHeight="1" x14ac:dyDescent="0.3">
      <c r="A870" s="5">
        <v>46143</v>
      </c>
      <c r="B870" s="6" t="s">
        <v>40</v>
      </c>
      <c r="C870" s="6" t="s">
        <v>49</v>
      </c>
      <c r="D870" s="5">
        <v>46113</v>
      </c>
      <c r="E870" s="6" t="s">
        <v>14</v>
      </c>
      <c r="F870" s="7">
        <v>524</v>
      </c>
      <c r="G870" s="7">
        <v>97242.461832061075</v>
      </c>
      <c r="H870" s="7">
        <v>50955050</v>
      </c>
      <c r="I870" s="7">
        <v>0</v>
      </c>
      <c r="J870" s="7">
        <v>0</v>
      </c>
      <c r="K870">
        <f t="shared" si="13"/>
        <v>30</v>
      </c>
      <c r="L870" s="8" t="str" cm="1">
        <f t="array" ref="L870">_xlfn.IFS(
 AND(K870&gt;=89,K870&lt;=92),"3개월",
 AND(K870&gt;=58,K870&lt;=62),"2개월",
 AND(K870&gt;=28,K870&lt;=32),"1개월",
 AND(K870=0),"당월",
 TRUE,"그외"
)</f>
        <v>1개월</v>
      </c>
    </row>
    <row r="871" spans="1:12" ht="17.649999999999999" customHeight="1" x14ac:dyDescent="0.3">
      <c r="A871" s="5">
        <v>46143</v>
      </c>
      <c r="B871" s="6" t="s">
        <v>40</v>
      </c>
      <c r="C871" s="6" t="s">
        <v>49</v>
      </c>
      <c r="D871" s="5">
        <v>46113</v>
      </c>
      <c r="E871" s="6" t="s">
        <v>15</v>
      </c>
      <c r="F871" s="7">
        <v>150</v>
      </c>
      <c r="G871" s="7">
        <v>168407.99333333329</v>
      </c>
      <c r="H871" s="7">
        <v>25261199</v>
      </c>
      <c r="I871" s="7">
        <v>4588965</v>
      </c>
      <c r="J871" s="7">
        <v>0</v>
      </c>
      <c r="K871">
        <f t="shared" si="13"/>
        <v>30</v>
      </c>
      <c r="L871" s="8" t="str" cm="1">
        <f t="array" ref="L871">_xlfn.IFS(
 AND(K871&gt;=89,K871&lt;=92),"3개월",
 AND(K871&gt;=58,K871&lt;=62),"2개월",
 AND(K871&gt;=28,K871&lt;=32),"1개월",
 AND(K871=0),"당월",
 TRUE,"그외"
)</f>
        <v>1개월</v>
      </c>
    </row>
    <row r="872" spans="1:12" ht="17.649999999999999" customHeight="1" x14ac:dyDescent="0.3">
      <c r="A872" s="5">
        <v>46143</v>
      </c>
      <c r="B872" s="6" t="s">
        <v>40</v>
      </c>
      <c r="C872" s="6" t="s">
        <v>49</v>
      </c>
      <c r="D872" s="5">
        <v>46143</v>
      </c>
      <c r="E872" s="6" t="s">
        <v>14</v>
      </c>
      <c r="F872" s="7">
        <v>386</v>
      </c>
      <c r="G872" s="7">
        <v>132196.6321243523</v>
      </c>
      <c r="H872" s="7">
        <v>51027900</v>
      </c>
      <c r="I872" s="7">
        <v>0</v>
      </c>
      <c r="J872" s="7">
        <v>0</v>
      </c>
      <c r="K872">
        <f t="shared" si="13"/>
        <v>0</v>
      </c>
      <c r="L872" s="8" t="str" cm="1">
        <f t="array" ref="L872">_xlfn.IFS(
 AND(K872&gt;=89,K872&lt;=92),"3개월",
 AND(K872&gt;=58,K872&lt;=62),"2개월",
 AND(K872&gt;=28,K872&lt;=32),"1개월",
 AND(K872=0),"당월",
 TRUE,"그외"
)</f>
        <v>당월</v>
      </c>
    </row>
    <row r="873" spans="1:12" ht="17.649999999999999" customHeight="1" x14ac:dyDescent="0.3">
      <c r="A873" s="5">
        <v>46143</v>
      </c>
      <c r="B873" s="6" t="s">
        <v>40</v>
      </c>
      <c r="C873" s="6" t="s">
        <v>49</v>
      </c>
      <c r="D873" s="5">
        <v>46143</v>
      </c>
      <c r="E873" s="6" t="s">
        <v>15</v>
      </c>
      <c r="F873" s="7">
        <v>8</v>
      </c>
      <c r="G873" s="7">
        <v>323990.75</v>
      </c>
      <c r="H873" s="7">
        <v>2591926</v>
      </c>
      <c r="I873" s="7">
        <v>539070</v>
      </c>
      <c r="J873" s="7">
        <v>0</v>
      </c>
      <c r="K873">
        <f t="shared" si="13"/>
        <v>0</v>
      </c>
      <c r="L873" s="8" t="str" cm="1">
        <f t="array" ref="L873">_xlfn.IFS(
 AND(K873&gt;=89,K873&lt;=92),"3개월",
 AND(K873&gt;=58,K873&lt;=62),"2개월",
 AND(K873&gt;=28,K873&lt;=32),"1개월",
 AND(K873=0),"당월",
 TRUE,"그외"
)</f>
        <v>당월</v>
      </c>
    </row>
    <row r="874" spans="1:12" ht="17.649999999999999" customHeight="1" x14ac:dyDescent="0.3">
      <c r="A874" s="5">
        <v>46143</v>
      </c>
      <c r="B874" s="6" t="s">
        <v>50</v>
      </c>
      <c r="C874" s="6" t="s">
        <v>51</v>
      </c>
      <c r="D874" s="5">
        <v>45962</v>
      </c>
      <c r="E874" s="6" t="s">
        <v>15</v>
      </c>
      <c r="F874" s="7">
        <v>23</v>
      </c>
      <c r="G874" s="7">
        <v>213754.5652173913</v>
      </c>
      <c r="H874" s="7">
        <v>4916355</v>
      </c>
      <c r="I874" s="7">
        <v>592710</v>
      </c>
      <c r="J874" s="7">
        <v>0</v>
      </c>
      <c r="K874">
        <f t="shared" si="13"/>
        <v>181</v>
      </c>
      <c r="L874" s="8" t="str" cm="1">
        <f t="array" ref="L874">_xlfn.IFS(
 AND(K874&gt;=89,K874&lt;=92),"3개월",
 AND(K874&gt;=58,K874&lt;=62),"2개월",
 AND(K874&gt;=28,K874&lt;=32),"1개월",
 AND(K874=0),"당월",
 TRUE,"그외"
)</f>
        <v>그외</v>
      </c>
    </row>
    <row r="875" spans="1:12" ht="17.649999999999999" customHeight="1" x14ac:dyDescent="0.3">
      <c r="A875" s="5">
        <v>46143</v>
      </c>
      <c r="B875" s="6" t="s">
        <v>50</v>
      </c>
      <c r="C875" s="6" t="s">
        <v>51</v>
      </c>
      <c r="D875" s="5">
        <v>45992</v>
      </c>
      <c r="E875" s="6" t="s">
        <v>15</v>
      </c>
      <c r="F875" s="7">
        <v>5</v>
      </c>
      <c r="G875" s="7">
        <v>227821.6</v>
      </c>
      <c r="H875" s="7">
        <v>1139108</v>
      </c>
      <c r="I875" s="7">
        <v>145290</v>
      </c>
      <c r="J875" s="7">
        <v>0</v>
      </c>
      <c r="K875">
        <f t="shared" si="13"/>
        <v>151</v>
      </c>
      <c r="L875" s="8" t="str" cm="1">
        <f t="array" ref="L875">_xlfn.IFS(
 AND(K875&gt;=89,K875&lt;=92),"3개월",
 AND(K875&gt;=58,K875&lt;=62),"2개월",
 AND(K875&gt;=28,K875&lt;=32),"1개월",
 AND(K875=0),"당월",
 TRUE,"그외"
)</f>
        <v>그외</v>
      </c>
    </row>
    <row r="876" spans="1:12" ht="17.649999999999999" customHeight="1" x14ac:dyDescent="0.3">
      <c r="A876" s="5">
        <v>46143</v>
      </c>
      <c r="B876" s="6" t="s">
        <v>50</v>
      </c>
      <c r="C876" s="6" t="s">
        <v>51</v>
      </c>
      <c r="D876" s="5">
        <v>46023</v>
      </c>
      <c r="E876" s="6" t="s">
        <v>14</v>
      </c>
      <c r="F876" s="7">
        <v>2</v>
      </c>
      <c r="G876" s="7">
        <v>144774</v>
      </c>
      <c r="H876" s="7">
        <v>289548</v>
      </c>
      <c r="I876" s="7">
        <v>82728</v>
      </c>
      <c r="J876" s="7">
        <v>0</v>
      </c>
      <c r="K876">
        <f t="shared" si="13"/>
        <v>120</v>
      </c>
      <c r="L876" s="8" t="str" cm="1">
        <f t="array" ref="L876">_xlfn.IFS(
 AND(K876&gt;=89,K876&lt;=92),"3개월",
 AND(K876&gt;=58,K876&lt;=62),"2개월",
 AND(K876&gt;=28,K876&lt;=32),"1개월",
 AND(K876=0),"당월",
 TRUE,"그외"
)</f>
        <v>그외</v>
      </c>
    </row>
    <row r="877" spans="1:12" ht="17.649999999999999" customHeight="1" x14ac:dyDescent="0.3">
      <c r="A877" s="5">
        <v>46143</v>
      </c>
      <c r="B877" s="6" t="s">
        <v>50</v>
      </c>
      <c r="C877" s="6" t="s">
        <v>51</v>
      </c>
      <c r="D877" s="5">
        <v>46023</v>
      </c>
      <c r="E877" s="6" t="s">
        <v>15</v>
      </c>
      <c r="F877" s="7">
        <v>44</v>
      </c>
      <c r="G877" s="7">
        <v>260048.97727272729</v>
      </c>
      <c r="H877" s="7">
        <v>11442155</v>
      </c>
      <c r="I877" s="7">
        <v>1474570</v>
      </c>
      <c r="J877" s="7">
        <v>0</v>
      </c>
      <c r="K877">
        <f t="shared" si="13"/>
        <v>120</v>
      </c>
      <c r="L877" s="8" t="str" cm="1">
        <f t="array" ref="L877">_xlfn.IFS(
 AND(K877&gt;=89,K877&lt;=92),"3개월",
 AND(K877&gt;=58,K877&lt;=62),"2개월",
 AND(K877&gt;=28,K877&lt;=32),"1개월",
 AND(K877=0),"당월",
 TRUE,"그외"
)</f>
        <v>그외</v>
      </c>
    </row>
    <row r="878" spans="1:12" ht="17.649999999999999" customHeight="1" x14ac:dyDescent="0.3">
      <c r="A878" s="5">
        <v>46143</v>
      </c>
      <c r="B878" s="6" t="s">
        <v>50</v>
      </c>
      <c r="C878" s="6" t="s">
        <v>51</v>
      </c>
      <c r="D878" s="5">
        <v>46054</v>
      </c>
      <c r="E878" s="6" t="s">
        <v>15</v>
      </c>
      <c r="F878" s="7">
        <v>114</v>
      </c>
      <c r="G878" s="7">
        <v>201198.4649122807</v>
      </c>
      <c r="H878" s="7">
        <v>22936625</v>
      </c>
      <c r="I878" s="7">
        <v>2530871</v>
      </c>
      <c r="J878" s="7">
        <v>0</v>
      </c>
      <c r="K878">
        <f t="shared" si="13"/>
        <v>89</v>
      </c>
      <c r="L878" s="8" t="str" cm="1">
        <f t="array" ref="L878">_xlfn.IFS(
 AND(K878&gt;=89,K878&lt;=92),"3개월",
 AND(K878&gt;=58,K878&lt;=62),"2개월",
 AND(K878&gt;=28,K878&lt;=32),"1개월",
 AND(K878=0),"당월",
 TRUE,"그외"
)</f>
        <v>3개월</v>
      </c>
    </row>
    <row r="879" spans="1:12" ht="17.649999999999999" customHeight="1" x14ac:dyDescent="0.3">
      <c r="A879" s="5">
        <v>46143</v>
      </c>
      <c r="B879" s="6" t="s">
        <v>50</v>
      </c>
      <c r="C879" s="6" t="s">
        <v>51</v>
      </c>
      <c r="D879" s="5">
        <v>46082</v>
      </c>
      <c r="E879" s="6" t="s">
        <v>14</v>
      </c>
      <c r="F879" s="7">
        <v>237</v>
      </c>
      <c r="G879" s="7">
        <v>208573.84810126579</v>
      </c>
      <c r="H879" s="7">
        <v>49432002</v>
      </c>
      <c r="I879" s="7">
        <v>6780908</v>
      </c>
      <c r="J879" s="7">
        <v>0</v>
      </c>
      <c r="K879">
        <f t="shared" si="13"/>
        <v>61</v>
      </c>
      <c r="L879" s="8" t="str" cm="1">
        <f t="array" ref="L879">_xlfn.IFS(
 AND(K879&gt;=89,K879&lt;=92),"3개월",
 AND(K879&gt;=58,K879&lt;=62),"2개월",
 AND(K879&gt;=28,K879&lt;=32),"1개월",
 AND(K879=0),"당월",
 TRUE,"그외"
)</f>
        <v>2개월</v>
      </c>
    </row>
    <row r="880" spans="1:12" ht="17.649999999999999" customHeight="1" x14ac:dyDescent="0.3">
      <c r="A880" s="5">
        <v>46143</v>
      </c>
      <c r="B880" s="6" t="s">
        <v>50</v>
      </c>
      <c r="C880" s="6" t="s">
        <v>51</v>
      </c>
      <c r="D880" s="5">
        <v>46082</v>
      </c>
      <c r="E880" s="6" t="s">
        <v>15</v>
      </c>
      <c r="F880" s="7">
        <v>1713</v>
      </c>
      <c r="G880" s="7">
        <v>191582.87974314069</v>
      </c>
      <c r="H880" s="7">
        <v>328181473</v>
      </c>
      <c r="I880" s="7">
        <v>45319511</v>
      </c>
      <c r="J880" s="7">
        <v>0</v>
      </c>
      <c r="K880">
        <f t="shared" si="13"/>
        <v>61</v>
      </c>
      <c r="L880" s="8" t="str" cm="1">
        <f t="array" ref="L880">_xlfn.IFS(
 AND(K880&gt;=89,K880&lt;=92),"3개월",
 AND(K880&gt;=58,K880&lt;=62),"2개월",
 AND(K880&gt;=28,K880&lt;=32),"1개월",
 AND(K880=0),"당월",
 TRUE,"그외"
)</f>
        <v>2개월</v>
      </c>
    </row>
    <row r="881" spans="1:12" ht="17.649999999999999" customHeight="1" x14ac:dyDescent="0.3">
      <c r="A881" s="5">
        <v>46143</v>
      </c>
      <c r="B881" s="6" t="s">
        <v>50</v>
      </c>
      <c r="C881" s="6" t="s">
        <v>51</v>
      </c>
      <c r="D881" s="5">
        <v>46113</v>
      </c>
      <c r="E881" s="6" t="s">
        <v>14</v>
      </c>
      <c r="F881" s="7">
        <v>100</v>
      </c>
      <c r="G881" s="7">
        <v>220208.26</v>
      </c>
      <c r="H881" s="7">
        <v>22020826</v>
      </c>
      <c r="I881" s="7">
        <v>5194296</v>
      </c>
      <c r="J881" s="7">
        <v>0</v>
      </c>
      <c r="K881">
        <f t="shared" si="13"/>
        <v>30</v>
      </c>
      <c r="L881" s="8" t="str" cm="1">
        <f t="array" ref="L881">_xlfn.IFS(
 AND(K881&gt;=89,K881&lt;=92),"3개월",
 AND(K881&gt;=58,K881&lt;=62),"2개월",
 AND(K881&gt;=28,K881&lt;=32),"1개월",
 AND(K881=0),"당월",
 TRUE,"그외"
)</f>
        <v>1개월</v>
      </c>
    </row>
    <row r="882" spans="1:12" ht="17.649999999999999" customHeight="1" x14ac:dyDescent="0.3">
      <c r="A882" s="5">
        <v>46143</v>
      </c>
      <c r="B882" s="6" t="s">
        <v>50</v>
      </c>
      <c r="C882" s="6" t="s">
        <v>51</v>
      </c>
      <c r="D882" s="5">
        <v>46113</v>
      </c>
      <c r="E882" s="6" t="s">
        <v>15</v>
      </c>
      <c r="F882" s="7">
        <v>2560</v>
      </c>
      <c r="G882" s="7">
        <v>216630.98593749999</v>
      </c>
      <c r="H882" s="7">
        <v>554575324</v>
      </c>
      <c r="I882" s="7">
        <v>138463181</v>
      </c>
      <c r="J882" s="7">
        <v>0</v>
      </c>
      <c r="K882">
        <f t="shared" si="13"/>
        <v>30</v>
      </c>
      <c r="L882" s="8" t="str" cm="1">
        <f t="array" ref="L882">_xlfn.IFS(
 AND(K882&gt;=89,K882&lt;=92),"3개월",
 AND(K882&gt;=58,K882&lt;=62),"2개월",
 AND(K882&gt;=28,K882&lt;=32),"1개월",
 AND(K882=0),"당월",
 TRUE,"그외"
)</f>
        <v>1개월</v>
      </c>
    </row>
    <row r="883" spans="1:12" ht="17.649999999999999" customHeight="1" x14ac:dyDescent="0.3">
      <c r="A883" s="5">
        <v>46143</v>
      </c>
      <c r="B883" s="6" t="s">
        <v>50</v>
      </c>
      <c r="C883" s="6" t="s">
        <v>51</v>
      </c>
      <c r="D883" s="5">
        <v>46143</v>
      </c>
      <c r="E883" s="6" t="s">
        <v>14</v>
      </c>
      <c r="F883" s="7">
        <v>20</v>
      </c>
      <c r="G883" s="7">
        <v>196679</v>
      </c>
      <c r="H883" s="7">
        <v>3933580</v>
      </c>
      <c r="I883" s="7">
        <v>1351880</v>
      </c>
      <c r="J883" s="7">
        <v>0</v>
      </c>
      <c r="K883">
        <f t="shared" si="13"/>
        <v>0</v>
      </c>
      <c r="L883" s="8" t="str" cm="1">
        <f t="array" ref="L883">_xlfn.IFS(
 AND(K883&gt;=89,K883&lt;=92),"3개월",
 AND(K883&gt;=58,K883&lt;=62),"2개월",
 AND(K883&gt;=28,K883&lt;=32),"1개월",
 AND(K883=0),"당월",
 TRUE,"그외"
)</f>
        <v>당월</v>
      </c>
    </row>
    <row r="884" spans="1:12" ht="17.649999999999999" customHeight="1" x14ac:dyDescent="0.3">
      <c r="A884" s="5">
        <v>46143</v>
      </c>
      <c r="B884" s="6" t="s">
        <v>50</v>
      </c>
      <c r="C884" s="6" t="s">
        <v>51</v>
      </c>
      <c r="D884" s="5">
        <v>46143</v>
      </c>
      <c r="E884" s="6" t="s">
        <v>15</v>
      </c>
      <c r="F884" s="7">
        <v>459</v>
      </c>
      <c r="G884" s="7">
        <v>201508.4183006536</v>
      </c>
      <c r="H884" s="7">
        <v>92492364</v>
      </c>
      <c r="I884" s="7">
        <v>34165953</v>
      </c>
      <c r="J884" s="7">
        <v>0</v>
      </c>
      <c r="K884">
        <f t="shared" si="13"/>
        <v>0</v>
      </c>
      <c r="L884" s="8" t="str" cm="1">
        <f t="array" ref="L884">_xlfn.IFS(
 AND(K884&gt;=89,K884&lt;=92),"3개월",
 AND(K884&gt;=58,K884&lt;=62),"2개월",
 AND(K884&gt;=28,K884&lt;=32),"1개월",
 AND(K884=0),"당월",
 TRUE,"그외"
)</f>
        <v>당월</v>
      </c>
    </row>
    <row r="885" spans="1:12" ht="17.649999999999999" customHeight="1" x14ac:dyDescent="0.3">
      <c r="A885" s="5">
        <v>46143</v>
      </c>
      <c r="B885" s="6" t="s">
        <v>50</v>
      </c>
      <c r="C885" s="6" t="s">
        <v>52</v>
      </c>
      <c r="D885" s="5">
        <v>45962</v>
      </c>
      <c r="E885" s="6" t="s">
        <v>15</v>
      </c>
      <c r="F885" s="7">
        <v>14</v>
      </c>
      <c r="G885" s="7">
        <v>137013.78571428571</v>
      </c>
      <c r="H885" s="7">
        <v>1918193</v>
      </c>
      <c r="I885" s="7">
        <v>493075</v>
      </c>
      <c r="J885" s="7">
        <v>0</v>
      </c>
      <c r="K885">
        <f t="shared" si="13"/>
        <v>181</v>
      </c>
      <c r="L885" s="8" t="str" cm="1">
        <f t="array" ref="L885">_xlfn.IFS(
 AND(K885&gt;=89,K885&lt;=92),"3개월",
 AND(K885&gt;=58,K885&lt;=62),"2개월",
 AND(K885&gt;=28,K885&lt;=32),"1개월",
 AND(K885=0),"당월",
 TRUE,"그외"
)</f>
        <v>그외</v>
      </c>
    </row>
    <row r="886" spans="1:12" ht="17.649999999999999" customHeight="1" x14ac:dyDescent="0.3">
      <c r="A886" s="5">
        <v>46143</v>
      </c>
      <c r="B886" s="6" t="s">
        <v>50</v>
      </c>
      <c r="C886" s="6" t="s">
        <v>52</v>
      </c>
      <c r="D886" s="5">
        <v>45992</v>
      </c>
      <c r="E886" s="6" t="s">
        <v>14</v>
      </c>
      <c r="F886" s="7">
        <v>14</v>
      </c>
      <c r="G886" s="7">
        <v>110256</v>
      </c>
      <c r="H886" s="7">
        <v>1543584</v>
      </c>
      <c r="I886" s="7">
        <v>578844</v>
      </c>
      <c r="J886" s="7">
        <v>0</v>
      </c>
      <c r="K886">
        <f t="shared" si="13"/>
        <v>151</v>
      </c>
      <c r="L886" s="8" t="str" cm="1">
        <f t="array" ref="L886">_xlfn.IFS(
 AND(K886&gt;=89,K886&lt;=92),"3개월",
 AND(K886&gt;=58,K886&lt;=62),"2개월",
 AND(K886&gt;=28,K886&lt;=32),"1개월",
 AND(K886=0),"당월",
 TRUE,"그외"
)</f>
        <v>그외</v>
      </c>
    </row>
    <row r="887" spans="1:12" ht="17.649999999999999" customHeight="1" x14ac:dyDescent="0.3">
      <c r="A887" s="5">
        <v>46143</v>
      </c>
      <c r="B887" s="6" t="s">
        <v>50</v>
      </c>
      <c r="C887" s="6" t="s">
        <v>52</v>
      </c>
      <c r="D887" s="5">
        <v>45992</v>
      </c>
      <c r="E887" s="6" t="s">
        <v>15</v>
      </c>
      <c r="F887" s="7">
        <v>169</v>
      </c>
      <c r="G887" s="7">
        <v>142820.8934911243</v>
      </c>
      <c r="H887" s="7">
        <v>24136731</v>
      </c>
      <c r="I887" s="7">
        <v>4597021</v>
      </c>
      <c r="J887" s="7">
        <v>0</v>
      </c>
      <c r="K887">
        <f t="shared" si="13"/>
        <v>151</v>
      </c>
      <c r="L887" s="8" t="str" cm="1">
        <f t="array" ref="L887">_xlfn.IFS(
 AND(K887&gt;=89,K887&lt;=92),"3개월",
 AND(K887&gt;=58,K887&lt;=62),"2개월",
 AND(K887&gt;=28,K887&lt;=32),"1개월",
 AND(K887=0),"당월",
 TRUE,"그외"
)</f>
        <v>그외</v>
      </c>
    </row>
    <row r="888" spans="1:12" ht="17.649999999999999" customHeight="1" x14ac:dyDescent="0.3">
      <c r="A888" s="5">
        <v>46143</v>
      </c>
      <c r="B888" s="6" t="s">
        <v>50</v>
      </c>
      <c r="C888" s="6" t="s">
        <v>52</v>
      </c>
      <c r="D888" s="5">
        <v>46023</v>
      </c>
      <c r="E888" s="6" t="s">
        <v>14</v>
      </c>
      <c r="F888" s="7">
        <v>14</v>
      </c>
      <c r="G888" s="7">
        <v>110256</v>
      </c>
      <c r="H888" s="7">
        <v>1543584</v>
      </c>
      <c r="I888" s="7">
        <v>578844</v>
      </c>
      <c r="J888" s="7">
        <v>0</v>
      </c>
      <c r="K888">
        <f t="shared" si="13"/>
        <v>120</v>
      </c>
      <c r="L888" s="8" t="str" cm="1">
        <f t="array" ref="L888">_xlfn.IFS(
 AND(K888&gt;=89,K888&lt;=92),"3개월",
 AND(K888&gt;=58,K888&lt;=62),"2개월",
 AND(K888&gt;=28,K888&lt;=32),"1개월",
 AND(K888=0),"당월",
 TRUE,"그외"
)</f>
        <v>그외</v>
      </c>
    </row>
    <row r="889" spans="1:12" ht="17.649999999999999" customHeight="1" x14ac:dyDescent="0.3">
      <c r="A889" s="5">
        <v>46143</v>
      </c>
      <c r="B889" s="6" t="s">
        <v>50</v>
      </c>
      <c r="C889" s="6" t="s">
        <v>52</v>
      </c>
      <c r="D889" s="5">
        <v>46023</v>
      </c>
      <c r="E889" s="6" t="s">
        <v>15</v>
      </c>
      <c r="F889" s="7">
        <v>260</v>
      </c>
      <c r="G889" s="7">
        <v>138024.09615384621</v>
      </c>
      <c r="H889" s="7">
        <v>35886265</v>
      </c>
      <c r="I889" s="7">
        <v>7312749</v>
      </c>
      <c r="J889" s="7">
        <v>0</v>
      </c>
      <c r="K889">
        <f t="shared" si="13"/>
        <v>120</v>
      </c>
      <c r="L889" s="8" t="str" cm="1">
        <f t="array" ref="L889">_xlfn.IFS(
 AND(K889&gt;=89,K889&lt;=92),"3개월",
 AND(K889&gt;=58,K889&lt;=62),"2개월",
 AND(K889&gt;=28,K889&lt;=32),"1개월",
 AND(K889=0),"당월",
 TRUE,"그외"
)</f>
        <v>그외</v>
      </c>
    </row>
    <row r="890" spans="1:12" ht="17.649999999999999" customHeight="1" x14ac:dyDescent="0.3">
      <c r="A890" s="5">
        <v>46143</v>
      </c>
      <c r="B890" s="6" t="s">
        <v>50</v>
      </c>
      <c r="C890" s="6" t="s">
        <v>52</v>
      </c>
      <c r="D890" s="5">
        <v>46054</v>
      </c>
      <c r="E890" s="6" t="s">
        <v>15</v>
      </c>
      <c r="F890" s="7">
        <v>367</v>
      </c>
      <c r="G890" s="7">
        <v>173444.86103542231</v>
      </c>
      <c r="H890" s="7">
        <v>63654264</v>
      </c>
      <c r="I890" s="7">
        <v>9693061</v>
      </c>
      <c r="J890" s="7">
        <v>0</v>
      </c>
      <c r="K890">
        <f t="shared" si="13"/>
        <v>89</v>
      </c>
      <c r="L890" s="8" t="str" cm="1">
        <f t="array" ref="L890">_xlfn.IFS(
 AND(K890&gt;=89,K890&lt;=92),"3개월",
 AND(K890&gt;=58,K890&lt;=62),"2개월",
 AND(K890&gt;=28,K890&lt;=32),"1개월",
 AND(K890=0),"당월",
 TRUE,"그외"
)</f>
        <v>3개월</v>
      </c>
    </row>
    <row r="891" spans="1:12" ht="17.649999999999999" customHeight="1" x14ac:dyDescent="0.3">
      <c r="A891" s="5">
        <v>46143</v>
      </c>
      <c r="B891" s="6" t="s">
        <v>50</v>
      </c>
      <c r="C891" s="6" t="s">
        <v>52</v>
      </c>
      <c r="D891" s="5">
        <v>46082</v>
      </c>
      <c r="E891" s="6" t="s">
        <v>14</v>
      </c>
      <c r="F891" s="7">
        <v>864</v>
      </c>
      <c r="G891" s="7">
        <v>159156.85995370371</v>
      </c>
      <c r="H891" s="7">
        <v>137511527</v>
      </c>
      <c r="I891" s="7">
        <v>22949742</v>
      </c>
      <c r="J891" s="7">
        <v>0</v>
      </c>
      <c r="K891">
        <f t="shared" si="13"/>
        <v>61</v>
      </c>
      <c r="L891" s="8" t="str" cm="1">
        <f t="array" ref="L891">_xlfn.IFS(
 AND(K891&gt;=89,K891&lt;=92),"3개월",
 AND(K891&gt;=58,K891&lt;=62),"2개월",
 AND(K891&gt;=28,K891&lt;=32),"1개월",
 AND(K891=0),"당월",
 TRUE,"그외"
)</f>
        <v>2개월</v>
      </c>
    </row>
    <row r="892" spans="1:12" ht="17.649999999999999" customHeight="1" x14ac:dyDescent="0.3">
      <c r="A892" s="5">
        <v>46143</v>
      </c>
      <c r="B892" s="6" t="s">
        <v>50</v>
      </c>
      <c r="C892" s="6" t="s">
        <v>52</v>
      </c>
      <c r="D892" s="5">
        <v>46082</v>
      </c>
      <c r="E892" s="6" t="s">
        <v>15</v>
      </c>
      <c r="F892" s="7">
        <v>1293</v>
      </c>
      <c r="G892" s="7">
        <v>146516.26295436971</v>
      </c>
      <c r="H892" s="7">
        <v>189445528</v>
      </c>
      <c r="I892" s="7">
        <v>33403802</v>
      </c>
      <c r="J892" s="7">
        <v>0</v>
      </c>
      <c r="K892">
        <f t="shared" si="13"/>
        <v>61</v>
      </c>
      <c r="L892" s="8" t="str" cm="1">
        <f t="array" ref="L892">_xlfn.IFS(
 AND(K892&gt;=89,K892&lt;=92),"3개월",
 AND(K892&gt;=58,K892&lt;=62),"2개월",
 AND(K892&gt;=28,K892&lt;=32),"1개월",
 AND(K892=0),"당월",
 TRUE,"그외"
)</f>
        <v>2개월</v>
      </c>
    </row>
    <row r="893" spans="1:12" ht="17.649999999999999" customHeight="1" x14ac:dyDescent="0.3">
      <c r="A893" s="5">
        <v>46143</v>
      </c>
      <c r="B893" s="6" t="s">
        <v>50</v>
      </c>
      <c r="C893" s="6" t="s">
        <v>52</v>
      </c>
      <c r="D893" s="5">
        <v>46113</v>
      </c>
      <c r="E893" s="6" t="s">
        <v>14</v>
      </c>
      <c r="F893" s="7">
        <v>1883</v>
      </c>
      <c r="G893" s="7">
        <v>120037.3621879979</v>
      </c>
      <c r="H893" s="7">
        <v>226030353</v>
      </c>
      <c r="I893" s="7">
        <v>87877926</v>
      </c>
      <c r="J893" s="7">
        <v>0</v>
      </c>
      <c r="K893">
        <f t="shared" si="13"/>
        <v>30</v>
      </c>
      <c r="L893" s="8" t="str" cm="1">
        <f t="array" ref="L893">_xlfn.IFS(
 AND(K893&gt;=89,K893&lt;=92),"3개월",
 AND(K893&gt;=58,K893&lt;=62),"2개월",
 AND(K893&gt;=28,K893&lt;=32),"1개월",
 AND(K893=0),"당월",
 TRUE,"그외"
)</f>
        <v>1개월</v>
      </c>
    </row>
    <row r="894" spans="1:12" ht="17.649999999999999" customHeight="1" x14ac:dyDescent="0.3">
      <c r="A894" s="5">
        <v>46143</v>
      </c>
      <c r="B894" s="6" t="s">
        <v>50</v>
      </c>
      <c r="C894" s="6" t="s">
        <v>52</v>
      </c>
      <c r="D894" s="5">
        <v>46113</v>
      </c>
      <c r="E894" s="6" t="s">
        <v>15</v>
      </c>
      <c r="F894" s="7">
        <v>2507</v>
      </c>
      <c r="G894" s="7">
        <v>139470.9457518947</v>
      </c>
      <c r="H894" s="7">
        <v>349653661</v>
      </c>
      <c r="I894" s="7">
        <v>138236528</v>
      </c>
      <c r="J894" s="7">
        <v>0</v>
      </c>
      <c r="K894">
        <f t="shared" si="13"/>
        <v>30</v>
      </c>
      <c r="L894" s="8" t="str" cm="1">
        <f t="array" ref="L894">_xlfn.IFS(
 AND(K894&gt;=89,K894&lt;=92),"3개월",
 AND(K894&gt;=58,K894&lt;=62),"2개월",
 AND(K894&gt;=28,K894&lt;=32),"1개월",
 AND(K894=0),"당월",
 TRUE,"그외"
)</f>
        <v>1개월</v>
      </c>
    </row>
    <row r="895" spans="1:12" ht="17.649999999999999" customHeight="1" x14ac:dyDescent="0.3">
      <c r="A895" s="5">
        <v>46143</v>
      </c>
      <c r="B895" s="6" t="s">
        <v>50</v>
      </c>
      <c r="C895" s="6" t="s">
        <v>52</v>
      </c>
      <c r="D895" s="5">
        <v>46143</v>
      </c>
      <c r="E895" s="6" t="s">
        <v>14</v>
      </c>
      <c r="F895" s="7">
        <v>339</v>
      </c>
      <c r="G895" s="7">
        <v>126391.48672566369</v>
      </c>
      <c r="H895" s="7">
        <v>42846714</v>
      </c>
      <c r="I895" s="7">
        <v>22906654</v>
      </c>
      <c r="J895" s="7">
        <v>0</v>
      </c>
      <c r="K895">
        <f t="shared" si="13"/>
        <v>0</v>
      </c>
      <c r="L895" s="8" t="str" cm="1">
        <f t="array" ref="L895">_xlfn.IFS(
 AND(K895&gt;=89,K895&lt;=92),"3개월",
 AND(K895&gt;=58,K895&lt;=62),"2개월",
 AND(K895&gt;=28,K895&lt;=32),"1개월",
 AND(K895=0),"당월",
 TRUE,"그외"
)</f>
        <v>당월</v>
      </c>
    </row>
    <row r="896" spans="1:12" ht="17.649999999999999" customHeight="1" x14ac:dyDescent="0.3">
      <c r="A896" s="5">
        <v>46143</v>
      </c>
      <c r="B896" s="6" t="s">
        <v>50</v>
      </c>
      <c r="C896" s="6" t="s">
        <v>52</v>
      </c>
      <c r="D896" s="5">
        <v>46143</v>
      </c>
      <c r="E896" s="6" t="s">
        <v>15</v>
      </c>
      <c r="F896" s="7">
        <v>365</v>
      </c>
      <c r="G896" s="7">
        <v>159678.04383561641</v>
      </c>
      <c r="H896" s="7">
        <v>58282486</v>
      </c>
      <c r="I896" s="7">
        <v>26853760</v>
      </c>
      <c r="J896" s="7">
        <v>0</v>
      </c>
      <c r="K896">
        <f t="shared" si="13"/>
        <v>0</v>
      </c>
      <c r="L896" s="8" t="str" cm="1">
        <f t="array" ref="L896">_xlfn.IFS(
 AND(K896&gt;=89,K896&lt;=92),"3개월",
 AND(K896&gt;=58,K896&lt;=62),"2개월",
 AND(K896&gt;=28,K896&lt;=32),"1개월",
 AND(K896=0),"당월",
 TRUE,"그외"
)</f>
        <v>당월</v>
      </c>
    </row>
    <row r="897" spans="1:12" ht="17.649999999999999" customHeight="1" x14ac:dyDescent="0.3">
      <c r="A897" s="5">
        <v>46143</v>
      </c>
      <c r="B897" s="6" t="s">
        <v>50</v>
      </c>
      <c r="C897" s="6" t="s">
        <v>53</v>
      </c>
      <c r="D897" s="5">
        <v>45962</v>
      </c>
      <c r="E897" s="6" t="s">
        <v>15</v>
      </c>
      <c r="F897" s="7">
        <v>77</v>
      </c>
      <c r="G897" s="7">
        <v>253424.23376623381</v>
      </c>
      <c r="H897" s="7">
        <v>19513666</v>
      </c>
      <c r="I897" s="7">
        <v>2543641</v>
      </c>
      <c r="J897" s="7">
        <v>0</v>
      </c>
      <c r="K897">
        <f t="shared" si="13"/>
        <v>181</v>
      </c>
      <c r="L897" s="8" t="str" cm="1">
        <f t="array" ref="L897">_xlfn.IFS(
 AND(K897&gt;=89,K897&lt;=92),"3개월",
 AND(K897&gt;=58,K897&lt;=62),"2개월",
 AND(K897&gt;=28,K897&lt;=32),"1개월",
 AND(K897=0),"당월",
 TRUE,"그외"
)</f>
        <v>그외</v>
      </c>
    </row>
    <row r="898" spans="1:12" ht="17.649999999999999" customHeight="1" x14ac:dyDescent="0.3">
      <c r="A898" s="5">
        <v>46143</v>
      </c>
      <c r="B898" s="6" t="s">
        <v>50</v>
      </c>
      <c r="C898" s="6" t="s">
        <v>53</v>
      </c>
      <c r="D898" s="5">
        <v>45992</v>
      </c>
      <c r="E898" s="6" t="s">
        <v>15</v>
      </c>
      <c r="F898" s="7">
        <v>216</v>
      </c>
      <c r="G898" s="7">
        <v>220476.94444444441</v>
      </c>
      <c r="H898" s="7">
        <v>47623020</v>
      </c>
      <c r="I898" s="7">
        <v>6344478</v>
      </c>
      <c r="J898" s="7">
        <v>0</v>
      </c>
      <c r="K898">
        <f t="shared" si="13"/>
        <v>151</v>
      </c>
      <c r="L898" s="8" t="str" cm="1">
        <f t="array" ref="L898">_xlfn.IFS(
 AND(K898&gt;=89,K898&lt;=92),"3개월",
 AND(K898&gt;=58,K898&lt;=62),"2개월",
 AND(K898&gt;=28,K898&lt;=32),"1개월",
 AND(K898=0),"당월",
 TRUE,"그외"
)</f>
        <v>그외</v>
      </c>
    </row>
    <row r="899" spans="1:12" ht="17.649999999999999" customHeight="1" x14ac:dyDescent="0.3">
      <c r="A899" s="5">
        <v>46143</v>
      </c>
      <c r="B899" s="6" t="s">
        <v>50</v>
      </c>
      <c r="C899" s="6" t="s">
        <v>53</v>
      </c>
      <c r="D899" s="5">
        <v>46023</v>
      </c>
      <c r="E899" s="6" t="s">
        <v>14</v>
      </c>
      <c r="F899" s="7">
        <v>14</v>
      </c>
      <c r="G899" s="7">
        <v>156570</v>
      </c>
      <c r="H899" s="7">
        <v>2191980</v>
      </c>
      <c r="I899" s="7">
        <v>580230</v>
      </c>
      <c r="J899" s="7">
        <v>0</v>
      </c>
      <c r="K899">
        <f t="shared" si="13"/>
        <v>120</v>
      </c>
      <c r="L899" s="8" t="str" cm="1">
        <f t="array" ref="L899">_xlfn.IFS(
 AND(K899&gt;=89,K899&lt;=92),"3개월",
 AND(K899&gt;=58,K899&lt;=62),"2개월",
 AND(K899&gt;=28,K899&lt;=32),"1개월",
 AND(K899=0),"당월",
 TRUE,"그외"
)</f>
        <v>그외</v>
      </c>
    </row>
    <row r="900" spans="1:12" ht="17.649999999999999" customHeight="1" x14ac:dyDescent="0.3">
      <c r="A900" s="5">
        <v>46143</v>
      </c>
      <c r="B900" s="6" t="s">
        <v>50</v>
      </c>
      <c r="C900" s="6" t="s">
        <v>53</v>
      </c>
      <c r="D900" s="5">
        <v>46023</v>
      </c>
      <c r="E900" s="6" t="s">
        <v>15</v>
      </c>
      <c r="F900" s="7">
        <v>707</v>
      </c>
      <c r="G900" s="7">
        <v>221114.9745403112</v>
      </c>
      <c r="H900" s="7">
        <v>156328287</v>
      </c>
      <c r="I900" s="7">
        <v>23155990</v>
      </c>
      <c r="J900" s="7">
        <v>0</v>
      </c>
      <c r="K900">
        <f t="shared" si="13"/>
        <v>120</v>
      </c>
      <c r="L900" s="8" t="str" cm="1">
        <f t="array" ref="L900">_xlfn.IFS(
 AND(K900&gt;=89,K900&lt;=92),"3개월",
 AND(K900&gt;=58,K900&lt;=62),"2개월",
 AND(K900&gt;=28,K900&lt;=32),"1개월",
 AND(K900=0),"당월",
 TRUE,"그외"
)</f>
        <v>그외</v>
      </c>
    </row>
    <row r="901" spans="1:12" ht="17.649999999999999" customHeight="1" x14ac:dyDescent="0.3">
      <c r="A901" s="5">
        <v>46143</v>
      </c>
      <c r="B901" s="6" t="s">
        <v>50</v>
      </c>
      <c r="C901" s="6" t="s">
        <v>53</v>
      </c>
      <c r="D901" s="5">
        <v>46054</v>
      </c>
      <c r="E901" s="6" t="s">
        <v>14</v>
      </c>
      <c r="F901" s="7">
        <v>42</v>
      </c>
      <c r="G901" s="7">
        <v>150472.28571428571</v>
      </c>
      <c r="H901" s="7">
        <v>6319836</v>
      </c>
      <c r="I901" s="7">
        <v>1721646</v>
      </c>
      <c r="J901" s="7">
        <v>0</v>
      </c>
      <c r="K901">
        <f t="shared" si="13"/>
        <v>89</v>
      </c>
      <c r="L901" s="8" t="str" cm="1">
        <f t="array" ref="L901">_xlfn.IFS(
 AND(K901&gt;=89,K901&lt;=92),"3개월",
 AND(K901&gt;=58,K901&lt;=62),"2개월",
 AND(K901&gt;=28,K901&lt;=32),"1개월",
 AND(K901=0),"당월",
 TRUE,"그외"
)</f>
        <v>3개월</v>
      </c>
    </row>
    <row r="902" spans="1:12" ht="17.649999999999999" customHeight="1" x14ac:dyDescent="0.3">
      <c r="A902" s="5">
        <v>46143</v>
      </c>
      <c r="B902" s="6" t="s">
        <v>50</v>
      </c>
      <c r="C902" s="6" t="s">
        <v>53</v>
      </c>
      <c r="D902" s="5">
        <v>46054</v>
      </c>
      <c r="E902" s="6" t="s">
        <v>15</v>
      </c>
      <c r="F902" s="7">
        <v>771</v>
      </c>
      <c r="G902" s="7">
        <v>241973.55123216601</v>
      </c>
      <c r="H902" s="7">
        <v>186561608</v>
      </c>
      <c r="I902" s="7">
        <v>21652956</v>
      </c>
      <c r="J902" s="7">
        <v>0</v>
      </c>
      <c r="K902">
        <f t="shared" si="13"/>
        <v>89</v>
      </c>
      <c r="L902" s="8" t="str" cm="1">
        <f t="array" ref="L902">_xlfn.IFS(
 AND(K902&gt;=89,K902&lt;=92),"3개월",
 AND(K902&gt;=58,K902&lt;=62),"2개월",
 AND(K902&gt;=28,K902&lt;=32),"1개월",
 AND(K902=0),"당월",
 TRUE,"그외"
)</f>
        <v>3개월</v>
      </c>
    </row>
    <row r="903" spans="1:12" ht="17.649999999999999" customHeight="1" x14ac:dyDescent="0.3">
      <c r="A903" s="5">
        <v>46143</v>
      </c>
      <c r="B903" s="6" t="s">
        <v>50</v>
      </c>
      <c r="C903" s="6" t="s">
        <v>53</v>
      </c>
      <c r="D903" s="5">
        <v>46082</v>
      </c>
      <c r="E903" s="6" t="s">
        <v>14</v>
      </c>
      <c r="F903" s="7">
        <v>1308</v>
      </c>
      <c r="G903" s="7">
        <v>143209.79663608561</v>
      </c>
      <c r="H903" s="7">
        <v>187318414</v>
      </c>
      <c r="I903" s="7">
        <v>49990534</v>
      </c>
      <c r="J903" s="7">
        <v>0</v>
      </c>
      <c r="K903">
        <f t="shared" si="13"/>
        <v>61</v>
      </c>
      <c r="L903" s="8" t="str" cm="1">
        <f t="array" ref="L903">_xlfn.IFS(
 AND(K903&gt;=89,K903&lt;=92),"3개월",
 AND(K903&gt;=58,K903&lt;=62),"2개월",
 AND(K903&gt;=28,K903&lt;=32),"1개월",
 AND(K903=0),"당월",
 TRUE,"그외"
)</f>
        <v>2개월</v>
      </c>
    </row>
    <row r="904" spans="1:12" ht="17.649999999999999" customHeight="1" x14ac:dyDescent="0.3">
      <c r="A904" s="5">
        <v>46143</v>
      </c>
      <c r="B904" s="6" t="s">
        <v>50</v>
      </c>
      <c r="C904" s="6" t="s">
        <v>53</v>
      </c>
      <c r="D904" s="5">
        <v>46082</v>
      </c>
      <c r="E904" s="6" t="s">
        <v>15</v>
      </c>
      <c r="F904" s="7">
        <v>1646</v>
      </c>
      <c r="G904" s="7">
        <v>204133.34204131231</v>
      </c>
      <c r="H904" s="7">
        <v>336003481</v>
      </c>
      <c r="I904" s="7">
        <v>50285486</v>
      </c>
      <c r="J904" s="7">
        <v>0</v>
      </c>
      <c r="K904">
        <f t="shared" si="13"/>
        <v>61</v>
      </c>
      <c r="L904" s="8" t="str" cm="1">
        <f t="array" ref="L904">_xlfn.IFS(
 AND(K904&gt;=89,K904&lt;=92),"3개월",
 AND(K904&gt;=58,K904&lt;=62),"2개월",
 AND(K904&gt;=28,K904&lt;=32),"1개월",
 AND(K904=0),"당월",
 TRUE,"그외"
)</f>
        <v>2개월</v>
      </c>
    </row>
    <row r="905" spans="1:12" ht="17.649999999999999" customHeight="1" x14ac:dyDescent="0.3">
      <c r="A905" s="5">
        <v>46143</v>
      </c>
      <c r="B905" s="6" t="s">
        <v>50</v>
      </c>
      <c r="C905" s="6" t="s">
        <v>53</v>
      </c>
      <c r="D905" s="5">
        <v>46113</v>
      </c>
      <c r="E905" s="6" t="s">
        <v>14</v>
      </c>
      <c r="F905" s="7">
        <v>3512</v>
      </c>
      <c r="G905" s="7">
        <v>151975.9347949886</v>
      </c>
      <c r="H905" s="7">
        <v>533739483</v>
      </c>
      <c r="I905" s="7">
        <v>157584158</v>
      </c>
      <c r="J905" s="7">
        <v>0</v>
      </c>
      <c r="K905">
        <f t="shared" si="13"/>
        <v>30</v>
      </c>
      <c r="L905" s="8" t="str" cm="1">
        <f t="array" ref="L905">_xlfn.IFS(
 AND(K905&gt;=89,K905&lt;=92),"3개월",
 AND(K905&gt;=58,K905&lt;=62),"2개월",
 AND(K905&gt;=28,K905&lt;=32),"1개월",
 AND(K905=0),"당월",
 TRUE,"그외"
)</f>
        <v>1개월</v>
      </c>
    </row>
    <row r="906" spans="1:12" ht="17.649999999999999" customHeight="1" x14ac:dyDescent="0.3">
      <c r="A906" s="5">
        <v>46143</v>
      </c>
      <c r="B906" s="6" t="s">
        <v>50</v>
      </c>
      <c r="C906" s="6" t="s">
        <v>53</v>
      </c>
      <c r="D906" s="5">
        <v>46113</v>
      </c>
      <c r="E906" s="6" t="s">
        <v>15</v>
      </c>
      <c r="F906" s="7">
        <v>1518</v>
      </c>
      <c r="G906" s="7">
        <v>216374.42358366269</v>
      </c>
      <c r="H906" s="7">
        <v>328456375</v>
      </c>
      <c r="I906" s="7">
        <v>79948937</v>
      </c>
      <c r="J906" s="7">
        <v>0</v>
      </c>
      <c r="K906">
        <f t="shared" ref="K906:K969" si="14">A906-D906</f>
        <v>30</v>
      </c>
      <c r="L906" s="8" t="str" cm="1">
        <f t="array" ref="L906">_xlfn.IFS(
 AND(K906&gt;=89,K906&lt;=92),"3개월",
 AND(K906&gt;=58,K906&lt;=62),"2개월",
 AND(K906&gt;=28,K906&lt;=32),"1개월",
 AND(K906=0),"당월",
 TRUE,"그외"
)</f>
        <v>1개월</v>
      </c>
    </row>
    <row r="907" spans="1:12" ht="17.649999999999999" customHeight="1" x14ac:dyDescent="0.3">
      <c r="A907" s="5">
        <v>46143</v>
      </c>
      <c r="B907" s="6" t="s">
        <v>50</v>
      </c>
      <c r="C907" s="6" t="s">
        <v>53</v>
      </c>
      <c r="D907" s="5">
        <v>46143</v>
      </c>
      <c r="E907" s="6" t="s">
        <v>14</v>
      </c>
      <c r="F907" s="7">
        <v>166</v>
      </c>
      <c r="G907" s="7">
        <v>153695.4578313253</v>
      </c>
      <c r="H907" s="7">
        <v>25513446</v>
      </c>
      <c r="I907" s="7">
        <v>9359756</v>
      </c>
      <c r="J907" s="7">
        <v>0</v>
      </c>
      <c r="K907">
        <f t="shared" si="14"/>
        <v>0</v>
      </c>
      <c r="L907" s="8" t="str" cm="1">
        <f t="array" ref="L907">_xlfn.IFS(
 AND(K907&gt;=89,K907&lt;=92),"3개월",
 AND(K907&gt;=58,K907&lt;=62),"2개월",
 AND(K907&gt;=28,K907&lt;=32),"1개월",
 AND(K907=0),"당월",
 TRUE,"그외"
)</f>
        <v>당월</v>
      </c>
    </row>
    <row r="908" spans="1:12" ht="17.649999999999999" customHeight="1" x14ac:dyDescent="0.3">
      <c r="A908" s="5">
        <v>46143</v>
      </c>
      <c r="B908" s="6" t="s">
        <v>50</v>
      </c>
      <c r="C908" s="6" t="s">
        <v>53</v>
      </c>
      <c r="D908" s="5">
        <v>46143</v>
      </c>
      <c r="E908" s="6" t="s">
        <v>15</v>
      </c>
      <c r="F908" s="7">
        <v>200</v>
      </c>
      <c r="G908" s="7">
        <v>233653.66500000001</v>
      </c>
      <c r="H908" s="7">
        <v>46730733</v>
      </c>
      <c r="I908" s="7">
        <v>15033544</v>
      </c>
      <c r="J908" s="7">
        <v>0</v>
      </c>
      <c r="K908">
        <f t="shared" si="14"/>
        <v>0</v>
      </c>
      <c r="L908" s="8" t="str" cm="1">
        <f t="array" ref="L908">_xlfn.IFS(
 AND(K908&gt;=89,K908&lt;=92),"3개월",
 AND(K908&gt;=58,K908&lt;=62),"2개월",
 AND(K908&gt;=28,K908&lt;=32),"1개월",
 AND(K908=0),"당월",
 TRUE,"그외"
)</f>
        <v>당월</v>
      </c>
    </row>
    <row r="909" spans="1:12" ht="17.649999999999999" customHeight="1" x14ac:dyDescent="0.3">
      <c r="A909" s="5">
        <v>46143</v>
      </c>
      <c r="B909" s="6" t="s">
        <v>50</v>
      </c>
      <c r="C909" s="6" t="s">
        <v>54</v>
      </c>
      <c r="D909" s="5">
        <v>45962</v>
      </c>
      <c r="E909" s="6" t="s">
        <v>15</v>
      </c>
      <c r="F909" s="7">
        <v>19</v>
      </c>
      <c r="G909" s="7">
        <v>134884.94736842101</v>
      </c>
      <c r="H909" s="7">
        <v>2562814</v>
      </c>
      <c r="I909" s="7">
        <v>450800</v>
      </c>
      <c r="J909" s="7">
        <v>0</v>
      </c>
      <c r="K909">
        <f t="shared" si="14"/>
        <v>181</v>
      </c>
      <c r="L909" s="8" t="str" cm="1">
        <f t="array" ref="L909">_xlfn.IFS(
 AND(K909&gt;=89,K909&lt;=92),"3개월",
 AND(K909&gt;=58,K909&lt;=62),"2개월",
 AND(K909&gt;=28,K909&lt;=32),"1개월",
 AND(K909=0),"당월",
 TRUE,"그외"
)</f>
        <v>그외</v>
      </c>
    </row>
    <row r="910" spans="1:12" ht="17.649999999999999" customHeight="1" x14ac:dyDescent="0.3">
      <c r="A910" s="5">
        <v>46143</v>
      </c>
      <c r="B910" s="6" t="s">
        <v>50</v>
      </c>
      <c r="C910" s="6" t="s">
        <v>54</v>
      </c>
      <c r="D910" s="5">
        <v>45992</v>
      </c>
      <c r="E910" s="6" t="s">
        <v>15</v>
      </c>
      <c r="F910" s="7">
        <v>46</v>
      </c>
      <c r="G910" s="7">
        <v>127741.3043478261</v>
      </c>
      <c r="H910" s="7">
        <v>5876100</v>
      </c>
      <c r="I910" s="7">
        <v>1234748</v>
      </c>
      <c r="J910" s="7">
        <v>0</v>
      </c>
      <c r="K910">
        <f t="shared" si="14"/>
        <v>151</v>
      </c>
      <c r="L910" s="8" t="str" cm="1">
        <f t="array" ref="L910">_xlfn.IFS(
 AND(K910&gt;=89,K910&lt;=92),"3개월",
 AND(K910&gt;=58,K910&lt;=62),"2개월",
 AND(K910&gt;=28,K910&lt;=32),"1개월",
 AND(K910=0),"당월",
 TRUE,"그외"
)</f>
        <v>그외</v>
      </c>
    </row>
    <row r="911" spans="1:12" ht="17.649999999999999" customHeight="1" x14ac:dyDescent="0.3">
      <c r="A911" s="5">
        <v>46143</v>
      </c>
      <c r="B911" s="6" t="s">
        <v>50</v>
      </c>
      <c r="C911" s="6" t="s">
        <v>54</v>
      </c>
      <c r="D911" s="5">
        <v>46023</v>
      </c>
      <c r="E911" s="6" t="s">
        <v>14</v>
      </c>
      <c r="F911" s="7">
        <v>21</v>
      </c>
      <c r="G911" s="7">
        <v>110294.8571428571</v>
      </c>
      <c r="H911" s="7">
        <v>2316192</v>
      </c>
      <c r="I911" s="7">
        <v>868572</v>
      </c>
      <c r="J911" s="7">
        <v>0</v>
      </c>
      <c r="K911">
        <f t="shared" si="14"/>
        <v>120</v>
      </c>
      <c r="L911" s="8" t="str" cm="1">
        <f t="array" ref="L911">_xlfn.IFS(
 AND(K911&gt;=89,K911&lt;=92),"3개월",
 AND(K911&gt;=58,K911&lt;=62),"2개월",
 AND(K911&gt;=28,K911&lt;=32),"1개월",
 AND(K911=0),"당월",
 TRUE,"그외"
)</f>
        <v>그외</v>
      </c>
    </row>
    <row r="912" spans="1:12" ht="17.649999999999999" customHeight="1" x14ac:dyDescent="0.3">
      <c r="A912" s="5">
        <v>46143</v>
      </c>
      <c r="B912" s="6" t="s">
        <v>50</v>
      </c>
      <c r="C912" s="6" t="s">
        <v>54</v>
      </c>
      <c r="D912" s="5">
        <v>46023</v>
      </c>
      <c r="E912" s="6" t="s">
        <v>15</v>
      </c>
      <c r="F912" s="7">
        <v>184</v>
      </c>
      <c r="G912" s="7">
        <v>186873.40760869559</v>
      </c>
      <c r="H912" s="7">
        <v>34384707</v>
      </c>
      <c r="I912" s="7">
        <v>4923023</v>
      </c>
      <c r="J912" s="7">
        <v>0</v>
      </c>
      <c r="K912">
        <f t="shared" si="14"/>
        <v>120</v>
      </c>
      <c r="L912" s="8" t="str" cm="1">
        <f t="array" ref="L912">_xlfn.IFS(
 AND(K912&gt;=89,K912&lt;=92),"3개월",
 AND(K912&gt;=58,K912&lt;=62),"2개월",
 AND(K912&gt;=28,K912&lt;=32),"1개월",
 AND(K912=0),"당월",
 TRUE,"그외"
)</f>
        <v>그외</v>
      </c>
    </row>
    <row r="913" spans="1:12" ht="17.649999999999999" customHeight="1" x14ac:dyDescent="0.3">
      <c r="A913" s="5">
        <v>46143</v>
      </c>
      <c r="B913" s="6" t="s">
        <v>50</v>
      </c>
      <c r="C913" s="6" t="s">
        <v>54</v>
      </c>
      <c r="D913" s="5">
        <v>46054</v>
      </c>
      <c r="E913" s="6" t="s">
        <v>14</v>
      </c>
      <c r="F913" s="7">
        <v>6</v>
      </c>
      <c r="G913" s="7">
        <v>118169.3333333333</v>
      </c>
      <c r="H913" s="7">
        <v>709016</v>
      </c>
      <c r="I913" s="7">
        <v>248616</v>
      </c>
      <c r="J913" s="7">
        <v>0</v>
      </c>
      <c r="K913">
        <f t="shared" si="14"/>
        <v>89</v>
      </c>
      <c r="L913" s="8" t="str" cm="1">
        <f t="array" ref="L913">_xlfn.IFS(
 AND(K913&gt;=89,K913&lt;=92),"3개월",
 AND(K913&gt;=58,K913&lt;=62),"2개월",
 AND(K913&gt;=28,K913&lt;=32),"1개월",
 AND(K913=0),"당월",
 TRUE,"그외"
)</f>
        <v>3개월</v>
      </c>
    </row>
    <row r="914" spans="1:12" ht="17.649999999999999" customHeight="1" x14ac:dyDescent="0.3">
      <c r="A914" s="5">
        <v>46143</v>
      </c>
      <c r="B914" s="6" t="s">
        <v>50</v>
      </c>
      <c r="C914" s="6" t="s">
        <v>54</v>
      </c>
      <c r="D914" s="5">
        <v>46054</v>
      </c>
      <c r="E914" s="6" t="s">
        <v>15</v>
      </c>
      <c r="F914" s="7">
        <v>230</v>
      </c>
      <c r="G914" s="7">
        <v>210588.49130434779</v>
      </c>
      <c r="H914" s="7">
        <v>48435353</v>
      </c>
      <c r="I914" s="7">
        <v>6166886</v>
      </c>
      <c r="J914" s="7">
        <v>0</v>
      </c>
      <c r="K914">
        <f t="shared" si="14"/>
        <v>89</v>
      </c>
      <c r="L914" s="8" t="str" cm="1">
        <f t="array" ref="L914">_xlfn.IFS(
 AND(K914&gt;=89,K914&lt;=92),"3개월",
 AND(K914&gt;=58,K914&lt;=62),"2개월",
 AND(K914&gt;=28,K914&lt;=32),"1개월",
 AND(K914=0),"당월",
 TRUE,"그외"
)</f>
        <v>3개월</v>
      </c>
    </row>
    <row r="915" spans="1:12" ht="17.649999999999999" customHeight="1" x14ac:dyDescent="0.3">
      <c r="A915" s="5">
        <v>46143</v>
      </c>
      <c r="B915" s="6" t="s">
        <v>50</v>
      </c>
      <c r="C915" s="6" t="s">
        <v>54</v>
      </c>
      <c r="D915" s="5">
        <v>46082</v>
      </c>
      <c r="E915" s="6" t="s">
        <v>14</v>
      </c>
      <c r="F915" s="7">
        <v>690</v>
      </c>
      <c r="G915" s="7">
        <v>130886.0942028985</v>
      </c>
      <c r="H915" s="7">
        <v>90311405</v>
      </c>
      <c r="I915" s="7">
        <v>23743200</v>
      </c>
      <c r="J915" s="7">
        <v>0</v>
      </c>
      <c r="K915">
        <f t="shared" si="14"/>
        <v>61</v>
      </c>
      <c r="L915" s="8" t="str" cm="1">
        <f t="array" ref="L915">_xlfn.IFS(
 AND(K915&gt;=89,K915&lt;=92),"3개월",
 AND(K915&gt;=58,K915&lt;=62),"2개월",
 AND(K915&gt;=28,K915&lt;=32),"1개월",
 AND(K915=0),"당월",
 TRUE,"그외"
)</f>
        <v>2개월</v>
      </c>
    </row>
    <row r="916" spans="1:12" ht="17.649999999999999" customHeight="1" x14ac:dyDescent="0.3">
      <c r="A916" s="5">
        <v>46143</v>
      </c>
      <c r="B916" s="6" t="s">
        <v>50</v>
      </c>
      <c r="C916" s="6" t="s">
        <v>54</v>
      </c>
      <c r="D916" s="5">
        <v>46082</v>
      </c>
      <c r="E916" s="6" t="s">
        <v>15</v>
      </c>
      <c r="F916" s="7">
        <v>2409</v>
      </c>
      <c r="G916" s="7">
        <v>131959.74097135739</v>
      </c>
      <c r="H916" s="7">
        <v>317891016</v>
      </c>
      <c r="I916" s="7">
        <v>69813048</v>
      </c>
      <c r="J916" s="7">
        <v>0</v>
      </c>
      <c r="K916">
        <f t="shared" si="14"/>
        <v>61</v>
      </c>
      <c r="L916" s="8" t="str" cm="1">
        <f t="array" ref="L916">_xlfn.IFS(
 AND(K916&gt;=89,K916&lt;=92),"3개월",
 AND(K916&gt;=58,K916&lt;=62),"2개월",
 AND(K916&gt;=28,K916&lt;=32),"1개월",
 AND(K916=0),"당월",
 TRUE,"그외"
)</f>
        <v>2개월</v>
      </c>
    </row>
    <row r="917" spans="1:12" ht="17.649999999999999" customHeight="1" x14ac:dyDescent="0.3">
      <c r="A917" s="5">
        <v>46143</v>
      </c>
      <c r="B917" s="6" t="s">
        <v>50</v>
      </c>
      <c r="C917" s="6" t="s">
        <v>54</v>
      </c>
      <c r="D917" s="5">
        <v>46113</v>
      </c>
      <c r="E917" s="6" t="s">
        <v>14</v>
      </c>
      <c r="F917" s="7">
        <v>1557</v>
      </c>
      <c r="G917" s="7">
        <v>119235.3044315992</v>
      </c>
      <c r="H917" s="7">
        <v>185649369</v>
      </c>
      <c r="I917" s="7">
        <v>74641572</v>
      </c>
      <c r="J917" s="7">
        <v>0</v>
      </c>
      <c r="K917">
        <f t="shared" si="14"/>
        <v>30</v>
      </c>
      <c r="L917" s="8" t="str" cm="1">
        <f t="array" ref="L917">_xlfn.IFS(
 AND(K917&gt;=89,K917&lt;=92),"3개월",
 AND(K917&gt;=58,K917&lt;=62),"2개월",
 AND(K917&gt;=28,K917&lt;=32),"1개월",
 AND(K917=0),"당월",
 TRUE,"그외"
)</f>
        <v>1개월</v>
      </c>
    </row>
    <row r="918" spans="1:12" ht="17.649999999999999" customHeight="1" x14ac:dyDescent="0.3">
      <c r="A918" s="5">
        <v>46143</v>
      </c>
      <c r="B918" s="6" t="s">
        <v>50</v>
      </c>
      <c r="C918" s="6" t="s">
        <v>54</v>
      </c>
      <c r="D918" s="5">
        <v>46113</v>
      </c>
      <c r="E918" s="6" t="s">
        <v>15</v>
      </c>
      <c r="F918" s="7">
        <v>2278</v>
      </c>
      <c r="G918" s="7">
        <v>149261.1641791045</v>
      </c>
      <c r="H918" s="7">
        <v>340016932</v>
      </c>
      <c r="I918" s="7">
        <v>121843512</v>
      </c>
      <c r="J918" s="7">
        <v>0</v>
      </c>
      <c r="K918">
        <f t="shared" si="14"/>
        <v>30</v>
      </c>
      <c r="L918" s="8" t="str" cm="1">
        <f t="array" ref="L918">_xlfn.IFS(
 AND(K918&gt;=89,K918&lt;=92),"3개월",
 AND(K918&gt;=58,K918&lt;=62),"2개월",
 AND(K918&gt;=28,K918&lt;=32),"1개월",
 AND(K918=0),"당월",
 TRUE,"그외"
)</f>
        <v>1개월</v>
      </c>
    </row>
    <row r="919" spans="1:12" ht="17.649999999999999" customHeight="1" x14ac:dyDescent="0.3">
      <c r="A919" s="5">
        <v>46143</v>
      </c>
      <c r="B919" s="6" t="s">
        <v>50</v>
      </c>
      <c r="C919" s="6" t="s">
        <v>54</v>
      </c>
      <c r="D919" s="5">
        <v>46143</v>
      </c>
      <c r="E919" s="6" t="s">
        <v>14</v>
      </c>
      <c r="F919" s="7">
        <v>258</v>
      </c>
      <c r="G919" s="7">
        <v>122583.51162790701</v>
      </c>
      <c r="H919" s="7">
        <v>31626546</v>
      </c>
      <c r="I919" s="7">
        <v>17458836</v>
      </c>
      <c r="J919" s="7">
        <v>0</v>
      </c>
      <c r="K919">
        <f t="shared" si="14"/>
        <v>0</v>
      </c>
      <c r="L919" s="8" t="str" cm="1">
        <f t="array" ref="L919">_xlfn.IFS(
 AND(K919&gt;=89,K919&lt;=92),"3개월",
 AND(K919&gt;=58,K919&lt;=62),"2개월",
 AND(K919&gt;=28,K919&lt;=32),"1개월",
 AND(K919=0),"당월",
 TRUE,"그외"
)</f>
        <v>당월</v>
      </c>
    </row>
    <row r="920" spans="1:12" ht="17.649999999999999" customHeight="1" x14ac:dyDescent="0.3">
      <c r="A920" s="5">
        <v>46143</v>
      </c>
      <c r="B920" s="6" t="s">
        <v>50</v>
      </c>
      <c r="C920" s="6" t="s">
        <v>54</v>
      </c>
      <c r="D920" s="5">
        <v>46143</v>
      </c>
      <c r="E920" s="6" t="s">
        <v>15</v>
      </c>
      <c r="F920" s="7">
        <v>134</v>
      </c>
      <c r="G920" s="7">
        <v>146586.17164179101</v>
      </c>
      <c r="H920" s="7">
        <v>19642547</v>
      </c>
      <c r="I920" s="7">
        <v>9555127</v>
      </c>
      <c r="J920" s="7">
        <v>0</v>
      </c>
      <c r="K920">
        <f t="shared" si="14"/>
        <v>0</v>
      </c>
      <c r="L920" s="8" t="str" cm="1">
        <f t="array" ref="L920">_xlfn.IFS(
 AND(K920&gt;=89,K920&lt;=92),"3개월",
 AND(K920&gt;=58,K920&lt;=62),"2개월",
 AND(K920&gt;=28,K920&lt;=32),"1개월",
 AND(K920=0),"당월",
 TRUE,"그외"
)</f>
        <v>당월</v>
      </c>
    </row>
    <row r="921" spans="1:12" ht="17.649999999999999" customHeight="1" x14ac:dyDescent="0.3">
      <c r="A921" s="5">
        <v>46143</v>
      </c>
      <c r="B921" s="6" t="s">
        <v>50</v>
      </c>
      <c r="C921" s="6" t="s">
        <v>56</v>
      </c>
      <c r="D921" s="5">
        <v>45962</v>
      </c>
      <c r="E921" s="6" t="s">
        <v>15</v>
      </c>
      <c r="F921" s="7">
        <v>21</v>
      </c>
      <c r="G921" s="7">
        <v>180057</v>
      </c>
      <c r="H921" s="7">
        <v>3781197</v>
      </c>
      <c r="I921" s="7">
        <v>738150</v>
      </c>
      <c r="J921" s="7">
        <v>0</v>
      </c>
      <c r="K921">
        <f t="shared" si="14"/>
        <v>181</v>
      </c>
      <c r="L921" s="8" t="str" cm="1">
        <f t="array" ref="L921">_xlfn.IFS(
 AND(K921&gt;=89,K921&lt;=92),"3개월",
 AND(K921&gt;=58,K921&lt;=62),"2개월",
 AND(K921&gt;=28,K921&lt;=32),"1개월",
 AND(K921=0),"당월",
 TRUE,"그외"
)</f>
        <v>그외</v>
      </c>
    </row>
    <row r="922" spans="1:12" ht="17.649999999999999" customHeight="1" x14ac:dyDescent="0.3">
      <c r="A922" s="5">
        <v>46143</v>
      </c>
      <c r="B922" s="6" t="s">
        <v>50</v>
      </c>
      <c r="C922" s="6" t="s">
        <v>56</v>
      </c>
      <c r="D922" s="5">
        <v>45992</v>
      </c>
      <c r="E922" s="6" t="s">
        <v>15</v>
      </c>
      <c r="F922" s="7">
        <v>47</v>
      </c>
      <c r="G922" s="7">
        <v>182553.06382978719</v>
      </c>
      <c r="H922" s="7">
        <v>8579994</v>
      </c>
      <c r="I922" s="7">
        <v>1520625</v>
      </c>
      <c r="J922" s="7">
        <v>0</v>
      </c>
      <c r="K922">
        <f t="shared" si="14"/>
        <v>151</v>
      </c>
      <c r="L922" s="8" t="str" cm="1">
        <f t="array" ref="L922">_xlfn.IFS(
 AND(K922&gt;=89,K922&lt;=92),"3개월",
 AND(K922&gt;=58,K922&lt;=62),"2개월",
 AND(K922&gt;=28,K922&lt;=32),"1개월",
 AND(K922=0),"당월",
 TRUE,"그외"
)</f>
        <v>그외</v>
      </c>
    </row>
    <row r="923" spans="1:12" ht="17.649999999999999" customHeight="1" x14ac:dyDescent="0.3">
      <c r="A923" s="5">
        <v>46143</v>
      </c>
      <c r="B923" s="6" t="s">
        <v>50</v>
      </c>
      <c r="C923" s="6" t="s">
        <v>56</v>
      </c>
      <c r="D923" s="5">
        <v>46023</v>
      </c>
      <c r="E923" s="6" t="s">
        <v>14</v>
      </c>
      <c r="F923" s="7">
        <v>32</v>
      </c>
      <c r="G923" s="7">
        <v>110281.5</v>
      </c>
      <c r="H923" s="7">
        <v>3529008</v>
      </c>
      <c r="I923" s="7">
        <v>1323378</v>
      </c>
      <c r="J923" s="7">
        <v>0</v>
      </c>
      <c r="K923">
        <f t="shared" si="14"/>
        <v>120</v>
      </c>
      <c r="L923" s="8" t="str" cm="1">
        <f t="array" ref="L923">_xlfn.IFS(
 AND(K923&gt;=89,K923&lt;=92),"3개월",
 AND(K923&gt;=58,K923&lt;=62),"2개월",
 AND(K923&gt;=28,K923&lt;=32),"1개월",
 AND(K923=0),"당월",
 TRUE,"그외"
)</f>
        <v>그외</v>
      </c>
    </row>
    <row r="924" spans="1:12" ht="17.649999999999999" customHeight="1" x14ac:dyDescent="0.3">
      <c r="A924" s="5">
        <v>46143</v>
      </c>
      <c r="B924" s="6" t="s">
        <v>50</v>
      </c>
      <c r="C924" s="6" t="s">
        <v>56</v>
      </c>
      <c r="D924" s="5">
        <v>46023</v>
      </c>
      <c r="E924" s="6" t="s">
        <v>15</v>
      </c>
      <c r="F924" s="7">
        <v>89</v>
      </c>
      <c r="G924" s="7">
        <v>165249.8764044944</v>
      </c>
      <c r="H924" s="7">
        <v>14707239</v>
      </c>
      <c r="I924" s="7">
        <v>2443908</v>
      </c>
      <c r="J924" s="7">
        <v>0</v>
      </c>
      <c r="K924">
        <f t="shared" si="14"/>
        <v>120</v>
      </c>
      <c r="L924" s="8" t="str" cm="1">
        <f t="array" ref="L924">_xlfn.IFS(
 AND(K924&gt;=89,K924&lt;=92),"3개월",
 AND(K924&gt;=58,K924&lt;=62),"2개월",
 AND(K924&gt;=28,K924&lt;=32),"1개월",
 AND(K924=0),"당월",
 TRUE,"그외"
)</f>
        <v>그외</v>
      </c>
    </row>
    <row r="925" spans="1:12" ht="17.649999999999999" customHeight="1" x14ac:dyDescent="0.3">
      <c r="A925" s="5">
        <v>46143</v>
      </c>
      <c r="B925" s="6" t="s">
        <v>50</v>
      </c>
      <c r="C925" s="6" t="s">
        <v>56</v>
      </c>
      <c r="D925" s="5">
        <v>46054</v>
      </c>
      <c r="E925" s="6" t="s">
        <v>15</v>
      </c>
      <c r="F925" s="7">
        <v>455</v>
      </c>
      <c r="G925" s="7">
        <v>152869.05934065941</v>
      </c>
      <c r="H925" s="7">
        <v>69555422</v>
      </c>
      <c r="I925" s="7">
        <v>11438103</v>
      </c>
      <c r="J925" s="7">
        <v>0</v>
      </c>
      <c r="K925">
        <f t="shared" si="14"/>
        <v>89</v>
      </c>
      <c r="L925" s="8" t="str" cm="1">
        <f t="array" ref="L925">_xlfn.IFS(
 AND(K925&gt;=89,K925&lt;=92),"3개월",
 AND(K925&gt;=58,K925&lt;=62),"2개월",
 AND(K925&gt;=28,K925&lt;=32),"1개월",
 AND(K925=0),"당월",
 TRUE,"그외"
)</f>
        <v>3개월</v>
      </c>
    </row>
    <row r="926" spans="1:12" ht="17.649999999999999" customHeight="1" x14ac:dyDescent="0.3">
      <c r="A926" s="5">
        <v>46143</v>
      </c>
      <c r="B926" s="6" t="s">
        <v>50</v>
      </c>
      <c r="C926" s="6" t="s">
        <v>56</v>
      </c>
      <c r="D926" s="5">
        <v>46082</v>
      </c>
      <c r="E926" s="6" t="s">
        <v>14</v>
      </c>
      <c r="F926" s="7">
        <v>220</v>
      </c>
      <c r="G926" s="7">
        <v>127397.4090909091</v>
      </c>
      <c r="H926" s="7">
        <v>28027430</v>
      </c>
      <c r="I926" s="7">
        <v>8163400</v>
      </c>
      <c r="J926" s="7">
        <v>0</v>
      </c>
      <c r="K926">
        <f t="shared" si="14"/>
        <v>61</v>
      </c>
      <c r="L926" s="8" t="str" cm="1">
        <f t="array" ref="L926">_xlfn.IFS(
 AND(K926&gt;=89,K926&lt;=92),"3개월",
 AND(K926&gt;=58,K926&lt;=62),"2개월",
 AND(K926&gt;=28,K926&lt;=32),"1개월",
 AND(K926=0),"당월",
 TRUE,"그외"
)</f>
        <v>2개월</v>
      </c>
    </row>
    <row r="927" spans="1:12" ht="17.649999999999999" customHeight="1" x14ac:dyDescent="0.3">
      <c r="A927" s="5">
        <v>46143</v>
      </c>
      <c r="B927" s="6" t="s">
        <v>50</v>
      </c>
      <c r="C927" s="6" t="s">
        <v>56</v>
      </c>
      <c r="D927" s="5">
        <v>46082</v>
      </c>
      <c r="E927" s="6" t="s">
        <v>15</v>
      </c>
      <c r="F927" s="7">
        <v>2278</v>
      </c>
      <c r="G927" s="7">
        <v>162682.80904302021</v>
      </c>
      <c r="H927" s="7">
        <v>370591439</v>
      </c>
      <c r="I927" s="7">
        <v>61404375</v>
      </c>
      <c r="J927" s="7">
        <v>0</v>
      </c>
      <c r="K927">
        <f t="shared" si="14"/>
        <v>61</v>
      </c>
      <c r="L927" s="8" t="str" cm="1">
        <f t="array" ref="L927">_xlfn.IFS(
 AND(K927&gt;=89,K927&lt;=92),"3개월",
 AND(K927&gt;=58,K927&lt;=62),"2개월",
 AND(K927&gt;=28,K927&lt;=32),"1개월",
 AND(K927=0),"당월",
 TRUE,"그외"
)</f>
        <v>2개월</v>
      </c>
    </row>
    <row r="928" spans="1:12" ht="17.649999999999999" customHeight="1" x14ac:dyDescent="0.3">
      <c r="A928" s="5">
        <v>46143</v>
      </c>
      <c r="B928" s="6" t="s">
        <v>50</v>
      </c>
      <c r="C928" s="6" t="s">
        <v>56</v>
      </c>
      <c r="D928" s="5">
        <v>46113</v>
      </c>
      <c r="E928" s="6" t="s">
        <v>14</v>
      </c>
      <c r="F928" s="7">
        <v>473</v>
      </c>
      <c r="G928" s="7">
        <v>126559.9386892178</v>
      </c>
      <c r="H928" s="7">
        <v>59862851</v>
      </c>
      <c r="I928" s="7">
        <v>21173818</v>
      </c>
      <c r="J928" s="7">
        <v>0</v>
      </c>
      <c r="K928">
        <f t="shared" si="14"/>
        <v>30</v>
      </c>
      <c r="L928" s="8" t="str" cm="1">
        <f t="array" ref="L928">_xlfn.IFS(
 AND(K928&gt;=89,K928&lt;=92),"3개월",
 AND(K928&gt;=58,K928&lt;=62),"2개월",
 AND(K928&gt;=28,K928&lt;=32),"1개월",
 AND(K928=0),"당월",
 TRUE,"그외"
)</f>
        <v>1개월</v>
      </c>
    </row>
    <row r="929" spans="1:12" ht="17.649999999999999" customHeight="1" x14ac:dyDescent="0.3">
      <c r="A929" s="5">
        <v>46143</v>
      </c>
      <c r="B929" s="6" t="s">
        <v>50</v>
      </c>
      <c r="C929" s="6" t="s">
        <v>56</v>
      </c>
      <c r="D929" s="5">
        <v>46113</v>
      </c>
      <c r="E929" s="6" t="s">
        <v>15</v>
      </c>
      <c r="F929" s="7">
        <v>1443</v>
      </c>
      <c r="G929" s="7">
        <v>189996.5329175329</v>
      </c>
      <c r="H929" s="7">
        <v>274164997</v>
      </c>
      <c r="I929" s="7">
        <v>80567084</v>
      </c>
      <c r="J929" s="7">
        <v>0</v>
      </c>
      <c r="K929">
        <f t="shared" si="14"/>
        <v>30</v>
      </c>
      <c r="L929" s="8" t="str" cm="1">
        <f t="array" ref="L929">_xlfn.IFS(
 AND(K929&gt;=89,K929&lt;=92),"3개월",
 AND(K929&gt;=58,K929&lt;=62),"2개월",
 AND(K929&gt;=28,K929&lt;=32),"1개월",
 AND(K929=0),"당월",
 TRUE,"그외"
)</f>
        <v>1개월</v>
      </c>
    </row>
    <row r="930" spans="1:12" ht="17.649999999999999" customHeight="1" x14ac:dyDescent="0.3">
      <c r="A930" s="5">
        <v>46143</v>
      </c>
      <c r="B930" s="6" t="s">
        <v>50</v>
      </c>
      <c r="C930" s="6" t="s">
        <v>56</v>
      </c>
      <c r="D930" s="5">
        <v>46143</v>
      </c>
      <c r="E930" s="6" t="s">
        <v>14</v>
      </c>
      <c r="F930" s="7">
        <v>28</v>
      </c>
      <c r="G930" s="7">
        <v>140980.6428571429</v>
      </c>
      <c r="H930" s="7">
        <v>3947458</v>
      </c>
      <c r="I930" s="7">
        <v>1898968</v>
      </c>
      <c r="J930" s="7">
        <v>0</v>
      </c>
      <c r="K930">
        <f t="shared" si="14"/>
        <v>0</v>
      </c>
      <c r="L930" s="8" t="str" cm="1">
        <f t="array" ref="L930">_xlfn.IFS(
 AND(K930&gt;=89,K930&lt;=92),"3개월",
 AND(K930&gt;=58,K930&lt;=62),"2개월",
 AND(K930&gt;=28,K930&lt;=32),"1개월",
 AND(K930=0),"당월",
 TRUE,"그외"
)</f>
        <v>당월</v>
      </c>
    </row>
    <row r="931" spans="1:12" ht="17.649999999999999" customHeight="1" x14ac:dyDescent="0.3">
      <c r="A931" s="5">
        <v>46143</v>
      </c>
      <c r="B931" s="6" t="s">
        <v>50</v>
      </c>
      <c r="C931" s="6" t="s">
        <v>56</v>
      </c>
      <c r="D931" s="5">
        <v>46143</v>
      </c>
      <c r="E931" s="6" t="s">
        <v>15</v>
      </c>
      <c r="F931" s="7">
        <v>305</v>
      </c>
      <c r="G931" s="7">
        <v>161395.26229508201</v>
      </c>
      <c r="H931" s="7">
        <v>49225555</v>
      </c>
      <c r="I931" s="7">
        <v>21218816</v>
      </c>
      <c r="J931" s="7">
        <v>0</v>
      </c>
      <c r="K931">
        <f t="shared" si="14"/>
        <v>0</v>
      </c>
      <c r="L931" s="8" t="str" cm="1">
        <f t="array" ref="L931">_xlfn.IFS(
 AND(K931&gt;=89,K931&lt;=92),"3개월",
 AND(K931&gt;=58,K931&lt;=62),"2개월",
 AND(K931&gt;=28,K931&lt;=32),"1개월",
 AND(K931=0),"당월",
 TRUE,"그외"
)</f>
        <v>당월</v>
      </c>
    </row>
    <row r="932" spans="1:12" ht="17.649999999999999" customHeight="1" x14ac:dyDescent="0.3">
      <c r="A932" s="5">
        <v>46143</v>
      </c>
      <c r="B932" s="6" t="s">
        <v>50</v>
      </c>
      <c r="C932" s="6" t="s">
        <v>57</v>
      </c>
      <c r="D932" s="5">
        <v>45962</v>
      </c>
      <c r="E932" s="6" t="s">
        <v>15</v>
      </c>
      <c r="F932" s="7">
        <v>24</v>
      </c>
      <c r="G932" s="7">
        <v>146992.25</v>
      </c>
      <c r="H932" s="7">
        <v>3527814</v>
      </c>
      <c r="I932" s="7">
        <v>561240</v>
      </c>
      <c r="J932" s="7">
        <v>0</v>
      </c>
      <c r="K932">
        <f t="shared" si="14"/>
        <v>181</v>
      </c>
      <c r="L932" s="8" t="str" cm="1">
        <f t="array" ref="L932">_xlfn.IFS(
 AND(K932&gt;=89,K932&lt;=92),"3개월",
 AND(K932&gt;=58,K932&lt;=62),"2개월",
 AND(K932&gt;=28,K932&lt;=32),"1개월",
 AND(K932=0),"당월",
 TRUE,"그외"
)</f>
        <v>그외</v>
      </c>
    </row>
    <row r="933" spans="1:12" ht="17.649999999999999" customHeight="1" x14ac:dyDescent="0.3">
      <c r="A933" s="5">
        <v>46143</v>
      </c>
      <c r="B933" s="6" t="s">
        <v>50</v>
      </c>
      <c r="C933" s="6" t="s">
        <v>57</v>
      </c>
      <c r="D933" s="5">
        <v>45992</v>
      </c>
      <c r="E933" s="6" t="s">
        <v>15</v>
      </c>
      <c r="F933" s="7">
        <v>110</v>
      </c>
      <c r="G933" s="7">
        <v>162547.87272727271</v>
      </c>
      <c r="H933" s="7">
        <v>17880266</v>
      </c>
      <c r="I933" s="7">
        <v>2791245</v>
      </c>
      <c r="J933" s="7">
        <v>0</v>
      </c>
      <c r="K933">
        <f t="shared" si="14"/>
        <v>151</v>
      </c>
      <c r="L933" s="8" t="str" cm="1">
        <f t="array" ref="L933">_xlfn.IFS(
 AND(K933&gt;=89,K933&lt;=92),"3개월",
 AND(K933&gt;=58,K933&lt;=62),"2개월",
 AND(K933&gt;=28,K933&lt;=32),"1개월",
 AND(K933=0),"당월",
 TRUE,"그외"
)</f>
        <v>그외</v>
      </c>
    </row>
    <row r="934" spans="1:12" ht="17.649999999999999" customHeight="1" x14ac:dyDescent="0.3">
      <c r="A934" s="5">
        <v>46143</v>
      </c>
      <c r="B934" s="6" t="s">
        <v>50</v>
      </c>
      <c r="C934" s="6" t="s">
        <v>57</v>
      </c>
      <c r="D934" s="5">
        <v>46023</v>
      </c>
      <c r="E934" s="6" t="s">
        <v>15</v>
      </c>
      <c r="F934" s="7">
        <v>234</v>
      </c>
      <c r="G934" s="7">
        <v>145726.14529914531</v>
      </c>
      <c r="H934" s="7">
        <v>34099918</v>
      </c>
      <c r="I934" s="7">
        <v>6413980</v>
      </c>
      <c r="J934" s="7">
        <v>0</v>
      </c>
      <c r="K934">
        <f t="shared" si="14"/>
        <v>120</v>
      </c>
      <c r="L934" s="8" t="str" cm="1">
        <f t="array" ref="L934">_xlfn.IFS(
 AND(K934&gt;=89,K934&lt;=92),"3개월",
 AND(K934&gt;=58,K934&lt;=62),"2개월",
 AND(K934&gt;=28,K934&lt;=32),"1개월",
 AND(K934=0),"당월",
 TRUE,"그외"
)</f>
        <v>그외</v>
      </c>
    </row>
    <row r="935" spans="1:12" ht="17.649999999999999" customHeight="1" x14ac:dyDescent="0.3">
      <c r="A935" s="5">
        <v>46143</v>
      </c>
      <c r="B935" s="6" t="s">
        <v>50</v>
      </c>
      <c r="C935" s="6" t="s">
        <v>57</v>
      </c>
      <c r="D935" s="5">
        <v>46054</v>
      </c>
      <c r="E935" s="6" t="s">
        <v>14</v>
      </c>
      <c r="F935" s="7">
        <v>2</v>
      </c>
      <c r="G935" s="7">
        <v>120390</v>
      </c>
      <c r="H935" s="7">
        <v>240780</v>
      </c>
      <c r="I935" s="7">
        <v>81774</v>
      </c>
      <c r="J935" s="7">
        <v>0</v>
      </c>
      <c r="K935">
        <f t="shared" si="14"/>
        <v>89</v>
      </c>
      <c r="L935" s="8" t="str" cm="1">
        <f t="array" ref="L935">_xlfn.IFS(
 AND(K935&gt;=89,K935&lt;=92),"3개월",
 AND(K935&gt;=58,K935&lt;=62),"2개월",
 AND(K935&gt;=28,K935&lt;=32),"1개월",
 AND(K935=0),"당월",
 TRUE,"그외"
)</f>
        <v>3개월</v>
      </c>
    </row>
    <row r="936" spans="1:12" ht="17.649999999999999" customHeight="1" x14ac:dyDescent="0.3">
      <c r="A936" s="5">
        <v>46143</v>
      </c>
      <c r="B936" s="6" t="s">
        <v>50</v>
      </c>
      <c r="C936" s="6" t="s">
        <v>57</v>
      </c>
      <c r="D936" s="5">
        <v>46054</v>
      </c>
      <c r="E936" s="6" t="s">
        <v>15</v>
      </c>
      <c r="F936" s="7">
        <v>323</v>
      </c>
      <c r="G936" s="7">
        <v>196711.96594427241</v>
      </c>
      <c r="H936" s="7">
        <v>63537965</v>
      </c>
      <c r="I936" s="7">
        <v>6538476</v>
      </c>
      <c r="J936" s="7">
        <v>0</v>
      </c>
      <c r="K936">
        <f t="shared" si="14"/>
        <v>89</v>
      </c>
      <c r="L936" s="8" t="str" cm="1">
        <f t="array" ref="L936">_xlfn.IFS(
 AND(K936&gt;=89,K936&lt;=92),"3개월",
 AND(K936&gt;=58,K936&lt;=62),"2개월",
 AND(K936&gt;=28,K936&lt;=32),"1개월",
 AND(K936=0),"당월",
 TRUE,"그외"
)</f>
        <v>3개월</v>
      </c>
    </row>
    <row r="937" spans="1:12" ht="17.649999999999999" customHeight="1" x14ac:dyDescent="0.3">
      <c r="A937" s="5">
        <v>46143</v>
      </c>
      <c r="B937" s="6" t="s">
        <v>50</v>
      </c>
      <c r="C937" s="6" t="s">
        <v>57</v>
      </c>
      <c r="D937" s="5">
        <v>46082</v>
      </c>
      <c r="E937" s="6" t="s">
        <v>14</v>
      </c>
      <c r="F937" s="7">
        <v>543</v>
      </c>
      <c r="G937" s="7">
        <v>146888.23941068139</v>
      </c>
      <c r="H937" s="7">
        <v>79760314</v>
      </c>
      <c r="I937" s="7">
        <v>17984754</v>
      </c>
      <c r="J937" s="7">
        <v>0</v>
      </c>
      <c r="K937">
        <f t="shared" si="14"/>
        <v>61</v>
      </c>
      <c r="L937" s="8" t="str" cm="1">
        <f t="array" ref="L937">_xlfn.IFS(
 AND(K937&gt;=89,K937&lt;=92),"3개월",
 AND(K937&gt;=58,K937&lt;=62),"2개월",
 AND(K937&gt;=28,K937&lt;=32),"1개월",
 AND(K937=0),"당월",
 TRUE,"그외"
)</f>
        <v>2개월</v>
      </c>
    </row>
    <row r="938" spans="1:12" ht="17.649999999999999" customHeight="1" x14ac:dyDescent="0.3">
      <c r="A938" s="5">
        <v>46143</v>
      </c>
      <c r="B938" s="6" t="s">
        <v>50</v>
      </c>
      <c r="C938" s="6" t="s">
        <v>57</v>
      </c>
      <c r="D938" s="5">
        <v>46082</v>
      </c>
      <c r="E938" s="6" t="s">
        <v>15</v>
      </c>
      <c r="F938" s="7">
        <v>1670</v>
      </c>
      <c r="G938" s="7">
        <v>174445.42994011979</v>
      </c>
      <c r="H938" s="7">
        <v>291323868</v>
      </c>
      <c r="I938" s="7">
        <v>39885843</v>
      </c>
      <c r="J938" s="7">
        <v>0</v>
      </c>
      <c r="K938">
        <f t="shared" si="14"/>
        <v>61</v>
      </c>
      <c r="L938" s="8" t="str" cm="1">
        <f t="array" ref="L938">_xlfn.IFS(
 AND(K938&gt;=89,K938&lt;=92),"3개월",
 AND(K938&gt;=58,K938&lt;=62),"2개월",
 AND(K938&gt;=28,K938&lt;=32),"1개월",
 AND(K938=0),"당월",
 TRUE,"그외"
)</f>
        <v>2개월</v>
      </c>
    </row>
    <row r="939" spans="1:12" ht="17.649999999999999" customHeight="1" x14ac:dyDescent="0.3">
      <c r="A939" s="5">
        <v>46143</v>
      </c>
      <c r="B939" s="6" t="s">
        <v>50</v>
      </c>
      <c r="C939" s="6" t="s">
        <v>57</v>
      </c>
      <c r="D939" s="5">
        <v>46113</v>
      </c>
      <c r="E939" s="6" t="s">
        <v>14</v>
      </c>
      <c r="F939" s="7">
        <v>761</v>
      </c>
      <c r="G939" s="7">
        <v>138212.50722733239</v>
      </c>
      <c r="H939" s="7">
        <v>105179718</v>
      </c>
      <c r="I939" s="7">
        <v>36121122</v>
      </c>
      <c r="J939" s="7">
        <v>0</v>
      </c>
      <c r="K939">
        <f t="shared" si="14"/>
        <v>30</v>
      </c>
      <c r="L939" s="8" t="str" cm="1">
        <f t="array" ref="L939">_xlfn.IFS(
 AND(K939&gt;=89,K939&lt;=92),"3개월",
 AND(K939&gt;=58,K939&lt;=62),"2개월",
 AND(K939&gt;=28,K939&lt;=32),"1개월",
 AND(K939=0),"당월",
 TRUE,"그외"
)</f>
        <v>1개월</v>
      </c>
    </row>
    <row r="940" spans="1:12" ht="17.649999999999999" customHeight="1" x14ac:dyDescent="0.3">
      <c r="A940" s="5">
        <v>46143</v>
      </c>
      <c r="B940" s="6" t="s">
        <v>50</v>
      </c>
      <c r="C940" s="6" t="s">
        <v>57</v>
      </c>
      <c r="D940" s="5">
        <v>46113</v>
      </c>
      <c r="E940" s="6" t="s">
        <v>15</v>
      </c>
      <c r="F940" s="7">
        <v>4226</v>
      </c>
      <c r="G940" s="7">
        <v>153941.11239943211</v>
      </c>
      <c r="H940" s="7">
        <v>650555141</v>
      </c>
      <c r="I940" s="7">
        <v>228140876</v>
      </c>
      <c r="J940" s="7">
        <v>0</v>
      </c>
      <c r="K940">
        <f t="shared" si="14"/>
        <v>30</v>
      </c>
      <c r="L940" s="8" t="str" cm="1">
        <f t="array" ref="L940">_xlfn.IFS(
 AND(K940&gt;=89,K940&lt;=92),"3개월",
 AND(K940&gt;=58,K940&lt;=62),"2개월",
 AND(K940&gt;=28,K940&lt;=32),"1개월",
 AND(K940=0),"당월",
 TRUE,"그외"
)</f>
        <v>1개월</v>
      </c>
    </row>
    <row r="941" spans="1:12" ht="17.649999999999999" customHeight="1" x14ac:dyDescent="0.3">
      <c r="A941" s="5">
        <v>46143</v>
      </c>
      <c r="B941" s="6" t="s">
        <v>50</v>
      </c>
      <c r="C941" s="6" t="s">
        <v>57</v>
      </c>
      <c r="D941" s="5">
        <v>46143</v>
      </c>
      <c r="E941" s="6" t="s">
        <v>14</v>
      </c>
      <c r="F941" s="7">
        <v>92</v>
      </c>
      <c r="G941" s="7">
        <v>145627.95652173911</v>
      </c>
      <c r="H941" s="7">
        <v>13397772</v>
      </c>
      <c r="I941" s="7">
        <v>6168312</v>
      </c>
      <c r="J941" s="7">
        <v>0</v>
      </c>
      <c r="K941">
        <f t="shared" si="14"/>
        <v>0</v>
      </c>
      <c r="L941" s="8" t="str" cm="1">
        <f t="array" ref="L941">_xlfn.IFS(
 AND(K941&gt;=89,K941&lt;=92),"3개월",
 AND(K941&gt;=58,K941&lt;=62),"2개월",
 AND(K941&gt;=28,K941&lt;=32),"1개월",
 AND(K941=0),"당월",
 TRUE,"그외"
)</f>
        <v>당월</v>
      </c>
    </row>
    <row r="942" spans="1:12" ht="17.649999999999999" customHeight="1" x14ac:dyDescent="0.3">
      <c r="A942" s="5">
        <v>46143</v>
      </c>
      <c r="B942" s="6" t="s">
        <v>50</v>
      </c>
      <c r="C942" s="6" t="s">
        <v>57</v>
      </c>
      <c r="D942" s="5">
        <v>46143</v>
      </c>
      <c r="E942" s="6" t="s">
        <v>15</v>
      </c>
      <c r="F942" s="7">
        <v>512</v>
      </c>
      <c r="G942" s="7">
        <v>146421.841796875</v>
      </c>
      <c r="H942" s="7">
        <v>74967983</v>
      </c>
      <c r="I942" s="7">
        <v>37459757</v>
      </c>
      <c r="J942" s="7">
        <v>0</v>
      </c>
      <c r="K942">
        <f t="shared" si="14"/>
        <v>0</v>
      </c>
      <c r="L942" s="8" t="str" cm="1">
        <f t="array" ref="L942">_xlfn.IFS(
 AND(K942&gt;=89,K942&lt;=92),"3개월",
 AND(K942&gt;=58,K942&lt;=62),"2개월",
 AND(K942&gt;=28,K942&lt;=32),"1개월",
 AND(K942=0),"당월",
 TRUE,"그외"
)</f>
        <v>당월</v>
      </c>
    </row>
    <row r="943" spans="1:12" ht="17.649999999999999" customHeight="1" x14ac:dyDescent="0.3">
      <c r="A943" s="5">
        <v>46143</v>
      </c>
      <c r="B943" s="6" t="s">
        <v>50</v>
      </c>
      <c r="C943" s="6" t="s">
        <v>58</v>
      </c>
      <c r="D943" s="5">
        <v>46023</v>
      </c>
      <c r="E943" s="6" t="s">
        <v>15</v>
      </c>
      <c r="F943" s="7">
        <v>184</v>
      </c>
      <c r="G943" s="7">
        <v>160184.19565217389</v>
      </c>
      <c r="H943" s="7">
        <v>29473892</v>
      </c>
      <c r="I943" s="7">
        <v>5616540</v>
      </c>
      <c r="J943" s="7">
        <v>0</v>
      </c>
      <c r="K943">
        <f t="shared" si="14"/>
        <v>120</v>
      </c>
      <c r="L943" s="8" t="str" cm="1">
        <f t="array" ref="L943">_xlfn.IFS(
 AND(K943&gt;=89,K943&lt;=92),"3개월",
 AND(K943&gt;=58,K943&lt;=62),"2개월",
 AND(K943&gt;=28,K943&lt;=32),"1개월",
 AND(K943=0),"당월",
 TRUE,"그외"
)</f>
        <v>그외</v>
      </c>
    </row>
    <row r="944" spans="1:12" ht="17.649999999999999" customHeight="1" x14ac:dyDescent="0.3">
      <c r="A944" s="5">
        <v>46143</v>
      </c>
      <c r="B944" s="6" t="s">
        <v>50</v>
      </c>
      <c r="C944" s="6" t="s">
        <v>58</v>
      </c>
      <c r="D944" s="5">
        <v>46054</v>
      </c>
      <c r="E944" s="6" t="s">
        <v>15</v>
      </c>
      <c r="F944" s="7">
        <v>570</v>
      </c>
      <c r="G944" s="7">
        <v>178228</v>
      </c>
      <c r="H944" s="7">
        <v>101589960</v>
      </c>
      <c r="I944" s="7">
        <v>13920513</v>
      </c>
      <c r="J944" s="7">
        <v>0</v>
      </c>
      <c r="K944">
        <f t="shared" si="14"/>
        <v>89</v>
      </c>
      <c r="L944" s="8" t="str" cm="1">
        <f t="array" ref="L944">_xlfn.IFS(
 AND(K944&gt;=89,K944&lt;=92),"3개월",
 AND(K944&gt;=58,K944&lt;=62),"2개월",
 AND(K944&gt;=28,K944&lt;=32),"1개월",
 AND(K944=0),"당월",
 TRUE,"그외"
)</f>
        <v>3개월</v>
      </c>
    </row>
    <row r="945" spans="1:12" ht="17.649999999999999" customHeight="1" x14ac:dyDescent="0.3">
      <c r="A945" s="5">
        <v>46143</v>
      </c>
      <c r="B945" s="6" t="s">
        <v>50</v>
      </c>
      <c r="C945" s="6" t="s">
        <v>58</v>
      </c>
      <c r="D945" s="5">
        <v>46082</v>
      </c>
      <c r="E945" s="6" t="s">
        <v>14</v>
      </c>
      <c r="F945" s="7">
        <v>644</v>
      </c>
      <c r="G945" s="7">
        <v>136866.4580745342</v>
      </c>
      <c r="H945" s="7">
        <v>88141999</v>
      </c>
      <c r="I945" s="7">
        <v>26484344</v>
      </c>
      <c r="J945" s="7">
        <v>0</v>
      </c>
      <c r="K945">
        <f t="shared" si="14"/>
        <v>61</v>
      </c>
      <c r="L945" s="8" t="str" cm="1">
        <f t="array" ref="L945">_xlfn.IFS(
 AND(K945&gt;=89,K945&lt;=92),"3개월",
 AND(K945&gt;=58,K945&lt;=62),"2개월",
 AND(K945&gt;=28,K945&lt;=32),"1개월",
 AND(K945=0),"당월",
 TRUE,"그외"
)</f>
        <v>2개월</v>
      </c>
    </row>
    <row r="946" spans="1:12" ht="17.649999999999999" customHeight="1" x14ac:dyDescent="0.3">
      <c r="A946" s="5">
        <v>46143</v>
      </c>
      <c r="B946" s="6" t="s">
        <v>50</v>
      </c>
      <c r="C946" s="6" t="s">
        <v>58</v>
      </c>
      <c r="D946" s="5">
        <v>46082</v>
      </c>
      <c r="E946" s="6" t="s">
        <v>15</v>
      </c>
      <c r="F946" s="7">
        <v>1641</v>
      </c>
      <c r="G946" s="7">
        <v>174535.9701401584</v>
      </c>
      <c r="H946" s="7">
        <v>286413527</v>
      </c>
      <c r="I946" s="7">
        <v>39823301</v>
      </c>
      <c r="J946" s="7">
        <v>0</v>
      </c>
      <c r="K946">
        <f t="shared" si="14"/>
        <v>61</v>
      </c>
      <c r="L946" s="8" t="str" cm="1">
        <f t="array" ref="L946">_xlfn.IFS(
 AND(K946&gt;=89,K946&lt;=92),"3개월",
 AND(K946&gt;=58,K946&lt;=62),"2개월",
 AND(K946&gt;=28,K946&lt;=32),"1개월",
 AND(K946=0),"당월",
 TRUE,"그외"
)</f>
        <v>2개월</v>
      </c>
    </row>
    <row r="947" spans="1:12" ht="17.649999999999999" customHeight="1" x14ac:dyDescent="0.3">
      <c r="A947" s="5">
        <v>46143</v>
      </c>
      <c r="B947" s="6" t="s">
        <v>50</v>
      </c>
      <c r="C947" s="6" t="s">
        <v>58</v>
      </c>
      <c r="D947" s="5">
        <v>46113</v>
      </c>
      <c r="E947" s="6" t="s">
        <v>14</v>
      </c>
      <c r="F947" s="7">
        <v>1021</v>
      </c>
      <c r="G947" s="7">
        <v>145034.04603330069</v>
      </c>
      <c r="H947" s="7">
        <v>148079761</v>
      </c>
      <c r="I947" s="7">
        <v>46396874</v>
      </c>
      <c r="J947" s="7">
        <v>0</v>
      </c>
      <c r="K947">
        <f t="shared" si="14"/>
        <v>30</v>
      </c>
      <c r="L947" s="8" t="str" cm="1">
        <f t="array" ref="L947">_xlfn.IFS(
 AND(K947&gt;=89,K947&lt;=92),"3개월",
 AND(K947&gt;=58,K947&lt;=62),"2개월",
 AND(K947&gt;=28,K947&lt;=32),"1개월",
 AND(K947=0),"당월",
 TRUE,"그외"
)</f>
        <v>1개월</v>
      </c>
    </row>
    <row r="948" spans="1:12" ht="17.649999999999999" customHeight="1" x14ac:dyDescent="0.3">
      <c r="A948" s="5">
        <v>46143</v>
      </c>
      <c r="B948" s="6" t="s">
        <v>50</v>
      </c>
      <c r="C948" s="6" t="s">
        <v>58</v>
      </c>
      <c r="D948" s="5">
        <v>46113</v>
      </c>
      <c r="E948" s="6" t="s">
        <v>15</v>
      </c>
      <c r="F948" s="7">
        <v>2839</v>
      </c>
      <c r="G948" s="7">
        <v>146457.9436421275</v>
      </c>
      <c r="H948" s="7">
        <v>415794102</v>
      </c>
      <c r="I948" s="7">
        <v>156828942</v>
      </c>
      <c r="J948" s="7">
        <v>0</v>
      </c>
      <c r="K948">
        <f t="shared" si="14"/>
        <v>30</v>
      </c>
      <c r="L948" s="8" t="str" cm="1">
        <f t="array" ref="L948">_xlfn.IFS(
 AND(K948&gt;=89,K948&lt;=92),"3개월",
 AND(K948&gt;=58,K948&lt;=62),"2개월",
 AND(K948&gt;=28,K948&lt;=32),"1개월",
 AND(K948=0),"당월",
 TRUE,"그외"
)</f>
        <v>1개월</v>
      </c>
    </row>
    <row r="949" spans="1:12" ht="17.649999999999999" customHeight="1" x14ac:dyDescent="0.3">
      <c r="A949" s="5">
        <v>46143</v>
      </c>
      <c r="B949" s="6" t="s">
        <v>50</v>
      </c>
      <c r="C949" s="6" t="s">
        <v>58</v>
      </c>
      <c r="D949" s="5">
        <v>46143</v>
      </c>
      <c r="E949" s="6" t="s">
        <v>14</v>
      </c>
      <c r="F949" s="7">
        <v>259</v>
      </c>
      <c r="G949" s="7">
        <v>154158</v>
      </c>
      <c r="H949" s="7">
        <v>39926922</v>
      </c>
      <c r="I949" s="7">
        <v>17518942</v>
      </c>
      <c r="J949" s="7">
        <v>0</v>
      </c>
      <c r="K949">
        <f t="shared" si="14"/>
        <v>0</v>
      </c>
      <c r="L949" s="8" t="str" cm="1">
        <f t="array" ref="L949">_xlfn.IFS(
 AND(K949&gt;=89,K949&lt;=92),"3개월",
 AND(K949&gt;=58,K949&lt;=62),"2개월",
 AND(K949&gt;=28,K949&lt;=32),"1개월",
 AND(K949=0),"당월",
 TRUE,"그외"
)</f>
        <v>당월</v>
      </c>
    </row>
    <row r="950" spans="1:12" ht="17.649999999999999" customHeight="1" x14ac:dyDescent="0.3">
      <c r="A950" s="5">
        <v>46143</v>
      </c>
      <c r="B950" s="6" t="s">
        <v>50</v>
      </c>
      <c r="C950" s="6" t="s">
        <v>58</v>
      </c>
      <c r="D950" s="5">
        <v>46143</v>
      </c>
      <c r="E950" s="6" t="s">
        <v>15</v>
      </c>
      <c r="F950" s="7">
        <v>369</v>
      </c>
      <c r="G950" s="7">
        <v>142652.2818428184</v>
      </c>
      <c r="H950" s="7">
        <v>52638692</v>
      </c>
      <c r="I950" s="7">
        <v>27102417</v>
      </c>
      <c r="J950" s="7">
        <v>0</v>
      </c>
      <c r="K950">
        <f t="shared" si="14"/>
        <v>0</v>
      </c>
      <c r="L950" s="8" t="str" cm="1">
        <f t="array" ref="L950">_xlfn.IFS(
 AND(K950&gt;=89,K950&lt;=92),"3개월",
 AND(K950&gt;=58,K950&lt;=62),"2개월",
 AND(K950&gt;=28,K950&lt;=32),"1개월",
 AND(K950=0),"당월",
 TRUE,"그외"
)</f>
        <v>당월</v>
      </c>
    </row>
    <row r="951" spans="1:12" ht="17.649999999999999" customHeight="1" x14ac:dyDescent="0.3">
      <c r="A951" s="5">
        <v>46143</v>
      </c>
      <c r="B951" s="6" t="s">
        <v>50</v>
      </c>
      <c r="C951" s="6" t="s">
        <v>59</v>
      </c>
      <c r="D951" s="5">
        <v>45962</v>
      </c>
      <c r="E951" s="6" t="s">
        <v>15</v>
      </c>
      <c r="F951" s="7">
        <v>47</v>
      </c>
      <c r="G951" s="7">
        <v>152508.40425531921</v>
      </c>
      <c r="H951" s="7">
        <v>7167895</v>
      </c>
      <c r="I951" s="7">
        <v>1177550</v>
      </c>
      <c r="J951" s="7">
        <v>0</v>
      </c>
      <c r="K951">
        <f t="shared" si="14"/>
        <v>181</v>
      </c>
      <c r="L951" s="8" t="str" cm="1">
        <f t="array" ref="L951">_xlfn.IFS(
 AND(K951&gt;=89,K951&lt;=92),"3개월",
 AND(K951&gt;=58,K951&lt;=62),"2개월",
 AND(K951&gt;=28,K951&lt;=32),"1개월",
 AND(K951=0),"당월",
 TRUE,"그외"
)</f>
        <v>그외</v>
      </c>
    </row>
    <row r="952" spans="1:12" ht="17.649999999999999" customHeight="1" x14ac:dyDescent="0.3">
      <c r="A952" s="5">
        <v>46143</v>
      </c>
      <c r="B952" s="6" t="s">
        <v>50</v>
      </c>
      <c r="C952" s="6" t="s">
        <v>59</v>
      </c>
      <c r="D952" s="5">
        <v>45992</v>
      </c>
      <c r="E952" s="6" t="s">
        <v>15</v>
      </c>
      <c r="F952" s="7">
        <v>324</v>
      </c>
      <c r="G952" s="7">
        <v>164550.9598765432</v>
      </c>
      <c r="H952" s="7">
        <v>53314511</v>
      </c>
      <c r="I952" s="7">
        <v>10998515</v>
      </c>
      <c r="J952" s="7">
        <v>0</v>
      </c>
      <c r="K952">
        <f t="shared" si="14"/>
        <v>151</v>
      </c>
      <c r="L952" s="8" t="str" cm="1">
        <f t="array" ref="L952">_xlfn.IFS(
 AND(K952&gt;=89,K952&lt;=92),"3개월",
 AND(K952&gt;=58,K952&lt;=62),"2개월",
 AND(K952&gt;=28,K952&lt;=32),"1개월",
 AND(K952=0),"당월",
 TRUE,"그외"
)</f>
        <v>그외</v>
      </c>
    </row>
    <row r="953" spans="1:12" ht="17.649999999999999" customHeight="1" x14ac:dyDescent="0.3">
      <c r="A953" s="5">
        <v>46143</v>
      </c>
      <c r="B953" s="6" t="s">
        <v>50</v>
      </c>
      <c r="C953" s="6" t="s">
        <v>59</v>
      </c>
      <c r="D953" s="5">
        <v>46023</v>
      </c>
      <c r="E953" s="6" t="s">
        <v>15</v>
      </c>
      <c r="F953" s="7">
        <v>424</v>
      </c>
      <c r="G953" s="7">
        <v>199030.66509433961</v>
      </c>
      <c r="H953" s="7">
        <v>84389002</v>
      </c>
      <c r="I953" s="7">
        <v>13744740</v>
      </c>
      <c r="J953" s="7">
        <v>0</v>
      </c>
      <c r="K953">
        <f t="shared" si="14"/>
        <v>120</v>
      </c>
      <c r="L953" s="8" t="str" cm="1">
        <f t="array" ref="L953">_xlfn.IFS(
 AND(K953&gt;=89,K953&lt;=92),"3개월",
 AND(K953&gt;=58,K953&lt;=62),"2개월",
 AND(K953&gt;=28,K953&lt;=32),"1개월",
 AND(K953=0),"당월",
 TRUE,"그외"
)</f>
        <v>그외</v>
      </c>
    </row>
    <row r="954" spans="1:12" ht="17.649999999999999" customHeight="1" x14ac:dyDescent="0.3">
      <c r="A954" s="5">
        <v>46143</v>
      </c>
      <c r="B954" s="6" t="s">
        <v>50</v>
      </c>
      <c r="C954" s="6" t="s">
        <v>59</v>
      </c>
      <c r="D954" s="5">
        <v>46054</v>
      </c>
      <c r="E954" s="6" t="s">
        <v>14</v>
      </c>
      <c r="F954" s="7">
        <v>10</v>
      </c>
      <c r="G954" s="7">
        <v>154876.79999999999</v>
      </c>
      <c r="H954" s="7">
        <v>1548768</v>
      </c>
      <c r="I954" s="7">
        <v>409968</v>
      </c>
      <c r="J954" s="7">
        <v>0</v>
      </c>
      <c r="K954">
        <f t="shared" si="14"/>
        <v>89</v>
      </c>
      <c r="L954" s="8" t="str" cm="1">
        <f t="array" ref="L954">_xlfn.IFS(
 AND(K954&gt;=89,K954&lt;=92),"3개월",
 AND(K954&gt;=58,K954&lt;=62),"2개월",
 AND(K954&gt;=28,K954&lt;=32),"1개월",
 AND(K954=0),"당월",
 TRUE,"그외"
)</f>
        <v>3개월</v>
      </c>
    </row>
    <row r="955" spans="1:12" ht="17.649999999999999" customHeight="1" x14ac:dyDescent="0.3">
      <c r="A955" s="5">
        <v>46143</v>
      </c>
      <c r="B955" s="6" t="s">
        <v>50</v>
      </c>
      <c r="C955" s="6" t="s">
        <v>59</v>
      </c>
      <c r="D955" s="5">
        <v>46054</v>
      </c>
      <c r="E955" s="6" t="s">
        <v>15</v>
      </c>
      <c r="F955" s="7">
        <v>237</v>
      </c>
      <c r="G955" s="7">
        <v>245374.16877637131</v>
      </c>
      <c r="H955" s="7">
        <v>58153678</v>
      </c>
      <c r="I955" s="7">
        <v>7036197</v>
      </c>
      <c r="J955" s="7">
        <v>0</v>
      </c>
      <c r="K955">
        <f t="shared" si="14"/>
        <v>89</v>
      </c>
      <c r="L955" s="8" t="str" cm="1">
        <f t="array" ref="L955">_xlfn.IFS(
 AND(K955&gt;=89,K955&lt;=92),"3개월",
 AND(K955&gt;=58,K955&lt;=62),"2개월",
 AND(K955&gt;=28,K955&lt;=32),"1개월",
 AND(K955=0),"당월",
 TRUE,"그외"
)</f>
        <v>3개월</v>
      </c>
    </row>
    <row r="956" spans="1:12" ht="17.649999999999999" customHeight="1" x14ac:dyDescent="0.3">
      <c r="A956" s="5">
        <v>46143</v>
      </c>
      <c r="B956" s="6" t="s">
        <v>50</v>
      </c>
      <c r="C956" s="6" t="s">
        <v>59</v>
      </c>
      <c r="D956" s="5">
        <v>46082</v>
      </c>
      <c r="E956" s="6" t="s">
        <v>14</v>
      </c>
      <c r="F956" s="7">
        <v>1508</v>
      </c>
      <c r="G956" s="7">
        <v>155212.1697612732</v>
      </c>
      <c r="H956" s="7">
        <v>234059952</v>
      </c>
      <c r="I956" s="7">
        <v>62403157</v>
      </c>
      <c r="J956" s="7">
        <v>0</v>
      </c>
      <c r="K956">
        <f t="shared" si="14"/>
        <v>61</v>
      </c>
      <c r="L956" s="8" t="str" cm="1">
        <f t="array" ref="L956">_xlfn.IFS(
 AND(K956&gt;=89,K956&lt;=92),"3개월",
 AND(K956&gt;=58,K956&lt;=62),"2개월",
 AND(K956&gt;=28,K956&lt;=32),"1개월",
 AND(K956=0),"당월",
 TRUE,"그외"
)</f>
        <v>2개월</v>
      </c>
    </row>
    <row r="957" spans="1:12" ht="17.649999999999999" customHeight="1" x14ac:dyDescent="0.3">
      <c r="A957" s="5">
        <v>46143</v>
      </c>
      <c r="B957" s="6" t="s">
        <v>50</v>
      </c>
      <c r="C957" s="6" t="s">
        <v>59</v>
      </c>
      <c r="D957" s="5">
        <v>46082</v>
      </c>
      <c r="E957" s="6" t="s">
        <v>15</v>
      </c>
      <c r="F957" s="7">
        <v>903</v>
      </c>
      <c r="G957" s="7">
        <v>189495.66777408641</v>
      </c>
      <c r="H957" s="7">
        <v>171114588</v>
      </c>
      <c r="I957" s="7">
        <v>28303008</v>
      </c>
      <c r="J957" s="7">
        <v>0</v>
      </c>
      <c r="K957">
        <f t="shared" si="14"/>
        <v>61</v>
      </c>
      <c r="L957" s="8" t="str" cm="1">
        <f t="array" ref="L957">_xlfn.IFS(
 AND(K957&gt;=89,K957&lt;=92),"3개월",
 AND(K957&gt;=58,K957&lt;=62),"2개월",
 AND(K957&gt;=28,K957&lt;=32),"1개월",
 AND(K957=0),"당월",
 TRUE,"그외"
)</f>
        <v>2개월</v>
      </c>
    </row>
    <row r="958" spans="1:12" ht="17.649999999999999" customHeight="1" x14ac:dyDescent="0.3">
      <c r="A958" s="5">
        <v>46143</v>
      </c>
      <c r="B958" s="6" t="s">
        <v>50</v>
      </c>
      <c r="C958" s="6" t="s">
        <v>59</v>
      </c>
      <c r="D958" s="5">
        <v>46113</v>
      </c>
      <c r="E958" s="6" t="s">
        <v>14</v>
      </c>
      <c r="F958" s="7">
        <v>1452</v>
      </c>
      <c r="G958" s="7">
        <v>161632.55578512399</v>
      </c>
      <c r="H958" s="7">
        <v>234690471</v>
      </c>
      <c r="I958" s="7">
        <v>65441538</v>
      </c>
      <c r="J958" s="7">
        <v>0</v>
      </c>
      <c r="K958">
        <f t="shared" si="14"/>
        <v>30</v>
      </c>
      <c r="L958" s="8" t="str" cm="1">
        <f t="array" ref="L958">_xlfn.IFS(
 AND(K958&gt;=89,K958&lt;=92),"3개월",
 AND(K958&gt;=58,K958&lt;=62),"2개월",
 AND(K958&gt;=28,K958&lt;=32),"1개월",
 AND(K958=0),"당월",
 TRUE,"그외"
)</f>
        <v>1개월</v>
      </c>
    </row>
    <row r="959" spans="1:12" ht="17.649999999999999" customHeight="1" x14ac:dyDescent="0.3">
      <c r="A959" s="5">
        <v>46143</v>
      </c>
      <c r="B959" s="6" t="s">
        <v>50</v>
      </c>
      <c r="C959" s="6" t="s">
        <v>59</v>
      </c>
      <c r="D959" s="5">
        <v>46113</v>
      </c>
      <c r="E959" s="6" t="s">
        <v>15</v>
      </c>
      <c r="F959" s="7">
        <v>636</v>
      </c>
      <c r="G959" s="7">
        <v>188772.30503144651</v>
      </c>
      <c r="H959" s="7">
        <v>120059186</v>
      </c>
      <c r="I959" s="7">
        <v>32922578</v>
      </c>
      <c r="J959" s="7">
        <v>0</v>
      </c>
      <c r="K959">
        <f t="shared" si="14"/>
        <v>30</v>
      </c>
      <c r="L959" s="8" t="str" cm="1">
        <f t="array" ref="L959">_xlfn.IFS(
 AND(K959&gt;=89,K959&lt;=92),"3개월",
 AND(K959&gt;=58,K959&lt;=62),"2개월",
 AND(K959&gt;=28,K959&lt;=32),"1개월",
 AND(K959=0),"당월",
 TRUE,"그외"
)</f>
        <v>1개월</v>
      </c>
    </row>
    <row r="960" spans="1:12" ht="17.649999999999999" customHeight="1" x14ac:dyDescent="0.3">
      <c r="A960" s="5">
        <v>46143</v>
      </c>
      <c r="B960" s="6" t="s">
        <v>50</v>
      </c>
      <c r="C960" s="6" t="s">
        <v>59</v>
      </c>
      <c r="D960" s="5">
        <v>46143</v>
      </c>
      <c r="E960" s="6" t="s">
        <v>14</v>
      </c>
      <c r="F960" s="7">
        <v>46</v>
      </c>
      <c r="G960" s="7">
        <v>171229.30434782611</v>
      </c>
      <c r="H960" s="7">
        <v>7876548</v>
      </c>
      <c r="I960" s="7">
        <v>2957236</v>
      </c>
      <c r="J960" s="7">
        <v>0</v>
      </c>
      <c r="K960">
        <f t="shared" si="14"/>
        <v>0</v>
      </c>
      <c r="L960" s="8" t="str" cm="1">
        <f t="array" ref="L960">_xlfn.IFS(
 AND(K960&gt;=89,K960&lt;=92),"3개월",
 AND(K960&gt;=58,K960&lt;=62),"2개월",
 AND(K960&gt;=28,K960&lt;=32),"1개월",
 AND(K960=0),"당월",
 TRUE,"그외"
)</f>
        <v>당월</v>
      </c>
    </row>
    <row r="961" spans="1:12" ht="17.649999999999999" customHeight="1" x14ac:dyDescent="0.3">
      <c r="A961" s="5">
        <v>46143</v>
      </c>
      <c r="B961" s="6" t="s">
        <v>50</v>
      </c>
      <c r="C961" s="6" t="s">
        <v>59</v>
      </c>
      <c r="D961" s="5">
        <v>46143</v>
      </c>
      <c r="E961" s="6" t="s">
        <v>15</v>
      </c>
      <c r="F961" s="7">
        <v>83</v>
      </c>
      <c r="G961" s="7">
        <v>173246.6265060241</v>
      </c>
      <c r="H961" s="7">
        <v>14379470</v>
      </c>
      <c r="I961" s="7">
        <v>5466602</v>
      </c>
      <c r="J961" s="7">
        <v>0</v>
      </c>
      <c r="K961">
        <f t="shared" si="14"/>
        <v>0</v>
      </c>
      <c r="L961" s="8" t="str" cm="1">
        <f t="array" ref="L961">_xlfn.IFS(
 AND(K961&gt;=89,K961&lt;=92),"3개월",
 AND(K961&gt;=58,K961&lt;=62),"2개월",
 AND(K961&gt;=28,K961&lt;=32),"1개월",
 AND(K961=0),"당월",
 TRUE,"그외"
)</f>
        <v>당월</v>
      </c>
    </row>
    <row r="962" spans="1:12" ht="17.649999999999999" customHeight="1" x14ac:dyDescent="0.3">
      <c r="A962" s="5">
        <v>46143</v>
      </c>
      <c r="B962" s="6" t="s">
        <v>60</v>
      </c>
      <c r="C962" s="6" t="s">
        <v>61</v>
      </c>
      <c r="D962" s="5">
        <v>45931</v>
      </c>
      <c r="E962" s="6" t="s">
        <v>15</v>
      </c>
      <c r="F962" s="7">
        <v>29</v>
      </c>
      <c r="G962" s="7">
        <v>188900.86206896551</v>
      </c>
      <c r="H962" s="7">
        <v>5478125</v>
      </c>
      <c r="I962" s="7">
        <v>1719532</v>
      </c>
      <c r="J962" s="7">
        <v>0</v>
      </c>
      <c r="K962">
        <f t="shared" si="14"/>
        <v>212</v>
      </c>
      <c r="L962" s="8" t="str" cm="1">
        <f t="array" ref="L962">_xlfn.IFS(
 AND(K962&gt;=89,K962&lt;=92),"3개월",
 AND(K962&gt;=58,K962&lt;=62),"2개월",
 AND(K962&gt;=28,K962&lt;=32),"1개월",
 AND(K962=0),"당월",
 TRUE,"그외"
)</f>
        <v>그외</v>
      </c>
    </row>
    <row r="963" spans="1:12" ht="17.649999999999999" customHeight="1" x14ac:dyDescent="0.3">
      <c r="A963" s="5">
        <v>46143</v>
      </c>
      <c r="B963" s="6" t="s">
        <v>60</v>
      </c>
      <c r="C963" s="6" t="s">
        <v>61</v>
      </c>
      <c r="D963" s="5">
        <v>45962</v>
      </c>
      <c r="E963" s="6" t="s">
        <v>15</v>
      </c>
      <c r="F963" s="7">
        <v>113</v>
      </c>
      <c r="G963" s="7">
        <v>176772.3185840708</v>
      </c>
      <c r="H963" s="7">
        <v>19975272</v>
      </c>
      <c r="I963" s="7">
        <v>5351544</v>
      </c>
      <c r="J963" s="7">
        <v>0</v>
      </c>
      <c r="K963">
        <f t="shared" si="14"/>
        <v>181</v>
      </c>
      <c r="L963" s="8" t="str" cm="1">
        <f t="array" ref="L963">_xlfn.IFS(
 AND(K963&gt;=89,K963&lt;=92),"3개월",
 AND(K963&gt;=58,K963&lt;=62),"2개월",
 AND(K963&gt;=28,K963&lt;=32),"1개월",
 AND(K963=0),"당월",
 TRUE,"그외"
)</f>
        <v>그외</v>
      </c>
    </row>
    <row r="964" spans="1:12" ht="17.649999999999999" customHeight="1" x14ac:dyDescent="0.3">
      <c r="A964" s="5">
        <v>46143</v>
      </c>
      <c r="B964" s="6" t="s">
        <v>60</v>
      </c>
      <c r="C964" s="6" t="s">
        <v>61</v>
      </c>
      <c r="D964" s="5">
        <v>45992</v>
      </c>
      <c r="E964" s="6" t="s">
        <v>15</v>
      </c>
      <c r="F964" s="7">
        <v>70</v>
      </c>
      <c r="G964" s="7">
        <v>207227.8142857143</v>
      </c>
      <c r="H964" s="7">
        <v>14505947</v>
      </c>
      <c r="I964" s="7">
        <v>4025986</v>
      </c>
      <c r="J964" s="7">
        <v>0</v>
      </c>
      <c r="K964">
        <f t="shared" si="14"/>
        <v>151</v>
      </c>
      <c r="L964" s="8" t="str" cm="1">
        <f t="array" ref="L964">_xlfn.IFS(
 AND(K964&gt;=89,K964&lt;=92),"3개월",
 AND(K964&gt;=58,K964&lt;=62),"2개월",
 AND(K964&gt;=28,K964&lt;=32),"1개월",
 AND(K964=0),"당월",
 TRUE,"그외"
)</f>
        <v>그외</v>
      </c>
    </row>
    <row r="965" spans="1:12" ht="17.649999999999999" customHeight="1" x14ac:dyDescent="0.3">
      <c r="A965" s="5">
        <v>46143</v>
      </c>
      <c r="B965" s="6" t="s">
        <v>60</v>
      </c>
      <c r="C965" s="6" t="s">
        <v>61</v>
      </c>
      <c r="D965" s="5">
        <v>46023</v>
      </c>
      <c r="E965" s="6" t="s">
        <v>15</v>
      </c>
      <c r="F965" s="7">
        <v>142</v>
      </c>
      <c r="G965" s="7">
        <v>213076.40140845071</v>
      </c>
      <c r="H965" s="7">
        <v>30256849</v>
      </c>
      <c r="I965" s="7">
        <v>7837438</v>
      </c>
      <c r="J965" s="7">
        <v>0</v>
      </c>
      <c r="K965">
        <f t="shared" si="14"/>
        <v>120</v>
      </c>
      <c r="L965" s="8" t="str" cm="1">
        <f t="array" ref="L965">_xlfn.IFS(
 AND(K965&gt;=89,K965&lt;=92),"3개월",
 AND(K965&gt;=58,K965&lt;=62),"2개월",
 AND(K965&gt;=28,K965&lt;=32),"1개월",
 AND(K965=0),"당월",
 TRUE,"그외"
)</f>
        <v>그외</v>
      </c>
    </row>
    <row r="966" spans="1:12" ht="17.649999999999999" customHeight="1" x14ac:dyDescent="0.3">
      <c r="A966" s="5">
        <v>46143</v>
      </c>
      <c r="B966" s="6" t="s">
        <v>60</v>
      </c>
      <c r="C966" s="6" t="s">
        <v>61</v>
      </c>
      <c r="D966" s="5">
        <v>46054</v>
      </c>
      <c r="E966" s="6" t="s">
        <v>14</v>
      </c>
      <c r="F966" s="7">
        <v>166</v>
      </c>
      <c r="G966" s="7">
        <v>212132.53012048191</v>
      </c>
      <c r="H966" s="7">
        <v>35214000</v>
      </c>
      <c r="I966" s="7">
        <v>3652000</v>
      </c>
      <c r="J966" s="7">
        <v>0</v>
      </c>
      <c r="K966">
        <f t="shared" si="14"/>
        <v>89</v>
      </c>
      <c r="L966" s="8" t="str" cm="1">
        <f t="array" ref="L966">_xlfn.IFS(
 AND(K966&gt;=89,K966&lt;=92),"3개월",
 AND(K966&gt;=58,K966&lt;=62),"2개월",
 AND(K966&gt;=28,K966&lt;=32),"1개월",
 AND(K966=0),"당월",
 TRUE,"그외"
)</f>
        <v>3개월</v>
      </c>
    </row>
    <row r="967" spans="1:12" ht="17.649999999999999" customHeight="1" x14ac:dyDescent="0.3">
      <c r="A967" s="5">
        <v>46143</v>
      </c>
      <c r="B967" s="6" t="s">
        <v>60</v>
      </c>
      <c r="C967" s="6" t="s">
        <v>61</v>
      </c>
      <c r="D967" s="5">
        <v>46054</v>
      </c>
      <c r="E967" s="6" t="s">
        <v>15</v>
      </c>
      <c r="F967" s="7">
        <v>243</v>
      </c>
      <c r="G967" s="7">
        <v>205053.67078189299</v>
      </c>
      <c r="H967" s="7">
        <v>49828042</v>
      </c>
      <c r="I967" s="7">
        <v>12295418</v>
      </c>
      <c r="J967" s="7">
        <v>0</v>
      </c>
      <c r="K967">
        <f t="shared" si="14"/>
        <v>89</v>
      </c>
      <c r="L967" s="8" t="str" cm="1">
        <f t="array" ref="L967">_xlfn.IFS(
 AND(K967&gt;=89,K967&lt;=92),"3개월",
 AND(K967&gt;=58,K967&lt;=62),"2개월",
 AND(K967&gt;=28,K967&lt;=32),"1개월",
 AND(K967=0),"당월",
 TRUE,"그외"
)</f>
        <v>3개월</v>
      </c>
    </row>
    <row r="968" spans="1:12" ht="17.649999999999999" customHeight="1" x14ac:dyDescent="0.3">
      <c r="A968" s="5">
        <v>46143</v>
      </c>
      <c r="B968" s="6" t="s">
        <v>60</v>
      </c>
      <c r="C968" s="6" t="s">
        <v>61</v>
      </c>
      <c r="D968" s="5">
        <v>46082</v>
      </c>
      <c r="E968" s="6" t="s">
        <v>14</v>
      </c>
      <c r="F968" s="7">
        <v>422</v>
      </c>
      <c r="G968" s="7">
        <v>201764.16113744079</v>
      </c>
      <c r="H968" s="7">
        <v>85144476</v>
      </c>
      <c r="I968" s="7">
        <v>19345720</v>
      </c>
      <c r="J968" s="7">
        <v>0</v>
      </c>
      <c r="K968">
        <f t="shared" si="14"/>
        <v>61</v>
      </c>
      <c r="L968" s="8" t="str" cm="1">
        <f t="array" ref="L968">_xlfn.IFS(
 AND(K968&gt;=89,K968&lt;=92),"3개월",
 AND(K968&gt;=58,K968&lt;=62),"2개월",
 AND(K968&gt;=28,K968&lt;=32),"1개월",
 AND(K968=0),"당월",
 TRUE,"그외"
)</f>
        <v>2개월</v>
      </c>
    </row>
    <row r="969" spans="1:12" ht="17.649999999999999" customHeight="1" x14ac:dyDescent="0.3">
      <c r="A969" s="5">
        <v>46143</v>
      </c>
      <c r="B969" s="6" t="s">
        <v>60</v>
      </c>
      <c r="C969" s="6" t="s">
        <v>61</v>
      </c>
      <c r="D969" s="5">
        <v>46082</v>
      </c>
      <c r="E969" s="6" t="s">
        <v>15</v>
      </c>
      <c r="F969" s="7">
        <v>818</v>
      </c>
      <c r="G969" s="7">
        <v>230465.9535452323</v>
      </c>
      <c r="H969" s="7">
        <v>188521150</v>
      </c>
      <c r="I969" s="7">
        <v>41357757</v>
      </c>
      <c r="J969" s="7">
        <v>0</v>
      </c>
      <c r="K969">
        <f t="shared" si="14"/>
        <v>61</v>
      </c>
      <c r="L969" s="8" t="str" cm="1">
        <f t="array" ref="L969">_xlfn.IFS(
 AND(K969&gt;=89,K969&lt;=92),"3개월",
 AND(K969&gt;=58,K969&lt;=62),"2개월",
 AND(K969&gt;=28,K969&lt;=32),"1개월",
 AND(K969=0),"당월",
 TRUE,"그외"
)</f>
        <v>2개월</v>
      </c>
    </row>
    <row r="970" spans="1:12" ht="17.649999999999999" customHeight="1" x14ac:dyDescent="0.3">
      <c r="A970" s="5">
        <v>46143</v>
      </c>
      <c r="B970" s="6" t="s">
        <v>60</v>
      </c>
      <c r="C970" s="6" t="s">
        <v>61</v>
      </c>
      <c r="D970" s="5">
        <v>46113</v>
      </c>
      <c r="E970" s="6" t="s">
        <v>14</v>
      </c>
      <c r="F970" s="7">
        <v>1000</v>
      </c>
      <c r="G970" s="7">
        <v>195565.58499999999</v>
      </c>
      <c r="H970" s="7">
        <v>195565585</v>
      </c>
      <c r="I970" s="7">
        <v>26436436</v>
      </c>
      <c r="J970" s="7">
        <v>0</v>
      </c>
      <c r="K970">
        <f t="shared" ref="K970:K1033" si="15">A970-D970</f>
        <v>30</v>
      </c>
      <c r="L970" s="8" t="str" cm="1">
        <f t="array" ref="L970">_xlfn.IFS(
 AND(K970&gt;=89,K970&lt;=92),"3개월",
 AND(K970&gt;=58,K970&lt;=62),"2개월",
 AND(K970&gt;=28,K970&lt;=32),"1개월",
 AND(K970=0),"당월",
 TRUE,"그외"
)</f>
        <v>1개월</v>
      </c>
    </row>
    <row r="971" spans="1:12" ht="17.649999999999999" customHeight="1" x14ac:dyDescent="0.3">
      <c r="A971" s="5">
        <v>46143</v>
      </c>
      <c r="B971" s="6" t="s">
        <v>60</v>
      </c>
      <c r="C971" s="6" t="s">
        <v>61</v>
      </c>
      <c r="D971" s="5">
        <v>46113</v>
      </c>
      <c r="E971" s="6" t="s">
        <v>15</v>
      </c>
      <c r="F971" s="7">
        <v>1162</v>
      </c>
      <c r="G971" s="7">
        <v>246366.26161790019</v>
      </c>
      <c r="H971" s="7">
        <v>286277596</v>
      </c>
      <c r="I971" s="7">
        <v>92979153</v>
      </c>
      <c r="J971" s="7">
        <v>0</v>
      </c>
      <c r="K971">
        <f t="shared" si="15"/>
        <v>30</v>
      </c>
      <c r="L971" s="8" t="str" cm="1">
        <f t="array" ref="L971">_xlfn.IFS(
 AND(K971&gt;=89,K971&lt;=92),"3개월",
 AND(K971&gt;=58,K971&lt;=62),"2개월",
 AND(K971&gt;=28,K971&lt;=32),"1개월",
 AND(K971=0),"당월",
 TRUE,"그외"
)</f>
        <v>1개월</v>
      </c>
    </row>
    <row r="972" spans="1:12" ht="17.649999999999999" customHeight="1" x14ac:dyDescent="0.3">
      <c r="A972" s="5">
        <v>46143</v>
      </c>
      <c r="B972" s="6" t="s">
        <v>60</v>
      </c>
      <c r="C972" s="6" t="s">
        <v>61</v>
      </c>
      <c r="D972" s="5">
        <v>46143</v>
      </c>
      <c r="E972" s="6" t="s">
        <v>14</v>
      </c>
      <c r="F972" s="7">
        <v>576</v>
      </c>
      <c r="G972" s="7">
        <v>53318.668402777781</v>
      </c>
      <c r="H972" s="7">
        <v>30711553</v>
      </c>
      <c r="I972" s="7">
        <v>0</v>
      </c>
      <c r="J972" s="7">
        <v>0</v>
      </c>
      <c r="K972">
        <f t="shared" si="15"/>
        <v>0</v>
      </c>
      <c r="L972" s="8" t="str" cm="1">
        <f t="array" ref="L972">_xlfn.IFS(
 AND(K972&gt;=89,K972&lt;=92),"3개월",
 AND(K972&gt;=58,K972&lt;=62),"2개월",
 AND(K972&gt;=28,K972&lt;=32),"1개월",
 AND(K972=0),"당월",
 TRUE,"그외"
)</f>
        <v>당월</v>
      </c>
    </row>
    <row r="973" spans="1:12" ht="17.649999999999999" customHeight="1" x14ac:dyDescent="0.3">
      <c r="A973" s="5">
        <v>46143</v>
      </c>
      <c r="B973" s="6" t="s">
        <v>60</v>
      </c>
      <c r="C973" s="6" t="s">
        <v>61</v>
      </c>
      <c r="D973" s="5">
        <v>46143</v>
      </c>
      <c r="E973" s="6" t="s">
        <v>15</v>
      </c>
      <c r="F973" s="7">
        <v>219</v>
      </c>
      <c r="G973" s="7">
        <v>307458.31506849307</v>
      </c>
      <c r="H973" s="7">
        <v>67333371</v>
      </c>
      <c r="I973" s="7">
        <v>29423089</v>
      </c>
      <c r="J973" s="7">
        <v>0</v>
      </c>
      <c r="K973">
        <f t="shared" si="15"/>
        <v>0</v>
      </c>
      <c r="L973" s="8" t="str" cm="1">
        <f t="array" ref="L973">_xlfn.IFS(
 AND(K973&gt;=89,K973&lt;=92),"3개월",
 AND(K973&gt;=58,K973&lt;=62),"2개월",
 AND(K973&gt;=28,K973&lt;=32),"1개월",
 AND(K973=0),"당월",
 TRUE,"그외"
)</f>
        <v>당월</v>
      </c>
    </row>
    <row r="974" spans="1:12" ht="17.649999999999999" customHeight="1" x14ac:dyDescent="0.3">
      <c r="A974" s="5">
        <v>46143</v>
      </c>
      <c r="B974" s="6" t="s">
        <v>60</v>
      </c>
      <c r="C974" s="6" t="s">
        <v>62</v>
      </c>
      <c r="D974" s="5">
        <v>45992</v>
      </c>
      <c r="E974" s="6" t="s">
        <v>15</v>
      </c>
      <c r="F974" s="7">
        <v>219</v>
      </c>
      <c r="G974" s="7">
        <v>335769.84018264839</v>
      </c>
      <c r="H974" s="7">
        <v>73533595</v>
      </c>
      <c r="I974" s="7">
        <v>9972131</v>
      </c>
      <c r="J974" s="7">
        <v>0</v>
      </c>
      <c r="K974">
        <f t="shared" si="15"/>
        <v>151</v>
      </c>
      <c r="L974" s="8" t="str" cm="1">
        <f t="array" ref="L974">_xlfn.IFS(
 AND(K974&gt;=89,K974&lt;=92),"3개월",
 AND(K974&gt;=58,K974&lt;=62),"2개월",
 AND(K974&gt;=28,K974&lt;=32),"1개월",
 AND(K974=0),"당월",
 TRUE,"그외"
)</f>
        <v>그외</v>
      </c>
    </row>
    <row r="975" spans="1:12" ht="17.649999999999999" customHeight="1" x14ac:dyDescent="0.3">
      <c r="A975" s="5">
        <v>46143</v>
      </c>
      <c r="B975" s="6" t="s">
        <v>60</v>
      </c>
      <c r="C975" s="6" t="s">
        <v>62</v>
      </c>
      <c r="D975" s="5">
        <v>46023</v>
      </c>
      <c r="E975" s="6" t="s">
        <v>15</v>
      </c>
      <c r="F975" s="7">
        <v>873</v>
      </c>
      <c r="G975" s="7">
        <v>315557.94043528062</v>
      </c>
      <c r="H975" s="7">
        <v>275482082</v>
      </c>
      <c r="I975" s="7">
        <v>39176605</v>
      </c>
      <c r="J975" s="7">
        <v>0</v>
      </c>
      <c r="K975">
        <f t="shared" si="15"/>
        <v>120</v>
      </c>
      <c r="L975" s="8" t="str" cm="1">
        <f t="array" ref="L975">_xlfn.IFS(
 AND(K975&gt;=89,K975&lt;=92),"3개월",
 AND(K975&gt;=58,K975&lt;=62),"2개월",
 AND(K975&gt;=28,K975&lt;=32),"1개월",
 AND(K975=0),"당월",
 TRUE,"그외"
)</f>
        <v>그외</v>
      </c>
    </row>
    <row r="976" spans="1:12" ht="17.649999999999999" customHeight="1" x14ac:dyDescent="0.3">
      <c r="A976" s="5">
        <v>46143</v>
      </c>
      <c r="B976" s="6" t="s">
        <v>60</v>
      </c>
      <c r="C976" s="6" t="s">
        <v>62</v>
      </c>
      <c r="D976" s="5">
        <v>46054</v>
      </c>
      <c r="E976" s="6" t="s">
        <v>14</v>
      </c>
      <c r="F976" s="7">
        <v>9</v>
      </c>
      <c r="G976" s="7">
        <v>238244</v>
      </c>
      <c r="H976" s="7">
        <v>2144196</v>
      </c>
      <c r="I976" s="7">
        <v>445806</v>
      </c>
      <c r="J976" s="7">
        <v>0</v>
      </c>
      <c r="K976">
        <f t="shared" si="15"/>
        <v>89</v>
      </c>
      <c r="L976" s="8" t="str" cm="1">
        <f t="array" ref="L976">_xlfn.IFS(
 AND(K976&gt;=89,K976&lt;=92),"3개월",
 AND(K976&gt;=58,K976&lt;=62),"2개월",
 AND(K976&gt;=28,K976&lt;=32),"1개월",
 AND(K976=0),"당월",
 TRUE,"그외"
)</f>
        <v>3개월</v>
      </c>
    </row>
    <row r="977" spans="1:12" ht="17.649999999999999" customHeight="1" x14ac:dyDescent="0.3">
      <c r="A977" s="5">
        <v>46143</v>
      </c>
      <c r="B977" s="6" t="s">
        <v>60</v>
      </c>
      <c r="C977" s="6" t="s">
        <v>62</v>
      </c>
      <c r="D977" s="5">
        <v>46054</v>
      </c>
      <c r="E977" s="6" t="s">
        <v>15</v>
      </c>
      <c r="F977" s="7">
        <v>675</v>
      </c>
      <c r="G977" s="7">
        <v>308303.20888888888</v>
      </c>
      <c r="H977" s="7">
        <v>208104666</v>
      </c>
      <c r="I977" s="7">
        <v>29241788</v>
      </c>
      <c r="J977" s="7">
        <v>0</v>
      </c>
      <c r="K977">
        <f t="shared" si="15"/>
        <v>89</v>
      </c>
      <c r="L977" s="8" t="str" cm="1">
        <f t="array" ref="L977">_xlfn.IFS(
 AND(K977&gt;=89,K977&lt;=92),"3개월",
 AND(K977&gt;=58,K977&lt;=62),"2개월",
 AND(K977&gt;=28,K977&lt;=32),"1개월",
 AND(K977=0),"당월",
 TRUE,"그외"
)</f>
        <v>3개월</v>
      </c>
    </row>
    <row r="978" spans="1:12" ht="17.649999999999999" customHeight="1" x14ac:dyDescent="0.3">
      <c r="A978" s="5">
        <v>46143</v>
      </c>
      <c r="B978" s="6" t="s">
        <v>60</v>
      </c>
      <c r="C978" s="6" t="s">
        <v>62</v>
      </c>
      <c r="D978" s="5">
        <v>46082</v>
      </c>
      <c r="E978" s="6" t="s">
        <v>14</v>
      </c>
      <c r="F978" s="7">
        <v>649</v>
      </c>
      <c r="G978" s="7">
        <v>228006.02157164869</v>
      </c>
      <c r="H978" s="7">
        <v>147975908</v>
      </c>
      <c r="I978" s="7">
        <v>28318526</v>
      </c>
      <c r="J978" s="7">
        <v>0</v>
      </c>
      <c r="K978">
        <f t="shared" si="15"/>
        <v>61</v>
      </c>
      <c r="L978" s="8" t="str" cm="1">
        <f t="array" ref="L978">_xlfn.IFS(
 AND(K978&gt;=89,K978&lt;=92),"3개월",
 AND(K978&gt;=58,K978&lt;=62),"2개월",
 AND(K978&gt;=28,K978&lt;=32),"1개월",
 AND(K978=0),"당월",
 TRUE,"그외"
)</f>
        <v>2개월</v>
      </c>
    </row>
    <row r="979" spans="1:12" ht="17.649999999999999" customHeight="1" x14ac:dyDescent="0.3">
      <c r="A979" s="5">
        <v>46143</v>
      </c>
      <c r="B979" s="6" t="s">
        <v>60</v>
      </c>
      <c r="C979" s="6" t="s">
        <v>62</v>
      </c>
      <c r="D979" s="5">
        <v>46082</v>
      </c>
      <c r="E979" s="6" t="s">
        <v>15</v>
      </c>
      <c r="F979" s="7">
        <v>3373</v>
      </c>
      <c r="G979" s="7">
        <v>278433.13815594418</v>
      </c>
      <c r="H979" s="7">
        <v>939154975</v>
      </c>
      <c r="I979" s="7">
        <v>145369327</v>
      </c>
      <c r="J979" s="7">
        <v>0</v>
      </c>
      <c r="K979">
        <f t="shared" si="15"/>
        <v>61</v>
      </c>
      <c r="L979" s="8" t="str" cm="1">
        <f t="array" ref="L979">_xlfn.IFS(
 AND(K979&gt;=89,K979&lt;=92),"3개월",
 AND(K979&gt;=58,K979&lt;=62),"2개월",
 AND(K979&gt;=28,K979&lt;=32),"1개월",
 AND(K979=0),"당월",
 TRUE,"그외"
)</f>
        <v>2개월</v>
      </c>
    </row>
    <row r="980" spans="1:12" ht="17.649999999999999" customHeight="1" x14ac:dyDescent="0.3">
      <c r="A980" s="5">
        <v>46143</v>
      </c>
      <c r="B980" s="6" t="s">
        <v>60</v>
      </c>
      <c r="C980" s="6" t="s">
        <v>62</v>
      </c>
      <c r="D980" s="5">
        <v>46113</v>
      </c>
      <c r="E980" s="6" t="s">
        <v>14</v>
      </c>
      <c r="F980" s="7">
        <v>426</v>
      </c>
      <c r="G980" s="7">
        <v>278475.09624413139</v>
      </c>
      <c r="H980" s="7">
        <v>118630391</v>
      </c>
      <c r="I980" s="7">
        <v>16102379</v>
      </c>
      <c r="J980" s="7">
        <v>0</v>
      </c>
      <c r="K980">
        <f t="shared" si="15"/>
        <v>30</v>
      </c>
      <c r="L980" s="8" t="str" cm="1">
        <f t="array" ref="L980">_xlfn.IFS(
 AND(K980&gt;=89,K980&lt;=92),"3개월",
 AND(K980&gt;=58,K980&lt;=62),"2개월",
 AND(K980&gt;=28,K980&lt;=32),"1개월",
 AND(K980=0),"당월",
 TRUE,"그외"
)</f>
        <v>1개월</v>
      </c>
    </row>
    <row r="981" spans="1:12" ht="17.649999999999999" customHeight="1" x14ac:dyDescent="0.3">
      <c r="A981" s="5">
        <v>46143</v>
      </c>
      <c r="B981" s="6" t="s">
        <v>60</v>
      </c>
      <c r="C981" s="6" t="s">
        <v>62</v>
      </c>
      <c r="D981" s="5">
        <v>46113</v>
      </c>
      <c r="E981" s="6" t="s">
        <v>15</v>
      </c>
      <c r="F981" s="7">
        <v>3754</v>
      </c>
      <c r="G981" s="7">
        <v>296695.00399573788</v>
      </c>
      <c r="H981" s="7">
        <v>1113793045</v>
      </c>
      <c r="I981" s="7">
        <v>388352177</v>
      </c>
      <c r="J981" s="7">
        <v>0</v>
      </c>
      <c r="K981">
        <f t="shared" si="15"/>
        <v>30</v>
      </c>
      <c r="L981" s="8" t="str" cm="1">
        <f t="array" ref="L981">_xlfn.IFS(
 AND(K981&gt;=89,K981&lt;=92),"3개월",
 AND(K981&gt;=58,K981&lt;=62),"2개월",
 AND(K981&gt;=28,K981&lt;=32),"1개월",
 AND(K981=0),"당월",
 TRUE,"그외"
)</f>
        <v>1개월</v>
      </c>
    </row>
    <row r="982" spans="1:12" ht="17.649999999999999" customHeight="1" x14ac:dyDescent="0.3">
      <c r="A982" s="5">
        <v>46143</v>
      </c>
      <c r="B982" s="6" t="s">
        <v>60</v>
      </c>
      <c r="C982" s="6" t="s">
        <v>62</v>
      </c>
      <c r="D982" s="5">
        <v>46143</v>
      </c>
      <c r="E982" s="6" t="s">
        <v>14</v>
      </c>
      <c r="F982" s="7">
        <v>284</v>
      </c>
      <c r="G982" s="7">
        <v>19553.72183098592</v>
      </c>
      <c r="H982" s="7">
        <v>5553257</v>
      </c>
      <c r="I982" s="7">
        <v>2379966</v>
      </c>
      <c r="J982" s="7">
        <v>0</v>
      </c>
      <c r="K982">
        <f t="shared" si="15"/>
        <v>0</v>
      </c>
      <c r="L982" s="8" t="str" cm="1">
        <f t="array" ref="L982">_xlfn.IFS(
 AND(K982&gt;=89,K982&lt;=92),"3개월",
 AND(K982&gt;=58,K982&lt;=62),"2개월",
 AND(K982&gt;=28,K982&lt;=32),"1개월",
 AND(K982=0),"당월",
 TRUE,"그외"
)</f>
        <v>당월</v>
      </c>
    </row>
    <row r="983" spans="1:12" ht="17.649999999999999" customHeight="1" x14ac:dyDescent="0.3">
      <c r="A983" s="5">
        <v>46143</v>
      </c>
      <c r="B983" s="6" t="s">
        <v>60</v>
      </c>
      <c r="C983" s="6" t="s">
        <v>62</v>
      </c>
      <c r="D983" s="5">
        <v>46143</v>
      </c>
      <c r="E983" s="6" t="s">
        <v>15</v>
      </c>
      <c r="F983" s="7">
        <v>698</v>
      </c>
      <c r="G983" s="7">
        <v>285102.74355300859</v>
      </c>
      <c r="H983" s="7">
        <v>199001715</v>
      </c>
      <c r="I983" s="7">
        <v>93240894</v>
      </c>
      <c r="J983" s="7">
        <v>0</v>
      </c>
      <c r="K983">
        <f t="shared" si="15"/>
        <v>0</v>
      </c>
      <c r="L983" s="8" t="str" cm="1">
        <f t="array" ref="L983">_xlfn.IFS(
 AND(K983&gt;=89,K983&lt;=92),"3개월",
 AND(K983&gt;=58,K983&lt;=62),"2개월",
 AND(K983&gt;=28,K983&lt;=32),"1개월",
 AND(K983=0),"당월",
 TRUE,"그외"
)</f>
        <v>당월</v>
      </c>
    </row>
    <row r="984" spans="1:12" ht="17.649999999999999" customHeight="1" x14ac:dyDescent="0.3">
      <c r="A984" s="5">
        <v>46143</v>
      </c>
      <c r="B984" s="6" t="s">
        <v>60</v>
      </c>
      <c r="C984" s="6" t="s">
        <v>63</v>
      </c>
      <c r="D984" s="5">
        <v>45962</v>
      </c>
      <c r="E984" s="6" t="s">
        <v>15</v>
      </c>
      <c r="F984" s="7">
        <v>439</v>
      </c>
      <c r="G984" s="7">
        <v>281998.36446469248</v>
      </c>
      <c r="H984" s="7">
        <v>123797282</v>
      </c>
      <c r="I984" s="7">
        <v>19685559</v>
      </c>
      <c r="J984" s="7">
        <v>0</v>
      </c>
      <c r="K984">
        <f t="shared" si="15"/>
        <v>181</v>
      </c>
      <c r="L984" s="8" t="str" cm="1">
        <f t="array" ref="L984">_xlfn.IFS(
 AND(K984&gt;=89,K984&lt;=92),"3개월",
 AND(K984&gt;=58,K984&lt;=62),"2개월",
 AND(K984&gt;=28,K984&lt;=32),"1개월",
 AND(K984=0),"당월",
 TRUE,"그외"
)</f>
        <v>그외</v>
      </c>
    </row>
    <row r="985" spans="1:12" ht="17.649999999999999" customHeight="1" x14ac:dyDescent="0.3">
      <c r="A985" s="5">
        <v>46143</v>
      </c>
      <c r="B985" s="6" t="s">
        <v>60</v>
      </c>
      <c r="C985" s="6" t="s">
        <v>63</v>
      </c>
      <c r="D985" s="5">
        <v>45992</v>
      </c>
      <c r="E985" s="6" t="s">
        <v>15</v>
      </c>
      <c r="F985" s="7">
        <v>802</v>
      </c>
      <c r="G985" s="7">
        <v>299902.97506234422</v>
      </c>
      <c r="H985" s="7">
        <v>240522186</v>
      </c>
      <c r="I985" s="7">
        <v>40231828</v>
      </c>
      <c r="J985" s="7">
        <v>0</v>
      </c>
      <c r="K985">
        <f t="shared" si="15"/>
        <v>151</v>
      </c>
      <c r="L985" s="8" t="str" cm="1">
        <f t="array" ref="L985">_xlfn.IFS(
 AND(K985&gt;=89,K985&lt;=92),"3개월",
 AND(K985&gt;=58,K985&lt;=62),"2개월",
 AND(K985&gt;=28,K985&lt;=32),"1개월",
 AND(K985=0),"당월",
 TRUE,"그외"
)</f>
        <v>그외</v>
      </c>
    </row>
    <row r="986" spans="1:12" ht="17.649999999999999" customHeight="1" x14ac:dyDescent="0.3">
      <c r="A986" s="5">
        <v>46143</v>
      </c>
      <c r="B986" s="6" t="s">
        <v>60</v>
      </c>
      <c r="C986" s="6" t="s">
        <v>63</v>
      </c>
      <c r="D986" s="5">
        <v>46023</v>
      </c>
      <c r="E986" s="6" t="s">
        <v>15</v>
      </c>
      <c r="F986" s="7">
        <v>1608</v>
      </c>
      <c r="G986" s="7">
        <v>321894.88805970148</v>
      </c>
      <c r="H986" s="7">
        <v>517606980</v>
      </c>
      <c r="I986" s="7">
        <v>80008873</v>
      </c>
      <c r="J986" s="7">
        <v>0</v>
      </c>
      <c r="K986">
        <f t="shared" si="15"/>
        <v>120</v>
      </c>
      <c r="L986" s="8" t="str" cm="1">
        <f t="array" ref="L986">_xlfn.IFS(
 AND(K986&gt;=89,K986&lt;=92),"3개월",
 AND(K986&gt;=58,K986&lt;=62),"2개월",
 AND(K986&gt;=28,K986&lt;=32),"1개월",
 AND(K986=0),"당월",
 TRUE,"그외"
)</f>
        <v>그외</v>
      </c>
    </row>
    <row r="987" spans="1:12" ht="17.649999999999999" customHeight="1" x14ac:dyDescent="0.3">
      <c r="A987" s="5">
        <v>46143</v>
      </c>
      <c r="B987" s="6" t="s">
        <v>60</v>
      </c>
      <c r="C987" s="6" t="s">
        <v>63</v>
      </c>
      <c r="D987" s="5">
        <v>46054</v>
      </c>
      <c r="E987" s="6" t="s">
        <v>14</v>
      </c>
      <c r="F987" s="7">
        <v>9</v>
      </c>
      <c r="G987" s="7">
        <v>312204</v>
      </c>
      <c r="H987" s="7">
        <v>2809836</v>
      </c>
      <c r="I987" s="7">
        <v>520344</v>
      </c>
      <c r="J987" s="7">
        <v>0</v>
      </c>
      <c r="K987">
        <f t="shared" si="15"/>
        <v>89</v>
      </c>
      <c r="L987" s="8" t="str" cm="1">
        <f t="array" ref="L987">_xlfn.IFS(
 AND(K987&gt;=89,K987&lt;=92),"3개월",
 AND(K987&gt;=58,K987&lt;=62),"2개월",
 AND(K987&gt;=28,K987&lt;=32),"1개월",
 AND(K987=0),"당월",
 TRUE,"그외"
)</f>
        <v>3개월</v>
      </c>
    </row>
    <row r="988" spans="1:12" ht="17.649999999999999" customHeight="1" x14ac:dyDescent="0.3">
      <c r="A988" s="5">
        <v>46143</v>
      </c>
      <c r="B988" s="6" t="s">
        <v>60</v>
      </c>
      <c r="C988" s="6" t="s">
        <v>63</v>
      </c>
      <c r="D988" s="5">
        <v>46054</v>
      </c>
      <c r="E988" s="6" t="s">
        <v>15</v>
      </c>
      <c r="F988" s="7">
        <v>1016</v>
      </c>
      <c r="G988" s="7">
        <v>332520.84448818897</v>
      </c>
      <c r="H988" s="7">
        <v>337841178</v>
      </c>
      <c r="I988" s="7">
        <v>45334318</v>
      </c>
      <c r="J988" s="7">
        <v>0</v>
      </c>
      <c r="K988">
        <f t="shared" si="15"/>
        <v>89</v>
      </c>
      <c r="L988" s="8" t="str" cm="1">
        <f t="array" ref="L988">_xlfn.IFS(
 AND(K988&gt;=89,K988&lt;=92),"3개월",
 AND(K988&gt;=58,K988&lt;=62),"2개월",
 AND(K988&gt;=28,K988&lt;=32),"1개월",
 AND(K988=0),"당월",
 TRUE,"그외"
)</f>
        <v>3개월</v>
      </c>
    </row>
    <row r="989" spans="1:12" ht="17.649999999999999" customHeight="1" x14ac:dyDescent="0.3">
      <c r="A989" s="5">
        <v>46143</v>
      </c>
      <c r="B989" s="6" t="s">
        <v>60</v>
      </c>
      <c r="C989" s="6" t="s">
        <v>63</v>
      </c>
      <c r="D989" s="5">
        <v>46082</v>
      </c>
      <c r="E989" s="6" t="s">
        <v>14</v>
      </c>
      <c r="F989" s="7">
        <v>66</v>
      </c>
      <c r="G989" s="7">
        <v>275673.2121212121</v>
      </c>
      <c r="H989" s="7">
        <v>18194432</v>
      </c>
      <c r="I989" s="7">
        <v>2870416</v>
      </c>
      <c r="J989" s="7">
        <v>0</v>
      </c>
      <c r="K989">
        <f t="shared" si="15"/>
        <v>61</v>
      </c>
      <c r="L989" s="8" t="str" cm="1">
        <f t="array" ref="L989">_xlfn.IFS(
 AND(K989&gt;=89,K989&lt;=92),"3개월",
 AND(K989&gt;=58,K989&lt;=62),"2개월",
 AND(K989&gt;=28,K989&lt;=32),"1개월",
 AND(K989=0),"당월",
 TRUE,"그외"
)</f>
        <v>2개월</v>
      </c>
    </row>
    <row r="990" spans="1:12" ht="17.649999999999999" customHeight="1" x14ac:dyDescent="0.3">
      <c r="A990" s="5">
        <v>46143</v>
      </c>
      <c r="B990" s="6" t="s">
        <v>60</v>
      </c>
      <c r="C990" s="6" t="s">
        <v>63</v>
      </c>
      <c r="D990" s="5">
        <v>46082</v>
      </c>
      <c r="E990" s="6" t="s">
        <v>15</v>
      </c>
      <c r="F990" s="7">
        <v>2677</v>
      </c>
      <c r="G990" s="7">
        <v>289104.15577138588</v>
      </c>
      <c r="H990" s="7">
        <v>773931825</v>
      </c>
      <c r="I990" s="7">
        <v>126138614</v>
      </c>
      <c r="J990" s="7">
        <v>0</v>
      </c>
      <c r="K990">
        <f t="shared" si="15"/>
        <v>61</v>
      </c>
      <c r="L990" s="8" t="str" cm="1">
        <f t="array" ref="L990">_xlfn.IFS(
 AND(K990&gt;=89,K990&lt;=92),"3개월",
 AND(K990&gt;=58,K990&lt;=62),"2개월",
 AND(K990&gt;=28,K990&lt;=32),"1개월",
 AND(K990=0),"당월",
 TRUE,"그외"
)</f>
        <v>2개월</v>
      </c>
    </row>
    <row r="991" spans="1:12" ht="17.649999999999999" customHeight="1" x14ac:dyDescent="0.3">
      <c r="A991" s="5">
        <v>46143</v>
      </c>
      <c r="B991" s="6" t="s">
        <v>60</v>
      </c>
      <c r="C991" s="6" t="s">
        <v>63</v>
      </c>
      <c r="D991" s="5">
        <v>46113</v>
      </c>
      <c r="E991" s="6" t="s">
        <v>14</v>
      </c>
      <c r="F991" s="7">
        <v>63</v>
      </c>
      <c r="G991" s="7">
        <v>295596.5396825397</v>
      </c>
      <c r="H991" s="7">
        <v>18622582</v>
      </c>
      <c r="I991" s="7">
        <v>6306720</v>
      </c>
      <c r="J991" s="7">
        <v>0</v>
      </c>
      <c r="K991">
        <f t="shared" si="15"/>
        <v>30</v>
      </c>
      <c r="L991" s="8" t="str" cm="1">
        <f t="array" ref="L991">_xlfn.IFS(
 AND(K991&gt;=89,K991&lt;=92),"3개월",
 AND(K991&gt;=58,K991&lt;=62),"2개월",
 AND(K991&gt;=28,K991&lt;=32),"1개월",
 AND(K991=0),"당월",
 TRUE,"그외"
)</f>
        <v>1개월</v>
      </c>
    </row>
    <row r="992" spans="1:12" ht="17.649999999999999" customHeight="1" x14ac:dyDescent="0.3">
      <c r="A992" s="5">
        <v>46143</v>
      </c>
      <c r="B992" s="6" t="s">
        <v>60</v>
      </c>
      <c r="C992" s="6" t="s">
        <v>63</v>
      </c>
      <c r="D992" s="5">
        <v>46113</v>
      </c>
      <c r="E992" s="6" t="s">
        <v>15</v>
      </c>
      <c r="F992" s="7">
        <v>1964</v>
      </c>
      <c r="G992" s="7">
        <v>338120.65224032587</v>
      </c>
      <c r="H992" s="7">
        <v>664068961</v>
      </c>
      <c r="I992" s="7">
        <v>232489930</v>
      </c>
      <c r="J992" s="7">
        <v>0</v>
      </c>
      <c r="K992">
        <f t="shared" si="15"/>
        <v>30</v>
      </c>
      <c r="L992" s="8" t="str" cm="1">
        <f t="array" ref="L992">_xlfn.IFS(
 AND(K992&gt;=89,K992&lt;=92),"3개월",
 AND(K992&gt;=58,K992&lt;=62),"2개월",
 AND(K992&gt;=28,K992&lt;=32),"1개월",
 AND(K992=0),"당월",
 TRUE,"그외"
)</f>
        <v>1개월</v>
      </c>
    </row>
    <row r="993" spans="1:12" ht="17.649999999999999" customHeight="1" x14ac:dyDescent="0.3">
      <c r="A993" s="5">
        <v>46143</v>
      </c>
      <c r="B993" s="6" t="s">
        <v>60</v>
      </c>
      <c r="C993" s="6" t="s">
        <v>63</v>
      </c>
      <c r="D993" s="5">
        <v>46143</v>
      </c>
      <c r="E993" s="6" t="s">
        <v>15</v>
      </c>
      <c r="F993" s="7">
        <v>298</v>
      </c>
      <c r="G993" s="7">
        <v>348697.43624161067</v>
      </c>
      <c r="H993" s="7">
        <v>103911836</v>
      </c>
      <c r="I993" s="7">
        <v>39917345</v>
      </c>
      <c r="J993" s="7">
        <v>0</v>
      </c>
      <c r="K993">
        <f t="shared" si="15"/>
        <v>0</v>
      </c>
      <c r="L993" s="8" t="str" cm="1">
        <f t="array" ref="L993">_xlfn.IFS(
 AND(K993&gt;=89,K993&lt;=92),"3개월",
 AND(K993&gt;=58,K993&lt;=62),"2개월",
 AND(K993&gt;=28,K993&lt;=32),"1개월",
 AND(K993=0),"당월",
 TRUE,"그외"
)</f>
        <v>당월</v>
      </c>
    </row>
    <row r="994" spans="1:12" ht="17.649999999999999" customHeight="1" x14ac:dyDescent="0.3">
      <c r="A994" s="5">
        <v>46143</v>
      </c>
      <c r="B994" s="6" t="s">
        <v>60</v>
      </c>
      <c r="C994" s="6" t="s">
        <v>64</v>
      </c>
      <c r="D994" s="5">
        <v>45931</v>
      </c>
      <c r="E994" s="6" t="s">
        <v>15</v>
      </c>
      <c r="F994" s="7">
        <v>59</v>
      </c>
      <c r="G994" s="7">
        <v>295891.5254237288</v>
      </c>
      <c r="H994" s="7">
        <v>17457600</v>
      </c>
      <c r="I994" s="7">
        <v>1557600</v>
      </c>
      <c r="J994" s="7">
        <v>0</v>
      </c>
      <c r="K994">
        <f t="shared" si="15"/>
        <v>212</v>
      </c>
      <c r="L994" s="8" t="str" cm="1">
        <f t="array" ref="L994">_xlfn.IFS(
 AND(K994&gt;=89,K994&lt;=92),"3개월",
 AND(K994&gt;=58,K994&lt;=62),"2개월",
 AND(K994&gt;=28,K994&lt;=32),"1개월",
 AND(K994=0),"당월",
 TRUE,"그외"
)</f>
        <v>그외</v>
      </c>
    </row>
    <row r="995" spans="1:12" ht="17.649999999999999" customHeight="1" x14ac:dyDescent="0.3">
      <c r="A995" s="5">
        <v>46143</v>
      </c>
      <c r="B995" s="6" t="s">
        <v>60</v>
      </c>
      <c r="C995" s="6" t="s">
        <v>64</v>
      </c>
      <c r="D995" s="5">
        <v>45962</v>
      </c>
      <c r="E995" s="6" t="s">
        <v>15</v>
      </c>
      <c r="F995" s="7">
        <v>233</v>
      </c>
      <c r="G995" s="7">
        <v>219086.9442060086</v>
      </c>
      <c r="H995" s="7">
        <v>51047258</v>
      </c>
      <c r="I995" s="7">
        <v>6381784</v>
      </c>
      <c r="J995" s="7">
        <v>0</v>
      </c>
      <c r="K995">
        <f t="shared" si="15"/>
        <v>181</v>
      </c>
      <c r="L995" s="8" t="str" cm="1">
        <f t="array" ref="L995">_xlfn.IFS(
 AND(K995&gt;=89,K995&lt;=92),"3개월",
 AND(K995&gt;=58,K995&lt;=62),"2개월",
 AND(K995&gt;=28,K995&lt;=32),"1개월",
 AND(K995=0),"당월",
 TRUE,"그외"
)</f>
        <v>그외</v>
      </c>
    </row>
    <row r="996" spans="1:12" ht="17.649999999999999" customHeight="1" x14ac:dyDescent="0.3">
      <c r="A996" s="5">
        <v>46143</v>
      </c>
      <c r="B996" s="6" t="s">
        <v>60</v>
      </c>
      <c r="C996" s="6" t="s">
        <v>64</v>
      </c>
      <c r="D996" s="5">
        <v>45992</v>
      </c>
      <c r="E996" s="6" t="s">
        <v>15</v>
      </c>
      <c r="F996" s="7">
        <v>317</v>
      </c>
      <c r="G996" s="7">
        <v>191559.72239747629</v>
      </c>
      <c r="H996" s="7">
        <v>60724432</v>
      </c>
      <c r="I996" s="7">
        <v>10186299</v>
      </c>
      <c r="J996" s="7">
        <v>0</v>
      </c>
      <c r="K996">
        <f t="shared" si="15"/>
        <v>151</v>
      </c>
      <c r="L996" s="8" t="str" cm="1">
        <f t="array" ref="L996">_xlfn.IFS(
 AND(K996&gt;=89,K996&lt;=92),"3개월",
 AND(K996&gt;=58,K996&lt;=62),"2개월",
 AND(K996&gt;=28,K996&lt;=32),"1개월",
 AND(K996=0),"당월",
 TRUE,"그외"
)</f>
        <v>그외</v>
      </c>
    </row>
    <row r="997" spans="1:12" ht="17.649999999999999" customHeight="1" x14ac:dyDescent="0.3">
      <c r="A997" s="5">
        <v>46143</v>
      </c>
      <c r="B997" s="6" t="s">
        <v>60</v>
      </c>
      <c r="C997" s="6" t="s">
        <v>64</v>
      </c>
      <c r="D997" s="5">
        <v>46023</v>
      </c>
      <c r="E997" s="6" t="s">
        <v>15</v>
      </c>
      <c r="F997" s="7">
        <v>1005</v>
      </c>
      <c r="G997" s="7">
        <v>207217.87164179099</v>
      </c>
      <c r="H997" s="7">
        <v>208253961</v>
      </c>
      <c r="I997" s="7">
        <v>33159721</v>
      </c>
      <c r="J997" s="7">
        <v>0</v>
      </c>
      <c r="K997">
        <f t="shared" si="15"/>
        <v>120</v>
      </c>
      <c r="L997" s="8" t="str" cm="1">
        <f t="array" ref="L997">_xlfn.IFS(
 AND(K997&gt;=89,K997&lt;=92),"3개월",
 AND(K997&gt;=58,K997&lt;=62),"2개월",
 AND(K997&gt;=28,K997&lt;=32),"1개월",
 AND(K997=0),"당월",
 TRUE,"그외"
)</f>
        <v>그외</v>
      </c>
    </row>
    <row r="998" spans="1:12" ht="17.649999999999999" customHeight="1" x14ac:dyDescent="0.3">
      <c r="A998" s="5">
        <v>46143</v>
      </c>
      <c r="B998" s="6" t="s">
        <v>60</v>
      </c>
      <c r="C998" s="6" t="s">
        <v>64</v>
      </c>
      <c r="D998" s="5">
        <v>46054</v>
      </c>
      <c r="E998" s="6" t="s">
        <v>14</v>
      </c>
      <c r="F998" s="7">
        <v>778</v>
      </c>
      <c r="G998" s="7">
        <v>188093.83033419019</v>
      </c>
      <c r="H998" s="7">
        <v>146337000</v>
      </c>
      <c r="I998" s="7">
        <v>17116000</v>
      </c>
      <c r="J998" s="7">
        <v>0</v>
      </c>
      <c r="K998">
        <f t="shared" si="15"/>
        <v>89</v>
      </c>
      <c r="L998" s="8" t="str" cm="1">
        <f t="array" ref="L998">_xlfn.IFS(
 AND(K998&gt;=89,K998&lt;=92),"3개월",
 AND(K998&gt;=58,K998&lt;=62),"2개월",
 AND(K998&gt;=28,K998&lt;=32),"1개월",
 AND(K998=0),"당월",
 TRUE,"그외"
)</f>
        <v>3개월</v>
      </c>
    </row>
    <row r="999" spans="1:12" ht="17.649999999999999" customHeight="1" x14ac:dyDescent="0.3">
      <c r="A999" s="5">
        <v>46143</v>
      </c>
      <c r="B999" s="6" t="s">
        <v>60</v>
      </c>
      <c r="C999" s="6" t="s">
        <v>64</v>
      </c>
      <c r="D999" s="5">
        <v>46054</v>
      </c>
      <c r="E999" s="6" t="s">
        <v>15</v>
      </c>
      <c r="F999" s="7">
        <v>1222</v>
      </c>
      <c r="G999" s="7">
        <v>199352.30605564651</v>
      </c>
      <c r="H999" s="7">
        <v>243608518</v>
      </c>
      <c r="I999" s="7">
        <v>28040139</v>
      </c>
      <c r="J999" s="7">
        <v>0</v>
      </c>
      <c r="K999">
        <f t="shared" si="15"/>
        <v>89</v>
      </c>
      <c r="L999" s="8" t="str" cm="1">
        <f t="array" ref="L999">_xlfn.IFS(
 AND(K999&gt;=89,K999&lt;=92),"3개월",
 AND(K999&gt;=58,K999&lt;=62),"2개월",
 AND(K999&gt;=28,K999&lt;=32),"1개월",
 AND(K999=0),"당월",
 TRUE,"그외"
)</f>
        <v>3개월</v>
      </c>
    </row>
    <row r="1000" spans="1:12" ht="17.649999999999999" customHeight="1" x14ac:dyDescent="0.3">
      <c r="A1000" s="5">
        <v>46143</v>
      </c>
      <c r="B1000" s="6" t="s">
        <v>60</v>
      </c>
      <c r="C1000" s="6" t="s">
        <v>64</v>
      </c>
      <c r="D1000" s="5">
        <v>46082</v>
      </c>
      <c r="E1000" s="6" t="s">
        <v>14</v>
      </c>
      <c r="F1000" s="7">
        <v>3228</v>
      </c>
      <c r="G1000" s="7">
        <v>153725.91759603471</v>
      </c>
      <c r="H1000" s="7">
        <v>496227262</v>
      </c>
      <c r="I1000" s="7">
        <v>91130566</v>
      </c>
      <c r="J1000" s="7">
        <v>0</v>
      </c>
      <c r="K1000">
        <f t="shared" si="15"/>
        <v>61</v>
      </c>
      <c r="L1000" s="8" t="str" cm="1">
        <f t="array" ref="L1000">_xlfn.IFS(
 AND(K1000&gt;=89,K1000&lt;=92),"3개월",
 AND(K1000&gt;=58,K1000&lt;=62),"2개월",
 AND(K1000&gt;=28,K1000&lt;=32),"1개월",
 AND(K1000=0),"당월",
 TRUE,"그외"
)</f>
        <v>2개월</v>
      </c>
    </row>
    <row r="1001" spans="1:12" ht="17.649999999999999" customHeight="1" x14ac:dyDescent="0.3">
      <c r="A1001" s="5">
        <v>46143</v>
      </c>
      <c r="B1001" s="6" t="s">
        <v>60</v>
      </c>
      <c r="C1001" s="6" t="s">
        <v>64</v>
      </c>
      <c r="D1001" s="5">
        <v>46082</v>
      </c>
      <c r="E1001" s="6" t="s">
        <v>15</v>
      </c>
      <c r="F1001" s="7">
        <v>3375</v>
      </c>
      <c r="G1001" s="7">
        <v>198223.45244444441</v>
      </c>
      <c r="H1001" s="7">
        <v>669004152</v>
      </c>
      <c r="I1001" s="7">
        <v>97446016</v>
      </c>
      <c r="J1001" s="7">
        <v>0</v>
      </c>
      <c r="K1001">
        <f t="shared" si="15"/>
        <v>61</v>
      </c>
      <c r="L1001" s="8" t="str" cm="1">
        <f t="array" ref="L1001">_xlfn.IFS(
 AND(K1001&gt;=89,K1001&lt;=92),"3개월",
 AND(K1001&gt;=58,K1001&lt;=62),"2개월",
 AND(K1001&gt;=28,K1001&lt;=32),"1개월",
 AND(K1001=0),"당월",
 TRUE,"그외"
)</f>
        <v>2개월</v>
      </c>
    </row>
    <row r="1002" spans="1:12" ht="17.649999999999999" customHeight="1" x14ac:dyDescent="0.3">
      <c r="A1002" s="5">
        <v>46143</v>
      </c>
      <c r="B1002" s="6" t="s">
        <v>60</v>
      </c>
      <c r="C1002" s="6" t="s">
        <v>64</v>
      </c>
      <c r="D1002" s="5">
        <v>46113</v>
      </c>
      <c r="E1002" s="6" t="s">
        <v>14</v>
      </c>
      <c r="F1002" s="7">
        <v>783</v>
      </c>
      <c r="G1002" s="7">
        <v>180623.11621966801</v>
      </c>
      <c r="H1002" s="7">
        <v>141427900</v>
      </c>
      <c r="I1002" s="7">
        <v>64193900</v>
      </c>
      <c r="J1002" s="7">
        <v>0</v>
      </c>
      <c r="K1002">
        <f t="shared" si="15"/>
        <v>30</v>
      </c>
      <c r="L1002" s="8" t="str" cm="1">
        <f t="array" ref="L1002">_xlfn.IFS(
 AND(K1002&gt;=89,K1002&lt;=92),"3개월",
 AND(K1002&gt;=58,K1002&lt;=62),"2개월",
 AND(K1002&gt;=28,K1002&lt;=32),"1개월",
 AND(K1002=0),"당월",
 TRUE,"그외"
)</f>
        <v>1개월</v>
      </c>
    </row>
    <row r="1003" spans="1:12" ht="17.649999999999999" customHeight="1" x14ac:dyDescent="0.3">
      <c r="A1003" s="5">
        <v>46143</v>
      </c>
      <c r="B1003" s="6" t="s">
        <v>60</v>
      </c>
      <c r="C1003" s="6" t="s">
        <v>64</v>
      </c>
      <c r="D1003" s="5">
        <v>46113</v>
      </c>
      <c r="E1003" s="6" t="s">
        <v>15</v>
      </c>
      <c r="F1003" s="7">
        <v>4139</v>
      </c>
      <c r="G1003" s="7">
        <v>208900.4585648707</v>
      </c>
      <c r="H1003" s="7">
        <v>864638998</v>
      </c>
      <c r="I1003" s="7">
        <v>291897348</v>
      </c>
      <c r="J1003" s="7">
        <v>0</v>
      </c>
      <c r="K1003">
        <f t="shared" si="15"/>
        <v>30</v>
      </c>
      <c r="L1003" s="8" t="str" cm="1">
        <f t="array" ref="L1003">_xlfn.IFS(
 AND(K1003&gt;=89,K1003&lt;=92),"3개월",
 AND(K1003&gt;=58,K1003&lt;=62),"2개월",
 AND(K1003&gt;=28,K1003&lt;=32),"1개월",
 AND(K1003=0),"당월",
 TRUE,"그외"
)</f>
        <v>1개월</v>
      </c>
    </row>
    <row r="1004" spans="1:12" ht="17.649999999999999" customHeight="1" x14ac:dyDescent="0.3">
      <c r="A1004" s="5">
        <v>46143</v>
      </c>
      <c r="B1004" s="6" t="s">
        <v>60</v>
      </c>
      <c r="C1004" s="6" t="s">
        <v>64</v>
      </c>
      <c r="D1004" s="5">
        <v>46143</v>
      </c>
      <c r="E1004" s="6" t="s">
        <v>14</v>
      </c>
      <c r="F1004" s="7">
        <v>60</v>
      </c>
      <c r="G1004" s="7">
        <v>216630.66666666669</v>
      </c>
      <c r="H1004" s="7">
        <v>12997840</v>
      </c>
      <c r="I1004" s="7">
        <v>7179720</v>
      </c>
      <c r="J1004" s="7">
        <v>0</v>
      </c>
      <c r="K1004">
        <f t="shared" si="15"/>
        <v>0</v>
      </c>
      <c r="L1004" s="8" t="str" cm="1">
        <f t="array" ref="L1004">_xlfn.IFS(
 AND(K1004&gt;=89,K1004&lt;=92),"3개월",
 AND(K1004&gt;=58,K1004&lt;=62),"2개월",
 AND(K1004&gt;=28,K1004&lt;=32),"1개월",
 AND(K1004=0),"당월",
 TRUE,"그외"
)</f>
        <v>당월</v>
      </c>
    </row>
    <row r="1005" spans="1:12" ht="17.649999999999999" customHeight="1" x14ac:dyDescent="0.3">
      <c r="A1005" s="5">
        <v>46143</v>
      </c>
      <c r="B1005" s="6" t="s">
        <v>60</v>
      </c>
      <c r="C1005" s="6" t="s">
        <v>64</v>
      </c>
      <c r="D1005" s="5">
        <v>46143</v>
      </c>
      <c r="E1005" s="6" t="s">
        <v>15</v>
      </c>
      <c r="F1005" s="7">
        <v>313</v>
      </c>
      <c r="G1005" s="7">
        <v>216473.7763578275</v>
      </c>
      <c r="H1005" s="7">
        <v>67756292</v>
      </c>
      <c r="I1005" s="7">
        <v>29223550</v>
      </c>
      <c r="J1005" s="7">
        <v>0</v>
      </c>
      <c r="K1005">
        <f t="shared" si="15"/>
        <v>0</v>
      </c>
      <c r="L1005" s="8" t="str" cm="1">
        <f t="array" ref="L1005">_xlfn.IFS(
 AND(K1005&gt;=89,K1005&lt;=92),"3개월",
 AND(K1005&gt;=58,K1005&lt;=62),"2개월",
 AND(K1005&gt;=28,K1005&lt;=32),"1개월",
 AND(K1005=0),"당월",
 TRUE,"그외"
)</f>
        <v>당월</v>
      </c>
    </row>
    <row r="1006" spans="1:12" ht="17.649999999999999" customHeight="1" x14ac:dyDescent="0.3">
      <c r="A1006" s="5">
        <v>46143</v>
      </c>
      <c r="B1006" s="6" t="s">
        <v>60</v>
      </c>
      <c r="C1006" s="6" t="s">
        <v>65</v>
      </c>
      <c r="D1006" s="5">
        <v>45962</v>
      </c>
      <c r="E1006" s="6" t="s">
        <v>15</v>
      </c>
      <c r="F1006" s="7">
        <v>14</v>
      </c>
      <c r="G1006" s="7">
        <v>197871.42857142861</v>
      </c>
      <c r="H1006" s="7">
        <v>2770200</v>
      </c>
      <c r="I1006" s="7">
        <v>373800</v>
      </c>
      <c r="J1006" s="7">
        <v>0</v>
      </c>
      <c r="K1006">
        <f t="shared" si="15"/>
        <v>181</v>
      </c>
      <c r="L1006" s="8" t="str" cm="1">
        <f t="array" ref="L1006">_xlfn.IFS(
 AND(K1006&gt;=89,K1006&lt;=92),"3개월",
 AND(K1006&gt;=58,K1006&lt;=62),"2개월",
 AND(K1006&gt;=28,K1006&lt;=32),"1개월",
 AND(K1006=0),"당월",
 TRUE,"그외"
)</f>
        <v>그외</v>
      </c>
    </row>
    <row r="1007" spans="1:12" ht="17.649999999999999" customHeight="1" x14ac:dyDescent="0.3">
      <c r="A1007" s="5">
        <v>46143</v>
      </c>
      <c r="B1007" s="6" t="s">
        <v>60</v>
      </c>
      <c r="C1007" s="6" t="s">
        <v>65</v>
      </c>
      <c r="D1007" s="5">
        <v>45992</v>
      </c>
      <c r="E1007" s="6" t="s">
        <v>15</v>
      </c>
      <c r="F1007" s="7">
        <v>13</v>
      </c>
      <c r="G1007" s="7">
        <v>260898.92307692309</v>
      </c>
      <c r="H1007" s="7">
        <v>3391686</v>
      </c>
      <c r="I1007" s="7">
        <v>412206</v>
      </c>
      <c r="J1007" s="7">
        <v>0</v>
      </c>
      <c r="K1007">
        <f t="shared" si="15"/>
        <v>151</v>
      </c>
      <c r="L1007" s="8" t="str" cm="1">
        <f t="array" ref="L1007">_xlfn.IFS(
 AND(K1007&gt;=89,K1007&lt;=92),"3개월",
 AND(K1007&gt;=58,K1007&lt;=62),"2개월",
 AND(K1007&gt;=28,K1007&lt;=32),"1개월",
 AND(K1007=0),"당월",
 TRUE,"그외"
)</f>
        <v>그외</v>
      </c>
    </row>
    <row r="1008" spans="1:12" ht="17.649999999999999" customHeight="1" x14ac:dyDescent="0.3">
      <c r="A1008" s="5">
        <v>46143</v>
      </c>
      <c r="B1008" s="6" t="s">
        <v>60</v>
      </c>
      <c r="C1008" s="6" t="s">
        <v>65</v>
      </c>
      <c r="D1008" s="5">
        <v>46023</v>
      </c>
      <c r="E1008" s="6" t="s">
        <v>15</v>
      </c>
      <c r="F1008" s="7">
        <v>242</v>
      </c>
      <c r="G1008" s="7">
        <v>183976.0991735537</v>
      </c>
      <c r="H1008" s="7">
        <v>44522216</v>
      </c>
      <c r="I1008" s="7">
        <v>7930154</v>
      </c>
      <c r="J1008" s="7">
        <v>0</v>
      </c>
      <c r="K1008">
        <f t="shared" si="15"/>
        <v>120</v>
      </c>
      <c r="L1008" s="8" t="str" cm="1">
        <f t="array" ref="L1008">_xlfn.IFS(
 AND(K1008&gt;=89,K1008&lt;=92),"3개월",
 AND(K1008&gt;=58,K1008&lt;=62),"2개월",
 AND(K1008&gt;=28,K1008&lt;=32),"1개월",
 AND(K1008=0),"당월",
 TRUE,"그외"
)</f>
        <v>그외</v>
      </c>
    </row>
    <row r="1009" spans="1:12" ht="17.649999999999999" customHeight="1" x14ac:dyDescent="0.3">
      <c r="A1009" s="5">
        <v>46143</v>
      </c>
      <c r="B1009" s="6" t="s">
        <v>60</v>
      </c>
      <c r="C1009" s="6" t="s">
        <v>65</v>
      </c>
      <c r="D1009" s="5">
        <v>46054</v>
      </c>
      <c r="E1009" s="6" t="s">
        <v>14</v>
      </c>
      <c r="F1009" s="7">
        <v>102</v>
      </c>
      <c r="G1009" s="7">
        <v>222588.23529411771</v>
      </c>
      <c r="H1009" s="7">
        <v>22704000</v>
      </c>
      <c r="I1009" s="7">
        <v>2244000</v>
      </c>
      <c r="J1009" s="7">
        <v>0</v>
      </c>
      <c r="K1009">
        <f t="shared" si="15"/>
        <v>89</v>
      </c>
      <c r="L1009" s="8" t="str" cm="1">
        <f t="array" ref="L1009">_xlfn.IFS(
 AND(K1009&gt;=89,K1009&lt;=92),"3개월",
 AND(K1009&gt;=58,K1009&lt;=62),"2개월",
 AND(K1009&gt;=28,K1009&lt;=32),"1개월",
 AND(K1009=0),"당월",
 TRUE,"그외"
)</f>
        <v>3개월</v>
      </c>
    </row>
    <row r="1010" spans="1:12" ht="17.649999999999999" customHeight="1" x14ac:dyDescent="0.3">
      <c r="A1010" s="5">
        <v>46143</v>
      </c>
      <c r="B1010" s="6" t="s">
        <v>60</v>
      </c>
      <c r="C1010" s="6" t="s">
        <v>65</v>
      </c>
      <c r="D1010" s="5">
        <v>46054</v>
      </c>
      <c r="E1010" s="6" t="s">
        <v>15</v>
      </c>
      <c r="F1010" s="7">
        <v>401</v>
      </c>
      <c r="G1010" s="7">
        <v>185048.98254364089</v>
      </c>
      <c r="H1010" s="7">
        <v>74204642</v>
      </c>
      <c r="I1010" s="7">
        <v>9690256</v>
      </c>
      <c r="J1010" s="7">
        <v>0</v>
      </c>
      <c r="K1010">
        <f t="shared" si="15"/>
        <v>89</v>
      </c>
      <c r="L1010" s="8" t="str" cm="1">
        <f t="array" ref="L1010">_xlfn.IFS(
 AND(K1010&gt;=89,K1010&lt;=92),"3개월",
 AND(K1010&gt;=58,K1010&lt;=62),"2개월",
 AND(K1010&gt;=28,K1010&lt;=32),"1개월",
 AND(K1010=0),"당월",
 TRUE,"그외"
)</f>
        <v>3개월</v>
      </c>
    </row>
    <row r="1011" spans="1:12" ht="17.649999999999999" customHeight="1" x14ac:dyDescent="0.3">
      <c r="A1011" s="5">
        <v>46143</v>
      </c>
      <c r="B1011" s="6" t="s">
        <v>60</v>
      </c>
      <c r="C1011" s="6" t="s">
        <v>65</v>
      </c>
      <c r="D1011" s="5">
        <v>46082</v>
      </c>
      <c r="E1011" s="6" t="s">
        <v>14</v>
      </c>
      <c r="F1011" s="7">
        <v>648</v>
      </c>
      <c r="G1011" s="7">
        <v>188443.2098765432</v>
      </c>
      <c r="H1011" s="7">
        <v>122111200</v>
      </c>
      <c r="I1011" s="7">
        <v>18079200</v>
      </c>
      <c r="J1011" s="7">
        <v>0</v>
      </c>
      <c r="K1011">
        <f t="shared" si="15"/>
        <v>61</v>
      </c>
      <c r="L1011" s="8" t="str" cm="1">
        <f t="array" ref="L1011">_xlfn.IFS(
 AND(K1011&gt;=89,K1011&lt;=92),"3개월",
 AND(K1011&gt;=58,K1011&lt;=62),"2개월",
 AND(K1011&gt;=28,K1011&lt;=32),"1개월",
 AND(K1011=0),"당월",
 TRUE,"그외"
)</f>
        <v>2개월</v>
      </c>
    </row>
    <row r="1012" spans="1:12" ht="17.649999999999999" customHeight="1" x14ac:dyDescent="0.3">
      <c r="A1012" s="5">
        <v>46143</v>
      </c>
      <c r="B1012" s="6" t="s">
        <v>60</v>
      </c>
      <c r="C1012" s="6" t="s">
        <v>65</v>
      </c>
      <c r="D1012" s="5">
        <v>46082</v>
      </c>
      <c r="E1012" s="6" t="s">
        <v>15</v>
      </c>
      <c r="F1012" s="7">
        <v>600</v>
      </c>
      <c r="G1012" s="7">
        <v>200044.005</v>
      </c>
      <c r="H1012" s="7">
        <v>120026403</v>
      </c>
      <c r="I1012" s="7">
        <v>17180948</v>
      </c>
      <c r="J1012" s="7">
        <v>0</v>
      </c>
      <c r="K1012">
        <f t="shared" si="15"/>
        <v>61</v>
      </c>
      <c r="L1012" s="8" t="str" cm="1">
        <f t="array" ref="L1012">_xlfn.IFS(
 AND(K1012&gt;=89,K1012&lt;=92),"3개월",
 AND(K1012&gt;=58,K1012&lt;=62),"2개월",
 AND(K1012&gt;=28,K1012&lt;=32),"1개월",
 AND(K1012=0),"당월",
 TRUE,"그외"
)</f>
        <v>2개월</v>
      </c>
    </row>
    <row r="1013" spans="1:12" ht="17.649999999999999" customHeight="1" x14ac:dyDescent="0.3">
      <c r="A1013" s="5">
        <v>46143</v>
      </c>
      <c r="B1013" s="6" t="s">
        <v>60</v>
      </c>
      <c r="C1013" s="6" t="s">
        <v>65</v>
      </c>
      <c r="D1013" s="5">
        <v>46113</v>
      </c>
      <c r="E1013" s="6" t="s">
        <v>14</v>
      </c>
      <c r="F1013" s="7">
        <v>176</v>
      </c>
      <c r="G1013" s="7">
        <v>175615.90909090909</v>
      </c>
      <c r="H1013" s="7">
        <v>30908400</v>
      </c>
      <c r="I1013" s="7">
        <v>15230400</v>
      </c>
      <c r="J1013" s="7">
        <v>0</v>
      </c>
      <c r="K1013">
        <f t="shared" si="15"/>
        <v>30</v>
      </c>
      <c r="L1013" s="8" t="str" cm="1">
        <f t="array" ref="L1013">_xlfn.IFS(
 AND(K1013&gt;=89,K1013&lt;=92),"3개월",
 AND(K1013&gt;=58,K1013&lt;=62),"2개월",
 AND(K1013&gt;=28,K1013&lt;=32),"1개월",
 AND(K1013=0),"당월",
 TRUE,"그외"
)</f>
        <v>1개월</v>
      </c>
    </row>
    <row r="1014" spans="1:12" ht="17.649999999999999" customHeight="1" x14ac:dyDescent="0.3">
      <c r="A1014" s="5">
        <v>46143</v>
      </c>
      <c r="B1014" s="6" t="s">
        <v>60</v>
      </c>
      <c r="C1014" s="6" t="s">
        <v>65</v>
      </c>
      <c r="D1014" s="5">
        <v>46113</v>
      </c>
      <c r="E1014" s="6" t="s">
        <v>15</v>
      </c>
      <c r="F1014" s="7">
        <v>641</v>
      </c>
      <c r="G1014" s="7">
        <v>201127.1965678627</v>
      </c>
      <c r="H1014" s="7">
        <v>128922533</v>
      </c>
      <c r="I1014" s="7">
        <v>49576579</v>
      </c>
      <c r="J1014" s="7">
        <v>0</v>
      </c>
      <c r="K1014">
        <f t="shared" si="15"/>
        <v>30</v>
      </c>
      <c r="L1014" s="8" t="str" cm="1">
        <f t="array" ref="L1014">_xlfn.IFS(
 AND(K1014&gt;=89,K1014&lt;=92),"3개월",
 AND(K1014&gt;=58,K1014&lt;=62),"2개월",
 AND(K1014&gt;=28,K1014&lt;=32),"1개월",
 AND(K1014=0),"당월",
 TRUE,"그외"
)</f>
        <v>1개월</v>
      </c>
    </row>
    <row r="1015" spans="1:12" ht="17.649999999999999" customHeight="1" x14ac:dyDescent="0.3">
      <c r="A1015" s="5">
        <v>46143</v>
      </c>
      <c r="B1015" s="6" t="s">
        <v>60</v>
      </c>
      <c r="C1015" s="6" t="s">
        <v>65</v>
      </c>
      <c r="D1015" s="5">
        <v>46143</v>
      </c>
      <c r="E1015" s="6" t="s">
        <v>14</v>
      </c>
      <c r="F1015" s="7">
        <v>20</v>
      </c>
      <c r="G1015" s="7">
        <v>231332</v>
      </c>
      <c r="H1015" s="7">
        <v>4626640</v>
      </c>
      <c r="I1015" s="7">
        <v>2076060</v>
      </c>
      <c r="J1015" s="7">
        <v>0</v>
      </c>
      <c r="K1015">
        <f t="shared" si="15"/>
        <v>0</v>
      </c>
      <c r="L1015" s="8" t="str" cm="1">
        <f t="array" ref="L1015">_xlfn.IFS(
 AND(K1015&gt;=89,K1015&lt;=92),"3개월",
 AND(K1015&gt;=58,K1015&lt;=62),"2개월",
 AND(K1015&gt;=28,K1015&lt;=32),"1개월",
 AND(K1015=0),"당월",
 TRUE,"그외"
)</f>
        <v>당월</v>
      </c>
    </row>
    <row r="1016" spans="1:12" ht="17.649999999999999" customHeight="1" x14ac:dyDescent="0.3">
      <c r="A1016" s="5">
        <v>46143</v>
      </c>
      <c r="B1016" s="6" t="s">
        <v>60</v>
      </c>
      <c r="C1016" s="6" t="s">
        <v>65</v>
      </c>
      <c r="D1016" s="5">
        <v>46143</v>
      </c>
      <c r="E1016" s="6" t="s">
        <v>15</v>
      </c>
      <c r="F1016" s="7">
        <v>42</v>
      </c>
      <c r="G1016" s="7">
        <v>320744</v>
      </c>
      <c r="H1016" s="7">
        <v>13471248</v>
      </c>
      <c r="I1016" s="7">
        <v>5895616</v>
      </c>
      <c r="J1016" s="7">
        <v>0</v>
      </c>
      <c r="K1016">
        <f t="shared" si="15"/>
        <v>0</v>
      </c>
      <c r="L1016" s="8" t="str" cm="1">
        <f t="array" ref="L1016">_xlfn.IFS(
 AND(K1016&gt;=89,K1016&lt;=92),"3개월",
 AND(K1016&gt;=58,K1016&lt;=62),"2개월",
 AND(K1016&gt;=28,K1016&lt;=32),"1개월",
 AND(K1016=0),"당월",
 TRUE,"그외"
)</f>
        <v>당월</v>
      </c>
    </row>
    <row r="1017" spans="1:12" ht="17.649999999999999" customHeight="1" x14ac:dyDescent="0.3">
      <c r="A1017" s="5">
        <v>46143</v>
      </c>
      <c r="B1017" s="6" t="s">
        <v>60</v>
      </c>
      <c r="C1017" s="6" t="s">
        <v>66</v>
      </c>
      <c r="D1017" s="5">
        <v>45962</v>
      </c>
      <c r="E1017" s="6" t="s">
        <v>15</v>
      </c>
      <c r="F1017" s="7">
        <v>26</v>
      </c>
      <c r="G1017" s="7">
        <v>234146.15384615379</v>
      </c>
      <c r="H1017" s="7">
        <v>6087800</v>
      </c>
      <c r="I1017" s="7">
        <v>694200</v>
      </c>
      <c r="J1017" s="7">
        <v>0</v>
      </c>
      <c r="K1017">
        <f t="shared" si="15"/>
        <v>181</v>
      </c>
      <c r="L1017" s="8" t="str" cm="1">
        <f t="array" ref="L1017">_xlfn.IFS(
 AND(K1017&gt;=89,K1017&lt;=92),"3개월",
 AND(K1017&gt;=58,K1017&lt;=62),"2개월",
 AND(K1017&gt;=28,K1017&lt;=32),"1개월",
 AND(K1017=0),"당월",
 TRUE,"그외"
)</f>
        <v>그외</v>
      </c>
    </row>
    <row r="1018" spans="1:12" ht="17.649999999999999" customHeight="1" x14ac:dyDescent="0.3">
      <c r="A1018" s="5">
        <v>46143</v>
      </c>
      <c r="B1018" s="6" t="s">
        <v>60</v>
      </c>
      <c r="C1018" s="6" t="s">
        <v>66</v>
      </c>
      <c r="D1018" s="5">
        <v>45992</v>
      </c>
      <c r="E1018" s="6" t="s">
        <v>15</v>
      </c>
      <c r="F1018" s="7">
        <v>93</v>
      </c>
      <c r="G1018" s="7">
        <v>234794.62365591401</v>
      </c>
      <c r="H1018" s="7">
        <v>21835900</v>
      </c>
      <c r="I1018" s="7">
        <v>2948100</v>
      </c>
      <c r="J1018" s="7">
        <v>0</v>
      </c>
      <c r="K1018">
        <f t="shared" si="15"/>
        <v>151</v>
      </c>
      <c r="L1018" s="8" t="str" cm="1">
        <f t="array" ref="L1018">_xlfn.IFS(
 AND(K1018&gt;=89,K1018&lt;=92),"3개월",
 AND(K1018&gt;=58,K1018&lt;=62),"2개월",
 AND(K1018&gt;=28,K1018&lt;=32),"1개월",
 AND(K1018=0),"당월",
 TRUE,"그외"
)</f>
        <v>그외</v>
      </c>
    </row>
    <row r="1019" spans="1:12" ht="17.649999999999999" customHeight="1" x14ac:dyDescent="0.3">
      <c r="A1019" s="5">
        <v>46143</v>
      </c>
      <c r="B1019" s="6" t="s">
        <v>60</v>
      </c>
      <c r="C1019" s="6" t="s">
        <v>66</v>
      </c>
      <c r="D1019" s="5">
        <v>46023</v>
      </c>
      <c r="E1019" s="6" t="s">
        <v>15</v>
      </c>
      <c r="F1019" s="7">
        <v>144</v>
      </c>
      <c r="G1019" s="7">
        <v>293993.03472222219</v>
      </c>
      <c r="H1019" s="7">
        <v>42334997</v>
      </c>
      <c r="I1019" s="7">
        <v>4686551</v>
      </c>
      <c r="J1019" s="7">
        <v>0</v>
      </c>
      <c r="K1019">
        <f t="shared" si="15"/>
        <v>120</v>
      </c>
      <c r="L1019" s="8" t="str" cm="1">
        <f t="array" ref="L1019">_xlfn.IFS(
 AND(K1019&gt;=89,K1019&lt;=92),"3개월",
 AND(K1019&gt;=58,K1019&lt;=62),"2개월",
 AND(K1019&gt;=28,K1019&lt;=32),"1개월",
 AND(K1019=0),"당월",
 TRUE,"그외"
)</f>
        <v>그외</v>
      </c>
    </row>
    <row r="1020" spans="1:12" ht="17.649999999999999" customHeight="1" x14ac:dyDescent="0.3">
      <c r="A1020" s="5">
        <v>46143</v>
      </c>
      <c r="B1020" s="6" t="s">
        <v>60</v>
      </c>
      <c r="C1020" s="6" t="s">
        <v>66</v>
      </c>
      <c r="D1020" s="5">
        <v>46054</v>
      </c>
      <c r="E1020" s="6" t="s">
        <v>14</v>
      </c>
      <c r="F1020" s="7">
        <v>347</v>
      </c>
      <c r="G1020" s="7">
        <v>168334.29394812681</v>
      </c>
      <c r="H1020" s="7">
        <v>58412000</v>
      </c>
      <c r="I1020" s="7">
        <v>7634000</v>
      </c>
      <c r="J1020" s="7">
        <v>0</v>
      </c>
      <c r="K1020">
        <f t="shared" si="15"/>
        <v>89</v>
      </c>
      <c r="L1020" s="8" t="str" cm="1">
        <f t="array" ref="L1020">_xlfn.IFS(
 AND(K1020&gt;=89,K1020&lt;=92),"3개월",
 AND(K1020&gt;=58,K1020&lt;=62),"2개월",
 AND(K1020&gt;=28,K1020&lt;=32),"1개월",
 AND(K1020=0),"당월",
 TRUE,"그외"
)</f>
        <v>3개월</v>
      </c>
    </row>
    <row r="1021" spans="1:12" ht="17.649999999999999" customHeight="1" x14ac:dyDescent="0.3">
      <c r="A1021" s="5">
        <v>46143</v>
      </c>
      <c r="B1021" s="6" t="s">
        <v>60</v>
      </c>
      <c r="C1021" s="6" t="s">
        <v>66</v>
      </c>
      <c r="D1021" s="5">
        <v>46054</v>
      </c>
      <c r="E1021" s="6" t="s">
        <v>15</v>
      </c>
      <c r="F1021" s="7">
        <v>193</v>
      </c>
      <c r="G1021" s="7">
        <v>210029.27461139901</v>
      </c>
      <c r="H1021" s="7">
        <v>40535650</v>
      </c>
      <c r="I1021" s="7">
        <v>4438910</v>
      </c>
      <c r="J1021" s="7">
        <v>0</v>
      </c>
      <c r="K1021">
        <f t="shared" si="15"/>
        <v>89</v>
      </c>
      <c r="L1021" s="8" t="str" cm="1">
        <f t="array" ref="L1021">_xlfn.IFS(
 AND(K1021&gt;=89,K1021&lt;=92),"3개월",
 AND(K1021&gt;=58,K1021&lt;=62),"2개월",
 AND(K1021&gt;=28,K1021&lt;=32),"1개월",
 AND(K1021=0),"당월",
 TRUE,"그외"
)</f>
        <v>3개월</v>
      </c>
    </row>
    <row r="1022" spans="1:12" ht="17.649999999999999" customHeight="1" x14ac:dyDescent="0.3">
      <c r="A1022" s="5">
        <v>46143</v>
      </c>
      <c r="B1022" s="6" t="s">
        <v>60</v>
      </c>
      <c r="C1022" s="6" t="s">
        <v>66</v>
      </c>
      <c r="D1022" s="5">
        <v>46082</v>
      </c>
      <c r="E1022" s="6" t="s">
        <v>14</v>
      </c>
      <c r="F1022" s="7">
        <v>1000</v>
      </c>
      <c r="G1022" s="7">
        <v>167195</v>
      </c>
      <c r="H1022" s="7">
        <v>167195000</v>
      </c>
      <c r="I1022" s="7">
        <v>27900000</v>
      </c>
      <c r="J1022" s="7">
        <v>0</v>
      </c>
      <c r="K1022">
        <f t="shared" si="15"/>
        <v>61</v>
      </c>
      <c r="L1022" s="8" t="str" cm="1">
        <f t="array" ref="L1022">_xlfn.IFS(
 AND(K1022&gt;=89,K1022&lt;=92),"3개월",
 AND(K1022&gt;=58,K1022&lt;=62),"2개월",
 AND(K1022&gt;=28,K1022&lt;=32),"1개월",
 AND(K1022=0),"당월",
 TRUE,"그외"
)</f>
        <v>2개월</v>
      </c>
    </row>
    <row r="1023" spans="1:12" ht="17.649999999999999" customHeight="1" x14ac:dyDescent="0.3">
      <c r="A1023" s="5">
        <v>46143</v>
      </c>
      <c r="B1023" s="6" t="s">
        <v>60</v>
      </c>
      <c r="C1023" s="6" t="s">
        <v>66</v>
      </c>
      <c r="D1023" s="5">
        <v>46082</v>
      </c>
      <c r="E1023" s="6" t="s">
        <v>15</v>
      </c>
      <c r="F1023" s="7">
        <v>1768</v>
      </c>
      <c r="G1023" s="7">
        <v>155866.1662895928</v>
      </c>
      <c r="H1023" s="7">
        <v>275571382</v>
      </c>
      <c r="I1023" s="7">
        <v>51280811</v>
      </c>
      <c r="J1023" s="7">
        <v>0</v>
      </c>
      <c r="K1023">
        <f t="shared" si="15"/>
        <v>61</v>
      </c>
      <c r="L1023" s="8" t="str" cm="1">
        <f t="array" ref="L1023">_xlfn.IFS(
 AND(K1023&gt;=89,K1023&lt;=92),"3개월",
 AND(K1023&gt;=58,K1023&lt;=62),"2개월",
 AND(K1023&gt;=28,K1023&lt;=32),"1개월",
 AND(K1023=0),"당월",
 TRUE,"그외"
)</f>
        <v>2개월</v>
      </c>
    </row>
    <row r="1024" spans="1:12" ht="17.649999999999999" customHeight="1" x14ac:dyDescent="0.3">
      <c r="A1024" s="5">
        <v>46143</v>
      </c>
      <c r="B1024" s="6" t="s">
        <v>60</v>
      </c>
      <c r="C1024" s="6" t="s">
        <v>66</v>
      </c>
      <c r="D1024" s="5">
        <v>46113</v>
      </c>
      <c r="E1024" s="6" t="s">
        <v>14</v>
      </c>
      <c r="F1024" s="7">
        <v>288</v>
      </c>
      <c r="G1024" s="7">
        <v>199254.16666666669</v>
      </c>
      <c r="H1024" s="7">
        <v>57385200</v>
      </c>
      <c r="I1024" s="7">
        <v>23815200</v>
      </c>
      <c r="J1024" s="7">
        <v>0</v>
      </c>
      <c r="K1024">
        <f t="shared" si="15"/>
        <v>30</v>
      </c>
      <c r="L1024" s="8" t="str" cm="1">
        <f t="array" ref="L1024">_xlfn.IFS(
 AND(K1024&gt;=89,K1024&lt;=92),"3개월",
 AND(K1024&gt;=58,K1024&lt;=62),"2개월",
 AND(K1024&gt;=28,K1024&lt;=32),"1개월",
 AND(K1024=0),"당월",
 TRUE,"그외"
)</f>
        <v>1개월</v>
      </c>
    </row>
    <row r="1025" spans="1:12" ht="17.649999999999999" customHeight="1" x14ac:dyDescent="0.3">
      <c r="A1025" s="5">
        <v>46143</v>
      </c>
      <c r="B1025" s="6" t="s">
        <v>60</v>
      </c>
      <c r="C1025" s="6" t="s">
        <v>66</v>
      </c>
      <c r="D1025" s="5">
        <v>46113</v>
      </c>
      <c r="E1025" s="6" t="s">
        <v>15</v>
      </c>
      <c r="F1025" s="7">
        <v>491</v>
      </c>
      <c r="G1025" s="7">
        <v>225376.05906313649</v>
      </c>
      <c r="H1025" s="7">
        <v>110659645</v>
      </c>
      <c r="I1025" s="7">
        <v>33803621</v>
      </c>
      <c r="J1025" s="7">
        <v>0</v>
      </c>
      <c r="K1025">
        <f t="shared" si="15"/>
        <v>30</v>
      </c>
      <c r="L1025" s="8" t="str" cm="1">
        <f t="array" ref="L1025">_xlfn.IFS(
 AND(K1025&gt;=89,K1025&lt;=92),"3개월",
 AND(K1025&gt;=58,K1025&lt;=62),"2개월",
 AND(K1025&gt;=28,K1025&lt;=32),"1개월",
 AND(K1025=0),"당월",
 TRUE,"그외"
)</f>
        <v>1개월</v>
      </c>
    </row>
    <row r="1026" spans="1:12" ht="17.649999999999999" customHeight="1" x14ac:dyDescent="0.3">
      <c r="A1026" s="5">
        <v>46143</v>
      </c>
      <c r="B1026" s="6" t="s">
        <v>60</v>
      </c>
      <c r="C1026" s="6" t="s">
        <v>66</v>
      </c>
      <c r="D1026" s="5">
        <v>46143</v>
      </c>
      <c r="E1026" s="6" t="s">
        <v>14</v>
      </c>
      <c r="F1026" s="7">
        <v>2</v>
      </c>
      <c r="G1026" s="7">
        <v>97900</v>
      </c>
      <c r="H1026" s="7">
        <v>195800</v>
      </c>
      <c r="I1026" s="7">
        <v>55800</v>
      </c>
      <c r="J1026" s="7">
        <v>0</v>
      </c>
      <c r="K1026">
        <f t="shared" si="15"/>
        <v>0</v>
      </c>
      <c r="L1026" s="8" t="str" cm="1">
        <f t="array" ref="L1026">_xlfn.IFS(
 AND(K1026&gt;=89,K1026&lt;=92),"3개월",
 AND(K1026&gt;=58,K1026&lt;=62),"2개월",
 AND(K1026&gt;=28,K1026&lt;=32),"1개월",
 AND(K1026=0),"당월",
 TRUE,"그외"
)</f>
        <v>당월</v>
      </c>
    </row>
    <row r="1027" spans="1:12" ht="17.649999999999999" customHeight="1" x14ac:dyDescent="0.3">
      <c r="A1027" s="5">
        <v>46143</v>
      </c>
      <c r="B1027" s="6" t="s">
        <v>60</v>
      </c>
      <c r="C1027" s="6" t="s">
        <v>66</v>
      </c>
      <c r="D1027" s="5">
        <v>46143</v>
      </c>
      <c r="E1027" s="6" t="s">
        <v>15</v>
      </c>
      <c r="F1027" s="7">
        <v>76</v>
      </c>
      <c r="G1027" s="7">
        <v>266934.84210526309</v>
      </c>
      <c r="H1027" s="7">
        <v>20287048</v>
      </c>
      <c r="I1027" s="7">
        <v>7101292</v>
      </c>
      <c r="J1027" s="7">
        <v>0</v>
      </c>
      <c r="K1027">
        <f t="shared" si="15"/>
        <v>0</v>
      </c>
      <c r="L1027" s="8" t="str" cm="1">
        <f t="array" ref="L1027">_xlfn.IFS(
 AND(K1027&gt;=89,K1027&lt;=92),"3개월",
 AND(K1027&gt;=58,K1027&lt;=62),"2개월",
 AND(K1027&gt;=28,K1027&lt;=32),"1개월",
 AND(K1027=0),"당월",
 TRUE,"그외"
)</f>
        <v>당월</v>
      </c>
    </row>
    <row r="1028" spans="1:12" ht="17.649999999999999" customHeight="1" x14ac:dyDescent="0.3">
      <c r="A1028" s="5">
        <v>46143</v>
      </c>
      <c r="B1028" s="6" t="s">
        <v>60</v>
      </c>
      <c r="C1028" s="6" t="s">
        <v>67</v>
      </c>
      <c r="D1028" s="5">
        <v>45931</v>
      </c>
      <c r="E1028" s="6" t="s">
        <v>15</v>
      </c>
      <c r="F1028" s="7">
        <v>193</v>
      </c>
      <c r="G1028" s="7">
        <v>217995.170984456</v>
      </c>
      <c r="H1028" s="7">
        <v>42073068</v>
      </c>
      <c r="I1028" s="7">
        <v>5127570</v>
      </c>
      <c r="J1028" s="7">
        <v>0</v>
      </c>
      <c r="K1028">
        <f t="shared" si="15"/>
        <v>212</v>
      </c>
      <c r="L1028" s="8" t="str" cm="1">
        <f t="array" ref="L1028">_xlfn.IFS(
 AND(K1028&gt;=89,K1028&lt;=92),"3개월",
 AND(K1028&gt;=58,K1028&lt;=62),"2개월",
 AND(K1028&gt;=28,K1028&lt;=32),"1개월",
 AND(K1028=0),"당월",
 TRUE,"그외"
)</f>
        <v>그외</v>
      </c>
    </row>
    <row r="1029" spans="1:12" ht="17.649999999999999" customHeight="1" x14ac:dyDescent="0.3">
      <c r="A1029" s="5">
        <v>46143</v>
      </c>
      <c r="B1029" s="6" t="s">
        <v>60</v>
      </c>
      <c r="C1029" s="6" t="s">
        <v>67</v>
      </c>
      <c r="D1029" s="5">
        <v>45962</v>
      </c>
      <c r="E1029" s="6" t="s">
        <v>15</v>
      </c>
      <c r="F1029" s="7">
        <v>357</v>
      </c>
      <c r="G1029" s="7">
        <v>218173.37535014009</v>
      </c>
      <c r="H1029" s="7">
        <v>77887895</v>
      </c>
      <c r="I1029" s="7">
        <v>9792651</v>
      </c>
      <c r="J1029" s="7">
        <v>0</v>
      </c>
      <c r="K1029">
        <f t="shared" si="15"/>
        <v>181</v>
      </c>
      <c r="L1029" s="8" t="str" cm="1">
        <f t="array" ref="L1029">_xlfn.IFS(
 AND(K1029&gt;=89,K1029&lt;=92),"3개월",
 AND(K1029&gt;=58,K1029&lt;=62),"2개월",
 AND(K1029&gt;=28,K1029&lt;=32),"1개월",
 AND(K1029=0),"당월",
 TRUE,"그외"
)</f>
        <v>그외</v>
      </c>
    </row>
    <row r="1030" spans="1:12" ht="17.649999999999999" customHeight="1" x14ac:dyDescent="0.3">
      <c r="A1030" s="5">
        <v>46143</v>
      </c>
      <c r="B1030" s="6" t="s">
        <v>60</v>
      </c>
      <c r="C1030" s="6" t="s">
        <v>67</v>
      </c>
      <c r="D1030" s="5">
        <v>45992</v>
      </c>
      <c r="E1030" s="6" t="s">
        <v>15</v>
      </c>
      <c r="F1030" s="7">
        <v>368</v>
      </c>
      <c r="G1030" s="7">
        <v>201852.92663043481</v>
      </c>
      <c r="H1030" s="7">
        <v>74281877</v>
      </c>
      <c r="I1030" s="7">
        <v>11667463</v>
      </c>
      <c r="J1030" s="7">
        <v>0</v>
      </c>
      <c r="K1030">
        <f t="shared" si="15"/>
        <v>151</v>
      </c>
      <c r="L1030" s="8" t="str" cm="1">
        <f t="array" ref="L1030">_xlfn.IFS(
 AND(K1030&gt;=89,K1030&lt;=92),"3개월",
 AND(K1030&gt;=58,K1030&lt;=62),"2개월",
 AND(K1030&gt;=28,K1030&lt;=32),"1개월",
 AND(K1030=0),"당월",
 TRUE,"그외"
)</f>
        <v>그외</v>
      </c>
    </row>
    <row r="1031" spans="1:12" ht="17.649999999999999" customHeight="1" x14ac:dyDescent="0.3">
      <c r="A1031" s="5">
        <v>46143</v>
      </c>
      <c r="B1031" s="6" t="s">
        <v>60</v>
      </c>
      <c r="C1031" s="6" t="s">
        <v>67</v>
      </c>
      <c r="D1031" s="5">
        <v>46023</v>
      </c>
      <c r="E1031" s="6" t="s">
        <v>15</v>
      </c>
      <c r="F1031" s="7">
        <v>520</v>
      </c>
      <c r="G1031" s="7">
        <v>207784.3288461538</v>
      </c>
      <c r="H1031" s="7">
        <v>108047851</v>
      </c>
      <c r="I1031" s="7">
        <v>16909773</v>
      </c>
      <c r="J1031" s="7">
        <v>0</v>
      </c>
      <c r="K1031">
        <f t="shared" si="15"/>
        <v>120</v>
      </c>
      <c r="L1031" s="8" t="str" cm="1">
        <f t="array" ref="L1031">_xlfn.IFS(
 AND(K1031&gt;=89,K1031&lt;=92),"3개월",
 AND(K1031&gt;=58,K1031&lt;=62),"2개월",
 AND(K1031&gt;=28,K1031&lt;=32),"1개월",
 AND(K1031=0),"당월",
 TRUE,"그외"
)</f>
        <v>그외</v>
      </c>
    </row>
    <row r="1032" spans="1:12" ht="17.649999999999999" customHeight="1" x14ac:dyDescent="0.3">
      <c r="A1032" s="5">
        <v>46143</v>
      </c>
      <c r="B1032" s="6" t="s">
        <v>60</v>
      </c>
      <c r="C1032" s="6" t="s">
        <v>67</v>
      </c>
      <c r="D1032" s="5">
        <v>46054</v>
      </c>
      <c r="E1032" s="6" t="s">
        <v>14</v>
      </c>
      <c r="F1032" s="7">
        <v>531</v>
      </c>
      <c r="G1032" s="7">
        <v>219862.52354048961</v>
      </c>
      <c r="H1032" s="7">
        <v>116747000</v>
      </c>
      <c r="I1032" s="7">
        <v>11682000</v>
      </c>
      <c r="J1032" s="7">
        <v>0</v>
      </c>
      <c r="K1032">
        <f t="shared" si="15"/>
        <v>89</v>
      </c>
      <c r="L1032" s="8" t="str" cm="1">
        <f t="array" ref="L1032">_xlfn.IFS(
 AND(K1032&gt;=89,K1032&lt;=92),"3개월",
 AND(K1032&gt;=58,K1032&lt;=62),"2개월",
 AND(K1032&gt;=28,K1032&lt;=32),"1개월",
 AND(K1032=0),"당월",
 TRUE,"그외"
)</f>
        <v>3개월</v>
      </c>
    </row>
    <row r="1033" spans="1:12" ht="17.649999999999999" customHeight="1" x14ac:dyDescent="0.3">
      <c r="A1033" s="5">
        <v>46143</v>
      </c>
      <c r="B1033" s="6" t="s">
        <v>60</v>
      </c>
      <c r="C1033" s="6" t="s">
        <v>67</v>
      </c>
      <c r="D1033" s="5">
        <v>46054</v>
      </c>
      <c r="E1033" s="6" t="s">
        <v>15</v>
      </c>
      <c r="F1033" s="7">
        <v>811</v>
      </c>
      <c r="G1033" s="7">
        <v>190938.5758323058</v>
      </c>
      <c r="H1033" s="7">
        <v>154851185</v>
      </c>
      <c r="I1033" s="7">
        <v>18637849</v>
      </c>
      <c r="J1033" s="7">
        <v>0</v>
      </c>
      <c r="K1033">
        <f t="shared" si="15"/>
        <v>89</v>
      </c>
      <c r="L1033" s="8" t="str" cm="1">
        <f t="array" ref="L1033">_xlfn.IFS(
 AND(K1033&gt;=89,K1033&lt;=92),"3개월",
 AND(K1033&gt;=58,K1033&lt;=62),"2개월",
 AND(K1033&gt;=28,K1033&lt;=32),"1개월",
 AND(K1033=0),"당월",
 TRUE,"그외"
)</f>
        <v>3개월</v>
      </c>
    </row>
    <row r="1034" spans="1:12" ht="17.649999999999999" customHeight="1" x14ac:dyDescent="0.3">
      <c r="A1034" s="5">
        <v>46143</v>
      </c>
      <c r="B1034" s="6" t="s">
        <v>60</v>
      </c>
      <c r="C1034" s="6" t="s">
        <v>67</v>
      </c>
      <c r="D1034" s="5">
        <v>46082</v>
      </c>
      <c r="E1034" s="6" t="s">
        <v>14</v>
      </c>
      <c r="F1034" s="7">
        <v>2039</v>
      </c>
      <c r="G1034" s="7">
        <v>139256.54732712111</v>
      </c>
      <c r="H1034" s="7">
        <v>283944100</v>
      </c>
      <c r="I1034" s="7">
        <v>56888100</v>
      </c>
      <c r="J1034" s="7">
        <v>0</v>
      </c>
      <c r="K1034">
        <f t="shared" ref="K1034:K1097" si="16">A1034-D1034</f>
        <v>61</v>
      </c>
      <c r="L1034" s="8" t="str" cm="1">
        <f t="array" ref="L1034">_xlfn.IFS(
 AND(K1034&gt;=89,K1034&lt;=92),"3개월",
 AND(K1034&gt;=58,K1034&lt;=62),"2개월",
 AND(K1034&gt;=28,K1034&lt;=32),"1개월",
 AND(K1034=0),"당월",
 TRUE,"그외"
)</f>
        <v>2개월</v>
      </c>
    </row>
    <row r="1035" spans="1:12" ht="17.649999999999999" customHeight="1" x14ac:dyDescent="0.3">
      <c r="A1035" s="5">
        <v>46143</v>
      </c>
      <c r="B1035" s="6" t="s">
        <v>60</v>
      </c>
      <c r="C1035" s="6" t="s">
        <v>67</v>
      </c>
      <c r="D1035" s="5">
        <v>46082</v>
      </c>
      <c r="E1035" s="6" t="s">
        <v>15</v>
      </c>
      <c r="F1035" s="7">
        <v>3149</v>
      </c>
      <c r="G1035" s="7">
        <v>185582.8266116227</v>
      </c>
      <c r="H1035" s="7">
        <v>584400321</v>
      </c>
      <c r="I1035" s="7">
        <v>88880059</v>
      </c>
      <c r="J1035" s="7">
        <v>0</v>
      </c>
      <c r="K1035">
        <f t="shared" si="16"/>
        <v>61</v>
      </c>
      <c r="L1035" s="8" t="str" cm="1">
        <f t="array" ref="L1035">_xlfn.IFS(
 AND(K1035&gt;=89,K1035&lt;=92),"3개월",
 AND(K1035&gt;=58,K1035&lt;=62),"2개월",
 AND(K1035&gt;=28,K1035&lt;=32),"1개월",
 AND(K1035=0),"당월",
 TRUE,"그외"
)</f>
        <v>2개월</v>
      </c>
    </row>
    <row r="1036" spans="1:12" ht="17.649999999999999" customHeight="1" x14ac:dyDescent="0.3">
      <c r="A1036" s="5">
        <v>46143</v>
      </c>
      <c r="B1036" s="6" t="s">
        <v>60</v>
      </c>
      <c r="C1036" s="6" t="s">
        <v>67</v>
      </c>
      <c r="D1036" s="5">
        <v>46113</v>
      </c>
      <c r="E1036" s="6" t="s">
        <v>14</v>
      </c>
      <c r="F1036" s="7">
        <v>598</v>
      </c>
      <c r="G1036" s="7">
        <v>192379.26421404679</v>
      </c>
      <c r="H1036" s="7">
        <v>115042800</v>
      </c>
      <c r="I1036" s="7">
        <v>50610800</v>
      </c>
      <c r="J1036" s="7">
        <v>0</v>
      </c>
      <c r="K1036">
        <f t="shared" si="16"/>
        <v>30</v>
      </c>
      <c r="L1036" s="8" t="str" cm="1">
        <f t="array" ref="L1036">_xlfn.IFS(
 AND(K1036&gt;=89,K1036&lt;=92),"3개월",
 AND(K1036&gt;=58,K1036&lt;=62),"2개월",
 AND(K1036&gt;=28,K1036&lt;=32),"1개월",
 AND(K1036=0),"당월",
 TRUE,"그외"
)</f>
        <v>1개월</v>
      </c>
    </row>
    <row r="1037" spans="1:12" ht="17.649999999999999" customHeight="1" x14ac:dyDescent="0.3">
      <c r="A1037" s="5">
        <v>46143</v>
      </c>
      <c r="B1037" s="6" t="s">
        <v>60</v>
      </c>
      <c r="C1037" s="6" t="s">
        <v>67</v>
      </c>
      <c r="D1037" s="5">
        <v>46113</v>
      </c>
      <c r="E1037" s="6" t="s">
        <v>15</v>
      </c>
      <c r="F1037" s="7">
        <v>1182</v>
      </c>
      <c r="G1037" s="7">
        <v>207836.01945854479</v>
      </c>
      <c r="H1037" s="7">
        <v>245662175</v>
      </c>
      <c r="I1037" s="7">
        <v>80418118</v>
      </c>
      <c r="J1037" s="7">
        <v>0</v>
      </c>
      <c r="K1037">
        <f t="shared" si="16"/>
        <v>30</v>
      </c>
      <c r="L1037" s="8" t="str" cm="1">
        <f t="array" ref="L1037">_xlfn.IFS(
 AND(K1037&gt;=89,K1037&lt;=92),"3개월",
 AND(K1037&gt;=58,K1037&lt;=62),"2개월",
 AND(K1037&gt;=28,K1037&lt;=32),"1개월",
 AND(K1037=0),"당월",
 TRUE,"그외"
)</f>
        <v>1개월</v>
      </c>
    </row>
    <row r="1038" spans="1:12" ht="17.649999999999999" customHeight="1" x14ac:dyDescent="0.3">
      <c r="A1038" s="5">
        <v>46143</v>
      </c>
      <c r="B1038" s="6" t="s">
        <v>60</v>
      </c>
      <c r="C1038" s="6" t="s">
        <v>67</v>
      </c>
      <c r="D1038" s="5">
        <v>46143</v>
      </c>
      <c r="E1038" s="6" t="s">
        <v>15</v>
      </c>
      <c r="F1038" s="7">
        <v>120</v>
      </c>
      <c r="G1038" s="7">
        <v>210386.4</v>
      </c>
      <c r="H1038" s="7">
        <v>25246368</v>
      </c>
      <c r="I1038" s="7">
        <v>11654107</v>
      </c>
      <c r="J1038" s="7">
        <v>0</v>
      </c>
      <c r="K1038">
        <f t="shared" si="16"/>
        <v>0</v>
      </c>
      <c r="L1038" s="8" t="str" cm="1">
        <f t="array" ref="L1038">_xlfn.IFS(
 AND(K1038&gt;=89,K1038&lt;=92),"3개월",
 AND(K1038&gt;=58,K1038&lt;=62),"2개월",
 AND(K1038&gt;=28,K1038&lt;=32),"1개월",
 AND(K1038=0),"당월",
 TRUE,"그외"
)</f>
        <v>당월</v>
      </c>
    </row>
    <row r="1039" spans="1:12" ht="17.649999999999999" customHeight="1" x14ac:dyDescent="0.3">
      <c r="A1039" s="5">
        <v>46143</v>
      </c>
      <c r="B1039" s="6" t="s">
        <v>60</v>
      </c>
      <c r="C1039" s="6" t="s">
        <v>68</v>
      </c>
      <c r="D1039" s="5">
        <v>45931</v>
      </c>
      <c r="E1039" s="6" t="s">
        <v>15</v>
      </c>
      <c r="F1039" s="7">
        <v>21</v>
      </c>
      <c r="G1039" s="7">
        <v>243542.8571428571</v>
      </c>
      <c r="H1039" s="7">
        <v>5114400</v>
      </c>
      <c r="I1039" s="7">
        <v>554400</v>
      </c>
      <c r="J1039" s="7">
        <v>0</v>
      </c>
      <c r="K1039">
        <f t="shared" si="16"/>
        <v>212</v>
      </c>
      <c r="L1039" s="8" t="str" cm="1">
        <f t="array" ref="L1039">_xlfn.IFS(
 AND(K1039&gt;=89,K1039&lt;=92),"3개월",
 AND(K1039&gt;=58,K1039&lt;=62),"2개월",
 AND(K1039&gt;=28,K1039&lt;=32),"1개월",
 AND(K1039=0),"당월",
 TRUE,"그외"
)</f>
        <v>그외</v>
      </c>
    </row>
    <row r="1040" spans="1:12" ht="17.649999999999999" customHeight="1" x14ac:dyDescent="0.3">
      <c r="A1040" s="5">
        <v>46143</v>
      </c>
      <c r="B1040" s="6" t="s">
        <v>60</v>
      </c>
      <c r="C1040" s="6" t="s">
        <v>68</v>
      </c>
      <c r="D1040" s="5">
        <v>45962</v>
      </c>
      <c r="E1040" s="6" t="s">
        <v>15</v>
      </c>
      <c r="F1040" s="7">
        <v>96</v>
      </c>
      <c r="G1040" s="7">
        <v>277645.9375</v>
      </c>
      <c r="H1040" s="7">
        <v>26654010</v>
      </c>
      <c r="I1040" s="7">
        <v>2562600</v>
      </c>
      <c r="J1040" s="7">
        <v>0</v>
      </c>
      <c r="K1040">
        <f t="shared" si="16"/>
        <v>181</v>
      </c>
      <c r="L1040" s="8" t="str" cm="1">
        <f t="array" ref="L1040">_xlfn.IFS(
 AND(K1040&gt;=89,K1040&lt;=92),"3개월",
 AND(K1040&gt;=58,K1040&lt;=62),"2개월",
 AND(K1040&gt;=28,K1040&lt;=32),"1개월",
 AND(K1040=0),"당월",
 TRUE,"그외"
)</f>
        <v>그외</v>
      </c>
    </row>
    <row r="1041" spans="1:12" ht="17.649999999999999" customHeight="1" x14ac:dyDescent="0.3">
      <c r="A1041" s="5">
        <v>46143</v>
      </c>
      <c r="B1041" s="6" t="s">
        <v>60</v>
      </c>
      <c r="C1041" s="6" t="s">
        <v>68</v>
      </c>
      <c r="D1041" s="5">
        <v>45992</v>
      </c>
      <c r="E1041" s="6" t="s">
        <v>15</v>
      </c>
      <c r="F1041" s="7">
        <v>184</v>
      </c>
      <c r="G1041" s="7">
        <v>222058.80434782611</v>
      </c>
      <c r="H1041" s="7">
        <v>40858820</v>
      </c>
      <c r="I1041" s="7">
        <v>5832800</v>
      </c>
      <c r="J1041" s="7">
        <v>0</v>
      </c>
      <c r="K1041">
        <f t="shared" si="16"/>
        <v>151</v>
      </c>
      <c r="L1041" s="8" t="str" cm="1">
        <f t="array" ref="L1041">_xlfn.IFS(
 AND(K1041&gt;=89,K1041&lt;=92),"3개월",
 AND(K1041&gt;=58,K1041&lt;=62),"2개월",
 AND(K1041&gt;=28,K1041&lt;=32),"1개월",
 AND(K1041=0),"당월",
 TRUE,"그외"
)</f>
        <v>그외</v>
      </c>
    </row>
    <row r="1042" spans="1:12" ht="17.649999999999999" customHeight="1" x14ac:dyDescent="0.3">
      <c r="A1042" s="5">
        <v>46143</v>
      </c>
      <c r="B1042" s="6" t="s">
        <v>60</v>
      </c>
      <c r="C1042" s="6" t="s">
        <v>68</v>
      </c>
      <c r="D1042" s="5">
        <v>46023</v>
      </c>
      <c r="E1042" s="6" t="s">
        <v>15</v>
      </c>
      <c r="F1042" s="7">
        <v>482</v>
      </c>
      <c r="G1042" s="7">
        <v>208134.36514522819</v>
      </c>
      <c r="H1042" s="7">
        <v>100320764</v>
      </c>
      <c r="I1042" s="7">
        <v>15613802</v>
      </c>
      <c r="J1042" s="7">
        <v>0</v>
      </c>
      <c r="K1042">
        <f t="shared" si="16"/>
        <v>120</v>
      </c>
      <c r="L1042" s="8" t="str" cm="1">
        <f t="array" ref="L1042">_xlfn.IFS(
 AND(K1042&gt;=89,K1042&lt;=92),"3개월",
 AND(K1042&gt;=58,K1042&lt;=62),"2개월",
 AND(K1042&gt;=28,K1042&lt;=32),"1개월",
 AND(K1042=0),"당월",
 TRUE,"그외"
)</f>
        <v>그외</v>
      </c>
    </row>
    <row r="1043" spans="1:12" ht="17.649999999999999" customHeight="1" x14ac:dyDescent="0.3">
      <c r="A1043" s="5">
        <v>46143</v>
      </c>
      <c r="B1043" s="6" t="s">
        <v>60</v>
      </c>
      <c r="C1043" s="6" t="s">
        <v>68</v>
      </c>
      <c r="D1043" s="5">
        <v>46054</v>
      </c>
      <c r="E1043" s="6" t="s">
        <v>14</v>
      </c>
      <c r="F1043" s="7">
        <v>402</v>
      </c>
      <c r="G1043" s="7">
        <v>185457.71144278609</v>
      </c>
      <c r="H1043" s="7">
        <v>74554000</v>
      </c>
      <c r="I1043" s="7">
        <v>8844000</v>
      </c>
      <c r="J1043" s="7">
        <v>0</v>
      </c>
      <c r="K1043">
        <f t="shared" si="16"/>
        <v>89</v>
      </c>
      <c r="L1043" s="8" t="str" cm="1">
        <f t="array" ref="L1043">_xlfn.IFS(
 AND(K1043&gt;=89,K1043&lt;=92),"3개월",
 AND(K1043&gt;=58,K1043&lt;=62),"2개월",
 AND(K1043&gt;=28,K1043&lt;=32),"1개월",
 AND(K1043=0),"당월",
 TRUE,"그외"
)</f>
        <v>3개월</v>
      </c>
    </row>
    <row r="1044" spans="1:12" ht="17.649999999999999" customHeight="1" x14ac:dyDescent="0.3">
      <c r="A1044" s="5">
        <v>46143</v>
      </c>
      <c r="B1044" s="6" t="s">
        <v>60</v>
      </c>
      <c r="C1044" s="6" t="s">
        <v>68</v>
      </c>
      <c r="D1044" s="5">
        <v>46054</v>
      </c>
      <c r="E1044" s="6" t="s">
        <v>15</v>
      </c>
      <c r="F1044" s="7">
        <v>515</v>
      </c>
      <c r="G1044" s="7">
        <v>205997.51067961159</v>
      </c>
      <c r="H1044" s="7">
        <v>106088718</v>
      </c>
      <c r="I1044" s="7">
        <v>12159120</v>
      </c>
      <c r="J1044" s="7">
        <v>0</v>
      </c>
      <c r="K1044">
        <f t="shared" si="16"/>
        <v>89</v>
      </c>
      <c r="L1044" s="8" t="str" cm="1">
        <f t="array" ref="L1044">_xlfn.IFS(
 AND(K1044&gt;=89,K1044&lt;=92),"3개월",
 AND(K1044&gt;=58,K1044&lt;=62),"2개월",
 AND(K1044&gt;=28,K1044&lt;=32),"1개월",
 AND(K1044=0),"당월",
 TRUE,"그외"
)</f>
        <v>3개월</v>
      </c>
    </row>
    <row r="1045" spans="1:12" ht="17.649999999999999" customHeight="1" x14ac:dyDescent="0.3">
      <c r="A1045" s="5">
        <v>46143</v>
      </c>
      <c r="B1045" s="6" t="s">
        <v>60</v>
      </c>
      <c r="C1045" s="6" t="s">
        <v>68</v>
      </c>
      <c r="D1045" s="5">
        <v>46082</v>
      </c>
      <c r="E1045" s="6" t="s">
        <v>14</v>
      </c>
      <c r="F1045" s="7">
        <v>988</v>
      </c>
      <c r="G1045" s="7">
        <v>198765.3846153846</v>
      </c>
      <c r="H1045" s="7">
        <v>196380200</v>
      </c>
      <c r="I1045" s="7">
        <v>27565200</v>
      </c>
      <c r="J1045" s="7">
        <v>0</v>
      </c>
      <c r="K1045">
        <f t="shared" si="16"/>
        <v>61</v>
      </c>
      <c r="L1045" s="8" t="str" cm="1">
        <f t="array" ref="L1045">_xlfn.IFS(
 AND(K1045&gt;=89,K1045&lt;=92),"3개월",
 AND(K1045&gt;=58,K1045&lt;=62),"2개월",
 AND(K1045&gt;=28,K1045&lt;=32),"1개월",
 AND(K1045=0),"당월",
 TRUE,"그외"
)</f>
        <v>2개월</v>
      </c>
    </row>
    <row r="1046" spans="1:12" ht="17.649999999999999" customHeight="1" x14ac:dyDescent="0.3">
      <c r="A1046" s="5">
        <v>46143</v>
      </c>
      <c r="B1046" s="6" t="s">
        <v>60</v>
      </c>
      <c r="C1046" s="6" t="s">
        <v>68</v>
      </c>
      <c r="D1046" s="5">
        <v>46082</v>
      </c>
      <c r="E1046" s="6" t="s">
        <v>15</v>
      </c>
      <c r="F1046" s="7">
        <v>1138</v>
      </c>
      <c r="G1046" s="7">
        <v>216068.55360281191</v>
      </c>
      <c r="H1046" s="7">
        <v>245886014</v>
      </c>
      <c r="I1046" s="7">
        <v>32224608</v>
      </c>
      <c r="J1046" s="7">
        <v>0</v>
      </c>
      <c r="K1046">
        <f t="shared" si="16"/>
        <v>61</v>
      </c>
      <c r="L1046" s="8" t="str" cm="1">
        <f t="array" ref="L1046">_xlfn.IFS(
 AND(K1046&gt;=89,K1046&lt;=92),"3개월",
 AND(K1046&gt;=58,K1046&lt;=62),"2개월",
 AND(K1046&gt;=28,K1046&lt;=32),"1개월",
 AND(K1046=0),"당월",
 TRUE,"그외"
)</f>
        <v>2개월</v>
      </c>
    </row>
    <row r="1047" spans="1:12" ht="17.649999999999999" customHeight="1" x14ac:dyDescent="0.3">
      <c r="A1047" s="5">
        <v>46143</v>
      </c>
      <c r="B1047" s="6" t="s">
        <v>60</v>
      </c>
      <c r="C1047" s="6" t="s">
        <v>68</v>
      </c>
      <c r="D1047" s="5">
        <v>46113</v>
      </c>
      <c r="E1047" s="6" t="s">
        <v>14</v>
      </c>
      <c r="F1047" s="7">
        <v>253</v>
      </c>
      <c r="G1047" s="7">
        <v>198097.62845849799</v>
      </c>
      <c r="H1047" s="7">
        <v>50118700</v>
      </c>
      <c r="I1047" s="7">
        <v>21758700</v>
      </c>
      <c r="J1047" s="7">
        <v>0</v>
      </c>
      <c r="K1047">
        <f t="shared" si="16"/>
        <v>30</v>
      </c>
      <c r="L1047" s="8" t="str" cm="1">
        <f t="array" ref="L1047">_xlfn.IFS(
 AND(K1047&gt;=89,K1047&lt;=92),"3개월",
 AND(K1047&gt;=58,K1047&lt;=62),"2개월",
 AND(K1047&gt;=28,K1047&lt;=32),"1개월",
 AND(K1047=0),"당월",
 TRUE,"그외"
)</f>
        <v>1개월</v>
      </c>
    </row>
    <row r="1048" spans="1:12" ht="17.649999999999999" customHeight="1" x14ac:dyDescent="0.3">
      <c r="A1048" s="5">
        <v>46143</v>
      </c>
      <c r="B1048" s="6" t="s">
        <v>60</v>
      </c>
      <c r="C1048" s="6" t="s">
        <v>68</v>
      </c>
      <c r="D1048" s="5">
        <v>46113</v>
      </c>
      <c r="E1048" s="6" t="s">
        <v>15</v>
      </c>
      <c r="F1048" s="7">
        <v>794</v>
      </c>
      <c r="G1048" s="7">
        <v>205571.3186397985</v>
      </c>
      <c r="H1048" s="7">
        <v>163223627</v>
      </c>
      <c r="I1048" s="7">
        <v>59359915</v>
      </c>
      <c r="J1048" s="7">
        <v>0</v>
      </c>
      <c r="K1048">
        <f t="shared" si="16"/>
        <v>30</v>
      </c>
      <c r="L1048" s="8" t="str" cm="1">
        <f t="array" ref="L1048">_xlfn.IFS(
 AND(K1048&gt;=89,K1048&lt;=92),"3개월",
 AND(K1048&gt;=58,K1048&lt;=62),"2개월",
 AND(K1048&gt;=28,K1048&lt;=32),"1개월",
 AND(K1048=0),"당월",
 TRUE,"그외"
)</f>
        <v>1개월</v>
      </c>
    </row>
    <row r="1049" spans="1:12" ht="17.649999999999999" customHeight="1" x14ac:dyDescent="0.3">
      <c r="A1049" s="5">
        <v>46143</v>
      </c>
      <c r="B1049" s="6" t="s">
        <v>60</v>
      </c>
      <c r="C1049" s="6" t="s">
        <v>68</v>
      </c>
      <c r="D1049" s="5">
        <v>46143</v>
      </c>
      <c r="E1049" s="6" t="s">
        <v>14</v>
      </c>
      <c r="F1049" s="7">
        <v>2</v>
      </c>
      <c r="G1049" s="7">
        <v>0</v>
      </c>
      <c r="H1049" s="7">
        <v>0</v>
      </c>
      <c r="I1049" s="7">
        <v>0</v>
      </c>
      <c r="J1049" s="7">
        <v>0</v>
      </c>
      <c r="K1049">
        <f t="shared" si="16"/>
        <v>0</v>
      </c>
      <c r="L1049" s="8" t="str" cm="1">
        <f t="array" ref="L1049">_xlfn.IFS(
 AND(K1049&gt;=89,K1049&lt;=92),"3개월",
 AND(K1049&gt;=58,K1049&lt;=62),"2개월",
 AND(K1049&gt;=28,K1049&lt;=32),"1개월",
 AND(K1049=0),"당월",
 TRUE,"그외"
)</f>
        <v>당월</v>
      </c>
    </row>
    <row r="1050" spans="1:12" ht="17.649999999999999" customHeight="1" x14ac:dyDescent="0.3">
      <c r="A1050" s="5">
        <v>46143</v>
      </c>
      <c r="B1050" s="6" t="s">
        <v>60</v>
      </c>
      <c r="C1050" s="6" t="s">
        <v>68</v>
      </c>
      <c r="D1050" s="5">
        <v>46143</v>
      </c>
      <c r="E1050" s="6" t="s">
        <v>15</v>
      </c>
      <c r="F1050" s="7">
        <v>69</v>
      </c>
      <c r="G1050" s="7">
        <v>215443.75362318839</v>
      </c>
      <c r="H1050" s="7">
        <v>14865619</v>
      </c>
      <c r="I1050" s="7">
        <v>6797689</v>
      </c>
      <c r="J1050" s="7">
        <v>0</v>
      </c>
      <c r="K1050">
        <f t="shared" si="16"/>
        <v>0</v>
      </c>
      <c r="L1050" s="8" t="str" cm="1">
        <f t="array" ref="L1050">_xlfn.IFS(
 AND(K1050&gt;=89,K1050&lt;=92),"3개월",
 AND(K1050&gt;=58,K1050&lt;=62),"2개월",
 AND(K1050&gt;=28,K1050&lt;=32),"1개월",
 AND(K1050=0),"당월",
 TRUE,"그외"
)</f>
        <v>당월</v>
      </c>
    </row>
    <row r="1051" spans="1:12" ht="17.649999999999999" customHeight="1" x14ac:dyDescent="0.3">
      <c r="A1051" s="5">
        <v>46143</v>
      </c>
      <c r="B1051" s="6" t="s">
        <v>60</v>
      </c>
      <c r="C1051" s="6" t="s">
        <v>69</v>
      </c>
      <c r="D1051" s="5">
        <v>45962</v>
      </c>
      <c r="E1051" s="6" t="s">
        <v>15</v>
      </c>
      <c r="F1051" s="7">
        <v>84</v>
      </c>
      <c r="G1051" s="7">
        <v>219397.38095238089</v>
      </c>
      <c r="H1051" s="7">
        <v>18429380</v>
      </c>
      <c r="I1051" s="7">
        <v>2242800</v>
      </c>
      <c r="J1051" s="7">
        <v>0</v>
      </c>
      <c r="K1051">
        <f t="shared" si="16"/>
        <v>181</v>
      </c>
      <c r="L1051" s="8" t="str" cm="1">
        <f t="array" ref="L1051">_xlfn.IFS(
 AND(K1051&gt;=89,K1051&lt;=92),"3개월",
 AND(K1051&gt;=58,K1051&lt;=62),"2개월",
 AND(K1051&gt;=28,K1051&lt;=32),"1개월",
 AND(K1051=0),"당월",
 TRUE,"그외"
)</f>
        <v>그외</v>
      </c>
    </row>
    <row r="1052" spans="1:12" ht="17.649999999999999" customHeight="1" x14ac:dyDescent="0.3">
      <c r="A1052" s="5">
        <v>46143</v>
      </c>
      <c r="B1052" s="6" t="s">
        <v>60</v>
      </c>
      <c r="C1052" s="6" t="s">
        <v>69</v>
      </c>
      <c r="D1052" s="5">
        <v>45992</v>
      </c>
      <c r="E1052" s="6" t="s">
        <v>15</v>
      </c>
      <c r="F1052" s="7">
        <v>43</v>
      </c>
      <c r="G1052" s="7">
        <v>266952.5581395349</v>
      </c>
      <c r="H1052" s="7">
        <v>11478960</v>
      </c>
      <c r="I1052" s="7">
        <v>1313100</v>
      </c>
      <c r="J1052" s="7">
        <v>0</v>
      </c>
      <c r="K1052">
        <f t="shared" si="16"/>
        <v>151</v>
      </c>
      <c r="L1052" s="8" t="str" cm="1">
        <f t="array" ref="L1052">_xlfn.IFS(
 AND(K1052&gt;=89,K1052&lt;=92),"3개월",
 AND(K1052&gt;=58,K1052&lt;=62),"2개월",
 AND(K1052&gt;=28,K1052&lt;=32),"1개월",
 AND(K1052=0),"당월",
 TRUE,"그외"
)</f>
        <v>그외</v>
      </c>
    </row>
    <row r="1053" spans="1:12" ht="17.649999999999999" customHeight="1" x14ac:dyDescent="0.3">
      <c r="A1053" s="5">
        <v>46143</v>
      </c>
      <c r="B1053" s="6" t="s">
        <v>60</v>
      </c>
      <c r="C1053" s="6" t="s">
        <v>69</v>
      </c>
      <c r="D1053" s="5">
        <v>46023</v>
      </c>
      <c r="E1053" s="6" t="s">
        <v>15</v>
      </c>
      <c r="F1053" s="7">
        <v>228</v>
      </c>
      <c r="G1053" s="7">
        <v>260587.41228070171</v>
      </c>
      <c r="H1053" s="7">
        <v>59413930</v>
      </c>
      <c r="I1053" s="7">
        <v>7364400</v>
      </c>
      <c r="J1053" s="7">
        <v>0</v>
      </c>
      <c r="K1053">
        <f t="shared" si="16"/>
        <v>120</v>
      </c>
      <c r="L1053" s="8" t="str" cm="1">
        <f t="array" ref="L1053">_xlfn.IFS(
 AND(K1053&gt;=89,K1053&lt;=92),"3개월",
 AND(K1053&gt;=58,K1053&lt;=62),"2개월",
 AND(K1053&gt;=28,K1053&lt;=32),"1개월",
 AND(K1053=0),"당월",
 TRUE,"그외"
)</f>
        <v>그외</v>
      </c>
    </row>
    <row r="1054" spans="1:12" ht="17.649999999999999" customHeight="1" x14ac:dyDescent="0.3">
      <c r="A1054" s="5">
        <v>46143</v>
      </c>
      <c r="B1054" s="6" t="s">
        <v>60</v>
      </c>
      <c r="C1054" s="6" t="s">
        <v>69</v>
      </c>
      <c r="D1054" s="5">
        <v>46054</v>
      </c>
      <c r="E1054" s="6" t="s">
        <v>14</v>
      </c>
      <c r="F1054" s="7">
        <v>196</v>
      </c>
      <c r="G1054" s="7">
        <v>184448.97959183669</v>
      </c>
      <c r="H1054" s="7">
        <v>36152000</v>
      </c>
      <c r="I1054" s="7">
        <v>4312000</v>
      </c>
      <c r="J1054" s="7">
        <v>0</v>
      </c>
      <c r="K1054">
        <f t="shared" si="16"/>
        <v>89</v>
      </c>
      <c r="L1054" s="8" t="str" cm="1">
        <f t="array" ref="L1054">_xlfn.IFS(
 AND(K1054&gt;=89,K1054&lt;=92),"3개월",
 AND(K1054&gt;=58,K1054&lt;=62),"2개월",
 AND(K1054&gt;=28,K1054&lt;=32),"1개월",
 AND(K1054=0),"당월",
 TRUE,"그외"
)</f>
        <v>3개월</v>
      </c>
    </row>
    <row r="1055" spans="1:12" ht="17.649999999999999" customHeight="1" x14ac:dyDescent="0.3">
      <c r="A1055" s="5">
        <v>46143</v>
      </c>
      <c r="B1055" s="6" t="s">
        <v>60</v>
      </c>
      <c r="C1055" s="6" t="s">
        <v>69</v>
      </c>
      <c r="D1055" s="5">
        <v>46054</v>
      </c>
      <c r="E1055" s="6" t="s">
        <v>15</v>
      </c>
      <c r="F1055" s="7">
        <v>427</v>
      </c>
      <c r="G1055" s="7">
        <v>215700.90866510541</v>
      </c>
      <c r="H1055" s="7">
        <v>92104288</v>
      </c>
      <c r="I1055" s="7">
        <v>9485100</v>
      </c>
      <c r="J1055" s="7">
        <v>0</v>
      </c>
      <c r="K1055">
        <f t="shared" si="16"/>
        <v>89</v>
      </c>
      <c r="L1055" s="8" t="str" cm="1">
        <f t="array" ref="L1055">_xlfn.IFS(
 AND(K1055&gt;=89,K1055&lt;=92),"3개월",
 AND(K1055&gt;=58,K1055&lt;=62),"2개월",
 AND(K1055&gt;=28,K1055&lt;=32),"1개월",
 AND(K1055=0),"당월",
 TRUE,"그외"
)</f>
        <v>3개월</v>
      </c>
    </row>
    <row r="1056" spans="1:12" ht="17.649999999999999" customHeight="1" x14ac:dyDescent="0.3">
      <c r="A1056" s="5">
        <v>46143</v>
      </c>
      <c r="B1056" s="6" t="s">
        <v>60</v>
      </c>
      <c r="C1056" s="6" t="s">
        <v>69</v>
      </c>
      <c r="D1056" s="5">
        <v>46082</v>
      </c>
      <c r="E1056" s="6" t="s">
        <v>14</v>
      </c>
      <c r="F1056" s="7">
        <v>971</v>
      </c>
      <c r="G1056" s="7">
        <v>173698.14624098869</v>
      </c>
      <c r="H1056" s="7">
        <v>168660900</v>
      </c>
      <c r="I1056" s="7">
        <v>27090900</v>
      </c>
      <c r="J1056" s="7">
        <v>0</v>
      </c>
      <c r="K1056">
        <f t="shared" si="16"/>
        <v>61</v>
      </c>
      <c r="L1056" s="8" t="str" cm="1">
        <f t="array" ref="L1056">_xlfn.IFS(
 AND(K1056&gt;=89,K1056&lt;=92),"3개월",
 AND(K1056&gt;=58,K1056&lt;=62),"2개월",
 AND(K1056&gt;=28,K1056&lt;=32),"1개월",
 AND(K1056=0),"당월",
 TRUE,"그외"
)</f>
        <v>2개월</v>
      </c>
    </row>
    <row r="1057" spans="1:12" ht="17.649999999999999" customHeight="1" x14ac:dyDescent="0.3">
      <c r="A1057" s="5">
        <v>46143</v>
      </c>
      <c r="B1057" s="6" t="s">
        <v>60</v>
      </c>
      <c r="C1057" s="6" t="s">
        <v>69</v>
      </c>
      <c r="D1057" s="5">
        <v>46082</v>
      </c>
      <c r="E1057" s="6" t="s">
        <v>15</v>
      </c>
      <c r="F1057" s="7">
        <v>1103</v>
      </c>
      <c r="G1057" s="7">
        <v>202310.01631912959</v>
      </c>
      <c r="H1057" s="7">
        <v>223147948</v>
      </c>
      <c r="I1057" s="7">
        <v>31171143</v>
      </c>
      <c r="J1057" s="7">
        <v>0</v>
      </c>
      <c r="K1057">
        <f t="shared" si="16"/>
        <v>61</v>
      </c>
      <c r="L1057" s="8" t="str" cm="1">
        <f t="array" ref="L1057">_xlfn.IFS(
 AND(K1057&gt;=89,K1057&lt;=92),"3개월",
 AND(K1057&gt;=58,K1057&lt;=62),"2개월",
 AND(K1057&gt;=28,K1057&lt;=32),"1개월",
 AND(K1057=0),"당월",
 TRUE,"그외"
)</f>
        <v>2개월</v>
      </c>
    </row>
    <row r="1058" spans="1:12" ht="17.649999999999999" customHeight="1" x14ac:dyDescent="0.3">
      <c r="A1058" s="5">
        <v>46143</v>
      </c>
      <c r="B1058" s="6" t="s">
        <v>60</v>
      </c>
      <c r="C1058" s="6" t="s">
        <v>69</v>
      </c>
      <c r="D1058" s="5">
        <v>46113</v>
      </c>
      <c r="E1058" s="6" t="s">
        <v>14</v>
      </c>
      <c r="F1058" s="7">
        <v>172</v>
      </c>
      <c r="G1058" s="7">
        <v>222747.67441860461</v>
      </c>
      <c r="H1058" s="7">
        <v>38312600</v>
      </c>
      <c r="I1058" s="7">
        <v>12792600</v>
      </c>
      <c r="J1058" s="7">
        <v>0</v>
      </c>
      <c r="K1058">
        <f t="shared" si="16"/>
        <v>30</v>
      </c>
      <c r="L1058" s="8" t="str" cm="1">
        <f t="array" ref="L1058">_xlfn.IFS(
 AND(K1058&gt;=89,K1058&lt;=92),"3개월",
 AND(K1058&gt;=58,K1058&lt;=62),"2개월",
 AND(K1058&gt;=28,K1058&lt;=32),"1개월",
 AND(K1058=0),"당월",
 TRUE,"그외"
)</f>
        <v>1개월</v>
      </c>
    </row>
    <row r="1059" spans="1:12" ht="17.649999999999999" customHeight="1" x14ac:dyDescent="0.3">
      <c r="A1059" s="5">
        <v>46143</v>
      </c>
      <c r="B1059" s="6" t="s">
        <v>60</v>
      </c>
      <c r="C1059" s="6" t="s">
        <v>69</v>
      </c>
      <c r="D1059" s="5">
        <v>46113</v>
      </c>
      <c r="E1059" s="6" t="s">
        <v>15</v>
      </c>
      <c r="F1059" s="7">
        <v>629</v>
      </c>
      <c r="G1059" s="7">
        <v>216075.58346581881</v>
      </c>
      <c r="H1059" s="7">
        <v>135911542</v>
      </c>
      <c r="I1059" s="7">
        <v>38491896</v>
      </c>
      <c r="J1059" s="7">
        <v>0</v>
      </c>
      <c r="K1059">
        <f t="shared" si="16"/>
        <v>30</v>
      </c>
      <c r="L1059" s="8" t="str" cm="1">
        <f t="array" ref="L1059">_xlfn.IFS(
 AND(K1059&gt;=89,K1059&lt;=92),"3개월",
 AND(K1059&gt;=58,K1059&lt;=62),"2개월",
 AND(K1059&gt;=28,K1059&lt;=32),"1개월",
 AND(K1059=0),"당월",
 TRUE,"그외"
)</f>
        <v>1개월</v>
      </c>
    </row>
    <row r="1060" spans="1:12" ht="17.649999999999999" customHeight="1" x14ac:dyDescent="0.3">
      <c r="A1060" s="5">
        <v>46143</v>
      </c>
      <c r="B1060" s="6" t="s">
        <v>60</v>
      </c>
      <c r="C1060" s="6" t="s">
        <v>69</v>
      </c>
      <c r="D1060" s="5">
        <v>46143</v>
      </c>
      <c r="E1060" s="6" t="s">
        <v>14</v>
      </c>
      <c r="F1060" s="7">
        <v>4</v>
      </c>
      <c r="G1060" s="7">
        <v>127900</v>
      </c>
      <c r="H1060" s="7">
        <v>511600</v>
      </c>
      <c r="I1060" s="7">
        <v>111600</v>
      </c>
      <c r="J1060" s="7">
        <v>0</v>
      </c>
      <c r="K1060">
        <f t="shared" si="16"/>
        <v>0</v>
      </c>
      <c r="L1060" s="8" t="str" cm="1">
        <f t="array" ref="L1060">_xlfn.IFS(
 AND(K1060&gt;=89,K1060&lt;=92),"3개월",
 AND(K1060&gt;=58,K1060&lt;=62),"2개월",
 AND(K1060&gt;=28,K1060&lt;=32),"1개월",
 AND(K1060=0),"당월",
 TRUE,"그외"
)</f>
        <v>당월</v>
      </c>
    </row>
    <row r="1061" spans="1:12" ht="17.649999999999999" customHeight="1" x14ac:dyDescent="0.3">
      <c r="A1061" s="5">
        <v>46143</v>
      </c>
      <c r="B1061" s="6" t="s">
        <v>60</v>
      </c>
      <c r="C1061" s="6" t="s">
        <v>69</v>
      </c>
      <c r="D1061" s="5">
        <v>46143</v>
      </c>
      <c r="E1061" s="6" t="s">
        <v>15</v>
      </c>
      <c r="F1061" s="7">
        <v>33</v>
      </c>
      <c r="G1061" s="7">
        <v>234071.2424242424</v>
      </c>
      <c r="H1061" s="7">
        <v>7724351</v>
      </c>
      <c r="I1061" s="7">
        <v>3321757</v>
      </c>
      <c r="J1061" s="7">
        <v>0</v>
      </c>
      <c r="K1061">
        <f t="shared" si="16"/>
        <v>0</v>
      </c>
      <c r="L1061" s="8" t="str" cm="1">
        <f t="array" ref="L1061">_xlfn.IFS(
 AND(K1061&gt;=89,K1061&lt;=92),"3개월",
 AND(K1061&gt;=58,K1061&lt;=62),"2개월",
 AND(K1061&gt;=28,K1061&lt;=32),"1개월",
 AND(K1061=0),"당월",
 TRUE,"그외"
)</f>
        <v>당월</v>
      </c>
    </row>
    <row r="1062" spans="1:12" ht="17.649999999999999" customHeight="1" x14ac:dyDescent="0.3">
      <c r="A1062" s="5">
        <v>46143</v>
      </c>
      <c r="B1062" s="6" t="s">
        <v>60</v>
      </c>
      <c r="C1062" s="6" t="s">
        <v>70</v>
      </c>
      <c r="D1062" s="5">
        <v>45962</v>
      </c>
      <c r="E1062" s="6" t="s">
        <v>15</v>
      </c>
      <c r="F1062" s="7">
        <v>28</v>
      </c>
      <c r="G1062" s="7">
        <v>226242.8571428571</v>
      </c>
      <c r="H1062" s="7">
        <v>6334800</v>
      </c>
      <c r="I1062" s="7">
        <v>747600</v>
      </c>
      <c r="J1062" s="7">
        <v>0</v>
      </c>
      <c r="K1062">
        <f t="shared" si="16"/>
        <v>181</v>
      </c>
      <c r="L1062" s="8" t="str" cm="1">
        <f t="array" ref="L1062">_xlfn.IFS(
 AND(K1062&gt;=89,K1062&lt;=92),"3개월",
 AND(K1062&gt;=58,K1062&lt;=62),"2개월",
 AND(K1062&gt;=28,K1062&lt;=32),"1개월",
 AND(K1062=0),"당월",
 TRUE,"그외"
)</f>
        <v>그외</v>
      </c>
    </row>
    <row r="1063" spans="1:12" ht="17.649999999999999" customHeight="1" x14ac:dyDescent="0.3">
      <c r="A1063" s="5">
        <v>46143</v>
      </c>
      <c r="B1063" s="6" t="s">
        <v>60</v>
      </c>
      <c r="C1063" s="6" t="s">
        <v>70</v>
      </c>
      <c r="D1063" s="5">
        <v>45992</v>
      </c>
      <c r="E1063" s="6" t="s">
        <v>15</v>
      </c>
      <c r="F1063" s="7">
        <v>65</v>
      </c>
      <c r="G1063" s="7">
        <v>273746.13846153847</v>
      </c>
      <c r="H1063" s="7">
        <v>17793499</v>
      </c>
      <c r="I1063" s="7">
        <v>2173888</v>
      </c>
      <c r="J1063" s="7">
        <v>0</v>
      </c>
      <c r="K1063">
        <f t="shared" si="16"/>
        <v>151</v>
      </c>
      <c r="L1063" s="8" t="str" cm="1">
        <f t="array" ref="L1063">_xlfn.IFS(
 AND(K1063&gt;=89,K1063&lt;=92),"3개월",
 AND(K1063&gt;=58,K1063&lt;=62),"2개월",
 AND(K1063&gt;=28,K1063&lt;=32),"1개월",
 AND(K1063=0),"당월",
 TRUE,"그외"
)</f>
        <v>그외</v>
      </c>
    </row>
    <row r="1064" spans="1:12" ht="17.649999999999999" customHeight="1" x14ac:dyDescent="0.3">
      <c r="A1064" s="5">
        <v>46143</v>
      </c>
      <c r="B1064" s="6" t="s">
        <v>60</v>
      </c>
      <c r="C1064" s="6" t="s">
        <v>70</v>
      </c>
      <c r="D1064" s="5">
        <v>46023</v>
      </c>
      <c r="E1064" s="6" t="s">
        <v>15</v>
      </c>
      <c r="F1064" s="7">
        <v>475</v>
      </c>
      <c r="G1064" s="7">
        <v>211788.7284210526</v>
      </c>
      <c r="H1064" s="7">
        <v>100599646</v>
      </c>
      <c r="I1064" s="7">
        <v>15412862</v>
      </c>
      <c r="J1064" s="7">
        <v>0</v>
      </c>
      <c r="K1064">
        <f t="shared" si="16"/>
        <v>120</v>
      </c>
      <c r="L1064" s="8" t="str" cm="1">
        <f t="array" ref="L1064">_xlfn.IFS(
 AND(K1064&gt;=89,K1064&lt;=92),"3개월",
 AND(K1064&gt;=58,K1064&lt;=62),"2개월",
 AND(K1064&gt;=28,K1064&lt;=32),"1개월",
 AND(K1064=0),"당월",
 TRUE,"그외"
)</f>
        <v>그외</v>
      </c>
    </row>
    <row r="1065" spans="1:12" ht="17.649999999999999" customHeight="1" x14ac:dyDescent="0.3">
      <c r="A1065" s="5">
        <v>46143</v>
      </c>
      <c r="B1065" s="6" t="s">
        <v>60</v>
      </c>
      <c r="C1065" s="6" t="s">
        <v>70</v>
      </c>
      <c r="D1065" s="5">
        <v>46054</v>
      </c>
      <c r="E1065" s="6" t="s">
        <v>14</v>
      </c>
      <c r="F1065" s="7">
        <v>97</v>
      </c>
      <c r="G1065" s="7">
        <v>120030.9278350516</v>
      </c>
      <c r="H1065" s="7">
        <v>11643000</v>
      </c>
      <c r="I1065" s="7">
        <v>2134000</v>
      </c>
      <c r="J1065" s="7">
        <v>0</v>
      </c>
      <c r="K1065">
        <f t="shared" si="16"/>
        <v>89</v>
      </c>
      <c r="L1065" s="8" t="str" cm="1">
        <f t="array" ref="L1065">_xlfn.IFS(
 AND(K1065&gt;=89,K1065&lt;=92),"3개월",
 AND(K1065&gt;=58,K1065&lt;=62),"2개월",
 AND(K1065&gt;=28,K1065&lt;=32),"1개월",
 AND(K1065=0),"당월",
 TRUE,"그외"
)</f>
        <v>3개월</v>
      </c>
    </row>
    <row r="1066" spans="1:12" ht="17.649999999999999" customHeight="1" x14ac:dyDescent="0.3">
      <c r="A1066" s="5">
        <v>46143</v>
      </c>
      <c r="B1066" s="6" t="s">
        <v>60</v>
      </c>
      <c r="C1066" s="6" t="s">
        <v>70</v>
      </c>
      <c r="D1066" s="5">
        <v>46054</v>
      </c>
      <c r="E1066" s="6" t="s">
        <v>15</v>
      </c>
      <c r="F1066" s="7">
        <v>474</v>
      </c>
      <c r="G1066" s="7">
        <v>195928.18987341769</v>
      </c>
      <c r="H1066" s="7">
        <v>92869962</v>
      </c>
      <c r="I1066" s="7">
        <v>10712177</v>
      </c>
      <c r="J1066" s="7">
        <v>0</v>
      </c>
      <c r="K1066">
        <f t="shared" si="16"/>
        <v>89</v>
      </c>
      <c r="L1066" s="8" t="str" cm="1">
        <f t="array" ref="L1066">_xlfn.IFS(
 AND(K1066&gt;=89,K1066&lt;=92),"3개월",
 AND(K1066&gt;=58,K1066&lt;=62),"2개월",
 AND(K1066&gt;=28,K1066&lt;=32),"1개월",
 AND(K1066=0),"당월",
 TRUE,"그외"
)</f>
        <v>3개월</v>
      </c>
    </row>
    <row r="1067" spans="1:12" ht="17.649999999999999" customHeight="1" x14ac:dyDescent="0.3">
      <c r="A1067" s="5">
        <v>46143</v>
      </c>
      <c r="B1067" s="6" t="s">
        <v>60</v>
      </c>
      <c r="C1067" s="6" t="s">
        <v>70</v>
      </c>
      <c r="D1067" s="5">
        <v>46082</v>
      </c>
      <c r="E1067" s="6" t="s">
        <v>14</v>
      </c>
      <c r="F1067" s="7">
        <v>1161</v>
      </c>
      <c r="G1067" s="7">
        <v>138314.29801894919</v>
      </c>
      <c r="H1067" s="7">
        <v>160582900</v>
      </c>
      <c r="I1067" s="7">
        <v>32391900</v>
      </c>
      <c r="J1067" s="7">
        <v>0</v>
      </c>
      <c r="K1067">
        <f t="shared" si="16"/>
        <v>61</v>
      </c>
      <c r="L1067" s="8" t="str" cm="1">
        <f t="array" ref="L1067">_xlfn.IFS(
 AND(K1067&gt;=89,K1067&lt;=92),"3개월",
 AND(K1067&gt;=58,K1067&lt;=62),"2개월",
 AND(K1067&gt;=28,K1067&lt;=32),"1개월",
 AND(K1067=0),"당월",
 TRUE,"그외"
)</f>
        <v>2개월</v>
      </c>
    </row>
    <row r="1068" spans="1:12" ht="17.649999999999999" customHeight="1" x14ac:dyDescent="0.3">
      <c r="A1068" s="5">
        <v>46143</v>
      </c>
      <c r="B1068" s="6" t="s">
        <v>60</v>
      </c>
      <c r="C1068" s="6" t="s">
        <v>70</v>
      </c>
      <c r="D1068" s="5">
        <v>46082</v>
      </c>
      <c r="E1068" s="6" t="s">
        <v>15</v>
      </c>
      <c r="F1068" s="7">
        <v>2108</v>
      </c>
      <c r="G1068" s="7">
        <v>174270.62333965849</v>
      </c>
      <c r="H1068" s="7">
        <v>367362474</v>
      </c>
      <c r="I1068" s="7">
        <v>59543669</v>
      </c>
      <c r="J1068" s="7">
        <v>0</v>
      </c>
      <c r="K1068">
        <f t="shared" si="16"/>
        <v>61</v>
      </c>
      <c r="L1068" s="8" t="str" cm="1">
        <f t="array" ref="L1068">_xlfn.IFS(
 AND(K1068&gt;=89,K1068&lt;=92),"3개월",
 AND(K1068&gt;=58,K1068&lt;=62),"2개월",
 AND(K1068&gt;=28,K1068&lt;=32),"1개월",
 AND(K1068=0),"당월",
 TRUE,"그외"
)</f>
        <v>2개월</v>
      </c>
    </row>
    <row r="1069" spans="1:12" ht="17.649999999999999" customHeight="1" x14ac:dyDescent="0.3">
      <c r="A1069" s="5">
        <v>46143</v>
      </c>
      <c r="B1069" s="6" t="s">
        <v>60</v>
      </c>
      <c r="C1069" s="6" t="s">
        <v>70</v>
      </c>
      <c r="D1069" s="5">
        <v>46113</v>
      </c>
      <c r="E1069" s="6" t="s">
        <v>14</v>
      </c>
      <c r="F1069" s="7">
        <v>370</v>
      </c>
      <c r="G1069" s="7">
        <v>168067.02702702701</v>
      </c>
      <c r="H1069" s="7">
        <v>62184800</v>
      </c>
      <c r="I1069" s="7">
        <v>27915800</v>
      </c>
      <c r="J1069" s="7">
        <v>0</v>
      </c>
      <c r="K1069">
        <f t="shared" si="16"/>
        <v>30</v>
      </c>
      <c r="L1069" s="8" t="str" cm="1">
        <f t="array" ref="L1069">_xlfn.IFS(
 AND(K1069&gt;=89,K1069&lt;=92),"3개월",
 AND(K1069&gt;=58,K1069&lt;=62),"2개월",
 AND(K1069&gt;=28,K1069&lt;=32),"1개월",
 AND(K1069=0),"당월",
 TRUE,"그외"
)</f>
        <v>1개월</v>
      </c>
    </row>
    <row r="1070" spans="1:12" ht="17.649999999999999" customHeight="1" x14ac:dyDescent="0.3">
      <c r="A1070" s="5">
        <v>46143</v>
      </c>
      <c r="B1070" s="6" t="s">
        <v>60</v>
      </c>
      <c r="C1070" s="6" t="s">
        <v>70</v>
      </c>
      <c r="D1070" s="5">
        <v>46113</v>
      </c>
      <c r="E1070" s="6" t="s">
        <v>15</v>
      </c>
      <c r="F1070" s="7">
        <v>1257</v>
      </c>
      <c r="G1070" s="7">
        <v>185299.0095465394</v>
      </c>
      <c r="H1070" s="7">
        <v>232920855</v>
      </c>
      <c r="I1070" s="7">
        <v>86283842</v>
      </c>
      <c r="J1070" s="7">
        <v>0</v>
      </c>
      <c r="K1070">
        <f t="shared" si="16"/>
        <v>30</v>
      </c>
      <c r="L1070" s="8" t="str" cm="1">
        <f t="array" ref="L1070">_xlfn.IFS(
 AND(K1070&gt;=89,K1070&lt;=92),"3개월",
 AND(K1070&gt;=58,K1070&lt;=62),"2개월",
 AND(K1070&gt;=28,K1070&lt;=32),"1개월",
 AND(K1070=0),"당월",
 TRUE,"그외"
)</f>
        <v>1개월</v>
      </c>
    </row>
    <row r="1071" spans="1:12" ht="17.649999999999999" customHeight="1" x14ac:dyDescent="0.3">
      <c r="A1071" s="5">
        <v>46143</v>
      </c>
      <c r="B1071" s="6" t="s">
        <v>60</v>
      </c>
      <c r="C1071" s="6" t="s">
        <v>70</v>
      </c>
      <c r="D1071" s="5">
        <v>46143</v>
      </c>
      <c r="E1071" s="6" t="s">
        <v>14</v>
      </c>
      <c r="F1071" s="7">
        <v>3</v>
      </c>
      <c r="G1071" s="7">
        <v>93515</v>
      </c>
      <c r="H1071" s="7">
        <v>280545</v>
      </c>
      <c r="I1071" s="7">
        <v>66000</v>
      </c>
      <c r="J1071" s="7">
        <v>0</v>
      </c>
      <c r="K1071">
        <f t="shared" si="16"/>
        <v>0</v>
      </c>
      <c r="L1071" s="8" t="str" cm="1">
        <f t="array" ref="L1071">_xlfn.IFS(
 AND(K1071&gt;=89,K1071&lt;=92),"3개월",
 AND(K1071&gt;=58,K1071&lt;=62),"2개월",
 AND(K1071&gt;=28,K1071&lt;=32),"1개월",
 AND(K1071=0),"당월",
 TRUE,"그외"
)</f>
        <v>당월</v>
      </c>
    </row>
    <row r="1072" spans="1:12" ht="17.649999999999999" customHeight="1" x14ac:dyDescent="0.3">
      <c r="A1072" s="5">
        <v>46143</v>
      </c>
      <c r="B1072" s="6" t="s">
        <v>60</v>
      </c>
      <c r="C1072" s="6" t="s">
        <v>70</v>
      </c>
      <c r="D1072" s="5">
        <v>46143</v>
      </c>
      <c r="E1072" s="6" t="s">
        <v>15</v>
      </c>
      <c r="F1072" s="7">
        <v>77</v>
      </c>
      <c r="G1072" s="7">
        <v>216158.987012987</v>
      </c>
      <c r="H1072" s="7">
        <v>16644242</v>
      </c>
      <c r="I1072" s="7">
        <v>9021869</v>
      </c>
      <c r="J1072" s="7">
        <v>0</v>
      </c>
      <c r="K1072">
        <f t="shared" si="16"/>
        <v>0</v>
      </c>
      <c r="L1072" s="8" t="str" cm="1">
        <f t="array" ref="L1072">_xlfn.IFS(
 AND(K1072&gt;=89,K1072&lt;=92),"3개월",
 AND(K1072&gt;=58,K1072&lt;=62),"2개월",
 AND(K1072&gt;=28,K1072&lt;=32),"1개월",
 AND(K1072=0),"당월",
 TRUE,"그외"
)</f>
        <v>당월</v>
      </c>
    </row>
    <row r="1073" spans="1:12" ht="17.649999999999999" customHeight="1" x14ac:dyDescent="0.3">
      <c r="A1073" s="5">
        <v>46143</v>
      </c>
      <c r="B1073" s="6" t="s">
        <v>60</v>
      </c>
      <c r="C1073" s="6" t="s">
        <v>71</v>
      </c>
      <c r="D1073" s="5">
        <v>46023</v>
      </c>
      <c r="E1073" s="6" t="s">
        <v>15</v>
      </c>
      <c r="F1073" s="7">
        <v>110</v>
      </c>
      <c r="G1073" s="7">
        <v>292900.33636363642</v>
      </c>
      <c r="H1073" s="7">
        <v>32219037</v>
      </c>
      <c r="I1073" s="7">
        <v>3679149</v>
      </c>
      <c r="J1073" s="7">
        <v>0</v>
      </c>
      <c r="K1073">
        <f t="shared" si="16"/>
        <v>120</v>
      </c>
      <c r="L1073" s="8" t="str" cm="1">
        <f t="array" ref="L1073">_xlfn.IFS(
 AND(K1073&gt;=89,K1073&lt;=92),"3개월",
 AND(K1073&gt;=58,K1073&lt;=62),"2개월",
 AND(K1073&gt;=28,K1073&lt;=32),"1개월",
 AND(K1073=0),"당월",
 TRUE,"그외"
)</f>
        <v>그외</v>
      </c>
    </row>
    <row r="1074" spans="1:12" ht="17.649999999999999" customHeight="1" x14ac:dyDescent="0.3">
      <c r="A1074" s="5">
        <v>46143</v>
      </c>
      <c r="B1074" s="6" t="s">
        <v>60</v>
      </c>
      <c r="C1074" s="6" t="s">
        <v>71</v>
      </c>
      <c r="D1074" s="5">
        <v>46054</v>
      </c>
      <c r="E1074" s="6" t="s">
        <v>14</v>
      </c>
      <c r="F1074" s="7">
        <v>309</v>
      </c>
      <c r="G1074" s="7">
        <v>298003.2362459547</v>
      </c>
      <c r="H1074" s="7">
        <v>92083000</v>
      </c>
      <c r="I1074" s="7">
        <v>6798000</v>
      </c>
      <c r="J1074" s="7">
        <v>0</v>
      </c>
      <c r="K1074">
        <f t="shared" si="16"/>
        <v>89</v>
      </c>
      <c r="L1074" s="8" t="str" cm="1">
        <f t="array" ref="L1074">_xlfn.IFS(
 AND(K1074&gt;=89,K1074&lt;=92),"3개월",
 AND(K1074&gt;=58,K1074&lt;=62),"2개월",
 AND(K1074&gt;=28,K1074&lt;=32),"1개월",
 AND(K1074=0),"당월",
 TRUE,"그외"
)</f>
        <v>3개월</v>
      </c>
    </row>
    <row r="1075" spans="1:12" ht="17.649999999999999" customHeight="1" x14ac:dyDescent="0.3">
      <c r="A1075" s="5">
        <v>46143</v>
      </c>
      <c r="B1075" s="6" t="s">
        <v>60</v>
      </c>
      <c r="C1075" s="6" t="s">
        <v>71</v>
      </c>
      <c r="D1075" s="5">
        <v>46054</v>
      </c>
      <c r="E1075" s="6" t="s">
        <v>15</v>
      </c>
      <c r="F1075" s="7">
        <v>86</v>
      </c>
      <c r="G1075" s="7">
        <v>265615.75581395352</v>
      </c>
      <c r="H1075" s="7">
        <v>22842955</v>
      </c>
      <c r="I1075" s="7">
        <v>2107987</v>
      </c>
      <c r="J1075" s="7">
        <v>0</v>
      </c>
      <c r="K1075">
        <f t="shared" si="16"/>
        <v>89</v>
      </c>
      <c r="L1075" s="8" t="str" cm="1">
        <f t="array" ref="L1075">_xlfn.IFS(
 AND(K1075&gt;=89,K1075&lt;=92),"3개월",
 AND(K1075&gt;=58,K1075&lt;=62),"2개월",
 AND(K1075&gt;=28,K1075&lt;=32),"1개월",
 AND(K1075=0),"당월",
 TRUE,"그외"
)</f>
        <v>3개월</v>
      </c>
    </row>
    <row r="1076" spans="1:12" ht="17.649999999999999" customHeight="1" x14ac:dyDescent="0.3">
      <c r="A1076" s="5">
        <v>46143</v>
      </c>
      <c r="B1076" s="6" t="s">
        <v>60</v>
      </c>
      <c r="C1076" s="6" t="s">
        <v>71</v>
      </c>
      <c r="D1076" s="5">
        <v>46082</v>
      </c>
      <c r="E1076" s="6" t="s">
        <v>14</v>
      </c>
      <c r="F1076" s="7">
        <v>180</v>
      </c>
      <c r="G1076" s="7">
        <v>176627.77777777781</v>
      </c>
      <c r="H1076" s="7">
        <v>31793000</v>
      </c>
      <c r="I1076" s="7">
        <v>5022000</v>
      </c>
      <c r="J1076" s="7">
        <v>0</v>
      </c>
      <c r="K1076">
        <f t="shared" si="16"/>
        <v>61</v>
      </c>
      <c r="L1076" s="8" t="str" cm="1">
        <f t="array" ref="L1076">_xlfn.IFS(
 AND(K1076&gt;=89,K1076&lt;=92),"3개월",
 AND(K1076&gt;=58,K1076&lt;=62),"2개월",
 AND(K1076&gt;=28,K1076&lt;=32),"1개월",
 AND(K1076=0),"당월",
 TRUE,"그외"
)</f>
        <v>2개월</v>
      </c>
    </row>
    <row r="1077" spans="1:12" ht="17.649999999999999" customHeight="1" x14ac:dyDescent="0.3">
      <c r="A1077" s="5">
        <v>46143</v>
      </c>
      <c r="B1077" s="6" t="s">
        <v>60</v>
      </c>
      <c r="C1077" s="6" t="s">
        <v>71</v>
      </c>
      <c r="D1077" s="5">
        <v>46082</v>
      </c>
      <c r="E1077" s="6" t="s">
        <v>15</v>
      </c>
      <c r="F1077" s="7">
        <v>439</v>
      </c>
      <c r="G1077" s="7">
        <v>320439.96810933942</v>
      </c>
      <c r="H1077" s="7">
        <v>140673146</v>
      </c>
      <c r="I1077" s="7">
        <v>12574791</v>
      </c>
      <c r="J1077" s="7">
        <v>0</v>
      </c>
      <c r="K1077">
        <f t="shared" si="16"/>
        <v>61</v>
      </c>
      <c r="L1077" s="8" t="str" cm="1">
        <f t="array" ref="L1077">_xlfn.IFS(
 AND(K1077&gt;=89,K1077&lt;=92),"3개월",
 AND(K1077&gt;=58,K1077&lt;=62),"2개월",
 AND(K1077&gt;=28,K1077&lt;=32),"1개월",
 AND(K1077=0),"당월",
 TRUE,"그외"
)</f>
        <v>2개월</v>
      </c>
    </row>
    <row r="1078" spans="1:12" ht="17.649999999999999" customHeight="1" x14ac:dyDescent="0.3">
      <c r="A1078" s="5">
        <v>46143</v>
      </c>
      <c r="B1078" s="6" t="s">
        <v>60</v>
      </c>
      <c r="C1078" s="6" t="s">
        <v>71</v>
      </c>
      <c r="D1078" s="5">
        <v>46113</v>
      </c>
      <c r="E1078" s="6" t="s">
        <v>14</v>
      </c>
      <c r="F1078" s="7">
        <v>9</v>
      </c>
      <c r="G1078" s="7">
        <v>246233.33333333331</v>
      </c>
      <c r="H1078" s="7">
        <v>2216100</v>
      </c>
      <c r="I1078" s="7">
        <v>791100</v>
      </c>
      <c r="J1078" s="7">
        <v>0</v>
      </c>
      <c r="K1078">
        <f t="shared" si="16"/>
        <v>30</v>
      </c>
      <c r="L1078" s="8" t="str" cm="1">
        <f t="array" ref="L1078">_xlfn.IFS(
 AND(K1078&gt;=89,K1078&lt;=92),"3개월",
 AND(K1078&gt;=58,K1078&lt;=62),"2개월",
 AND(K1078&gt;=28,K1078&lt;=32),"1개월",
 AND(K1078=0),"당월",
 TRUE,"그외"
)</f>
        <v>1개월</v>
      </c>
    </row>
    <row r="1079" spans="1:12" ht="17.649999999999999" customHeight="1" x14ac:dyDescent="0.3">
      <c r="A1079" s="5">
        <v>46143</v>
      </c>
      <c r="B1079" s="6" t="s">
        <v>60</v>
      </c>
      <c r="C1079" s="6" t="s">
        <v>71</v>
      </c>
      <c r="D1079" s="5">
        <v>46113</v>
      </c>
      <c r="E1079" s="6" t="s">
        <v>15</v>
      </c>
      <c r="F1079" s="7">
        <v>208</v>
      </c>
      <c r="G1079" s="7">
        <v>241160.40865384621</v>
      </c>
      <c r="H1079" s="7">
        <v>50161365</v>
      </c>
      <c r="I1079" s="7">
        <v>12122740</v>
      </c>
      <c r="J1079" s="7">
        <v>0</v>
      </c>
      <c r="K1079">
        <f t="shared" si="16"/>
        <v>30</v>
      </c>
      <c r="L1079" s="8" t="str" cm="1">
        <f t="array" ref="L1079">_xlfn.IFS(
 AND(K1079&gt;=89,K1079&lt;=92),"3개월",
 AND(K1079&gt;=58,K1079&lt;=62),"2개월",
 AND(K1079&gt;=28,K1079&lt;=32),"1개월",
 AND(K1079=0),"당월",
 TRUE,"그외"
)</f>
        <v>1개월</v>
      </c>
    </row>
    <row r="1080" spans="1:12" ht="17.649999999999999" customHeight="1" x14ac:dyDescent="0.3">
      <c r="A1080" s="5">
        <v>46143</v>
      </c>
      <c r="B1080" s="6" t="s">
        <v>60</v>
      </c>
      <c r="C1080" s="6" t="s">
        <v>71</v>
      </c>
      <c r="D1080" s="5">
        <v>46143</v>
      </c>
      <c r="E1080" s="6" t="s">
        <v>15</v>
      </c>
      <c r="F1080" s="7">
        <v>5</v>
      </c>
      <c r="G1080" s="7">
        <v>209580</v>
      </c>
      <c r="H1080" s="7">
        <v>1047900</v>
      </c>
      <c r="I1080" s="7">
        <v>554500</v>
      </c>
      <c r="J1080" s="7">
        <v>0</v>
      </c>
      <c r="K1080">
        <f t="shared" si="16"/>
        <v>0</v>
      </c>
      <c r="L1080" s="8" t="str" cm="1">
        <f t="array" ref="L1080">_xlfn.IFS(
 AND(K1080&gt;=89,K1080&lt;=92),"3개월",
 AND(K1080&gt;=58,K1080&lt;=62),"2개월",
 AND(K1080&gt;=28,K1080&lt;=32),"1개월",
 AND(K1080=0),"당월",
 TRUE,"그외"
)</f>
        <v>당월</v>
      </c>
    </row>
    <row r="1081" spans="1:12" ht="17.649999999999999" customHeight="1" x14ac:dyDescent="0.3">
      <c r="A1081" s="5">
        <v>46143</v>
      </c>
      <c r="B1081" s="6" t="s">
        <v>60</v>
      </c>
      <c r="C1081" s="6" t="s">
        <v>72</v>
      </c>
      <c r="D1081" s="5">
        <v>45962</v>
      </c>
      <c r="E1081" s="6" t="s">
        <v>15</v>
      </c>
      <c r="F1081" s="7">
        <v>73</v>
      </c>
      <c r="G1081" s="7">
        <v>178748.8630136986</v>
      </c>
      <c r="H1081" s="7">
        <v>13048667</v>
      </c>
      <c r="I1081" s="7">
        <v>1540300</v>
      </c>
      <c r="J1081" s="7">
        <v>0</v>
      </c>
      <c r="K1081">
        <f t="shared" si="16"/>
        <v>181</v>
      </c>
      <c r="L1081" s="8" t="str" cm="1">
        <f t="array" ref="L1081">_xlfn.IFS(
 AND(K1081&gt;=89,K1081&lt;=92),"3개월",
 AND(K1081&gt;=58,K1081&lt;=62),"2개월",
 AND(K1081&gt;=28,K1081&lt;=32),"1개월",
 AND(K1081=0),"당월",
 TRUE,"그외"
)</f>
        <v>그외</v>
      </c>
    </row>
    <row r="1082" spans="1:12" ht="17.649999999999999" customHeight="1" x14ac:dyDescent="0.3">
      <c r="A1082" s="5">
        <v>46143</v>
      </c>
      <c r="B1082" s="6" t="s">
        <v>60</v>
      </c>
      <c r="C1082" s="6" t="s">
        <v>72</v>
      </c>
      <c r="D1082" s="5">
        <v>45992</v>
      </c>
      <c r="E1082" s="6" t="s">
        <v>15</v>
      </c>
      <c r="F1082" s="7">
        <v>116</v>
      </c>
      <c r="G1082" s="7">
        <v>218475.96551724139</v>
      </c>
      <c r="H1082" s="7">
        <v>25343212</v>
      </c>
      <c r="I1082" s="7">
        <v>2822318</v>
      </c>
      <c r="J1082" s="7">
        <v>0</v>
      </c>
      <c r="K1082">
        <f t="shared" si="16"/>
        <v>151</v>
      </c>
      <c r="L1082" s="8" t="str" cm="1">
        <f t="array" ref="L1082">_xlfn.IFS(
 AND(K1082&gt;=89,K1082&lt;=92),"3개월",
 AND(K1082&gt;=58,K1082&lt;=62),"2개월",
 AND(K1082&gt;=28,K1082&lt;=32),"1개월",
 AND(K1082=0),"당월",
 TRUE,"그외"
)</f>
        <v>그외</v>
      </c>
    </row>
    <row r="1083" spans="1:12" ht="17.649999999999999" customHeight="1" x14ac:dyDescent="0.3">
      <c r="A1083" s="5">
        <v>46143</v>
      </c>
      <c r="B1083" s="6" t="s">
        <v>60</v>
      </c>
      <c r="C1083" s="6" t="s">
        <v>72</v>
      </c>
      <c r="D1083" s="5">
        <v>46023</v>
      </c>
      <c r="E1083" s="6" t="s">
        <v>15</v>
      </c>
      <c r="F1083" s="7">
        <v>463</v>
      </c>
      <c r="G1083" s="7">
        <v>194402.38228941691</v>
      </c>
      <c r="H1083" s="7">
        <v>90008303</v>
      </c>
      <c r="I1083" s="7">
        <v>11474771</v>
      </c>
      <c r="J1083" s="7">
        <v>0</v>
      </c>
      <c r="K1083">
        <f t="shared" si="16"/>
        <v>120</v>
      </c>
      <c r="L1083" s="8" t="str" cm="1">
        <f t="array" ref="L1083">_xlfn.IFS(
 AND(K1083&gt;=89,K1083&lt;=92),"3개월",
 AND(K1083&gt;=58,K1083&lt;=62),"2개월",
 AND(K1083&gt;=28,K1083&lt;=32),"1개월",
 AND(K1083=0),"당월",
 TRUE,"그외"
)</f>
        <v>그외</v>
      </c>
    </row>
    <row r="1084" spans="1:12" ht="17.649999999999999" customHeight="1" x14ac:dyDescent="0.3">
      <c r="A1084" s="5">
        <v>46143</v>
      </c>
      <c r="B1084" s="6" t="s">
        <v>60</v>
      </c>
      <c r="C1084" s="6" t="s">
        <v>72</v>
      </c>
      <c r="D1084" s="5">
        <v>46054</v>
      </c>
      <c r="E1084" s="6" t="s">
        <v>14</v>
      </c>
      <c r="F1084" s="7">
        <v>131</v>
      </c>
      <c r="G1084" s="7">
        <v>138844.2748091603</v>
      </c>
      <c r="H1084" s="7">
        <v>18188600</v>
      </c>
      <c r="I1084" s="7">
        <v>2305600</v>
      </c>
      <c r="J1084" s="7">
        <v>0</v>
      </c>
      <c r="K1084">
        <f t="shared" si="16"/>
        <v>89</v>
      </c>
      <c r="L1084" s="8" t="str" cm="1">
        <f t="array" ref="L1084">_xlfn.IFS(
 AND(K1084&gt;=89,K1084&lt;=92),"3개월",
 AND(K1084&gt;=58,K1084&lt;=62),"2개월",
 AND(K1084&gt;=28,K1084&lt;=32),"1개월",
 AND(K1084=0),"당월",
 TRUE,"그외"
)</f>
        <v>3개월</v>
      </c>
    </row>
    <row r="1085" spans="1:12" ht="17.649999999999999" customHeight="1" x14ac:dyDescent="0.3">
      <c r="A1085" s="5">
        <v>46143</v>
      </c>
      <c r="B1085" s="6" t="s">
        <v>60</v>
      </c>
      <c r="C1085" s="6" t="s">
        <v>72</v>
      </c>
      <c r="D1085" s="5">
        <v>46054</v>
      </c>
      <c r="E1085" s="6" t="s">
        <v>15</v>
      </c>
      <c r="F1085" s="7">
        <v>730</v>
      </c>
      <c r="G1085" s="7">
        <v>181577.02191780819</v>
      </c>
      <c r="H1085" s="7">
        <v>132551226</v>
      </c>
      <c r="I1085" s="7">
        <v>12791327</v>
      </c>
      <c r="J1085" s="7">
        <v>0</v>
      </c>
      <c r="K1085">
        <f t="shared" si="16"/>
        <v>89</v>
      </c>
      <c r="L1085" s="8" t="str" cm="1">
        <f t="array" ref="L1085">_xlfn.IFS(
 AND(K1085&gt;=89,K1085&lt;=92),"3개월",
 AND(K1085&gt;=58,K1085&lt;=62),"2개월",
 AND(K1085&gt;=28,K1085&lt;=32),"1개월",
 AND(K1085=0),"당월",
 TRUE,"그외"
)</f>
        <v>3개월</v>
      </c>
    </row>
    <row r="1086" spans="1:12" ht="17.649999999999999" customHeight="1" x14ac:dyDescent="0.3">
      <c r="A1086" s="5">
        <v>46143</v>
      </c>
      <c r="B1086" s="6" t="s">
        <v>60</v>
      </c>
      <c r="C1086" s="6" t="s">
        <v>72</v>
      </c>
      <c r="D1086" s="5">
        <v>46082</v>
      </c>
      <c r="E1086" s="6" t="s">
        <v>14</v>
      </c>
      <c r="F1086" s="7">
        <v>2061</v>
      </c>
      <c r="G1086" s="7">
        <v>102995.14798641441</v>
      </c>
      <c r="H1086" s="7">
        <v>212273000</v>
      </c>
      <c r="I1086" s="7">
        <v>45210000</v>
      </c>
      <c r="J1086" s="7">
        <v>0</v>
      </c>
      <c r="K1086">
        <f t="shared" si="16"/>
        <v>61</v>
      </c>
      <c r="L1086" s="8" t="str" cm="1">
        <f t="array" ref="L1086">_xlfn.IFS(
 AND(K1086&gt;=89,K1086&lt;=92),"3개월",
 AND(K1086&gt;=58,K1086&lt;=62),"2개월",
 AND(K1086&gt;=28,K1086&lt;=32),"1개월",
 AND(K1086=0),"당월",
 TRUE,"그외"
)</f>
        <v>2개월</v>
      </c>
    </row>
    <row r="1087" spans="1:12" ht="17.649999999999999" customHeight="1" x14ac:dyDescent="0.3">
      <c r="A1087" s="5">
        <v>46143</v>
      </c>
      <c r="B1087" s="6" t="s">
        <v>60</v>
      </c>
      <c r="C1087" s="6" t="s">
        <v>72</v>
      </c>
      <c r="D1087" s="5">
        <v>46082</v>
      </c>
      <c r="E1087" s="6" t="s">
        <v>15</v>
      </c>
      <c r="F1087" s="7">
        <v>2554</v>
      </c>
      <c r="G1087" s="7">
        <v>217565.74432263119</v>
      </c>
      <c r="H1087" s="7">
        <v>555662911</v>
      </c>
      <c r="I1087" s="7">
        <v>55738140</v>
      </c>
      <c r="J1087" s="7">
        <v>0</v>
      </c>
      <c r="K1087">
        <f t="shared" si="16"/>
        <v>61</v>
      </c>
      <c r="L1087" s="8" t="str" cm="1">
        <f t="array" ref="L1087">_xlfn.IFS(
 AND(K1087&gt;=89,K1087&lt;=92),"3개월",
 AND(K1087&gt;=58,K1087&lt;=62),"2개월",
 AND(K1087&gt;=28,K1087&lt;=32),"1개월",
 AND(K1087=0),"당월",
 TRUE,"그외"
)</f>
        <v>2개월</v>
      </c>
    </row>
    <row r="1088" spans="1:12" ht="17.649999999999999" customHeight="1" x14ac:dyDescent="0.3">
      <c r="A1088" s="5">
        <v>46143</v>
      </c>
      <c r="B1088" s="6" t="s">
        <v>60</v>
      </c>
      <c r="C1088" s="6" t="s">
        <v>72</v>
      </c>
      <c r="D1088" s="5">
        <v>46113</v>
      </c>
      <c r="E1088" s="6" t="s">
        <v>14</v>
      </c>
      <c r="F1088" s="7">
        <v>1371</v>
      </c>
      <c r="G1088" s="7">
        <v>229518.30780452231</v>
      </c>
      <c r="H1088" s="7">
        <v>314669600</v>
      </c>
      <c r="I1088" s="7">
        <v>87135600</v>
      </c>
      <c r="J1088" s="7">
        <v>0</v>
      </c>
      <c r="K1088">
        <f t="shared" si="16"/>
        <v>30</v>
      </c>
      <c r="L1088" s="8" t="str" cm="1">
        <f t="array" ref="L1088">_xlfn.IFS(
 AND(K1088&gt;=89,K1088&lt;=92),"3개월",
 AND(K1088&gt;=58,K1088&lt;=62),"2개월",
 AND(K1088&gt;=28,K1088&lt;=32),"1개월",
 AND(K1088=0),"당월",
 TRUE,"그외"
)</f>
        <v>1개월</v>
      </c>
    </row>
    <row r="1089" spans="1:12" ht="17.649999999999999" customHeight="1" x14ac:dyDescent="0.3">
      <c r="A1089" s="5">
        <v>46143</v>
      </c>
      <c r="B1089" s="6" t="s">
        <v>60</v>
      </c>
      <c r="C1089" s="6" t="s">
        <v>72</v>
      </c>
      <c r="D1089" s="5">
        <v>46113</v>
      </c>
      <c r="E1089" s="6" t="s">
        <v>15</v>
      </c>
      <c r="F1089" s="7">
        <v>1587</v>
      </c>
      <c r="G1089" s="7">
        <v>227982.81978575929</v>
      </c>
      <c r="H1089" s="7">
        <v>361808735</v>
      </c>
      <c r="I1089" s="7">
        <v>104963098</v>
      </c>
      <c r="J1089" s="7">
        <v>0</v>
      </c>
      <c r="K1089">
        <f t="shared" si="16"/>
        <v>30</v>
      </c>
      <c r="L1089" s="8" t="str" cm="1">
        <f t="array" ref="L1089">_xlfn.IFS(
 AND(K1089&gt;=89,K1089&lt;=92),"3개월",
 AND(K1089&gt;=58,K1089&lt;=62),"2개월",
 AND(K1089&gt;=28,K1089&lt;=32),"1개월",
 AND(K1089=0),"당월",
 TRUE,"그외"
)</f>
        <v>1개월</v>
      </c>
    </row>
    <row r="1090" spans="1:12" ht="17.649999999999999" customHeight="1" x14ac:dyDescent="0.3">
      <c r="A1090" s="5">
        <v>46143</v>
      </c>
      <c r="B1090" s="6" t="s">
        <v>60</v>
      </c>
      <c r="C1090" s="6" t="s">
        <v>72</v>
      </c>
      <c r="D1090" s="5">
        <v>46143</v>
      </c>
      <c r="E1090" s="6" t="s">
        <v>14</v>
      </c>
      <c r="F1090" s="7">
        <v>70</v>
      </c>
      <c r="G1090" s="7">
        <v>1300022.857142857</v>
      </c>
      <c r="H1090" s="7">
        <v>91001600</v>
      </c>
      <c r="I1090" s="7">
        <v>3681600</v>
      </c>
      <c r="J1090" s="7">
        <v>0</v>
      </c>
      <c r="K1090">
        <f t="shared" si="16"/>
        <v>0</v>
      </c>
      <c r="L1090" s="8" t="str" cm="1">
        <f t="array" ref="L1090">_xlfn.IFS(
 AND(K1090&gt;=89,K1090&lt;=92),"3개월",
 AND(K1090&gt;=58,K1090&lt;=62),"2개월",
 AND(K1090&gt;=28,K1090&lt;=32),"1개월",
 AND(K1090=0),"당월",
 TRUE,"그외"
)</f>
        <v>당월</v>
      </c>
    </row>
    <row r="1091" spans="1:12" ht="17.649999999999999" customHeight="1" x14ac:dyDescent="0.3">
      <c r="A1091" s="5">
        <v>46143</v>
      </c>
      <c r="B1091" s="6" t="s">
        <v>60</v>
      </c>
      <c r="C1091" s="6" t="s">
        <v>72</v>
      </c>
      <c r="D1091" s="5">
        <v>46143</v>
      </c>
      <c r="E1091" s="6" t="s">
        <v>15</v>
      </c>
      <c r="F1091" s="7">
        <v>303</v>
      </c>
      <c r="G1091" s="7">
        <v>231159.08910891091</v>
      </c>
      <c r="H1091" s="7">
        <v>70041204</v>
      </c>
      <c r="I1091" s="7">
        <v>32113385</v>
      </c>
      <c r="J1091" s="7">
        <v>0</v>
      </c>
      <c r="K1091">
        <f t="shared" si="16"/>
        <v>0</v>
      </c>
      <c r="L1091" s="8" t="str" cm="1">
        <f t="array" ref="L1091">_xlfn.IFS(
 AND(K1091&gt;=89,K1091&lt;=92),"3개월",
 AND(K1091&gt;=58,K1091&lt;=62),"2개월",
 AND(K1091&gt;=28,K1091&lt;=32),"1개월",
 AND(K1091=0),"당월",
 TRUE,"그외"
)</f>
        <v>당월</v>
      </c>
    </row>
    <row r="1092" spans="1:12" ht="17.649999999999999" customHeight="1" x14ac:dyDescent="0.3">
      <c r="A1092" s="5">
        <v>46143</v>
      </c>
      <c r="B1092" s="6" t="s">
        <v>60</v>
      </c>
      <c r="C1092" s="6" t="s">
        <v>73</v>
      </c>
      <c r="D1092" s="5">
        <v>46054</v>
      </c>
      <c r="E1092" s="6" t="s">
        <v>15</v>
      </c>
      <c r="F1092" s="7">
        <v>324</v>
      </c>
      <c r="G1092" s="7">
        <v>235012.3950617284</v>
      </c>
      <c r="H1092" s="7">
        <v>76144016</v>
      </c>
      <c r="I1092" s="7">
        <v>9885828</v>
      </c>
      <c r="J1092" s="7">
        <v>0</v>
      </c>
      <c r="K1092">
        <f t="shared" si="16"/>
        <v>89</v>
      </c>
      <c r="L1092" s="8" t="str" cm="1">
        <f t="array" ref="L1092">_xlfn.IFS(
 AND(K1092&gt;=89,K1092&lt;=92),"3개월",
 AND(K1092&gt;=58,K1092&lt;=62),"2개월",
 AND(K1092&gt;=28,K1092&lt;=32),"1개월",
 AND(K1092=0),"당월",
 TRUE,"그외"
)</f>
        <v>3개월</v>
      </c>
    </row>
    <row r="1093" spans="1:12" ht="17.649999999999999" customHeight="1" x14ac:dyDescent="0.3">
      <c r="A1093" s="5">
        <v>46143</v>
      </c>
      <c r="B1093" s="6" t="s">
        <v>60</v>
      </c>
      <c r="C1093" s="6" t="s">
        <v>73</v>
      </c>
      <c r="D1093" s="5">
        <v>46113</v>
      </c>
      <c r="E1093" s="6" t="s">
        <v>14</v>
      </c>
      <c r="F1093" s="7">
        <v>2687</v>
      </c>
      <c r="G1093" s="7">
        <v>188038.30405656871</v>
      </c>
      <c r="H1093" s="7">
        <v>505258923</v>
      </c>
      <c r="I1093" s="7">
        <v>147894570</v>
      </c>
      <c r="J1093" s="7">
        <v>0</v>
      </c>
      <c r="K1093">
        <f t="shared" si="16"/>
        <v>30</v>
      </c>
      <c r="L1093" s="8" t="str" cm="1">
        <f t="array" ref="L1093">_xlfn.IFS(
 AND(K1093&gt;=89,K1093&lt;=92),"3개월",
 AND(K1093&gt;=58,K1093&lt;=62),"2개월",
 AND(K1093&gt;=28,K1093&lt;=32),"1개월",
 AND(K1093=0),"당월",
 TRUE,"그외"
)</f>
        <v>1개월</v>
      </c>
    </row>
    <row r="1094" spans="1:12" ht="17.649999999999999" customHeight="1" x14ac:dyDescent="0.3">
      <c r="A1094" s="5">
        <v>46143</v>
      </c>
      <c r="B1094" s="6" t="s">
        <v>60</v>
      </c>
      <c r="C1094" s="6" t="s">
        <v>73</v>
      </c>
      <c r="D1094" s="5">
        <v>46113</v>
      </c>
      <c r="E1094" s="6" t="s">
        <v>15</v>
      </c>
      <c r="F1094" s="7">
        <v>4677</v>
      </c>
      <c r="G1094" s="7">
        <v>207964.8843275604</v>
      </c>
      <c r="H1094" s="7">
        <v>972651764</v>
      </c>
      <c r="I1094" s="7">
        <v>275525236</v>
      </c>
      <c r="J1094" s="7">
        <v>0</v>
      </c>
      <c r="K1094">
        <f t="shared" si="16"/>
        <v>30</v>
      </c>
      <c r="L1094" s="8" t="str" cm="1">
        <f t="array" ref="L1094">_xlfn.IFS(
 AND(K1094&gt;=89,K1094&lt;=92),"3개월",
 AND(K1094&gt;=58,K1094&lt;=62),"2개월",
 AND(K1094&gt;=28,K1094&lt;=32),"1개월",
 AND(K1094=0),"당월",
 TRUE,"그외"
)</f>
        <v>1개월</v>
      </c>
    </row>
    <row r="1095" spans="1:12" ht="17.649999999999999" customHeight="1" x14ac:dyDescent="0.3">
      <c r="A1095" s="5">
        <v>46143</v>
      </c>
      <c r="B1095" s="6" t="s">
        <v>60</v>
      </c>
      <c r="C1095" s="6" t="s">
        <v>73</v>
      </c>
      <c r="D1095" s="5">
        <v>46143</v>
      </c>
      <c r="E1095" s="6" t="s">
        <v>14</v>
      </c>
      <c r="F1095" s="7">
        <v>252</v>
      </c>
      <c r="G1095" s="7">
        <v>154893.60317460319</v>
      </c>
      <c r="H1095" s="7">
        <v>39033188</v>
      </c>
      <c r="I1095" s="7">
        <v>15946168</v>
      </c>
      <c r="J1095" s="7">
        <v>0</v>
      </c>
      <c r="K1095">
        <f t="shared" si="16"/>
        <v>0</v>
      </c>
      <c r="L1095" s="8" t="str" cm="1">
        <f t="array" ref="L1095">_xlfn.IFS(
 AND(K1095&gt;=89,K1095&lt;=92),"3개월",
 AND(K1095&gt;=58,K1095&lt;=62),"2개월",
 AND(K1095&gt;=28,K1095&lt;=32),"1개월",
 AND(K1095=0),"당월",
 TRUE,"그외"
)</f>
        <v>당월</v>
      </c>
    </row>
    <row r="1096" spans="1:12" ht="17.649999999999999" customHeight="1" x14ac:dyDescent="0.3">
      <c r="A1096" s="5">
        <v>46143</v>
      </c>
      <c r="B1096" s="6" t="s">
        <v>60</v>
      </c>
      <c r="C1096" s="6" t="s">
        <v>73</v>
      </c>
      <c r="D1096" s="5">
        <v>46143</v>
      </c>
      <c r="E1096" s="6" t="s">
        <v>15</v>
      </c>
      <c r="F1096" s="7">
        <v>1262</v>
      </c>
      <c r="G1096" s="7">
        <v>239178.4294770206</v>
      </c>
      <c r="H1096" s="7">
        <v>301843178</v>
      </c>
      <c r="I1096" s="7">
        <v>138671132</v>
      </c>
      <c r="J1096" s="7">
        <v>0</v>
      </c>
      <c r="K1096">
        <f t="shared" si="16"/>
        <v>0</v>
      </c>
      <c r="L1096" s="8" t="str" cm="1">
        <f t="array" ref="L1096">_xlfn.IFS(
 AND(K1096&gt;=89,K1096&lt;=92),"3개월",
 AND(K1096&gt;=58,K1096&lt;=62),"2개월",
 AND(K1096&gt;=28,K1096&lt;=32),"1개월",
 AND(K1096=0),"당월",
 TRUE,"그외"
)</f>
        <v>당월</v>
      </c>
    </row>
    <row r="1097" spans="1:12" ht="17.649999999999999" customHeight="1" x14ac:dyDescent="0.3">
      <c r="A1097" s="5">
        <v>46143</v>
      </c>
      <c r="B1097" s="6" t="s">
        <v>60</v>
      </c>
      <c r="C1097" s="6" t="s">
        <v>74</v>
      </c>
      <c r="D1097" s="5">
        <v>45992</v>
      </c>
      <c r="E1097" s="6" t="s">
        <v>15</v>
      </c>
      <c r="F1097" s="7">
        <v>37</v>
      </c>
      <c r="G1097" s="7">
        <v>204556.75675675669</v>
      </c>
      <c r="H1097" s="7">
        <v>7568600</v>
      </c>
      <c r="I1097" s="7">
        <v>934632</v>
      </c>
      <c r="J1097" s="7">
        <v>0</v>
      </c>
      <c r="K1097">
        <f t="shared" si="16"/>
        <v>151</v>
      </c>
      <c r="L1097" s="8" t="str" cm="1">
        <f t="array" ref="L1097">_xlfn.IFS(
 AND(K1097&gt;=89,K1097&lt;=92),"3개월",
 AND(K1097&gt;=58,K1097&lt;=62),"2개월",
 AND(K1097&gt;=28,K1097&lt;=32),"1개월",
 AND(K1097=0),"당월",
 TRUE,"그외"
)</f>
        <v>그외</v>
      </c>
    </row>
    <row r="1098" spans="1:12" ht="17.649999999999999" customHeight="1" x14ac:dyDescent="0.3">
      <c r="A1098" s="5">
        <v>46143</v>
      </c>
      <c r="B1098" s="6" t="s">
        <v>60</v>
      </c>
      <c r="C1098" s="6" t="s">
        <v>74</v>
      </c>
      <c r="D1098" s="5">
        <v>46023</v>
      </c>
      <c r="E1098" s="6" t="s">
        <v>15</v>
      </c>
      <c r="F1098" s="7">
        <v>119</v>
      </c>
      <c r="G1098" s="7">
        <v>221102.28571428571</v>
      </c>
      <c r="H1098" s="7">
        <v>26311172</v>
      </c>
      <c r="I1098" s="7">
        <v>4233500</v>
      </c>
      <c r="J1098" s="7">
        <v>0</v>
      </c>
      <c r="K1098">
        <f t="shared" ref="K1098:K1161" si="17">A1098-D1098</f>
        <v>120</v>
      </c>
      <c r="L1098" s="8" t="str" cm="1">
        <f t="array" ref="L1098">_xlfn.IFS(
 AND(K1098&gt;=89,K1098&lt;=92),"3개월",
 AND(K1098&gt;=58,K1098&lt;=62),"2개월",
 AND(K1098&gt;=28,K1098&lt;=32),"1개월",
 AND(K1098=0),"당월",
 TRUE,"그외"
)</f>
        <v>그외</v>
      </c>
    </row>
    <row r="1099" spans="1:12" ht="17.649999999999999" customHeight="1" x14ac:dyDescent="0.3">
      <c r="A1099" s="5">
        <v>46143</v>
      </c>
      <c r="B1099" s="6" t="s">
        <v>60</v>
      </c>
      <c r="C1099" s="6" t="s">
        <v>74</v>
      </c>
      <c r="D1099" s="5">
        <v>46054</v>
      </c>
      <c r="E1099" s="6" t="s">
        <v>14</v>
      </c>
      <c r="F1099" s="7">
        <v>6</v>
      </c>
      <c r="G1099" s="7">
        <v>225333.33333333331</v>
      </c>
      <c r="H1099" s="7">
        <v>1352000</v>
      </c>
      <c r="I1099" s="7">
        <v>150000</v>
      </c>
      <c r="J1099" s="7">
        <v>0</v>
      </c>
      <c r="K1099">
        <f t="shared" si="17"/>
        <v>89</v>
      </c>
      <c r="L1099" s="8" t="str" cm="1">
        <f t="array" ref="L1099">_xlfn.IFS(
 AND(K1099&gt;=89,K1099&lt;=92),"3개월",
 AND(K1099&gt;=58,K1099&lt;=62),"2개월",
 AND(K1099&gt;=28,K1099&lt;=32),"1개월",
 AND(K1099=0),"당월",
 TRUE,"그외"
)</f>
        <v>3개월</v>
      </c>
    </row>
    <row r="1100" spans="1:12" ht="17.649999999999999" customHeight="1" x14ac:dyDescent="0.3">
      <c r="A1100" s="5">
        <v>46143</v>
      </c>
      <c r="B1100" s="6" t="s">
        <v>60</v>
      </c>
      <c r="C1100" s="6" t="s">
        <v>74</v>
      </c>
      <c r="D1100" s="5">
        <v>46054</v>
      </c>
      <c r="E1100" s="6" t="s">
        <v>15</v>
      </c>
      <c r="F1100" s="7">
        <v>206</v>
      </c>
      <c r="G1100" s="7">
        <v>225061.17475728161</v>
      </c>
      <c r="H1100" s="7">
        <v>46362602</v>
      </c>
      <c r="I1100" s="7">
        <v>5756679</v>
      </c>
      <c r="J1100" s="7">
        <v>0</v>
      </c>
      <c r="K1100">
        <f t="shared" si="17"/>
        <v>89</v>
      </c>
      <c r="L1100" s="8" t="str" cm="1">
        <f t="array" ref="L1100">_xlfn.IFS(
 AND(K1100&gt;=89,K1100&lt;=92),"3개월",
 AND(K1100&gt;=58,K1100&lt;=62),"2개월",
 AND(K1100&gt;=28,K1100&lt;=32),"1개월",
 AND(K1100=0),"당월",
 TRUE,"그외"
)</f>
        <v>3개월</v>
      </c>
    </row>
    <row r="1101" spans="1:12" ht="17.649999999999999" customHeight="1" x14ac:dyDescent="0.3">
      <c r="A1101" s="5">
        <v>46143</v>
      </c>
      <c r="B1101" s="6" t="s">
        <v>60</v>
      </c>
      <c r="C1101" s="6" t="s">
        <v>74</v>
      </c>
      <c r="D1101" s="5">
        <v>46082</v>
      </c>
      <c r="E1101" s="6" t="s">
        <v>14</v>
      </c>
      <c r="F1101" s="7">
        <v>117</v>
      </c>
      <c r="G1101" s="7">
        <v>181699.14529914531</v>
      </c>
      <c r="H1101" s="7">
        <v>21258800</v>
      </c>
      <c r="I1101" s="7">
        <v>3439800</v>
      </c>
      <c r="J1101" s="7">
        <v>0</v>
      </c>
      <c r="K1101">
        <f t="shared" si="17"/>
        <v>61</v>
      </c>
      <c r="L1101" s="8" t="str" cm="1">
        <f t="array" ref="L1101">_xlfn.IFS(
 AND(K1101&gt;=89,K1101&lt;=92),"3개월",
 AND(K1101&gt;=58,K1101&lt;=62),"2개월",
 AND(K1101&gt;=28,K1101&lt;=32),"1개월",
 AND(K1101=0),"당월",
 TRUE,"그외"
)</f>
        <v>2개월</v>
      </c>
    </row>
    <row r="1102" spans="1:12" ht="17.649999999999999" customHeight="1" x14ac:dyDescent="0.3">
      <c r="A1102" s="5">
        <v>46143</v>
      </c>
      <c r="B1102" s="6" t="s">
        <v>60</v>
      </c>
      <c r="C1102" s="6" t="s">
        <v>74</v>
      </c>
      <c r="D1102" s="5">
        <v>46082</v>
      </c>
      <c r="E1102" s="6" t="s">
        <v>15</v>
      </c>
      <c r="F1102" s="7">
        <v>1390</v>
      </c>
      <c r="G1102" s="7">
        <v>187181.45467625899</v>
      </c>
      <c r="H1102" s="7">
        <v>260182222</v>
      </c>
      <c r="I1102" s="7">
        <v>42954623</v>
      </c>
      <c r="J1102" s="7">
        <v>0</v>
      </c>
      <c r="K1102">
        <f t="shared" si="17"/>
        <v>61</v>
      </c>
      <c r="L1102" s="8" t="str" cm="1">
        <f t="array" ref="L1102">_xlfn.IFS(
 AND(K1102&gt;=89,K1102&lt;=92),"3개월",
 AND(K1102&gt;=58,K1102&lt;=62),"2개월",
 AND(K1102&gt;=28,K1102&lt;=32),"1개월",
 AND(K1102=0),"당월",
 TRUE,"그외"
)</f>
        <v>2개월</v>
      </c>
    </row>
    <row r="1103" spans="1:12" ht="17.649999999999999" customHeight="1" x14ac:dyDescent="0.3">
      <c r="A1103" s="5">
        <v>46143</v>
      </c>
      <c r="B1103" s="6" t="s">
        <v>60</v>
      </c>
      <c r="C1103" s="6" t="s">
        <v>74</v>
      </c>
      <c r="D1103" s="5">
        <v>46113</v>
      </c>
      <c r="E1103" s="6" t="s">
        <v>14</v>
      </c>
      <c r="F1103" s="7">
        <v>60</v>
      </c>
      <c r="G1103" s="7">
        <v>214906.66666666669</v>
      </c>
      <c r="H1103" s="7">
        <v>12894400</v>
      </c>
      <c r="I1103" s="7">
        <v>5580400</v>
      </c>
      <c r="J1103" s="7">
        <v>0</v>
      </c>
      <c r="K1103">
        <f t="shared" si="17"/>
        <v>30</v>
      </c>
      <c r="L1103" s="8" t="str" cm="1">
        <f t="array" ref="L1103">_xlfn.IFS(
 AND(K1103&gt;=89,K1103&lt;=92),"3개월",
 AND(K1103&gt;=58,K1103&lt;=62),"2개월",
 AND(K1103&gt;=28,K1103&lt;=32),"1개월",
 AND(K1103=0),"당월",
 TRUE,"그외"
)</f>
        <v>1개월</v>
      </c>
    </row>
    <row r="1104" spans="1:12" ht="17.649999999999999" customHeight="1" x14ac:dyDescent="0.3">
      <c r="A1104" s="5">
        <v>46143</v>
      </c>
      <c r="B1104" s="6" t="s">
        <v>60</v>
      </c>
      <c r="C1104" s="6" t="s">
        <v>74</v>
      </c>
      <c r="D1104" s="5">
        <v>46113</v>
      </c>
      <c r="E1104" s="6" t="s">
        <v>15</v>
      </c>
      <c r="F1104" s="7">
        <v>750</v>
      </c>
      <c r="G1104" s="7">
        <v>193014.18</v>
      </c>
      <c r="H1104" s="7">
        <v>144760635</v>
      </c>
      <c r="I1104" s="7">
        <v>46096401</v>
      </c>
      <c r="J1104" s="7">
        <v>0</v>
      </c>
      <c r="K1104">
        <f t="shared" si="17"/>
        <v>30</v>
      </c>
      <c r="L1104" s="8" t="str" cm="1">
        <f t="array" ref="L1104">_xlfn.IFS(
 AND(K1104&gt;=89,K1104&lt;=92),"3개월",
 AND(K1104&gt;=58,K1104&lt;=62),"2개월",
 AND(K1104&gt;=28,K1104&lt;=32),"1개월",
 AND(K1104=0),"당월",
 TRUE,"그외"
)</f>
        <v>1개월</v>
      </c>
    </row>
    <row r="1105" spans="1:12" ht="17.649999999999999" customHeight="1" x14ac:dyDescent="0.3">
      <c r="A1105" s="5">
        <v>46143</v>
      </c>
      <c r="B1105" s="6" t="s">
        <v>60</v>
      </c>
      <c r="C1105" s="6" t="s">
        <v>74</v>
      </c>
      <c r="D1105" s="5">
        <v>46143</v>
      </c>
      <c r="E1105" s="6" t="s">
        <v>15</v>
      </c>
      <c r="F1105" s="7">
        <v>42</v>
      </c>
      <c r="G1105" s="7">
        <v>222712.73809523811</v>
      </c>
      <c r="H1105" s="7">
        <v>9353935</v>
      </c>
      <c r="I1105" s="7">
        <v>4268560</v>
      </c>
      <c r="J1105" s="7">
        <v>0</v>
      </c>
      <c r="K1105">
        <f t="shared" si="17"/>
        <v>0</v>
      </c>
      <c r="L1105" s="8" t="str" cm="1">
        <f t="array" ref="L1105">_xlfn.IFS(
 AND(K1105&gt;=89,K1105&lt;=92),"3개월",
 AND(K1105&gt;=58,K1105&lt;=62),"2개월",
 AND(K1105&gt;=28,K1105&lt;=32),"1개월",
 AND(K1105=0),"당월",
 TRUE,"그외"
)</f>
        <v>당월</v>
      </c>
    </row>
    <row r="1106" spans="1:12" ht="17.649999999999999" customHeight="1" x14ac:dyDescent="0.3">
      <c r="A1106" s="5">
        <v>46143</v>
      </c>
      <c r="B1106" s="6" t="s">
        <v>75</v>
      </c>
      <c r="C1106" s="6" t="s">
        <v>76</v>
      </c>
      <c r="D1106" s="5">
        <v>45962</v>
      </c>
      <c r="E1106" s="6" t="s">
        <v>15</v>
      </c>
      <c r="F1106" s="7">
        <v>2</v>
      </c>
      <c r="G1106" s="7">
        <v>445600</v>
      </c>
      <c r="H1106" s="7">
        <v>891200</v>
      </c>
      <c r="I1106" s="7">
        <v>53400</v>
      </c>
      <c r="J1106" s="7">
        <v>0</v>
      </c>
      <c r="K1106">
        <f t="shared" si="17"/>
        <v>181</v>
      </c>
      <c r="L1106" s="8" t="str" cm="1">
        <f t="array" ref="L1106">_xlfn.IFS(
 AND(K1106&gt;=89,K1106&lt;=92),"3개월",
 AND(K1106&gt;=58,K1106&lt;=62),"2개월",
 AND(K1106&gt;=28,K1106&lt;=32),"1개월",
 AND(K1106=0),"당월",
 TRUE,"그외"
)</f>
        <v>그외</v>
      </c>
    </row>
    <row r="1107" spans="1:12" ht="17.649999999999999" customHeight="1" x14ac:dyDescent="0.3">
      <c r="A1107" s="5">
        <v>46143</v>
      </c>
      <c r="B1107" s="6" t="s">
        <v>75</v>
      </c>
      <c r="C1107" s="6" t="s">
        <v>76</v>
      </c>
      <c r="D1107" s="5">
        <v>45992</v>
      </c>
      <c r="E1107" s="6" t="s">
        <v>15</v>
      </c>
      <c r="F1107" s="7">
        <v>3</v>
      </c>
      <c r="G1107" s="7">
        <v>415693.33333333331</v>
      </c>
      <c r="H1107" s="7">
        <v>1247080</v>
      </c>
      <c r="I1107" s="7">
        <v>95100</v>
      </c>
      <c r="J1107" s="7">
        <v>0</v>
      </c>
      <c r="K1107">
        <f t="shared" si="17"/>
        <v>151</v>
      </c>
      <c r="L1107" s="8" t="str" cm="1">
        <f t="array" ref="L1107">_xlfn.IFS(
 AND(K1107&gt;=89,K1107&lt;=92),"3개월",
 AND(K1107&gt;=58,K1107&lt;=62),"2개월",
 AND(K1107&gt;=28,K1107&lt;=32),"1개월",
 AND(K1107=0),"당월",
 TRUE,"그외"
)</f>
        <v>그외</v>
      </c>
    </row>
    <row r="1108" spans="1:12" ht="17.649999999999999" customHeight="1" x14ac:dyDescent="0.3">
      <c r="A1108" s="5">
        <v>46143</v>
      </c>
      <c r="B1108" s="6" t="s">
        <v>75</v>
      </c>
      <c r="C1108" s="6" t="s">
        <v>76</v>
      </c>
      <c r="D1108" s="5">
        <v>46023</v>
      </c>
      <c r="E1108" s="6" t="s">
        <v>15</v>
      </c>
      <c r="F1108" s="7">
        <v>2</v>
      </c>
      <c r="G1108" s="7">
        <v>451200</v>
      </c>
      <c r="H1108" s="7">
        <v>902400</v>
      </c>
      <c r="I1108" s="7">
        <v>64600</v>
      </c>
      <c r="J1108" s="7">
        <v>0</v>
      </c>
      <c r="K1108">
        <f t="shared" si="17"/>
        <v>120</v>
      </c>
      <c r="L1108" s="8" t="str" cm="1">
        <f t="array" ref="L1108">_xlfn.IFS(
 AND(K1108&gt;=89,K1108&lt;=92),"3개월",
 AND(K1108&gt;=58,K1108&lt;=62),"2개월",
 AND(K1108&gt;=28,K1108&lt;=32),"1개월",
 AND(K1108=0),"당월",
 TRUE,"그외"
)</f>
        <v>그외</v>
      </c>
    </row>
    <row r="1109" spans="1:12" ht="17.649999999999999" customHeight="1" x14ac:dyDescent="0.3">
      <c r="A1109" s="5">
        <v>46143</v>
      </c>
      <c r="B1109" s="6" t="s">
        <v>75</v>
      </c>
      <c r="C1109" s="6" t="s">
        <v>76</v>
      </c>
      <c r="D1109" s="5">
        <v>46082</v>
      </c>
      <c r="E1109" s="6" t="s">
        <v>15</v>
      </c>
      <c r="F1109" s="7">
        <v>4</v>
      </c>
      <c r="G1109" s="7">
        <v>446800</v>
      </c>
      <c r="H1109" s="7">
        <v>1787200</v>
      </c>
      <c r="I1109" s="7">
        <v>111600</v>
      </c>
      <c r="J1109" s="7">
        <v>0</v>
      </c>
      <c r="K1109">
        <f t="shared" si="17"/>
        <v>61</v>
      </c>
      <c r="L1109" s="8" t="str" cm="1">
        <f t="array" ref="L1109">_xlfn.IFS(
 AND(K1109&gt;=89,K1109&lt;=92),"3개월",
 AND(K1109&gt;=58,K1109&lt;=62),"2개월",
 AND(K1109&gt;=28,K1109&lt;=32),"1개월",
 AND(K1109=0),"당월",
 TRUE,"그외"
)</f>
        <v>2개월</v>
      </c>
    </row>
    <row r="1110" spans="1:12" ht="17.649999999999999" customHeight="1" x14ac:dyDescent="0.3">
      <c r="A1110" s="5">
        <v>46143</v>
      </c>
      <c r="B1110" s="6" t="s">
        <v>75</v>
      </c>
      <c r="C1110" s="6" t="s">
        <v>76</v>
      </c>
      <c r="D1110" s="5">
        <v>46113</v>
      </c>
      <c r="E1110" s="6" t="s">
        <v>15</v>
      </c>
      <c r="F1110" s="7">
        <v>1</v>
      </c>
      <c r="G1110" s="7">
        <v>307900</v>
      </c>
      <c r="H1110" s="7">
        <v>307900</v>
      </c>
      <c r="I1110" s="7">
        <v>87900</v>
      </c>
      <c r="J1110" s="7">
        <v>0</v>
      </c>
      <c r="K1110">
        <f t="shared" si="17"/>
        <v>30</v>
      </c>
      <c r="L1110" s="8" t="str" cm="1">
        <f t="array" ref="L1110">_xlfn.IFS(
 AND(K1110&gt;=89,K1110&lt;=92),"3개월",
 AND(K1110&gt;=58,K1110&lt;=62),"2개월",
 AND(K1110&gt;=28,K1110&lt;=32),"1개월",
 AND(K1110=0),"당월",
 TRUE,"그외"
)</f>
        <v>1개월</v>
      </c>
    </row>
    <row r="1111" spans="1:12" ht="17.649999999999999" customHeight="1" x14ac:dyDescent="0.3">
      <c r="A1111" s="5">
        <v>46143</v>
      </c>
      <c r="B1111" s="6" t="s">
        <v>75</v>
      </c>
      <c r="C1111" s="6" t="s">
        <v>77</v>
      </c>
      <c r="D1111" s="5">
        <v>45962</v>
      </c>
      <c r="E1111" s="6" t="s">
        <v>15</v>
      </c>
      <c r="F1111" s="7">
        <v>94</v>
      </c>
      <c r="G1111" s="7">
        <v>571294.23404255323</v>
      </c>
      <c r="H1111" s="7">
        <v>53701658</v>
      </c>
      <c r="I1111" s="7">
        <v>7129562</v>
      </c>
      <c r="J1111" s="7">
        <v>0</v>
      </c>
      <c r="K1111">
        <f t="shared" si="17"/>
        <v>181</v>
      </c>
      <c r="L1111" s="8" t="str" cm="1">
        <f t="array" ref="L1111">_xlfn.IFS(
 AND(K1111&gt;=89,K1111&lt;=92),"3개월",
 AND(K1111&gt;=58,K1111&lt;=62),"2개월",
 AND(K1111&gt;=28,K1111&lt;=32),"1개월",
 AND(K1111=0),"당월",
 TRUE,"그외"
)</f>
        <v>그외</v>
      </c>
    </row>
    <row r="1112" spans="1:12" ht="17.649999999999999" customHeight="1" x14ac:dyDescent="0.3">
      <c r="A1112" s="5">
        <v>46143</v>
      </c>
      <c r="B1112" s="6" t="s">
        <v>75</v>
      </c>
      <c r="C1112" s="6" t="s">
        <v>77</v>
      </c>
      <c r="D1112" s="5">
        <v>45992</v>
      </c>
      <c r="E1112" s="6" t="s">
        <v>15</v>
      </c>
      <c r="F1112" s="7">
        <v>90</v>
      </c>
      <c r="G1112" s="7">
        <v>527123.8666666667</v>
      </c>
      <c r="H1112" s="7">
        <v>47441148</v>
      </c>
      <c r="I1112" s="7">
        <v>6817120</v>
      </c>
      <c r="J1112" s="7">
        <v>0</v>
      </c>
      <c r="K1112">
        <f t="shared" si="17"/>
        <v>151</v>
      </c>
      <c r="L1112" s="8" t="str" cm="1">
        <f t="array" ref="L1112">_xlfn.IFS(
 AND(K1112&gt;=89,K1112&lt;=92),"3개월",
 AND(K1112&gt;=58,K1112&lt;=62),"2개월",
 AND(K1112&gt;=28,K1112&lt;=32),"1개월",
 AND(K1112=0),"당월",
 TRUE,"그외"
)</f>
        <v>그외</v>
      </c>
    </row>
    <row r="1113" spans="1:12" ht="17.649999999999999" customHeight="1" x14ac:dyDescent="0.3">
      <c r="A1113" s="5">
        <v>46143</v>
      </c>
      <c r="B1113" s="6" t="s">
        <v>75</v>
      </c>
      <c r="C1113" s="6" t="s">
        <v>77</v>
      </c>
      <c r="D1113" s="5">
        <v>46023</v>
      </c>
      <c r="E1113" s="6" t="s">
        <v>15</v>
      </c>
      <c r="F1113" s="7">
        <v>157</v>
      </c>
      <c r="G1113" s="7">
        <v>487906.35668789811</v>
      </c>
      <c r="H1113" s="7">
        <v>76601298</v>
      </c>
      <c r="I1113" s="7">
        <v>11656253</v>
      </c>
      <c r="J1113" s="7">
        <v>0</v>
      </c>
      <c r="K1113">
        <f t="shared" si="17"/>
        <v>120</v>
      </c>
      <c r="L1113" s="8" t="str" cm="1">
        <f t="array" ref="L1113">_xlfn.IFS(
 AND(K1113&gt;=89,K1113&lt;=92),"3개월",
 AND(K1113&gt;=58,K1113&lt;=62),"2개월",
 AND(K1113&gt;=28,K1113&lt;=32),"1개월",
 AND(K1113=0),"당월",
 TRUE,"그외"
)</f>
        <v>그외</v>
      </c>
    </row>
    <row r="1114" spans="1:12" ht="17.649999999999999" customHeight="1" x14ac:dyDescent="0.3">
      <c r="A1114" s="5">
        <v>46143</v>
      </c>
      <c r="B1114" s="6" t="s">
        <v>75</v>
      </c>
      <c r="C1114" s="6" t="s">
        <v>77</v>
      </c>
      <c r="D1114" s="5">
        <v>46054</v>
      </c>
      <c r="E1114" s="6" t="s">
        <v>15</v>
      </c>
      <c r="F1114" s="7">
        <v>104</v>
      </c>
      <c r="G1114" s="7">
        <v>455395.06730769231</v>
      </c>
      <c r="H1114" s="7">
        <v>47361087</v>
      </c>
      <c r="I1114" s="7">
        <v>9065870</v>
      </c>
      <c r="J1114" s="7">
        <v>0</v>
      </c>
      <c r="K1114">
        <f t="shared" si="17"/>
        <v>89</v>
      </c>
      <c r="L1114" s="8" t="str" cm="1">
        <f t="array" ref="L1114">_xlfn.IFS(
 AND(K1114&gt;=89,K1114&lt;=92),"3개월",
 AND(K1114&gt;=58,K1114&lt;=62),"2개월",
 AND(K1114&gt;=28,K1114&lt;=32),"1개월",
 AND(K1114=0),"당월",
 TRUE,"그외"
)</f>
        <v>3개월</v>
      </c>
    </row>
    <row r="1115" spans="1:12" ht="17.649999999999999" customHeight="1" x14ac:dyDescent="0.3">
      <c r="A1115" s="5">
        <v>46143</v>
      </c>
      <c r="B1115" s="6" t="s">
        <v>75</v>
      </c>
      <c r="C1115" s="6" t="s">
        <v>77</v>
      </c>
      <c r="D1115" s="5">
        <v>46082</v>
      </c>
      <c r="E1115" s="6" t="s">
        <v>14</v>
      </c>
      <c r="F1115" s="7">
        <v>74</v>
      </c>
      <c r="G1115" s="7">
        <v>381355.14864864858</v>
      </c>
      <c r="H1115" s="7">
        <v>28220281</v>
      </c>
      <c r="I1115" s="7">
        <v>6586366</v>
      </c>
      <c r="J1115" s="7">
        <v>0</v>
      </c>
      <c r="K1115">
        <f t="shared" si="17"/>
        <v>61</v>
      </c>
      <c r="L1115" s="8" t="str" cm="1">
        <f t="array" ref="L1115">_xlfn.IFS(
 AND(K1115&gt;=89,K1115&lt;=92),"3개월",
 AND(K1115&gt;=58,K1115&lt;=62),"2개월",
 AND(K1115&gt;=28,K1115&lt;=32),"1개월",
 AND(K1115=0),"당월",
 TRUE,"그외"
)</f>
        <v>2개월</v>
      </c>
    </row>
    <row r="1116" spans="1:12" ht="17.649999999999999" customHeight="1" x14ac:dyDescent="0.3">
      <c r="A1116" s="5">
        <v>46143</v>
      </c>
      <c r="B1116" s="6" t="s">
        <v>75</v>
      </c>
      <c r="C1116" s="6" t="s">
        <v>77</v>
      </c>
      <c r="D1116" s="5">
        <v>46082</v>
      </c>
      <c r="E1116" s="6" t="s">
        <v>15</v>
      </c>
      <c r="F1116" s="7">
        <v>388</v>
      </c>
      <c r="G1116" s="7">
        <v>460055.78865979379</v>
      </c>
      <c r="H1116" s="7">
        <v>178501646</v>
      </c>
      <c r="I1116" s="7">
        <v>34156228</v>
      </c>
      <c r="J1116" s="7">
        <v>0</v>
      </c>
      <c r="K1116">
        <f t="shared" si="17"/>
        <v>61</v>
      </c>
      <c r="L1116" s="8" t="str" cm="1">
        <f t="array" ref="L1116">_xlfn.IFS(
 AND(K1116&gt;=89,K1116&lt;=92),"3개월",
 AND(K1116&gt;=58,K1116&lt;=62),"2개월",
 AND(K1116&gt;=28,K1116&lt;=32),"1개월",
 AND(K1116=0),"당월",
 TRUE,"그외"
)</f>
        <v>2개월</v>
      </c>
    </row>
    <row r="1117" spans="1:12" ht="17.649999999999999" customHeight="1" x14ac:dyDescent="0.3">
      <c r="A1117" s="5">
        <v>46143</v>
      </c>
      <c r="B1117" s="6" t="s">
        <v>75</v>
      </c>
      <c r="C1117" s="6" t="s">
        <v>77</v>
      </c>
      <c r="D1117" s="5">
        <v>46113</v>
      </c>
      <c r="E1117" s="6" t="s">
        <v>14</v>
      </c>
      <c r="F1117" s="7">
        <v>66</v>
      </c>
      <c r="G1117" s="7">
        <v>488959.56060606061</v>
      </c>
      <c r="H1117" s="7">
        <v>32271331</v>
      </c>
      <c r="I1117" s="7">
        <v>6786588</v>
      </c>
      <c r="J1117" s="7">
        <v>0</v>
      </c>
      <c r="K1117">
        <f t="shared" si="17"/>
        <v>30</v>
      </c>
      <c r="L1117" s="8" t="str" cm="1">
        <f t="array" ref="L1117">_xlfn.IFS(
 AND(K1117&gt;=89,K1117&lt;=92),"3개월",
 AND(K1117&gt;=58,K1117&lt;=62),"2개월",
 AND(K1117&gt;=28,K1117&lt;=32),"1개월",
 AND(K1117=0),"당월",
 TRUE,"그외"
)</f>
        <v>1개월</v>
      </c>
    </row>
    <row r="1118" spans="1:12" ht="17.649999999999999" customHeight="1" x14ac:dyDescent="0.3">
      <c r="A1118" s="5">
        <v>46143</v>
      </c>
      <c r="B1118" s="6" t="s">
        <v>75</v>
      </c>
      <c r="C1118" s="6" t="s">
        <v>77</v>
      </c>
      <c r="D1118" s="5">
        <v>46113</v>
      </c>
      <c r="E1118" s="6" t="s">
        <v>15</v>
      </c>
      <c r="F1118" s="7">
        <v>465</v>
      </c>
      <c r="G1118" s="7">
        <v>392140.82365591399</v>
      </c>
      <c r="H1118" s="7">
        <v>182345483</v>
      </c>
      <c r="I1118" s="7">
        <v>46738051</v>
      </c>
      <c r="J1118" s="7">
        <v>0</v>
      </c>
      <c r="K1118">
        <f t="shared" si="17"/>
        <v>30</v>
      </c>
      <c r="L1118" s="8" t="str" cm="1">
        <f t="array" ref="L1118">_xlfn.IFS(
 AND(K1118&gt;=89,K1118&lt;=92),"3개월",
 AND(K1118&gt;=58,K1118&lt;=62),"2개월",
 AND(K1118&gt;=28,K1118&lt;=32),"1개월",
 AND(K1118=0),"당월",
 TRUE,"그외"
)</f>
        <v>1개월</v>
      </c>
    </row>
    <row r="1119" spans="1:12" ht="17.649999999999999" customHeight="1" x14ac:dyDescent="0.3">
      <c r="A1119" s="5">
        <v>46143</v>
      </c>
      <c r="B1119" s="6" t="s">
        <v>75</v>
      </c>
      <c r="C1119" s="6" t="s">
        <v>77</v>
      </c>
      <c r="D1119" s="5">
        <v>46143</v>
      </c>
      <c r="E1119" s="6" t="s">
        <v>15</v>
      </c>
      <c r="F1119" s="7">
        <v>18</v>
      </c>
      <c r="G1119" s="7">
        <v>424941</v>
      </c>
      <c r="H1119" s="7">
        <v>7648938</v>
      </c>
      <c r="I1119" s="7">
        <v>2455507</v>
      </c>
      <c r="J1119" s="7">
        <v>0</v>
      </c>
      <c r="K1119">
        <f t="shared" si="17"/>
        <v>0</v>
      </c>
      <c r="L1119" s="8" t="str" cm="1">
        <f t="array" ref="L1119">_xlfn.IFS(
 AND(K1119&gt;=89,K1119&lt;=92),"3개월",
 AND(K1119&gt;=58,K1119&lt;=62),"2개월",
 AND(K1119&gt;=28,K1119&lt;=32),"1개월",
 AND(K1119=0),"당월",
 TRUE,"그외"
)</f>
        <v>당월</v>
      </c>
    </row>
    <row r="1120" spans="1:12" ht="17.649999999999999" customHeight="1" x14ac:dyDescent="0.3">
      <c r="A1120" s="5">
        <v>46143</v>
      </c>
      <c r="B1120" s="6" t="s">
        <v>75</v>
      </c>
      <c r="C1120" s="6" t="s">
        <v>80</v>
      </c>
      <c r="D1120" s="5">
        <v>45931</v>
      </c>
      <c r="E1120" s="6" t="s">
        <v>15</v>
      </c>
      <c r="F1120" s="7">
        <v>48</v>
      </c>
      <c r="G1120" s="7">
        <v>410100.20833333331</v>
      </c>
      <c r="H1120" s="7">
        <v>19684810</v>
      </c>
      <c r="I1120" s="7">
        <v>1024000</v>
      </c>
      <c r="J1120" s="7">
        <v>0</v>
      </c>
      <c r="K1120">
        <f t="shared" si="17"/>
        <v>212</v>
      </c>
      <c r="L1120" s="8" t="str" cm="1">
        <f t="array" ref="L1120">_xlfn.IFS(
 AND(K1120&gt;=89,K1120&lt;=92),"3개월",
 AND(K1120&gt;=58,K1120&lt;=62),"2개월",
 AND(K1120&gt;=28,K1120&lt;=32),"1개월",
 AND(K1120=0),"당월",
 TRUE,"그외"
)</f>
        <v>그외</v>
      </c>
    </row>
    <row r="1121" spans="1:12" ht="17.649999999999999" customHeight="1" x14ac:dyDescent="0.3">
      <c r="A1121" s="5">
        <v>46143</v>
      </c>
      <c r="B1121" s="6" t="s">
        <v>75</v>
      </c>
      <c r="C1121" s="6" t="s">
        <v>80</v>
      </c>
      <c r="D1121" s="5">
        <v>45962</v>
      </c>
      <c r="E1121" s="6" t="s">
        <v>15</v>
      </c>
      <c r="F1121" s="7">
        <v>114</v>
      </c>
      <c r="G1121" s="7">
        <v>324155.90350877191</v>
      </c>
      <c r="H1121" s="7">
        <v>36953773</v>
      </c>
      <c r="I1121" s="7">
        <v>3095424</v>
      </c>
      <c r="J1121" s="7">
        <v>0</v>
      </c>
      <c r="K1121">
        <f t="shared" si="17"/>
        <v>181</v>
      </c>
      <c r="L1121" s="8" t="str" cm="1">
        <f t="array" ref="L1121">_xlfn.IFS(
 AND(K1121&gt;=89,K1121&lt;=92),"3개월",
 AND(K1121&gt;=58,K1121&lt;=62),"2개월",
 AND(K1121&gt;=28,K1121&lt;=32),"1개월",
 AND(K1121=0),"당월",
 TRUE,"그외"
)</f>
        <v>그외</v>
      </c>
    </row>
    <row r="1122" spans="1:12" ht="17.649999999999999" customHeight="1" x14ac:dyDescent="0.3">
      <c r="A1122" s="5">
        <v>46143</v>
      </c>
      <c r="B1122" s="6" t="s">
        <v>75</v>
      </c>
      <c r="C1122" s="6" t="s">
        <v>80</v>
      </c>
      <c r="D1122" s="5">
        <v>45992</v>
      </c>
      <c r="E1122" s="6" t="s">
        <v>15</v>
      </c>
      <c r="F1122" s="7">
        <v>158</v>
      </c>
      <c r="G1122" s="7">
        <v>351342.2658227848</v>
      </c>
      <c r="H1122" s="7">
        <v>55512078</v>
      </c>
      <c r="I1122" s="7">
        <v>4802590</v>
      </c>
      <c r="J1122" s="7">
        <v>0</v>
      </c>
      <c r="K1122">
        <f t="shared" si="17"/>
        <v>151</v>
      </c>
      <c r="L1122" s="8" t="str" cm="1">
        <f t="array" ref="L1122">_xlfn.IFS(
 AND(K1122&gt;=89,K1122&lt;=92),"3개월",
 AND(K1122&gt;=58,K1122&lt;=62),"2개월",
 AND(K1122&gt;=28,K1122&lt;=32),"1개월",
 AND(K1122=0),"당월",
 TRUE,"그외"
)</f>
        <v>그외</v>
      </c>
    </row>
    <row r="1123" spans="1:12" ht="17.649999999999999" customHeight="1" x14ac:dyDescent="0.3">
      <c r="A1123" s="5">
        <v>46143</v>
      </c>
      <c r="B1123" s="6" t="s">
        <v>75</v>
      </c>
      <c r="C1123" s="6" t="s">
        <v>80</v>
      </c>
      <c r="D1123" s="5">
        <v>46023</v>
      </c>
      <c r="E1123" s="6" t="s">
        <v>15</v>
      </c>
      <c r="F1123" s="7">
        <v>414</v>
      </c>
      <c r="G1123" s="7">
        <v>349601.72222222219</v>
      </c>
      <c r="H1123" s="7">
        <v>144735113</v>
      </c>
      <c r="I1123" s="7">
        <v>16470311</v>
      </c>
      <c r="J1123" s="7">
        <v>0</v>
      </c>
      <c r="K1123">
        <f t="shared" si="17"/>
        <v>120</v>
      </c>
      <c r="L1123" s="8" t="str" cm="1">
        <f t="array" ref="L1123">_xlfn.IFS(
 AND(K1123&gt;=89,K1123&lt;=92),"3개월",
 AND(K1123&gt;=58,K1123&lt;=62),"2개월",
 AND(K1123&gt;=28,K1123&lt;=32),"1개월",
 AND(K1123=0),"당월",
 TRUE,"그외"
)</f>
        <v>그외</v>
      </c>
    </row>
    <row r="1124" spans="1:12" ht="17.649999999999999" customHeight="1" x14ac:dyDescent="0.3">
      <c r="A1124" s="5">
        <v>46143</v>
      </c>
      <c r="B1124" s="6" t="s">
        <v>75</v>
      </c>
      <c r="C1124" s="6" t="s">
        <v>80</v>
      </c>
      <c r="D1124" s="5">
        <v>46054</v>
      </c>
      <c r="E1124" s="6" t="s">
        <v>14</v>
      </c>
      <c r="F1124" s="7">
        <v>6</v>
      </c>
      <c r="G1124" s="7">
        <v>295400</v>
      </c>
      <c r="H1124" s="7">
        <v>1772400</v>
      </c>
      <c r="I1124" s="7">
        <v>326400</v>
      </c>
      <c r="J1124" s="7">
        <v>0</v>
      </c>
      <c r="K1124">
        <f t="shared" si="17"/>
        <v>89</v>
      </c>
      <c r="L1124" s="8" t="str" cm="1">
        <f t="array" ref="L1124">_xlfn.IFS(
 AND(K1124&gt;=89,K1124&lt;=92),"3개월",
 AND(K1124&gt;=58,K1124&lt;=62),"2개월",
 AND(K1124&gt;=28,K1124&lt;=32),"1개월",
 AND(K1124=0),"당월",
 TRUE,"그외"
)</f>
        <v>3개월</v>
      </c>
    </row>
    <row r="1125" spans="1:12" ht="17.649999999999999" customHeight="1" x14ac:dyDescent="0.3">
      <c r="A1125" s="5">
        <v>46143</v>
      </c>
      <c r="B1125" s="6" t="s">
        <v>75</v>
      </c>
      <c r="C1125" s="6" t="s">
        <v>80</v>
      </c>
      <c r="D1125" s="5">
        <v>46054</v>
      </c>
      <c r="E1125" s="6" t="s">
        <v>15</v>
      </c>
      <c r="F1125" s="7">
        <v>552</v>
      </c>
      <c r="G1125" s="7">
        <v>391942.21376811602</v>
      </c>
      <c r="H1125" s="7">
        <v>216352102</v>
      </c>
      <c r="I1125" s="7">
        <v>13139600</v>
      </c>
      <c r="J1125" s="7">
        <v>0</v>
      </c>
      <c r="K1125">
        <f t="shared" si="17"/>
        <v>89</v>
      </c>
      <c r="L1125" s="8" t="str" cm="1">
        <f t="array" ref="L1125">_xlfn.IFS(
 AND(K1125&gt;=89,K1125&lt;=92),"3개월",
 AND(K1125&gt;=58,K1125&lt;=62),"2개월",
 AND(K1125&gt;=28,K1125&lt;=32),"1개월",
 AND(K1125=0),"당월",
 TRUE,"그외"
)</f>
        <v>3개월</v>
      </c>
    </row>
    <row r="1126" spans="1:12" ht="17.649999999999999" customHeight="1" x14ac:dyDescent="0.3">
      <c r="A1126" s="5">
        <v>46143</v>
      </c>
      <c r="B1126" s="6" t="s">
        <v>75</v>
      </c>
      <c r="C1126" s="6" t="s">
        <v>80</v>
      </c>
      <c r="D1126" s="5">
        <v>46082</v>
      </c>
      <c r="E1126" s="6" t="s">
        <v>14</v>
      </c>
      <c r="F1126" s="7">
        <v>1849</v>
      </c>
      <c r="G1126" s="7">
        <v>284311.30340724718</v>
      </c>
      <c r="H1126" s="7">
        <v>525691600</v>
      </c>
      <c r="I1126" s="7">
        <v>124519200</v>
      </c>
      <c r="J1126" s="7">
        <v>0</v>
      </c>
      <c r="K1126">
        <f t="shared" si="17"/>
        <v>61</v>
      </c>
      <c r="L1126" s="8" t="str" cm="1">
        <f t="array" ref="L1126">_xlfn.IFS(
 AND(K1126&gt;=89,K1126&lt;=92),"3개월",
 AND(K1126&gt;=58,K1126&lt;=62),"2개월",
 AND(K1126&gt;=28,K1126&lt;=32),"1개월",
 AND(K1126=0),"당월",
 TRUE,"그외"
)</f>
        <v>2개월</v>
      </c>
    </row>
    <row r="1127" spans="1:12" ht="17.649999999999999" customHeight="1" x14ac:dyDescent="0.3">
      <c r="A1127" s="5">
        <v>46143</v>
      </c>
      <c r="B1127" s="6" t="s">
        <v>75</v>
      </c>
      <c r="C1127" s="6" t="s">
        <v>80</v>
      </c>
      <c r="D1127" s="5">
        <v>46082</v>
      </c>
      <c r="E1127" s="6" t="s">
        <v>15</v>
      </c>
      <c r="F1127" s="7">
        <v>1637</v>
      </c>
      <c r="G1127" s="7">
        <v>479338.60537568718</v>
      </c>
      <c r="H1127" s="7">
        <v>784677297</v>
      </c>
      <c r="I1127" s="7">
        <v>67350582</v>
      </c>
      <c r="J1127" s="7">
        <v>0</v>
      </c>
      <c r="K1127">
        <f t="shared" si="17"/>
        <v>61</v>
      </c>
      <c r="L1127" s="8" t="str" cm="1">
        <f t="array" ref="L1127">_xlfn.IFS(
 AND(K1127&gt;=89,K1127&lt;=92),"3개월",
 AND(K1127&gt;=58,K1127&lt;=62),"2개월",
 AND(K1127&gt;=28,K1127&lt;=32),"1개월",
 AND(K1127=0),"당월",
 TRUE,"그외"
)</f>
        <v>2개월</v>
      </c>
    </row>
    <row r="1128" spans="1:12" ht="17.649999999999999" customHeight="1" x14ac:dyDescent="0.3">
      <c r="A1128" s="5">
        <v>46143</v>
      </c>
      <c r="B1128" s="6" t="s">
        <v>75</v>
      </c>
      <c r="C1128" s="6" t="s">
        <v>80</v>
      </c>
      <c r="D1128" s="5">
        <v>46113</v>
      </c>
      <c r="E1128" s="6" t="s">
        <v>14</v>
      </c>
      <c r="F1128" s="7">
        <v>234</v>
      </c>
      <c r="G1128" s="7">
        <v>824486.32478632475</v>
      </c>
      <c r="H1128" s="7">
        <v>192929800</v>
      </c>
      <c r="I1128" s="7">
        <v>44333800</v>
      </c>
      <c r="J1128" s="7">
        <v>0</v>
      </c>
      <c r="K1128">
        <f t="shared" si="17"/>
        <v>30</v>
      </c>
      <c r="L1128" s="8" t="str" cm="1">
        <f t="array" ref="L1128">_xlfn.IFS(
 AND(K1128&gt;=89,K1128&lt;=92),"3개월",
 AND(K1128&gt;=58,K1128&lt;=62),"2개월",
 AND(K1128&gt;=28,K1128&lt;=32),"1개월",
 AND(K1128=0),"당월",
 TRUE,"그외"
)</f>
        <v>1개월</v>
      </c>
    </row>
    <row r="1129" spans="1:12" ht="17.649999999999999" customHeight="1" x14ac:dyDescent="0.3">
      <c r="A1129" s="5">
        <v>46143</v>
      </c>
      <c r="B1129" s="6" t="s">
        <v>75</v>
      </c>
      <c r="C1129" s="6" t="s">
        <v>80</v>
      </c>
      <c r="D1129" s="5">
        <v>46113</v>
      </c>
      <c r="E1129" s="6" t="s">
        <v>15</v>
      </c>
      <c r="F1129" s="7">
        <v>1258</v>
      </c>
      <c r="G1129" s="7">
        <v>494874.58346581878</v>
      </c>
      <c r="H1129" s="7">
        <v>622552226</v>
      </c>
      <c r="I1129" s="7">
        <v>65443527</v>
      </c>
      <c r="J1129" s="7">
        <v>0</v>
      </c>
      <c r="K1129">
        <f t="shared" si="17"/>
        <v>30</v>
      </c>
      <c r="L1129" s="8" t="str" cm="1">
        <f t="array" ref="L1129">_xlfn.IFS(
 AND(K1129&gt;=89,K1129&lt;=92),"3개월",
 AND(K1129&gt;=58,K1129&lt;=62),"2개월",
 AND(K1129&gt;=28,K1129&lt;=32),"1개월",
 AND(K1129=0),"당월",
 TRUE,"그외"
)</f>
        <v>1개월</v>
      </c>
    </row>
    <row r="1130" spans="1:12" ht="17.649999999999999" customHeight="1" x14ac:dyDescent="0.3">
      <c r="A1130" s="5">
        <v>46143</v>
      </c>
      <c r="B1130" s="6" t="s">
        <v>75</v>
      </c>
      <c r="C1130" s="6" t="s">
        <v>80</v>
      </c>
      <c r="D1130" s="5">
        <v>46143</v>
      </c>
      <c r="E1130" s="6" t="s">
        <v>14</v>
      </c>
      <c r="F1130" s="7">
        <v>22</v>
      </c>
      <c r="G1130" s="7">
        <v>166509.09090909091</v>
      </c>
      <c r="H1130" s="7">
        <v>3663200</v>
      </c>
      <c r="I1130" s="7">
        <v>3255200</v>
      </c>
      <c r="J1130" s="7">
        <v>0</v>
      </c>
      <c r="K1130">
        <f t="shared" si="17"/>
        <v>0</v>
      </c>
      <c r="L1130" s="8" t="str" cm="1">
        <f t="array" ref="L1130">_xlfn.IFS(
 AND(K1130&gt;=89,K1130&lt;=92),"3개월",
 AND(K1130&gt;=58,K1130&lt;=62),"2개월",
 AND(K1130&gt;=28,K1130&lt;=32),"1개월",
 AND(K1130=0),"당월",
 TRUE,"그외"
)</f>
        <v>당월</v>
      </c>
    </row>
    <row r="1131" spans="1:12" ht="17.649999999999999" customHeight="1" x14ac:dyDescent="0.3">
      <c r="A1131" s="5">
        <v>46143</v>
      </c>
      <c r="B1131" s="6" t="s">
        <v>75</v>
      </c>
      <c r="C1131" s="6" t="s">
        <v>80</v>
      </c>
      <c r="D1131" s="5">
        <v>46143</v>
      </c>
      <c r="E1131" s="6" t="s">
        <v>15</v>
      </c>
      <c r="F1131" s="7">
        <v>221</v>
      </c>
      <c r="G1131" s="7">
        <v>474157.55656108598</v>
      </c>
      <c r="H1131" s="7">
        <v>104788820</v>
      </c>
      <c r="I1131" s="7">
        <v>10537142</v>
      </c>
      <c r="J1131" s="7">
        <v>0</v>
      </c>
      <c r="K1131">
        <f t="shared" si="17"/>
        <v>0</v>
      </c>
      <c r="L1131" s="8" t="str" cm="1">
        <f t="array" ref="L1131">_xlfn.IFS(
 AND(K1131&gt;=89,K1131&lt;=92),"3개월",
 AND(K1131&gt;=58,K1131&lt;=62),"2개월",
 AND(K1131&gt;=28,K1131&lt;=32),"1개월",
 AND(K1131=0),"당월",
 TRUE,"그외"
)</f>
        <v>당월</v>
      </c>
    </row>
    <row r="1132" spans="1:12" ht="17.649999999999999" customHeight="1" x14ac:dyDescent="0.3">
      <c r="A1132" s="5">
        <v>46143</v>
      </c>
      <c r="B1132" s="6" t="s">
        <v>81</v>
      </c>
      <c r="C1132" s="6" t="s">
        <v>82</v>
      </c>
      <c r="D1132" s="5">
        <v>45962</v>
      </c>
      <c r="E1132" s="6" t="s">
        <v>15</v>
      </c>
      <c r="F1132" s="7">
        <v>21</v>
      </c>
      <c r="G1132" s="7">
        <v>143957.1428571429</v>
      </c>
      <c r="H1132" s="7">
        <v>3023100</v>
      </c>
      <c r="I1132" s="7">
        <v>443100</v>
      </c>
      <c r="J1132" s="7">
        <v>0</v>
      </c>
      <c r="K1132">
        <f t="shared" si="17"/>
        <v>181</v>
      </c>
      <c r="L1132" s="8" t="str" cm="1">
        <f t="array" ref="L1132">_xlfn.IFS(
 AND(K1132&gt;=89,K1132&lt;=92),"3개월",
 AND(K1132&gt;=58,K1132&lt;=62),"2개월",
 AND(K1132&gt;=28,K1132&lt;=32),"1개월",
 AND(K1132=0),"당월",
 TRUE,"그외"
)</f>
        <v>그외</v>
      </c>
    </row>
    <row r="1133" spans="1:12" ht="17.649999999999999" customHeight="1" x14ac:dyDescent="0.3">
      <c r="A1133" s="5">
        <v>46143</v>
      </c>
      <c r="B1133" s="6" t="s">
        <v>81</v>
      </c>
      <c r="C1133" s="6" t="s">
        <v>82</v>
      </c>
      <c r="D1133" s="5">
        <v>45992</v>
      </c>
      <c r="E1133" s="6" t="s">
        <v>15</v>
      </c>
      <c r="F1133" s="7">
        <v>2</v>
      </c>
      <c r="G1133" s="7">
        <v>129669.5</v>
      </c>
      <c r="H1133" s="7">
        <v>259339</v>
      </c>
      <c r="I1133" s="7">
        <v>49000</v>
      </c>
      <c r="J1133" s="7">
        <v>0</v>
      </c>
      <c r="K1133">
        <f t="shared" si="17"/>
        <v>151</v>
      </c>
      <c r="L1133" s="8" t="str" cm="1">
        <f t="array" ref="L1133">_xlfn.IFS(
 AND(K1133&gt;=89,K1133&lt;=92),"3개월",
 AND(K1133&gt;=58,K1133&lt;=62),"2개월",
 AND(K1133&gt;=28,K1133&lt;=32),"1개월",
 AND(K1133=0),"당월",
 TRUE,"그외"
)</f>
        <v>그외</v>
      </c>
    </row>
    <row r="1134" spans="1:12" ht="17.649999999999999" customHeight="1" x14ac:dyDescent="0.3">
      <c r="A1134" s="5">
        <v>46143</v>
      </c>
      <c r="B1134" s="6" t="s">
        <v>81</v>
      </c>
      <c r="C1134" s="6" t="s">
        <v>82</v>
      </c>
      <c r="D1134" s="5">
        <v>46023</v>
      </c>
      <c r="E1134" s="6" t="s">
        <v>15</v>
      </c>
      <c r="F1134" s="7">
        <v>29</v>
      </c>
      <c r="G1134" s="7">
        <v>123157.6206896552</v>
      </c>
      <c r="H1134" s="7">
        <v>3571571</v>
      </c>
      <c r="I1134" s="7">
        <v>744016</v>
      </c>
      <c r="J1134" s="7">
        <v>0</v>
      </c>
      <c r="K1134">
        <f t="shared" si="17"/>
        <v>120</v>
      </c>
      <c r="L1134" s="8" t="str" cm="1">
        <f t="array" ref="L1134">_xlfn.IFS(
 AND(K1134&gt;=89,K1134&lt;=92),"3개월",
 AND(K1134&gt;=58,K1134&lt;=62),"2개월",
 AND(K1134&gt;=28,K1134&lt;=32),"1개월",
 AND(K1134=0),"당월",
 TRUE,"그외"
)</f>
        <v>그외</v>
      </c>
    </row>
    <row r="1135" spans="1:12" ht="17.649999999999999" customHeight="1" x14ac:dyDescent="0.3">
      <c r="A1135" s="5">
        <v>46143</v>
      </c>
      <c r="B1135" s="6" t="s">
        <v>81</v>
      </c>
      <c r="C1135" s="6" t="s">
        <v>82</v>
      </c>
      <c r="D1135" s="5">
        <v>46054</v>
      </c>
      <c r="E1135" s="6" t="s">
        <v>15</v>
      </c>
      <c r="F1135" s="7">
        <v>78</v>
      </c>
      <c r="G1135" s="7">
        <v>136523.3846153846</v>
      </c>
      <c r="H1135" s="7">
        <v>10648824</v>
      </c>
      <c r="I1135" s="7">
        <v>1424522</v>
      </c>
      <c r="J1135" s="7">
        <v>0</v>
      </c>
      <c r="K1135">
        <f t="shared" si="17"/>
        <v>89</v>
      </c>
      <c r="L1135" s="8" t="str" cm="1">
        <f t="array" ref="L1135">_xlfn.IFS(
 AND(K1135&gt;=89,K1135&lt;=92),"3개월",
 AND(K1135&gt;=58,K1135&lt;=62),"2개월",
 AND(K1135&gt;=28,K1135&lt;=32),"1개월",
 AND(K1135=0),"당월",
 TRUE,"그외"
)</f>
        <v>3개월</v>
      </c>
    </row>
    <row r="1136" spans="1:12" ht="17.649999999999999" customHeight="1" x14ac:dyDescent="0.3">
      <c r="A1136" s="5">
        <v>46143</v>
      </c>
      <c r="B1136" s="6" t="s">
        <v>81</v>
      </c>
      <c r="C1136" s="6" t="s">
        <v>82</v>
      </c>
      <c r="D1136" s="5">
        <v>46082</v>
      </c>
      <c r="E1136" s="6" t="s">
        <v>14</v>
      </c>
      <c r="F1136" s="7">
        <v>488</v>
      </c>
      <c r="G1136" s="7">
        <v>158831.96721311481</v>
      </c>
      <c r="H1136" s="7">
        <v>77510000</v>
      </c>
      <c r="I1136" s="7">
        <v>10736000</v>
      </c>
      <c r="J1136" s="7">
        <v>0</v>
      </c>
      <c r="K1136">
        <f t="shared" si="17"/>
        <v>61</v>
      </c>
      <c r="L1136" s="8" t="str" cm="1">
        <f t="array" ref="L1136">_xlfn.IFS(
 AND(K1136&gt;=89,K1136&lt;=92),"3개월",
 AND(K1136&gt;=58,K1136&lt;=62),"2개월",
 AND(K1136&gt;=28,K1136&lt;=32),"1개월",
 AND(K1136=0),"당월",
 TRUE,"그외"
)</f>
        <v>2개월</v>
      </c>
    </row>
    <row r="1137" spans="1:12" ht="17.649999999999999" customHeight="1" x14ac:dyDescent="0.3">
      <c r="A1137" s="5">
        <v>46143</v>
      </c>
      <c r="B1137" s="6" t="s">
        <v>81</v>
      </c>
      <c r="C1137" s="6" t="s">
        <v>82</v>
      </c>
      <c r="D1137" s="5">
        <v>46082</v>
      </c>
      <c r="E1137" s="6" t="s">
        <v>15</v>
      </c>
      <c r="F1137" s="7">
        <v>106</v>
      </c>
      <c r="G1137" s="7">
        <v>129579.6981132075</v>
      </c>
      <c r="H1137" s="7">
        <v>13735448</v>
      </c>
      <c r="I1137" s="7">
        <v>2497962</v>
      </c>
      <c r="J1137" s="7">
        <v>0</v>
      </c>
      <c r="K1137">
        <f t="shared" si="17"/>
        <v>61</v>
      </c>
      <c r="L1137" s="8" t="str" cm="1">
        <f t="array" ref="L1137">_xlfn.IFS(
 AND(K1137&gt;=89,K1137&lt;=92),"3개월",
 AND(K1137&gt;=58,K1137&lt;=62),"2개월",
 AND(K1137&gt;=28,K1137&lt;=32),"1개월",
 AND(K1137=0),"당월",
 TRUE,"그외"
)</f>
        <v>2개월</v>
      </c>
    </row>
    <row r="1138" spans="1:12" ht="17.649999999999999" customHeight="1" x14ac:dyDescent="0.3">
      <c r="A1138" s="5">
        <v>46143</v>
      </c>
      <c r="B1138" s="6" t="s">
        <v>81</v>
      </c>
      <c r="C1138" s="6" t="s">
        <v>82</v>
      </c>
      <c r="D1138" s="5">
        <v>46113</v>
      </c>
      <c r="E1138" s="6" t="s">
        <v>14</v>
      </c>
      <c r="F1138" s="7">
        <v>298</v>
      </c>
      <c r="G1138" s="7">
        <v>163405.36912751681</v>
      </c>
      <c r="H1138" s="7">
        <v>48694800</v>
      </c>
      <c r="I1138" s="7">
        <v>15045800</v>
      </c>
      <c r="J1138" s="7">
        <v>0</v>
      </c>
      <c r="K1138">
        <f t="shared" si="17"/>
        <v>30</v>
      </c>
      <c r="L1138" s="8" t="str" cm="1">
        <f t="array" ref="L1138">_xlfn.IFS(
 AND(K1138&gt;=89,K1138&lt;=92),"3개월",
 AND(K1138&gt;=58,K1138&lt;=62),"2개월",
 AND(K1138&gt;=28,K1138&lt;=32),"1개월",
 AND(K1138=0),"당월",
 TRUE,"그외"
)</f>
        <v>1개월</v>
      </c>
    </row>
    <row r="1139" spans="1:12" ht="17.649999999999999" customHeight="1" x14ac:dyDescent="0.3">
      <c r="A1139" s="5">
        <v>46143</v>
      </c>
      <c r="B1139" s="6" t="s">
        <v>81</v>
      </c>
      <c r="C1139" s="6" t="s">
        <v>82</v>
      </c>
      <c r="D1139" s="5">
        <v>46113</v>
      </c>
      <c r="E1139" s="6" t="s">
        <v>15</v>
      </c>
      <c r="F1139" s="7">
        <v>198</v>
      </c>
      <c r="G1139" s="7">
        <v>153860.9595959596</v>
      </c>
      <c r="H1139" s="7">
        <v>30464470</v>
      </c>
      <c r="I1139" s="7">
        <v>9619854</v>
      </c>
      <c r="J1139" s="7">
        <v>0</v>
      </c>
      <c r="K1139">
        <f t="shared" si="17"/>
        <v>30</v>
      </c>
      <c r="L1139" s="8" t="str" cm="1">
        <f t="array" ref="L1139">_xlfn.IFS(
 AND(K1139&gt;=89,K1139&lt;=92),"3개월",
 AND(K1139&gt;=58,K1139&lt;=62),"2개월",
 AND(K1139&gt;=28,K1139&lt;=32),"1개월",
 AND(K1139=0),"당월",
 TRUE,"그외"
)</f>
        <v>1개월</v>
      </c>
    </row>
    <row r="1140" spans="1:12" ht="17.649999999999999" customHeight="1" x14ac:dyDescent="0.3">
      <c r="A1140" s="5">
        <v>46143</v>
      </c>
      <c r="B1140" s="6" t="s">
        <v>81</v>
      </c>
      <c r="C1140" s="6" t="s">
        <v>82</v>
      </c>
      <c r="D1140" s="5">
        <v>46143</v>
      </c>
      <c r="E1140" s="6" t="s">
        <v>15</v>
      </c>
      <c r="F1140" s="7">
        <v>26</v>
      </c>
      <c r="G1140" s="7">
        <v>225852.4615384615</v>
      </c>
      <c r="H1140" s="7">
        <v>5872164</v>
      </c>
      <c r="I1140" s="7">
        <v>2619158</v>
      </c>
      <c r="J1140" s="7">
        <v>0</v>
      </c>
      <c r="K1140">
        <f t="shared" si="17"/>
        <v>0</v>
      </c>
      <c r="L1140" s="8" t="str" cm="1">
        <f t="array" ref="L1140">_xlfn.IFS(
 AND(K1140&gt;=89,K1140&lt;=92),"3개월",
 AND(K1140&gt;=58,K1140&lt;=62),"2개월",
 AND(K1140&gt;=28,K1140&lt;=32),"1개월",
 AND(K1140=0),"당월",
 TRUE,"그외"
)</f>
        <v>당월</v>
      </c>
    </row>
    <row r="1141" spans="1:12" ht="17.649999999999999" customHeight="1" x14ac:dyDescent="0.3">
      <c r="A1141" s="5">
        <v>46143</v>
      </c>
      <c r="B1141" s="6" t="s">
        <v>81</v>
      </c>
      <c r="C1141" s="6" t="s">
        <v>94</v>
      </c>
      <c r="D1141" s="5">
        <v>45992</v>
      </c>
      <c r="E1141" s="6" t="s">
        <v>15</v>
      </c>
      <c r="F1141" s="7">
        <v>10</v>
      </c>
      <c r="G1141" s="7">
        <v>0</v>
      </c>
      <c r="H1141" s="7">
        <v>0</v>
      </c>
      <c r="I1141" s="7">
        <v>0</v>
      </c>
      <c r="J1141" s="7">
        <v>0</v>
      </c>
      <c r="K1141">
        <f t="shared" si="17"/>
        <v>151</v>
      </c>
      <c r="L1141" s="8" t="str" cm="1">
        <f t="array" ref="L1141">_xlfn.IFS(
 AND(K1141&gt;=89,K1141&lt;=92),"3개월",
 AND(K1141&gt;=58,K1141&lt;=62),"2개월",
 AND(K1141&gt;=28,K1141&lt;=32),"1개월",
 AND(K1141=0),"당월",
 TRUE,"그외"
)</f>
        <v>그외</v>
      </c>
    </row>
    <row r="1142" spans="1:12" ht="17.649999999999999" customHeight="1" x14ac:dyDescent="0.3">
      <c r="A1142" s="5">
        <v>46143</v>
      </c>
      <c r="B1142" s="6" t="s">
        <v>81</v>
      </c>
      <c r="C1142" s="6" t="s">
        <v>94</v>
      </c>
      <c r="D1142" s="5">
        <v>46023</v>
      </c>
      <c r="E1142" s="6" t="s">
        <v>15</v>
      </c>
      <c r="F1142" s="7">
        <v>80</v>
      </c>
      <c r="G1142" s="7">
        <v>362456.28749999998</v>
      </c>
      <c r="H1142" s="7">
        <v>28996503</v>
      </c>
      <c r="I1142" s="7">
        <v>3059213</v>
      </c>
      <c r="J1142" s="7">
        <v>0</v>
      </c>
      <c r="K1142">
        <f t="shared" si="17"/>
        <v>120</v>
      </c>
      <c r="L1142" s="8" t="str" cm="1">
        <f t="array" ref="L1142">_xlfn.IFS(
 AND(K1142&gt;=89,K1142&lt;=92),"3개월",
 AND(K1142&gt;=58,K1142&lt;=62),"2개월",
 AND(K1142&gt;=28,K1142&lt;=32),"1개월",
 AND(K1142=0),"당월",
 TRUE,"그외"
)</f>
        <v>그외</v>
      </c>
    </row>
    <row r="1143" spans="1:12" ht="17.649999999999999" customHeight="1" x14ac:dyDescent="0.3">
      <c r="A1143" s="5">
        <v>46143</v>
      </c>
      <c r="B1143" s="6" t="s">
        <v>81</v>
      </c>
      <c r="C1143" s="6" t="s">
        <v>94</v>
      </c>
      <c r="D1143" s="5">
        <v>46054</v>
      </c>
      <c r="E1143" s="6" t="s">
        <v>15</v>
      </c>
      <c r="F1143" s="7">
        <v>85</v>
      </c>
      <c r="G1143" s="7">
        <v>380101.4705882353</v>
      </c>
      <c r="H1143" s="7">
        <v>32308625</v>
      </c>
      <c r="I1143" s="7">
        <v>2809721</v>
      </c>
      <c r="J1143" s="7">
        <v>0</v>
      </c>
      <c r="K1143">
        <f t="shared" si="17"/>
        <v>89</v>
      </c>
      <c r="L1143" s="8" t="str" cm="1">
        <f t="array" ref="L1143">_xlfn.IFS(
 AND(K1143&gt;=89,K1143&lt;=92),"3개월",
 AND(K1143&gt;=58,K1143&lt;=62),"2개월",
 AND(K1143&gt;=28,K1143&lt;=32),"1개월",
 AND(K1143=0),"당월",
 TRUE,"그외"
)</f>
        <v>3개월</v>
      </c>
    </row>
    <row r="1144" spans="1:12" ht="17.649999999999999" customHeight="1" x14ac:dyDescent="0.3">
      <c r="A1144" s="5">
        <v>46143</v>
      </c>
      <c r="B1144" s="6" t="s">
        <v>81</v>
      </c>
      <c r="C1144" s="6" t="s">
        <v>94</v>
      </c>
      <c r="D1144" s="5">
        <v>46082</v>
      </c>
      <c r="E1144" s="6" t="s">
        <v>14</v>
      </c>
      <c r="F1144" s="7">
        <v>224</v>
      </c>
      <c r="G1144" s="7">
        <v>246999.1071428571</v>
      </c>
      <c r="H1144" s="7">
        <v>55327800</v>
      </c>
      <c r="I1144" s="7">
        <v>4615800</v>
      </c>
      <c r="J1144" s="7">
        <v>0</v>
      </c>
      <c r="K1144">
        <f t="shared" si="17"/>
        <v>61</v>
      </c>
      <c r="L1144" s="8" t="str" cm="1">
        <f t="array" ref="L1144">_xlfn.IFS(
 AND(K1144&gt;=89,K1144&lt;=92),"3개월",
 AND(K1144&gt;=58,K1144&lt;=62),"2개월",
 AND(K1144&gt;=28,K1144&lt;=32),"1개월",
 AND(K1144=0),"당월",
 TRUE,"그외"
)</f>
        <v>2개월</v>
      </c>
    </row>
    <row r="1145" spans="1:12" ht="17.649999999999999" customHeight="1" x14ac:dyDescent="0.3">
      <c r="A1145" s="5">
        <v>46143</v>
      </c>
      <c r="B1145" s="6" t="s">
        <v>81</v>
      </c>
      <c r="C1145" s="6" t="s">
        <v>94</v>
      </c>
      <c r="D1145" s="5">
        <v>46082</v>
      </c>
      <c r="E1145" s="6" t="s">
        <v>15</v>
      </c>
      <c r="F1145" s="7">
        <v>392</v>
      </c>
      <c r="G1145" s="7">
        <v>407241.31377551018</v>
      </c>
      <c r="H1145" s="7">
        <v>159638595</v>
      </c>
      <c r="I1145" s="7">
        <v>15463027</v>
      </c>
      <c r="J1145" s="7">
        <v>0</v>
      </c>
      <c r="K1145">
        <f t="shared" si="17"/>
        <v>61</v>
      </c>
      <c r="L1145" s="8" t="str" cm="1">
        <f t="array" ref="L1145">_xlfn.IFS(
 AND(K1145&gt;=89,K1145&lt;=92),"3개월",
 AND(K1145&gt;=58,K1145&lt;=62),"2개월",
 AND(K1145&gt;=28,K1145&lt;=32),"1개월",
 AND(K1145=0),"당월",
 TRUE,"그외"
)</f>
        <v>2개월</v>
      </c>
    </row>
    <row r="1146" spans="1:12" ht="17.649999999999999" customHeight="1" x14ac:dyDescent="0.3">
      <c r="A1146" s="5">
        <v>46143</v>
      </c>
      <c r="B1146" s="6" t="s">
        <v>81</v>
      </c>
      <c r="C1146" s="6" t="s">
        <v>94</v>
      </c>
      <c r="D1146" s="5">
        <v>46113</v>
      </c>
      <c r="E1146" s="6" t="s">
        <v>14</v>
      </c>
      <c r="F1146" s="7">
        <v>326</v>
      </c>
      <c r="G1146" s="7">
        <v>307960.35276073619</v>
      </c>
      <c r="H1146" s="7">
        <v>100395075</v>
      </c>
      <c r="I1146" s="7">
        <v>19529871</v>
      </c>
      <c r="J1146" s="7">
        <v>0</v>
      </c>
      <c r="K1146">
        <f t="shared" si="17"/>
        <v>30</v>
      </c>
      <c r="L1146" s="8" t="str" cm="1">
        <f t="array" ref="L1146">_xlfn.IFS(
 AND(K1146&gt;=89,K1146&lt;=92),"3개월",
 AND(K1146&gt;=58,K1146&lt;=62),"2개월",
 AND(K1146&gt;=28,K1146&lt;=32),"1개월",
 AND(K1146=0),"당월",
 TRUE,"그외"
)</f>
        <v>1개월</v>
      </c>
    </row>
    <row r="1147" spans="1:12" ht="17.649999999999999" customHeight="1" x14ac:dyDescent="0.3">
      <c r="A1147" s="5">
        <v>46143</v>
      </c>
      <c r="B1147" s="6" t="s">
        <v>81</v>
      </c>
      <c r="C1147" s="6" t="s">
        <v>94</v>
      </c>
      <c r="D1147" s="5">
        <v>46113</v>
      </c>
      <c r="E1147" s="6" t="s">
        <v>15</v>
      </c>
      <c r="F1147" s="7">
        <v>398</v>
      </c>
      <c r="G1147" s="7">
        <v>431377.69597989949</v>
      </c>
      <c r="H1147" s="7">
        <v>171688323</v>
      </c>
      <c r="I1147" s="7">
        <v>32089880</v>
      </c>
      <c r="J1147" s="7">
        <v>0</v>
      </c>
      <c r="K1147">
        <f t="shared" si="17"/>
        <v>30</v>
      </c>
      <c r="L1147" s="8" t="str" cm="1">
        <f t="array" ref="L1147">_xlfn.IFS(
 AND(K1147&gt;=89,K1147&lt;=92),"3개월",
 AND(K1147&gt;=58,K1147&lt;=62),"2개월",
 AND(K1147&gt;=28,K1147&lt;=32),"1개월",
 AND(K1147=0),"당월",
 TRUE,"그외"
)</f>
        <v>1개월</v>
      </c>
    </row>
    <row r="1148" spans="1:12" ht="17.649999999999999" customHeight="1" x14ac:dyDescent="0.3">
      <c r="A1148" s="5">
        <v>46143</v>
      </c>
      <c r="B1148" s="6" t="s">
        <v>81</v>
      </c>
      <c r="C1148" s="6" t="s">
        <v>94</v>
      </c>
      <c r="D1148" s="5">
        <v>46143</v>
      </c>
      <c r="E1148" s="6" t="s">
        <v>14</v>
      </c>
      <c r="F1148" s="7">
        <v>62</v>
      </c>
      <c r="G1148" s="7">
        <v>1862628.3064516131</v>
      </c>
      <c r="H1148" s="7">
        <v>115482955</v>
      </c>
      <c r="I1148" s="7">
        <v>1163817</v>
      </c>
      <c r="J1148" s="7">
        <v>0</v>
      </c>
      <c r="K1148">
        <f t="shared" si="17"/>
        <v>0</v>
      </c>
      <c r="L1148" s="8" t="str" cm="1">
        <f t="array" ref="L1148">_xlfn.IFS(
 AND(K1148&gt;=89,K1148&lt;=92),"3개월",
 AND(K1148&gt;=58,K1148&lt;=62),"2개월",
 AND(K1148&gt;=28,K1148&lt;=32),"1개월",
 AND(K1148=0),"당월",
 TRUE,"그외"
)</f>
        <v>당월</v>
      </c>
    </row>
    <row r="1149" spans="1:12" ht="17.649999999999999" customHeight="1" x14ac:dyDescent="0.3">
      <c r="A1149" s="5">
        <v>46143</v>
      </c>
      <c r="B1149" s="6" t="s">
        <v>81</v>
      </c>
      <c r="C1149" s="6" t="s">
        <v>94</v>
      </c>
      <c r="D1149" s="5">
        <v>46143</v>
      </c>
      <c r="E1149" s="6" t="s">
        <v>15</v>
      </c>
      <c r="F1149" s="7">
        <v>98</v>
      </c>
      <c r="G1149" s="7">
        <v>526896.11224489799</v>
      </c>
      <c r="H1149" s="7">
        <v>51635819</v>
      </c>
      <c r="I1149" s="7">
        <v>14424800</v>
      </c>
      <c r="J1149" s="7">
        <v>0</v>
      </c>
      <c r="K1149">
        <f t="shared" si="17"/>
        <v>0</v>
      </c>
      <c r="L1149" s="8" t="str" cm="1">
        <f t="array" ref="L1149">_xlfn.IFS(
 AND(K1149&gt;=89,K1149&lt;=92),"3개월",
 AND(K1149&gt;=58,K1149&lt;=62),"2개월",
 AND(K1149&gt;=28,K1149&lt;=32),"1개월",
 AND(K1149=0),"당월",
 TRUE,"그외"
)</f>
        <v>당월</v>
      </c>
    </row>
    <row r="1150" spans="1:12" ht="17.649999999999999" customHeight="1" x14ac:dyDescent="0.3">
      <c r="A1150" s="5">
        <v>46143</v>
      </c>
      <c r="B1150" s="6" t="s">
        <v>84</v>
      </c>
      <c r="C1150" s="6" t="s">
        <v>85</v>
      </c>
      <c r="D1150" s="5">
        <v>45931</v>
      </c>
      <c r="E1150" s="6" t="s">
        <v>15</v>
      </c>
      <c r="F1150" s="7">
        <v>604</v>
      </c>
      <c r="G1150" s="7">
        <v>798198.62086092716</v>
      </c>
      <c r="H1150" s="7">
        <v>482111967</v>
      </c>
      <c r="I1150" s="7">
        <v>51001305</v>
      </c>
      <c r="J1150" s="7">
        <v>0</v>
      </c>
      <c r="K1150">
        <f t="shared" si="17"/>
        <v>212</v>
      </c>
      <c r="L1150" s="8" t="str" cm="1">
        <f t="array" ref="L1150">_xlfn.IFS(
 AND(K1150&gt;=89,K1150&lt;=92),"3개월",
 AND(K1150&gt;=58,K1150&lt;=62),"2개월",
 AND(K1150&gt;=28,K1150&lt;=32),"1개월",
 AND(K1150=0),"당월",
 TRUE,"그외"
)</f>
        <v>그외</v>
      </c>
    </row>
    <row r="1151" spans="1:12" ht="17.649999999999999" customHeight="1" x14ac:dyDescent="0.3">
      <c r="A1151" s="5">
        <v>46143</v>
      </c>
      <c r="B1151" s="6" t="s">
        <v>84</v>
      </c>
      <c r="C1151" s="6" t="s">
        <v>85</v>
      </c>
      <c r="D1151" s="5">
        <v>45962</v>
      </c>
      <c r="E1151" s="6" t="s">
        <v>15</v>
      </c>
      <c r="F1151" s="7">
        <v>734</v>
      </c>
      <c r="G1151" s="7">
        <v>779617.12670299725</v>
      </c>
      <c r="H1151" s="7">
        <v>572238971</v>
      </c>
      <c r="I1151" s="7">
        <v>59465578</v>
      </c>
      <c r="J1151" s="7">
        <v>0</v>
      </c>
      <c r="K1151">
        <f t="shared" si="17"/>
        <v>181</v>
      </c>
      <c r="L1151" s="8" t="str" cm="1">
        <f t="array" ref="L1151">_xlfn.IFS(
 AND(K1151&gt;=89,K1151&lt;=92),"3개월",
 AND(K1151&gt;=58,K1151&lt;=62),"2개월",
 AND(K1151&gt;=28,K1151&lt;=32),"1개월",
 AND(K1151=0),"당월",
 TRUE,"그외"
)</f>
        <v>그외</v>
      </c>
    </row>
    <row r="1152" spans="1:12" ht="17.649999999999999" customHeight="1" x14ac:dyDescent="0.3">
      <c r="A1152" s="5">
        <v>46143</v>
      </c>
      <c r="B1152" s="6" t="s">
        <v>84</v>
      </c>
      <c r="C1152" s="6" t="s">
        <v>85</v>
      </c>
      <c r="D1152" s="5">
        <v>45992</v>
      </c>
      <c r="E1152" s="6" t="s">
        <v>15</v>
      </c>
      <c r="F1152" s="7">
        <v>589</v>
      </c>
      <c r="G1152" s="7">
        <v>879050.03225806449</v>
      </c>
      <c r="H1152" s="7">
        <v>517760469</v>
      </c>
      <c r="I1152" s="7">
        <v>53532337</v>
      </c>
      <c r="J1152" s="7">
        <v>0</v>
      </c>
      <c r="K1152">
        <f t="shared" si="17"/>
        <v>151</v>
      </c>
      <c r="L1152" s="8" t="str" cm="1">
        <f t="array" ref="L1152">_xlfn.IFS(
 AND(K1152&gt;=89,K1152&lt;=92),"3개월",
 AND(K1152&gt;=58,K1152&lt;=62),"2개월",
 AND(K1152&gt;=28,K1152&lt;=32),"1개월",
 AND(K1152=0),"당월",
 TRUE,"그외"
)</f>
        <v>그외</v>
      </c>
    </row>
    <row r="1153" spans="1:12" ht="17.649999999999999" customHeight="1" x14ac:dyDescent="0.3">
      <c r="A1153" s="5">
        <v>46143</v>
      </c>
      <c r="B1153" s="6" t="s">
        <v>84</v>
      </c>
      <c r="C1153" s="6" t="s">
        <v>85</v>
      </c>
      <c r="D1153" s="5">
        <v>46023</v>
      </c>
      <c r="E1153" s="6" t="s">
        <v>14</v>
      </c>
      <c r="F1153" s="7">
        <v>2</v>
      </c>
      <c r="G1153" s="7">
        <v>629400</v>
      </c>
      <c r="H1153" s="7">
        <v>1258800</v>
      </c>
      <c r="I1153" s="7">
        <v>158800</v>
      </c>
      <c r="J1153" s="7">
        <v>0</v>
      </c>
      <c r="K1153">
        <f t="shared" si="17"/>
        <v>120</v>
      </c>
      <c r="L1153" s="8" t="str" cm="1">
        <f t="array" ref="L1153">_xlfn.IFS(
 AND(K1153&gt;=89,K1153&lt;=92),"3개월",
 AND(K1153&gt;=58,K1153&lt;=62),"2개월",
 AND(K1153&gt;=28,K1153&lt;=32),"1개월",
 AND(K1153=0),"당월",
 TRUE,"그외"
)</f>
        <v>그외</v>
      </c>
    </row>
    <row r="1154" spans="1:12" ht="17.649999999999999" customHeight="1" x14ac:dyDescent="0.3">
      <c r="A1154" s="5">
        <v>46143</v>
      </c>
      <c r="B1154" s="6" t="s">
        <v>84</v>
      </c>
      <c r="C1154" s="6" t="s">
        <v>85</v>
      </c>
      <c r="D1154" s="5">
        <v>46023</v>
      </c>
      <c r="E1154" s="6" t="s">
        <v>15</v>
      </c>
      <c r="F1154" s="7">
        <v>884</v>
      </c>
      <c r="G1154" s="7">
        <v>930298.11877828056</v>
      </c>
      <c r="H1154" s="7">
        <v>822383537</v>
      </c>
      <c r="I1154" s="7">
        <v>81775095</v>
      </c>
      <c r="J1154" s="7">
        <v>0</v>
      </c>
      <c r="K1154">
        <f t="shared" si="17"/>
        <v>120</v>
      </c>
      <c r="L1154" s="8" t="str" cm="1">
        <f t="array" ref="L1154">_xlfn.IFS(
 AND(K1154&gt;=89,K1154&lt;=92),"3개월",
 AND(K1154&gt;=58,K1154&lt;=62),"2개월",
 AND(K1154&gt;=28,K1154&lt;=32),"1개월",
 AND(K1154=0),"당월",
 TRUE,"그외"
)</f>
        <v>그외</v>
      </c>
    </row>
    <row r="1155" spans="1:12" ht="17.649999999999999" customHeight="1" x14ac:dyDescent="0.3">
      <c r="A1155" s="5">
        <v>46143</v>
      </c>
      <c r="B1155" s="6" t="s">
        <v>84</v>
      </c>
      <c r="C1155" s="6" t="s">
        <v>85</v>
      </c>
      <c r="D1155" s="5">
        <v>46054</v>
      </c>
      <c r="E1155" s="6" t="s">
        <v>14</v>
      </c>
      <c r="F1155" s="7">
        <v>85</v>
      </c>
      <c r="G1155" s="7">
        <v>769400</v>
      </c>
      <c r="H1155" s="7">
        <v>65399000</v>
      </c>
      <c r="I1155" s="7">
        <v>4624000</v>
      </c>
      <c r="J1155" s="7">
        <v>0</v>
      </c>
      <c r="K1155">
        <f t="shared" si="17"/>
        <v>89</v>
      </c>
      <c r="L1155" s="8" t="str" cm="1">
        <f t="array" ref="L1155">_xlfn.IFS(
 AND(K1155&gt;=89,K1155&lt;=92),"3개월",
 AND(K1155&gt;=58,K1155&lt;=62),"2개월",
 AND(K1155&gt;=28,K1155&lt;=32),"1개월",
 AND(K1155=0),"당월",
 TRUE,"그외"
)</f>
        <v>3개월</v>
      </c>
    </row>
    <row r="1156" spans="1:12" ht="17.649999999999999" customHeight="1" x14ac:dyDescent="0.3">
      <c r="A1156" s="5">
        <v>46143</v>
      </c>
      <c r="B1156" s="6" t="s">
        <v>84</v>
      </c>
      <c r="C1156" s="6" t="s">
        <v>85</v>
      </c>
      <c r="D1156" s="5">
        <v>46054</v>
      </c>
      <c r="E1156" s="6" t="s">
        <v>15</v>
      </c>
      <c r="F1156" s="7">
        <v>648</v>
      </c>
      <c r="G1156" s="7">
        <v>868431.08796296292</v>
      </c>
      <c r="H1156" s="7">
        <v>562743345</v>
      </c>
      <c r="I1156" s="7">
        <v>43819031</v>
      </c>
      <c r="J1156" s="7">
        <v>0</v>
      </c>
      <c r="K1156">
        <f t="shared" si="17"/>
        <v>89</v>
      </c>
      <c r="L1156" s="8" t="str" cm="1">
        <f t="array" ref="L1156">_xlfn.IFS(
 AND(K1156&gt;=89,K1156&lt;=92),"3개월",
 AND(K1156&gt;=58,K1156&lt;=62),"2개월",
 AND(K1156&gt;=28,K1156&lt;=32),"1개월",
 AND(K1156=0),"당월",
 TRUE,"그외"
)</f>
        <v>3개월</v>
      </c>
    </row>
    <row r="1157" spans="1:12" ht="17.649999999999999" customHeight="1" x14ac:dyDescent="0.3">
      <c r="A1157" s="5">
        <v>46143</v>
      </c>
      <c r="B1157" s="6" t="s">
        <v>84</v>
      </c>
      <c r="C1157" s="6" t="s">
        <v>85</v>
      </c>
      <c r="D1157" s="5">
        <v>46082</v>
      </c>
      <c r="E1157" s="6" t="s">
        <v>14</v>
      </c>
      <c r="F1157" s="7">
        <v>249</v>
      </c>
      <c r="G1157" s="7">
        <v>654253.81526104419</v>
      </c>
      <c r="H1157" s="7">
        <v>162909200</v>
      </c>
      <c r="I1157" s="7">
        <v>16359200</v>
      </c>
      <c r="J1157" s="7">
        <v>0</v>
      </c>
      <c r="K1157">
        <f t="shared" si="17"/>
        <v>61</v>
      </c>
      <c r="L1157" s="8" t="str" cm="1">
        <f t="array" ref="L1157">_xlfn.IFS(
 AND(K1157&gt;=89,K1157&lt;=92),"3개월",
 AND(K1157&gt;=58,K1157&lt;=62),"2개월",
 AND(K1157&gt;=28,K1157&lt;=32),"1개월",
 AND(K1157=0),"당월",
 TRUE,"그외"
)</f>
        <v>2개월</v>
      </c>
    </row>
    <row r="1158" spans="1:12" ht="17.649999999999999" customHeight="1" x14ac:dyDescent="0.3">
      <c r="A1158" s="5">
        <v>46143</v>
      </c>
      <c r="B1158" s="6" t="s">
        <v>84</v>
      </c>
      <c r="C1158" s="6" t="s">
        <v>85</v>
      </c>
      <c r="D1158" s="5">
        <v>46082</v>
      </c>
      <c r="E1158" s="6" t="s">
        <v>15</v>
      </c>
      <c r="F1158" s="7">
        <v>1293</v>
      </c>
      <c r="G1158" s="7">
        <v>1138751.968290797</v>
      </c>
      <c r="H1158" s="7">
        <v>1472406295</v>
      </c>
      <c r="I1158" s="7">
        <v>111051567</v>
      </c>
      <c r="J1158" s="7">
        <v>0</v>
      </c>
      <c r="K1158">
        <f t="shared" si="17"/>
        <v>61</v>
      </c>
      <c r="L1158" s="8" t="str" cm="1">
        <f t="array" ref="L1158">_xlfn.IFS(
 AND(K1158&gt;=89,K1158&lt;=92),"3개월",
 AND(K1158&gt;=58,K1158&lt;=62),"2개월",
 AND(K1158&gt;=28,K1158&lt;=32),"1개월",
 AND(K1158=0),"당월",
 TRUE,"그외"
)</f>
        <v>2개월</v>
      </c>
    </row>
    <row r="1159" spans="1:12" ht="17.649999999999999" customHeight="1" x14ac:dyDescent="0.3">
      <c r="A1159" s="5">
        <v>46143</v>
      </c>
      <c r="B1159" s="6" t="s">
        <v>84</v>
      </c>
      <c r="C1159" s="6" t="s">
        <v>85</v>
      </c>
      <c r="D1159" s="5">
        <v>46113</v>
      </c>
      <c r="E1159" s="6" t="s">
        <v>14</v>
      </c>
      <c r="F1159" s="7">
        <v>796</v>
      </c>
      <c r="G1159" s="7">
        <v>690498.61809045228</v>
      </c>
      <c r="H1159" s="7">
        <v>549636900</v>
      </c>
      <c r="I1159" s="7">
        <v>32861900</v>
      </c>
      <c r="J1159" s="7">
        <v>0</v>
      </c>
      <c r="K1159">
        <f t="shared" si="17"/>
        <v>30</v>
      </c>
      <c r="L1159" s="8" t="str" cm="1">
        <f t="array" ref="L1159">_xlfn.IFS(
 AND(K1159&gt;=89,K1159&lt;=92),"3개월",
 AND(K1159&gt;=58,K1159&lt;=62),"2개월",
 AND(K1159&gt;=28,K1159&lt;=32),"1개월",
 AND(K1159=0),"당월",
 TRUE,"그외"
)</f>
        <v>1개월</v>
      </c>
    </row>
    <row r="1160" spans="1:12" ht="17.649999999999999" customHeight="1" x14ac:dyDescent="0.3">
      <c r="A1160" s="5">
        <v>46143</v>
      </c>
      <c r="B1160" s="6" t="s">
        <v>84</v>
      </c>
      <c r="C1160" s="6" t="s">
        <v>85</v>
      </c>
      <c r="D1160" s="5">
        <v>46113</v>
      </c>
      <c r="E1160" s="6" t="s">
        <v>15</v>
      </c>
      <c r="F1160" s="7">
        <v>594</v>
      </c>
      <c r="G1160" s="7">
        <v>1013672.107744108</v>
      </c>
      <c r="H1160" s="7">
        <v>602121232</v>
      </c>
      <c r="I1160" s="7">
        <v>130896527</v>
      </c>
      <c r="J1160" s="7">
        <v>0</v>
      </c>
      <c r="K1160">
        <f t="shared" si="17"/>
        <v>30</v>
      </c>
      <c r="L1160" s="8" t="str" cm="1">
        <f t="array" ref="L1160">_xlfn.IFS(
 AND(K1160&gt;=89,K1160&lt;=92),"3개월",
 AND(K1160&gt;=58,K1160&lt;=62),"2개월",
 AND(K1160&gt;=28,K1160&lt;=32),"1개월",
 AND(K1160=0),"당월",
 TRUE,"그외"
)</f>
        <v>1개월</v>
      </c>
    </row>
    <row r="1161" spans="1:12" ht="17.649999999999999" customHeight="1" x14ac:dyDescent="0.3">
      <c r="A1161" s="5">
        <v>46143</v>
      </c>
      <c r="B1161" s="6" t="s">
        <v>84</v>
      </c>
      <c r="C1161" s="6" t="s">
        <v>85</v>
      </c>
      <c r="D1161" s="5">
        <v>46143</v>
      </c>
      <c r="E1161" s="6" t="s">
        <v>14</v>
      </c>
      <c r="F1161" s="7">
        <v>106</v>
      </c>
      <c r="G1161" s="7">
        <v>629716.98113207542</v>
      </c>
      <c r="H1161" s="7">
        <v>66750000</v>
      </c>
      <c r="I1161" s="7">
        <v>0</v>
      </c>
      <c r="J1161" s="7">
        <v>0</v>
      </c>
      <c r="K1161">
        <f t="shared" si="17"/>
        <v>0</v>
      </c>
      <c r="L1161" s="8" t="str" cm="1">
        <f t="array" ref="L1161">_xlfn.IFS(
 AND(K1161&gt;=89,K1161&lt;=92),"3개월",
 AND(K1161&gt;=58,K1161&lt;=62),"2개월",
 AND(K1161&gt;=28,K1161&lt;=32),"1개월",
 AND(K1161=0),"당월",
 TRUE,"그외"
)</f>
        <v>당월</v>
      </c>
    </row>
    <row r="1162" spans="1:12" ht="17.649999999999999" customHeight="1" x14ac:dyDescent="0.3">
      <c r="A1162" s="5">
        <v>46143</v>
      </c>
      <c r="B1162" s="6" t="s">
        <v>84</v>
      </c>
      <c r="C1162" s="6" t="s">
        <v>85</v>
      </c>
      <c r="D1162" s="5">
        <v>46143</v>
      </c>
      <c r="E1162" s="6" t="s">
        <v>15</v>
      </c>
      <c r="F1162" s="7">
        <v>129</v>
      </c>
      <c r="G1162" s="7">
        <v>771833.46511627908</v>
      </c>
      <c r="H1162" s="7">
        <v>99566517</v>
      </c>
      <c r="I1162" s="7">
        <v>30879349</v>
      </c>
      <c r="J1162" s="7">
        <v>0</v>
      </c>
      <c r="K1162">
        <f t="shared" ref="K1162:K1225" si="18">A1162-D1162</f>
        <v>0</v>
      </c>
      <c r="L1162" s="8" t="str" cm="1">
        <f t="array" ref="L1162">_xlfn.IFS(
 AND(K1162&gt;=89,K1162&lt;=92),"3개월",
 AND(K1162&gt;=58,K1162&lt;=62),"2개월",
 AND(K1162&gt;=28,K1162&lt;=32),"1개월",
 AND(K1162=0),"당월",
 TRUE,"그외"
)</f>
        <v>당월</v>
      </c>
    </row>
    <row r="1163" spans="1:12" ht="17.649999999999999" customHeight="1" x14ac:dyDescent="0.3">
      <c r="A1163" s="5">
        <v>46143</v>
      </c>
      <c r="B1163" s="6" t="s">
        <v>84</v>
      </c>
      <c r="C1163" s="6" t="s">
        <v>86</v>
      </c>
      <c r="D1163" s="5">
        <v>45931</v>
      </c>
      <c r="E1163" s="6" t="s">
        <v>15</v>
      </c>
      <c r="F1163" s="7">
        <v>951</v>
      </c>
      <c r="G1163" s="7">
        <v>758622.06098843319</v>
      </c>
      <c r="H1163" s="7">
        <v>721449580</v>
      </c>
      <c r="I1163" s="7">
        <v>70790925</v>
      </c>
      <c r="J1163" s="7">
        <v>0</v>
      </c>
      <c r="K1163">
        <f t="shared" si="18"/>
        <v>212</v>
      </c>
      <c r="L1163" s="8" t="str" cm="1">
        <f t="array" ref="L1163">_xlfn.IFS(
 AND(K1163&gt;=89,K1163&lt;=92),"3개월",
 AND(K1163&gt;=58,K1163&lt;=62),"2개월",
 AND(K1163&gt;=28,K1163&lt;=32),"1개월",
 AND(K1163=0),"당월",
 TRUE,"그외"
)</f>
        <v>그외</v>
      </c>
    </row>
    <row r="1164" spans="1:12" ht="17.649999999999999" customHeight="1" x14ac:dyDescent="0.3">
      <c r="A1164" s="5">
        <v>46143</v>
      </c>
      <c r="B1164" s="6" t="s">
        <v>84</v>
      </c>
      <c r="C1164" s="6" t="s">
        <v>86</v>
      </c>
      <c r="D1164" s="5">
        <v>45962</v>
      </c>
      <c r="E1164" s="6" t="s">
        <v>15</v>
      </c>
      <c r="F1164" s="7">
        <v>846</v>
      </c>
      <c r="G1164" s="7">
        <v>705008.07565011817</v>
      </c>
      <c r="H1164" s="7">
        <v>596436832</v>
      </c>
      <c r="I1164" s="7">
        <v>65695128</v>
      </c>
      <c r="J1164" s="7">
        <v>0</v>
      </c>
      <c r="K1164">
        <f t="shared" si="18"/>
        <v>181</v>
      </c>
      <c r="L1164" s="8" t="str" cm="1">
        <f t="array" ref="L1164">_xlfn.IFS(
 AND(K1164&gt;=89,K1164&lt;=92),"3개월",
 AND(K1164&gt;=58,K1164&lt;=62),"2개월",
 AND(K1164&gt;=28,K1164&lt;=32),"1개월",
 AND(K1164=0),"당월",
 TRUE,"그외"
)</f>
        <v>그외</v>
      </c>
    </row>
    <row r="1165" spans="1:12" ht="17.649999999999999" customHeight="1" x14ac:dyDescent="0.3">
      <c r="A1165" s="5">
        <v>46143</v>
      </c>
      <c r="B1165" s="6" t="s">
        <v>84</v>
      </c>
      <c r="C1165" s="6" t="s">
        <v>86</v>
      </c>
      <c r="D1165" s="5">
        <v>45992</v>
      </c>
      <c r="E1165" s="6" t="s">
        <v>15</v>
      </c>
      <c r="F1165" s="7">
        <v>878</v>
      </c>
      <c r="G1165" s="7">
        <v>810672.24943052395</v>
      </c>
      <c r="H1165" s="7">
        <v>711770235</v>
      </c>
      <c r="I1165" s="7">
        <v>76840398</v>
      </c>
      <c r="J1165" s="7">
        <v>0</v>
      </c>
      <c r="K1165">
        <f t="shared" si="18"/>
        <v>151</v>
      </c>
      <c r="L1165" s="8" t="str" cm="1">
        <f t="array" ref="L1165">_xlfn.IFS(
 AND(K1165&gt;=89,K1165&lt;=92),"3개월",
 AND(K1165&gt;=58,K1165&lt;=62),"2개월",
 AND(K1165&gt;=28,K1165&lt;=32),"1개월",
 AND(K1165=0),"당월",
 TRUE,"그외"
)</f>
        <v>그외</v>
      </c>
    </row>
    <row r="1166" spans="1:12" ht="17.649999999999999" customHeight="1" x14ac:dyDescent="0.3">
      <c r="A1166" s="5">
        <v>46143</v>
      </c>
      <c r="B1166" s="6" t="s">
        <v>84</v>
      </c>
      <c r="C1166" s="6" t="s">
        <v>86</v>
      </c>
      <c r="D1166" s="5">
        <v>46023</v>
      </c>
      <c r="E1166" s="6" t="s">
        <v>14</v>
      </c>
      <c r="F1166" s="7">
        <v>2</v>
      </c>
      <c r="G1166" s="7">
        <v>629400</v>
      </c>
      <c r="H1166" s="7">
        <v>1258800</v>
      </c>
      <c r="I1166" s="7">
        <v>158800</v>
      </c>
      <c r="J1166" s="7">
        <v>0</v>
      </c>
      <c r="K1166">
        <f t="shared" si="18"/>
        <v>120</v>
      </c>
      <c r="L1166" s="8" t="str" cm="1">
        <f t="array" ref="L1166">_xlfn.IFS(
 AND(K1166&gt;=89,K1166&lt;=92),"3개월",
 AND(K1166&gt;=58,K1166&lt;=62),"2개월",
 AND(K1166&gt;=28,K1166&lt;=32),"1개월",
 AND(K1166=0),"당월",
 TRUE,"그외"
)</f>
        <v>그외</v>
      </c>
    </row>
    <row r="1167" spans="1:12" ht="17.649999999999999" customHeight="1" x14ac:dyDescent="0.3">
      <c r="A1167" s="5">
        <v>46143</v>
      </c>
      <c r="B1167" s="6" t="s">
        <v>84</v>
      </c>
      <c r="C1167" s="6" t="s">
        <v>86</v>
      </c>
      <c r="D1167" s="5">
        <v>46023</v>
      </c>
      <c r="E1167" s="6" t="s">
        <v>15</v>
      </c>
      <c r="F1167" s="7">
        <v>1355</v>
      </c>
      <c r="G1167" s="7">
        <v>810504.63173431729</v>
      </c>
      <c r="H1167" s="7">
        <v>1098233776</v>
      </c>
      <c r="I1167" s="7">
        <v>123567722</v>
      </c>
      <c r="J1167" s="7">
        <v>0</v>
      </c>
      <c r="K1167">
        <f t="shared" si="18"/>
        <v>120</v>
      </c>
      <c r="L1167" s="8" t="str" cm="1">
        <f t="array" ref="L1167">_xlfn.IFS(
 AND(K1167&gt;=89,K1167&lt;=92),"3개월",
 AND(K1167&gt;=58,K1167&lt;=62),"2개월",
 AND(K1167&gt;=28,K1167&lt;=32),"1개월",
 AND(K1167=0),"당월",
 TRUE,"그외"
)</f>
        <v>그외</v>
      </c>
    </row>
    <row r="1168" spans="1:12" ht="17.649999999999999" customHeight="1" x14ac:dyDescent="0.3">
      <c r="A1168" s="5">
        <v>46143</v>
      </c>
      <c r="B1168" s="6" t="s">
        <v>84</v>
      </c>
      <c r="C1168" s="6" t="s">
        <v>86</v>
      </c>
      <c r="D1168" s="5">
        <v>46054</v>
      </c>
      <c r="E1168" s="6" t="s">
        <v>14</v>
      </c>
      <c r="F1168" s="7">
        <v>4</v>
      </c>
      <c r="G1168" s="7">
        <v>629400</v>
      </c>
      <c r="H1168" s="7">
        <v>2517600</v>
      </c>
      <c r="I1168" s="7">
        <v>217600</v>
      </c>
      <c r="J1168" s="7">
        <v>0</v>
      </c>
      <c r="K1168">
        <f t="shared" si="18"/>
        <v>89</v>
      </c>
      <c r="L1168" s="8" t="str" cm="1">
        <f t="array" ref="L1168">_xlfn.IFS(
 AND(K1168&gt;=89,K1168&lt;=92),"3개월",
 AND(K1168&gt;=58,K1168&lt;=62),"2개월",
 AND(K1168&gt;=28,K1168&lt;=32),"1개월",
 AND(K1168=0),"당월",
 TRUE,"그외"
)</f>
        <v>3개월</v>
      </c>
    </row>
    <row r="1169" spans="1:12" ht="17.649999999999999" customHeight="1" x14ac:dyDescent="0.3">
      <c r="A1169" s="5">
        <v>46143</v>
      </c>
      <c r="B1169" s="6" t="s">
        <v>84</v>
      </c>
      <c r="C1169" s="6" t="s">
        <v>86</v>
      </c>
      <c r="D1169" s="5">
        <v>46054</v>
      </c>
      <c r="E1169" s="6" t="s">
        <v>15</v>
      </c>
      <c r="F1169" s="7">
        <v>1572</v>
      </c>
      <c r="G1169" s="7">
        <v>798860.50826972013</v>
      </c>
      <c r="H1169" s="7">
        <v>1255808719</v>
      </c>
      <c r="I1169" s="7">
        <v>103359712</v>
      </c>
      <c r="J1169" s="7">
        <v>0</v>
      </c>
      <c r="K1169">
        <f t="shared" si="18"/>
        <v>89</v>
      </c>
      <c r="L1169" s="8" t="str" cm="1">
        <f t="array" ref="L1169">_xlfn.IFS(
 AND(K1169&gt;=89,K1169&lt;=92),"3개월",
 AND(K1169&gt;=58,K1169&lt;=62),"2개월",
 AND(K1169&gt;=28,K1169&lt;=32),"1개월",
 AND(K1169=0),"당월",
 TRUE,"그외"
)</f>
        <v>3개월</v>
      </c>
    </row>
    <row r="1170" spans="1:12" ht="17.649999999999999" customHeight="1" x14ac:dyDescent="0.3">
      <c r="A1170" s="5">
        <v>46143</v>
      </c>
      <c r="B1170" s="6" t="s">
        <v>84</v>
      </c>
      <c r="C1170" s="6" t="s">
        <v>86</v>
      </c>
      <c r="D1170" s="5">
        <v>46082</v>
      </c>
      <c r="E1170" s="6" t="s">
        <v>14</v>
      </c>
      <c r="F1170" s="7">
        <v>2939</v>
      </c>
      <c r="G1170" s="7">
        <v>538111.1180673698</v>
      </c>
      <c r="H1170" s="7">
        <v>1581508576</v>
      </c>
      <c r="I1170" s="7">
        <v>198608800</v>
      </c>
      <c r="J1170" s="7">
        <v>0</v>
      </c>
      <c r="K1170">
        <f t="shared" si="18"/>
        <v>61</v>
      </c>
      <c r="L1170" s="8" t="str" cm="1">
        <f t="array" ref="L1170">_xlfn.IFS(
 AND(K1170&gt;=89,K1170&lt;=92),"3개월",
 AND(K1170&gt;=58,K1170&lt;=62),"2개월",
 AND(K1170&gt;=28,K1170&lt;=32),"1개월",
 AND(K1170=0),"당월",
 TRUE,"그외"
)</f>
        <v>2개월</v>
      </c>
    </row>
    <row r="1171" spans="1:12" ht="17.649999999999999" customHeight="1" x14ac:dyDescent="0.3">
      <c r="A1171" s="5">
        <v>46143</v>
      </c>
      <c r="B1171" s="6" t="s">
        <v>84</v>
      </c>
      <c r="C1171" s="6" t="s">
        <v>86</v>
      </c>
      <c r="D1171" s="5">
        <v>46082</v>
      </c>
      <c r="E1171" s="6" t="s">
        <v>15</v>
      </c>
      <c r="F1171" s="7">
        <v>3182</v>
      </c>
      <c r="G1171" s="7">
        <v>904600.7702702703</v>
      </c>
      <c r="H1171" s="7">
        <v>2878439651</v>
      </c>
      <c r="I1171" s="7">
        <v>258392142</v>
      </c>
      <c r="J1171" s="7">
        <v>0</v>
      </c>
      <c r="K1171">
        <f t="shared" si="18"/>
        <v>61</v>
      </c>
      <c r="L1171" s="8" t="str" cm="1">
        <f t="array" ref="L1171">_xlfn.IFS(
 AND(K1171&gt;=89,K1171&lt;=92),"3개월",
 AND(K1171&gt;=58,K1171&lt;=62),"2개월",
 AND(K1171&gt;=28,K1171&lt;=32),"1개월",
 AND(K1171=0),"당월",
 TRUE,"그외"
)</f>
        <v>2개월</v>
      </c>
    </row>
    <row r="1172" spans="1:12" ht="17.649999999999999" customHeight="1" x14ac:dyDescent="0.3">
      <c r="A1172" s="5">
        <v>46143</v>
      </c>
      <c r="B1172" s="6" t="s">
        <v>84</v>
      </c>
      <c r="C1172" s="6" t="s">
        <v>86</v>
      </c>
      <c r="D1172" s="5">
        <v>46113</v>
      </c>
      <c r="E1172" s="6" t="s">
        <v>14</v>
      </c>
      <c r="F1172" s="7">
        <v>820</v>
      </c>
      <c r="G1172" s="7">
        <v>689268.66829268297</v>
      </c>
      <c r="H1172" s="7">
        <v>565200308</v>
      </c>
      <c r="I1172" s="7">
        <v>172145100</v>
      </c>
      <c r="J1172" s="7">
        <v>0</v>
      </c>
      <c r="K1172">
        <f t="shared" si="18"/>
        <v>30</v>
      </c>
      <c r="L1172" s="8" t="str" cm="1">
        <f t="array" ref="L1172">_xlfn.IFS(
 AND(K1172&gt;=89,K1172&lt;=92),"3개월",
 AND(K1172&gt;=58,K1172&lt;=62),"2개월",
 AND(K1172&gt;=28,K1172&lt;=32),"1개월",
 AND(K1172=0),"당월",
 TRUE,"그외"
)</f>
        <v>1개월</v>
      </c>
    </row>
    <row r="1173" spans="1:12" ht="17.649999999999999" customHeight="1" x14ac:dyDescent="0.3">
      <c r="A1173" s="5">
        <v>46143</v>
      </c>
      <c r="B1173" s="6" t="s">
        <v>84</v>
      </c>
      <c r="C1173" s="6" t="s">
        <v>86</v>
      </c>
      <c r="D1173" s="5">
        <v>46113</v>
      </c>
      <c r="E1173" s="6" t="s">
        <v>15</v>
      </c>
      <c r="F1173" s="7">
        <v>1197</v>
      </c>
      <c r="G1173" s="7">
        <v>917564.90726817038</v>
      </c>
      <c r="H1173" s="7">
        <v>1098325194</v>
      </c>
      <c r="I1173" s="7">
        <v>249865464</v>
      </c>
      <c r="J1173" s="7">
        <v>0</v>
      </c>
      <c r="K1173">
        <f t="shared" si="18"/>
        <v>30</v>
      </c>
      <c r="L1173" s="8" t="str" cm="1">
        <f t="array" ref="L1173">_xlfn.IFS(
 AND(K1173&gt;=89,K1173&lt;=92),"3개월",
 AND(K1173&gt;=58,K1173&lt;=62),"2개월",
 AND(K1173&gt;=28,K1173&lt;=32),"1개월",
 AND(K1173=0),"당월",
 TRUE,"그외"
)</f>
        <v>1개월</v>
      </c>
    </row>
    <row r="1174" spans="1:12" ht="17.649999999999999" customHeight="1" x14ac:dyDescent="0.3">
      <c r="A1174" s="5">
        <v>46143</v>
      </c>
      <c r="B1174" s="6" t="s">
        <v>84</v>
      </c>
      <c r="C1174" s="6" t="s">
        <v>86</v>
      </c>
      <c r="D1174" s="5">
        <v>46143</v>
      </c>
      <c r="E1174" s="6" t="s">
        <v>14</v>
      </c>
      <c r="F1174" s="7">
        <v>14</v>
      </c>
      <c r="G1174" s="7">
        <v>204746.92857142861</v>
      </c>
      <c r="H1174" s="7">
        <v>2866457</v>
      </c>
      <c r="I1174" s="7">
        <v>1434600</v>
      </c>
      <c r="J1174" s="7">
        <v>0</v>
      </c>
      <c r="K1174">
        <f t="shared" si="18"/>
        <v>0</v>
      </c>
      <c r="L1174" s="8" t="str" cm="1">
        <f t="array" ref="L1174">_xlfn.IFS(
 AND(K1174&gt;=89,K1174&lt;=92),"3개월",
 AND(K1174&gt;=58,K1174&lt;=62),"2개월",
 AND(K1174&gt;=28,K1174&lt;=32),"1개월",
 AND(K1174=0),"당월",
 TRUE,"그외"
)</f>
        <v>당월</v>
      </c>
    </row>
    <row r="1175" spans="1:12" ht="17.649999999999999" customHeight="1" x14ac:dyDescent="0.3">
      <c r="A1175" s="5">
        <v>46143</v>
      </c>
      <c r="B1175" s="6" t="s">
        <v>84</v>
      </c>
      <c r="C1175" s="6" t="s">
        <v>86</v>
      </c>
      <c r="D1175" s="5">
        <v>46143</v>
      </c>
      <c r="E1175" s="6" t="s">
        <v>15</v>
      </c>
      <c r="F1175" s="7">
        <v>289</v>
      </c>
      <c r="G1175" s="7">
        <v>732015.64013840829</v>
      </c>
      <c r="H1175" s="7">
        <v>211552520</v>
      </c>
      <c r="I1175" s="7">
        <v>68472817</v>
      </c>
      <c r="J1175" s="7">
        <v>0</v>
      </c>
      <c r="K1175">
        <f t="shared" si="18"/>
        <v>0</v>
      </c>
      <c r="L1175" s="8" t="str" cm="1">
        <f t="array" ref="L1175">_xlfn.IFS(
 AND(K1175&gt;=89,K1175&lt;=92),"3개월",
 AND(K1175&gt;=58,K1175&lt;=62),"2개월",
 AND(K1175&gt;=28,K1175&lt;=32),"1개월",
 AND(K1175=0),"당월",
 TRUE,"그외"
)</f>
        <v>당월</v>
      </c>
    </row>
    <row r="1176" spans="1:12" ht="17.649999999999999" customHeight="1" x14ac:dyDescent="0.3">
      <c r="A1176" s="5">
        <v>46143</v>
      </c>
      <c r="B1176" s="6" t="s">
        <v>84</v>
      </c>
      <c r="C1176" s="6" t="s">
        <v>87</v>
      </c>
      <c r="D1176" s="5">
        <v>45931</v>
      </c>
      <c r="E1176" s="6" t="s">
        <v>15</v>
      </c>
      <c r="F1176" s="7">
        <v>112</v>
      </c>
      <c r="G1176" s="7">
        <v>506617.5</v>
      </c>
      <c r="H1176" s="7">
        <v>56741160</v>
      </c>
      <c r="I1176" s="7">
        <v>10561890</v>
      </c>
      <c r="J1176" s="7">
        <v>0</v>
      </c>
      <c r="K1176">
        <f t="shared" si="18"/>
        <v>212</v>
      </c>
      <c r="L1176" s="8" t="str" cm="1">
        <f t="array" ref="L1176">_xlfn.IFS(
 AND(K1176&gt;=89,K1176&lt;=92),"3개월",
 AND(K1176&gt;=58,K1176&lt;=62),"2개월",
 AND(K1176&gt;=28,K1176&lt;=32),"1개월",
 AND(K1176=0),"당월",
 TRUE,"그외"
)</f>
        <v>그외</v>
      </c>
    </row>
    <row r="1177" spans="1:12" ht="17.649999999999999" customHeight="1" x14ac:dyDescent="0.3">
      <c r="A1177" s="5">
        <v>46143</v>
      </c>
      <c r="B1177" s="6" t="s">
        <v>84</v>
      </c>
      <c r="C1177" s="6" t="s">
        <v>87</v>
      </c>
      <c r="D1177" s="5">
        <v>45962</v>
      </c>
      <c r="E1177" s="6" t="s">
        <v>15</v>
      </c>
      <c r="F1177" s="7">
        <v>332</v>
      </c>
      <c r="G1177" s="7">
        <v>494832.82228915661</v>
      </c>
      <c r="H1177" s="7">
        <v>164284497</v>
      </c>
      <c r="I1177" s="7">
        <v>34780399</v>
      </c>
      <c r="J1177" s="7">
        <v>0</v>
      </c>
      <c r="K1177">
        <f t="shared" si="18"/>
        <v>181</v>
      </c>
      <c r="L1177" s="8" t="str" cm="1">
        <f t="array" ref="L1177">_xlfn.IFS(
 AND(K1177&gt;=89,K1177&lt;=92),"3개월",
 AND(K1177&gt;=58,K1177&lt;=62),"2개월",
 AND(K1177&gt;=28,K1177&lt;=32),"1개월",
 AND(K1177=0),"당월",
 TRUE,"그외"
)</f>
        <v>그외</v>
      </c>
    </row>
    <row r="1178" spans="1:12" ht="17.649999999999999" customHeight="1" x14ac:dyDescent="0.3">
      <c r="A1178" s="5">
        <v>46143</v>
      </c>
      <c r="B1178" s="6" t="s">
        <v>84</v>
      </c>
      <c r="C1178" s="6" t="s">
        <v>87</v>
      </c>
      <c r="D1178" s="5">
        <v>45992</v>
      </c>
      <c r="E1178" s="6" t="s">
        <v>15</v>
      </c>
      <c r="F1178" s="7">
        <v>310</v>
      </c>
      <c r="G1178" s="7">
        <v>501924.00322580652</v>
      </c>
      <c r="H1178" s="7">
        <v>155596441</v>
      </c>
      <c r="I1178" s="7">
        <v>33216746</v>
      </c>
      <c r="J1178" s="7">
        <v>0</v>
      </c>
      <c r="K1178">
        <f t="shared" si="18"/>
        <v>151</v>
      </c>
      <c r="L1178" s="8" t="str" cm="1">
        <f t="array" ref="L1178">_xlfn.IFS(
 AND(K1178&gt;=89,K1178&lt;=92),"3개월",
 AND(K1178&gt;=58,K1178&lt;=62),"2개월",
 AND(K1178&gt;=28,K1178&lt;=32),"1개월",
 AND(K1178=0),"당월",
 TRUE,"그외"
)</f>
        <v>그외</v>
      </c>
    </row>
    <row r="1179" spans="1:12" ht="17.649999999999999" customHeight="1" x14ac:dyDescent="0.3">
      <c r="A1179" s="5">
        <v>46143</v>
      </c>
      <c r="B1179" s="6" t="s">
        <v>84</v>
      </c>
      <c r="C1179" s="6" t="s">
        <v>87</v>
      </c>
      <c r="D1179" s="5">
        <v>46023</v>
      </c>
      <c r="E1179" s="6" t="s">
        <v>14</v>
      </c>
      <c r="F1179" s="7">
        <v>19</v>
      </c>
      <c r="G1179" s="7">
        <v>379400</v>
      </c>
      <c r="H1179" s="7">
        <v>7208600</v>
      </c>
      <c r="I1179" s="7">
        <v>1508600</v>
      </c>
      <c r="J1179" s="7">
        <v>0</v>
      </c>
      <c r="K1179">
        <f t="shared" si="18"/>
        <v>120</v>
      </c>
      <c r="L1179" s="8" t="str" cm="1">
        <f t="array" ref="L1179">_xlfn.IFS(
 AND(K1179&gt;=89,K1179&lt;=92),"3개월",
 AND(K1179&gt;=58,K1179&lt;=62),"2개월",
 AND(K1179&gt;=28,K1179&lt;=32),"1개월",
 AND(K1179=0),"당월",
 TRUE,"그외"
)</f>
        <v>그외</v>
      </c>
    </row>
    <row r="1180" spans="1:12" ht="17.649999999999999" customHeight="1" x14ac:dyDescent="0.3">
      <c r="A1180" s="5">
        <v>46143</v>
      </c>
      <c r="B1180" s="6" t="s">
        <v>84</v>
      </c>
      <c r="C1180" s="6" t="s">
        <v>87</v>
      </c>
      <c r="D1180" s="5">
        <v>46023</v>
      </c>
      <c r="E1180" s="6" t="s">
        <v>15</v>
      </c>
      <c r="F1180" s="7">
        <v>876</v>
      </c>
      <c r="G1180" s="7">
        <v>535045.16894977167</v>
      </c>
      <c r="H1180" s="7">
        <v>468699568</v>
      </c>
      <c r="I1180" s="7">
        <v>95938772</v>
      </c>
      <c r="J1180" s="7">
        <v>0</v>
      </c>
      <c r="K1180">
        <f t="shared" si="18"/>
        <v>120</v>
      </c>
      <c r="L1180" s="8" t="str" cm="1">
        <f t="array" ref="L1180">_xlfn.IFS(
 AND(K1180&gt;=89,K1180&lt;=92),"3개월",
 AND(K1180&gt;=58,K1180&lt;=62),"2개월",
 AND(K1180&gt;=28,K1180&lt;=32),"1개월",
 AND(K1180=0),"당월",
 TRUE,"그외"
)</f>
        <v>그외</v>
      </c>
    </row>
    <row r="1181" spans="1:12" ht="17.649999999999999" customHeight="1" x14ac:dyDescent="0.3">
      <c r="A1181" s="5">
        <v>46143</v>
      </c>
      <c r="B1181" s="6" t="s">
        <v>84</v>
      </c>
      <c r="C1181" s="6" t="s">
        <v>87</v>
      </c>
      <c r="D1181" s="5">
        <v>46054</v>
      </c>
      <c r="E1181" s="6" t="s">
        <v>15</v>
      </c>
      <c r="F1181" s="7">
        <v>876</v>
      </c>
      <c r="G1181" s="7">
        <v>572564.18036529678</v>
      </c>
      <c r="H1181" s="7">
        <v>501566222</v>
      </c>
      <c r="I1181" s="7">
        <v>68683324</v>
      </c>
      <c r="J1181" s="7">
        <v>0</v>
      </c>
      <c r="K1181">
        <f t="shared" si="18"/>
        <v>89</v>
      </c>
      <c r="L1181" s="8" t="str" cm="1">
        <f t="array" ref="L1181">_xlfn.IFS(
 AND(K1181&gt;=89,K1181&lt;=92),"3개월",
 AND(K1181&gt;=58,K1181&lt;=62),"2개월",
 AND(K1181&gt;=28,K1181&lt;=32),"1개월",
 AND(K1181=0),"당월",
 TRUE,"그외"
)</f>
        <v>3개월</v>
      </c>
    </row>
    <row r="1182" spans="1:12" ht="17.649999999999999" customHeight="1" x14ac:dyDescent="0.3">
      <c r="A1182" s="5">
        <v>46143</v>
      </c>
      <c r="B1182" s="6" t="s">
        <v>84</v>
      </c>
      <c r="C1182" s="6" t="s">
        <v>87</v>
      </c>
      <c r="D1182" s="5">
        <v>46082</v>
      </c>
      <c r="E1182" s="6" t="s">
        <v>14</v>
      </c>
      <c r="F1182" s="7">
        <v>558</v>
      </c>
      <c r="G1182" s="7">
        <v>507039.94623655907</v>
      </c>
      <c r="H1182" s="7">
        <v>282928290</v>
      </c>
      <c r="I1182" s="7">
        <v>54561240</v>
      </c>
      <c r="J1182" s="7">
        <v>0</v>
      </c>
      <c r="K1182">
        <f t="shared" si="18"/>
        <v>61</v>
      </c>
      <c r="L1182" s="8" t="str" cm="1">
        <f t="array" ref="L1182">_xlfn.IFS(
 AND(K1182&gt;=89,K1182&lt;=92),"3개월",
 AND(K1182&gt;=58,K1182&lt;=62),"2개월",
 AND(K1182&gt;=28,K1182&lt;=32),"1개월",
 AND(K1182=0),"당월",
 TRUE,"그외"
)</f>
        <v>2개월</v>
      </c>
    </row>
    <row r="1183" spans="1:12" ht="17.649999999999999" customHeight="1" x14ac:dyDescent="0.3">
      <c r="A1183" s="5">
        <v>46143</v>
      </c>
      <c r="B1183" s="6" t="s">
        <v>84</v>
      </c>
      <c r="C1183" s="6" t="s">
        <v>87</v>
      </c>
      <c r="D1183" s="5">
        <v>46082</v>
      </c>
      <c r="E1183" s="6" t="s">
        <v>15</v>
      </c>
      <c r="F1183" s="7">
        <v>1635</v>
      </c>
      <c r="G1183" s="7">
        <v>707950.32782874617</v>
      </c>
      <c r="H1183" s="7">
        <v>1157498786</v>
      </c>
      <c r="I1183" s="7">
        <v>153599329</v>
      </c>
      <c r="J1183" s="7">
        <v>0</v>
      </c>
      <c r="K1183">
        <f t="shared" si="18"/>
        <v>61</v>
      </c>
      <c r="L1183" s="8" t="str" cm="1">
        <f t="array" ref="L1183">_xlfn.IFS(
 AND(K1183&gt;=89,K1183&lt;=92),"3개월",
 AND(K1183&gt;=58,K1183&lt;=62),"2개월",
 AND(K1183&gt;=28,K1183&lt;=32),"1개월",
 AND(K1183=0),"당월",
 TRUE,"그외"
)</f>
        <v>2개월</v>
      </c>
    </row>
    <row r="1184" spans="1:12" ht="17.649999999999999" customHeight="1" x14ac:dyDescent="0.3">
      <c r="A1184" s="5">
        <v>46143</v>
      </c>
      <c r="B1184" s="6" t="s">
        <v>84</v>
      </c>
      <c r="C1184" s="6" t="s">
        <v>87</v>
      </c>
      <c r="D1184" s="5">
        <v>46113</v>
      </c>
      <c r="E1184" s="6" t="s">
        <v>14</v>
      </c>
      <c r="F1184" s="7">
        <v>151</v>
      </c>
      <c r="G1184" s="7">
        <v>617959.57615894044</v>
      </c>
      <c r="H1184" s="7">
        <v>93311896</v>
      </c>
      <c r="I1184" s="7">
        <v>31946670</v>
      </c>
      <c r="J1184" s="7">
        <v>0</v>
      </c>
      <c r="K1184">
        <f t="shared" si="18"/>
        <v>30</v>
      </c>
      <c r="L1184" s="8" t="str" cm="1">
        <f t="array" ref="L1184">_xlfn.IFS(
 AND(K1184&gt;=89,K1184&lt;=92),"3개월",
 AND(K1184&gt;=58,K1184&lt;=62),"2개월",
 AND(K1184&gt;=28,K1184&lt;=32),"1개월",
 AND(K1184=0),"당월",
 TRUE,"그외"
)</f>
        <v>1개월</v>
      </c>
    </row>
    <row r="1185" spans="1:12" ht="17.649999999999999" customHeight="1" x14ac:dyDescent="0.3">
      <c r="A1185" s="5">
        <v>46143</v>
      </c>
      <c r="B1185" s="6" t="s">
        <v>84</v>
      </c>
      <c r="C1185" s="6" t="s">
        <v>87</v>
      </c>
      <c r="D1185" s="5">
        <v>46113</v>
      </c>
      <c r="E1185" s="6" t="s">
        <v>15</v>
      </c>
      <c r="F1185" s="7">
        <v>1070</v>
      </c>
      <c r="G1185" s="7">
        <v>797902.52429906547</v>
      </c>
      <c r="H1185" s="7">
        <v>853755701</v>
      </c>
      <c r="I1185" s="7">
        <v>253575556</v>
      </c>
      <c r="J1185" s="7">
        <v>0</v>
      </c>
      <c r="K1185">
        <f t="shared" si="18"/>
        <v>30</v>
      </c>
      <c r="L1185" s="8" t="str" cm="1">
        <f t="array" ref="L1185">_xlfn.IFS(
 AND(K1185&gt;=89,K1185&lt;=92),"3개월",
 AND(K1185&gt;=58,K1185&lt;=62),"2개월",
 AND(K1185&gt;=28,K1185&lt;=32),"1개월",
 AND(K1185=0),"당월",
 TRUE,"그외"
)</f>
        <v>1개월</v>
      </c>
    </row>
    <row r="1186" spans="1:12" ht="17.649999999999999" customHeight="1" x14ac:dyDescent="0.3">
      <c r="A1186" s="5">
        <v>46143</v>
      </c>
      <c r="B1186" s="6" t="s">
        <v>84</v>
      </c>
      <c r="C1186" s="6" t="s">
        <v>87</v>
      </c>
      <c r="D1186" s="5">
        <v>46143</v>
      </c>
      <c r="E1186" s="6" t="s">
        <v>14</v>
      </c>
      <c r="F1186" s="7">
        <v>2</v>
      </c>
      <c r="G1186" s="7">
        <v>810852</v>
      </c>
      <c r="H1186" s="7">
        <v>1621704</v>
      </c>
      <c r="I1186" s="7">
        <v>813800</v>
      </c>
      <c r="J1186" s="7">
        <v>0</v>
      </c>
      <c r="K1186">
        <f t="shared" si="18"/>
        <v>0</v>
      </c>
      <c r="L1186" s="8" t="str" cm="1">
        <f t="array" ref="L1186">_xlfn.IFS(
 AND(K1186&gt;=89,K1186&lt;=92),"3개월",
 AND(K1186&gt;=58,K1186&lt;=62),"2개월",
 AND(K1186&gt;=28,K1186&lt;=32),"1개월",
 AND(K1186=0),"당월",
 TRUE,"그외"
)</f>
        <v>당월</v>
      </c>
    </row>
    <row r="1187" spans="1:12" ht="17.649999999999999" customHeight="1" x14ac:dyDescent="0.3">
      <c r="A1187" s="5">
        <v>46143</v>
      </c>
      <c r="B1187" s="6" t="s">
        <v>84</v>
      </c>
      <c r="C1187" s="6" t="s">
        <v>87</v>
      </c>
      <c r="D1187" s="5">
        <v>46143</v>
      </c>
      <c r="E1187" s="6" t="s">
        <v>15</v>
      </c>
      <c r="F1187" s="7">
        <v>192</v>
      </c>
      <c r="G1187" s="7">
        <v>620093.58854166663</v>
      </c>
      <c r="H1187" s="7">
        <v>119057969</v>
      </c>
      <c r="I1187" s="7">
        <v>57318952</v>
      </c>
      <c r="J1187" s="7">
        <v>0</v>
      </c>
      <c r="K1187">
        <f t="shared" si="18"/>
        <v>0</v>
      </c>
      <c r="L1187" s="8" t="str" cm="1">
        <f t="array" ref="L1187">_xlfn.IFS(
 AND(K1187&gt;=89,K1187&lt;=92),"3개월",
 AND(K1187&gt;=58,K1187&lt;=62),"2개월",
 AND(K1187&gt;=28,K1187&lt;=32),"1개월",
 AND(K1187=0),"당월",
 TRUE,"그외"
)</f>
        <v>당월</v>
      </c>
    </row>
    <row r="1188" spans="1:12" ht="17.649999999999999" customHeight="1" x14ac:dyDescent="0.3">
      <c r="A1188" s="5">
        <v>46143</v>
      </c>
      <c r="B1188" s="6" t="s">
        <v>84</v>
      </c>
      <c r="C1188" s="6" t="s">
        <v>88</v>
      </c>
      <c r="D1188" s="5">
        <v>45931</v>
      </c>
      <c r="E1188" s="6" t="s">
        <v>15</v>
      </c>
      <c r="F1188" s="7">
        <v>465</v>
      </c>
      <c r="G1188" s="7">
        <v>729201.85161290318</v>
      </c>
      <c r="H1188" s="7">
        <v>339078861</v>
      </c>
      <c r="I1188" s="7">
        <v>36950404</v>
      </c>
      <c r="J1188" s="7">
        <v>0</v>
      </c>
      <c r="K1188">
        <f t="shared" si="18"/>
        <v>212</v>
      </c>
      <c r="L1188" s="8" t="str" cm="1">
        <f t="array" ref="L1188">_xlfn.IFS(
 AND(K1188&gt;=89,K1188&lt;=92),"3개월",
 AND(K1188&gt;=58,K1188&lt;=62),"2개월",
 AND(K1188&gt;=28,K1188&lt;=32),"1개월",
 AND(K1188=0),"당월",
 TRUE,"그외"
)</f>
        <v>그외</v>
      </c>
    </row>
    <row r="1189" spans="1:12" ht="17.649999999999999" customHeight="1" x14ac:dyDescent="0.3">
      <c r="A1189" s="5">
        <v>46143</v>
      </c>
      <c r="B1189" s="6" t="s">
        <v>84</v>
      </c>
      <c r="C1189" s="6" t="s">
        <v>88</v>
      </c>
      <c r="D1189" s="5">
        <v>45962</v>
      </c>
      <c r="E1189" s="6" t="s">
        <v>15</v>
      </c>
      <c r="F1189" s="7">
        <v>478</v>
      </c>
      <c r="G1189" s="7">
        <v>632576.63807531376</v>
      </c>
      <c r="H1189" s="7">
        <v>302371633</v>
      </c>
      <c r="I1189" s="7">
        <v>36887812</v>
      </c>
      <c r="J1189" s="7">
        <v>0</v>
      </c>
      <c r="K1189">
        <f t="shared" si="18"/>
        <v>181</v>
      </c>
      <c r="L1189" s="8" t="str" cm="1">
        <f t="array" ref="L1189">_xlfn.IFS(
 AND(K1189&gt;=89,K1189&lt;=92),"3개월",
 AND(K1189&gt;=58,K1189&lt;=62),"2개월",
 AND(K1189&gt;=28,K1189&lt;=32),"1개월",
 AND(K1189=0),"당월",
 TRUE,"그외"
)</f>
        <v>그외</v>
      </c>
    </row>
    <row r="1190" spans="1:12" ht="17.649999999999999" customHeight="1" x14ac:dyDescent="0.3">
      <c r="A1190" s="5">
        <v>46143</v>
      </c>
      <c r="B1190" s="6" t="s">
        <v>84</v>
      </c>
      <c r="C1190" s="6" t="s">
        <v>88</v>
      </c>
      <c r="D1190" s="5">
        <v>45992</v>
      </c>
      <c r="E1190" s="6" t="s">
        <v>15</v>
      </c>
      <c r="F1190" s="7">
        <v>579</v>
      </c>
      <c r="G1190" s="7">
        <v>690424.31951640756</v>
      </c>
      <c r="H1190" s="7">
        <v>399755681</v>
      </c>
      <c r="I1190" s="7">
        <v>53441531</v>
      </c>
      <c r="J1190" s="7">
        <v>0</v>
      </c>
      <c r="K1190">
        <f t="shared" si="18"/>
        <v>151</v>
      </c>
      <c r="L1190" s="8" t="str" cm="1">
        <f t="array" ref="L1190">_xlfn.IFS(
 AND(K1190&gt;=89,K1190&lt;=92),"3개월",
 AND(K1190&gt;=58,K1190&lt;=62),"2개월",
 AND(K1190&gt;=28,K1190&lt;=32),"1개월",
 AND(K1190=0),"당월",
 TRUE,"그외"
)</f>
        <v>그외</v>
      </c>
    </row>
    <row r="1191" spans="1:12" ht="17.649999999999999" customHeight="1" x14ac:dyDescent="0.3">
      <c r="A1191" s="5">
        <v>46143</v>
      </c>
      <c r="B1191" s="6" t="s">
        <v>84</v>
      </c>
      <c r="C1191" s="6" t="s">
        <v>88</v>
      </c>
      <c r="D1191" s="5">
        <v>46023</v>
      </c>
      <c r="E1191" s="6" t="s">
        <v>15</v>
      </c>
      <c r="F1191" s="7">
        <v>1281</v>
      </c>
      <c r="G1191" s="7">
        <v>768285.68618266983</v>
      </c>
      <c r="H1191" s="7">
        <v>984173964</v>
      </c>
      <c r="I1191" s="7">
        <v>126628455</v>
      </c>
      <c r="J1191" s="7">
        <v>0</v>
      </c>
      <c r="K1191">
        <f t="shared" si="18"/>
        <v>120</v>
      </c>
      <c r="L1191" s="8" t="str" cm="1">
        <f t="array" ref="L1191">_xlfn.IFS(
 AND(K1191&gt;=89,K1191&lt;=92),"3개월",
 AND(K1191&gt;=58,K1191&lt;=62),"2개월",
 AND(K1191&gt;=28,K1191&lt;=32),"1개월",
 AND(K1191=0),"당월",
 TRUE,"그외"
)</f>
        <v>그외</v>
      </c>
    </row>
    <row r="1192" spans="1:12" ht="17.649999999999999" customHeight="1" x14ac:dyDescent="0.3">
      <c r="A1192" s="5">
        <v>46143</v>
      </c>
      <c r="B1192" s="6" t="s">
        <v>84</v>
      </c>
      <c r="C1192" s="6" t="s">
        <v>88</v>
      </c>
      <c r="D1192" s="5">
        <v>46054</v>
      </c>
      <c r="E1192" s="6" t="s">
        <v>15</v>
      </c>
      <c r="F1192" s="7">
        <v>1789</v>
      </c>
      <c r="G1192" s="7">
        <v>674487.4740078256</v>
      </c>
      <c r="H1192" s="7">
        <v>1206658091</v>
      </c>
      <c r="I1192" s="7">
        <v>144863821</v>
      </c>
      <c r="J1192" s="7">
        <v>0</v>
      </c>
      <c r="K1192">
        <f t="shared" si="18"/>
        <v>89</v>
      </c>
      <c r="L1192" s="8" t="str" cm="1">
        <f t="array" ref="L1192">_xlfn.IFS(
 AND(K1192&gt;=89,K1192&lt;=92),"3개월",
 AND(K1192&gt;=58,K1192&lt;=62),"2개월",
 AND(K1192&gt;=28,K1192&lt;=32),"1개월",
 AND(K1192=0),"당월",
 TRUE,"그외"
)</f>
        <v>3개월</v>
      </c>
    </row>
    <row r="1193" spans="1:12" ht="17.649999999999999" customHeight="1" x14ac:dyDescent="0.3">
      <c r="A1193" s="5">
        <v>46143</v>
      </c>
      <c r="B1193" s="6" t="s">
        <v>84</v>
      </c>
      <c r="C1193" s="6" t="s">
        <v>88</v>
      </c>
      <c r="D1193" s="5">
        <v>46082</v>
      </c>
      <c r="E1193" s="6" t="s">
        <v>14</v>
      </c>
      <c r="F1193" s="7">
        <v>791</v>
      </c>
      <c r="G1193" s="7">
        <v>572167.66118836915</v>
      </c>
      <c r="H1193" s="7">
        <v>452584620</v>
      </c>
      <c r="I1193" s="7">
        <v>53471600</v>
      </c>
      <c r="J1193" s="7">
        <v>0</v>
      </c>
      <c r="K1193">
        <f t="shared" si="18"/>
        <v>61</v>
      </c>
      <c r="L1193" s="8" t="str" cm="1">
        <f t="array" ref="L1193">_xlfn.IFS(
 AND(K1193&gt;=89,K1193&lt;=92),"3개월",
 AND(K1193&gt;=58,K1193&lt;=62),"2개월",
 AND(K1193&gt;=28,K1193&lt;=32),"1개월",
 AND(K1193=0),"당월",
 TRUE,"그외"
)</f>
        <v>2개월</v>
      </c>
    </row>
    <row r="1194" spans="1:12" ht="17.649999999999999" customHeight="1" x14ac:dyDescent="0.3">
      <c r="A1194" s="5">
        <v>46143</v>
      </c>
      <c r="B1194" s="6" t="s">
        <v>84</v>
      </c>
      <c r="C1194" s="6" t="s">
        <v>88</v>
      </c>
      <c r="D1194" s="5">
        <v>46082</v>
      </c>
      <c r="E1194" s="6" t="s">
        <v>15</v>
      </c>
      <c r="F1194" s="7">
        <v>2448</v>
      </c>
      <c r="G1194" s="7">
        <v>779462.20751633984</v>
      </c>
      <c r="H1194" s="7">
        <v>1908123484</v>
      </c>
      <c r="I1194" s="7">
        <v>249423336</v>
      </c>
      <c r="J1194" s="7">
        <v>0</v>
      </c>
      <c r="K1194">
        <f t="shared" si="18"/>
        <v>61</v>
      </c>
      <c r="L1194" s="8" t="str" cm="1">
        <f t="array" ref="L1194">_xlfn.IFS(
 AND(K1194&gt;=89,K1194&lt;=92),"3개월",
 AND(K1194&gt;=58,K1194&lt;=62),"2개월",
 AND(K1194&gt;=28,K1194&lt;=32),"1개월",
 AND(K1194=0),"당월",
 TRUE,"그외"
)</f>
        <v>2개월</v>
      </c>
    </row>
    <row r="1195" spans="1:12" ht="17.649999999999999" customHeight="1" x14ac:dyDescent="0.3">
      <c r="A1195" s="5">
        <v>46143</v>
      </c>
      <c r="B1195" s="6" t="s">
        <v>84</v>
      </c>
      <c r="C1195" s="6" t="s">
        <v>88</v>
      </c>
      <c r="D1195" s="5">
        <v>46113</v>
      </c>
      <c r="E1195" s="6" t="s">
        <v>14</v>
      </c>
      <c r="F1195" s="7">
        <v>240</v>
      </c>
      <c r="G1195" s="7">
        <v>675075.07916666672</v>
      </c>
      <c r="H1195" s="7">
        <v>162018019</v>
      </c>
      <c r="I1195" s="7">
        <v>51043400</v>
      </c>
      <c r="J1195" s="7">
        <v>0</v>
      </c>
      <c r="K1195">
        <f t="shared" si="18"/>
        <v>30</v>
      </c>
      <c r="L1195" s="8" t="str" cm="1">
        <f t="array" ref="L1195">_xlfn.IFS(
 AND(K1195&gt;=89,K1195&lt;=92),"3개월",
 AND(K1195&gt;=58,K1195&lt;=62),"2개월",
 AND(K1195&gt;=28,K1195&lt;=32),"1개월",
 AND(K1195=0),"당월",
 TRUE,"그외"
)</f>
        <v>1개월</v>
      </c>
    </row>
    <row r="1196" spans="1:12" ht="17.649999999999999" customHeight="1" x14ac:dyDescent="0.3">
      <c r="A1196" s="5">
        <v>46143</v>
      </c>
      <c r="B1196" s="6" t="s">
        <v>84</v>
      </c>
      <c r="C1196" s="6" t="s">
        <v>88</v>
      </c>
      <c r="D1196" s="5">
        <v>46113</v>
      </c>
      <c r="E1196" s="6" t="s">
        <v>15</v>
      </c>
      <c r="F1196" s="7">
        <v>1144</v>
      </c>
      <c r="G1196" s="7">
        <v>985537.11188811192</v>
      </c>
      <c r="H1196" s="7">
        <v>1127454456</v>
      </c>
      <c r="I1196" s="7">
        <v>262502959</v>
      </c>
      <c r="J1196" s="7">
        <v>0</v>
      </c>
      <c r="K1196">
        <f t="shared" si="18"/>
        <v>30</v>
      </c>
      <c r="L1196" s="8" t="str" cm="1">
        <f t="array" ref="L1196">_xlfn.IFS(
 AND(K1196&gt;=89,K1196&lt;=92),"3개월",
 AND(K1196&gt;=58,K1196&lt;=62),"2개월",
 AND(K1196&gt;=28,K1196&lt;=32),"1개월",
 AND(K1196=0),"당월",
 TRUE,"그외"
)</f>
        <v>1개월</v>
      </c>
    </row>
    <row r="1197" spans="1:12" ht="17.649999999999999" customHeight="1" x14ac:dyDescent="0.3">
      <c r="A1197" s="5">
        <v>46143</v>
      </c>
      <c r="B1197" s="6" t="s">
        <v>84</v>
      </c>
      <c r="C1197" s="6" t="s">
        <v>88</v>
      </c>
      <c r="D1197" s="5">
        <v>46143</v>
      </c>
      <c r="E1197" s="6" t="s">
        <v>14</v>
      </c>
      <c r="F1197" s="7">
        <v>3</v>
      </c>
      <c r="G1197" s="7">
        <v>564033.33333333337</v>
      </c>
      <c r="H1197" s="7">
        <v>1692100</v>
      </c>
      <c r="I1197" s="7">
        <v>542100</v>
      </c>
      <c r="J1197" s="7">
        <v>0</v>
      </c>
      <c r="K1197">
        <f t="shared" si="18"/>
        <v>0</v>
      </c>
      <c r="L1197" s="8" t="str" cm="1">
        <f t="array" ref="L1197">_xlfn.IFS(
 AND(K1197&gt;=89,K1197&lt;=92),"3개월",
 AND(K1197&gt;=58,K1197&lt;=62),"2개월",
 AND(K1197&gt;=28,K1197&lt;=32),"1개월",
 AND(K1197=0),"당월",
 TRUE,"그외"
)</f>
        <v>당월</v>
      </c>
    </row>
    <row r="1198" spans="1:12" ht="17.649999999999999" customHeight="1" x14ac:dyDescent="0.3">
      <c r="A1198" s="5">
        <v>46143</v>
      </c>
      <c r="B1198" s="6" t="s">
        <v>84</v>
      </c>
      <c r="C1198" s="6" t="s">
        <v>88</v>
      </c>
      <c r="D1198" s="5">
        <v>46143</v>
      </c>
      <c r="E1198" s="6" t="s">
        <v>15</v>
      </c>
      <c r="F1198" s="7">
        <v>293</v>
      </c>
      <c r="G1198" s="7">
        <v>839808.23890784988</v>
      </c>
      <c r="H1198" s="7">
        <v>246063814</v>
      </c>
      <c r="I1198" s="7">
        <v>70727571</v>
      </c>
      <c r="J1198" s="7">
        <v>0</v>
      </c>
      <c r="K1198">
        <f t="shared" si="18"/>
        <v>0</v>
      </c>
      <c r="L1198" s="8" t="str" cm="1">
        <f t="array" ref="L1198">_xlfn.IFS(
 AND(K1198&gt;=89,K1198&lt;=92),"3개월",
 AND(K1198&gt;=58,K1198&lt;=62),"2개월",
 AND(K1198&gt;=28,K1198&lt;=32),"1개월",
 AND(K1198=0),"당월",
 TRUE,"그외"
)</f>
        <v>당월</v>
      </c>
    </row>
    <row r="1199" spans="1:12" ht="17.649999999999999" customHeight="1" x14ac:dyDescent="0.3">
      <c r="A1199" s="5">
        <v>46143</v>
      </c>
      <c r="B1199" s="6" t="s">
        <v>89</v>
      </c>
      <c r="C1199" s="6" t="s">
        <v>90</v>
      </c>
      <c r="D1199" s="5">
        <v>45962</v>
      </c>
      <c r="E1199" s="6" t="s">
        <v>15</v>
      </c>
      <c r="F1199" s="7">
        <v>121</v>
      </c>
      <c r="G1199" s="7">
        <v>435014.86776859511</v>
      </c>
      <c r="H1199" s="7">
        <v>52636799</v>
      </c>
      <c r="I1199" s="7">
        <v>14084831</v>
      </c>
      <c r="J1199" s="7">
        <v>0</v>
      </c>
      <c r="K1199">
        <f t="shared" si="18"/>
        <v>181</v>
      </c>
      <c r="L1199" s="8" t="str" cm="1">
        <f t="array" ref="L1199">_xlfn.IFS(
 AND(K1199&gt;=89,K1199&lt;=92),"3개월",
 AND(K1199&gt;=58,K1199&lt;=62),"2개월",
 AND(K1199&gt;=28,K1199&lt;=32),"1개월",
 AND(K1199=0),"당월",
 TRUE,"그외"
)</f>
        <v>그외</v>
      </c>
    </row>
    <row r="1200" spans="1:12" ht="17.649999999999999" customHeight="1" x14ac:dyDescent="0.3">
      <c r="A1200" s="5">
        <v>46143</v>
      </c>
      <c r="B1200" s="6" t="s">
        <v>89</v>
      </c>
      <c r="C1200" s="6" t="s">
        <v>90</v>
      </c>
      <c r="D1200" s="5">
        <v>45992</v>
      </c>
      <c r="E1200" s="6" t="s">
        <v>15</v>
      </c>
      <c r="F1200" s="7">
        <v>227</v>
      </c>
      <c r="G1200" s="7">
        <v>445091.44052863441</v>
      </c>
      <c r="H1200" s="7">
        <v>101035757</v>
      </c>
      <c r="I1200" s="7">
        <v>25333225</v>
      </c>
      <c r="J1200" s="7">
        <v>0</v>
      </c>
      <c r="K1200">
        <f t="shared" si="18"/>
        <v>151</v>
      </c>
      <c r="L1200" s="8" t="str" cm="1">
        <f t="array" ref="L1200">_xlfn.IFS(
 AND(K1200&gt;=89,K1200&lt;=92),"3개월",
 AND(K1200&gt;=58,K1200&lt;=62),"2개월",
 AND(K1200&gt;=28,K1200&lt;=32),"1개월",
 AND(K1200=0),"당월",
 TRUE,"그외"
)</f>
        <v>그외</v>
      </c>
    </row>
    <row r="1201" spans="1:12" ht="17.649999999999999" customHeight="1" x14ac:dyDescent="0.3">
      <c r="A1201" s="5">
        <v>46143</v>
      </c>
      <c r="B1201" s="6" t="s">
        <v>89</v>
      </c>
      <c r="C1201" s="6" t="s">
        <v>90</v>
      </c>
      <c r="D1201" s="5">
        <v>46023</v>
      </c>
      <c r="E1201" s="6" t="s">
        <v>15</v>
      </c>
      <c r="F1201" s="7">
        <v>677</v>
      </c>
      <c r="G1201" s="7">
        <v>493039.44903988182</v>
      </c>
      <c r="H1201" s="7">
        <v>333787707</v>
      </c>
      <c r="I1201" s="7">
        <v>76512897</v>
      </c>
      <c r="J1201" s="7">
        <v>0</v>
      </c>
      <c r="K1201">
        <f t="shared" si="18"/>
        <v>120</v>
      </c>
      <c r="L1201" s="8" t="str" cm="1">
        <f t="array" ref="L1201">_xlfn.IFS(
 AND(K1201&gt;=89,K1201&lt;=92),"3개월",
 AND(K1201&gt;=58,K1201&lt;=62),"2개월",
 AND(K1201&gt;=28,K1201&lt;=32),"1개월",
 AND(K1201=0),"당월",
 TRUE,"그외"
)</f>
        <v>그외</v>
      </c>
    </row>
    <row r="1202" spans="1:12" ht="17.649999999999999" customHeight="1" x14ac:dyDescent="0.3">
      <c r="A1202" s="5">
        <v>46143</v>
      </c>
      <c r="B1202" s="6" t="s">
        <v>89</v>
      </c>
      <c r="C1202" s="6" t="s">
        <v>90</v>
      </c>
      <c r="D1202" s="5">
        <v>46054</v>
      </c>
      <c r="E1202" s="6" t="s">
        <v>14</v>
      </c>
      <c r="F1202" s="7">
        <v>35</v>
      </c>
      <c r="G1202" s="7">
        <v>260657.1428571429</v>
      </c>
      <c r="H1202" s="7">
        <v>9123000</v>
      </c>
      <c r="I1202" s="7">
        <v>1904000</v>
      </c>
      <c r="J1202" s="7">
        <v>0</v>
      </c>
      <c r="K1202">
        <f t="shared" si="18"/>
        <v>89</v>
      </c>
      <c r="L1202" s="8" t="str" cm="1">
        <f t="array" ref="L1202">_xlfn.IFS(
 AND(K1202&gt;=89,K1202&lt;=92),"3개월",
 AND(K1202&gt;=58,K1202&lt;=62),"2개월",
 AND(K1202&gt;=28,K1202&lt;=32),"1개월",
 AND(K1202=0),"당월",
 TRUE,"그외"
)</f>
        <v>3개월</v>
      </c>
    </row>
    <row r="1203" spans="1:12" ht="17.649999999999999" customHeight="1" x14ac:dyDescent="0.3">
      <c r="A1203" s="5">
        <v>46143</v>
      </c>
      <c r="B1203" s="6" t="s">
        <v>89</v>
      </c>
      <c r="C1203" s="6" t="s">
        <v>90</v>
      </c>
      <c r="D1203" s="5">
        <v>46054</v>
      </c>
      <c r="E1203" s="6" t="s">
        <v>15</v>
      </c>
      <c r="F1203" s="7">
        <v>1145</v>
      </c>
      <c r="G1203" s="7">
        <v>449482.26986899559</v>
      </c>
      <c r="H1203" s="7">
        <v>514657199</v>
      </c>
      <c r="I1203" s="7">
        <v>98483857</v>
      </c>
      <c r="J1203" s="7">
        <v>0</v>
      </c>
      <c r="K1203">
        <f t="shared" si="18"/>
        <v>89</v>
      </c>
      <c r="L1203" s="8" t="str" cm="1">
        <f t="array" ref="L1203">_xlfn.IFS(
 AND(K1203&gt;=89,K1203&lt;=92),"3개월",
 AND(K1203&gt;=58,K1203&lt;=62),"2개월",
 AND(K1203&gt;=28,K1203&lt;=32),"1개월",
 AND(K1203=0),"당월",
 TRUE,"그외"
)</f>
        <v>3개월</v>
      </c>
    </row>
    <row r="1204" spans="1:12" ht="17.649999999999999" customHeight="1" x14ac:dyDescent="0.3">
      <c r="A1204" s="5">
        <v>46143</v>
      </c>
      <c r="B1204" s="6" t="s">
        <v>89</v>
      </c>
      <c r="C1204" s="6" t="s">
        <v>90</v>
      </c>
      <c r="D1204" s="5">
        <v>46082</v>
      </c>
      <c r="E1204" s="6" t="s">
        <v>14</v>
      </c>
      <c r="F1204" s="7">
        <v>247</v>
      </c>
      <c r="G1204" s="7">
        <v>337471.95951417001</v>
      </c>
      <c r="H1204" s="7">
        <v>83355574</v>
      </c>
      <c r="I1204" s="7">
        <v>17146308</v>
      </c>
      <c r="J1204" s="7">
        <v>0</v>
      </c>
      <c r="K1204">
        <f t="shared" si="18"/>
        <v>61</v>
      </c>
      <c r="L1204" s="8" t="str" cm="1">
        <f t="array" ref="L1204">_xlfn.IFS(
 AND(K1204&gt;=89,K1204&lt;=92),"3개월",
 AND(K1204&gt;=58,K1204&lt;=62),"2개월",
 AND(K1204&gt;=28,K1204&lt;=32),"1개월",
 AND(K1204=0),"당월",
 TRUE,"그외"
)</f>
        <v>2개월</v>
      </c>
    </row>
    <row r="1205" spans="1:12" ht="17.649999999999999" customHeight="1" x14ac:dyDescent="0.3">
      <c r="A1205" s="5">
        <v>46143</v>
      </c>
      <c r="B1205" s="6" t="s">
        <v>89</v>
      </c>
      <c r="C1205" s="6" t="s">
        <v>90</v>
      </c>
      <c r="D1205" s="5">
        <v>46082</v>
      </c>
      <c r="E1205" s="6" t="s">
        <v>15</v>
      </c>
      <c r="F1205" s="7">
        <v>2887</v>
      </c>
      <c r="G1205" s="7">
        <v>528995.20297887083</v>
      </c>
      <c r="H1205" s="7">
        <v>1527209151</v>
      </c>
      <c r="I1205" s="7">
        <v>303004672</v>
      </c>
      <c r="J1205" s="7">
        <v>0</v>
      </c>
      <c r="K1205">
        <f t="shared" si="18"/>
        <v>61</v>
      </c>
      <c r="L1205" s="8" t="str" cm="1">
        <f t="array" ref="L1205">_xlfn.IFS(
 AND(K1205&gt;=89,K1205&lt;=92),"3개월",
 AND(K1205&gt;=58,K1205&lt;=62),"2개월",
 AND(K1205&gt;=28,K1205&lt;=32),"1개월",
 AND(K1205=0),"당월",
 TRUE,"그외"
)</f>
        <v>2개월</v>
      </c>
    </row>
    <row r="1206" spans="1:12" ht="17.649999999999999" customHeight="1" x14ac:dyDescent="0.3">
      <c r="A1206" s="5">
        <v>46143</v>
      </c>
      <c r="B1206" s="6" t="s">
        <v>89</v>
      </c>
      <c r="C1206" s="6" t="s">
        <v>90</v>
      </c>
      <c r="D1206" s="5">
        <v>46113</v>
      </c>
      <c r="E1206" s="6" t="s">
        <v>14</v>
      </c>
      <c r="F1206" s="7">
        <v>81</v>
      </c>
      <c r="G1206" s="7">
        <v>626602.2839506173</v>
      </c>
      <c r="H1206" s="7">
        <v>50754785</v>
      </c>
      <c r="I1206" s="7">
        <v>17385814</v>
      </c>
      <c r="J1206" s="7">
        <v>0</v>
      </c>
      <c r="K1206">
        <f t="shared" si="18"/>
        <v>30</v>
      </c>
      <c r="L1206" s="8" t="str" cm="1">
        <f t="array" ref="L1206">_xlfn.IFS(
 AND(K1206&gt;=89,K1206&lt;=92),"3개월",
 AND(K1206&gt;=58,K1206&lt;=62),"2개월",
 AND(K1206&gt;=28,K1206&lt;=32),"1개월",
 AND(K1206=0),"당월",
 TRUE,"그외"
)</f>
        <v>1개월</v>
      </c>
    </row>
    <row r="1207" spans="1:12" ht="17.649999999999999" customHeight="1" x14ac:dyDescent="0.3">
      <c r="A1207" s="5">
        <v>46143</v>
      </c>
      <c r="B1207" s="6" t="s">
        <v>89</v>
      </c>
      <c r="C1207" s="6" t="s">
        <v>90</v>
      </c>
      <c r="D1207" s="5">
        <v>46113</v>
      </c>
      <c r="E1207" s="6" t="s">
        <v>15</v>
      </c>
      <c r="F1207" s="7">
        <v>1559</v>
      </c>
      <c r="G1207" s="7">
        <v>708173.1077613855</v>
      </c>
      <c r="H1207" s="7">
        <v>1104041875</v>
      </c>
      <c r="I1207" s="7">
        <v>322633980</v>
      </c>
      <c r="J1207" s="7">
        <v>0</v>
      </c>
      <c r="K1207">
        <f t="shared" si="18"/>
        <v>30</v>
      </c>
      <c r="L1207" s="8" t="str" cm="1">
        <f t="array" ref="L1207">_xlfn.IFS(
 AND(K1207&gt;=89,K1207&lt;=92),"3개월",
 AND(K1207&gt;=58,K1207&lt;=62),"2개월",
 AND(K1207&gt;=28,K1207&lt;=32),"1개월",
 AND(K1207=0),"당월",
 TRUE,"그외"
)</f>
        <v>1개월</v>
      </c>
    </row>
    <row r="1208" spans="1:12" ht="17.649999999999999" customHeight="1" x14ac:dyDescent="0.3">
      <c r="A1208" s="5">
        <v>46143</v>
      </c>
      <c r="B1208" s="6" t="s">
        <v>89</v>
      </c>
      <c r="C1208" s="6" t="s">
        <v>90</v>
      </c>
      <c r="D1208" s="5">
        <v>46143</v>
      </c>
      <c r="E1208" s="6" t="s">
        <v>14</v>
      </c>
      <c r="F1208" s="7">
        <v>11</v>
      </c>
      <c r="G1208" s="7">
        <v>606075.27272727271</v>
      </c>
      <c r="H1208" s="7">
        <v>6666828</v>
      </c>
      <c r="I1208" s="7">
        <v>3147214</v>
      </c>
      <c r="J1208" s="7">
        <v>0</v>
      </c>
      <c r="K1208">
        <f t="shared" si="18"/>
        <v>0</v>
      </c>
      <c r="L1208" s="8" t="str" cm="1">
        <f t="array" ref="L1208">_xlfn.IFS(
 AND(K1208&gt;=89,K1208&lt;=92),"3개월",
 AND(K1208&gt;=58,K1208&lt;=62),"2개월",
 AND(K1208&gt;=28,K1208&lt;=32),"1개월",
 AND(K1208=0),"당월",
 TRUE,"그외"
)</f>
        <v>당월</v>
      </c>
    </row>
    <row r="1209" spans="1:12" ht="17.649999999999999" customHeight="1" x14ac:dyDescent="0.3">
      <c r="A1209" s="5">
        <v>46143</v>
      </c>
      <c r="B1209" s="6" t="s">
        <v>89</v>
      </c>
      <c r="C1209" s="6" t="s">
        <v>90</v>
      </c>
      <c r="D1209" s="5">
        <v>46143</v>
      </c>
      <c r="E1209" s="6" t="s">
        <v>15</v>
      </c>
      <c r="F1209" s="7">
        <v>365</v>
      </c>
      <c r="G1209" s="7">
        <v>605756.30684931506</v>
      </c>
      <c r="H1209" s="7">
        <v>221101052</v>
      </c>
      <c r="I1209" s="7">
        <v>84114480</v>
      </c>
      <c r="J1209" s="7">
        <v>0</v>
      </c>
      <c r="K1209">
        <f t="shared" si="18"/>
        <v>0</v>
      </c>
      <c r="L1209" s="8" t="str" cm="1">
        <f t="array" ref="L1209">_xlfn.IFS(
 AND(K1209&gt;=89,K1209&lt;=92),"3개월",
 AND(K1209&gt;=58,K1209&lt;=62),"2개월",
 AND(K1209&gt;=28,K1209&lt;=32),"1개월",
 AND(K1209=0),"당월",
 TRUE,"그외"
)</f>
        <v>당월</v>
      </c>
    </row>
    <row r="1210" spans="1:12" ht="17.649999999999999" customHeight="1" x14ac:dyDescent="0.3">
      <c r="A1210" s="5">
        <v>46174</v>
      </c>
      <c r="B1210" s="6" t="s">
        <v>12</v>
      </c>
      <c r="C1210" s="6" t="s">
        <v>13</v>
      </c>
      <c r="D1210" s="5">
        <v>46023</v>
      </c>
      <c r="E1210" s="6" t="s">
        <v>15</v>
      </c>
      <c r="F1210" s="7">
        <v>539</v>
      </c>
      <c r="G1210" s="7">
        <v>82726.046382189234</v>
      </c>
      <c r="H1210" s="7">
        <v>44589339</v>
      </c>
      <c r="I1210" s="7">
        <v>5929000</v>
      </c>
      <c r="J1210" s="7">
        <v>539000</v>
      </c>
      <c r="K1210">
        <f t="shared" si="18"/>
        <v>151</v>
      </c>
      <c r="L1210" s="8" t="str" cm="1">
        <f t="array" ref="L1210">_xlfn.IFS(
 AND(K1210&gt;=89,K1210&lt;=92),"3개월",
 AND(K1210&gt;=58,K1210&lt;=62),"2개월",
 AND(K1210&gt;=28,K1210&lt;=32),"1개월",
 AND(K1210=0),"당월",
 TRUE,"그외"
)</f>
        <v>그외</v>
      </c>
    </row>
    <row r="1211" spans="1:12" ht="17.649999999999999" customHeight="1" x14ac:dyDescent="0.3">
      <c r="A1211" s="5">
        <v>46174</v>
      </c>
      <c r="B1211" s="6" t="s">
        <v>12</v>
      </c>
      <c r="C1211" s="6" t="s">
        <v>13</v>
      </c>
      <c r="D1211" s="5">
        <v>46054</v>
      </c>
      <c r="E1211" s="6" t="s">
        <v>15</v>
      </c>
      <c r="F1211" s="7">
        <v>1018</v>
      </c>
      <c r="G1211" s="7">
        <v>68584.713163064836</v>
      </c>
      <c r="H1211" s="7">
        <v>69819238</v>
      </c>
      <c r="I1211" s="7">
        <v>8965000</v>
      </c>
      <c r="J1211" s="7">
        <v>815000</v>
      </c>
      <c r="K1211">
        <f t="shared" si="18"/>
        <v>120</v>
      </c>
      <c r="L1211" s="8" t="str" cm="1">
        <f t="array" ref="L1211">_xlfn.IFS(
 AND(K1211&gt;=89,K1211&lt;=92),"3개월",
 AND(K1211&gt;=58,K1211&lt;=62),"2개월",
 AND(K1211&gt;=28,K1211&lt;=32),"1개월",
 AND(K1211=0),"당월",
 TRUE,"그외"
)</f>
        <v>그외</v>
      </c>
    </row>
    <row r="1212" spans="1:12" ht="17.649999999999999" customHeight="1" x14ac:dyDescent="0.3">
      <c r="A1212" s="5">
        <v>46174</v>
      </c>
      <c r="B1212" s="6" t="s">
        <v>12</v>
      </c>
      <c r="C1212" s="6" t="s">
        <v>13</v>
      </c>
      <c r="D1212" s="5">
        <v>46082</v>
      </c>
      <c r="E1212" s="6" t="s">
        <v>14</v>
      </c>
      <c r="F1212" s="7">
        <v>94</v>
      </c>
      <c r="G1212" s="7">
        <v>79901.51063829787</v>
      </c>
      <c r="H1212" s="7">
        <v>7510742</v>
      </c>
      <c r="I1212" s="7">
        <v>723800</v>
      </c>
      <c r="J1212" s="7">
        <v>65800</v>
      </c>
      <c r="K1212">
        <f t="shared" si="18"/>
        <v>92</v>
      </c>
      <c r="L1212" s="8" t="str" cm="1">
        <f t="array" ref="L1212">_xlfn.IFS(
 AND(K1212&gt;=89,K1212&lt;=92),"3개월",
 AND(K1212&gt;=58,K1212&lt;=62),"2개월",
 AND(K1212&gt;=28,K1212&lt;=32),"1개월",
 AND(K1212=0),"당월",
 TRUE,"그외"
)</f>
        <v>3개월</v>
      </c>
    </row>
    <row r="1213" spans="1:12" ht="17.649999999999999" customHeight="1" x14ac:dyDescent="0.3">
      <c r="A1213" s="5">
        <v>46174</v>
      </c>
      <c r="B1213" s="6" t="s">
        <v>12</v>
      </c>
      <c r="C1213" s="6" t="s">
        <v>13</v>
      </c>
      <c r="D1213" s="5">
        <v>46082</v>
      </c>
      <c r="E1213" s="6" t="s">
        <v>15</v>
      </c>
      <c r="F1213" s="7">
        <v>6185</v>
      </c>
      <c r="G1213" s="7">
        <v>75237.367340339537</v>
      </c>
      <c r="H1213" s="7">
        <v>465343117</v>
      </c>
      <c r="I1213" s="7">
        <v>47009600</v>
      </c>
      <c r="J1213" s="7">
        <v>4273600</v>
      </c>
      <c r="K1213">
        <f t="shared" si="18"/>
        <v>92</v>
      </c>
      <c r="L1213" s="8" t="str" cm="1">
        <f t="array" ref="L1213">_xlfn.IFS(
 AND(K1213&gt;=89,K1213&lt;=92),"3개월",
 AND(K1213&gt;=58,K1213&lt;=62),"2개월",
 AND(K1213&gt;=28,K1213&lt;=32),"1개월",
 AND(K1213=0),"당월",
 TRUE,"그외"
)</f>
        <v>3개월</v>
      </c>
    </row>
    <row r="1214" spans="1:12" ht="17.649999999999999" customHeight="1" x14ac:dyDescent="0.3">
      <c r="A1214" s="5">
        <v>46174</v>
      </c>
      <c r="B1214" s="6" t="s">
        <v>12</v>
      </c>
      <c r="C1214" s="6" t="s">
        <v>13</v>
      </c>
      <c r="D1214" s="5">
        <v>46113</v>
      </c>
      <c r="E1214" s="6" t="s">
        <v>14</v>
      </c>
      <c r="F1214" s="7">
        <v>1819</v>
      </c>
      <c r="G1214" s="7">
        <v>73785.760857614077</v>
      </c>
      <c r="H1214" s="7">
        <v>134216299</v>
      </c>
      <c r="I1214" s="7">
        <v>16007200</v>
      </c>
      <c r="J1214" s="7">
        <v>1455200</v>
      </c>
      <c r="K1214">
        <f t="shared" si="18"/>
        <v>61</v>
      </c>
      <c r="L1214" s="8" t="str" cm="1">
        <f t="array" ref="L1214">_xlfn.IFS(
 AND(K1214&gt;=89,K1214&lt;=92),"3개월",
 AND(K1214&gt;=58,K1214&lt;=62),"2개월",
 AND(K1214&gt;=28,K1214&lt;=32),"1개월",
 AND(K1214=0),"당월",
 TRUE,"그외"
)</f>
        <v>2개월</v>
      </c>
    </row>
    <row r="1215" spans="1:12" ht="17.649999999999999" customHeight="1" x14ac:dyDescent="0.3">
      <c r="A1215" s="5">
        <v>46174</v>
      </c>
      <c r="B1215" s="6" t="s">
        <v>12</v>
      </c>
      <c r="C1215" s="6" t="s">
        <v>13</v>
      </c>
      <c r="D1215" s="5">
        <v>46113</v>
      </c>
      <c r="E1215" s="6" t="s">
        <v>15</v>
      </c>
      <c r="F1215" s="7">
        <v>11372</v>
      </c>
      <c r="G1215" s="7">
        <v>69997.576943369684</v>
      </c>
      <c r="H1215" s="7">
        <v>796012445</v>
      </c>
      <c r="I1215" s="7">
        <v>92547400</v>
      </c>
      <c r="J1215" s="7">
        <v>8413400</v>
      </c>
      <c r="K1215">
        <f t="shared" si="18"/>
        <v>61</v>
      </c>
      <c r="L1215" s="8" t="str" cm="1">
        <f t="array" ref="L1215">_xlfn.IFS(
 AND(K1215&gt;=89,K1215&lt;=92),"3개월",
 AND(K1215&gt;=58,K1215&lt;=62),"2개월",
 AND(K1215&gt;=28,K1215&lt;=32),"1개월",
 AND(K1215=0),"당월",
 TRUE,"그외"
)</f>
        <v>2개월</v>
      </c>
    </row>
    <row r="1216" spans="1:12" ht="17.649999999999999" customHeight="1" x14ac:dyDescent="0.3">
      <c r="A1216" s="5">
        <v>46174</v>
      </c>
      <c r="B1216" s="6" t="s">
        <v>12</v>
      </c>
      <c r="C1216" s="6" t="s">
        <v>13</v>
      </c>
      <c r="D1216" s="5">
        <v>46143</v>
      </c>
      <c r="E1216" s="6" t="s">
        <v>14</v>
      </c>
      <c r="F1216" s="7">
        <v>2</v>
      </c>
      <c r="G1216" s="7">
        <v>53455</v>
      </c>
      <c r="H1216" s="7">
        <v>106910</v>
      </c>
      <c r="I1216" s="7">
        <v>17600</v>
      </c>
      <c r="J1216" s="7">
        <v>1600</v>
      </c>
      <c r="K1216">
        <f t="shared" si="18"/>
        <v>31</v>
      </c>
      <c r="L1216" s="8" t="str" cm="1">
        <f t="array" ref="L1216">_xlfn.IFS(
 AND(K1216&gt;=89,K1216&lt;=92),"3개월",
 AND(K1216&gt;=58,K1216&lt;=62),"2개월",
 AND(K1216&gt;=28,K1216&lt;=32),"1개월",
 AND(K1216=0),"당월",
 TRUE,"그외"
)</f>
        <v>1개월</v>
      </c>
    </row>
    <row r="1217" spans="1:12" ht="17.649999999999999" customHeight="1" x14ac:dyDescent="0.3">
      <c r="A1217" s="5">
        <v>46174</v>
      </c>
      <c r="B1217" s="6" t="s">
        <v>12</v>
      </c>
      <c r="C1217" s="6" t="s">
        <v>13</v>
      </c>
      <c r="D1217" s="5">
        <v>46143</v>
      </c>
      <c r="E1217" s="6" t="s">
        <v>15</v>
      </c>
      <c r="F1217" s="7">
        <v>8553</v>
      </c>
      <c r="G1217" s="7">
        <v>75369.432830585763</v>
      </c>
      <c r="H1217" s="7">
        <v>644634759</v>
      </c>
      <c r="I1217" s="7">
        <v>196770700</v>
      </c>
      <c r="J1217" s="7">
        <v>17882540</v>
      </c>
      <c r="K1217">
        <f t="shared" si="18"/>
        <v>31</v>
      </c>
      <c r="L1217" s="8" t="str" cm="1">
        <f t="array" ref="L1217">_xlfn.IFS(
 AND(K1217&gt;=89,K1217&lt;=92),"3개월",
 AND(K1217&gt;=58,K1217&lt;=62),"2개월",
 AND(K1217&gt;=28,K1217&lt;=32),"1개월",
 AND(K1217=0),"당월",
 TRUE,"그외"
)</f>
        <v>1개월</v>
      </c>
    </row>
    <row r="1218" spans="1:12" ht="17.649999999999999" customHeight="1" x14ac:dyDescent="0.3">
      <c r="A1218" s="5">
        <v>46174</v>
      </c>
      <c r="B1218" s="6" t="s">
        <v>12</v>
      </c>
      <c r="C1218" s="6" t="s">
        <v>16</v>
      </c>
      <c r="D1218" s="5">
        <v>45809</v>
      </c>
      <c r="E1218" s="6" t="s">
        <v>15</v>
      </c>
      <c r="F1218" s="7">
        <v>1</v>
      </c>
      <c r="G1218" s="7">
        <v>88910</v>
      </c>
      <c r="H1218" s="7">
        <v>88910</v>
      </c>
      <c r="I1218" s="7">
        <v>8800</v>
      </c>
      <c r="J1218" s="7">
        <v>800</v>
      </c>
      <c r="K1218">
        <f t="shared" si="18"/>
        <v>365</v>
      </c>
      <c r="L1218" s="8" t="str" cm="1">
        <f t="array" ref="L1218">_xlfn.IFS(
 AND(K1218&gt;=89,K1218&lt;=92),"3개월",
 AND(K1218&gt;=58,K1218&lt;=62),"2개월",
 AND(K1218&gt;=28,K1218&lt;=32),"1개월",
 AND(K1218=0),"당월",
 TRUE,"그외"
)</f>
        <v>그외</v>
      </c>
    </row>
    <row r="1219" spans="1:12" ht="17.649999999999999" customHeight="1" x14ac:dyDescent="0.3">
      <c r="A1219" s="5">
        <v>46174</v>
      </c>
      <c r="B1219" s="6" t="s">
        <v>12</v>
      </c>
      <c r="C1219" s="6" t="s">
        <v>16</v>
      </c>
      <c r="D1219" s="5">
        <v>46023</v>
      </c>
      <c r="E1219" s="6" t="s">
        <v>14</v>
      </c>
      <c r="F1219" s="7">
        <v>32</v>
      </c>
      <c r="G1219" s="7">
        <v>91819</v>
      </c>
      <c r="H1219" s="7">
        <v>2938208</v>
      </c>
      <c r="I1219" s="7">
        <v>352000</v>
      </c>
      <c r="J1219" s="7">
        <v>32000</v>
      </c>
      <c r="K1219">
        <f t="shared" si="18"/>
        <v>151</v>
      </c>
      <c r="L1219" s="8" t="str" cm="1">
        <f t="array" ref="L1219">_xlfn.IFS(
 AND(K1219&gt;=89,K1219&lt;=92),"3개월",
 AND(K1219&gt;=58,K1219&lt;=62),"2개월",
 AND(K1219&gt;=28,K1219&lt;=32),"1개월",
 AND(K1219=0),"당월",
 TRUE,"그외"
)</f>
        <v>그외</v>
      </c>
    </row>
    <row r="1220" spans="1:12" ht="17.649999999999999" customHeight="1" x14ac:dyDescent="0.3">
      <c r="A1220" s="5">
        <v>46174</v>
      </c>
      <c r="B1220" s="6" t="s">
        <v>12</v>
      </c>
      <c r="C1220" s="6" t="s">
        <v>16</v>
      </c>
      <c r="D1220" s="5">
        <v>46023</v>
      </c>
      <c r="E1220" s="6" t="s">
        <v>15</v>
      </c>
      <c r="F1220" s="7">
        <v>612</v>
      </c>
      <c r="G1220" s="7">
        <v>86282.715686274503</v>
      </c>
      <c r="H1220" s="7">
        <v>52805022</v>
      </c>
      <c r="I1220" s="7">
        <v>6732000</v>
      </c>
      <c r="J1220" s="7">
        <v>612000</v>
      </c>
      <c r="K1220">
        <f t="shared" si="18"/>
        <v>151</v>
      </c>
      <c r="L1220" s="8" t="str" cm="1">
        <f t="array" ref="L1220">_xlfn.IFS(
 AND(K1220&gt;=89,K1220&lt;=92),"3개월",
 AND(K1220&gt;=58,K1220&lt;=62),"2개월",
 AND(K1220&gt;=28,K1220&lt;=32),"1개월",
 AND(K1220=0),"당월",
 TRUE,"그외"
)</f>
        <v>그외</v>
      </c>
    </row>
    <row r="1221" spans="1:12" ht="17.649999999999999" customHeight="1" x14ac:dyDescent="0.3">
      <c r="A1221" s="5">
        <v>46174</v>
      </c>
      <c r="B1221" s="6" t="s">
        <v>12</v>
      </c>
      <c r="C1221" s="6" t="s">
        <v>16</v>
      </c>
      <c r="D1221" s="5">
        <v>46054</v>
      </c>
      <c r="E1221" s="6" t="s">
        <v>14</v>
      </c>
      <c r="F1221" s="7">
        <v>11</v>
      </c>
      <c r="G1221" s="7">
        <v>89819</v>
      </c>
      <c r="H1221" s="7">
        <v>988009</v>
      </c>
      <c r="I1221" s="7">
        <v>96800</v>
      </c>
      <c r="J1221" s="7">
        <v>8800</v>
      </c>
      <c r="K1221">
        <f t="shared" si="18"/>
        <v>120</v>
      </c>
      <c r="L1221" s="8" t="str" cm="1">
        <f t="array" ref="L1221">_xlfn.IFS(
 AND(K1221&gt;=89,K1221&lt;=92),"3개월",
 AND(K1221&gt;=58,K1221&lt;=62),"2개월",
 AND(K1221&gt;=28,K1221&lt;=32),"1개월",
 AND(K1221=0),"당월",
 TRUE,"그외"
)</f>
        <v>그외</v>
      </c>
    </row>
    <row r="1222" spans="1:12" ht="17.649999999999999" customHeight="1" x14ac:dyDescent="0.3">
      <c r="A1222" s="5">
        <v>46174</v>
      </c>
      <c r="B1222" s="6" t="s">
        <v>12</v>
      </c>
      <c r="C1222" s="6" t="s">
        <v>16</v>
      </c>
      <c r="D1222" s="5">
        <v>46054</v>
      </c>
      <c r="E1222" s="6" t="s">
        <v>15</v>
      </c>
      <c r="F1222" s="7">
        <v>1172</v>
      </c>
      <c r="G1222" s="7">
        <v>75710.05119453925</v>
      </c>
      <c r="H1222" s="7">
        <v>88732180</v>
      </c>
      <c r="I1222" s="7">
        <v>10313600</v>
      </c>
      <c r="J1222" s="7">
        <v>937600</v>
      </c>
      <c r="K1222">
        <f t="shared" si="18"/>
        <v>120</v>
      </c>
      <c r="L1222" s="8" t="str" cm="1">
        <f t="array" ref="L1222">_xlfn.IFS(
 AND(K1222&gt;=89,K1222&lt;=92),"3개월",
 AND(K1222&gt;=58,K1222&lt;=62),"2개월",
 AND(K1222&gt;=28,K1222&lt;=32),"1개월",
 AND(K1222=0),"당월",
 TRUE,"그외"
)</f>
        <v>그외</v>
      </c>
    </row>
    <row r="1223" spans="1:12" ht="17.649999999999999" customHeight="1" x14ac:dyDescent="0.3">
      <c r="A1223" s="5">
        <v>46174</v>
      </c>
      <c r="B1223" s="6" t="s">
        <v>12</v>
      </c>
      <c r="C1223" s="6" t="s">
        <v>16</v>
      </c>
      <c r="D1223" s="5">
        <v>46082</v>
      </c>
      <c r="E1223" s="6" t="s">
        <v>14</v>
      </c>
      <c r="F1223" s="7">
        <v>332</v>
      </c>
      <c r="G1223" s="7">
        <v>69506.159638554222</v>
      </c>
      <c r="H1223" s="7">
        <v>23076045</v>
      </c>
      <c r="I1223" s="7">
        <v>2556400</v>
      </c>
      <c r="J1223" s="7">
        <v>232400</v>
      </c>
      <c r="K1223">
        <f t="shared" si="18"/>
        <v>92</v>
      </c>
      <c r="L1223" s="8" t="str" cm="1">
        <f t="array" ref="L1223">_xlfn.IFS(
 AND(K1223&gt;=89,K1223&lt;=92),"3개월",
 AND(K1223&gt;=58,K1223&lt;=62),"2개월",
 AND(K1223&gt;=28,K1223&lt;=32),"1개월",
 AND(K1223=0),"당월",
 TRUE,"그외"
)</f>
        <v>3개월</v>
      </c>
    </row>
    <row r="1224" spans="1:12" ht="17.649999999999999" customHeight="1" x14ac:dyDescent="0.3">
      <c r="A1224" s="5">
        <v>46174</v>
      </c>
      <c r="B1224" s="6" t="s">
        <v>12</v>
      </c>
      <c r="C1224" s="6" t="s">
        <v>16</v>
      </c>
      <c r="D1224" s="5">
        <v>46082</v>
      </c>
      <c r="E1224" s="6" t="s">
        <v>15</v>
      </c>
      <c r="F1224" s="7">
        <v>5864</v>
      </c>
      <c r="G1224" s="7">
        <v>66097.992326057298</v>
      </c>
      <c r="H1224" s="7">
        <v>387598627</v>
      </c>
      <c r="I1224" s="7">
        <v>45097800</v>
      </c>
      <c r="J1224" s="7">
        <v>4099800</v>
      </c>
      <c r="K1224">
        <f t="shared" si="18"/>
        <v>92</v>
      </c>
      <c r="L1224" s="8" t="str" cm="1">
        <f t="array" ref="L1224">_xlfn.IFS(
 AND(K1224&gt;=89,K1224&lt;=92),"3개월",
 AND(K1224&gt;=58,K1224&lt;=62),"2개월",
 AND(K1224&gt;=28,K1224&lt;=32),"1개월",
 AND(K1224=0),"당월",
 TRUE,"그외"
)</f>
        <v>3개월</v>
      </c>
    </row>
    <row r="1225" spans="1:12" ht="17.649999999999999" customHeight="1" x14ac:dyDescent="0.3">
      <c r="A1225" s="5">
        <v>46174</v>
      </c>
      <c r="B1225" s="6" t="s">
        <v>12</v>
      </c>
      <c r="C1225" s="6" t="s">
        <v>16</v>
      </c>
      <c r="D1225" s="5">
        <v>46113</v>
      </c>
      <c r="E1225" s="6" t="s">
        <v>14</v>
      </c>
      <c r="F1225" s="7">
        <v>3818</v>
      </c>
      <c r="G1225" s="7">
        <v>70637.07490832897</v>
      </c>
      <c r="H1225" s="7">
        <v>269692352</v>
      </c>
      <c r="I1225" s="7">
        <v>33598400</v>
      </c>
      <c r="J1225" s="7">
        <v>3054400</v>
      </c>
      <c r="K1225">
        <f t="shared" si="18"/>
        <v>61</v>
      </c>
      <c r="L1225" s="8" t="str" cm="1">
        <f t="array" ref="L1225">_xlfn.IFS(
 AND(K1225&gt;=89,K1225&lt;=92),"3개월",
 AND(K1225&gt;=58,K1225&lt;=62),"2개월",
 AND(K1225&gt;=28,K1225&lt;=32),"1개월",
 AND(K1225=0),"당월",
 TRUE,"그외"
)</f>
        <v>2개월</v>
      </c>
    </row>
    <row r="1226" spans="1:12" ht="17.649999999999999" customHeight="1" x14ac:dyDescent="0.3">
      <c r="A1226" s="5">
        <v>46174</v>
      </c>
      <c r="B1226" s="6" t="s">
        <v>12</v>
      </c>
      <c r="C1226" s="6" t="s">
        <v>16</v>
      </c>
      <c r="D1226" s="5">
        <v>46113</v>
      </c>
      <c r="E1226" s="6" t="s">
        <v>15</v>
      </c>
      <c r="F1226" s="7">
        <v>8176</v>
      </c>
      <c r="G1226" s="7">
        <v>68079.295743639916</v>
      </c>
      <c r="H1226" s="7">
        <v>556616322</v>
      </c>
      <c r="I1226" s="7">
        <v>70307600</v>
      </c>
      <c r="J1226" s="7">
        <v>6391600</v>
      </c>
      <c r="K1226">
        <f t="shared" ref="K1226:K1289" si="19">A1226-D1226</f>
        <v>61</v>
      </c>
      <c r="L1226" s="8" t="str" cm="1">
        <f t="array" ref="L1226">_xlfn.IFS(
 AND(K1226&gt;=89,K1226&lt;=92),"3개월",
 AND(K1226&gt;=58,K1226&lt;=62),"2개월",
 AND(K1226&gt;=28,K1226&lt;=32),"1개월",
 AND(K1226=0),"당월",
 TRUE,"그외"
)</f>
        <v>2개월</v>
      </c>
    </row>
    <row r="1227" spans="1:12" ht="17.649999999999999" customHeight="1" x14ac:dyDescent="0.3">
      <c r="A1227" s="5">
        <v>46174</v>
      </c>
      <c r="B1227" s="6" t="s">
        <v>12</v>
      </c>
      <c r="C1227" s="6" t="s">
        <v>16</v>
      </c>
      <c r="D1227" s="5">
        <v>46143</v>
      </c>
      <c r="E1227" s="6" t="s">
        <v>14</v>
      </c>
      <c r="F1227" s="7">
        <v>2</v>
      </c>
      <c r="G1227" s="7">
        <v>104547</v>
      </c>
      <c r="H1227" s="7">
        <v>209094</v>
      </c>
      <c r="I1227" s="7">
        <v>50000</v>
      </c>
      <c r="J1227" s="7">
        <v>4544</v>
      </c>
      <c r="K1227">
        <f t="shared" si="19"/>
        <v>31</v>
      </c>
      <c r="L1227" s="8" t="str" cm="1">
        <f t="array" ref="L1227">_xlfn.IFS(
 AND(K1227&gt;=89,K1227&lt;=92),"3개월",
 AND(K1227&gt;=58,K1227&lt;=62),"2개월",
 AND(K1227&gt;=28,K1227&lt;=32),"1개월",
 AND(K1227=0),"당월",
 TRUE,"그외"
)</f>
        <v>1개월</v>
      </c>
    </row>
    <row r="1228" spans="1:12" ht="17.649999999999999" customHeight="1" x14ac:dyDescent="0.3">
      <c r="A1228" s="5">
        <v>46174</v>
      </c>
      <c r="B1228" s="6" t="s">
        <v>12</v>
      </c>
      <c r="C1228" s="6" t="s">
        <v>16</v>
      </c>
      <c r="D1228" s="5">
        <v>46143</v>
      </c>
      <c r="E1228" s="6" t="s">
        <v>15</v>
      </c>
      <c r="F1228" s="7">
        <v>2379</v>
      </c>
      <c r="G1228" s="7">
        <v>84572.984867591425</v>
      </c>
      <c r="H1228" s="7">
        <v>201199131</v>
      </c>
      <c r="I1228" s="7">
        <v>57188906</v>
      </c>
      <c r="J1228" s="7">
        <v>5194924</v>
      </c>
      <c r="K1228">
        <f t="shared" si="19"/>
        <v>31</v>
      </c>
      <c r="L1228" s="8" t="str" cm="1">
        <f t="array" ref="L1228">_xlfn.IFS(
 AND(K1228&gt;=89,K1228&lt;=92),"3개월",
 AND(K1228&gt;=58,K1228&lt;=62),"2개월",
 AND(K1228&gt;=28,K1228&lt;=32),"1개월",
 AND(K1228=0),"당월",
 TRUE,"그외"
)</f>
        <v>1개월</v>
      </c>
    </row>
    <row r="1229" spans="1:12" ht="17.649999999999999" customHeight="1" x14ac:dyDescent="0.3">
      <c r="A1229" s="5">
        <v>46174</v>
      </c>
      <c r="B1229" s="6" t="s">
        <v>12</v>
      </c>
      <c r="C1229" s="6" t="s">
        <v>17</v>
      </c>
      <c r="D1229" s="5">
        <v>46023</v>
      </c>
      <c r="E1229" s="6" t="s">
        <v>15</v>
      </c>
      <c r="F1229" s="7">
        <v>410</v>
      </c>
      <c r="G1229" s="7">
        <v>69744.719512195123</v>
      </c>
      <c r="H1229" s="7">
        <v>28595335</v>
      </c>
      <c r="I1229" s="7">
        <v>4510000</v>
      </c>
      <c r="J1229" s="7">
        <v>410000</v>
      </c>
      <c r="K1229">
        <f t="shared" si="19"/>
        <v>151</v>
      </c>
      <c r="L1229" s="8" t="str" cm="1">
        <f t="array" ref="L1229">_xlfn.IFS(
 AND(K1229&gt;=89,K1229&lt;=92),"3개월",
 AND(K1229&gt;=58,K1229&lt;=62),"2개월",
 AND(K1229&gt;=28,K1229&lt;=32),"1개월",
 AND(K1229=0),"당월",
 TRUE,"그외"
)</f>
        <v>그외</v>
      </c>
    </row>
    <row r="1230" spans="1:12" ht="17.649999999999999" customHeight="1" x14ac:dyDescent="0.3">
      <c r="A1230" s="5">
        <v>46174</v>
      </c>
      <c r="B1230" s="6" t="s">
        <v>12</v>
      </c>
      <c r="C1230" s="6" t="s">
        <v>17</v>
      </c>
      <c r="D1230" s="5">
        <v>46054</v>
      </c>
      <c r="E1230" s="6" t="s">
        <v>15</v>
      </c>
      <c r="F1230" s="7">
        <v>512</v>
      </c>
      <c r="G1230" s="7">
        <v>59947.673828125</v>
      </c>
      <c r="H1230" s="7">
        <v>30693209</v>
      </c>
      <c r="I1230" s="7">
        <v>4529800</v>
      </c>
      <c r="J1230" s="7">
        <v>411800</v>
      </c>
      <c r="K1230">
        <f t="shared" si="19"/>
        <v>120</v>
      </c>
      <c r="L1230" s="8" t="str" cm="1">
        <f t="array" ref="L1230">_xlfn.IFS(
 AND(K1230&gt;=89,K1230&lt;=92),"3개월",
 AND(K1230&gt;=58,K1230&lt;=62),"2개월",
 AND(K1230&gt;=28,K1230&lt;=32),"1개월",
 AND(K1230=0),"당월",
 TRUE,"그외"
)</f>
        <v>그외</v>
      </c>
    </row>
    <row r="1231" spans="1:12" ht="17.649999999999999" customHeight="1" x14ac:dyDescent="0.3">
      <c r="A1231" s="5">
        <v>46174</v>
      </c>
      <c r="B1231" s="6" t="s">
        <v>12</v>
      </c>
      <c r="C1231" s="6" t="s">
        <v>17</v>
      </c>
      <c r="D1231" s="5">
        <v>46082</v>
      </c>
      <c r="E1231" s="6" t="s">
        <v>14</v>
      </c>
      <c r="F1231" s="7">
        <v>160</v>
      </c>
      <c r="G1231" s="7">
        <v>61755.95</v>
      </c>
      <c r="H1231" s="7">
        <v>9880952</v>
      </c>
      <c r="I1231" s="7">
        <v>1232000</v>
      </c>
      <c r="J1231" s="7">
        <v>112000</v>
      </c>
      <c r="K1231">
        <f t="shared" si="19"/>
        <v>92</v>
      </c>
      <c r="L1231" s="8" t="str" cm="1">
        <f t="array" ref="L1231">_xlfn.IFS(
 AND(K1231&gt;=89,K1231&lt;=92),"3개월",
 AND(K1231&gt;=58,K1231&lt;=62),"2개월",
 AND(K1231&gt;=28,K1231&lt;=32),"1개월",
 AND(K1231=0),"당월",
 TRUE,"그외"
)</f>
        <v>3개월</v>
      </c>
    </row>
    <row r="1232" spans="1:12" ht="17.649999999999999" customHeight="1" x14ac:dyDescent="0.3">
      <c r="A1232" s="5">
        <v>46174</v>
      </c>
      <c r="B1232" s="6" t="s">
        <v>12</v>
      </c>
      <c r="C1232" s="6" t="s">
        <v>17</v>
      </c>
      <c r="D1232" s="5">
        <v>46082</v>
      </c>
      <c r="E1232" s="6" t="s">
        <v>15</v>
      </c>
      <c r="F1232" s="7">
        <v>2897</v>
      </c>
      <c r="G1232" s="7">
        <v>59573.083879875732</v>
      </c>
      <c r="H1232" s="7">
        <v>172583224</v>
      </c>
      <c r="I1232" s="7">
        <v>22294492</v>
      </c>
      <c r="J1232" s="7">
        <v>2026300</v>
      </c>
      <c r="K1232">
        <f t="shared" si="19"/>
        <v>92</v>
      </c>
      <c r="L1232" s="8" t="str" cm="1">
        <f t="array" ref="L1232">_xlfn.IFS(
 AND(K1232&gt;=89,K1232&lt;=92),"3개월",
 AND(K1232&gt;=58,K1232&lt;=62),"2개월",
 AND(K1232&gt;=28,K1232&lt;=32),"1개월",
 AND(K1232=0),"당월",
 TRUE,"그외"
)</f>
        <v>3개월</v>
      </c>
    </row>
    <row r="1233" spans="1:12" ht="17.649999999999999" customHeight="1" x14ac:dyDescent="0.3">
      <c r="A1233" s="5">
        <v>46174</v>
      </c>
      <c r="B1233" s="6" t="s">
        <v>12</v>
      </c>
      <c r="C1233" s="6" t="s">
        <v>17</v>
      </c>
      <c r="D1233" s="5">
        <v>46113</v>
      </c>
      <c r="E1233" s="6" t="s">
        <v>14</v>
      </c>
      <c r="F1233" s="7">
        <v>1035</v>
      </c>
      <c r="G1233" s="7">
        <v>60075.063768115942</v>
      </c>
      <c r="H1233" s="7">
        <v>62177691</v>
      </c>
      <c r="I1233" s="7">
        <v>9099200</v>
      </c>
      <c r="J1233" s="7">
        <v>827200</v>
      </c>
      <c r="K1233">
        <f t="shared" si="19"/>
        <v>61</v>
      </c>
      <c r="L1233" s="8" t="str" cm="1">
        <f t="array" ref="L1233">_xlfn.IFS(
 AND(K1233&gt;=89,K1233&lt;=92),"3개월",
 AND(K1233&gt;=58,K1233&lt;=62),"2개월",
 AND(K1233&gt;=28,K1233&lt;=32),"1개월",
 AND(K1233=0),"당월",
 TRUE,"그외"
)</f>
        <v>2개월</v>
      </c>
    </row>
    <row r="1234" spans="1:12" ht="17.649999999999999" customHeight="1" x14ac:dyDescent="0.3">
      <c r="A1234" s="5">
        <v>46174</v>
      </c>
      <c r="B1234" s="6" t="s">
        <v>12</v>
      </c>
      <c r="C1234" s="6" t="s">
        <v>17</v>
      </c>
      <c r="D1234" s="5">
        <v>46113</v>
      </c>
      <c r="E1234" s="6" t="s">
        <v>15</v>
      </c>
      <c r="F1234" s="7">
        <v>3876</v>
      </c>
      <c r="G1234" s="7">
        <v>60466.795407636739</v>
      </c>
      <c r="H1234" s="7">
        <v>234369299</v>
      </c>
      <c r="I1234" s="7">
        <v>34008700</v>
      </c>
      <c r="J1234" s="7">
        <v>3091700</v>
      </c>
      <c r="K1234">
        <f t="shared" si="19"/>
        <v>61</v>
      </c>
      <c r="L1234" s="8" t="str" cm="1">
        <f t="array" ref="L1234">_xlfn.IFS(
 AND(K1234&gt;=89,K1234&lt;=92),"3개월",
 AND(K1234&gt;=58,K1234&lt;=62),"2개월",
 AND(K1234&gt;=28,K1234&lt;=32),"1개월",
 AND(K1234=0),"당월",
 TRUE,"그외"
)</f>
        <v>2개월</v>
      </c>
    </row>
    <row r="1235" spans="1:12" ht="17.649999999999999" customHeight="1" x14ac:dyDescent="0.3">
      <c r="A1235" s="5">
        <v>46174</v>
      </c>
      <c r="B1235" s="6" t="s">
        <v>12</v>
      </c>
      <c r="C1235" s="6" t="s">
        <v>17</v>
      </c>
      <c r="D1235" s="5">
        <v>46143</v>
      </c>
      <c r="E1235" s="6" t="s">
        <v>14</v>
      </c>
      <c r="F1235" s="7">
        <v>48</v>
      </c>
      <c r="G1235" s="7">
        <v>70001</v>
      </c>
      <c r="H1235" s="7">
        <v>3360048</v>
      </c>
      <c r="I1235" s="7">
        <v>1200000</v>
      </c>
      <c r="J1235" s="7">
        <v>109056</v>
      </c>
      <c r="K1235">
        <f t="shared" si="19"/>
        <v>31</v>
      </c>
      <c r="L1235" s="8" t="str" cm="1">
        <f t="array" ref="L1235">_xlfn.IFS(
 AND(K1235&gt;=89,K1235&lt;=92),"3개월",
 AND(K1235&gt;=58,K1235&lt;=62),"2개월",
 AND(K1235&gt;=28,K1235&lt;=32),"1개월",
 AND(K1235=0),"당월",
 TRUE,"그외"
)</f>
        <v>1개월</v>
      </c>
    </row>
    <row r="1236" spans="1:12" ht="17.649999999999999" customHeight="1" x14ac:dyDescent="0.3">
      <c r="A1236" s="5">
        <v>46174</v>
      </c>
      <c r="B1236" s="6" t="s">
        <v>12</v>
      </c>
      <c r="C1236" s="6" t="s">
        <v>17</v>
      </c>
      <c r="D1236" s="5">
        <v>46143</v>
      </c>
      <c r="E1236" s="6" t="s">
        <v>15</v>
      </c>
      <c r="F1236" s="7">
        <v>1196</v>
      </c>
      <c r="G1236" s="7">
        <v>74114.992474916391</v>
      </c>
      <c r="H1236" s="7">
        <v>88641531</v>
      </c>
      <c r="I1236" s="7">
        <v>29671800</v>
      </c>
      <c r="J1236" s="7">
        <v>2696576</v>
      </c>
      <c r="K1236">
        <f t="shared" si="19"/>
        <v>31</v>
      </c>
      <c r="L1236" s="8" t="str" cm="1">
        <f t="array" ref="L1236">_xlfn.IFS(
 AND(K1236&gt;=89,K1236&lt;=92),"3개월",
 AND(K1236&gt;=58,K1236&lt;=62),"2개월",
 AND(K1236&gt;=28,K1236&lt;=32),"1개월",
 AND(K1236=0),"당월",
 TRUE,"그외"
)</f>
        <v>1개월</v>
      </c>
    </row>
    <row r="1237" spans="1:12" ht="17.649999999999999" customHeight="1" x14ac:dyDescent="0.3">
      <c r="A1237" s="5">
        <v>46174</v>
      </c>
      <c r="B1237" s="6" t="s">
        <v>12</v>
      </c>
      <c r="C1237" s="6" t="s">
        <v>18</v>
      </c>
      <c r="D1237" s="5">
        <v>46023</v>
      </c>
      <c r="E1237" s="6" t="s">
        <v>14</v>
      </c>
      <c r="F1237" s="7">
        <v>12</v>
      </c>
      <c r="G1237" s="7">
        <v>69091</v>
      </c>
      <c r="H1237" s="7">
        <v>829092</v>
      </c>
      <c r="I1237" s="7">
        <v>132000</v>
      </c>
      <c r="J1237" s="7">
        <v>12000</v>
      </c>
      <c r="K1237">
        <f t="shared" si="19"/>
        <v>151</v>
      </c>
      <c r="L1237" s="8" t="str" cm="1">
        <f t="array" ref="L1237">_xlfn.IFS(
 AND(K1237&gt;=89,K1237&lt;=92),"3개월",
 AND(K1237&gt;=58,K1237&lt;=62),"2개월",
 AND(K1237&gt;=28,K1237&lt;=32),"1개월",
 AND(K1237=0),"당월",
 TRUE,"그외"
)</f>
        <v>그외</v>
      </c>
    </row>
    <row r="1238" spans="1:12" ht="17.649999999999999" customHeight="1" x14ac:dyDescent="0.3">
      <c r="A1238" s="5">
        <v>46174</v>
      </c>
      <c r="B1238" s="6" t="s">
        <v>12</v>
      </c>
      <c r="C1238" s="6" t="s">
        <v>18</v>
      </c>
      <c r="D1238" s="5">
        <v>46023</v>
      </c>
      <c r="E1238" s="6" t="s">
        <v>15</v>
      </c>
      <c r="F1238" s="7">
        <v>501</v>
      </c>
      <c r="G1238" s="7">
        <v>75014.293413173655</v>
      </c>
      <c r="H1238" s="7">
        <v>37582161</v>
      </c>
      <c r="I1238" s="7">
        <v>5502200</v>
      </c>
      <c r="J1238" s="7">
        <v>500200</v>
      </c>
      <c r="K1238">
        <f t="shared" si="19"/>
        <v>151</v>
      </c>
      <c r="L1238" s="8" t="str" cm="1">
        <f t="array" ref="L1238">_xlfn.IFS(
 AND(K1238&gt;=89,K1238&lt;=92),"3개월",
 AND(K1238&gt;=58,K1238&lt;=62),"2개월",
 AND(K1238&gt;=28,K1238&lt;=32),"1개월",
 AND(K1238=0),"당월",
 TRUE,"그외"
)</f>
        <v>그외</v>
      </c>
    </row>
    <row r="1239" spans="1:12" ht="17.649999999999999" customHeight="1" x14ac:dyDescent="0.3">
      <c r="A1239" s="5">
        <v>46174</v>
      </c>
      <c r="B1239" s="6" t="s">
        <v>12</v>
      </c>
      <c r="C1239" s="6" t="s">
        <v>18</v>
      </c>
      <c r="D1239" s="5">
        <v>46054</v>
      </c>
      <c r="E1239" s="6" t="s">
        <v>15</v>
      </c>
      <c r="F1239" s="7">
        <v>986</v>
      </c>
      <c r="G1239" s="7">
        <v>74014.316430020277</v>
      </c>
      <c r="H1239" s="7">
        <v>72978116</v>
      </c>
      <c r="I1239" s="7">
        <v>8676800</v>
      </c>
      <c r="J1239" s="7">
        <v>788800</v>
      </c>
      <c r="K1239">
        <f t="shared" si="19"/>
        <v>120</v>
      </c>
      <c r="L1239" s="8" t="str" cm="1">
        <f t="array" ref="L1239">_xlfn.IFS(
 AND(K1239&gt;=89,K1239&lt;=92),"3개월",
 AND(K1239&gt;=58,K1239&lt;=62),"2개월",
 AND(K1239&gt;=28,K1239&lt;=32),"1개월",
 AND(K1239=0),"당월",
 TRUE,"그외"
)</f>
        <v>그외</v>
      </c>
    </row>
    <row r="1240" spans="1:12" ht="17.649999999999999" customHeight="1" x14ac:dyDescent="0.3">
      <c r="A1240" s="5">
        <v>46174</v>
      </c>
      <c r="B1240" s="6" t="s">
        <v>12</v>
      </c>
      <c r="C1240" s="6" t="s">
        <v>18</v>
      </c>
      <c r="D1240" s="5">
        <v>46082</v>
      </c>
      <c r="E1240" s="6" t="s">
        <v>14</v>
      </c>
      <c r="F1240" s="7">
        <v>525</v>
      </c>
      <c r="G1240" s="7">
        <v>76068.807619047613</v>
      </c>
      <c r="H1240" s="7">
        <v>39936124</v>
      </c>
      <c r="I1240" s="7">
        <v>4042500</v>
      </c>
      <c r="J1240" s="7">
        <v>367500</v>
      </c>
      <c r="K1240">
        <f t="shared" si="19"/>
        <v>92</v>
      </c>
      <c r="L1240" s="8" t="str" cm="1">
        <f t="array" ref="L1240">_xlfn.IFS(
 AND(K1240&gt;=89,K1240&lt;=92),"3개월",
 AND(K1240&gt;=58,K1240&lt;=62),"2개월",
 AND(K1240&gt;=28,K1240&lt;=32),"1개월",
 AND(K1240=0),"당월",
 TRUE,"그외"
)</f>
        <v>3개월</v>
      </c>
    </row>
    <row r="1241" spans="1:12" ht="17.649999999999999" customHeight="1" x14ac:dyDescent="0.3">
      <c r="A1241" s="5">
        <v>46174</v>
      </c>
      <c r="B1241" s="6" t="s">
        <v>12</v>
      </c>
      <c r="C1241" s="6" t="s">
        <v>18</v>
      </c>
      <c r="D1241" s="5">
        <v>46082</v>
      </c>
      <c r="E1241" s="6" t="s">
        <v>15</v>
      </c>
      <c r="F1241" s="7">
        <v>4405</v>
      </c>
      <c r="G1241" s="7">
        <v>72079.694438138482</v>
      </c>
      <c r="H1241" s="7">
        <v>317511054</v>
      </c>
      <c r="I1241" s="7">
        <v>33866120</v>
      </c>
      <c r="J1241" s="7">
        <v>3077100</v>
      </c>
      <c r="K1241">
        <f t="shared" si="19"/>
        <v>92</v>
      </c>
      <c r="L1241" s="8" t="str" cm="1">
        <f t="array" ref="L1241">_xlfn.IFS(
 AND(K1241&gt;=89,K1241&lt;=92),"3개월",
 AND(K1241&gt;=58,K1241&lt;=62),"2개월",
 AND(K1241&gt;=28,K1241&lt;=32),"1개월",
 AND(K1241=0),"당월",
 TRUE,"그외"
)</f>
        <v>3개월</v>
      </c>
    </row>
    <row r="1242" spans="1:12" ht="17.649999999999999" customHeight="1" x14ac:dyDescent="0.3">
      <c r="A1242" s="5">
        <v>46174</v>
      </c>
      <c r="B1242" s="6" t="s">
        <v>12</v>
      </c>
      <c r="C1242" s="6" t="s">
        <v>18</v>
      </c>
      <c r="D1242" s="5">
        <v>46113</v>
      </c>
      <c r="E1242" s="6" t="s">
        <v>14</v>
      </c>
      <c r="F1242" s="7">
        <v>1119</v>
      </c>
      <c r="G1242" s="7">
        <v>70651.103663985705</v>
      </c>
      <c r="H1242" s="7">
        <v>79058585</v>
      </c>
      <c r="I1242" s="7">
        <v>9845000</v>
      </c>
      <c r="J1242" s="7">
        <v>895000</v>
      </c>
      <c r="K1242">
        <f t="shared" si="19"/>
        <v>61</v>
      </c>
      <c r="L1242" s="8" t="str" cm="1">
        <f t="array" ref="L1242">_xlfn.IFS(
 AND(K1242&gt;=89,K1242&lt;=92),"3개월",
 AND(K1242&gt;=58,K1242&lt;=62),"2개월",
 AND(K1242&gt;=28,K1242&lt;=32),"1개월",
 AND(K1242=0),"당월",
 TRUE,"그외"
)</f>
        <v>2개월</v>
      </c>
    </row>
    <row r="1243" spans="1:12" ht="17.649999999999999" customHeight="1" x14ac:dyDescent="0.3">
      <c r="A1243" s="5">
        <v>46174</v>
      </c>
      <c r="B1243" s="6" t="s">
        <v>12</v>
      </c>
      <c r="C1243" s="6" t="s">
        <v>18</v>
      </c>
      <c r="D1243" s="5">
        <v>46113</v>
      </c>
      <c r="E1243" s="6" t="s">
        <v>15</v>
      </c>
      <c r="F1243" s="7">
        <v>4348</v>
      </c>
      <c r="G1243" s="7">
        <v>70272.880404783806</v>
      </c>
      <c r="H1243" s="7">
        <v>305546484</v>
      </c>
      <c r="I1243" s="7">
        <v>38016000</v>
      </c>
      <c r="J1243" s="7">
        <v>3456000</v>
      </c>
      <c r="K1243">
        <f t="shared" si="19"/>
        <v>61</v>
      </c>
      <c r="L1243" s="8" t="str" cm="1">
        <f t="array" ref="L1243">_xlfn.IFS(
 AND(K1243&gt;=89,K1243&lt;=92),"3개월",
 AND(K1243&gt;=58,K1243&lt;=62),"2개월",
 AND(K1243&gt;=28,K1243&lt;=32),"1개월",
 AND(K1243=0),"당월",
 TRUE,"그외"
)</f>
        <v>2개월</v>
      </c>
    </row>
    <row r="1244" spans="1:12" ht="17.649999999999999" customHeight="1" x14ac:dyDescent="0.3">
      <c r="A1244" s="5">
        <v>46174</v>
      </c>
      <c r="B1244" s="6" t="s">
        <v>12</v>
      </c>
      <c r="C1244" s="6" t="s">
        <v>18</v>
      </c>
      <c r="D1244" s="5">
        <v>46143</v>
      </c>
      <c r="E1244" s="6" t="s">
        <v>14</v>
      </c>
      <c r="F1244" s="7">
        <v>27</v>
      </c>
      <c r="G1244" s="7">
        <v>82068.185185185182</v>
      </c>
      <c r="H1244" s="7">
        <v>2215841</v>
      </c>
      <c r="I1244" s="7">
        <v>626400</v>
      </c>
      <c r="J1244" s="7">
        <v>56928</v>
      </c>
      <c r="K1244">
        <f t="shared" si="19"/>
        <v>31</v>
      </c>
      <c r="L1244" s="8" t="str" cm="1">
        <f t="array" ref="L1244">_xlfn.IFS(
 AND(K1244&gt;=89,K1244&lt;=92),"3개월",
 AND(K1244&gt;=58,K1244&lt;=62),"2개월",
 AND(K1244&gt;=28,K1244&lt;=32),"1개월",
 AND(K1244=0),"당월",
 TRUE,"그외"
)</f>
        <v>1개월</v>
      </c>
    </row>
    <row r="1245" spans="1:12" ht="17.649999999999999" customHeight="1" x14ac:dyDescent="0.3">
      <c r="A1245" s="5">
        <v>46174</v>
      </c>
      <c r="B1245" s="6" t="s">
        <v>12</v>
      </c>
      <c r="C1245" s="6" t="s">
        <v>18</v>
      </c>
      <c r="D1245" s="5">
        <v>46143</v>
      </c>
      <c r="E1245" s="6" t="s">
        <v>15</v>
      </c>
      <c r="F1245" s="7">
        <v>3321</v>
      </c>
      <c r="G1245" s="7">
        <v>85695.9066546221</v>
      </c>
      <c r="H1245" s="7">
        <v>284596106</v>
      </c>
      <c r="I1245" s="7">
        <v>82171795</v>
      </c>
      <c r="J1245" s="7">
        <v>7466628</v>
      </c>
      <c r="K1245">
        <f t="shared" si="19"/>
        <v>31</v>
      </c>
      <c r="L1245" s="8" t="str" cm="1">
        <f t="array" ref="L1245">_xlfn.IFS(
 AND(K1245&gt;=89,K1245&lt;=92),"3개월",
 AND(K1245&gt;=58,K1245&lt;=62),"2개월",
 AND(K1245&gt;=28,K1245&lt;=32),"1개월",
 AND(K1245=0),"당월",
 TRUE,"그외"
)</f>
        <v>1개월</v>
      </c>
    </row>
    <row r="1246" spans="1:12" ht="17.649999999999999" customHeight="1" x14ac:dyDescent="0.3">
      <c r="A1246" s="5">
        <v>46174</v>
      </c>
      <c r="B1246" s="6" t="s">
        <v>12</v>
      </c>
      <c r="C1246" s="6" t="s">
        <v>19</v>
      </c>
      <c r="D1246" s="5">
        <v>46023</v>
      </c>
      <c r="E1246" s="6" t="s">
        <v>15</v>
      </c>
      <c r="F1246" s="7">
        <v>33</v>
      </c>
      <c r="G1246" s="7">
        <v>72479.393939393936</v>
      </c>
      <c r="H1246" s="7">
        <v>2391820</v>
      </c>
      <c r="I1246" s="7">
        <v>363000</v>
      </c>
      <c r="J1246" s="7">
        <v>33000</v>
      </c>
      <c r="K1246">
        <f t="shared" si="19"/>
        <v>151</v>
      </c>
      <c r="L1246" s="8" t="str" cm="1">
        <f t="array" ref="L1246">_xlfn.IFS(
 AND(K1246&gt;=89,K1246&lt;=92),"3개월",
 AND(K1246&gt;=58,K1246&lt;=62),"2개월",
 AND(K1246&gt;=28,K1246&lt;=32),"1개월",
 AND(K1246=0),"당월",
 TRUE,"그외"
)</f>
        <v>그외</v>
      </c>
    </row>
    <row r="1247" spans="1:12" ht="17.649999999999999" customHeight="1" x14ac:dyDescent="0.3">
      <c r="A1247" s="5">
        <v>46174</v>
      </c>
      <c r="B1247" s="6" t="s">
        <v>12</v>
      </c>
      <c r="C1247" s="6" t="s">
        <v>19</v>
      </c>
      <c r="D1247" s="5">
        <v>46054</v>
      </c>
      <c r="E1247" s="6" t="s">
        <v>15</v>
      </c>
      <c r="F1247" s="7">
        <v>11</v>
      </c>
      <c r="G1247" s="7">
        <v>59686.181818181823</v>
      </c>
      <c r="H1247" s="7">
        <v>656548</v>
      </c>
      <c r="I1247" s="7">
        <v>96800</v>
      </c>
      <c r="J1247" s="7">
        <v>8800</v>
      </c>
      <c r="K1247">
        <f t="shared" si="19"/>
        <v>120</v>
      </c>
      <c r="L1247" s="8" t="str" cm="1">
        <f t="array" ref="L1247">_xlfn.IFS(
 AND(K1247&gt;=89,K1247&lt;=92),"3개월",
 AND(K1247&gt;=58,K1247&lt;=62),"2개월",
 AND(K1247&gt;=28,K1247&lt;=32),"1개월",
 AND(K1247=0),"당월",
 TRUE,"그외"
)</f>
        <v>그외</v>
      </c>
    </row>
    <row r="1248" spans="1:12" ht="17.649999999999999" customHeight="1" x14ac:dyDescent="0.3">
      <c r="A1248" s="5">
        <v>46174</v>
      </c>
      <c r="B1248" s="6" t="s">
        <v>12</v>
      </c>
      <c r="C1248" s="6" t="s">
        <v>19</v>
      </c>
      <c r="D1248" s="5">
        <v>46082</v>
      </c>
      <c r="E1248" s="6" t="s">
        <v>15</v>
      </c>
      <c r="F1248" s="7">
        <v>77</v>
      </c>
      <c r="G1248" s="7">
        <v>52782.662337662339</v>
      </c>
      <c r="H1248" s="7">
        <v>4064265</v>
      </c>
      <c r="I1248" s="7">
        <v>562100</v>
      </c>
      <c r="J1248" s="7">
        <v>51100</v>
      </c>
      <c r="K1248">
        <f t="shared" si="19"/>
        <v>92</v>
      </c>
      <c r="L1248" s="8" t="str" cm="1">
        <f t="array" ref="L1248">_xlfn.IFS(
 AND(K1248&gt;=89,K1248&lt;=92),"3개월",
 AND(K1248&gt;=58,K1248&lt;=62),"2개월",
 AND(K1248&gt;=28,K1248&lt;=32),"1개월",
 AND(K1248=0),"당월",
 TRUE,"그외"
)</f>
        <v>3개월</v>
      </c>
    </row>
    <row r="1249" spans="1:12" ht="17.649999999999999" customHeight="1" x14ac:dyDescent="0.3">
      <c r="A1249" s="5">
        <v>46174</v>
      </c>
      <c r="B1249" s="6" t="s">
        <v>12</v>
      </c>
      <c r="C1249" s="6" t="s">
        <v>19</v>
      </c>
      <c r="D1249" s="5">
        <v>46113</v>
      </c>
      <c r="E1249" s="6" t="s">
        <v>15</v>
      </c>
      <c r="F1249" s="7">
        <v>389</v>
      </c>
      <c r="G1249" s="7">
        <v>49101.678663239072</v>
      </c>
      <c r="H1249" s="7">
        <v>19100553</v>
      </c>
      <c r="I1249" s="7">
        <v>3059100</v>
      </c>
      <c r="J1249" s="7">
        <v>278100</v>
      </c>
      <c r="K1249">
        <f t="shared" si="19"/>
        <v>61</v>
      </c>
      <c r="L1249" s="8" t="str" cm="1">
        <f t="array" ref="L1249">_xlfn.IFS(
 AND(K1249&gt;=89,K1249&lt;=92),"3개월",
 AND(K1249&gt;=58,K1249&lt;=62),"2개월",
 AND(K1249&gt;=28,K1249&lt;=32),"1개월",
 AND(K1249=0),"당월",
 TRUE,"그외"
)</f>
        <v>2개월</v>
      </c>
    </row>
    <row r="1250" spans="1:12" ht="17.649999999999999" customHeight="1" x14ac:dyDescent="0.3">
      <c r="A1250" s="5">
        <v>46174</v>
      </c>
      <c r="B1250" s="6" t="s">
        <v>12</v>
      </c>
      <c r="C1250" s="6" t="s">
        <v>19</v>
      </c>
      <c r="D1250" s="5">
        <v>46143</v>
      </c>
      <c r="E1250" s="6" t="s">
        <v>15</v>
      </c>
      <c r="F1250" s="7">
        <v>238</v>
      </c>
      <c r="G1250" s="7">
        <v>66521.495798319331</v>
      </c>
      <c r="H1250" s="7">
        <v>15832116</v>
      </c>
      <c r="I1250" s="7">
        <v>5533800</v>
      </c>
      <c r="J1250" s="7">
        <v>502912</v>
      </c>
      <c r="K1250">
        <f t="shared" si="19"/>
        <v>31</v>
      </c>
      <c r="L1250" s="8" t="str" cm="1">
        <f t="array" ref="L1250">_xlfn.IFS(
 AND(K1250&gt;=89,K1250&lt;=92),"3개월",
 AND(K1250&gt;=58,K1250&lt;=62),"2개월",
 AND(K1250&gt;=28,K1250&lt;=32),"1개월",
 AND(K1250=0),"당월",
 TRUE,"그외"
)</f>
        <v>1개월</v>
      </c>
    </row>
    <row r="1251" spans="1:12" ht="17.649999999999999" customHeight="1" x14ac:dyDescent="0.3">
      <c r="A1251" s="5">
        <v>46174</v>
      </c>
      <c r="B1251" s="6" t="s">
        <v>20</v>
      </c>
      <c r="C1251" s="6" t="s">
        <v>22</v>
      </c>
      <c r="D1251" s="5">
        <v>45931</v>
      </c>
      <c r="E1251" s="6" t="s">
        <v>15</v>
      </c>
      <c r="F1251" s="7">
        <v>36</v>
      </c>
      <c r="G1251" s="7">
        <v>112122.05555555561</v>
      </c>
      <c r="H1251" s="7">
        <v>4036394</v>
      </c>
      <c r="I1251" s="7">
        <v>601824</v>
      </c>
      <c r="J1251" s="7">
        <v>0</v>
      </c>
      <c r="K1251">
        <f t="shared" si="19"/>
        <v>243</v>
      </c>
      <c r="L1251" s="8" t="str" cm="1">
        <f t="array" ref="L1251">_xlfn.IFS(
 AND(K1251&gt;=89,K1251&lt;=92),"3개월",
 AND(K1251&gt;=58,K1251&lt;=62),"2개월",
 AND(K1251&gt;=28,K1251&lt;=32),"1개월",
 AND(K1251=0),"당월",
 TRUE,"그외"
)</f>
        <v>그외</v>
      </c>
    </row>
    <row r="1252" spans="1:12" ht="17.649999999999999" customHeight="1" x14ac:dyDescent="0.3">
      <c r="A1252" s="5">
        <v>46174</v>
      </c>
      <c r="B1252" s="6" t="s">
        <v>20</v>
      </c>
      <c r="C1252" s="6" t="s">
        <v>22</v>
      </c>
      <c r="D1252" s="5">
        <v>45962</v>
      </c>
      <c r="E1252" s="6" t="s">
        <v>15</v>
      </c>
      <c r="F1252" s="7">
        <v>109</v>
      </c>
      <c r="G1252" s="7">
        <v>105242.1926605505</v>
      </c>
      <c r="H1252" s="7">
        <v>11471399</v>
      </c>
      <c r="I1252" s="7">
        <v>1430996</v>
      </c>
      <c r="J1252" s="7">
        <v>0</v>
      </c>
      <c r="K1252">
        <f t="shared" si="19"/>
        <v>212</v>
      </c>
      <c r="L1252" s="8" t="str" cm="1">
        <f t="array" ref="L1252">_xlfn.IFS(
 AND(K1252&gt;=89,K1252&lt;=92),"3개월",
 AND(K1252&gt;=58,K1252&lt;=62),"2개월",
 AND(K1252&gt;=28,K1252&lt;=32),"1개월",
 AND(K1252=0),"당월",
 TRUE,"그외"
)</f>
        <v>그외</v>
      </c>
    </row>
    <row r="1253" spans="1:12" ht="17.649999999999999" customHeight="1" x14ac:dyDescent="0.3">
      <c r="A1253" s="5">
        <v>46174</v>
      </c>
      <c r="B1253" s="6" t="s">
        <v>20</v>
      </c>
      <c r="C1253" s="6" t="s">
        <v>22</v>
      </c>
      <c r="D1253" s="5">
        <v>45992</v>
      </c>
      <c r="E1253" s="6" t="s">
        <v>14</v>
      </c>
      <c r="F1253" s="7">
        <v>3</v>
      </c>
      <c r="G1253" s="7">
        <v>78149</v>
      </c>
      <c r="H1253" s="7">
        <v>234447</v>
      </c>
      <c r="I1253" s="7">
        <v>87906</v>
      </c>
      <c r="J1253" s="7">
        <v>0</v>
      </c>
      <c r="K1253">
        <f t="shared" si="19"/>
        <v>182</v>
      </c>
      <c r="L1253" s="8" t="str" cm="1">
        <f t="array" ref="L1253">_xlfn.IFS(
 AND(K1253&gt;=89,K1253&lt;=92),"3개월",
 AND(K1253&gt;=58,K1253&lt;=62),"2개월",
 AND(K1253&gt;=28,K1253&lt;=32),"1개월",
 AND(K1253=0),"당월",
 TRUE,"그외"
)</f>
        <v>그외</v>
      </c>
    </row>
    <row r="1254" spans="1:12" ht="17.649999999999999" customHeight="1" x14ac:dyDescent="0.3">
      <c r="A1254" s="5">
        <v>46174</v>
      </c>
      <c r="B1254" s="6" t="s">
        <v>20</v>
      </c>
      <c r="C1254" s="6" t="s">
        <v>22</v>
      </c>
      <c r="D1254" s="5">
        <v>45992</v>
      </c>
      <c r="E1254" s="6" t="s">
        <v>15</v>
      </c>
      <c r="F1254" s="7">
        <v>178</v>
      </c>
      <c r="G1254" s="7">
        <v>96676.983146067418</v>
      </c>
      <c r="H1254" s="7">
        <v>17208503</v>
      </c>
      <c r="I1254" s="7">
        <v>3079215</v>
      </c>
      <c r="J1254" s="7">
        <v>0</v>
      </c>
      <c r="K1254">
        <f t="shared" si="19"/>
        <v>182</v>
      </c>
      <c r="L1254" s="8" t="str" cm="1">
        <f t="array" ref="L1254">_xlfn.IFS(
 AND(K1254&gt;=89,K1254&lt;=92),"3개월",
 AND(K1254&gt;=58,K1254&lt;=62),"2개월",
 AND(K1254&gt;=28,K1254&lt;=32),"1개월",
 AND(K1254=0),"당월",
 TRUE,"그외"
)</f>
        <v>그외</v>
      </c>
    </row>
    <row r="1255" spans="1:12" ht="17.649999999999999" customHeight="1" x14ac:dyDescent="0.3">
      <c r="A1255" s="5">
        <v>46174</v>
      </c>
      <c r="B1255" s="6" t="s">
        <v>20</v>
      </c>
      <c r="C1255" s="6" t="s">
        <v>22</v>
      </c>
      <c r="D1255" s="5">
        <v>46023</v>
      </c>
      <c r="E1255" s="6" t="s">
        <v>14</v>
      </c>
      <c r="F1255" s="7">
        <v>37</v>
      </c>
      <c r="G1255" s="7">
        <v>84427.91891891892</v>
      </c>
      <c r="H1255" s="7">
        <v>3123833</v>
      </c>
      <c r="I1255" s="7">
        <v>1073836</v>
      </c>
      <c r="J1255" s="7">
        <v>0</v>
      </c>
      <c r="K1255">
        <f t="shared" si="19"/>
        <v>151</v>
      </c>
      <c r="L1255" s="8" t="str" cm="1">
        <f t="array" ref="L1255">_xlfn.IFS(
 AND(K1255&gt;=89,K1255&lt;=92),"3개월",
 AND(K1255&gt;=58,K1255&lt;=62),"2개월",
 AND(K1255&gt;=28,K1255&lt;=32),"1개월",
 AND(K1255=0),"당월",
 TRUE,"그외"
)</f>
        <v>그외</v>
      </c>
    </row>
    <row r="1256" spans="1:12" ht="17.649999999999999" customHeight="1" x14ac:dyDescent="0.3">
      <c r="A1256" s="5">
        <v>46174</v>
      </c>
      <c r="B1256" s="6" t="s">
        <v>20</v>
      </c>
      <c r="C1256" s="6" t="s">
        <v>22</v>
      </c>
      <c r="D1256" s="5">
        <v>46023</v>
      </c>
      <c r="E1256" s="6" t="s">
        <v>15</v>
      </c>
      <c r="F1256" s="7">
        <v>521</v>
      </c>
      <c r="G1256" s="7">
        <v>103578.6737044146</v>
      </c>
      <c r="H1256" s="7">
        <v>53964489</v>
      </c>
      <c r="I1256" s="7">
        <v>8520564</v>
      </c>
      <c r="J1256" s="7">
        <v>0</v>
      </c>
      <c r="K1256">
        <f t="shared" si="19"/>
        <v>151</v>
      </c>
      <c r="L1256" s="8" t="str" cm="1">
        <f t="array" ref="L1256">_xlfn.IFS(
 AND(K1256&gt;=89,K1256&lt;=92),"3개월",
 AND(K1256&gt;=58,K1256&lt;=62),"2개월",
 AND(K1256&gt;=28,K1256&lt;=32),"1개월",
 AND(K1256=0),"당월",
 TRUE,"그외"
)</f>
        <v>그외</v>
      </c>
    </row>
    <row r="1257" spans="1:12" ht="17.649999999999999" customHeight="1" x14ac:dyDescent="0.3">
      <c r="A1257" s="5">
        <v>46174</v>
      </c>
      <c r="B1257" s="6" t="s">
        <v>20</v>
      </c>
      <c r="C1257" s="6" t="s">
        <v>22</v>
      </c>
      <c r="D1257" s="5">
        <v>46054</v>
      </c>
      <c r="E1257" s="6" t="s">
        <v>14</v>
      </c>
      <c r="F1257" s="7">
        <v>54</v>
      </c>
      <c r="G1257" s="7">
        <v>93930.870370370365</v>
      </c>
      <c r="H1257" s="7">
        <v>5072267</v>
      </c>
      <c r="I1257" s="7">
        <v>1874394</v>
      </c>
      <c r="J1257" s="7">
        <v>0</v>
      </c>
      <c r="K1257">
        <f t="shared" si="19"/>
        <v>120</v>
      </c>
      <c r="L1257" s="8" t="str" cm="1">
        <f t="array" ref="L1257">_xlfn.IFS(
 AND(K1257&gt;=89,K1257&lt;=92),"3개월",
 AND(K1257&gt;=58,K1257&lt;=62),"2개월",
 AND(K1257&gt;=28,K1257&lt;=32),"1개월",
 AND(K1257=0),"당월",
 TRUE,"그외"
)</f>
        <v>그외</v>
      </c>
    </row>
    <row r="1258" spans="1:12" ht="17.649999999999999" customHeight="1" x14ac:dyDescent="0.3">
      <c r="A1258" s="5">
        <v>46174</v>
      </c>
      <c r="B1258" s="6" t="s">
        <v>20</v>
      </c>
      <c r="C1258" s="6" t="s">
        <v>22</v>
      </c>
      <c r="D1258" s="5">
        <v>46054</v>
      </c>
      <c r="E1258" s="6" t="s">
        <v>15</v>
      </c>
      <c r="F1258" s="7">
        <v>853</v>
      </c>
      <c r="G1258" s="7">
        <v>101228.837045721</v>
      </c>
      <c r="H1258" s="7">
        <v>86348198</v>
      </c>
      <c r="I1258" s="7">
        <v>11002988</v>
      </c>
      <c r="J1258" s="7">
        <v>0</v>
      </c>
      <c r="K1258">
        <f t="shared" si="19"/>
        <v>120</v>
      </c>
      <c r="L1258" s="8" t="str" cm="1">
        <f t="array" ref="L1258">_xlfn.IFS(
 AND(K1258&gt;=89,K1258&lt;=92),"3개월",
 AND(K1258&gt;=58,K1258&lt;=62),"2개월",
 AND(K1258&gt;=28,K1258&lt;=32),"1개월",
 AND(K1258=0),"당월",
 TRUE,"그외"
)</f>
        <v>그외</v>
      </c>
    </row>
    <row r="1259" spans="1:12" ht="17.649999999999999" customHeight="1" x14ac:dyDescent="0.3">
      <c r="A1259" s="5">
        <v>46174</v>
      </c>
      <c r="B1259" s="6" t="s">
        <v>20</v>
      </c>
      <c r="C1259" s="6" t="s">
        <v>22</v>
      </c>
      <c r="D1259" s="5">
        <v>46082</v>
      </c>
      <c r="E1259" s="6" t="s">
        <v>14</v>
      </c>
      <c r="F1259" s="7">
        <v>1043</v>
      </c>
      <c r="G1259" s="7">
        <v>124176.2473633749</v>
      </c>
      <c r="H1259" s="7">
        <v>129515826</v>
      </c>
      <c r="I1259" s="7">
        <v>17992134</v>
      </c>
      <c r="J1259" s="7">
        <v>0</v>
      </c>
      <c r="K1259">
        <f t="shared" si="19"/>
        <v>92</v>
      </c>
      <c r="L1259" s="8" t="str" cm="1">
        <f t="array" ref="L1259">_xlfn.IFS(
 AND(K1259&gt;=89,K1259&lt;=92),"3개월",
 AND(K1259&gt;=58,K1259&lt;=62),"2개월",
 AND(K1259&gt;=28,K1259&lt;=32),"1개월",
 AND(K1259=0),"당월",
 TRUE,"그외"
)</f>
        <v>3개월</v>
      </c>
    </row>
    <row r="1260" spans="1:12" ht="17.649999999999999" customHeight="1" x14ac:dyDescent="0.3">
      <c r="A1260" s="5">
        <v>46174</v>
      </c>
      <c r="B1260" s="6" t="s">
        <v>20</v>
      </c>
      <c r="C1260" s="6" t="s">
        <v>22</v>
      </c>
      <c r="D1260" s="5">
        <v>46082</v>
      </c>
      <c r="E1260" s="6" t="s">
        <v>15</v>
      </c>
      <c r="F1260" s="7">
        <v>3912</v>
      </c>
      <c r="G1260" s="7">
        <v>115833.9271472393</v>
      </c>
      <c r="H1260" s="7">
        <v>453142323</v>
      </c>
      <c r="I1260" s="7">
        <v>57516688</v>
      </c>
      <c r="J1260" s="7">
        <v>0</v>
      </c>
      <c r="K1260">
        <f t="shared" si="19"/>
        <v>92</v>
      </c>
      <c r="L1260" s="8" t="str" cm="1">
        <f t="array" ref="L1260">_xlfn.IFS(
 AND(K1260&gt;=89,K1260&lt;=92),"3개월",
 AND(K1260&gt;=58,K1260&lt;=62),"2개월",
 AND(K1260&gt;=28,K1260&lt;=32),"1개월",
 AND(K1260=0),"당월",
 TRUE,"그외"
)</f>
        <v>3개월</v>
      </c>
    </row>
    <row r="1261" spans="1:12" ht="17.649999999999999" customHeight="1" x14ac:dyDescent="0.3">
      <c r="A1261" s="5">
        <v>46174</v>
      </c>
      <c r="B1261" s="6" t="s">
        <v>20</v>
      </c>
      <c r="C1261" s="6" t="s">
        <v>22</v>
      </c>
      <c r="D1261" s="5">
        <v>46113</v>
      </c>
      <c r="E1261" s="6" t="s">
        <v>14</v>
      </c>
      <c r="F1261" s="7">
        <v>857</v>
      </c>
      <c r="G1261" s="7">
        <v>133117.15402567101</v>
      </c>
      <c r="H1261" s="7">
        <v>114081401</v>
      </c>
      <c r="I1261" s="7">
        <v>28238228</v>
      </c>
      <c r="J1261" s="7">
        <v>0</v>
      </c>
      <c r="K1261">
        <f t="shared" si="19"/>
        <v>61</v>
      </c>
      <c r="L1261" s="8" t="str" cm="1">
        <f t="array" ref="L1261">_xlfn.IFS(
 AND(K1261&gt;=89,K1261&lt;=92),"3개월",
 AND(K1261&gt;=58,K1261&lt;=62),"2개월",
 AND(K1261&gt;=28,K1261&lt;=32),"1개월",
 AND(K1261=0),"당월",
 TRUE,"그외"
)</f>
        <v>2개월</v>
      </c>
    </row>
    <row r="1262" spans="1:12" ht="17.649999999999999" customHeight="1" x14ac:dyDescent="0.3">
      <c r="A1262" s="5">
        <v>46174</v>
      </c>
      <c r="B1262" s="6" t="s">
        <v>20</v>
      </c>
      <c r="C1262" s="6" t="s">
        <v>22</v>
      </c>
      <c r="D1262" s="5">
        <v>46113</v>
      </c>
      <c r="E1262" s="6" t="s">
        <v>15</v>
      </c>
      <c r="F1262" s="7">
        <v>4061</v>
      </c>
      <c r="G1262" s="7">
        <v>119282.8502831815</v>
      </c>
      <c r="H1262" s="7">
        <v>484407655</v>
      </c>
      <c r="I1262" s="7">
        <v>135238797</v>
      </c>
      <c r="J1262" s="7">
        <v>0</v>
      </c>
      <c r="K1262">
        <f t="shared" si="19"/>
        <v>61</v>
      </c>
      <c r="L1262" s="8" t="str" cm="1">
        <f t="array" ref="L1262">_xlfn.IFS(
 AND(K1262&gt;=89,K1262&lt;=92),"3개월",
 AND(K1262&gt;=58,K1262&lt;=62),"2개월",
 AND(K1262&gt;=28,K1262&lt;=32),"1개월",
 AND(K1262=0),"당월",
 TRUE,"그외"
)</f>
        <v>2개월</v>
      </c>
    </row>
    <row r="1263" spans="1:12" ht="17.649999999999999" customHeight="1" x14ac:dyDescent="0.3">
      <c r="A1263" s="5">
        <v>46174</v>
      </c>
      <c r="B1263" s="6" t="s">
        <v>20</v>
      </c>
      <c r="C1263" s="6" t="s">
        <v>22</v>
      </c>
      <c r="D1263" s="5">
        <v>46143</v>
      </c>
      <c r="E1263" s="6" t="s">
        <v>14</v>
      </c>
      <c r="F1263" s="7">
        <v>8</v>
      </c>
      <c r="G1263" s="7">
        <v>0</v>
      </c>
      <c r="H1263" s="7">
        <v>0</v>
      </c>
      <c r="I1263" s="7">
        <v>0</v>
      </c>
      <c r="J1263" s="7">
        <v>0</v>
      </c>
      <c r="K1263">
        <f t="shared" si="19"/>
        <v>31</v>
      </c>
      <c r="L1263" s="8" t="str" cm="1">
        <f t="array" ref="L1263">_xlfn.IFS(
 AND(K1263&gt;=89,K1263&lt;=92),"3개월",
 AND(K1263&gt;=58,K1263&lt;=62),"2개월",
 AND(K1263&gt;=28,K1263&lt;=32),"1개월",
 AND(K1263=0),"당월",
 TRUE,"그외"
)</f>
        <v>1개월</v>
      </c>
    </row>
    <row r="1264" spans="1:12" ht="17.649999999999999" customHeight="1" x14ac:dyDescent="0.3">
      <c r="A1264" s="5">
        <v>46174</v>
      </c>
      <c r="B1264" s="6" t="s">
        <v>20</v>
      </c>
      <c r="C1264" s="6" t="s">
        <v>22</v>
      </c>
      <c r="D1264" s="5">
        <v>46143</v>
      </c>
      <c r="E1264" s="6" t="s">
        <v>15</v>
      </c>
      <c r="F1264" s="7">
        <v>1316</v>
      </c>
      <c r="G1264" s="7">
        <v>118345.6223404255</v>
      </c>
      <c r="H1264" s="7">
        <v>155742839</v>
      </c>
      <c r="I1264" s="7">
        <v>70890686</v>
      </c>
      <c r="J1264" s="7">
        <v>0</v>
      </c>
      <c r="K1264">
        <f t="shared" si="19"/>
        <v>31</v>
      </c>
      <c r="L1264" s="8" t="str" cm="1">
        <f t="array" ref="L1264">_xlfn.IFS(
 AND(K1264&gt;=89,K1264&lt;=92),"3개월",
 AND(K1264&gt;=58,K1264&lt;=62),"2개월",
 AND(K1264&gt;=28,K1264&lt;=32),"1개월",
 AND(K1264=0),"당월",
 TRUE,"그외"
)</f>
        <v>1개월</v>
      </c>
    </row>
    <row r="1265" spans="1:12" ht="17.649999999999999" customHeight="1" x14ac:dyDescent="0.3">
      <c r="A1265" s="5">
        <v>46174</v>
      </c>
      <c r="B1265" s="6" t="s">
        <v>20</v>
      </c>
      <c r="C1265" s="6" t="s">
        <v>23</v>
      </c>
      <c r="D1265" s="5">
        <v>45962</v>
      </c>
      <c r="E1265" s="6" t="s">
        <v>15</v>
      </c>
      <c r="F1265" s="7">
        <v>11</v>
      </c>
      <c r="G1265" s="7">
        <v>111015.18181818179</v>
      </c>
      <c r="H1265" s="7">
        <v>1221167</v>
      </c>
      <c r="I1265" s="7">
        <v>126709</v>
      </c>
      <c r="J1265" s="7">
        <v>0</v>
      </c>
      <c r="K1265">
        <f t="shared" si="19"/>
        <v>212</v>
      </c>
      <c r="L1265" s="8" t="str" cm="1">
        <f t="array" ref="L1265">_xlfn.IFS(
 AND(K1265&gt;=89,K1265&lt;=92),"3개월",
 AND(K1265&gt;=58,K1265&lt;=62),"2개월",
 AND(K1265&gt;=28,K1265&lt;=32),"1개월",
 AND(K1265=0),"당월",
 TRUE,"그외"
)</f>
        <v>그외</v>
      </c>
    </row>
    <row r="1266" spans="1:12" ht="17.649999999999999" customHeight="1" x14ac:dyDescent="0.3">
      <c r="A1266" s="5">
        <v>46174</v>
      </c>
      <c r="B1266" s="6" t="s">
        <v>20</v>
      </c>
      <c r="C1266" s="6" t="s">
        <v>23</v>
      </c>
      <c r="D1266" s="5">
        <v>45992</v>
      </c>
      <c r="E1266" s="6" t="s">
        <v>15</v>
      </c>
      <c r="F1266" s="7">
        <v>56</v>
      </c>
      <c r="G1266" s="7">
        <v>116357.17857142859</v>
      </c>
      <c r="H1266" s="7">
        <v>6516002</v>
      </c>
      <c r="I1266" s="7">
        <v>710990</v>
      </c>
      <c r="J1266" s="7">
        <v>0</v>
      </c>
      <c r="K1266">
        <f t="shared" si="19"/>
        <v>182</v>
      </c>
      <c r="L1266" s="8" t="str" cm="1">
        <f t="array" ref="L1266">_xlfn.IFS(
 AND(K1266&gt;=89,K1266&lt;=92),"3개월",
 AND(K1266&gt;=58,K1266&lt;=62),"2개월",
 AND(K1266&gt;=28,K1266&lt;=32),"1개월",
 AND(K1266=0),"당월",
 TRUE,"그외"
)</f>
        <v>그외</v>
      </c>
    </row>
    <row r="1267" spans="1:12" ht="17.649999999999999" customHeight="1" x14ac:dyDescent="0.3">
      <c r="A1267" s="5">
        <v>46174</v>
      </c>
      <c r="B1267" s="6" t="s">
        <v>20</v>
      </c>
      <c r="C1267" s="6" t="s">
        <v>23</v>
      </c>
      <c r="D1267" s="5">
        <v>46023</v>
      </c>
      <c r="E1267" s="6" t="s">
        <v>15</v>
      </c>
      <c r="F1267" s="7">
        <v>241</v>
      </c>
      <c r="G1267" s="7">
        <v>138205.34854771779</v>
      </c>
      <c r="H1267" s="7">
        <v>33307489</v>
      </c>
      <c r="I1267" s="7">
        <v>4868462</v>
      </c>
      <c r="J1267" s="7">
        <v>0</v>
      </c>
      <c r="K1267">
        <f t="shared" si="19"/>
        <v>151</v>
      </c>
      <c r="L1267" s="8" t="str" cm="1">
        <f t="array" ref="L1267">_xlfn.IFS(
 AND(K1267&gt;=89,K1267&lt;=92),"3개월",
 AND(K1267&gt;=58,K1267&lt;=62),"2개월",
 AND(K1267&gt;=28,K1267&lt;=32),"1개월",
 AND(K1267=0),"당월",
 TRUE,"그외"
)</f>
        <v>그외</v>
      </c>
    </row>
    <row r="1268" spans="1:12" ht="17.649999999999999" customHeight="1" x14ac:dyDescent="0.3">
      <c r="A1268" s="5">
        <v>46174</v>
      </c>
      <c r="B1268" s="6" t="s">
        <v>20</v>
      </c>
      <c r="C1268" s="6" t="s">
        <v>23</v>
      </c>
      <c r="D1268" s="5">
        <v>46054</v>
      </c>
      <c r="E1268" s="6" t="s">
        <v>14</v>
      </c>
      <c r="F1268" s="7">
        <v>11</v>
      </c>
      <c r="G1268" s="7">
        <v>85481.818181818177</v>
      </c>
      <c r="H1268" s="7">
        <v>940300</v>
      </c>
      <c r="I1268" s="7">
        <v>80300</v>
      </c>
      <c r="J1268" s="7">
        <v>0</v>
      </c>
      <c r="K1268">
        <f t="shared" si="19"/>
        <v>120</v>
      </c>
      <c r="L1268" s="8" t="str" cm="1">
        <f t="array" ref="L1268">_xlfn.IFS(
 AND(K1268&gt;=89,K1268&lt;=92),"3개월",
 AND(K1268&gt;=58,K1268&lt;=62),"2개월",
 AND(K1268&gt;=28,K1268&lt;=32),"1개월",
 AND(K1268=0),"당월",
 TRUE,"그외"
)</f>
        <v>그외</v>
      </c>
    </row>
    <row r="1269" spans="1:12" ht="17.649999999999999" customHeight="1" x14ac:dyDescent="0.3">
      <c r="A1269" s="5">
        <v>46174</v>
      </c>
      <c r="B1269" s="6" t="s">
        <v>20</v>
      </c>
      <c r="C1269" s="6" t="s">
        <v>23</v>
      </c>
      <c r="D1269" s="5">
        <v>46054</v>
      </c>
      <c r="E1269" s="6" t="s">
        <v>15</v>
      </c>
      <c r="F1269" s="7">
        <v>376</v>
      </c>
      <c r="G1269" s="7">
        <v>148252.8404255319</v>
      </c>
      <c r="H1269" s="7">
        <v>55743068</v>
      </c>
      <c r="I1269" s="7">
        <v>6519302</v>
      </c>
      <c r="J1269" s="7">
        <v>0</v>
      </c>
      <c r="K1269">
        <f t="shared" si="19"/>
        <v>120</v>
      </c>
      <c r="L1269" s="8" t="str" cm="1">
        <f t="array" ref="L1269">_xlfn.IFS(
 AND(K1269&gt;=89,K1269&lt;=92),"3개월",
 AND(K1269&gt;=58,K1269&lt;=62),"2개월",
 AND(K1269&gt;=28,K1269&lt;=32),"1개월",
 AND(K1269=0),"당월",
 TRUE,"그외"
)</f>
        <v>그외</v>
      </c>
    </row>
    <row r="1270" spans="1:12" ht="17.649999999999999" customHeight="1" x14ac:dyDescent="0.3">
      <c r="A1270" s="5">
        <v>46174</v>
      </c>
      <c r="B1270" s="6" t="s">
        <v>20</v>
      </c>
      <c r="C1270" s="6" t="s">
        <v>23</v>
      </c>
      <c r="D1270" s="5">
        <v>46082</v>
      </c>
      <c r="E1270" s="6" t="s">
        <v>14</v>
      </c>
      <c r="F1270" s="7">
        <v>451</v>
      </c>
      <c r="G1270" s="7">
        <v>106242.3503325942</v>
      </c>
      <c r="H1270" s="7">
        <v>47915300</v>
      </c>
      <c r="I1270" s="7">
        <v>4645300</v>
      </c>
      <c r="J1270" s="7">
        <v>0</v>
      </c>
      <c r="K1270">
        <f t="shared" si="19"/>
        <v>92</v>
      </c>
      <c r="L1270" s="8" t="str" cm="1">
        <f t="array" ref="L1270">_xlfn.IFS(
 AND(K1270&gt;=89,K1270&lt;=92),"3개월",
 AND(K1270&gt;=58,K1270&lt;=62),"2개월",
 AND(K1270&gt;=28,K1270&lt;=32),"1개월",
 AND(K1270=0),"당월",
 TRUE,"그외"
)</f>
        <v>3개월</v>
      </c>
    </row>
    <row r="1271" spans="1:12" ht="17.649999999999999" customHeight="1" x14ac:dyDescent="0.3">
      <c r="A1271" s="5">
        <v>46174</v>
      </c>
      <c r="B1271" s="6" t="s">
        <v>20</v>
      </c>
      <c r="C1271" s="6" t="s">
        <v>23</v>
      </c>
      <c r="D1271" s="5">
        <v>46082</v>
      </c>
      <c r="E1271" s="6" t="s">
        <v>15</v>
      </c>
      <c r="F1271" s="7">
        <v>1653</v>
      </c>
      <c r="G1271" s="7">
        <v>144376.7404718693</v>
      </c>
      <c r="H1271" s="7">
        <v>238654752</v>
      </c>
      <c r="I1271" s="7">
        <v>24891373</v>
      </c>
      <c r="J1271" s="7">
        <v>0</v>
      </c>
      <c r="K1271">
        <f t="shared" si="19"/>
        <v>92</v>
      </c>
      <c r="L1271" s="8" t="str" cm="1">
        <f t="array" ref="L1271">_xlfn.IFS(
 AND(K1271&gt;=89,K1271&lt;=92),"3개월",
 AND(K1271&gt;=58,K1271&lt;=62),"2개월",
 AND(K1271&gt;=28,K1271&lt;=32),"1개월",
 AND(K1271=0),"당월",
 TRUE,"그외"
)</f>
        <v>3개월</v>
      </c>
    </row>
    <row r="1272" spans="1:12" ht="17.649999999999999" customHeight="1" x14ac:dyDescent="0.3">
      <c r="A1272" s="5">
        <v>46174</v>
      </c>
      <c r="B1272" s="6" t="s">
        <v>20</v>
      </c>
      <c r="C1272" s="6" t="s">
        <v>23</v>
      </c>
      <c r="D1272" s="5">
        <v>46113</v>
      </c>
      <c r="E1272" s="6" t="s">
        <v>14</v>
      </c>
      <c r="F1272" s="7">
        <v>116</v>
      </c>
      <c r="G1272" s="7">
        <v>96825.862068965522</v>
      </c>
      <c r="H1272" s="7">
        <v>11231800</v>
      </c>
      <c r="I1272" s="7">
        <v>3531800</v>
      </c>
      <c r="J1272" s="7">
        <v>0</v>
      </c>
      <c r="K1272">
        <f t="shared" si="19"/>
        <v>61</v>
      </c>
      <c r="L1272" s="8" t="str" cm="1">
        <f t="array" ref="L1272">_xlfn.IFS(
 AND(K1272&gt;=89,K1272&lt;=92),"3개월",
 AND(K1272&gt;=58,K1272&lt;=62),"2개월",
 AND(K1272&gt;=28,K1272&lt;=32),"1개월",
 AND(K1272=0),"당월",
 TRUE,"그외"
)</f>
        <v>2개월</v>
      </c>
    </row>
    <row r="1273" spans="1:12" ht="17.649999999999999" customHeight="1" x14ac:dyDescent="0.3">
      <c r="A1273" s="5">
        <v>46174</v>
      </c>
      <c r="B1273" s="6" t="s">
        <v>20</v>
      </c>
      <c r="C1273" s="6" t="s">
        <v>23</v>
      </c>
      <c r="D1273" s="5">
        <v>46113</v>
      </c>
      <c r="E1273" s="6" t="s">
        <v>15</v>
      </c>
      <c r="F1273" s="7">
        <v>1358</v>
      </c>
      <c r="G1273" s="7">
        <v>121667.1347569956</v>
      </c>
      <c r="H1273" s="7">
        <v>165223969</v>
      </c>
      <c r="I1273" s="7">
        <v>45059460</v>
      </c>
      <c r="J1273" s="7">
        <v>0</v>
      </c>
      <c r="K1273">
        <f t="shared" si="19"/>
        <v>61</v>
      </c>
      <c r="L1273" s="8" t="str" cm="1">
        <f t="array" ref="L1273">_xlfn.IFS(
 AND(K1273&gt;=89,K1273&lt;=92),"3개월",
 AND(K1273&gt;=58,K1273&lt;=62),"2개월",
 AND(K1273&gt;=28,K1273&lt;=32),"1개월",
 AND(K1273=0),"당월",
 TRUE,"그외"
)</f>
        <v>2개월</v>
      </c>
    </row>
    <row r="1274" spans="1:12" ht="17.649999999999999" customHeight="1" x14ac:dyDescent="0.3">
      <c r="A1274" s="5">
        <v>46174</v>
      </c>
      <c r="B1274" s="6" t="s">
        <v>20</v>
      </c>
      <c r="C1274" s="6" t="s">
        <v>23</v>
      </c>
      <c r="D1274" s="5">
        <v>46143</v>
      </c>
      <c r="E1274" s="6" t="s">
        <v>15</v>
      </c>
      <c r="F1274" s="7">
        <v>274</v>
      </c>
      <c r="G1274" s="7">
        <v>137813.26277372261</v>
      </c>
      <c r="H1274" s="7">
        <v>37760834</v>
      </c>
      <c r="I1274" s="7">
        <v>16829808</v>
      </c>
      <c r="J1274" s="7">
        <v>0</v>
      </c>
      <c r="K1274">
        <f t="shared" si="19"/>
        <v>31</v>
      </c>
      <c r="L1274" s="8" t="str" cm="1">
        <f t="array" ref="L1274">_xlfn.IFS(
 AND(K1274&gt;=89,K1274&lt;=92),"3개월",
 AND(K1274&gt;=58,K1274&lt;=62),"2개월",
 AND(K1274&gt;=28,K1274&lt;=32),"1개월",
 AND(K1274=0),"당월",
 TRUE,"그외"
)</f>
        <v>1개월</v>
      </c>
    </row>
    <row r="1275" spans="1:12" ht="17.649999999999999" customHeight="1" x14ac:dyDescent="0.3">
      <c r="A1275" s="5">
        <v>46174</v>
      </c>
      <c r="B1275" s="6" t="s">
        <v>20</v>
      </c>
      <c r="C1275" s="6" t="s">
        <v>24</v>
      </c>
      <c r="D1275" s="5">
        <v>45931</v>
      </c>
      <c r="E1275" s="6" t="s">
        <v>15</v>
      </c>
      <c r="F1275" s="7">
        <v>22</v>
      </c>
      <c r="G1275" s="7">
        <v>149700</v>
      </c>
      <c r="H1275" s="7">
        <v>3293400</v>
      </c>
      <c r="I1275" s="7">
        <v>213400</v>
      </c>
      <c r="J1275" s="7">
        <v>0</v>
      </c>
      <c r="K1275">
        <f t="shared" si="19"/>
        <v>243</v>
      </c>
      <c r="L1275" s="8" t="str" cm="1">
        <f t="array" ref="L1275">_xlfn.IFS(
 AND(K1275&gt;=89,K1275&lt;=92),"3개월",
 AND(K1275&gt;=58,K1275&lt;=62),"2개월",
 AND(K1275&gt;=28,K1275&lt;=32),"1개월",
 AND(K1275=0),"당월",
 TRUE,"그외"
)</f>
        <v>그외</v>
      </c>
    </row>
    <row r="1276" spans="1:12" ht="17.649999999999999" customHeight="1" x14ac:dyDescent="0.3">
      <c r="A1276" s="5">
        <v>46174</v>
      </c>
      <c r="B1276" s="6" t="s">
        <v>20</v>
      </c>
      <c r="C1276" s="6" t="s">
        <v>24</v>
      </c>
      <c r="D1276" s="5">
        <v>45962</v>
      </c>
      <c r="E1276" s="6" t="s">
        <v>15</v>
      </c>
      <c r="F1276" s="7">
        <v>119</v>
      </c>
      <c r="G1276" s="7">
        <v>123793.3025210084</v>
      </c>
      <c r="H1276" s="7">
        <v>14731403</v>
      </c>
      <c r="I1276" s="7">
        <v>1262719</v>
      </c>
      <c r="J1276" s="7">
        <v>0</v>
      </c>
      <c r="K1276">
        <f t="shared" si="19"/>
        <v>212</v>
      </c>
      <c r="L1276" s="8" t="str" cm="1">
        <f t="array" ref="L1276">_xlfn.IFS(
 AND(K1276&gt;=89,K1276&lt;=92),"3개월",
 AND(K1276&gt;=58,K1276&lt;=62),"2개월",
 AND(K1276&gt;=28,K1276&lt;=32),"1개월",
 AND(K1276=0),"당월",
 TRUE,"그외"
)</f>
        <v>그외</v>
      </c>
    </row>
    <row r="1277" spans="1:12" ht="17.649999999999999" customHeight="1" x14ac:dyDescent="0.3">
      <c r="A1277" s="5">
        <v>46174</v>
      </c>
      <c r="B1277" s="6" t="s">
        <v>20</v>
      </c>
      <c r="C1277" s="6" t="s">
        <v>24</v>
      </c>
      <c r="D1277" s="5">
        <v>45992</v>
      </c>
      <c r="E1277" s="6" t="s">
        <v>15</v>
      </c>
      <c r="F1277" s="7">
        <v>160</v>
      </c>
      <c r="G1277" s="7">
        <v>115233.8125</v>
      </c>
      <c r="H1277" s="7">
        <v>18437410</v>
      </c>
      <c r="I1277" s="7">
        <v>2158533</v>
      </c>
      <c r="J1277" s="7">
        <v>0</v>
      </c>
      <c r="K1277">
        <f t="shared" si="19"/>
        <v>182</v>
      </c>
      <c r="L1277" s="8" t="str" cm="1">
        <f t="array" ref="L1277">_xlfn.IFS(
 AND(K1277&gt;=89,K1277&lt;=92),"3개월",
 AND(K1277&gt;=58,K1277&lt;=62),"2개월",
 AND(K1277&gt;=28,K1277&lt;=32),"1개월",
 AND(K1277=0),"당월",
 TRUE,"그외"
)</f>
        <v>그외</v>
      </c>
    </row>
    <row r="1278" spans="1:12" ht="17.649999999999999" customHeight="1" x14ac:dyDescent="0.3">
      <c r="A1278" s="5">
        <v>46174</v>
      </c>
      <c r="B1278" s="6" t="s">
        <v>20</v>
      </c>
      <c r="C1278" s="6" t="s">
        <v>24</v>
      </c>
      <c r="D1278" s="5">
        <v>46023</v>
      </c>
      <c r="E1278" s="6" t="s">
        <v>15</v>
      </c>
      <c r="F1278" s="7">
        <v>504</v>
      </c>
      <c r="G1278" s="7">
        <v>128937.0496031746</v>
      </c>
      <c r="H1278" s="7">
        <v>64984273</v>
      </c>
      <c r="I1278" s="7">
        <v>6543501</v>
      </c>
      <c r="J1278" s="7">
        <v>0</v>
      </c>
      <c r="K1278">
        <f t="shared" si="19"/>
        <v>151</v>
      </c>
      <c r="L1278" s="8" t="str" cm="1">
        <f t="array" ref="L1278">_xlfn.IFS(
 AND(K1278&gt;=89,K1278&lt;=92),"3개월",
 AND(K1278&gt;=58,K1278&lt;=62),"2개월",
 AND(K1278&gt;=28,K1278&lt;=32),"1개월",
 AND(K1278=0),"당월",
 TRUE,"그외"
)</f>
        <v>그외</v>
      </c>
    </row>
    <row r="1279" spans="1:12" ht="17.649999999999999" customHeight="1" x14ac:dyDescent="0.3">
      <c r="A1279" s="5">
        <v>46174</v>
      </c>
      <c r="B1279" s="6" t="s">
        <v>20</v>
      </c>
      <c r="C1279" s="6" t="s">
        <v>24</v>
      </c>
      <c r="D1279" s="5">
        <v>46054</v>
      </c>
      <c r="E1279" s="6" t="s">
        <v>15</v>
      </c>
      <c r="F1279" s="7">
        <v>851</v>
      </c>
      <c r="G1279" s="7">
        <v>132651.77673325501</v>
      </c>
      <c r="H1279" s="7">
        <v>112886662</v>
      </c>
      <c r="I1279" s="7">
        <v>7635770</v>
      </c>
      <c r="J1279" s="7">
        <v>0</v>
      </c>
      <c r="K1279">
        <f t="shared" si="19"/>
        <v>120</v>
      </c>
      <c r="L1279" s="8" t="str" cm="1">
        <f t="array" ref="L1279">_xlfn.IFS(
 AND(K1279&gt;=89,K1279&lt;=92),"3개월",
 AND(K1279&gt;=58,K1279&lt;=62),"2개월",
 AND(K1279&gt;=28,K1279&lt;=32),"1개월",
 AND(K1279=0),"당월",
 TRUE,"그외"
)</f>
        <v>그외</v>
      </c>
    </row>
    <row r="1280" spans="1:12" ht="17.649999999999999" customHeight="1" x14ac:dyDescent="0.3">
      <c r="A1280" s="5">
        <v>46174</v>
      </c>
      <c r="B1280" s="6" t="s">
        <v>20</v>
      </c>
      <c r="C1280" s="6" t="s">
        <v>24</v>
      </c>
      <c r="D1280" s="5">
        <v>46082</v>
      </c>
      <c r="E1280" s="6" t="s">
        <v>14</v>
      </c>
      <c r="F1280" s="7">
        <v>429</v>
      </c>
      <c r="G1280" s="7">
        <v>114372.2610722611</v>
      </c>
      <c r="H1280" s="7">
        <v>49065700</v>
      </c>
      <c r="I1280" s="7">
        <v>4467620</v>
      </c>
      <c r="J1280" s="7">
        <v>0</v>
      </c>
      <c r="K1280">
        <f t="shared" si="19"/>
        <v>92</v>
      </c>
      <c r="L1280" s="8" t="str" cm="1">
        <f t="array" ref="L1280">_xlfn.IFS(
 AND(K1280&gt;=89,K1280&lt;=92),"3개월",
 AND(K1280&gt;=58,K1280&lt;=62),"2개월",
 AND(K1280&gt;=28,K1280&lt;=32),"1개월",
 AND(K1280=0),"당월",
 TRUE,"그외"
)</f>
        <v>3개월</v>
      </c>
    </row>
    <row r="1281" spans="1:12" ht="17.649999999999999" customHeight="1" x14ac:dyDescent="0.3">
      <c r="A1281" s="5">
        <v>46174</v>
      </c>
      <c r="B1281" s="6" t="s">
        <v>20</v>
      </c>
      <c r="C1281" s="6" t="s">
        <v>24</v>
      </c>
      <c r="D1281" s="5">
        <v>46082</v>
      </c>
      <c r="E1281" s="6" t="s">
        <v>15</v>
      </c>
      <c r="F1281" s="7">
        <v>2891</v>
      </c>
      <c r="G1281" s="7">
        <v>143755.27602905571</v>
      </c>
      <c r="H1281" s="7">
        <v>415596503</v>
      </c>
      <c r="I1281" s="7">
        <v>34401237</v>
      </c>
      <c r="J1281" s="7">
        <v>0</v>
      </c>
      <c r="K1281">
        <f t="shared" si="19"/>
        <v>92</v>
      </c>
      <c r="L1281" s="8" t="str" cm="1">
        <f t="array" ref="L1281">_xlfn.IFS(
 AND(K1281&gt;=89,K1281&lt;=92),"3개월",
 AND(K1281&gt;=58,K1281&lt;=62),"2개월",
 AND(K1281&gt;=28,K1281&lt;=32),"1개월",
 AND(K1281=0),"당월",
 TRUE,"그외"
)</f>
        <v>3개월</v>
      </c>
    </row>
    <row r="1282" spans="1:12" ht="17.649999999999999" customHeight="1" x14ac:dyDescent="0.3">
      <c r="A1282" s="5">
        <v>46174</v>
      </c>
      <c r="B1282" s="6" t="s">
        <v>20</v>
      </c>
      <c r="C1282" s="6" t="s">
        <v>24</v>
      </c>
      <c r="D1282" s="5">
        <v>46113</v>
      </c>
      <c r="E1282" s="6" t="s">
        <v>14</v>
      </c>
      <c r="F1282" s="7">
        <v>356</v>
      </c>
      <c r="G1282" s="7">
        <v>144785.95505617981</v>
      </c>
      <c r="H1282" s="7">
        <v>51543800</v>
      </c>
      <c r="I1282" s="7">
        <v>10964800</v>
      </c>
      <c r="J1282" s="7">
        <v>0</v>
      </c>
      <c r="K1282">
        <f t="shared" si="19"/>
        <v>61</v>
      </c>
      <c r="L1282" s="8" t="str" cm="1">
        <f t="array" ref="L1282">_xlfn.IFS(
 AND(K1282&gt;=89,K1282&lt;=92),"3개월",
 AND(K1282&gt;=58,K1282&lt;=62),"2개월",
 AND(K1282&gt;=28,K1282&lt;=32),"1개월",
 AND(K1282=0),"당월",
 TRUE,"그외"
)</f>
        <v>2개월</v>
      </c>
    </row>
    <row r="1283" spans="1:12" ht="17.649999999999999" customHeight="1" x14ac:dyDescent="0.3">
      <c r="A1283" s="5">
        <v>46174</v>
      </c>
      <c r="B1283" s="6" t="s">
        <v>20</v>
      </c>
      <c r="C1283" s="6" t="s">
        <v>24</v>
      </c>
      <c r="D1283" s="5">
        <v>46113</v>
      </c>
      <c r="E1283" s="6" t="s">
        <v>15</v>
      </c>
      <c r="F1283" s="7">
        <v>3999</v>
      </c>
      <c r="G1283" s="7">
        <v>120226.31907976991</v>
      </c>
      <c r="H1283" s="7">
        <v>480785050</v>
      </c>
      <c r="I1283" s="7">
        <v>124176359</v>
      </c>
      <c r="J1283" s="7">
        <v>0</v>
      </c>
      <c r="K1283">
        <f t="shared" si="19"/>
        <v>61</v>
      </c>
      <c r="L1283" s="8" t="str" cm="1">
        <f t="array" ref="L1283">_xlfn.IFS(
 AND(K1283&gt;=89,K1283&lt;=92),"3개월",
 AND(K1283&gt;=58,K1283&lt;=62),"2개월",
 AND(K1283&gt;=28,K1283&lt;=32),"1개월",
 AND(K1283=0),"당월",
 TRUE,"그외"
)</f>
        <v>2개월</v>
      </c>
    </row>
    <row r="1284" spans="1:12" ht="17.649999999999999" customHeight="1" x14ac:dyDescent="0.3">
      <c r="A1284" s="5">
        <v>46174</v>
      </c>
      <c r="B1284" s="6" t="s">
        <v>20</v>
      </c>
      <c r="C1284" s="6" t="s">
        <v>24</v>
      </c>
      <c r="D1284" s="5">
        <v>46143</v>
      </c>
      <c r="E1284" s="6" t="s">
        <v>15</v>
      </c>
      <c r="F1284" s="7">
        <v>1358</v>
      </c>
      <c r="G1284" s="7">
        <v>120713.88365243</v>
      </c>
      <c r="H1284" s="7">
        <v>163929454</v>
      </c>
      <c r="I1284" s="7">
        <v>73931796</v>
      </c>
      <c r="J1284" s="7">
        <v>0</v>
      </c>
      <c r="K1284">
        <f t="shared" si="19"/>
        <v>31</v>
      </c>
      <c r="L1284" s="8" t="str" cm="1">
        <f t="array" ref="L1284">_xlfn.IFS(
 AND(K1284&gt;=89,K1284&lt;=92),"3개월",
 AND(K1284&gt;=58,K1284&lt;=62),"2개월",
 AND(K1284&gt;=28,K1284&lt;=32),"1개월",
 AND(K1284=0),"당월",
 TRUE,"그외"
)</f>
        <v>1개월</v>
      </c>
    </row>
    <row r="1285" spans="1:12" ht="17.649999999999999" customHeight="1" x14ac:dyDescent="0.3">
      <c r="A1285" s="5">
        <v>46174</v>
      </c>
      <c r="B1285" s="6" t="s">
        <v>20</v>
      </c>
      <c r="C1285" s="6" t="s">
        <v>25</v>
      </c>
      <c r="D1285" s="5">
        <v>45962</v>
      </c>
      <c r="E1285" s="6" t="s">
        <v>15</v>
      </c>
      <c r="F1285" s="7">
        <v>33</v>
      </c>
      <c r="G1285" s="7">
        <v>190834.60606060599</v>
      </c>
      <c r="H1285" s="7">
        <v>6297542</v>
      </c>
      <c r="I1285" s="7">
        <v>595950</v>
      </c>
      <c r="J1285" s="7">
        <v>0</v>
      </c>
      <c r="K1285">
        <f t="shared" si="19"/>
        <v>212</v>
      </c>
      <c r="L1285" s="8" t="str" cm="1">
        <f t="array" ref="L1285">_xlfn.IFS(
 AND(K1285&gt;=89,K1285&lt;=92),"3개월",
 AND(K1285&gt;=58,K1285&lt;=62),"2개월",
 AND(K1285&gt;=28,K1285&lt;=32),"1개월",
 AND(K1285=0),"당월",
 TRUE,"그외"
)</f>
        <v>그외</v>
      </c>
    </row>
    <row r="1286" spans="1:12" ht="17.649999999999999" customHeight="1" x14ac:dyDescent="0.3">
      <c r="A1286" s="5">
        <v>46174</v>
      </c>
      <c r="B1286" s="6" t="s">
        <v>20</v>
      </c>
      <c r="C1286" s="6" t="s">
        <v>25</v>
      </c>
      <c r="D1286" s="5">
        <v>45992</v>
      </c>
      <c r="E1286" s="6" t="s">
        <v>15</v>
      </c>
      <c r="F1286" s="7">
        <v>59</v>
      </c>
      <c r="G1286" s="7">
        <v>123679.8305084746</v>
      </c>
      <c r="H1286" s="7">
        <v>7297110</v>
      </c>
      <c r="I1286" s="7">
        <v>749716</v>
      </c>
      <c r="J1286" s="7">
        <v>0</v>
      </c>
      <c r="K1286">
        <f t="shared" si="19"/>
        <v>182</v>
      </c>
      <c r="L1286" s="8" t="str" cm="1">
        <f t="array" ref="L1286">_xlfn.IFS(
 AND(K1286&gt;=89,K1286&lt;=92),"3개월",
 AND(K1286&gt;=58,K1286&lt;=62),"2개월",
 AND(K1286&gt;=28,K1286&lt;=32),"1개월",
 AND(K1286=0),"당월",
 TRUE,"그외"
)</f>
        <v>그외</v>
      </c>
    </row>
    <row r="1287" spans="1:12" ht="17.649999999999999" customHeight="1" x14ac:dyDescent="0.3">
      <c r="A1287" s="5">
        <v>46174</v>
      </c>
      <c r="B1287" s="6" t="s">
        <v>20</v>
      </c>
      <c r="C1287" s="6" t="s">
        <v>25</v>
      </c>
      <c r="D1287" s="5">
        <v>46023</v>
      </c>
      <c r="E1287" s="6" t="s">
        <v>15</v>
      </c>
      <c r="F1287" s="7">
        <v>539</v>
      </c>
      <c r="G1287" s="7">
        <v>139250.95918367349</v>
      </c>
      <c r="H1287" s="7">
        <v>75056267</v>
      </c>
      <c r="I1287" s="7">
        <v>7707836</v>
      </c>
      <c r="J1287" s="7">
        <v>0</v>
      </c>
      <c r="K1287">
        <f t="shared" si="19"/>
        <v>151</v>
      </c>
      <c r="L1287" s="8" t="str" cm="1">
        <f t="array" ref="L1287">_xlfn.IFS(
 AND(K1287&gt;=89,K1287&lt;=92),"3개월",
 AND(K1287&gt;=58,K1287&lt;=62),"2개월",
 AND(K1287&gt;=28,K1287&lt;=32),"1개월",
 AND(K1287=0),"당월",
 TRUE,"그외"
)</f>
        <v>그외</v>
      </c>
    </row>
    <row r="1288" spans="1:12" ht="17.649999999999999" customHeight="1" x14ac:dyDescent="0.3">
      <c r="A1288" s="5">
        <v>46174</v>
      </c>
      <c r="B1288" s="6" t="s">
        <v>20</v>
      </c>
      <c r="C1288" s="6" t="s">
        <v>25</v>
      </c>
      <c r="D1288" s="5">
        <v>46054</v>
      </c>
      <c r="E1288" s="6" t="s">
        <v>14</v>
      </c>
      <c r="F1288" s="7">
        <v>9</v>
      </c>
      <c r="G1288" s="7">
        <v>115681</v>
      </c>
      <c r="H1288" s="7">
        <v>1041129</v>
      </c>
      <c r="I1288" s="7">
        <v>311499</v>
      </c>
      <c r="J1288" s="7">
        <v>0</v>
      </c>
      <c r="K1288">
        <f t="shared" si="19"/>
        <v>120</v>
      </c>
      <c r="L1288" s="8" t="str" cm="1">
        <f t="array" ref="L1288">_xlfn.IFS(
 AND(K1288&gt;=89,K1288&lt;=92),"3개월",
 AND(K1288&gt;=58,K1288&lt;=62),"2개월",
 AND(K1288&gt;=28,K1288&lt;=32),"1개월",
 AND(K1288=0),"당월",
 TRUE,"그외"
)</f>
        <v>그외</v>
      </c>
    </row>
    <row r="1289" spans="1:12" ht="17.649999999999999" customHeight="1" x14ac:dyDescent="0.3">
      <c r="A1289" s="5">
        <v>46174</v>
      </c>
      <c r="B1289" s="6" t="s">
        <v>20</v>
      </c>
      <c r="C1289" s="6" t="s">
        <v>25</v>
      </c>
      <c r="D1289" s="5">
        <v>46054</v>
      </c>
      <c r="E1289" s="6" t="s">
        <v>15</v>
      </c>
      <c r="F1289" s="7">
        <v>576</v>
      </c>
      <c r="G1289" s="7">
        <v>133480.28993055559</v>
      </c>
      <c r="H1289" s="7">
        <v>76884647</v>
      </c>
      <c r="I1289" s="7">
        <v>7723083</v>
      </c>
      <c r="J1289" s="7">
        <v>0</v>
      </c>
      <c r="K1289">
        <f t="shared" si="19"/>
        <v>120</v>
      </c>
      <c r="L1289" s="8" t="str" cm="1">
        <f t="array" ref="L1289">_xlfn.IFS(
 AND(K1289&gt;=89,K1289&lt;=92),"3개월",
 AND(K1289&gt;=58,K1289&lt;=62),"2개월",
 AND(K1289&gt;=28,K1289&lt;=32),"1개월",
 AND(K1289=0),"당월",
 TRUE,"그외"
)</f>
        <v>그외</v>
      </c>
    </row>
    <row r="1290" spans="1:12" ht="17.649999999999999" customHeight="1" x14ac:dyDescent="0.3">
      <c r="A1290" s="5">
        <v>46174</v>
      </c>
      <c r="B1290" s="6" t="s">
        <v>20</v>
      </c>
      <c r="C1290" s="6" t="s">
        <v>25</v>
      </c>
      <c r="D1290" s="5">
        <v>46082</v>
      </c>
      <c r="E1290" s="6" t="s">
        <v>14</v>
      </c>
      <c r="F1290" s="7">
        <v>183</v>
      </c>
      <c r="G1290" s="7">
        <v>141594.6174863388</v>
      </c>
      <c r="H1290" s="7">
        <v>25911815</v>
      </c>
      <c r="I1290" s="7">
        <v>2587102</v>
      </c>
      <c r="J1290" s="7">
        <v>0</v>
      </c>
      <c r="K1290">
        <f t="shared" ref="K1290:K1353" si="20">A1290-D1290</f>
        <v>92</v>
      </c>
      <c r="L1290" s="8" t="str" cm="1">
        <f t="array" ref="L1290">_xlfn.IFS(
 AND(K1290&gt;=89,K1290&lt;=92),"3개월",
 AND(K1290&gt;=58,K1290&lt;=62),"2개월",
 AND(K1290&gt;=28,K1290&lt;=32),"1개월",
 AND(K1290=0),"당월",
 TRUE,"그외"
)</f>
        <v>3개월</v>
      </c>
    </row>
    <row r="1291" spans="1:12" ht="17.649999999999999" customHeight="1" x14ac:dyDescent="0.3">
      <c r="A1291" s="5">
        <v>46174</v>
      </c>
      <c r="B1291" s="6" t="s">
        <v>20</v>
      </c>
      <c r="C1291" s="6" t="s">
        <v>25</v>
      </c>
      <c r="D1291" s="5">
        <v>46082</v>
      </c>
      <c r="E1291" s="6" t="s">
        <v>15</v>
      </c>
      <c r="F1291" s="7">
        <v>2195</v>
      </c>
      <c r="G1291" s="7">
        <v>124181.9111617312</v>
      </c>
      <c r="H1291" s="7">
        <v>272579295</v>
      </c>
      <c r="I1291" s="7">
        <v>38025638</v>
      </c>
      <c r="J1291" s="7">
        <v>0</v>
      </c>
      <c r="K1291">
        <f t="shared" si="20"/>
        <v>92</v>
      </c>
      <c r="L1291" s="8" t="str" cm="1">
        <f t="array" ref="L1291">_xlfn.IFS(
 AND(K1291&gt;=89,K1291&lt;=92),"3개월",
 AND(K1291&gt;=58,K1291&lt;=62),"2개월",
 AND(K1291&gt;=28,K1291&lt;=32),"1개월",
 AND(K1291=0),"당월",
 TRUE,"그외"
)</f>
        <v>3개월</v>
      </c>
    </row>
    <row r="1292" spans="1:12" ht="17.649999999999999" customHeight="1" x14ac:dyDescent="0.3">
      <c r="A1292" s="5">
        <v>46174</v>
      </c>
      <c r="B1292" s="6" t="s">
        <v>20</v>
      </c>
      <c r="C1292" s="6" t="s">
        <v>25</v>
      </c>
      <c r="D1292" s="5">
        <v>46113</v>
      </c>
      <c r="E1292" s="6" t="s">
        <v>14</v>
      </c>
      <c r="F1292" s="7">
        <v>242</v>
      </c>
      <c r="G1292" s="7">
        <v>112580.92148760329</v>
      </c>
      <c r="H1292" s="7">
        <v>27244583</v>
      </c>
      <c r="I1292" s="7">
        <v>10246554</v>
      </c>
      <c r="J1292" s="7">
        <v>0</v>
      </c>
      <c r="K1292">
        <f t="shared" si="20"/>
        <v>61</v>
      </c>
      <c r="L1292" s="8" t="str" cm="1">
        <f t="array" ref="L1292">_xlfn.IFS(
 AND(K1292&gt;=89,K1292&lt;=92),"3개월",
 AND(K1292&gt;=58,K1292&lt;=62),"2개월",
 AND(K1292&gt;=28,K1292&lt;=32),"1개월",
 AND(K1292=0),"당월",
 TRUE,"그외"
)</f>
        <v>2개월</v>
      </c>
    </row>
    <row r="1293" spans="1:12" ht="17.649999999999999" customHeight="1" x14ac:dyDescent="0.3">
      <c r="A1293" s="5">
        <v>46174</v>
      </c>
      <c r="B1293" s="6" t="s">
        <v>20</v>
      </c>
      <c r="C1293" s="6" t="s">
        <v>25</v>
      </c>
      <c r="D1293" s="5">
        <v>46113</v>
      </c>
      <c r="E1293" s="6" t="s">
        <v>15</v>
      </c>
      <c r="F1293" s="7">
        <v>4285</v>
      </c>
      <c r="G1293" s="7">
        <v>110702.10291715289</v>
      </c>
      <c r="H1293" s="7">
        <v>474358511</v>
      </c>
      <c r="I1293" s="7">
        <v>147986589</v>
      </c>
      <c r="J1293" s="7">
        <v>0</v>
      </c>
      <c r="K1293">
        <f t="shared" si="20"/>
        <v>61</v>
      </c>
      <c r="L1293" s="8" t="str" cm="1">
        <f t="array" ref="L1293">_xlfn.IFS(
 AND(K1293&gt;=89,K1293&lt;=92),"3개월",
 AND(K1293&gt;=58,K1293&lt;=62),"2개월",
 AND(K1293&gt;=28,K1293&lt;=32),"1개월",
 AND(K1293=0),"당월",
 TRUE,"그외"
)</f>
        <v>2개월</v>
      </c>
    </row>
    <row r="1294" spans="1:12" ht="17.649999999999999" customHeight="1" x14ac:dyDescent="0.3">
      <c r="A1294" s="5">
        <v>46174</v>
      </c>
      <c r="B1294" s="6" t="s">
        <v>20</v>
      </c>
      <c r="C1294" s="6" t="s">
        <v>25</v>
      </c>
      <c r="D1294" s="5">
        <v>46143</v>
      </c>
      <c r="E1294" s="6" t="s">
        <v>14</v>
      </c>
      <c r="F1294" s="7">
        <v>2</v>
      </c>
      <c r="G1294" s="7">
        <v>0</v>
      </c>
      <c r="H1294" s="7">
        <v>0</v>
      </c>
      <c r="I1294" s="7">
        <v>0</v>
      </c>
      <c r="J1294" s="7">
        <v>0</v>
      </c>
      <c r="K1294">
        <f t="shared" si="20"/>
        <v>31</v>
      </c>
      <c r="L1294" s="8" t="str" cm="1">
        <f t="array" ref="L1294">_xlfn.IFS(
 AND(K1294&gt;=89,K1294&lt;=92),"3개월",
 AND(K1294&gt;=58,K1294&lt;=62),"2개월",
 AND(K1294&gt;=28,K1294&lt;=32),"1개월",
 AND(K1294=0),"당월",
 TRUE,"그외"
)</f>
        <v>1개월</v>
      </c>
    </row>
    <row r="1295" spans="1:12" ht="17.649999999999999" customHeight="1" x14ac:dyDescent="0.3">
      <c r="A1295" s="5">
        <v>46174</v>
      </c>
      <c r="B1295" s="6" t="s">
        <v>20</v>
      </c>
      <c r="C1295" s="6" t="s">
        <v>25</v>
      </c>
      <c r="D1295" s="5">
        <v>46143</v>
      </c>
      <c r="E1295" s="6" t="s">
        <v>15</v>
      </c>
      <c r="F1295" s="7">
        <v>1209</v>
      </c>
      <c r="G1295" s="7">
        <v>107125.5136476427</v>
      </c>
      <c r="H1295" s="7">
        <v>129514746</v>
      </c>
      <c r="I1295" s="7">
        <v>63398119</v>
      </c>
      <c r="J1295" s="7">
        <v>0</v>
      </c>
      <c r="K1295">
        <f t="shared" si="20"/>
        <v>31</v>
      </c>
      <c r="L1295" s="8" t="str" cm="1">
        <f t="array" ref="L1295">_xlfn.IFS(
 AND(K1295&gt;=89,K1295&lt;=92),"3개월",
 AND(K1295&gt;=58,K1295&lt;=62),"2개월",
 AND(K1295&gt;=28,K1295&lt;=32),"1개월",
 AND(K1295=0),"당월",
 TRUE,"그외"
)</f>
        <v>1개월</v>
      </c>
    </row>
    <row r="1296" spans="1:12" ht="17.649999999999999" customHeight="1" x14ac:dyDescent="0.3">
      <c r="A1296" s="5">
        <v>46174</v>
      </c>
      <c r="B1296" s="6" t="s">
        <v>20</v>
      </c>
      <c r="C1296" s="6" t="s">
        <v>26</v>
      </c>
      <c r="D1296" s="5">
        <v>46113</v>
      </c>
      <c r="E1296" s="6" t="s">
        <v>14</v>
      </c>
      <c r="F1296" s="7">
        <v>36</v>
      </c>
      <c r="G1296" s="7">
        <v>137096.08333333331</v>
      </c>
      <c r="H1296" s="7">
        <v>4935459</v>
      </c>
      <c r="I1296" s="7">
        <v>1641492</v>
      </c>
      <c r="J1296" s="7">
        <v>0</v>
      </c>
      <c r="K1296">
        <f t="shared" si="20"/>
        <v>61</v>
      </c>
      <c r="L1296" s="8" t="str" cm="1">
        <f t="array" ref="L1296">_xlfn.IFS(
 AND(K1296&gt;=89,K1296&lt;=92),"3개월",
 AND(K1296&gt;=58,K1296&lt;=62),"2개월",
 AND(K1296&gt;=28,K1296&lt;=32),"1개월",
 AND(K1296=0),"당월",
 TRUE,"그외"
)</f>
        <v>2개월</v>
      </c>
    </row>
    <row r="1297" spans="1:12" ht="17.649999999999999" customHeight="1" x14ac:dyDescent="0.3">
      <c r="A1297" s="5">
        <v>46174</v>
      </c>
      <c r="B1297" s="6" t="s">
        <v>20</v>
      </c>
      <c r="C1297" s="6" t="s">
        <v>26</v>
      </c>
      <c r="D1297" s="5">
        <v>46113</v>
      </c>
      <c r="E1297" s="6" t="s">
        <v>15</v>
      </c>
      <c r="F1297" s="7">
        <v>1287</v>
      </c>
      <c r="G1297" s="7">
        <v>105499.66744366739</v>
      </c>
      <c r="H1297" s="7">
        <v>135778072</v>
      </c>
      <c r="I1297" s="7">
        <v>42918986</v>
      </c>
      <c r="J1297" s="7">
        <v>0</v>
      </c>
      <c r="K1297">
        <f t="shared" si="20"/>
        <v>61</v>
      </c>
      <c r="L1297" s="8" t="str" cm="1">
        <f t="array" ref="L1297">_xlfn.IFS(
 AND(K1297&gt;=89,K1297&lt;=92),"3개월",
 AND(K1297&gt;=58,K1297&lt;=62),"2개월",
 AND(K1297&gt;=28,K1297&lt;=32),"1개월",
 AND(K1297=0),"당월",
 TRUE,"그외"
)</f>
        <v>2개월</v>
      </c>
    </row>
    <row r="1298" spans="1:12" ht="17.649999999999999" customHeight="1" x14ac:dyDescent="0.3">
      <c r="A1298" s="5">
        <v>46174</v>
      </c>
      <c r="B1298" s="6" t="s">
        <v>20</v>
      </c>
      <c r="C1298" s="6" t="s">
        <v>26</v>
      </c>
      <c r="D1298" s="5">
        <v>46143</v>
      </c>
      <c r="E1298" s="6" t="s">
        <v>15</v>
      </c>
      <c r="F1298" s="7">
        <v>209</v>
      </c>
      <c r="G1298" s="7">
        <v>138059.89473684211</v>
      </c>
      <c r="H1298" s="7">
        <v>28854518</v>
      </c>
      <c r="I1298" s="7">
        <v>12696824</v>
      </c>
      <c r="J1298" s="7">
        <v>0</v>
      </c>
      <c r="K1298">
        <f t="shared" si="20"/>
        <v>31</v>
      </c>
      <c r="L1298" s="8" t="str" cm="1">
        <f t="array" ref="L1298">_xlfn.IFS(
 AND(K1298&gt;=89,K1298&lt;=92),"3개월",
 AND(K1298&gt;=58,K1298&lt;=62),"2개월",
 AND(K1298&gt;=28,K1298&lt;=32),"1개월",
 AND(K1298=0),"당월",
 TRUE,"그외"
)</f>
        <v>1개월</v>
      </c>
    </row>
    <row r="1299" spans="1:12" ht="17.649999999999999" customHeight="1" x14ac:dyDescent="0.3">
      <c r="A1299" s="5">
        <v>46174</v>
      </c>
      <c r="B1299" s="6" t="s">
        <v>20</v>
      </c>
      <c r="C1299" s="6" t="s">
        <v>27</v>
      </c>
      <c r="D1299" s="5">
        <v>45931</v>
      </c>
      <c r="E1299" s="6" t="s">
        <v>15</v>
      </c>
      <c r="F1299" s="7">
        <v>35</v>
      </c>
      <c r="G1299" s="7">
        <v>138134.71428571429</v>
      </c>
      <c r="H1299" s="7">
        <v>4834715</v>
      </c>
      <c r="I1299" s="7">
        <v>630440</v>
      </c>
      <c r="J1299" s="7">
        <v>0</v>
      </c>
      <c r="K1299">
        <f t="shared" si="20"/>
        <v>243</v>
      </c>
      <c r="L1299" s="8" t="str" cm="1">
        <f t="array" ref="L1299">_xlfn.IFS(
 AND(K1299&gt;=89,K1299&lt;=92),"3개월",
 AND(K1299&gt;=58,K1299&lt;=62),"2개월",
 AND(K1299&gt;=28,K1299&lt;=32),"1개월",
 AND(K1299=0),"당월",
 TRUE,"그외"
)</f>
        <v>그외</v>
      </c>
    </row>
    <row r="1300" spans="1:12" ht="17.649999999999999" customHeight="1" x14ac:dyDescent="0.3">
      <c r="A1300" s="5">
        <v>46174</v>
      </c>
      <c r="B1300" s="6" t="s">
        <v>20</v>
      </c>
      <c r="C1300" s="6" t="s">
        <v>27</v>
      </c>
      <c r="D1300" s="5">
        <v>45962</v>
      </c>
      <c r="E1300" s="6" t="s">
        <v>14</v>
      </c>
      <c r="F1300" s="7">
        <v>7</v>
      </c>
      <c r="G1300" s="7">
        <v>97879.857142857145</v>
      </c>
      <c r="H1300" s="7">
        <v>685159</v>
      </c>
      <c r="I1300" s="7">
        <v>201821</v>
      </c>
      <c r="J1300" s="7">
        <v>0</v>
      </c>
      <c r="K1300">
        <f t="shared" si="20"/>
        <v>212</v>
      </c>
      <c r="L1300" s="8" t="str" cm="1">
        <f t="array" ref="L1300">_xlfn.IFS(
 AND(K1300&gt;=89,K1300&lt;=92),"3개월",
 AND(K1300&gt;=58,K1300&lt;=62),"2개월",
 AND(K1300&gt;=28,K1300&lt;=32),"1개월",
 AND(K1300=0),"당월",
 TRUE,"그외"
)</f>
        <v>그외</v>
      </c>
    </row>
    <row r="1301" spans="1:12" ht="17.649999999999999" customHeight="1" x14ac:dyDescent="0.3">
      <c r="A1301" s="5">
        <v>46174</v>
      </c>
      <c r="B1301" s="6" t="s">
        <v>20</v>
      </c>
      <c r="C1301" s="6" t="s">
        <v>27</v>
      </c>
      <c r="D1301" s="5">
        <v>45962</v>
      </c>
      <c r="E1301" s="6" t="s">
        <v>15</v>
      </c>
      <c r="F1301" s="7">
        <v>87</v>
      </c>
      <c r="G1301" s="7">
        <v>123982.7931034483</v>
      </c>
      <c r="H1301" s="7">
        <v>10786503</v>
      </c>
      <c r="I1301" s="7">
        <v>1562398</v>
      </c>
      <c r="J1301" s="7">
        <v>0</v>
      </c>
      <c r="K1301">
        <f t="shared" si="20"/>
        <v>212</v>
      </c>
      <c r="L1301" s="8" t="str" cm="1">
        <f t="array" ref="L1301">_xlfn.IFS(
 AND(K1301&gt;=89,K1301&lt;=92),"3개월",
 AND(K1301&gt;=58,K1301&lt;=62),"2개월",
 AND(K1301&gt;=28,K1301&lt;=32),"1개월",
 AND(K1301=0),"당월",
 TRUE,"그외"
)</f>
        <v>그외</v>
      </c>
    </row>
    <row r="1302" spans="1:12" ht="17.649999999999999" customHeight="1" x14ac:dyDescent="0.3">
      <c r="A1302" s="5">
        <v>46174</v>
      </c>
      <c r="B1302" s="6" t="s">
        <v>20</v>
      </c>
      <c r="C1302" s="6" t="s">
        <v>27</v>
      </c>
      <c r="D1302" s="5">
        <v>45992</v>
      </c>
      <c r="E1302" s="6" t="s">
        <v>14</v>
      </c>
      <c r="F1302" s="7">
        <v>15</v>
      </c>
      <c r="G1302" s="7">
        <v>84086.46666666666</v>
      </c>
      <c r="H1302" s="7">
        <v>1261297</v>
      </c>
      <c r="I1302" s="7">
        <v>437689</v>
      </c>
      <c r="J1302" s="7">
        <v>0</v>
      </c>
      <c r="K1302">
        <f t="shared" si="20"/>
        <v>182</v>
      </c>
      <c r="L1302" s="8" t="str" cm="1">
        <f t="array" ref="L1302">_xlfn.IFS(
 AND(K1302&gt;=89,K1302&lt;=92),"3개월",
 AND(K1302&gt;=58,K1302&lt;=62),"2개월",
 AND(K1302&gt;=28,K1302&lt;=32),"1개월",
 AND(K1302=0),"당월",
 TRUE,"그외"
)</f>
        <v>그외</v>
      </c>
    </row>
    <row r="1303" spans="1:12" ht="17.649999999999999" customHeight="1" x14ac:dyDescent="0.3">
      <c r="A1303" s="5">
        <v>46174</v>
      </c>
      <c r="B1303" s="6" t="s">
        <v>20</v>
      </c>
      <c r="C1303" s="6" t="s">
        <v>27</v>
      </c>
      <c r="D1303" s="5">
        <v>45992</v>
      </c>
      <c r="E1303" s="6" t="s">
        <v>15</v>
      </c>
      <c r="F1303" s="7">
        <v>87</v>
      </c>
      <c r="G1303" s="7">
        <v>117523.4597701149</v>
      </c>
      <c r="H1303" s="7">
        <v>10224541</v>
      </c>
      <c r="I1303" s="7">
        <v>1686163</v>
      </c>
      <c r="J1303" s="7">
        <v>0</v>
      </c>
      <c r="K1303">
        <f t="shared" si="20"/>
        <v>182</v>
      </c>
      <c r="L1303" s="8" t="str" cm="1">
        <f t="array" ref="L1303">_xlfn.IFS(
 AND(K1303&gt;=89,K1303&lt;=92),"3개월",
 AND(K1303&gt;=58,K1303&lt;=62),"2개월",
 AND(K1303&gt;=28,K1303&lt;=32),"1개월",
 AND(K1303=0),"당월",
 TRUE,"그외"
)</f>
        <v>그외</v>
      </c>
    </row>
    <row r="1304" spans="1:12" ht="17.649999999999999" customHeight="1" x14ac:dyDescent="0.3">
      <c r="A1304" s="5">
        <v>46174</v>
      </c>
      <c r="B1304" s="6" t="s">
        <v>20</v>
      </c>
      <c r="C1304" s="6" t="s">
        <v>27</v>
      </c>
      <c r="D1304" s="5">
        <v>46023</v>
      </c>
      <c r="E1304" s="6" t="s">
        <v>14</v>
      </c>
      <c r="F1304" s="7">
        <v>31</v>
      </c>
      <c r="G1304" s="7">
        <v>108898.19354838711</v>
      </c>
      <c r="H1304" s="7">
        <v>3375844</v>
      </c>
      <c r="I1304" s="7">
        <v>896177</v>
      </c>
      <c r="J1304" s="7">
        <v>0</v>
      </c>
      <c r="K1304">
        <f t="shared" si="20"/>
        <v>151</v>
      </c>
      <c r="L1304" s="8" t="str" cm="1">
        <f t="array" ref="L1304">_xlfn.IFS(
 AND(K1304&gt;=89,K1304&lt;=92),"3개월",
 AND(K1304&gt;=58,K1304&lt;=62),"2개월",
 AND(K1304&gt;=28,K1304&lt;=32),"1개월",
 AND(K1304=0),"당월",
 TRUE,"그외"
)</f>
        <v>그외</v>
      </c>
    </row>
    <row r="1305" spans="1:12" ht="17.649999999999999" customHeight="1" x14ac:dyDescent="0.3">
      <c r="A1305" s="5">
        <v>46174</v>
      </c>
      <c r="B1305" s="6" t="s">
        <v>20</v>
      </c>
      <c r="C1305" s="6" t="s">
        <v>27</v>
      </c>
      <c r="D1305" s="5">
        <v>46023</v>
      </c>
      <c r="E1305" s="6" t="s">
        <v>15</v>
      </c>
      <c r="F1305" s="7">
        <v>96</v>
      </c>
      <c r="G1305" s="7">
        <v>125168.1666666667</v>
      </c>
      <c r="H1305" s="7">
        <v>12016144</v>
      </c>
      <c r="I1305" s="7">
        <v>1611115</v>
      </c>
      <c r="J1305" s="7">
        <v>0</v>
      </c>
      <c r="K1305">
        <f t="shared" si="20"/>
        <v>151</v>
      </c>
      <c r="L1305" s="8" t="str" cm="1">
        <f t="array" ref="L1305">_xlfn.IFS(
 AND(K1305&gt;=89,K1305&lt;=92),"3개월",
 AND(K1305&gt;=58,K1305&lt;=62),"2개월",
 AND(K1305&gt;=28,K1305&lt;=32),"1개월",
 AND(K1305=0),"당월",
 TRUE,"그외"
)</f>
        <v>그외</v>
      </c>
    </row>
    <row r="1306" spans="1:12" ht="17.649999999999999" customHeight="1" x14ac:dyDescent="0.3">
      <c r="A1306" s="5">
        <v>46174</v>
      </c>
      <c r="B1306" s="6" t="s">
        <v>20</v>
      </c>
      <c r="C1306" s="6" t="s">
        <v>27</v>
      </c>
      <c r="D1306" s="5">
        <v>46054</v>
      </c>
      <c r="E1306" s="6" t="s">
        <v>14</v>
      </c>
      <c r="F1306" s="7">
        <v>30</v>
      </c>
      <c r="G1306" s="7">
        <v>99171.199999999997</v>
      </c>
      <c r="H1306" s="7">
        <v>2975136</v>
      </c>
      <c r="I1306" s="7">
        <v>1035614</v>
      </c>
      <c r="J1306" s="7">
        <v>0</v>
      </c>
      <c r="K1306">
        <f t="shared" si="20"/>
        <v>120</v>
      </c>
      <c r="L1306" s="8" t="str" cm="1">
        <f t="array" ref="L1306">_xlfn.IFS(
 AND(K1306&gt;=89,K1306&lt;=92),"3개월",
 AND(K1306&gt;=58,K1306&lt;=62),"2개월",
 AND(K1306&gt;=28,K1306&lt;=32),"1개월",
 AND(K1306=0),"당월",
 TRUE,"그외"
)</f>
        <v>그외</v>
      </c>
    </row>
    <row r="1307" spans="1:12" ht="17.649999999999999" customHeight="1" x14ac:dyDescent="0.3">
      <c r="A1307" s="5">
        <v>46174</v>
      </c>
      <c r="B1307" s="6" t="s">
        <v>20</v>
      </c>
      <c r="C1307" s="6" t="s">
        <v>27</v>
      </c>
      <c r="D1307" s="5">
        <v>46054</v>
      </c>
      <c r="E1307" s="6" t="s">
        <v>15</v>
      </c>
      <c r="F1307" s="7">
        <v>237</v>
      </c>
      <c r="G1307" s="7">
        <v>122199.2320675105</v>
      </c>
      <c r="H1307" s="7">
        <v>28961218</v>
      </c>
      <c r="I1307" s="7">
        <v>3769080</v>
      </c>
      <c r="J1307" s="7">
        <v>0</v>
      </c>
      <c r="K1307">
        <f t="shared" si="20"/>
        <v>120</v>
      </c>
      <c r="L1307" s="8" t="str" cm="1">
        <f t="array" ref="L1307">_xlfn.IFS(
 AND(K1307&gt;=89,K1307&lt;=92),"3개월",
 AND(K1307&gt;=58,K1307&lt;=62),"2개월",
 AND(K1307&gt;=28,K1307&lt;=32),"1개월",
 AND(K1307=0),"당월",
 TRUE,"그외"
)</f>
        <v>그외</v>
      </c>
    </row>
    <row r="1308" spans="1:12" ht="17.649999999999999" customHeight="1" x14ac:dyDescent="0.3">
      <c r="A1308" s="5">
        <v>46174</v>
      </c>
      <c r="B1308" s="6" t="s">
        <v>20</v>
      </c>
      <c r="C1308" s="6" t="s">
        <v>27</v>
      </c>
      <c r="D1308" s="5">
        <v>46082</v>
      </c>
      <c r="E1308" s="6" t="s">
        <v>14</v>
      </c>
      <c r="F1308" s="7">
        <v>573</v>
      </c>
      <c r="G1308" s="7">
        <v>118556.127399651</v>
      </c>
      <c r="H1308" s="7">
        <v>67932661</v>
      </c>
      <c r="I1308" s="7">
        <v>14099444</v>
      </c>
      <c r="J1308" s="7">
        <v>0</v>
      </c>
      <c r="K1308">
        <f t="shared" si="20"/>
        <v>92</v>
      </c>
      <c r="L1308" s="8" t="str" cm="1">
        <f t="array" ref="L1308">_xlfn.IFS(
 AND(K1308&gt;=89,K1308&lt;=92),"3개월",
 AND(K1308&gt;=58,K1308&lt;=62),"2개월",
 AND(K1308&gt;=28,K1308&lt;=32),"1개월",
 AND(K1308=0),"당월",
 TRUE,"그외"
)</f>
        <v>3개월</v>
      </c>
    </row>
    <row r="1309" spans="1:12" ht="17.649999999999999" customHeight="1" x14ac:dyDescent="0.3">
      <c r="A1309" s="5">
        <v>46174</v>
      </c>
      <c r="B1309" s="6" t="s">
        <v>20</v>
      </c>
      <c r="C1309" s="6" t="s">
        <v>27</v>
      </c>
      <c r="D1309" s="5">
        <v>46082</v>
      </c>
      <c r="E1309" s="6" t="s">
        <v>15</v>
      </c>
      <c r="F1309" s="7">
        <v>3171</v>
      </c>
      <c r="G1309" s="7">
        <v>122177.8325449385</v>
      </c>
      <c r="H1309" s="7">
        <v>387425907</v>
      </c>
      <c r="I1309" s="7">
        <v>53474998</v>
      </c>
      <c r="J1309" s="7">
        <v>0</v>
      </c>
      <c r="K1309">
        <f t="shared" si="20"/>
        <v>92</v>
      </c>
      <c r="L1309" s="8" t="str" cm="1">
        <f t="array" ref="L1309">_xlfn.IFS(
 AND(K1309&gt;=89,K1309&lt;=92),"3개월",
 AND(K1309&gt;=58,K1309&lt;=62),"2개월",
 AND(K1309&gt;=28,K1309&lt;=32),"1개월",
 AND(K1309=0),"당월",
 TRUE,"그외"
)</f>
        <v>3개월</v>
      </c>
    </row>
    <row r="1310" spans="1:12" ht="17.649999999999999" customHeight="1" x14ac:dyDescent="0.3">
      <c r="A1310" s="5">
        <v>46174</v>
      </c>
      <c r="B1310" s="6" t="s">
        <v>20</v>
      </c>
      <c r="C1310" s="6" t="s">
        <v>27</v>
      </c>
      <c r="D1310" s="5">
        <v>46113</v>
      </c>
      <c r="E1310" s="6" t="s">
        <v>14</v>
      </c>
      <c r="F1310" s="7">
        <v>1004</v>
      </c>
      <c r="G1310" s="7">
        <v>132280.046812749</v>
      </c>
      <c r="H1310" s="7">
        <v>132809167</v>
      </c>
      <c r="I1310" s="7">
        <v>34099200</v>
      </c>
      <c r="J1310" s="7">
        <v>0</v>
      </c>
      <c r="K1310">
        <f t="shared" si="20"/>
        <v>61</v>
      </c>
      <c r="L1310" s="8" t="str" cm="1">
        <f t="array" ref="L1310">_xlfn.IFS(
 AND(K1310&gt;=89,K1310&lt;=92),"3개월",
 AND(K1310&gt;=58,K1310&lt;=62),"2개월",
 AND(K1310&gt;=28,K1310&lt;=32),"1개월",
 AND(K1310=0),"당월",
 TRUE,"그외"
)</f>
        <v>2개월</v>
      </c>
    </row>
    <row r="1311" spans="1:12" ht="17.649999999999999" customHeight="1" x14ac:dyDescent="0.3">
      <c r="A1311" s="5">
        <v>46174</v>
      </c>
      <c r="B1311" s="6" t="s">
        <v>20</v>
      </c>
      <c r="C1311" s="6" t="s">
        <v>27</v>
      </c>
      <c r="D1311" s="5">
        <v>46113</v>
      </c>
      <c r="E1311" s="6" t="s">
        <v>15</v>
      </c>
      <c r="F1311" s="7">
        <v>4461</v>
      </c>
      <c r="G1311" s="7">
        <v>113844.5099753418</v>
      </c>
      <c r="H1311" s="7">
        <v>507860359</v>
      </c>
      <c r="I1311" s="7">
        <v>150841851</v>
      </c>
      <c r="J1311" s="7">
        <v>0</v>
      </c>
      <c r="K1311">
        <f t="shared" si="20"/>
        <v>61</v>
      </c>
      <c r="L1311" s="8" t="str" cm="1">
        <f t="array" ref="L1311">_xlfn.IFS(
 AND(K1311&gt;=89,K1311&lt;=92),"3개월",
 AND(K1311&gt;=58,K1311&lt;=62),"2개월",
 AND(K1311&gt;=28,K1311&lt;=32),"1개월",
 AND(K1311=0),"당월",
 TRUE,"그외"
)</f>
        <v>2개월</v>
      </c>
    </row>
    <row r="1312" spans="1:12" ht="17.649999999999999" customHeight="1" x14ac:dyDescent="0.3">
      <c r="A1312" s="5">
        <v>46174</v>
      </c>
      <c r="B1312" s="6" t="s">
        <v>20</v>
      </c>
      <c r="C1312" s="6" t="s">
        <v>27</v>
      </c>
      <c r="D1312" s="5">
        <v>46143</v>
      </c>
      <c r="E1312" s="6" t="s">
        <v>14</v>
      </c>
      <c r="F1312" s="7">
        <v>78</v>
      </c>
      <c r="G1312" s="7">
        <v>38852.628205128203</v>
      </c>
      <c r="H1312" s="7">
        <v>3030505</v>
      </c>
      <c r="I1312" s="7">
        <v>1729120</v>
      </c>
      <c r="J1312" s="7">
        <v>0</v>
      </c>
      <c r="K1312">
        <f t="shared" si="20"/>
        <v>31</v>
      </c>
      <c r="L1312" s="8" t="str" cm="1">
        <f t="array" ref="L1312">_xlfn.IFS(
 AND(K1312&gt;=89,K1312&lt;=92),"3개월",
 AND(K1312&gt;=58,K1312&lt;=62),"2개월",
 AND(K1312&gt;=28,K1312&lt;=32),"1개월",
 AND(K1312=0),"당월",
 TRUE,"그외"
)</f>
        <v>1개월</v>
      </c>
    </row>
    <row r="1313" spans="1:12" ht="17.649999999999999" customHeight="1" x14ac:dyDescent="0.3">
      <c r="A1313" s="5">
        <v>46174</v>
      </c>
      <c r="B1313" s="6" t="s">
        <v>20</v>
      </c>
      <c r="C1313" s="6" t="s">
        <v>27</v>
      </c>
      <c r="D1313" s="5">
        <v>46143</v>
      </c>
      <c r="E1313" s="6" t="s">
        <v>15</v>
      </c>
      <c r="F1313" s="7">
        <v>869</v>
      </c>
      <c r="G1313" s="7">
        <v>104390.75949367091</v>
      </c>
      <c r="H1313" s="7">
        <v>90715570</v>
      </c>
      <c r="I1313" s="7">
        <v>42604680</v>
      </c>
      <c r="J1313" s="7">
        <v>0</v>
      </c>
      <c r="K1313">
        <f t="shared" si="20"/>
        <v>31</v>
      </c>
      <c r="L1313" s="8" t="str" cm="1">
        <f t="array" ref="L1313">_xlfn.IFS(
 AND(K1313&gt;=89,K1313&lt;=92),"3개월",
 AND(K1313&gt;=58,K1313&lt;=62),"2개월",
 AND(K1313&gt;=28,K1313&lt;=32),"1개월",
 AND(K1313=0),"당월",
 TRUE,"그외"
)</f>
        <v>1개월</v>
      </c>
    </row>
    <row r="1314" spans="1:12" ht="17.649999999999999" customHeight="1" x14ac:dyDescent="0.3">
      <c r="A1314" s="5">
        <v>46174</v>
      </c>
      <c r="B1314" s="6" t="s">
        <v>20</v>
      </c>
      <c r="C1314" s="6" t="s">
        <v>28</v>
      </c>
      <c r="D1314" s="5">
        <v>45809</v>
      </c>
      <c r="E1314" s="6" t="s">
        <v>15</v>
      </c>
      <c r="F1314" s="7">
        <v>1</v>
      </c>
      <c r="G1314" s="7">
        <v>97300</v>
      </c>
      <c r="H1314" s="7">
        <v>97300</v>
      </c>
      <c r="I1314" s="7">
        <v>7300</v>
      </c>
      <c r="J1314" s="7">
        <v>0</v>
      </c>
      <c r="K1314">
        <f t="shared" si="20"/>
        <v>365</v>
      </c>
      <c r="L1314" s="8" t="str" cm="1">
        <f t="array" ref="L1314">_xlfn.IFS(
 AND(K1314&gt;=89,K1314&lt;=92),"3개월",
 AND(K1314&gt;=58,K1314&lt;=62),"2개월",
 AND(K1314&gt;=28,K1314&lt;=32),"1개월",
 AND(K1314=0),"당월",
 TRUE,"그외"
)</f>
        <v>그외</v>
      </c>
    </row>
    <row r="1315" spans="1:12" ht="17.649999999999999" customHeight="1" x14ac:dyDescent="0.3">
      <c r="A1315" s="5">
        <v>46174</v>
      </c>
      <c r="B1315" s="6" t="s">
        <v>20</v>
      </c>
      <c r="C1315" s="6" t="s">
        <v>28</v>
      </c>
      <c r="D1315" s="5">
        <v>45931</v>
      </c>
      <c r="E1315" s="6" t="s">
        <v>15</v>
      </c>
      <c r="F1315" s="7">
        <v>10</v>
      </c>
      <c r="G1315" s="7">
        <v>106700</v>
      </c>
      <c r="H1315" s="7">
        <v>1067000</v>
      </c>
      <c r="I1315" s="7">
        <v>97000</v>
      </c>
      <c r="J1315" s="7">
        <v>0</v>
      </c>
      <c r="K1315">
        <f t="shared" si="20"/>
        <v>243</v>
      </c>
      <c r="L1315" s="8" t="str" cm="1">
        <f t="array" ref="L1315">_xlfn.IFS(
 AND(K1315&gt;=89,K1315&lt;=92),"3개월",
 AND(K1315&gt;=58,K1315&lt;=62),"2개월",
 AND(K1315&gt;=28,K1315&lt;=32),"1개월",
 AND(K1315=0),"당월",
 TRUE,"그외"
)</f>
        <v>그외</v>
      </c>
    </row>
    <row r="1316" spans="1:12" ht="17.649999999999999" customHeight="1" x14ac:dyDescent="0.3">
      <c r="A1316" s="5">
        <v>46174</v>
      </c>
      <c r="B1316" s="6" t="s">
        <v>20</v>
      </c>
      <c r="C1316" s="6" t="s">
        <v>28</v>
      </c>
      <c r="D1316" s="5">
        <v>45962</v>
      </c>
      <c r="E1316" s="6" t="s">
        <v>15</v>
      </c>
      <c r="F1316" s="7">
        <v>25</v>
      </c>
      <c r="G1316" s="7">
        <v>125043.68</v>
      </c>
      <c r="H1316" s="7">
        <v>3126092</v>
      </c>
      <c r="I1316" s="7">
        <v>322352</v>
      </c>
      <c r="J1316" s="7">
        <v>0</v>
      </c>
      <c r="K1316">
        <f t="shared" si="20"/>
        <v>212</v>
      </c>
      <c r="L1316" s="8" t="str" cm="1">
        <f t="array" ref="L1316">_xlfn.IFS(
 AND(K1316&gt;=89,K1316&lt;=92),"3개월",
 AND(K1316&gt;=58,K1316&lt;=62),"2개월",
 AND(K1316&gt;=28,K1316&lt;=32),"1개월",
 AND(K1316=0),"당월",
 TRUE,"그외"
)</f>
        <v>그외</v>
      </c>
    </row>
    <row r="1317" spans="1:12" ht="17.649999999999999" customHeight="1" x14ac:dyDescent="0.3">
      <c r="A1317" s="5">
        <v>46174</v>
      </c>
      <c r="B1317" s="6" t="s">
        <v>20</v>
      </c>
      <c r="C1317" s="6" t="s">
        <v>28</v>
      </c>
      <c r="D1317" s="5">
        <v>45992</v>
      </c>
      <c r="E1317" s="6" t="s">
        <v>15</v>
      </c>
      <c r="F1317" s="7">
        <v>103</v>
      </c>
      <c r="G1317" s="7">
        <v>117733.39805825239</v>
      </c>
      <c r="H1317" s="7">
        <v>12126540</v>
      </c>
      <c r="I1317" s="7">
        <v>1308196</v>
      </c>
      <c r="J1317" s="7">
        <v>0</v>
      </c>
      <c r="K1317">
        <f t="shared" si="20"/>
        <v>182</v>
      </c>
      <c r="L1317" s="8" t="str" cm="1">
        <f t="array" ref="L1317">_xlfn.IFS(
 AND(K1317&gt;=89,K1317&lt;=92),"3개월",
 AND(K1317&gt;=58,K1317&lt;=62),"2개월",
 AND(K1317&gt;=28,K1317&lt;=32),"1개월",
 AND(K1317=0),"당월",
 TRUE,"그외"
)</f>
        <v>그외</v>
      </c>
    </row>
    <row r="1318" spans="1:12" ht="17.649999999999999" customHeight="1" x14ac:dyDescent="0.3">
      <c r="A1318" s="5">
        <v>46174</v>
      </c>
      <c r="B1318" s="6" t="s">
        <v>20</v>
      </c>
      <c r="C1318" s="6" t="s">
        <v>28</v>
      </c>
      <c r="D1318" s="5">
        <v>46023</v>
      </c>
      <c r="E1318" s="6" t="s">
        <v>15</v>
      </c>
      <c r="F1318" s="7">
        <v>135</v>
      </c>
      <c r="G1318" s="7">
        <v>126320.88888888891</v>
      </c>
      <c r="H1318" s="7">
        <v>17053320</v>
      </c>
      <c r="I1318" s="7">
        <v>1946324</v>
      </c>
      <c r="J1318" s="7">
        <v>0</v>
      </c>
      <c r="K1318">
        <f t="shared" si="20"/>
        <v>151</v>
      </c>
      <c r="L1318" s="8" t="str" cm="1">
        <f t="array" ref="L1318">_xlfn.IFS(
 AND(K1318&gt;=89,K1318&lt;=92),"3개월",
 AND(K1318&gt;=58,K1318&lt;=62),"2개월",
 AND(K1318&gt;=28,K1318&lt;=32),"1개월",
 AND(K1318=0),"당월",
 TRUE,"그외"
)</f>
        <v>그외</v>
      </c>
    </row>
    <row r="1319" spans="1:12" ht="17.649999999999999" customHeight="1" x14ac:dyDescent="0.3">
      <c r="A1319" s="5">
        <v>46174</v>
      </c>
      <c r="B1319" s="6" t="s">
        <v>20</v>
      </c>
      <c r="C1319" s="6" t="s">
        <v>28</v>
      </c>
      <c r="D1319" s="5">
        <v>46054</v>
      </c>
      <c r="E1319" s="6" t="s">
        <v>15</v>
      </c>
      <c r="F1319" s="7">
        <v>265</v>
      </c>
      <c r="G1319" s="7">
        <v>130411.61509433961</v>
      </c>
      <c r="H1319" s="7">
        <v>34559078</v>
      </c>
      <c r="I1319" s="7">
        <v>2994944</v>
      </c>
      <c r="J1319" s="7">
        <v>0</v>
      </c>
      <c r="K1319">
        <f t="shared" si="20"/>
        <v>120</v>
      </c>
      <c r="L1319" s="8" t="str" cm="1">
        <f t="array" ref="L1319">_xlfn.IFS(
 AND(K1319&gt;=89,K1319&lt;=92),"3개월",
 AND(K1319&gt;=58,K1319&lt;=62),"2개월",
 AND(K1319&gt;=28,K1319&lt;=32),"1개월",
 AND(K1319=0),"당월",
 TRUE,"그외"
)</f>
        <v>그외</v>
      </c>
    </row>
    <row r="1320" spans="1:12" ht="17.649999999999999" customHeight="1" x14ac:dyDescent="0.3">
      <c r="A1320" s="5">
        <v>46174</v>
      </c>
      <c r="B1320" s="6" t="s">
        <v>20</v>
      </c>
      <c r="C1320" s="6" t="s">
        <v>28</v>
      </c>
      <c r="D1320" s="5">
        <v>46082</v>
      </c>
      <c r="E1320" s="6" t="s">
        <v>14</v>
      </c>
      <c r="F1320" s="7">
        <v>168</v>
      </c>
      <c r="G1320" s="7">
        <v>145835.71428571429</v>
      </c>
      <c r="H1320" s="7">
        <v>24500400</v>
      </c>
      <c r="I1320" s="7">
        <v>1730400</v>
      </c>
      <c r="J1320" s="7">
        <v>0</v>
      </c>
      <c r="K1320">
        <f t="shared" si="20"/>
        <v>92</v>
      </c>
      <c r="L1320" s="8" t="str" cm="1">
        <f t="array" ref="L1320">_xlfn.IFS(
 AND(K1320&gt;=89,K1320&lt;=92),"3개월",
 AND(K1320&gt;=58,K1320&lt;=62),"2개월",
 AND(K1320&gt;=28,K1320&lt;=32),"1개월",
 AND(K1320=0),"당월",
 TRUE,"그외"
)</f>
        <v>3개월</v>
      </c>
    </row>
    <row r="1321" spans="1:12" ht="17.649999999999999" customHeight="1" x14ac:dyDescent="0.3">
      <c r="A1321" s="5">
        <v>46174</v>
      </c>
      <c r="B1321" s="6" t="s">
        <v>20</v>
      </c>
      <c r="C1321" s="6" t="s">
        <v>28</v>
      </c>
      <c r="D1321" s="5">
        <v>46082</v>
      </c>
      <c r="E1321" s="6" t="s">
        <v>15</v>
      </c>
      <c r="F1321" s="7">
        <v>1600</v>
      </c>
      <c r="G1321" s="7">
        <v>140273.98250000001</v>
      </c>
      <c r="H1321" s="7">
        <v>224438372</v>
      </c>
      <c r="I1321" s="7">
        <v>19241400</v>
      </c>
      <c r="J1321" s="7">
        <v>0</v>
      </c>
      <c r="K1321">
        <f t="shared" si="20"/>
        <v>92</v>
      </c>
      <c r="L1321" s="8" t="str" cm="1">
        <f t="array" ref="L1321">_xlfn.IFS(
 AND(K1321&gt;=89,K1321&lt;=92),"3개월",
 AND(K1321&gt;=58,K1321&lt;=62),"2개월",
 AND(K1321&gt;=28,K1321&lt;=32),"1개월",
 AND(K1321=0),"당월",
 TRUE,"그외"
)</f>
        <v>3개월</v>
      </c>
    </row>
    <row r="1322" spans="1:12" ht="17.649999999999999" customHeight="1" x14ac:dyDescent="0.3">
      <c r="A1322" s="5">
        <v>46174</v>
      </c>
      <c r="B1322" s="6" t="s">
        <v>20</v>
      </c>
      <c r="C1322" s="6" t="s">
        <v>28</v>
      </c>
      <c r="D1322" s="5">
        <v>46113</v>
      </c>
      <c r="E1322" s="6" t="s">
        <v>14</v>
      </c>
      <c r="F1322" s="7">
        <v>197</v>
      </c>
      <c r="G1322" s="7">
        <v>144747.41116751271</v>
      </c>
      <c r="H1322" s="7">
        <v>28515240</v>
      </c>
      <c r="I1322" s="7">
        <v>6421648</v>
      </c>
      <c r="J1322" s="7">
        <v>0</v>
      </c>
      <c r="K1322">
        <f t="shared" si="20"/>
        <v>61</v>
      </c>
      <c r="L1322" s="8" t="str" cm="1">
        <f t="array" ref="L1322">_xlfn.IFS(
 AND(K1322&gt;=89,K1322&lt;=92),"3개월",
 AND(K1322&gt;=58,K1322&lt;=62),"2개월",
 AND(K1322&gt;=28,K1322&lt;=32),"1개월",
 AND(K1322=0),"당월",
 TRUE,"그외"
)</f>
        <v>2개월</v>
      </c>
    </row>
    <row r="1323" spans="1:12" ht="17.649999999999999" customHeight="1" x14ac:dyDescent="0.3">
      <c r="A1323" s="5">
        <v>46174</v>
      </c>
      <c r="B1323" s="6" t="s">
        <v>20</v>
      </c>
      <c r="C1323" s="6" t="s">
        <v>28</v>
      </c>
      <c r="D1323" s="5">
        <v>46113</v>
      </c>
      <c r="E1323" s="6" t="s">
        <v>15</v>
      </c>
      <c r="F1323" s="7">
        <v>1661</v>
      </c>
      <c r="G1323" s="7">
        <v>124399.76158940401</v>
      </c>
      <c r="H1323" s="7">
        <v>206628004</v>
      </c>
      <c r="I1323" s="7">
        <v>53495827</v>
      </c>
      <c r="J1323" s="7">
        <v>0</v>
      </c>
      <c r="K1323">
        <f t="shared" si="20"/>
        <v>61</v>
      </c>
      <c r="L1323" s="8" t="str" cm="1">
        <f t="array" ref="L1323">_xlfn.IFS(
 AND(K1323&gt;=89,K1323&lt;=92),"3개월",
 AND(K1323&gt;=58,K1323&lt;=62),"2개월",
 AND(K1323&gt;=28,K1323&lt;=32),"1개월",
 AND(K1323=0),"당월",
 TRUE,"그외"
)</f>
        <v>2개월</v>
      </c>
    </row>
    <row r="1324" spans="1:12" ht="17.649999999999999" customHeight="1" x14ac:dyDescent="0.3">
      <c r="A1324" s="5">
        <v>46174</v>
      </c>
      <c r="B1324" s="6" t="s">
        <v>20</v>
      </c>
      <c r="C1324" s="6" t="s">
        <v>28</v>
      </c>
      <c r="D1324" s="5">
        <v>46143</v>
      </c>
      <c r="E1324" s="6" t="s">
        <v>15</v>
      </c>
      <c r="F1324" s="7">
        <v>371</v>
      </c>
      <c r="G1324" s="7">
        <v>137239.32884097041</v>
      </c>
      <c r="H1324" s="7">
        <v>50915791</v>
      </c>
      <c r="I1324" s="7">
        <v>20911288</v>
      </c>
      <c r="J1324" s="7">
        <v>0</v>
      </c>
      <c r="K1324">
        <f t="shared" si="20"/>
        <v>31</v>
      </c>
      <c r="L1324" s="8" t="str" cm="1">
        <f t="array" ref="L1324">_xlfn.IFS(
 AND(K1324&gt;=89,K1324&lt;=92),"3개월",
 AND(K1324&gt;=58,K1324&lt;=62),"2개월",
 AND(K1324&gt;=28,K1324&lt;=32),"1개월",
 AND(K1324=0),"당월",
 TRUE,"그외"
)</f>
        <v>1개월</v>
      </c>
    </row>
    <row r="1325" spans="1:12" ht="17.649999999999999" customHeight="1" x14ac:dyDescent="0.3">
      <c r="A1325" s="5">
        <v>46174</v>
      </c>
      <c r="B1325" s="6" t="s">
        <v>20</v>
      </c>
      <c r="C1325" s="6" t="s">
        <v>29</v>
      </c>
      <c r="D1325" s="5">
        <v>45931</v>
      </c>
      <c r="E1325" s="6" t="s">
        <v>15</v>
      </c>
      <c r="F1325" s="7">
        <v>16</v>
      </c>
      <c r="G1325" s="7">
        <v>110354.625</v>
      </c>
      <c r="H1325" s="7">
        <v>1765674</v>
      </c>
      <c r="I1325" s="7">
        <v>271960</v>
      </c>
      <c r="J1325" s="7">
        <v>0</v>
      </c>
      <c r="K1325">
        <f t="shared" si="20"/>
        <v>243</v>
      </c>
      <c r="L1325" s="8" t="str" cm="1">
        <f t="array" ref="L1325">_xlfn.IFS(
 AND(K1325&gt;=89,K1325&lt;=92),"3개월",
 AND(K1325&gt;=58,K1325&lt;=62),"2개월",
 AND(K1325&gt;=28,K1325&lt;=32),"1개월",
 AND(K1325=0),"당월",
 TRUE,"그외"
)</f>
        <v>그외</v>
      </c>
    </row>
    <row r="1326" spans="1:12" ht="17.649999999999999" customHeight="1" x14ac:dyDescent="0.3">
      <c r="A1326" s="5">
        <v>46174</v>
      </c>
      <c r="B1326" s="6" t="s">
        <v>20</v>
      </c>
      <c r="C1326" s="6" t="s">
        <v>29</v>
      </c>
      <c r="D1326" s="5">
        <v>45962</v>
      </c>
      <c r="E1326" s="6" t="s">
        <v>15</v>
      </c>
      <c r="F1326" s="7">
        <v>23</v>
      </c>
      <c r="G1326" s="7">
        <v>88313.043478260865</v>
      </c>
      <c r="H1326" s="7">
        <v>2031200</v>
      </c>
      <c r="I1326" s="7">
        <v>379040</v>
      </c>
      <c r="J1326" s="7">
        <v>0</v>
      </c>
      <c r="K1326">
        <f t="shared" si="20"/>
        <v>212</v>
      </c>
      <c r="L1326" s="8" t="str" cm="1">
        <f t="array" ref="L1326">_xlfn.IFS(
 AND(K1326&gt;=89,K1326&lt;=92),"3개월",
 AND(K1326&gt;=58,K1326&lt;=62),"2개월",
 AND(K1326&gt;=28,K1326&lt;=32),"1개월",
 AND(K1326=0),"당월",
 TRUE,"그외"
)</f>
        <v>그외</v>
      </c>
    </row>
    <row r="1327" spans="1:12" ht="17.649999999999999" customHeight="1" x14ac:dyDescent="0.3">
      <c r="A1327" s="5">
        <v>46174</v>
      </c>
      <c r="B1327" s="6" t="s">
        <v>20</v>
      </c>
      <c r="C1327" s="6" t="s">
        <v>29</v>
      </c>
      <c r="D1327" s="5">
        <v>45992</v>
      </c>
      <c r="E1327" s="6" t="s">
        <v>15</v>
      </c>
      <c r="F1327" s="7">
        <v>57</v>
      </c>
      <c r="G1327" s="7">
        <v>181726.98245614031</v>
      </c>
      <c r="H1327" s="7">
        <v>10358438</v>
      </c>
      <c r="I1327" s="7">
        <v>815764</v>
      </c>
      <c r="J1327" s="7">
        <v>0</v>
      </c>
      <c r="K1327">
        <f t="shared" si="20"/>
        <v>182</v>
      </c>
      <c r="L1327" s="8" t="str" cm="1">
        <f t="array" ref="L1327">_xlfn.IFS(
 AND(K1327&gt;=89,K1327&lt;=92),"3개월",
 AND(K1327&gt;=58,K1327&lt;=62),"2개월",
 AND(K1327&gt;=28,K1327&lt;=32),"1개월",
 AND(K1327=0),"당월",
 TRUE,"그외"
)</f>
        <v>그외</v>
      </c>
    </row>
    <row r="1328" spans="1:12" ht="17.649999999999999" customHeight="1" x14ac:dyDescent="0.3">
      <c r="A1328" s="5">
        <v>46174</v>
      </c>
      <c r="B1328" s="6" t="s">
        <v>20</v>
      </c>
      <c r="C1328" s="6" t="s">
        <v>29</v>
      </c>
      <c r="D1328" s="5">
        <v>46023</v>
      </c>
      <c r="E1328" s="6" t="s">
        <v>15</v>
      </c>
      <c r="F1328" s="7">
        <v>222</v>
      </c>
      <c r="G1328" s="7">
        <v>105157.7297297297</v>
      </c>
      <c r="H1328" s="7">
        <v>23345016</v>
      </c>
      <c r="I1328" s="7">
        <v>3645688</v>
      </c>
      <c r="J1328" s="7">
        <v>0</v>
      </c>
      <c r="K1328">
        <f t="shared" si="20"/>
        <v>151</v>
      </c>
      <c r="L1328" s="8" t="str" cm="1">
        <f t="array" ref="L1328">_xlfn.IFS(
 AND(K1328&gt;=89,K1328&lt;=92),"3개월",
 AND(K1328&gt;=58,K1328&lt;=62),"2개월",
 AND(K1328&gt;=28,K1328&lt;=32),"1개월",
 AND(K1328=0),"당월",
 TRUE,"그외"
)</f>
        <v>그외</v>
      </c>
    </row>
    <row r="1329" spans="1:12" ht="17.649999999999999" customHeight="1" x14ac:dyDescent="0.3">
      <c r="A1329" s="5">
        <v>46174</v>
      </c>
      <c r="B1329" s="6" t="s">
        <v>20</v>
      </c>
      <c r="C1329" s="6" t="s">
        <v>29</v>
      </c>
      <c r="D1329" s="5">
        <v>46054</v>
      </c>
      <c r="E1329" s="6" t="s">
        <v>15</v>
      </c>
      <c r="F1329" s="7">
        <v>1478</v>
      </c>
      <c r="G1329" s="7">
        <v>116698.8470906631</v>
      </c>
      <c r="H1329" s="7">
        <v>172480896</v>
      </c>
      <c r="I1329" s="7">
        <v>14749352</v>
      </c>
      <c r="J1329" s="7">
        <v>0</v>
      </c>
      <c r="K1329">
        <f t="shared" si="20"/>
        <v>120</v>
      </c>
      <c r="L1329" s="8" t="str" cm="1">
        <f t="array" ref="L1329">_xlfn.IFS(
 AND(K1329&gt;=89,K1329&lt;=92),"3개월",
 AND(K1329&gt;=58,K1329&lt;=62),"2개월",
 AND(K1329&gt;=28,K1329&lt;=32),"1개월",
 AND(K1329=0),"당월",
 TRUE,"그외"
)</f>
        <v>그외</v>
      </c>
    </row>
    <row r="1330" spans="1:12" ht="17.649999999999999" customHeight="1" x14ac:dyDescent="0.3">
      <c r="A1330" s="5">
        <v>46174</v>
      </c>
      <c r="B1330" s="6" t="s">
        <v>20</v>
      </c>
      <c r="C1330" s="6" t="s">
        <v>29</v>
      </c>
      <c r="D1330" s="5">
        <v>46082</v>
      </c>
      <c r="E1330" s="6" t="s">
        <v>14</v>
      </c>
      <c r="F1330" s="7">
        <v>520</v>
      </c>
      <c r="G1330" s="7">
        <v>163619.57692307691</v>
      </c>
      <c r="H1330" s="7">
        <v>85082180</v>
      </c>
      <c r="I1330" s="7">
        <v>5380460</v>
      </c>
      <c r="J1330" s="7">
        <v>0</v>
      </c>
      <c r="K1330">
        <f t="shared" si="20"/>
        <v>92</v>
      </c>
      <c r="L1330" s="8" t="str" cm="1">
        <f t="array" ref="L1330">_xlfn.IFS(
 AND(K1330&gt;=89,K1330&lt;=92),"3개월",
 AND(K1330&gt;=58,K1330&lt;=62),"2개월",
 AND(K1330&gt;=28,K1330&lt;=32),"1개월",
 AND(K1330=0),"당월",
 TRUE,"그외"
)</f>
        <v>3개월</v>
      </c>
    </row>
    <row r="1331" spans="1:12" ht="17.649999999999999" customHeight="1" x14ac:dyDescent="0.3">
      <c r="A1331" s="5">
        <v>46174</v>
      </c>
      <c r="B1331" s="6" t="s">
        <v>20</v>
      </c>
      <c r="C1331" s="6" t="s">
        <v>29</v>
      </c>
      <c r="D1331" s="5">
        <v>46082</v>
      </c>
      <c r="E1331" s="6" t="s">
        <v>15</v>
      </c>
      <c r="F1331" s="7">
        <v>2892</v>
      </c>
      <c r="G1331" s="7">
        <v>136974.33506224069</v>
      </c>
      <c r="H1331" s="7">
        <v>396129777</v>
      </c>
      <c r="I1331" s="7">
        <v>34645010</v>
      </c>
      <c r="J1331" s="7">
        <v>0</v>
      </c>
      <c r="K1331">
        <f t="shared" si="20"/>
        <v>92</v>
      </c>
      <c r="L1331" s="8" t="str" cm="1">
        <f t="array" ref="L1331">_xlfn.IFS(
 AND(K1331&gt;=89,K1331&lt;=92),"3개월",
 AND(K1331&gt;=58,K1331&lt;=62),"2개월",
 AND(K1331&gt;=28,K1331&lt;=32),"1개월",
 AND(K1331=0),"당월",
 TRUE,"그외"
)</f>
        <v>3개월</v>
      </c>
    </row>
    <row r="1332" spans="1:12" ht="17.649999999999999" customHeight="1" x14ac:dyDescent="0.3">
      <c r="A1332" s="5">
        <v>46174</v>
      </c>
      <c r="B1332" s="6" t="s">
        <v>20</v>
      </c>
      <c r="C1332" s="6" t="s">
        <v>29</v>
      </c>
      <c r="D1332" s="5">
        <v>46113</v>
      </c>
      <c r="E1332" s="6" t="s">
        <v>14</v>
      </c>
      <c r="F1332" s="7">
        <v>587</v>
      </c>
      <c r="G1332" s="7">
        <v>168231.00511073251</v>
      </c>
      <c r="H1332" s="7">
        <v>98751600</v>
      </c>
      <c r="I1332" s="7">
        <v>17956600</v>
      </c>
      <c r="J1332" s="7">
        <v>0</v>
      </c>
      <c r="K1332">
        <f t="shared" si="20"/>
        <v>61</v>
      </c>
      <c r="L1332" s="8" t="str" cm="1">
        <f t="array" ref="L1332">_xlfn.IFS(
 AND(K1332&gt;=89,K1332&lt;=92),"3개월",
 AND(K1332&gt;=58,K1332&lt;=62),"2개월",
 AND(K1332&gt;=28,K1332&lt;=32),"1개월",
 AND(K1332=0),"당월",
 TRUE,"그외"
)</f>
        <v>2개월</v>
      </c>
    </row>
    <row r="1333" spans="1:12" ht="17.649999999999999" customHeight="1" x14ac:dyDescent="0.3">
      <c r="A1333" s="5">
        <v>46174</v>
      </c>
      <c r="B1333" s="6" t="s">
        <v>20</v>
      </c>
      <c r="C1333" s="6" t="s">
        <v>29</v>
      </c>
      <c r="D1333" s="5">
        <v>46113</v>
      </c>
      <c r="E1333" s="6" t="s">
        <v>15</v>
      </c>
      <c r="F1333" s="7">
        <v>2663</v>
      </c>
      <c r="G1333" s="7">
        <v>136658.7472775066</v>
      </c>
      <c r="H1333" s="7">
        <v>363922244</v>
      </c>
      <c r="I1333" s="7">
        <v>85995862</v>
      </c>
      <c r="J1333" s="7">
        <v>0</v>
      </c>
      <c r="K1333">
        <f t="shared" si="20"/>
        <v>61</v>
      </c>
      <c r="L1333" s="8" t="str" cm="1">
        <f t="array" ref="L1333">_xlfn.IFS(
 AND(K1333&gt;=89,K1333&lt;=92),"3개월",
 AND(K1333&gt;=58,K1333&lt;=62),"2개월",
 AND(K1333&gt;=28,K1333&lt;=32),"1개월",
 AND(K1333=0),"당월",
 TRUE,"그외"
)</f>
        <v>2개월</v>
      </c>
    </row>
    <row r="1334" spans="1:12" ht="17.649999999999999" customHeight="1" x14ac:dyDescent="0.3">
      <c r="A1334" s="5">
        <v>46174</v>
      </c>
      <c r="B1334" s="6" t="s">
        <v>20</v>
      </c>
      <c r="C1334" s="6" t="s">
        <v>29</v>
      </c>
      <c r="D1334" s="5">
        <v>46143</v>
      </c>
      <c r="E1334" s="6" t="s">
        <v>14</v>
      </c>
      <c r="F1334" s="7">
        <v>18</v>
      </c>
      <c r="G1334" s="7">
        <v>129488.88888888891</v>
      </c>
      <c r="H1334" s="7">
        <v>2330800</v>
      </c>
      <c r="I1334" s="7">
        <v>776800</v>
      </c>
      <c r="J1334" s="7">
        <v>0</v>
      </c>
      <c r="K1334">
        <f t="shared" si="20"/>
        <v>31</v>
      </c>
      <c r="L1334" s="8" t="str" cm="1">
        <f t="array" ref="L1334">_xlfn.IFS(
 AND(K1334&gt;=89,K1334&lt;=92),"3개월",
 AND(K1334&gt;=58,K1334&lt;=62),"2개월",
 AND(K1334&gt;=28,K1334&lt;=32),"1개월",
 AND(K1334=0),"당월",
 TRUE,"그외"
)</f>
        <v>1개월</v>
      </c>
    </row>
    <row r="1335" spans="1:12" ht="17.649999999999999" customHeight="1" x14ac:dyDescent="0.3">
      <c r="A1335" s="5">
        <v>46174</v>
      </c>
      <c r="B1335" s="6" t="s">
        <v>20</v>
      </c>
      <c r="C1335" s="6" t="s">
        <v>29</v>
      </c>
      <c r="D1335" s="5">
        <v>46143</v>
      </c>
      <c r="E1335" s="6" t="s">
        <v>15</v>
      </c>
      <c r="F1335" s="7">
        <v>861</v>
      </c>
      <c r="G1335" s="7">
        <v>140746.18931475031</v>
      </c>
      <c r="H1335" s="7">
        <v>121182469</v>
      </c>
      <c r="I1335" s="7">
        <v>49320714</v>
      </c>
      <c r="J1335" s="7">
        <v>0</v>
      </c>
      <c r="K1335">
        <f t="shared" si="20"/>
        <v>31</v>
      </c>
      <c r="L1335" s="8" t="str" cm="1">
        <f t="array" ref="L1335">_xlfn.IFS(
 AND(K1335&gt;=89,K1335&lt;=92),"3개월",
 AND(K1335&gt;=58,K1335&lt;=62),"2개월",
 AND(K1335&gt;=28,K1335&lt;=32),"1개월",
 AND(K1335=0),"당월",
 TRUE,"그외"
)</f>
        <v>1개월</v>
      </c>
    </row>
    <row r="1336" spans="1:12" ht="17.649999999999999" customHeight="1" x14ac:dyDescent="0.3">
      <c r="A1336" s="5">
        <v>46174</v>
      </c>
      <c r="B1336" s="6" t="s">
        <v>20</v>
      </c>
      <c r="C1336" s="6" t="s">
        <v>30</v>
      </c>
      <c r="D1336" s="5">
        <v>45931</v>
      </c>
      <c r="E1336" s="6" t="s">
        <v>15</v>
      </c>
      <c r="F1336" s="7">
        <v>43</v>
      </c>
      <c r="G1336" s="7">
        <v>121793.1162790698</v>
      </c>
      <c r="H1336" s="7">
        <v>5237104</v>
      </c>
      <c r="I1336" s="7">
        <v>533682</v>
      </c>
      <c r="J1336" s="7">
        <v>0</v>
      </c>
      <c r="K1336">
        <f t="shared" si="20"/>
        <v>243</v>
      </c>
      <c r="L1336" s="8" t="str" cm="1">
        <f t="array" ref="L1336">_xlfn.IFS(
 AND(K1336&gt;=89,K1336&lt;=92),"3개월",
 AND(K1336&gt;=58,K1336&lt;=62),"2개월",
 AND(K1336&gt;=28,K1336&lt;=32),"1개월",
 AND(K1336=0),"당월",
 TRUE,"그외"
)</f>
        <v>그외</v>
      </c>
    </row>
    <row r="1337" spans="1:12" ht="17.649999999999999" customHeight="1" x14ac:dyDescent="0.3">
      <c r="A1337" s="5">
        <v>46174</v>
      </c>
      <c r="B1337" s="6" t="s">
        <v>20</v>
      </c>
      <c r="C1337" s="6" t="s">
        <v>30</v>
      </c>
      <c r="D1337" s="5">
        <v>45962</v>
      </c>
      <c r="E1337" s="6" t="s">
        <v>15</v>
      </c>
      <c r="F1337" s="7">
        <v>113</v>
      </c>
      <c r="G1337" s="7">
        <v>102407.35398230091</v>
      </c>
      <c r="H1337" s="7">
        <v>11572031</v>
      </c>
      <c r="I1337" s="7">
        <v>1668422</v>
      </c>
      <c r="J1337" s="7">
        <v>0</v>
      </c>
      <c r="K1337">
        <f t="shared" si="20"/>
        <v>212</v>
      </c>
      <c r="L1337" s="8" t="str" cm="1">
        <f t="array" ref="L1337">_xlfn.IFS(
 AND(K1337&gt;=89,K1337&lt;=92),"3개월",
 AND(K1337&gt;=58,K1337&lt;=62),"2개월",
 AND(K1337&gt;=28,K1337&lt;=32),"1개월",
 AND(K1337=0),"당월",
 TRUE,"그외"
)</f>
        <v>그외</v>
      </c>
    </row>
    <row r="1338" spans="1:12" ht="17.649999999999999" customHeight="1" x14ac:dyDescent="0.3">
      <c r="A1338" s="5">
        <v>46174</v>
      </c>
      <c r="B1338" s="6" t="s">
        <v>20</v>
      </c>
      <c r="C1338" s="6" t="s">
        <v>30</v>
      </c>
      <c r="D1338" s="5">
        <v>45992</v>
      </c>
      <c r="E1338" s="6" t="s">
        <v>15</v>
      </c>
      <c r="F1338" s="7">
        <v>255</v>
      </c>
      <c r="G1338" s="7">
        <v>95075.917647058828</v>
      </c>
      <c r="H1338" s="7">
        <v>24244359</v>
      </c>
      <c r="I1338" s="7">
        <v>3885838</v>
      </c>
      <c r="J1338" s="7">
        <v>0</v>
      </c>
      <c r="K1338">
        <f t="shared" si="20"/>
        <v>182</v>
      </c>
      <c r="L1338" s="8" t="str" cm="1">
        <f t="array" ref="L1338">_xlfn.IFS(
 AND(K1338&gt;=89,K1338&lt;=92),"3개월",
 AND(K1338&gt;=58,K1338&lt;=62),"2개월",
 AND(K1338&gt;=28,K1338&lt;=32),"1개월",
 AND(K1338=0),"당월",
 TRUE,"그외"
)</f>
        <v>그외</v>
      </c>
    </row>
    <row r="1339" spans="1:12" ht="17.649999999999999" customHeight="1" x14ac:dyDescent="0.3">
      <c r="A1339" s="5">
        <v>46174</v>
      </c>
      <c r="B1339" s="6" t="s">
        <v>20</v>
      </c>
      <c r="C1339" s="6" t="s">
        <v>30</v>
      </c>
      <c r="D1339" s="5">
        <v>46023</v>
      </c>
      <c r="E1339" s="6" t="s">
        <v>14</v>
      </c>
      <c r="F1339" s="7">
        <v>2</v>
      </c>
      <c r="G1339" s="7">
        <v>111433</v>
      </c>
      <c r="H1339" s="7">
        <v>222866</v>
      </c>
      <c r="I1339" s="7">
        <v>57102</v>
      </c>
      <c r="J1339" s="7">
        <v>0</v>
      </c>
      <c r="K1339">
        <f t="shared" si="20"/>
        <v>151</v>
      </c>
      <c r="L1339" s="8" t="str" cm="1">
        <f t="array" ref="L1339">_xlfn.IFS(
 AND(K1339&gt;=89,K1339&lt;=92),"3개월",
 AND(K1339&gt;=58,K1339&lt;=62),"2개월",
 AND(K1339&gt;=28,K1339&lt;=32),"1개월",
 AND(K1339=0),"당월",
 TRUE,"그외"
)</f>
        <v>그외</v>
      </c>
    </row>
    <row r="1340" spans="1:12" ht="17.649999999999999" customHeight="1" x14ac:dyDescent="0.3">
      <c r="A1340" s="5">
        <v>46174</v>
      </c>
      <c r="B1340" s="6" t="s">
        <v>20</v>
      </c>
      <c r="C1340" s="6" t="s">
        <v>30</v>
      </c>
      <c r="D1340" s="5">
        <v>46023</v>
      </c>
      <c r="E1340" s="6" t="s">
        <v>15</v>
      </c>
      <c r="F1340" s="7">
        <v>1376</v>
      </c>
      <c r="G1340" s="7">
        <v>117764.507994186</v>
      </c>
      <c r="H1340" s="7">
        <v>162043963</v>
      </c>
      <c r="I1340" s="7">
        <v>23852874</v>
      </c>
      <c r="J1340" s="7">
        <v>0</v>
      </c>
      <c r="K1340">
        <f t="shared" si="20"/>
        <v>151</v>
      </c>
      <c r="L1340" s="8" t="str" cm="1">
        <f t="array" ref="L1340">_xlfn.IFS(
 AND(K1340&gt;=89,K1340&lt;=92),"3개월",
 AND(K1340&gt;=58,K1340&lt;=62),"2개월",
 AND(K1340&gt;=28,K1340&lt;=32),"1개월",
 AND(K1340=0),"당월",
 TRUE,"그외"
)</f>
        <v>그외</v>
      </c>
    </row>
    <row r="1341" spans="1:12" ht="17.649999999999999" customHeight="1" x14ac:dyDescent="0.3">
      <c r="A1341" s="5">
        <v>46174</v>
      </c>
      <c r="B1341" s="6" t="s">
        <v>20</v>
      </c>
      <c r="C1341" s="6" t="s">
        <v>30</v>
      </c>
      <c r="D1341" s="5">
        <v>46054</v>
      </c>
      <c r="E1341" s="6" t="s">
        <v>15</v>
      </c>
      <c r="F1341" s="7">
        <v>1276</v>
      </c>
      <c r="G1341" s="7">
        <v>124960.6559561129</v>
      </c>
      <c r="H1341" s="7">
        <v>159449797</v>
      </c>
      <c r="I1341" s="7">
        <v>12046590</v>
      </c>
      <c r="J1341" s="7">
        <v>0</v>
      </c>
      <c r="K1341">
        <f t="shared" si="20"/>
        <v>120</v>
      </c>
      <c r="L1341" s="8" t="str" cm="1">
        <f t="array" ref="L1341">_xlfn.IFS(
 AND(K1341&gt;=89,K1341&lt;=92),"3개월",
 AND(K1341&gt;=58,K1341&lt;=62),"2개월",
 AND(K1341&gt;=28,K1341&lt;=32),"1개월",
 AND(K1341=0),"당월",
 TRUE,"그외"
)</f>
        <v>그외</v>
      </c>
    </row>
    <row r="1342" spans="1:12" ht="17.649999999999999" customHeight="1" x14ac:dyDescent="0.3">
      <c r="A1342" s="5">
        <v>46174</v>
      </c>
      <c r="B1342" s="6" t="s">
        <v>20</v>
      </c>
      <c r="C1342" s="6" t="s">
        <v>30</v>
      </c>
      <c r="D1342" s="5">
        <v>46082</v>
      </c>
      <c r="E1342" s="6" t="s">
        <v>14</v>
      </c>
      <c r="F1342" s="7">
        <v>432</v>
      </c>
      <c r="G1342" s="7">
        <v>133646.58564814809</v>
      </c>
      <c r="H1342" s="7">
        <v>57735325</v>
      </c>
      <c r="I1342" s="7">
        <v>4815340</v>
      </c>
      <c r="J1342" s="7">
        <v>0</v>
      </c>
      <c r="K1342">
        <f t="shared" si="20"/>
        <v>92</v>
      </c>
      <c r="L1342" s="8" t="str" cm="1">
        <f t="array" ref="L1342">_xlfn.IFS(
 AND(K1342&gt;=89,K1342&lt;=92),"3개월",
 AND(K1342&gt;=58,K1342&lt;=62),"2개월",
 AND(K1342&gt;=28,K1342&lt;=32),"1개월",
 AND(K1342=0),"당월",
 TRUE,"그외"
)</f>
        <v>3개월</v>
      </c>
    </row>
    <row r="1343" spans="1:12" ht="17.649999999999999" customHeight="1" x14ac:dyDescent="0.3">
      <c r="A1343" s="5">
        <v>46174</v>
      </c>
      <c r="B1343" s="6" t="s">
        <v>20</v>
      </c>
      <c r="C1343" s="6" t="s">
        <v>30</v>
      </c>
      <c r="D1343" s="5">
        <v>46082</v>
      </c>
      <c r="E1343" s="6" t="s">
        <v>15</v>
      </c>
      <c r="F1343" s="7">
        <v>1476</v>
      </c>
      <c r="G1343" s="7">
        <v>130665.5135501355</v>
      </c>
      <c r="H1343" s="7">
        <v>192862298</v>
      </c>
      <c r="I1343" s="7">
        <v>20485628</v>
      </c>
      <c r="J1343" s="7">
        <v>0</v>
      </c>
      <c r="K1343">
        <f t="shared" si="20"/>
        <v>92</v>
      </c>
      <c r="L1343" s="8" t="str" cm="1">
        <f t="array" ref="L1343">_xlfn.IFS(
 AND(K1343&gt;=89,K1343&lt;=92),"3개월",
 AND(K1343&gt;=58,K1343&lt;=62),"2개월",
 AND(K1343&gt;=28,K1343&lt;=32),"1개월",
 AND(K1343=0),"당월",
 TRUE,"그외"
)</f>
        <v>3개월</v>
      </c>
    </row>
    <row r="1344" spans="1:12" ht="17.649999999999999" customHeight="1" x14ac:dyDescent="0.3">
      <c r="A1344" s="5">
        <v>46174</v>
      </c>
      <c r="B1344" s="6" t="s">
        <v>20</v>
      </c>
      <c r="C1344" s="6" t="s">
        <v>30</v>
      </c>
      <c r="D1344" s="5">
        <v>46113</v>
      </c>
      <c r="E1344" s="6" t="s">
        <v>14</v>
      </c>
      <c r="F1344" s="7">
        <v>263</v>
      </c>
      <c r="G1344" s="7">
        <v>120342.1939163498</v>
      </c>
      <c r="H1344" s="7">
        <v>31649997</v>
      </c>
      <c r="I1344" s="7">
        <v>8145168</v>
      </c>
      <c r="J1344" s="7">
        <v>0</v>
      </c>
      <c r="K1344">
        <f t="shared" si="20"/>
        <v>61</v>
      </c>
      <c r="L1344" s="8" t="str" cm="1">
        <f t="array" ref="L1344">_xlfn.IFS(
 AND(K1344&gt;=89,K1344&lt;=92),"3개월",
 AND(K1344&gt;=58,K1344&lt;=62),"2개월",
 AND(K1344&gt;=28,K1344&lt;=32),"1개월",
 AND(K1344=0),"당월",
 TRUE,"그외"
)</f>
        <v>2개월</v>
      </c>
    </row>
    <row r="1345" spans="1:12" ht="17.649999999999999" customHeight="1" x14ac:dyDescent="0.3">
      <c r="A1345" s="5">
        <v>46174</v>
      </c>
      <c r="B1345" s="6" t="s">
        <v>20</v>
      </c>
      <c r="C1345" s="6" t="s">
        <v>30</v>
      </c>
      <c r="D1345" s="5">
        <v>46113</v>
      </c>
      <c r="E1345" s="6" t="s">
        <v>15</v>
      </c>
      <c r="F1345" s="7">
        <v>2888</v>
      </c>
      <c r="G1345" s="7">
        <v>123954.6980609418</v>
      </c>
      <c r="H1345" s="7">
        <v>357981168</v>
      </c>
      <c r="I1345" s="7">
        <v>96673455</v>
      </c>
      <c r="J1345" s="7">
        <v>0</v>
      </c>
      <c r="K1345">
        <f t="shared" si="20"/>
        <v>61</v>
      </c>
      <c r="L1345" s="8" t="str" cm="1">
        <f t="array" ref="L1345">_xlfn.IFS(
 AND(K1345&gt;=89,K1345&lt;=92),"3개월",
 AND(K1345&gt;=58,K1345&lt;=62),"2개월",
 AND(K1345&gt;=28,K1345&lt;=32),"1개월",
 AND(K1345=0),"당월",
 TRUE,"그외"
)</f>
        <v>2개월</v>
      </c>
    </row>
    <row r="1346" spans="1:12" ht="17.649999999999999" customHeight="1" x14ac:dyDescent="0.3">
      <c r="A1346" s="5">
        <v>46174</v>
      </c>
      <c r="B1346" s="6" t="s">
        <v>20</v>
      </c>
      <c r="C1346" s="6" t="s">
        <v>30</v>
      </c>
      <c r="D1346" s="5">
        <v>46143</v>
      </c>
      <c r="E1346" s="6" t="s">
        <v>14</v>
      </c>
      <c r="F1346" s="7">
        <v>2</v>
      </c>
      <c r="G1346" s="7">
        <v>138600</v>
      </c>
      <c r="H1346" s="7">
        <v>277200</v>
      </c>
      <c r="I1346" s="7">
        <v>117200</v>
      </c>
      <c r="J1346" s="7">
        <v>0</v>
      </c>
      <c r="K1346">
        <f t="shared" si="20"/>
        <v>31</v>
      </c>
      <c r="L1346" s="8" t="str" cm="1">
        <f t="array" ref="L1346">_xlfn.IFS(
 AND(K1346&gt;=89,K1346&lt;=92),"3개월",
 AND(K1346&gt;=58,K1346&lt;=62),"2개월",
 AND(K1346&gt;=28,K1346&lt;=32),"1개월",
 AND(K1346=0),"당월",
 TRUE,"그외"
)</f>
        <v>1개월</v>
      </c>
    </row>
    <row r="1347" spans="1:12" ht="17.649999999999999" customHeight="1" x14ac:dyDescent="0.3">
      <c r="A1347" s="5">
        <v>46174</v>
      </c>
      <c r="B1347" s="6" t="s">
        <v>20</v>
      </c>
      <c r="C1347" s="6" t="s">
        <v>30</v>
      </c>
      <c r="D1347" s="5">
        <v>46143</v>
      </c>
      <c r="E1347" s="6" t="s">
        <v>15</v>
      </c>
      <c r="F1347" s="7">
        <v>795</v>
      </c>
      <c r="G1347" s="7">
        <v>115933.15345911949</v>
      </c>
      <c r="H1347" s="7">
        <v>92166857</v>
      </c>
      <c r="I1347" s="7">
        <v>41047806</v>
      </c>
      <c r="J1347" s="7">
        <v>0</v>
      </c>
      <c r="K1347">
        <f t="shared" si="20"/>
        <v>31</v>
      </c>
      <c r="L1347" s="8" t="str" cm="1">
        <f t="array" ref="L1347">_xlfn.IFS(
 AND(K1347&gt;=89,K1347&lt;=92),"3개월",
 AND(K1347&gt;=58,K1347&lt;=62),"2개월",
 AND(K1347&gt;=28,K1347&lt;=32),"1개월",
 AND(K1347=0),"당월",
 TRUE,"그외"
)</f>
        <v>1개월</v>
      </c>
    </row>
    <row r="1348" spans="1:12" ht="17.649999999999999" customHeight="1" x14ac:dyDescent="0.3">
      <c r="A1348" s="5">
        <v>46174</v>
      </c>
      <c r="B1348" s="6" t="s">
        <v>20</v>
      </c>
      <c r="C1348" s="6" t="s">
        <v>31</v>
      </c>
      <c r="D1348" s="5">
        <v>45931</v>
      </c>
      <c r="E1348" s="6" t="s">
        <v>15</v>
      </c>
      <c r="F1348" s="7">
        <v>16</v>
      </c>
      <c r="G1348" s="7">
        <v>151905.3125</v>
      </c>
      <c r="H1348" s="7">
        <v>2430485</v>
      </c>
      <c r="I1348" s="7">
        <v>387564</v>
      </c>
      <c r="J1348" s="7">
        <v>0</v>
      </c>
      <c r="K1348">
        <f t="shared" si="20"/>
        <v>243</v>
      </c>
      <c r="L1348" s="8" t="str" cm="1">
        <f t="array" ref="L1348">_xlfn.IFS(
 AND(K1348&gt;=89,K1348&lt;=92),"3개월",
 AND(K1348&gt;=58,K1348&lt;=62),"2개월",
 AND(K1348&gt;=28,K1348&lt;=32),"1개월",
 AND(K1348=0),"당월",
 TRUE,"그외"
)</f>
        <v>그외</v>
      </c>
    </row>
    <row r="1349" spans="1:12" ht="17.649999999999999" customHeight="1" x14ac:dyDescent="0.3">
      <c r="A1349" s="5">
        <v>46174</v>
      </c>
      <c r="B1349" s="6" t="s">
        <v>20</v>
      </c>
      <c r="C1349" s="6" t="s">
        <v>31</v>
      </c>
      <c r="D1349" s="5">
        <v>45962</v>
      </c>
      <c r="E1349" s="6" t="s">
        <v>15</v>
      </c>
      <c r="F1349" s="7">
        <v>62</v>
      </c>
      <c r="G1349" s="7">
        <v>126404.6129032258</v>
      </c>
      <c r="H1349" s="7">
        <v>7837086</v>
      </c>
      <c r="I1349" s="7">
        <v>1092322</v>
      </c>
      <c r="J1349" s="7">
        <v>0</v>
      </c>
      <c r="K1349">
        <f t="shared" si="20"/>
        <v>212</v>
      </c>
      <c r="L1349" s="8" t="str" cm="1">
        <f t="array" ref="L1349">_xlfn.IFS(
 AND(K1349&gt;=89,K1349&lt;=92),"3개월",
 AND(K1349&gt;=58,K1349&lt;=62),"2개월",
 AND(K1349&gt;=28,K1349&lt;=32),"1개월",
 AND(K1349=0),"당월",
 TRUE,"그외"
)</f>
        <v>그외</v>
      </c>
    </row>
    <row r="1350" spans="1:12" ht="17.649999999999999" customHeight="1" x14ac:dyDescent="0.3">
      <c r="A1350" s="5">
        <v>46174</v>
      </c>
      <c r="B1350" s="6" t="s">
        <v>20</v>
      </c>
      <c r="C1350" s="6" t="s">
        <v>31</v>
      </c>
      <c r="D1350" s="5">
        <v>45992</v>
      </c>
      <c r="E1350" s="6" t="s">
        <v>14</v>
      </c>
      <c r="F1350" s="7">
        <v>10</v>
      </c>
      <c r="G1350" s="7">
        <v>121718.39999999999</v>
      </c>
      <c r="H1350" s="7">
        <v>1217184</v>
      </c>
      <c r="I1350" s="7">
        <v>292574</v>
      </c>
      <c r="J1350" s="7">
        <v>0</v>
      </c>
      <c r="K1350">
        <f t="shared" si="20"/>
        <v>182</v>
      </c>
      <c r="L1350" s="8" t="str" cm="1">
        <f t="array" ref="L1350">_xlfn.IFS(
 AND(K1350&gt;=89,K1350&lt;=92),"3개월",
 AND(K1350&gt;=58,K1350&lt;=62),"2개월",
 AND(K1350&gt;=28,K1350&lt;=32),"1개월",
 AND(K1350=0),"당월",
 TRUE,"그외"
)</f>
        <v>그외</v>
      </c>
    </row>
    <row r="1351" spans="1:12" ht="17.649999999999999" customHeight="1" x14ac:dyDescent="0.3">
      <c r="A1351" s="5">
        <v>46174</v>
      </c>
      <c r="B1351" s="6" t="s">
        <v>20</v>
      </c>
      <c r="C1351" s="6" t="s">
        <v>31</v>
      </c>
      <c r="D1351" s="5">
        <v>45992</v>
      </c>
      <c r="E1351" s="6" t="s">
        <v>15</v>
      </c>
      <c r="F1351" s="7">
        <v>70</v>
      </c>
      <c r="G1351" s="7">
        <v>141372.42857142861</v>
      </c>
      <c r="H1351" s="7">
        <v>9896070</v>
      </c>
      <c r="I1351" s="7">
        <v>1687836</v>
      </c>
      <c r="J1351" s="7">
        <v>0</v>
      </c>
      <c r="K1351">
        <f t="shared" si="20"/>
        <v>182</v>
      </c>
      <c r="L1351" s="8" t="str" cm="1">
        <f t="array" ref="L1351">_xlfn.IFS(
 AND(K1351&gt;=89,K1351&lt;=92),"3개월",
 AND(K1351&gt;=58,K1351&lt;=62),"2개월",
 AND(K1351&gt;=28,K1351&lt;=32),"1개월",
 AND(K1351=0),"당월",
 TRUE,"그외"
)</f>
        <v>그외</v>
      </c>
    </row>
    <row r="1352" spans="1:12" ht="17.649999999999999" customHeight="1" x14ac:dyDescent="0.3">
      <c r="A1352" s="5">
        <v>46174</v>
      </c>
      <c r="B1352" s="6" t="s">
        <v>20</v>
      </c>
      <c r="C1352" s="6" t="s">
        <v>31</v>
      </c>
      <c r="D1352" s="5">
        <v>46023</v>
      </c>
      <c r="E1352" s="6" t="s">
        <v>14</v>
      </c>
      <c r="F1352" s="7">
        <v>27</v>
      </c>
      <c r="G1352" s="7">
        <v>124021.6666666667</v>
      </c>
      <c r="H1352" s="7">
        <v>3348585</v>
      </c>
      <c r="I1352" s="7">
        <v>776558</v>
      </c>
      <c r="J1352" s="7">
        <v>0</v>
      </c>
      <c r="K1352">
        <f t="shared" si="20"/>
        <v>151</v>
      </c>
      <c r="L1352" s="8" t="str" cm="1">
        <f t="array" ref="L1352">_xlfn.IFS(
 AND(K1352&gt;=89,K1352&lt;=92),"3개월",
 AND(K1352&gt;=58,K1352&lt;=62),"2개월",
 AND(K1352&gt;=28,K1352&lt;=32),"1개월",
 AND(K1352=0),"당월",
 TRUE,"그외"
)</f>
        <v>그외</v>
      </c>
    </row>
    <row r="1353" spans="1:12" ht="17.649999999999999" customHeight="1" x14ac:dyDescent="0.3">
      <c r="A1353" s="5">
        <v>46174</v>
      </c>
      <c r="B1353" s="6" t="s">
        <v>20</v>
      </c>
      <c r="C1353" s="6" t="s">
        <v>31</v>
      </c>
      <c r="D1353" s="5">
        <v>46023</v>
      </c>
      <c r="E1353" s="6" t="s">
        <v>15</v>
      </c>
      <c r="F1353" s="7">
        <v>307</v>
      </c>
      <c r="G1353" s="7">
        <v>130700.657980456</v>
      </c>
      <c r="H1353" s="7">
        <v>40125102</v>
      </c>
      <c r="I1353" s="7">
        <v>5944533</v>
      </c>
      <c r="J1353" s="7">
        <v>0</v>
      </c>
      <c r="K1353">
        <f t="shared" si="20"/>
        <v>151</v>
      </c>
      <c r="L1353" s="8" t="str" cm="1">
        <f t="array" ref="L1353">_xlfn.IFS(
 AND(K1353&gt;=89,K1353&lt;=92),"3개월",
 AND(K1353&gt;=58,K1353&lt;=62),"2개월",
 AND(K1353&gt;=28,K1353&lt;=32),"1개월",
 AND(K1353=0),"당월",
 TRUE,"그외"
)</f>
        <v>그외</v>
      </c>
    </row>
    <row r="1354" spans="1:12" ht="17.649999999999999" customHeight="1" x14ac:dyDescent="0.3">
      <c r="A1354" s="5">
        <v>46174</v>
      </c>
      <c r="B1354" s="6" t="s">
        <v>20</v>
      </c>
      <c r="C1354" s="6" t="s">
        <v>31</v>
      </c>
      <c r="D1354" s="5">
        <v>46054</v>
      </c>
      <c r="E1354" s="6" t="s">
        <v>14</v>
      </c>
      <c r="F1354" s="7">
        <v>76</v>
      </c>
      <c r="G1354" s="7">
        <v>129555.56578947369</v>
      </c>
      <c r="H1354" s="7">
        <v>9846223</v>
      </c>
      <c r="I1354" s="7">
        <v>2126694</v>
      </c>
      <c r="J1354" s="7">
        <v>0</v>
      </c>
      <c r="K1354">
        <f t="shared" ref="K1354:K1417" si="21">A1354-D1354</f>
        <v>120</v>
      </c>
      <c r="L1354" s="8" t="str" cm="1">
        <f t="array" ref="L1354">_xlfn.IFS(
 AND(K1354&gt;=89,K1354&lt;=92),"3개월",
 AND(K1354&gt;=58,K1354&lt;=62),"2개월",
 AND(K1354&gt;=28,K1354&lt;=32),"1개월",
 AND(K1354=0),"당월",
 TRUE,"그외"
)</f>
        <v>그외</v>
      </c>
    </row>
    <row r="1355" spans="1:12" ht="17.649999999999999" customHeight="1" x14ac:dyDescent="0.3">
      <c r="A1355" s="5">
        <v>46174</v>
      </c>
      <c r="B1355" s="6" t="s">
        <v>20</v>
      </c>
      <c r="C1355" s="6" t="s">
        <v>31</v>
      </c>
      <c r="D1355" s="5">
        <v>46054</v>
      </c>
      <c r="E1355" s="6" t="s">
        <v>15</v>
      </c>
      <c r="F1355" s="7">
        <v>671</v>
      </c>
      <c r="G1355" s="7">
        <v>137863.39493293589</v>
      </c>
      <c r="H1355" s="7">
        <v>92506338</v>
      </c>
      <c r="I1355" s="7">
        <v>12915133</v>
      </c>
      <c r="J1355" s="7">
        <v>0</v>
      </c>
      <c r="K1355">
        <f t="shared" si="21"/>
        <v>120</v>
      </c>
      <c r="L1355" s="8" t="str" cm="1">
        <f t="array" ref="L1355">_xlfn.IFS(
 AND(K1355&gt;=89,K1355&lt;=92),"3개월",
 AND(K1355&gt;=58,K1355&lt;=62),"2개월",
 AND(K1355&gt;=28,K1355&lt;=32),"1개월",
 AND(K1355=0),"당월",
 TRUE,"그외"
)</f>
        <v>그외</v>
      </c>
    </row>
    <row r="1356" spans="1:12" ht="17.649999999999999" customHeight="1" x14ac:dyDescent="0.3">
      <c r="A1356" s="5">
        <v>46174</v>
      </c>
      <c r="B1356" s="6" t="s">
        <v>20</v>
      </c>
      <c r="C1356" s="6" t="s">
        <v>31</v>
      </c>
      <c r="D1356" s="5">
        <v>46082</v>
      </c>
      <c r="E1356" s="6" t="s">
        <v>14</v>
      </c>
      <c r="F1356" s="7">
        <v>594</v>
      </c>
      <c r="G1356" s="7">
        <v>146251.23737373739</v>
      </c>
      <c r="H1356" s="7">
        <v>86873235</v>
      </c>
      <c r="I1356" s="7">
        <v>13202168</v>
      </c>
      <c r="J1356" s="7">
        <v>0</v>
      </c>
      <c r="K1356">
        <f t="shared" si="21"/>
        <v>92</v>
      </c>
      <c r="L1356" s="8" t="str" cm="1">
        <f t="array" ref="L1356">_xlfn.IFS(
 AND(K1356&gt;=89,K1356&lt;=92),"3개월",
 AND(K1356&gt;=58,K1356&lt;=62),"2개월",
 AND(K1356&gt;=28,K1356&lt;=32),"1개월",
 AND(K1356=0),"당월",
 TRUE,"그외"
)</f>
        <v>3개월</v>
      </c>
    </row>
    <row r="1357" spans="1:12" ht="17.649999999999999" customHeight="1" x14ac:dyDescent="0.3">
      <c r="A1357" s="5">
        <v>46174</v>
      </c>
      <c r="B1357" s="6" t="s">
        <v>20</v>
      </c>
      <c r="C1357" s="6" t="s">
        <v>31</v>
      </c>
      <c r="D1357" s="5">
        <v>46082</v>
      </c>
      <c r="E1357" s="6" t="s">
        <v>15</v>
      </c>
      <c r="F1357" s="7">
        <v>1837</v>
      </c>
      <c r="G1357" s="7">
        <v>151479.46107784429</v>
      </c>
      <c r="H1357" s="7">
        <v>278267770</v>
      </c>
      <c r="I1357" s="7">
        <v>34260891</v>
      </c>
      <c r="J1357" s="7">
        <v>0</v>
      </c>
      <c r="K1357">
        <f t="shared" si="21"/>
        <v>92</v>
      </c>
      <c r="L1357" s="8" t="str" cm="1">
        <f t="array" ref="L1357">_xlfn.IFS(
 AND(K1357&gt;=89,K1357&lt;=92),"3개월",
 AND(K1357&gt;=58,K1357&lt;=62),"2개월",
 AND(K1357&gt;=28,K1357&lt;=32),"1개월",
 AND(K1357=0),"당월",
 TRUE,"그외"
)</f>
        <v>3개월</v>
      </c>
    </row>
    <row r="1358" spans="1:12" ht="17.649999999999999" customHeight="1" x14ac:dyDescent="0.3">
      <c r="A1358" s="5">
        <v>46174</v>
      </c>
      <c r="B1358" s="6" t="s">
        <v>20</v>
      </c>
      <c r="C1358" s="6" t="s">
        <v>31</v>
      </c>
      <c r="D1358" s="5">
        <v>46113</v>
      </c>
      <c r="E1358" s="6" t="s">
        <v>14</v>
      </c>
      <c r="F1358" s="7">
        <v>913</v>
      </c>
      <c r="G1358" s="7">
        <v>157768.00766703181</v>
      </c>
      <c r="H1358" s="7">
        <v>144042191</v>
      </c>
      <c r="I1358" s="7">
        <v>38910151</v>
      </c>
      <c r="J1358" s="7">
        <v>0</v>
      </c>
      <c r="K1358">
        <f t="shared" si="21"/>
        <v>61</v>
      </c>
      <c r="L1358" s="8" t="str" cm="1">
        <f t="array" ref="L1358">_xlfn.IFS(
 AND(K1358&gt;=89,K1358&lt;=92),"3개월",
 AND(K1358&gt;=58,K1358&lt;=62),"2개월",
 AND(K1358&gt;=28,K1358&lt;=32),"1개월",
 AND(K1358=0),"당월",
 TRUE,"그외"
)</f>
        <v>2개월</v>
      </c>
    </row>
    <row r="1359" spans="1:12" ht="17.649999999999999" customHeight="1" x14ac:dyDescent="0.3">
      <c r="A1359" s="5">
        <v>46174</v>
      </c>
      <c r="B1359" s="6" t="s">
        <v>20</v>
      </c>
      <c r="C1359" s="6" t="s">
        <v>31</v>
      </c>
      <c r="D1359" s="5">
        <v>46113</v>
      </c>
      <c r="E1359" s="6" t="s">
        <v>15</v>
      </c>
      <c r="F1359" s="7">
        <v>1956</v>
      </c>
      <c r="G1359" s="7">
        <v>165824.7515337423</v>
      </c>
      <c r="H1359" s="7">
        <v>324353214</v>
      </c>
      <c r="I1359" s="7">
        <v>72303903</v>
      </c>
      <c r="J1359" s="7">
        <v>0</v>
      </c>
      <c r="K1359">
        <f t="shared" si="21"/>
        <v>61</v>
      </c>
      <c r="L1359" s="8" t="str" cm="1">
        <f t="array" ref="L1359">_xlfn.IFS(
 AND(K1359&gt;=89,K1359&lt;=92),"3개월",
 AND(K1359&gt;=58,K1359&lt;=62),"2개월",
 AND(K1359&gt;=28,K1359&lt;=32),"1개월",
 AND(K1359=0),"당월",
 TRUE,"그외"
)</f>
        <v>2개월</v>
      </c>
    </row>
    <row r="1360" spans="1:12" ht="17.649999999999999" customHeight="1" x14ac:dyDescent="0.3">
      <c r="A1360" s="5">
        <v>46174</v>
      </c>
      <c r="B1360" s="6" t="s">
        <v>20</v>
      </c>
      <c r="C1360" s="6" t="s">
        <v>31</v>
      </c>
      <c r="D1360" s="5">
        <v>46143</v>
      </c>
      <c r="E1360" s="6" t="s">
        <v>14</v>
      </c>
      <c r="F1360" s="7">
        <v>20</v>
      </c>
      <c r="G1360" s="7">
        <v>188715</v>
      </c>
      <c r="H1360" s="7">
        <v>3774300</v>
      </c>
      <c r="I1360" s="7">
        <v>1729120</v>
      </c>
      <c r="J1360" s="7">
        <v>0</v>
      </c>
      <c r="K1360">
        <f t="shared" si="21"/>
        <v>31</v>
      </c>
      <c r="L1360" s="8" t="str" cm="1">
        <f t="array" ref="L1360">_xlfn.IFS(
 AND(K1360&gt;=89,K1360&lt;=92),"3개월",
 AND(K1360&gt;=58,K1360&lt;=62),"2개월",
 AND(K1360&gt;=28,K1360&lt;=32),"1개월",
 AND(K1360=0),"당월",
 TRUE,"그외"
)</f>
        <v>1개월</v>
      </c>
    </row>
    <row r="1361" spans="1:12" ht="17.649999999999999" customHeight="1" x14ac:dyDescent="0.3">
      <c r="A1361" s="5">
        <v>46174</v>
      </c>
      <c r="B1361" s="6" t="s">
        <v>20</v>
      </c>
      <c r="C1361" s="6" t="s">
        <v>31</v>
      </c>
      <c r="D1361" s="5">
        <v>46143</v>
      </c>
      <c r="E1361" s="6" t="s">
        <v>15</v>
      </c>
      <c r="F1361" s="7">
        <v>369</v>
      </c>
      <c r="G1361" s="7">
        <v>189623.68563685639</v>
      </c>
      <c r="H1361" s="7">
        <v>69971140</v>
      </c>
      <c r="I1361" s="7">
        <v>22932284</v>
      </c>
      <c r="J1361" s="7">
        <v>0</v>
      </c>
      <c r="K1361">
        <f t="shared" si="21"/>
        <v>31</v>
      </c>
      <c r="L1361" s="8" t="str" cm="1">
        <f t="array" ref="L1361">_xlfn.IFS(
 AND(K1361&gt;=89,K1361&lt;=92),"3개월",
 AND(K1361&gt;=58,K1361&lt;=62),"2개월",
 AND(K1361&gt;=28,K1361&lt;=32),"1개월",
 AND(K1361=0),"당월",
 TRUE,"그외"
)</f>
        <v>1개월</v>
      </c>
    </row>
    <row r="1362" spans="1:12" ht="17.649999999999999" customHeight="1" x14ac:dyDescent="0.3">
      <c r="A1362" s="5">
        <v>46174</v>
      </c>
      <c r="B1362" s="6" t="s">
        <v>20</v>
      </c>
      <c r="C1362" s="6" t="s">
        <v>32</v>
      </c>
      <c r="D1362" s="5">
        <v>45931</v>
      </c>
      <c r="E1362" s="6" t="s">
        <v>15</v>
      </c>
      <c r="F1362" s="7">
        <v>180</v>
      </c>
      <c r="G1362" s="7">
        <v>105497.52222222219</v>
      </c>
      <c r="H1362" s="7">
        <v>18989554</v>
      </c>
      <c r="I1362" s="7">
        <v>3788720</v>
      </c>
      <c r="J1362" s="7">
        <v>0</v>
      </c>
      <c r="K1362">
        <f t="shared" si="21"/>
        <v>243</v>
      </c>
      <c r="L1362" s="8" t="str" cm="1">
        <f t="array" ref="L1362">_xlfn.IFS(
 AND(K1362&gt;=89,K1362&lt;=92),"3개월",
 AND(K1362&gt;=58,K1362&lt;=62),"2개월",
 AND(K1362&gt;=28,K1362&lt;=32),"1개월",
 AND(K1362=0),"당월",
 TRUE,"그외"
)</f>
        <v>그외</v>
      </c>
    </row>
    <row r="1363" spans="1:12" ht="17.649999999999999" customHeight="1" x14ac:dyDescent="0.3">
      <c r="A1363" s="5">
        <v>46174</v>
      </c>
      <c r="B1363" s="6" t="s">
        <v>20</v>
      </c>
      <c r="C1363" s="6" t="s">
        <v>32</v>
      </c>
      <c r="D1363" s="5">
        <v>45962</v>
      </c>
      <c r="E1363" s="6" t="s">
        <v>14</v>
      </c>
      <c r="F1363" s="7">
        <v>9</v>
      </c>
      <c r="G1363" s="7">
        <v>121690.88888888891</v>
      </c>
      <c r="H1363" s="7">
        <v>1095218</v>
      </c>
      <c r="I1363" s="7">
        <v>263673</v>
      </c>
      <c r="J1363" s="7">
        <v>0</v>
      </c>
      <c r="K1363">
        <f t="shared" si="21"/>
        <v>212</v>
      </c>
      <c r="L1363" s="8" t="str" cm="1">
        <f t="array" ref="L1363">_xlfn.IFS(
 AND(K1363&gt;=89,K1363&lt;=92),"3개월",
 AND(K1363&gt;=58,K1363&lt;=62),"2개월",
 AND(K1363&gt;=28,K1363&lt;=32),"1개월",
 AND(K1363=0),"당월",
 TRUE,"그외"
)</f>
        <v>그외</v>
      </c>
    </row>
    <row r="1364" spans="1:12" ht="17.649999999999999" customHeight="1" x14ac:dyDescent="0.3">
      <c r="A1364" s="5">
        <v>46174</v>
      </c>
      <c r="B1364" s="6" t="s">
        <v>20</v>
      </c>
      <c r="C1364" s="6" t="s">
        <v>32</v>
      </c>
      <c r="D1364" s="5">
        <v>45962</v>
      </c>
      <c r="E1364" s="6" t="s">
        <v>15</v>
      </c>
      <c r="F1364" s="7">
        <v>598</v>
      </c>
      <c r="G1364" s="7">
        <v>105979.5217391304</v>
      </c>
      <c r="H1364" s="7">
        <v>63375754</v>
      </c>
      <c r="I1364" s="7">
        <v>11738772</v>
      </c>
      <c r="J1364" s="7">
        <v>0</v>
      </c>
      <c r="K1364">
        <f t="shared" si="21"/>
        <v>212</v>
      </c>
      <c r="L1364" s="8" t="str" cm="1">
        <f t="array" ref="L1364">_xlfn.IFS(
 AND(K1364&gt;=89,K1364&lt;=92),"3개월",
 AND(K1364&gt;=58,K1364&lt;=62),"2개월",
 AND(K1364&gt;=28,K1364&lt;=32),"1개월",
 AND(K1364=0),"당월",
 TRUE,"그외"
)</f>
        <v>그외</v>
      </c>
    </row>
    <row r="1365" spans="1:12" ht="17.649999999999999" customHeight="1" x14ac:dyDescent="0.3">
      <c r="A1365" s="5">
        <v>46174</v>
      </c>
      <c r="B1365" s="6" t="s">
        <v>20</v>
      </c>
      <c r="C1365" s="6" t="s">
        <v>32</v>
      </c>
      <c r="D1365" s="5">
        <v>45992</v>
      </c>
      <c r="E1365" s="6" t="s">
        <v>14</v>
      </c>
      <c r="F1365" s="7">
        <v>10</v>
      </c>
      <c r="G1365" s="7">
        <v>115043</v>
      </c>
      <c r="H1365" s="7">
        <v>1150430</v>
      </c>
      <c r="I1365" s="7">
        <v>292295</v>
      </c>
      <c r="J1365" s="7">
        <v>0</v>
      </c>
      <c r="K1365">
        <f t="shared" si="21"/>
        <v>182</v>
      </c>
      <c r="L1365" s="8" t="str" cm="1">
        <f t="array" ref="L1365">_xlfn.IFS(
 AND(K1365&gt;=89,K1365&lt;=92),"3개월",
 AND(K1365&gt;=58,K1365&lt;=62),"2개월",
 AND(K1365&gt;=28,K1365&lt;=32),"1개월",
 AND(K1365=0),"당월",
 TRUE,"그외"
)</f>
        <v>그외</v>
      </c>
    </row>
    <row r="1366" spans="1:12" ht="17.649999999999999" customHeight="1" x14ac:dyDescent="0.3">
      <c r="A1366" s="5">
        <v>46174</v>
      </c>
      <c r="B1366" s="6" t="s">
        <v>20</v>
      </c>
      <c r="C1366" s="6" t="s">
        <v>32</v>
      </c>
      <c r="D1366" s="5">
        <v>45992</v>
      </c>
      <c r="E1366" s="6" t="s">
        <v>15</v>
      </c>
      <c r="F1366" s="7">
        <v>884</v>
      </c>
      <c r="G1366" s="7">
        <v>119565.1798642534</v>
      </c>
      <c r="H1366" s="7">
        <v>105695619</v>
      </c>
      <c r="I1366" s="7">
        <v>20427448</v>
      </c>
      <c r="J1366" s="7">
        <v>0</v>
      </c>
      <c r="K1366">
        <f t="shared" si="21"/>
        <v>182</v>
      </c>
      <c r="L1366" s="8" t="str" cm="1">
        <f t="array" ref="L1366">_xlfn.IFS(
 AND(K1366&gt;=89,K1366&lt;=92),"3개월",
 AND(K1366&gt;=58,K1366&lt;=62),"2개월",
 AND(K1366&gt;=28,K1366&lt;=32),"1개월",
 AND(K1366=0),"당월",
 TRUE,"그외"
)</f>
        <v>그외</v>
      </c>
    </row>
    <row r="1367" spans="1:12" ht="17.649999999999999" customHeight="1" x14ac:dyDescent="0.3">
      <c r="A1367" s="5">
        <v>46174</v>
      </c>
      <c r="B1367" s="6" t="s">
        <v>20</v>
      </c>
      <c r="C1367" s="6" t="s">
        <v>32</v>
      </c>
      <c r="D1367" s="5">
        <v>46023</v>
      </c>
      <c r="E1367" s="6" t="s">
        <v>14</v>
      </c>
      <c r="F1367" s="7">
        <v>171</v>
      </c>
      <c r="G1367" s="7">
        <v>114910.485380117</v>
      </c>
      <c r="H1367" s="7">
        <v>19649693</v>
      </c>
      <c r="I1367" s="7">
        <v>4905302</v>
      </c>
      <c r="J1367" s="7">
        <v>0</v>
      </c>
      <c r="K1367">
        <f t="shared" si="21"/>
        <v>151</v>
      </c>
      <c r="L1367" s="8" t="str" cm="1">
        <f t="array" ref="L1367">_xlfn.IFS(
 AND(K1367&gt;=89,K1367&lt;=92),"3개월",
 AND(K1367&gt;=58,K1367&lt;=62),"2개월",
 AND(K1367&gt;=28,K1367&lt;=32),"1개월",
 AND(K1367=0),"당월",
 TRUE,"그외"
)</f>
        <v>그외</v>
      </c>
    </row>
    <row r="1368" spans="1:12" ht="17.649999999999999" customHeight="1" x14ac:dyDescent="0.3">
      <c r="A1368" s="5">
        <v>46174</v>
      </c>
      <c r="B1368" s="6" t="s">
        <v>20</v>
      </c>
      <c r="C1368" s="6" t="s">
        <v>32</v>
      </c>
      <c r="D1368" s="5">
        <v>46023</v>
      </c>
      <c r="E1368" s="6" t="s">
        <v>15</v>
      </c>
      <c r="F1368" s="7">
        <v>899</v>
      </c>
      <c r="G1368" s="7">
        <v>132743.72080088989</v>
      </c>
      <c r="H1368" s="7">
        <v>119336605</v>
      </c>
      <c r="I1368" s="7">
        <v>21358461</v>
      </c>
      <c r="J1368" s="7">
        <v>0</v>
      </c>
      <c r="K1368">
        <f t="shared" si="21"/>
        <v>151</v>
      </c>
      <c r="L1368" s="8" t="str" cm="1">
        <f t="array" ref="L1368">_xlfn.IFS(
 AND(K1368&gt;=89,K1368&lt;=92),"3개월",
 AND(K1368&gt;=58,K1368&lt;=62),"2개월",
 AND(K1368&gt;=28,K1368&lt;=32),"1개월",
 AND(K1368=0),"당월",
 TRUE,"그외"
)</f>
        <v>그외</v>
      </c>
    </row>
    <row r="1369" spans="1:12" ht="17.649999999999999" customHeight="1" x14ac:dyDescent="0.3">
      <c r="A1369" s="5">
        <v>46174</v>
      </c>
      <c r="B1369" s="6" t="s">
        <v>20</v>
      </c>
      <c r="C1369" s="6" t="s">
        <v>32</v>
      </c>
      <c r="D1369" s="5">
        <v>46054</v>
      </c>
      <c r="E1369" s="6" t="s">
        <v>14</v>
      </c>
      <c r="F1369" s="7">
        <v>97</v>
      </c>
      <c r="G1369" s="7">
        <v>115930.54639175261</v>
      </c>
      <c r="H1369" s="7">
        <v>11245263</v>
      </c>
      <c r="I1369" s="7">
        <v>3358186</v>
      </c>
      <c r="J1369" s="7">
        <v>0</v>
      </c>
      <c r="K1369">
        <f t="shared" si="21"/>
        <v>120</v>
      </c>
      <c r="L1369" s="8" t="str" cm="1">
        <f t="array" ref="L1369">_xlfn.IFS(
 AND(K1369&gt;=89,K1369&lt;=92),"3개월",
 AND(K1369&gt;=58,K1369&lt;=62),"2개월",
 AND(K1369&gt;=28,K1369&lt;=32),"1개월",
 AND(K1369=0),"당월",
 TRUE,"그외"
)</f>
        <v>그외</v>
      </c>
    </row>
    <row r="1370" spans="1:12" ht="17.649999999999999" customHeight="1" x14ac:dyDescent="0.3">
      <c r="A1370" s="5">
        <v>46174</v>
      </c>
      <c r="B1370" s="6" t="s">
        <v>20</v>
      </c>
      <c r="C1370" s="6" t="s">
        <v>32</v>
      </c>
      <c r="D1370" s="5">
        <v>46054</v>
      </c>
      <c r="E1370" s="6" t="s">
        <v>15</v>
      </c>
      <c r="F1370" s="7">
        <v>905</v>
      </c>
      <c r="G1370" s="7">
        <v>124098.4099447514</v>
      </c>
      <c r="H1370" s="7">
        <v>112309061</v>
      </c>
      <c r="I1370" s="7">
        <v>18213840</v>
      </c>
      <c r="J1370" s="7">
        <v>0</v>
      </c>
      <c r="K1370">
        <f t="shared" si="21"/>
        <v>120</v>
      </c>
      <c r="L1370" s="8" t="str" cm="1">
        <f t="array" ref="L1370">_xlfn.IFS(
 AND(K1370&gt;=89,K1370&lt;=92),"3개월",
 AND(K1370&gt;=58,K1370&lt;=62),"2개월",
 AND(K1370&gt;=28,K1370&lt;=32),"1개월",
 AND(K1370=0),"당월",
 TRUE,"그외"
)</f>
        <v>그외</v>
      </c>
    </row>
    <row r="1371" spans="1:12" ht="17.649999999999999" customHeight="1" x14ac:dyDescent="0.3">
      <c r="A1371" s="5">
        <v>46174</v>
      </c>
      <c r="B1371" s="6" t="s">
        <v>20</v>
      </c>
      <c r="C1371" s="6" t="s">
        <v>32</v>
      </c>
      <c r="D1371" s="5">
        <v>46082</v>
      </c>
      <c r="E1371" s="6" t="s">
        <v>14</v>
      </c>
      <c r="F1371" s="7">
        <v>768</v>
      </c>
      <c r="G1371" s="7">
        <v>118464.3697916667</v>
      </c>
      <c r="H1371" s="7">
        <v>90980636</v>
      </c>
      <c r="I1371" s="7">
        <v>23311800</v>
      </c>
      <c r="J1371" s="7">
        <v>0</v>
      </c>
      <c r="K1371">
        <f t="shared" si="21"/>
        <v>92</v>
      </c>
      <c r="L1371" s="8" t="str" cm="1">
        <f t="array" ref="L1371">_xlfn.IFS(
 AND(K1371&gt;=89,K1371&lt;=92),"3개월",
 AND(K1371&gt;=58,K1371&lt;=62),"2개월",
 AND(K1371&gt;=28,K1371&lt;=32),"1개월",
 AND(K1371=0),"당월",
 TRUE,"그외"
)</f>
        <v>3개월</v>
      </c>
    </row>
    <row r="1372" spans="1:12" ht="17.649999999999999" customHeight="1" x14ac:dyDescent="0.3">
      <c r="A1372" s="5">
        <v>46174</v>
      </c>
      <c r="B1372" s="6" t="s">
        <v>20</v>
      </c>
      <c r="C1372" s="6" t="s">
        <v>32</v>
      </c>
      <c r="D1372" s="5">
        <v>46082</v>
      </c>
      <c r="E1372" s="6" t="s">
        <v>15</v>
      </c>
      <c r="F1372" s="7">
        <v>1519</v>
      </c>
      <c r="G1372" s="7">
        <v>146776.76431863071</v>
      </c>
      <c r="H1372" s="7">
        <v>222953905</v>
      </c>
      <c r="I1372" s="7">
        <v>35572337</v>
      </c>
      <c r="J1372" s="7">
        <v>0</v>
      </c>
      <c r="K1372">
        <f t="shared" si="21"/>
        <v>92</v>
      </c>
      <c r="L1372" s="8" t="str" cm="1">
        <f t="array" ref="L1372">_xlfn.IFS(
 AND(K1372&gt;=89,K1372&lt;=92),"3개월",
 AND(K1372&gt;=58,K1372&lt;=62),"2개월",
 AND(K1372&gt;=28,K1372&lt;=32),"1개월",
 AND(K1372=0),"당월",
 TRUE,"그외"
)</f>
        <v>3개월</v>
      </c>
    </row>
    <row r="1373" spans="1:12" ht="17.649999999999999" customHeight="1" x14ac:dyDescent="0.3">
      <c r="A1373" s="5">
        <v>46174</v>
      </c>
      <c r="B1373" s="6" t="s">
        <v>20</v>
      </c>
      <c r="C1373" s="6" t="s">
        <v>32</v>
      </c>
      <c r="D1373" s="5">
        <v>46113</v>
      </c>
      <c r="E1373" s="6" t="s">
        <v>14</v>
      </c>
      <c r="F1373" s="7">
        <v>1308</v>
      </c>
      <c r="G1373" s="7">
        <v>157653.497706422</v>
      </c>
      <c r="H1373" s="7">
        <v>206210775</v>
      </c>
      <c r="I1373" s="7">
        <v>64347186</v>
      </c>
      <c r="J1373" s="7">
        <v>0</v>
      </c>
      <c r="K1373">
        <f t="shared" si="21"/>
        <v>61</v>
      </c>
      <c r="L1373" s="8" t="str" cm="1">
        <f t="array" ref="L1373">_xlfn.IFS(
 AND(K1373&gt;=89,K1373&lt;=92),"3개월",
 AND(K1373&gt;=58,K1373&lt;=62),"2개월",
 AND(K1373&gt;=28,K1373&lt;=32),"1개월",
 AND(K1373=0),"당월",
 TRUE,"그외"
)</f>
        <v>2개월</v>
      </c>
    </row>
    <row r="1374" spans="1:12" ht="17.649999999999999" customHeight="1" x14ac:dyDescent="0.3">
      <c r="A1374" s="5">
        <v>46174</v>
      </c>
      <c r="B1374" s="6" t="s">
        <v>20</v>
      </c>
      <c r="C1374" s="6" t="s">
        <v>32</v>
      </c>
      <c r="D1374" s="5">
        <v>46113</v>
      </c>
      <c r="E1374" s="6" t="s">
        <v>15</v>
      </c>
      <c r="F1374" s="7">
        <v>2899</v>
      </c>
      <c r="G1374" s="7">
        <v>135313.5639875819</v>
      </c>
      <c r="H1374" s="7">
        <v>392274022</v>
      </c>
      <c r="I1374" s="7">
        <v>111027825</v>
      </c>
      <c r="J1374" s="7">
        <v>0</v>
      </c>
      <c r="K1374">
        <f t="shared" si="21"/>
        <v>61</v>
      </c>
      <c r="L1374" s="8" t="str" cm="1">
        <f t="array" ref="L1374">_xlfn.IFS(
 AND(K1374&gt;=89,K1374&lt;=92),"3개월",
 AND(K1374&gt;=58,K1374&lt;=62),"2개월",
 AND(K1374&gt;=28,K1374&lt;=32),"1개월",
 AND(K1374=0),"당월",
 TRUE,"그외"
)</f>
        <v>2개월</v>
      </c>
    </row>
    <row r="1375" spans="1:12" ht="17.649999999999999" customHeight="1" x14ac:dyDescent="0.3">
      <c r="A1375" s="5">
        <v>46174</v>
      </c>
      <c r="B1375" s="6" t="s">
        <v>20</v>
      </c>
      <c r="C1375" s="6" t="s">
        <v>32</v>
      </c>
      <c r="D1375" s="5">
        <v>46143</v>
      </c>
      <c r="E1375" s="6" t="s">
        <v>14</v>
      </c>
      <c r="F1375" s="7">
        <v>120</v>
      </c>
      <c r="G1375" s="7">
        <v>39854.083333333343</v>
      </c>
      <c r="H1375" s="7">
        <v>4782490</v>
      </c>
      <c r="I1375" s="7">
        <v>2044863</v>
      </c>
      <c r="J1375" s="7">
        <v>0</v>
      </c>
      <c r="K1375">
        <f t="shared" si="21"/>
        <v>31</v>
      </c>
      <c r="L1375" s="8" t="str" cm="1">
        <f t="array" ref="L1375">_xlfn.IFS(
 AND(K1375&gt;=89,K1375&lt;=92),"3개월",
 AND(K1375&gt;=58,K1375&lt;=62),"2개월",
 AND(K1375&gt;=28,K1375&lt;=32),"1개월",
 AND(K1375=0),"당월",
 TRUE,"그외"
)</f>
        <v>1개월</v>
      </c>
    </row>
    <row r="1376" spans="1:12" ht="17.649999999999999" customHeight="1" x14ac:dyDescent="0.3">
      <c r="A1376" s="5">
        <v>46174</v>
      </c>
      <c r="B1376" s="6" t="s">
        <v>20</v>
      </c>
      <c r="C1376" s="6" t="s">
        <v>32</v>
      </c>
      <c r="D1376" s="5">
        <v>46143</v>
      </c>
      <c r="E1376" s="6" t="s">
        <v>15</v>
      </c>
      <c r="F1376" s="7">
        <v>411</v>
      </c>
      <c r="G1376" s="7">
        <v>137906.41362530421</v>
      </c>
      <c r="H1376" s="7">
        <v>56679536</v>
      </c>
      <c r="I1376" s="7">
        <v>22601044</v>
      </c>
      <c r="J1376" s="7">
        <v>0</v>
      </c>
      <c r="K1376">
        <f t="shared" si="21"/>
        <v>31</v>
      </c>
      <c r="L1376" s="8" t="str" cm="1">
        <f t="array" ref="L1376">_xlfn.IFS(
 AND(K1376&gt;=89,K1376&lt;=92),"3개월",
 AND(K1376&gt;=58,K1376&lt;=62),"2개월",
 AND(K1376&gt;=28,K1376&lt;=32),"1개월",
 AND(K1376=0),"당월",
 TRUE,"그외"
)</f>
        <v>1개월</v>
      </c>
    </row>
    <row r="1377" spans="1:12" ht="17.649999999999999" customHeight="1" x14ac:dyDescent="0.3">
      <c r="A1377" s="5">
        <v>46174</v>
      </c>
      <c r="B1377" s="6" t="s">
        <v>20</v>
      </c>
      <c r="C1377" s="6" t="s">
        <v>33</v>
      </c>
      <c r="D1377" s="5">
        <v>45931</v>
      </c>
      <c r="E1377" s="6" t="s">
        <v>15</v>
      </c>
      <c r="F1377" s="7">
        <v>4</v>
      </c>
      <c r="G1377" s="7">
        <v>101700</v>
      </c>
      <c r="H1377" s="7">
        <v>406800</v>
      </c>
      <c r="I1377" s="7">
        <v>66800</v>
      </c>
      <c r="J1377" s="7">
        <v>0</v>
      </c>
      <c r="K1377">
        <f t="shared" si="21"/>
        <v>243</v>
      </c>
      <c r="L1377" s="8" t="str" cm="1">
        <f t="array" ref="L1377">_xlfn.IFS(
 AND(K1377&gt;=89,K1377&lt;=92),"3개월",
 AND(K1377&gt;=58,K1377&lt;=62),"2개월",
 AND(K1377&gt;=28,K1377&lt;=32),"1개월",
 AND(K1377=0),"당월",
 TRUE,"그외"
)</f>
        <v>그외</v>
      </c>
    </row>
    <row r="1378" spans="1:12" ht="17.649999999999999" customHeight="1" x14ac:dyDescent="0.3">
      <c r="A1378" s="5">
        <v>46174</v>
      </c>
      <c r="B1378" s="6" t="s">
        <v>20</v>
      </c>
      <c r="C1378" s="6" t="s">
        <v>33</v>
      </c>
      <c r="D1378" s="5">
        <v>45962</v>
      </c>
      <c r="E1378" s="6" t="s">
        <v>15</v>
      </c>
      <c r="F1378" s="7">
        <v>82</v>
      </c>
      <c r="G1378" s="7">
        <v>105602.3658536585</v>
      </c>
      <c r="H1378" s="7">
        <v>8659394</v>
      </c>
      <c r="I1378" s="7">
        <v>1409418</v>
      </c>
      <c r="J1378" s="7">
        <v>0</v>
      </c>
      <c r="K1378">
        <f t="shared" si="21"/>
        <v>212</v>
      </c>
      <c r="L1378" s="8" t="str" cm="1">
        <f t="array" ref="L1378">_xlfn.IFS(
 AND(K1378&gt;=89,K1378&lt;=92),"3개월",
 AND(K1378&gt;=58,K1378&lt;=62),"2개월",
 AND(K1378&gt;=28,K1378&lt;=32),"1개월",
 AND(K1378=0),"당월",
 TRUE,"그외"
)</f>
        <v>그외</v>
      </c>
    </row>
    <row r="1379" spans="1:12" ht="17.649999999999999" customHeight="1" x14ac:dyDescent="0.3">
      <c r="A1379" s="5">
        <v>46174</v>
      </c>
      <c r="B1379" s="6" t="s">
        <v>20</v>
      </c>
      <c r="C1379" s="6" t="s">
        <v>33</v>
      </c>
      <c r="D1379" s="5">
        <v>45992</v>
      </c>
      <c r="E1379" s="6" t="s">
        <v>15</v>
      </c>
      <c r="F1379" s="7">
        <v>129</v>
      </c>
      <c r="G1379" s="7">
        <v>132566.6279069767</v>
      </c>
      <c r="H1379" s="7">
        <v>17101095</v>
      </c>
      <c r="I1379" s="7">
        <v>2878511</v>
      </c>
      <c r="J1379" s="7">
        <v>0</v>
      </c>
      <c r="K1379">
        <f t="shared" si="21"/>
        <v>182</v>
      </c>
      <c r="L1379" s="8" t="str" cm="1">
        <f t="array" ref="L1379">_xlfn.IFS(
 AND(K1379&gt;=89,K1379&lt;=92),"3개월",
 AND(K1379&gt;=58,K1379&lt;=62),"2개월",
 AND(K1379&gt;=28,K1379&lt;=32),"1개월",
 AND(K1379=0),"당월",
 TRUE,"그외"
)</f>
        <v>그외</v>
      </c>
    </row>
    <row r="1380" spans="1:12" ht="17.649999999999999" customHeight="1" x14ac:dyDescent="0.3">
      <c r="A1380" s="5">
        <v>46174</v>
      </c>
      <c r="B1380" s="6" t="s">
        <v>20</v>
      </c>
      <c r="C1380" s="6" t="s">
        <v>33</v>
      </c>
      <c r="D1380" s="5">
        <v>46023</v>
      </c>
      <c r="E1380" s="6" t="s">
        <v>14</v>
      </c>
      <c r="F1380" s="7">
        <v>40</v>
      </c>
      <c r="G1380" s="7">
        <v>140272.875</v>
      </c>
      <c r="H1380" s="7">
        <v>5610915</v>
      </c>
      <c r="I1380" s="7">
        <v>1142461</v>
      </c>
      <c r="J1380" s="7">
        <v>0</v>
      </c>
      <c r="K1380">
        <f t="shared" si="21"/>
        <v>151</v>
      </c>
      <c r="L1380" s="8" t="str" cm="1">
        <f t="array" ref="L1380">_xlfn.IFS(
 AND(K1380&gt;=89,K1380&lt;=92),"3개월",
 AND(K1380&gt;=58,K1380&lt;=62),"2개월",
 AND(K1380&gt;=28,K1380&lt;=32),"1개월",
 AND(K1380=0),"당월",
 TRUE,"그외"
)</f>
        <v>그외</v>
      </c>
    </row>
    <row r="1381" spans="1:12" ht="17.649999999999999" customHeight="1" x14ac:dyDescent="0.3">
      <c r="A1381" s="5">
        <v>46174</v>
      </c>
      <c r="B1381" s="6" t="s">
        <v>20</v>
      </c>
      <c r="C1381" s="6" t="s">
        <v>33</v>
      </c>
      <c r="D1381" s="5">
        <v>46023</v>
      </c>
      <c r="E1381" s="6" t="s">
        <v>15</v>
      </c>
      <c r="F1381" s="7">
        <v>507</v>
      </c>
      <c r="G1381" s="7">
        <v>163764.91913214989</v>
      </c>
      <c r="H1381" s="7">
        <v>83028814</v>
      </c>
      <c r="I1381" s="7">
        <v>12135962</v>
      </c>
      <c r="J1381" s="7">
        <v>0</v>
      </c>
      <c r="K1381">
        <f t="shared" si="21"/>
        <v>151</v>
      </c>
      <c r="L1381" s="8" t="str" cm="1">
        <f t="array" ref="L1381">_xlfn.IFS(
 AND(K1381&gt;=89,K1381&lt;=92),"3개월",
 AND(K1381&gt;=58,K1381&lt;=62),"2개월",
 AND(K1381&gt;=28,K1381&lt;=32),"1개월",
 AND(K1381=0),"당월",
 TRUE,"그외"
)</f>
        <v>그외</v>
      </c>
    </row>
    <row r="1382" spans="1:12" ht="17.649999999999999" customHeight="1" x14ac:dyDescent="0.3">
      <c r="A1382" s="5">
        <v>46174</v>
      </c>
      <c r="B1382" s="6" t="s">
        <v>20</v>
      </c>
      <c r="C1382" s="6" t="s">
        <v>33</v>
      </c>
      <c r="D1382" s="5">
        <v>46054</v>
      </c>
      <c r="E1382" s="6" t="s">
        <v>14</v>
      </c>
      <c r="F1382" s="7">
        <v>21</v>
      </c>
      <c r="G1382" s="7">
        <v>148565.71428571429</v>
      </c>
      <c r="H1382" s="7">
        <v>3119880</v>
      </c>
      <c r="I1382" s="7">
        <v>728607</v>
      </c>
      <c r="J1382" s="7">
        <v>0</v>
      </c>
      <c r="K1382">
        <f t="shared" si="21"/>
        <v>120</v>
      </c>
      <c r="L1382" s="8" t="str" cm="1">
        <f t="array" ref="L1382">_xlfn.IFS(
 AND(K1382&gt;=89,K1382&lt;=92),"3개월",
 AND(K1382&gt;=58,K1382&lt;=62),"2개월",
 AND(K1382&gt;=28,K1382&lt;=32),"1개월",
 AND(K1382=0),"당월",
 TRUE,"그외"
)</f>
        <v>그외</v>
      </c>
    </row>
    <row r="1383" spans="1:12" ht="17.649999999999999" customHeight="1" x14ac:dyDescent="0.3">
      <c r="A1383" s="5">
        <v>46174</v>
      </c>
      <c r="B1383" s="6" t="s">
        <v>20</v>
      </c>
      <c r="C1383" s="6" t="s">
        <v>33</v>
      </c>
      <c r="D1383" s="5">
        <v>46054</v>
      </c>
      <c r="E1383" s="6" t="s">
        <v>15</v>
      </c>
      <c r="F1383" s="7">
        <v>432</v>
      </c>
      <c r="G1383" s="7">
        <v>159927.31944444441</v>
      </c>
      <c r="H1383" s="7">
        <v>69088602</v>
      </c>
      <c r="I1383" s="7">
        <v>8089015</v>
      </c>
      <c r="J1383" s="7">
        <v>0</v>
      </c>
      <c r="K1383">
        <f t="shared" si="21"/>
        <v>120</v>
      </c>
      <c r="L1383" s="8" t="str" cm="1">
        <f t="array" ref="L1383">_xlfn.IFS(
 AND(K1383&gt;=89,K1383&lt;=92),"3개월",
 AND(K1383&gt;=58,K1383&lt;=62),"2개월",
 AND(K1383&gt;=28,K1383&lt;=32),"1개월",
 AND(K1383=0),"당월",
 TRUE,"그외"
)</f>
        <v>그외</v>
      </c>
    </row>
    <row r="1384" spans="1:12" ht="17.649999999999999" customHeight="1" x14ac:dyDescent="0.3">
      <c r="A1384" s="5">
        <v>46174</v>
      </c>
      <c r="B1384" s="6" t="s">
        <v>20</v>
      </c>
      <c r="C1384" s="6" t="s">
        <v>33</v>
      </c>
      <c r="D1384" s="5">
        <v>46082</v>
      </c>
      <c r="E1384" s="6" t="s">
        <v>14</v>
      </c>
      <c r="F1384" s="7">
        <v>179</v>
      </c>
      <c r="G1384" s="7">
        <v>148438.17877094969</v>
      </c>
      <c r="H1384" s="7">
        <v>26570434</v>
      </c>
      <c r="I1384" s="7">
        <v>4067974</v>
      </c>
      <c r="J1384" s="7">
        <v>0</v>
      </c>
      <c r="K1384">
        <f t="shared" si="21"/>
        <v>92</v>
      </c>
      <c r="L1384" s="8" t="str" cm="1">
        <f t="array" ref="L1384">_xlfn.IFS(
 AND(K1384&gt;=89,K1384&lt;=92),"3개월",
 AND(K1384&gt;=58,K1384&lt;=62),"2개월",
 AND(K1384&gt;=28,K1384&lt;=32),"1개월",
 AND(K1384=0),"당월",
 TRUE,"그외"
)</f>
        <v>3개월</v>
      </c>
    </row>
    <row r="1385" spans="1:12" ht="17.649999999999999" customHeight="1" x14ac:dyDescent="0.3">
      <c r="A1385" s="5">
        <v>46174</v>
      </c>
      <c r="B1385" s="6" t="s">
        <v>20</v>
      </c>
      <c r="C1385" s="6" t="s">
        <v>33</v>
      </c>
      <c r="D1385" s="5">
        <v>46082</v>
      </c>
      <c r="E1385" s="6" t="s">
        <v>15</v>
      </c>
      <c r="F1385" s="7">
        <v>1539</v>
      </c>
      <c r="G1385" s="7">
        <v>183876.89538661469</v>
      </c>
      <c r="H1385" s="7">
        <v>282986542</v>
      </c>
      <c r="I1385" s="7">
        <v>31334039</v>
      </c>
      <c r="J1385" s="7">
        <v>0</v>
      </c>
      <c r="K1385">
        <f t="shared" si="21"/>
        <v>92</v>
      </c>
      <c r="L1385" s="8" t="str" cm="1">
        <f t="array" ref="L1385">_xlfn.IFS(
 AND(K1385&gt;=89,K1385&lt;=92),"3개월",
 AND(K1385&gt;=58,K1385&lt;=62),"2개월",
 AND(K1385&gt;=28,K1385&lt;=32),"1개월",
 AND(K1385=0),"당월",
 TRUE,"그외"
)</f>
        <v>3개월</v>
      </c>
    </row>
    <row r="1386" spans="1:12" ht="17.649999999999999" customHeight="1" x14ac:dyDescent="0.3">
      <c r="A1386" s="5">
        <v>46174</v>
      </c>
      <c r="B1386" s="6" t="s">
        <v>20</v>
      </c>
      <c r="C1386" s="6" t="s">
        <v>33</v>
      </c>
      <c r="D1386" s="5">
        <v>46113</v>
      </c>
      <c r="E1386" s="6" t="s">
        <v>14</v>
      </c>
      <c r="F1386" s="7">
        <v>520</v>
      </c>
      <c r="G1386" s="7">
        <v>202066.95576923079</v>
      </c>
      <c r="H1386" s="7">
        <v>105074817</v>
      </c>
      <c r="I1386" s="7">
        <v>27386460</v>
      </c>
      <c r="J1386" s="7">
        <v>0</v>
      </c>
      <c r="K1386">
        <f t="shared" si="21"/>
        <v>61</v>
      </c>
      <c r="L1386" s="8" t="str" cm="1">
        <f t="array" ref="L1386">_xlfn.IFS(
 AND(K1386&gt;=89,K1386&lt;=92),"3개월",
 AND(K1386&gt;=58,K1386&lt;=62),"2개월",
 AND(K1386&gt;=28,K1386&lt;=32),"1개월",
 AND(K1386=0),"당월",
 TRUE,"그외"
)</f>
        <v>2개월</v>
      </c>
    </row>
    <row r="1387" spans="1:12" ht="17.649999999999999" customHeight="1" x14ac:dyDescent="0.3">
      <c r="A1387" s="5">
        <v>46174</v>
      </c>
      <c r="B1387" s="6" t="s">
        <v>20</v>
      </c>
      <c r="C1387" s="6" t="s">
        <v>33</v>
      </c>
      <c r="D1387" s="5">
        <v>46113</v>
      </c>
      <c r="E1387" s="6" t="s">
        <v>15</v>
      </c>
      <c r="F1387" s="7">
        <v>2001</v>
      </c>
      <c r="G1387" s="7">
        <v>171050.33183408299</v>
      </c>
      <c r="H1387" s="7">
        <v>342271714</v>
      </c>
      <c r="I1387" s="7">
        <v>100362433</v>
      </c>
      <c r="J1387" s="7">
        <v>0</v>
      </c>
      <c r="K1387">
        <f t="shared" si="21"/>
        <v>61</v>
      </c>
      <c r="L1387" s="8" t="str" cm="1">
        <f t="array" ref="L1387">_xlfn.IFS(
 AND(K1387&gt;=89,K1387&lt;=92),"3개월",
 AND(K1387&gt;=58,K1387&lt;=62),"2개월",
 AND(K1387&gt;=28,K1387&lt;=32),"1개월",
 AND(K1387=0),"당월",
 TRUE,"그외"
)</f>
        <v>2개월</v>
      </c>
    </row>
    <row r="1388" spans="1:12" ht="17.649999999999999" customHeight="1" x14ac:dyDescent="0.3">
      <c r="A1388" s="5">
        <v>46174</v>
      </c>
      <c r="B1388" s="6" t="s">
        <v>20</v>
      </c>
      <c r="C1388" s="6" t="s">
        <v>33</v>
      </c>
      <c r="D1388" s="5">
        <v>46143</v>
      </c>
      <c r="E1388" s="6" t="s">
        <v>14</v>
      </c>
      <c r="F1388" s="7">
        <v>4</v>
      </c>
      <c r="G1388" s="7">
        <v>188711</v>
      </c>
      <c r="H1388" s="7">
        <v>754844</v>
      </c>
      <c r="I1388" s="7">
        <v>345824</v>
      </c>
      <c r="J1388" s="7">
        <v>0</v>
      </c>
      <c r="K1388">
        <f t="shared" si="21"/>
        <v>31</v>
      </c>
      <c r="L1388" s="8" t="str" cm="1">
        <f t="array" ref="L1388">_xlfn.IFS(
 AND(K1388&gt;=89,K1388&lt;=92),"3개월",
 AND(K1388&gt;=58,K1388&lt;=62),"2개월",
 AND(K1388&gt;=28,K1388&lt;=32),"1개월",
 AND(K1388=0),"당월",
 TRUE,"그외"
)</f>
        <v>1개월</v>
      </c>
    </row>
    <row r="1389" spans="1:12" ht="17.649999999999999" customHeight="1" x14ac:dyDescent="0.3">
      <c r="A1389" s="5">
        <v>46174</v>
      </c>
      <c r="B1389" s="6" t="s">
        <v>20</v>
      </c>
      <c r="C1389" s="6" t="s">
        <v>33</v>
      </c>
      <c r="D1389" s="5">
        <v>46143</v>
      </c>
      <c r="E1389" s="6" t="s">
        <v>15</v>
      </c>
      <c r="F1389" s="7">
        <v>345</v>
      </c>
      <c r="G1389" s="7">
        <v>182258.10144927539</v>
      </c>
      <c r="H1389" s="7">
        <v>62879045</v>
      </c>
      <c r="I1389" s="7">
        <v>26439175</v>
      </c>
      <c r="J1389" s="7">
        <v>0</v>
      </c>
      <c r="K1389">
        <f t="shared" si="21"/>
        <v>31</v>
      </c>
      <c r="L1389" s="8" t="str" cm="1">
        <f t="array" ref="L1389">_xlfn.IFS(
 AND(K1389&gt;=89,K1389&lt;=92),"3개월",
 AND(K1389&gt;=58,K1389&lt;=62),"2개월",
 AND(K1389&gt;=28,K1389&lt;=32),"1개월",
 AND(K1389=0),"당월",
 TRUE,"그외"
)</f>
        <v>1개월</v>
      </c>
    </row>
    <row r="1390" spans="1:12" ht="17.649999999999999" customHeight="1" x14ac:dyDescent="0.3">
      <c r="A1390" s="5">
        <v>46174</v>
      </c>
      <c r="B1390" s="6" t="s">
        <v>20</v>
      </c>
      <c r="C1390" s="6" t="s">
        <v>35</v>
      </c>
      <c r="D1390" s="5">
        <v>45931</v>
      </c>
      <c r="E1390" s="6" t="s">
        <v>15</v>
      </c>
      <c r="F1390" s="7">
        <v>11</v>
      </c>
      <c r="G1390" s="7">
        <v>166599</v>
      </c>
      <c r="H1390" s="7">
        <v>1832589</v>
      </c>
      <c r="I1390" s="7">
        <v>221080</v>
      </c>
      <c r="J1390" s="7">
        <v>0</v>
      </c>
      <c r="K1390">
        <f t="shared" si="21"/>
        <v>243</v>
      </c>
      <c r="L1390" s="8" t="str" cm="1">
        <f t="array" ref="L1390">_xlfn.IFS(
 AND(K1390&gt;=89,K1390&lt;=92),"3개월",
 AND(K1390&gt;=58,K1390&lt;=62),"2개월",
 AND(K1390&gt;=28,K1390&lt;=32),"1개월",
 AND(K1390=0),"당월",
 TRUE,"그외"
)</f>
        <v>그외</v>
      </c>
    </row>
    <row r="1391" spans="1:12" ht="17.649999999999999" customHeight="1" x14ac:dyDescent="0.3">
      <c r="A1391" s="5">
        <v>46174</v>
      </c>
      <c r="B1391" s="6" t="s">
        <v>20</v>
      </c>
      <c r="C1391" s="6" t="s">
        <v>35</v>
      </c>
      <c r="D1391" s="5">
        <v>45962</v>
      </c>
      <c r="E1391" s="6" t="s">
        <v>15</v>
      </c>
      <c r="F1391" s="7">
        <v>100</v>
      </c>
      <c r="G1391" s="7">
        <v>176536.12</v>
      </c>
      <c r="H1391" s="7">
        <v>17653612</v>
      </c>
      <c r="I1391" s="7">
        <v>1829314</v>
      </c>
      <c r="J1391" s="7">
        <v>0</v>
      </c>
      <c r="K1391">
        <f t="shared" si="21"/>
        <v>212</v>
      </c>
      <c r="L1391" s="8" t="str" cm="1">
        <f t="array" ref="L1391">_xlfn.IFS(
 AND(K1391&gt;=89,K1391&lt;=92),"3개월",
 AND(K1391&gt;=58,K1391&lt;=62),"2개월",
 AND(K1391&gt;=28,K1391&lt;=32),"1개월",
 AND(K1391=0),"당월",
 TRUE,"그외"
)</f>
        <v>그외</v>
      </c>
    </row>
    <row r="1392" spans="1:12" ht="17.649999999999999" customHeight="1" x14ac:dyDescent="0.3">
      <c r="A1392" s="5">
        <v>46174</v>
      </c>
      <c r="B1392" s="6" t="s">
        <v>20</v>
      </c>
      <c r="C1392" s="6" t="s">
        <v>35</v>
      </c>
      <c r="D1392" s="5">
        <v>45992</v>
      </c>
      <c r="E1392" s="6" t="s">
        <v>15</v>
      </c>
      <c r="F1392" s="7">
        <v>108</v>
      </c>
      <c r="G1392" s="7">
        <v>124585.6851851852</v>
      </c>
      <c r="H1392" s="7">
        <v>13455254</v>
      </c>
      <c r="I1392" s="7">
        <v>2502428</v>
      </c>
      <c r="J1392" s="7">
        <v>0</v>
      </c>
      <c r="K1392">
        <f t="shared" si="21"/>
        <v>182</v>
      </c>
      <c r="L1392" s="8" t="str" cm="1">
        <f t="array" ref="L1392">_xlfn.IFS(
 AND(K1392&gt;=89,K1392&lt;=92),"3개월",
 AND(K1392&gt;=58,K1392&lt;=62),"2개월",
 AND(K1392&gt;=28,K1392&lt;=32),"1개월",
 AND(K1392=0),"당월",
 TRUE,"그외"
)</f>
        <v>그외</v>
      </c>
    </row>
    <row r="1393" spans="1:12" ht="17.649999999999999" customHeight="1" x14ac:dyDescent="0.3">
      <c r="A1393" s="5">
        <v>46174</v>
      </c>
      <c r="B1393" s="6" t="s">
        <v>20</v>
      </c>
      <c r="C1393" s="6" t="s">
        <v>35</v>
      </c>
      <c r="D1393" s="5">
        <v>46023</v>
      </c>
      <c r="E1393" s="6" t="s">
        <v>14</v>
      </c>
      <c r="F1393" s="7">
        <v>2</v>
      </c>
      <c r="G1393" s="7">
        <v>143278</v>
      </c>
      <c r="H1393" s="7">
        <v>286556</v>
      </c>
      <c r="I1393" s="7">
        <v>58830</v>
      </c>
      <c r="J1393" s="7">
        <v>0</v>
      </c>
      <c r="K1393">
        <f t="shared" si="21"/>
        <v>151</v>
      </c>
      <c r="L1393" s="8" t="str" cm="1">
        <f t="array" ref="L1393">_xlfn.IFS(
 AND(K1393&gt;=89,K1393&lt;=92),"3개월",
 AND(K1393&gt;=58,K1393&lt;=62),"2개월",
 AND(K1393&gt;=28,K1393&lt;=32),"1개월",
 AND(K1393=0),"당월",
 TRUE,"그외"
)</f>
        <v>그외</v>
      </c>
    </row>
    <row r="1394" spans="1:12" ht="17.649999999999999" customHeight="1" x14ac:dyDescent="0.3">
      <c r="A1394" s="5">
        <v>46174</v>
      </c>
      <c r="B1394" s="6" t="s">
        <v>20</v>
      </c>
      <c r="C1394" s="6" t="s">
        <v>35</v>
      </c>
      <c r="D1394" s="5">
        <v>46023</v>
      </c>
      <c r="E1394" s="6" t="s">
        <v>15</v>
      </c>
      <c r="F1394" s="7">
        <v>211</v>
      </c>
      <c r="G1394" s="7">
        <v>134179.55450236969</v>
      </c>
      <c r="H1394" s="7">
        <v>28311886</v>
      </c>
      <c r="I1394" s="7">
        <v>4944300</v>
      </c>
      <c r="J1394" s="7">
        <v>0</v>
      </c>
      <c r="K1394">
        <f t="shared" si="21"/>
        <v>151</v>
      </c>
      <c r="L1394" s="8" t="str" cm="1">
        <f t="array" ref="L1394">_xlfn.IFS(
 AND(K1394&gt;=89,K1394&lt;=92),"3개월",
 AND(K1394&gt;=58,K1394&lt;=62),"2개월",
 AND(K1394&gt;=28,K1394&lt;=32),"1개월",
 AND(K1394=0),"당월",
 TRUE,"그외"
)</f>
        <v>그외</v>
      </c>
    </row>
    <row r="1395" spans="1:12" ht="17.649999999999999" customHeight="1" x14ac:dyDescent="0.3">
      <c r="A1395" s="5">
        <v>46174</v>
      </c>
      <c r="B1395" s="6" t="s">
        <v>20</v>
      </c>
      <c r="C1395" s="6" t="s">
        <v>35</v>
      </c>
      <c r="D1395" s="5">
        <v>46054</v>
      </c>
      <c r="E1395" s="6" t="s">
        <v>14</v>
      </c>
      <c r="F1395" s="7">
        <v>69</v>
      </c>
      <c r="G1395" s="7">
        <v>138744.88405797101</v>
      </c>
      <c r="H1395" s="7">
        <v>9573397</v>
      </c>
      <c r="I1395" s="7">
        <v>2033895</v>
      </c>
      <c r="J1395" s="7">
        <v>0</v>
      </c>
      <c r="K1395">
        <f t="shared" si="21"/>
        <v>120</v>
      </c>
      <c r="L1395" s="8" t="str" cm="1">
        <f t="array" ref="L1395">_xlfn.IFS(
 AND(K1395&gt;=89,K1395&lt;=92),"3개월",
 AND(K1395&gt;=58,K1395&lt;=62),"2개월",
 AND(K1395&gt;=28,K1395&lt;=32),"1개월",
 AND(K1395=0),"당월",
 TRUE,"그외"
)</f>
        <v>그외</v>
      </c>
    </row>
    <row r="1396" spans="1:12" ht="17.649999999999999" customHeight="1" x14ac:dyDescent="0.3">
      <c r="A1396" s="5">
        <v>46174</v>
      </c>
      <c r="B1396" s="6" t="s">
        <v>20</v>
      </c>
      <c r="C1396" s="6" t="s">
        <v>35</v>
      </c>
      <c r="D1396" s="5">
        <v>46054</v>
      </c>
      <c r="E1396" s="6" t="s">
        <v>15</v>
      </c>
      <c r="F1396" s="7">
        <v>384</v>
      </c>
      <c r="G1396" s="7">
        <v>182233.59375</v>
      </c>
      <c r="H1396" s="7">
        <v>69977700</v>
      </c>
      <c r="I1396" s="7">
        <v>7744041</v>
      </c>
      <c r="J1396" s="7">
        <v>0</v>
      </c>
      <c r="K1396">
        <f t="shared" si="21"/>
        <v>120</v>
      </c>
      <c r="L1396" s="8" t="str" cm="1">
        <f t="array" ref="L1396">_xlfn.IFS(
 AND(K1396&gt;=89,K1396&lt;=92),"3개월",
 AND(K1396&gt;=58,K1396&lt;=62),"2개월",
 AND(K1396&gt;=28,K1396&lt;=32),"1개월",
 AND(K1396=0),"당월",
 TRUE,"그외"
)</f>
        <v>그외</v>
      </c>
    </row>
    <row r="1397" spans="1:12" ht="17.649999999999999" customHeight="1" x14ac:dyDescent="0.3">
      <c r="A1397" s="5">
        <v>46174</v>
      </c>
      <c r="B1397" s="6" t="s">
        <v>20</v>
      </c>
      <c r="C1397" s="6" t="s">
        <v>35</v>
      </c>
      <c r="D1397" s="5">
        <v>46082</v>
      </c>
      <c r="E1397" s="6" t="s">
        <v>14</v>
      </c>
      <c r="F1397" s="7">
        <v>1622</v>
      </c>
      <c r="G1397" s="7">
        <v>184120.7182490752</v>
      </c>
      <c r="H1397" s="7">
        <v>298643805</v>
      </c>
      <c r="I1397" s="7">
        <v>30780504</v>
      </c>
      <c r="J1397" s="7">
        <v>0</v>
      </c>
      <c r="K1397">
        <f t="shared" si="21"/>
        <v>92</v>
      </c>
      <c r="L1397" s="8" t="str" cm="1">
        <f t="array" ref="L1397">_xlfn.IFS(
 AND(K1397&gt;=89,K1397&lt;=92),"3개월",
 AND(K1397&gt;=58,K1397&lt;=62),"2개월",
 AND(K1397&gt;=28,K1397&lt;=32),"1개월",
 AND(K1397=0),"당월",
 TRUE,"그외"
)</f>
        <v>3개월</v>
      </c>
    </row>
    <row r="1398" spans="1:12" ht="17.649999999999999" customHeight="1" x14ac:dyDescent="0.3">
      <c r="A1398" s="5">
        <v>46174</v>
      </c>
      <c r="B1398" s="6" t="s">
        <v>20</v>
      </c>
      <c r="C1398" s="6" t="s">
        <v>35</v>
      </c>
      <c r="D1398" s="5">
        <v>46082</v>
      </c>
      <c r="E1398" s="6" t="s">
        <v>15</v>
      </c>
      <c r="F1398" s="7">
        <v>2944</v>
      </c>
      <c r="G1398" s="7">
        <v>217878.99252717389</v>
      </c>
      <c r="H1398" s="7">
        <v>641435754</v>
      </c>
      <c r="I1398" s="7">
        <v>59862799</v>
      </c>
      <c r="J1398" s="7">
        <v>0</v>
      </c>
      <c r="K1398">
        <f t="shared" si="21"/>
        <v>92</v>
      </c>
      <c r="L1398" s="8" t="str" cm="1">
        <f t="array" ref="L1398">_xlfn.IFS(
 AND(K1398&gt;=89,K1398&lt;=92),"3개월",
 AND(K1398&gt;=58,K1398&lt;=62),"2개월",
 AND(K1398&gt;=28,K1398&lt;=32),"1개월",
 AND(K1398=0),"당월",
 TRUE,"그외"
)</f>
        <v>3개월</v>
      </c>
    </row>
    <row r="1399" spans="1:12" ht="17.649999999999999" customHeight="1" x14ac:dyDescent="0.3">
      <c r="A1399" s="5">
        <v>46174</v>
      </c>
      <c r="B1399" s="6" t="s">
        <v>20</v>
      </c>
      <c r="C1399" s="6" t="s">
        <v>35</v>
      </c>
      <c r="D1399" s="5">
        <v>46113</v>
      </c>
      <c r="E1399" s="6" t="s">
        <v>14</v>
      </c>
      <c r="F1399" s="7">
        <v>1291</v>
      </c>
      <c r="G1399" s="7">
        <v>219416.7815646785</v>
      </c>
      <c r="H1399" s="7">
        <v>283267065</v>
      </c>
      <c r="I1399" s="7">
        <v>68565742</v>
      </c>
      <c r="J1399" s="7">
        <v>0</v>
      </c>
      <c r="K1399">
        <f t="shared" si="21"/>
        <v>61</v>
      </c>
      <c r="L1399" s="8" t="str" cm="1">
        <f t="array" ref="L1399">_xlfn.IFS(
 AND(K1399&gt;=89,K1399&lt;=92),"3개월",
 AND(K1399&gt;=58,K1399&lt;=62),"2개월",
 AND(K1399&gt;=28,K1399&lt;=32),"1개월",
 AND(K1399=0),"당월",
 TRUE,"그외"
)</f>
        <v>2개월</v>
      </c>
    </row>
    <row r="1400" spans="1:12" ht="17.649999999999999" customHeight="1" x14ac:dyDescent="0.3">
      <c r="A1400" s="5">
        <v>46174</v>
      </c>
      <c r="B1400" s="6" t="s">
        <v>20</v>
      </c>
      <c r="C1400" s="6" t="s">
        <v>35</v>
      </c>
      <c r="D1400" s="5">
        <v>46113</v>
      </c>
      <c r="E1400" s="6" t="s">
        <v>15</v>
      </c>
      <c r="F1400" s="7">
        <v>2703</v>
      </c>
      <c r="G1400" s="7">
        <v>218375.9803921569</v>
      </c>
      <c r="H1400" s="7">
        <v>590270275</v>
      </c>
      <c r="I1400" s="7">
        <v>135628268</v>
      </c>
      <c r="J1400" s="7">
        <v>0</v>
      </c>
      <c r="K1400">
        <f t="shared" si="21"/>
        <v>61</v>
      </c>
      <c r="L1400" s="8" t="str" cm="1">
        <f t="array" ref="L1400">_xlfn.IFS(
 AND(K1400&gt;=89,K1400&lt;=92),"3개월",
 AND(K1400&gt;=58,K1400&lt;=62),"2개월",
 AND(K1400&gt;=28,K1400&lt;=32),"1개월",
 AND(K1400=0),"당월",
 TRUE,"그외"
)</f>
        <v>2개월</v>
      </c>
    </row>
    <row r="1401" spans="1:12" ht="17.649999999999999" customHeight="1" x14ac:dyDescent="0.3">
      <c r="A1401" s="5">
        <v>46174</v>
      </c>
      <c r="B1401" s="6" t="s">
        <v>20</v>
      </c>
      <c r="C1401" s="6" t="s">
        <v>35</v>
      </c>
      <c r="D1401" s="5">
        <v>46143</v>
      </c>
      <c r="E1401" s="6" t="s">
        <v>14</v>
      </c>
      <c r="F1401" s="7">
        <v>11</v>
      </c>
      <c r="G1401" s="7">
        <v>177869.81818181821</v>
      </c>
      <c r="H1401" s="7">
        <v>1956568</v>
      </c>
      <c r="I1401" s="7">
        <v>733184</v>
      </c>
      <c r="J1401" s="7">
        <v>0</v>
      </c>
      <c r="K1401">
        <f t="shared" si="21"/>
        <v>31</v>
      </c>
      <c r="L1401" s="8" t="str" cm="1">
        <f t="array" ref="L1401">_xlfn.IFS(
 AND(K1401&gt;=89,K1401&lt;=92),"3개월",
 AND(K1401&gt;=58,K1401&lt;=62),"2개월",
 AND(K1401&gt;=28,K1401&lt;=32),"1개월",
 AND(K1401=0),"당월",
 TRUE,"그외"
)</f>
        <v>1개월</v>
      </c>
    </row>
    <row r="1402" spans="1:12" ht="17.649999999999999" customHeight="1" x14ac:dyDescent="0.3">
      <c r="A1402" s="5">
        <v>46174</v>
      </c>
      <c r="B1402" s="6" t="s">
        <v>20</v>
      </c>
      <c r="C1402" s="6" t="s">
        <v>35</v>
      </c>
      <c r="D1402" s="5">
        <v>46143</v>
      </c>
      <c r="E1402" s="6" t="s">
        <v>15</v>
      </c>
      <c r="F1402" s="7">
        <v>531</v>
      </c>
      <c r="G1402" s="7">
        <v>222063.8418079096</v>
      </c>
      <c r="H1402" s="7">
        <v>117915900</v>
      </c>
      <c r="I1402" s="7">
        <v>44860488</v>
      </c>
      <c r="J1402" s="7">
        <v>0</v>
      </c>
      <c r="K1402">
        <f t="shared" si="21"/>
        <v>31</v>
      </c>
      <c r="L1402" s="8" t="str" cm="1">
        <f t="array" ref="L1402">_xlfn.IFS(
 AND(K1402&gt;=89,K1402&lt;=92),"3개월",
 AND(K1402&gt;=58,K1402&lt;=62),"2개월",
 AND(K1402&gt;=28,K1402&lt;=32),"1개월",
 AND(K1402=0),"당월",
 TRUE,"그외"
)</f>
        <v>1개월</v>
      </c>
    </row>
    <row r="1403" spans="1:12" ht="17.649999999999999" customHeight="1" x14ac:dyDescent="0.3">
      <c r="A1403" s="5">
        <v>46174</v>
      </c>
      <c r="B1403" s="6" t="s">
        <v>20</v>
      </c>
      <c r="C1403" s="6" t="s">
        <v>95</v>
      </c>
      <c r="D1403" s="5">
        <v>46082</v>
      </c>
      <c r="E1403" s="6" t="s">
        <v>15</v>
      </c>
      <c r="F1403" s="7">
        <v>170</v>
      </c>
      <c r="G1403" s="7">
        <v>188312.3411764706</v>
      </c>
      <c r="H1403" s="7">
        <v>32013098</v>
      </c>
      <c r="I1403" s="7">
        <v>3978606</v>
      </c>
      <c r="J1403" s="7">
        <v>0</v>
      </c>
      <c r="K1403">
        <f t="shared" si="21"/>
        <v>92</v>
      </c>
      <c r="L1403" s="8" t="str" cm="1">
        <f t="array" ref="L1403">_xlfn.IFS(
 AND(K1403&gt;=89,K1403&lt;=92),"3개월",
 AND(K1403&gt;=58,K1403&lt;=62),"2개월",
 AND(K1403&gt;=28,K1403&lt;=32),"1개월",
 AND(K1403=0),"당월",
 TRUE,"그외"
)</f>
        <v>3개월</v>
      </c>
    </row>
    <row r="1404" spans="1:12" ht="17.649999999999999" customHeight="1" x14ac:dyDescent="0.3">
      <c r="A1404" s="5">
        <v>46174</v>
      </c>
      <c r="B1404" s="6" t="s">
        <v>20</v>
      </c>
      <c r="C1404" s="6" t="s">
        <v>95</v>
      </c>
      <c r="D1404" s="5">
        <v>46113</v>
      </c>
      <c r="E1404" s="6" t="s">
        <v>15</v>
      </c>
      <c r="F1404" s="7">
        <v>327</v>
      </c>
      <c r="G1404" s="7">
        <v>189356.40366972479</v>
      </c>
      <c r="H1404" s="7">
        <v>61919544</v>
      </c>
      <c r="I1404" s="7">
        <v>16460997</v>
      </c>
      <c r="J1404" s="7">
        <v>0</v>
      </c>
      <c r="K1404">
        <f t="shared" si="21"/>
        <v>61</v>
      </c>
      <c r="L1404" s="8" t="str" cm="1">
        <f t="array" ref="L1404">_xlfn.IFS(
 AND(K1404&gt;=89,K1404&lt;=92),"3개월",
 AND(K1404&gt;=58,K1404&lt;=62),"2개월",
 AND(K1404&gt;=28,K1404&lt;=32),"1개월",
 AND(K1404=0),"당월",
 TRUE,"그외"
)</f>
        <v>2개월</v>
      </c>
    </row>
    <row r="1405" spans="1:12" ht="17.649999999999999" customHeight="1" x14ac:dyDescent="0.3">
      <c r="A1405" s="5">
        <v>46174</v>
      </c>
      <c r="B1405" s="6" t="s">
        <v>20</v>
      </c>
      <c r="C1405" s="6" t="s">
        <v>95</v>
      </c>
      <c r="D1405" s="5">
        <v>46143</v>
      </c>
      <c r="E1405" s="6" t="s">
        <v>15</v>
      </c>
      <c r="F1405" s="7">
        <v>51</v>
      </c>
      <c r="G1405" s="7">
        <v>210244.5098039216</v>
      </c>
      <c r="H1405" s="7">
        <v>10722470</v>
      </c>
      <c r="I1405" s="7">
        <v>4648928</v>
      </c>
      <c r="J1405" s="7">
        <v>0</v>
      </c>
      <c r="K1405">
        <f t="shared" si="21"/>
        <v>31</v>
      </c>
      <c r="L1405" s="8" t="str" cm="1">
        <f t="array" ref="L1405">_xlfn.IFS(
 AND(K1405&gt;=89,K1405&lt;=92),"3개월",
 AND(K1405&gt;=58,K1405&lt;=62),"2개월",
 AND(K1405&gt;=28,K1405&lt;=32),"1개월",
 AND(K1405=0),"당월",
 TRUE,"그외"
)</f>
        <v>1개월</v>
      </c>
    </row>
    <row r="1406" spans="1:12" ht="17.649999999999999" customHeight="1" x14ac:dyDescent="0.3">
      <c r="A1406" s="5">
        <v>46174</v>
      </c>
      <c r="B1406" s="6" t="s">
        <v>20</v>
      </c>
      <c r="C1406" s="6" t="s">
        <v>36</v>
      </c>
      <c r="D1406" s="5">
        <v>45931</v>
      </c>
      <c r="E1406" s="6" t="s">
        <v>15</v>
      </c>
      <c r="F1406" s="7">
        <v>42</v>
      </c>
      <c r="G1406" s="7">
        <v>159775.9523809524</v>
      </c>
      <c r="H1406" s="7">
        <v>6710590</v>
      </c>
      <c r="I1406" s="7">
        <v>775804</v>
      </c>
      <c r="J1406" s="7">
        <v>0</v>
      </c>
      <c r="K1406">
        <f t="shared" si="21"/>
        <v>243</v>
      </c>
      <c r="L1406" s="8" t="str" cm="1">
        <f t="array" ref="L1406">_xlfn.IFS(
 AND(K1406&gt;=89,K1406&lt;=92),"3개월",
 AND(K1406&gt;=58,K1406&lt;=62),"2개월",
 AND(K1406&gt;=28,K1406&lt;=32),"1개월",
 AND(K1406=0),"당월",
 TRUE,"그외"
)</f>
        <v>그외</v>
      </c>
    </row>
    <row r="1407" spans="1:12" ht="17.649999999999999" customHeight="1" x14ac:dyDescent="0.3">
      <c r="A1407" s="5">
        <v>46174</v>
      </c>
      <c r="B1407" s="6" t="s">
        <v>20</v>
      </c>
      <c r="C1407" s="6" t="s">
        <v>36</v>
      </c>
      <c r="D1407" s="5">
        <v>45962</v>
      </c>
      <c r="E1407" s="6" t="s">
        <v>15</v>
      </c>
      <c r="F1407" s="7">
        <v>48</v>
      </c>
      <c r="G1407" s="7">
        <v>158490.95833333331</v>
      </c>
      <c r="H1407" s="7">
        <v>7607566</v>
      </c>
      <c r="I1407" s="7">
        <v>922380</v>
      </c>
      <c r="J1407" s="7">
        <v>0</v>
      </c>
      <c r="K1407">
        <f t="shared" si="21"/>
        <v>212</v>
      </c>
      <c r="L1407" s="8" t="str" cm="1">
        <f t="array" ref="L1407">_xlfn.IFS(
 AND(K1407&gt;=89,K1407&lt;=92),"3개월",
 AND(K1407&gt;=58,K1407&lt;=62),"2개월",
 AND(K1407&gt;=28,K1407&lt;=32),"1개월",
 AND(K1407=0),"당월",
 TRUE,"그외"
)</f>
        <v>그외</v>
      </c>
    </row>
    <row r="1408" spans="1:12" ht="17.649999999999999" customHeight="1" x14ac:dyDescent="0.3">
      <c r="A1408" s="5">
        <v>46174</v>
      </c>
      <c r="B1408" s="6" t="s">
        <v>20</v>
      </c>
      <c r="C1408" s="6" t="s">
        <v>36</v>
      </c>
      <c r="D1408" s="5">
        <v>45992</v>
      </c>
      <c r="E1408" s="6" t="s">
        <v>15</v>
      </c>
      <c r="F1408" s="7">
        <v>59</v>
      </c>
      <c r="G1408" s="7">
        <v>143576.44067796611</v>
      </c>
      <c r="H1408" s="7">
        <v>8471010</v>
      </c>
      <c r="I1408" s="7">
        <v>1369220</v>
      </c>
      <c r="J1408" s="7">
        <v>0</v>
      </c>
      <c r="K1408">
        <f t="shared" si="21"/>
        <v>182</v>
      </c>
      <c r="L1408" s="8" t="str" cm="1">
        <f t="array" ref="L1408">_xlfn.IFS(
 AND(K1408&gt;=89,K1408&lt;=92),"3개월",
 AND(K1408&gt;=58,K1408&lt;=62),"2개월",
 AND(K1408&gt;=28,K1408&lt;=32),"1개월",
 AND(K1408=0),"당월",
 TRUE,"그외"
)</f>
        <v>그외</v>
      </c>
    </row>
    <row r="1409" spans="1:12" ht="17.649999999999999" customHeight="1" x14ac:dyDescent="0.3">
      <c r="A1409" s="5">
        <v>46174</v>
      </c>
      <c r="B1409" s="6" t="s">
        <v>20</v>
      </c>
      <c r="C1409" s="6" t="s">
        <v>36</v>
      </c>
      <c r="D1409" s="5">
        <v>46023</v>
      </c>
      <c r="E1409" s="6" t="s">
        <v>14</v>
      </c>
      <c r="F1409" s="7">
        <v>8</v>
      </c>
      <c r="G1409" s="7">
        <v>119499</v>
      </c>
      <c r="H1409" s="7">
        <v>955992</v>
      </c>
      <c r="I1409" s="7">
        <v>228408</v>
      </c>
      <c r="J1409" s="7">
        <v>0</v>
      </c>
      <c r="K1409">
        <f t="shared" si="21"/>
        <v>151</v>
      </c>
      <c r="L1409" s="8" t="str" cm="1">
        <f t="array" ref="L1409">_xlfn.IFS(
 AND(K1409&gt;=89,K1409&lt;=92),"3개월",
 AND(K1409&gt;=58,K1409&lt;=62),"2개월",
 AND(K1409&gt;=28,K1409&lt;=32),"1개월",
 AND(K1409=0),"당월",
 TRUE,"그외"
)</f>
        <v>그외</v>
      </c>
    </row>
    <row r="1410" spans="1:12" ht="17.649999999999999" customHeight="1" x14ac:dyDescent="0.3">
      <c r="A1410" s="5">
        <v>46174</v>
      </c>
      <c r="B1410" s="6" t="s">
        <v>20</v>
      </c>
      <c r="C1410" s="6" t="s">
        <v>36</v>
      </c>
      <c r="D1410" s="5">
        <v>46023</v>
      </c>
      <c r="E1410" s="6" t="s">
        <v>15</v>
      </c>
      <c r="F1410" s="7">
        <v>282</v>
      </c>
      <c r="G1410" s="7">
        <v>172189.62411347521</v>
      </c>
      <c r="H1410" s="7">
        <v>48557474</v>
      </c>
      <c r="I1410" s="7">
        <v>6476927</v>
      </c>
      <c r="J1410" s="7">
        <v>0</v>
      </c>
      <c r="K1410">
        <f t="shared" si="21"/>
        <v>151</v>
      </c>
      <c r="L1410" s="8" t="str" cm="1">
        <f t="array" ref="L1410">_xlfn.IFS(
 AND(K1410&gt;=89,K1410&lt;=92),"3개월",
 AND(K1410&gt;=58,K1410&lt;=62),"2개월",
 AND(K1410&gt;=28,K1410&lt;=32),"1개월",
 AND(K1410=0),"당월",
 TRUE,"그외"
)</f>
        <v>그외</v>
      </c>
    </row>
    <row r="1411" spans="1:12" ht="17.649999999999999" customHeight="1" x14ac:dyDescent="0.3">
      <c r="A1411" s="5">
        <v>46174</v>
      </c>
      <c r="B1411" s="6" t="s">
        <v>20</v>
      </c>
      <c r="C1411" s="6" t="s">
        <v>36</v>
      </c>
      <c r="D1411" s="5">
        <v>46054</v>
      </c>
      <c r="E1411" s="6" t="s">
        <v>14</v>
      </c>
      <c r="F1411" s="7">
        <v>14</v>
      </c>
      <c r="G1411" s="7">
        <v>127396.1428571429</v>
      </c>
      <c r="H1411" s="7">
        <v>1783546</v>
      </c>
      <c r="I1411" s="7">
        <v>481700</v>
      </c>
      <c r="J1411" s="7">
        <v>0</v>
      </c>
      <c r="K1411">
        <f t="shared" si="21"/>
        <v>120</v>
      </c>
      <c r="L1411" s="8" t="str" cm="1">
        <f t="array" ref="L1411">_xlfn.IFS(
 AND(K1411&gt;=89,K1411&lt;=92),"3개월",
 AND(K1411&gt;=58,K1411&lt;=62),"2개월",
 AND(K1411&gt;=28,K1411&lt;=32),"1개월",
 AND(K1411=0),"당월",
 TRUE,"그외"
)</f>
        <v>그외</v>
      </c>
    </row>
    <row r="1412" spans="1:12" ht="17.649999999999999" customHeight="1" x14ac:dyDescent="0.3">
      <c r="A1412" s="5">
        <v>46174</v>
      </c>
      <c r="B1412" s="6" t="s">
        <v>20</v>
      </c>
      <c r="C1412" s="6" t="s">
        <v>36</v>
      </c>
      <c r="D1412" s="5">
        <v>46054</v>
      </c>
      <c r="E1412" s="6" t="s">
        <v>15</v>
      </c>
      <c r="F1412" s="7">
        <v>189</v>
      </c>
      <c r="G1412" s="7">
        <v>162039.8148148148</v>
      </c>
      <c r="H1412" s="7">
        <v>30625525</v>
      </c>
      <c r="I1412" s="7">
        <v>4412043</v>
      </c>
      <c r="J1412" s="7">
        <v>0</v>
      </c>
      <c r="K1412">
        <f t="shared" si="21"/>
        <v>120</v>
      </c>
      <c r="L1412" s="8" t="str" cm="1">
        <f t="array" ref="L1412">_xlfn.IFS(
 AND(K1412&gt;=89,K1412&lt;=92),"3개월",
 AND(K1412&gt;=58,K1412&lt;=62),"2개월",
 AND(K1412&gt;=28,K1412&lt;=32),"1개월",
 AND(K1412=0),"당월",
 TRUE,"그외"
)</f>
        <v>그외</v>
      </c>
    </row>
    <row r="1413" spans="1:12" ht="17.649999999999999" customHeight="1" x14ac:dyDescent="0.3">
      <c r="A1413" s="5">
        <v>46174</v>
      </c>
      <c r="B1413" s="6" t="s">
        <v>20</v>
      </c>
      <c r="C1413" s="6" t="s">
        <v>36</v>
      </c>
      <c r="D1413" s="5">
        <v>46082</v>
      </c>
      <c r="E1413" s="6" t="s">
        <v>14</v>
      </c>
      <c r="F1413" s="7">
        <v>428</v>
      </c>
      <c r="G1413" s="7">
        <v>146224.66822429909</v>
      </c>
      <c r="H1413" s="7">
        <v>62584158</v>
      </c>
      <c r="I1413" s="7">
        <v>9475048</v>
      </c>
      <c r="J1413" s="7">
        <v>0</v>
      </c>
      <c r="K1413">
        <f t="shared" si="21"/>
        <v>92</v>
      </c>
      <c r="L1413" s="8" t="str" cm="1">
        <f t="array" ref="L1413">_xlfn.IFS(
 AND(K1413&gt;=89,K1413&lt;=92),"3개월",
 AND(K1413&gt;=58,K1413&lt;=62),"2개월",
 AND(K1413&gt;=28,K1413&lt;=32),"1개월",
 AND(K1413=0),"당월",
 TRUE,"그외"
)</f>
        <v>3개월</v>
      </c>
    </row>
    <row r="1414" spans="1:12" ht="17.649999999999999" customHeight="1" x14ac:dyDescent="0.3">
      <c r="A1414" s="5">
        <v>46174</v>
      </c>
      <c r="B1414" s="6" t="s">
        <v>20</v>
      </c>
      <c r="C1414" s="6" t="s">
        <v>36</v>
      </c>
      <c r="D1414" s="5">
        <v>46082</v>
      </c>
      <c r="E1414" s="6" t="s">
        <v>15</v>
      </c>
      <c r="F1414" s="7">
        <v>1933</v>
      </c>
      <c r="G1414" s="7">
        <v>173865.94516295911</v>
      </c>
      <c r="H1414" s="7">
        <v>336082872</v>
      </c>
      <c r="I1414" s="7">
        <v>38700980</v>
      </c>
      <c r="J1414" s="7">
        <v>0</v>
      </c>
      <c r="K1414">
        <f t="shared" si="21"/>
        <v>92</v>
      </c>
      <c r="L1414" s="8" t="str" cm="1">
        <f t="array" ref="L1414">_xlfn.IFS(
 AND(K1414&gt;=89,K1414&lt;=92),"3개월",
 AND(K1414&gt;=58,K1414&lt;=62),"2개월",
 AND(K1414&gt;=28,K1414&lt;=32),"1개월",
 AND(K1414=0),"당월",
 TRUE,"그외"
)</f>
        <v>3개월</v>
      </c>
    </row>
    <row r="1415" spans="1:12" ht="17.649999999999999" customHeight="1" x14ac:dyDescent="0.3">
      <c r="A1415" s="5">
        <v>46174</v>
      </c>
      <c r="B1415" s="6" t="s">
        <v>20</v>
      </c>
      <c r="C1415" s="6" t="s">
        <v>36</v>
      </c>
      <c r="D1415" s="5">
        <v>46113</v>
      </c>
      <c r="E1415" s="6" t="s">
        <v>14</v>
      </c>
      <c r="F1415" s="7">
        <v>412</v>
      </c>
      <c r="G1415" s="7">
        <v>175652.39320388349</v>
      </c>
      <c r="H1415" s="7">
        <v>72368786</v>
      </c>
      <c r="I1415" s="7">
        <v>21530682</v>
      </c>
      <c r="J1415" s="7">
        <v>0</v>
      </c>
      <c r="K1415">
        <f t="shared" si="21"/>
        <v>61</v>
      </c>
      <c r="L1415" s="8" t="str" cm="1">
        <f t="array" ref="L1415">_xlfn.IFS(
 AND(K1415&gt;=89,K1415&lt;=92),"3개월",
 AND(K1415&gt;=58,K1415&lt;=62),"2개월",
 AND(K1415&gt;=28,K1415&lt;=32),"1개월",
 AND(K1415=0),"당월",
 TRUE,"그외"
)</f>
        <v>2개월</v>
      </c>
    </row>
    <row r="1416" spans="1:12" ht="17.649999999999999" customHeight="1" x14ac:dyDescent="0.3">
      <c r="A1416" s="5">
        <v>46174</v>
      </c>
      <c r="B1416" s="6" t="s">
        <v>20</v>
      </c>
      <c r="C1416" s="6" t="s">
        <v>36</v>
      </c>
      <c r="D1416" s="5">
        <v>46113</v>
      </c>
      <c r="E1416" s="6" t="s">
        <v>15</v>
      </c>
      <c r="F1416" s="7">
        <v>1941</v>
      </c>
      <c r="G1416" s="7">
        <v>168247.12776919111</v>
      </c>
      <c r="H1416" s="7">
        <v>326567675</v>
      </c>
      <c r="I1416" s="7">
        <v>95862691</v>
      </c>
      <c r="J1416" s="7">
        <v>0</v>
      </c>
      <c r="K1416">
        <f t="shared" si="21"/>
        <v>61</v>
      </c>
      <c r="L1416" s="8" t="str" cm="1">
        <f t="array" ref="L1416">_xlfn.IFS(
 AND(K1416&gt;=89,K1416&lt;=92),"3개월",
 AND(K1416&gt;=58,K1416&lt;=62),"2개월",
 AND(K1416&gt;=28,K1416&lt;=32),"1개월",
 AND(K1416=0),"당월",
 TRUE,"그외"
)</f>
        <v>2개월</v>
      </c>
    </row>
    <row r="1417" spans="1:12" ht="17.649999999999999" customHeight="1" x14ac:dyDescent="0.3">
      <c r="A1417" s="5">
        <v>46174</v>
      </c>
      <c r="B1417" s="6" t="s">
        <v>20</v>
      </c>
      <c r="C1417" s="6" t="s">
        <v>36</v>
      </c>
      <c r="D1417" s="5">
        <v>46143</v>
      </c>
      <c r="E1417" s="6" t="s">
        <v>14</v>
      </c>
      <c r="F1417" s="7">
        <v>1</v>
      </c>
      <c r="G1417" s="7">
        <v>177966</v>
      </c>
      <c r="H1417" s="7">
        <v>177966</v>
      </c>
      <c r="I1417" s="7">
        <v>88040</v>
      </c>
      <c r="J1417" s="7">
        <v>0</v>
      </c>
      <c r="K1417">
        <f t="shared" si="21"/>
        <v>31</v>
      </c>
      <c r="L1417" s="8" t="str" cm="1">
        <f t="array" ref="L1417">_xlfn.IFS(
 AND(K1417&gt;=89,K1417&lt;=92),"3개월",
 AND(K1417&gt;=58,K1417&lt;=62),"2개월",
 AND(K1417&gt;=28,K1417&lt;=32),"1개월",
 AND(K1417=0),"당월",
 TRUE,"그외"
)</f>
        <v>1개월</v>
      </c>
    </row>
    <row r="1418" spans="1:12" ht="17.649999999999999" customHeight="1" x14ac:dyDescent="0.3">
      <c r="A1418" s="5">
        <v>46174</v>
      </c>
      <c r="B1418" s="6" t="s">
        <v>20</v>
      </c>
      <c r="C1418" s="6" t="s">
        <v>36</v>
      </c>
      <c r="D1418" s="5">
        <v>46143</v>
      </c>
      <c r="E1418" s="6" t="s">
        <v>15</v>
      </c>
      <c r="F1418" s="7">
        <v>362</v>
      </c>
      <c r="G1418" s="7">
        <v>139117.77624309389</v>
      </c>
      <c r="H1418" s="7">
        <v>50360635</v>
      </c>
      <c r="I1418" s="7">
        <v>26598363</v>
      </c>
      <c r="J1418" s="7">
        <v>0</v>
      </c>
      <c r="K1418">
        <f t="shared" ref="K1418:K1481" si="22">A1418-D1418</f>
        <v>31</v>
      </c>
      <c r="L1418" s="8" t="str" cm="1">
        <f t="array" ref="L1418">_xlfn.IFS(
 AND(K1418&gt;=89,K1418&lt;=92),"3개월",
 AND(K1418&gt;=58,K1418&lt;=62),"2개월",
 AND(K1418&gt;=28,K1418&lt;=32),"1개월",
 AND(K1418=0),"당월",
 TRUE,"그외"
)</f>
        <v>1개월</v>
      </c>
    </row>
    <row r="1419" spans="1:12" ht="17.649999999999999" customHeight="1" x14ac:dyDescent="0.3">
      <c r="A1419" s="5">
        <v>46174</v>
      </c>
      <c r="B1419" s="6" t="s">
        <v>20</v>
      </c>
      <c r="C1419" s="6" t="s">
        <v>37</v>
      </c>
      <c r="D1419" s="5">
        <v>45962</v>
      </c>
      <c r="E1419" s="6" t="s">
        <v>15</v>
      </c>
      <c r="F1419" s="7">
        <v>31</v>
      </c>
      <c r="G1419" s="7">
        <v>104667.29032258069</v>
      </c>
      <c r="H1419" s="7">
        <v>3244686</v>
      </c>
      <c r="I1419" s="7">
        <v>439643</v>
      </c>
      <c r="J1419" s="7">
        <v>0</v>
      </c>
      <c r="K1419">
        <f t="shared" si="22"/>
        <v>212</v>
      </c>
      <c r="L1419" s="8" t="str" cm="1">
        <f t="array" ref="L1419">_xlfn.IFS(
 AND(K1419&gt;=89,K1419&lt;=92),"3개월",
 AND(K1419&gt;=58,K1419&lt;=62),"2개월",
 AND(K1419&gt;=28,K1419&lt;=32),"1개월",
 AND(K1419=0),"당월",
 TRUE,"그외"
)</f>
        <v>그외</v>
      </c>
    </row>
    <row r="1420" spans="1:12" ht="17.649999999999999" customHeight="1" x14ac:dyDescent="0.3">
      <c r="A1420" s="5">
        <v>46174</v>
      </c>
      <c r="B1420" s="6" t="s">
        <v>20</v>
      </c>
      <c r="C1420" s="6" t="s">
        <v>37</v>
      </c>
      <c r="D1420" s="5">
        <v>45992</v>
      </c>
      <c r="E1420" s="6" t="s">
        <v>15</v>
      </c>
      <c r="F1420" s="7">
        <v>100</v>
      </c>
      <c r="G1420" s="7">
        <v>98163.74</v>
      </c>
      <c r="H1420" s="7">
        <v>9816374</v>
      </c>
      <c r="I1420" s="7">
        <v>1327689</v>
      </c>
      <c r="J1420" s="7">
        <v>0</v>
      </c>
      <c r="K1420">
        <f t="shared" si="22"/>
        <v>182</v>
      </c>
      <c r="L1420" s="8" t="str" cm="1">
        <f t="array" ref="L1420">_xlfn.IFS(
 AND(K1420&gt;=89,K1420&lt;=92),"3개월",
 AND(K1420&gt;=58,K1420&lt;=62),"2개월",
 AND(K1420&gt;=28,K1420&lt;=32),"1개월",
 AND(K1420=0),"당월",
 TRUE,"그외"
)</f>
        <v>그외</v>
      </c>
    </row>
    <row r="1421" spans="1:12" ht="17.649999999999999" customHeight="1" x14ac:dyDescent="0.3">
      <c r="A1421" s="5">
        <v>46174</v>
      </c>
      <c r="B1421" s="6" t="s">
        <v>20</v>
      </c>
      <c r="C1421" s="6" t="s">
        <v>37</v>
      </c>
      <c r="D1421" s="5">
        <v>46023</v>
      </c>
      <c r="E1421" s="6" t="s">
        <v>14</v>
      </c>
      <c r="F1421" s="7">
        <v>4</v>
      </c>
      <c r="G1421" s="7">
        <v>111800</v>
      </c>
      <c r="H1421" s="7">
        <v>447200</v>
      </c>
      <c r="I1421" s="7">
        <v>47200</v>
      </c>
      <c r="J1421" s="7">
        <v>0</v>
      </c>
      <c r="K1421">
        <f t="shared" si="22"/>
        <v>151</v>
      </c>
      <c r="L1421" s="8" t="str" cm="1">
        <f t="array" ref="L1421">_xlfn.IFS(
 AND(K1421&gt;=89,K1421&lt;=92),"3개월",
 AND(K1421&gt;=58,K1421&lt;=62),"2개월",
 AND(K1421&gt;=28,K1421&lt;=32),"1개월",
 AND(K1421=0),"당월",
 TRUE,"그외"
)</f>
        <v>그외</v>
      </c>
    </row>
    <row r="1422" spans="1:12" ht="17.649999999999999" customHeight="1" x14ac:dyDescent="0.3">
      <c r="A1422" s="5">
        <v>46174</v>
      </c>
      <c r="B1422" s="6" t="s">
        <v>20</v>
      </c>
      <c r="C1422" s="6" t="s">
        <v>37</v>
      </c>
      <c r="D1422" s="5">
        <v>46023</v>
      </c>
      <c r="E1422" s="6" t="s">
        <v>15</v>
      </c>
      <c r="F1422" s="7">
        <v>157</v>
      </c>
      <c r="G1422" s="7">
        <v>94927.095541401271</v>
      </c>
      <c r="H1422" s="7">
        <v>14903554</v>
      </c>
      <c r="I1422" s="7">
        <v>2480500</v>
      </c>
      <c r="J1422" s="7">
        <v>0</v>
      </c>
      <c r="K1422">
        <f t="shared" si="22"/>
        <v>151</v>
      </c>
      <c r="L1422" s="8" t="str" cm="1">
        <f t="array" ref="L1422">_xlfn.IFS(
 AND(K1422&gt;=89,K1422&lt;=92),"3개월",
 AND(K1422&gt;=58,K1422&lt;=62),"2개월",
 AND(K1422&gt;=28,K1422&lt;=32),"1개월",
 AND(K1422=0),"당월",
 TRUE,"그외"
)</f>
        <v>그외</v>
      </c>
    </row>
    <row r="1423" spans="1:12" ht="17.649999999999999" customHeight="1" x14ac:dyDescent="0.3">
      <c r="A1423" s="5">
        <v>46174</v>
      </c>
      <c r="B1423" s="6" t="s">
        <v>20</v>
      </c>
      <c r="C1423" s="6" t="s">
        <v>37</v>
      </c>
      <c r="D1423" s="5">
        <v>46054</v>
      </c>
      <c r="E1423" s="6" t="s">
        <v>14</v>
      </c>
      <c r="F1423" s="7">
        <v>15</v>
      </c>
      <c r="G1423" s="7">
        <v>122562.73333333329</v>
      </c>
      <c r="H1423" s="7">
        <v>1838441</v>
      </c>
      <c r="I1423" s="7">
        <v>301385</v>
      </c>
      <c r="J1423" s="7">
        <v>0</v>
      </c>
      <c r="K1423">
        <f t="shared" si="22"/>
        <v>120</v>
      </c>
      <c r="L1423" s="8" t="str" cm="1">
        <f t="array" ref="L1423">_xlfn.IFS(
 AND(K1423&gt;=89,K1423&lt;=92),"3개월",
 AND(K1423&gt;=58,K1423&lt;=62),"2개월",
 AND(K1423&gt;=28,K1423&lt;=32),"1개월",
 AND(K1423=0),"당월",
 TRUE,"그외"
)</f>
        <v>그외</v>
      </c>
    </row>
    <row r="1424" spans="1:12" ht="17.649999999999999" customHeight="1" x14ac:dyDescent="0.3">
      <c r="A1424" s="5">
        <v>46174</v>
      </c>
      <c r="B1424" s="6" t="s">
        <v>20</v>
      </c>
      <c r="C1424" s="6" t="s">
        <v>37</v>
      </c>
      <c r="D1424" s="5">
        <v>46054</v>
      </c>
      <c r="E1424" s="6" t="s">
        <v>15</v>
      </c>
      <c r="F1424" s="7">
        <v>530</v>
      </c>
      <c r="G1424" s="7">
        <v>111399.4132075472</v>
      </c>
      <c r="H1424" s="7">
        <v>59041689</v>
      </c>
      <c r="I1424" s="7">
        <v>6593542</v>
      </c>
      <c r="J1424" s="7">
        <v>0</v>
      </c>
      <c r="K1424">
        <f t="shared" si="22"/>
        <v>120</v>
      </c>
      <c r="L1424" s="8" t="str" cm="1">
        <f t="array" ref="L1424">_xlfn.IFS(
 AND(K1424&gt;=89,K1424&lt;=92),"3개월",
 AND(K1424&gt;=58,K1424&lt;=62),"2개월",
 AND(K1424&gt;=28,K1424&lt;=32),"1개월",
 AND(K1424=0),"당월",
 TRUE,"그외"
)</f>
        <v>그외</v>
      </c>
    </row>
    <row r="1425" spans="1:12" ht="17.649999999999999" customHeight="1" x14ac:dyDescent="0.3">
      <c r="A1425" s="5">
        <v>46174</v>
      </c>
      <c r="B1425" s="6" t="s">
        <v>20</v>
      </c>
      <c r="C1425" s="6" t="s">
        <v>37</v>
      </c>
      <c r="D1425" s="5">
        <v>46082</v>
      </c>
      <c r="E1425" s="6" t="s">
        <v>14</v>
      </c>
      <c r="F1425" s="7">
        <v>943</v>
      </c>
      <c r="G1425" s="7">
        <v>134977.11876988341</v>
      </c>
      <c r="H1425" s="7">
        <v>127283423</v>
      </c>
      <c r="I1425" s="7">
        <v>10616972</v>
      </c>
      <c r="J1425" s="7">
        <v>0</v>
      </c>
      <c r="K1425">
        <f t="shared" si="22"/>
        <v>92</v>
      </c>
      <c r="L1425" s="8" t="str" cm="1">
        <f t="array" ref="L1425">_xlfn.IFS(
 AND(K1425&gt;=89,K1425&lt;=92),"3개월",
 AND(K1425&gt;=58,K1425&lt;=62),"2개월",
 AND(K1425&gt;=28,K1425&lt;=32),"1개월",
 AND(K1425=0),"당월",
 TRUE,"그외"
)</f>
        <v>3개월</v>
      </c>
    </row>
    <row r="1426" spans="1:12" ht="17.649999999999999" customHeight="1" x14ac:dyDescent="0.3">
      <c r="A1426" s="5">
        <v>46174</v>
      </c>
      <c r="B1426" s="6" t="s">
        <v>20</v>
      </c>
      <c r="C1426" s="6" t="s">
        <v>37</v>
      </c>
      <c r="D1426" s="5">
        <v>46082</v>
      </c>
      <c r="E1426" s="6" t="s">
        <v>15</v>
      </c>
      <c r="F1426" s="7">
        <v>975</v>
      </c>
      <c r="G1426" s="7">
        <v>132570.26358974361</v>
      </c>
      <c r="H1426" s="7">
        <v>129256007</v>
      </c>
      <c r="I1426" s="7">
        <v>15348199</v>
      </c>
      <c r="J1426" s="7">
        <v>0</v>
      </c>
      <c r="K1426">
        <f t="shared" si="22"/>
        <v>92</v>
      </c>
      <c r="L1426" s="8" t="str" cm="1">
        <f t="array" ref="L1426">_xlfn.IFS(
 AND(K1426&gt;=89,K1426&lt;=92),"3개월",
 AND(K1426&gt;=58,K1426&lt;=62),"2개월",
 AND(K1426&gt;=28,K1426&lt;=32),"1개월",
 AND(K1426=0),"당월",
 TRUE,"그외"
)</f>
        <v>3개월</v>
      </c>
    </row>
    <row r="1427" spans="1:12" ht="17.649999999999999" customHeight="1" x14ac:dyDescent="0.3">
      <c r="A1427" s="5">
        <v>46174</v>
      </c>
      <c r="B1427" s="6" t="s">
        <v>20</v>
      </c>
      <c r="C1427" s="6" t="s">
        <v>37</v>
      </c>
      <c r="D1427" s="5">
        <v>46113</v>
      </c>
      <c r="E1427" s="6" t="s">
        <v>14</v>
      </c>
      <c r="F1427" s="7">
        <v>1837</v>
      </c>
      <c r="G1427" s="7">
        <v>146830.00979858471</v>
      </c>
      <c r="H1427" s="7">
        <v>269726728</v>
      </c>
      <c r="I1427" s="7">
        <v>57401890</v>
      </c>
      <c r="J1427" s="7">
        <v>0</v>
      </c>
      <c r="K1427">
        <f t="shared" si="22"/>
        <v>61</v>
      </c>
      <c r="L1427" s="8" t="str" cm="1">
        <f t="array" ref="L1427">_xlfn.IFS(
 AND(K1427&gt;=89,K1427&lt;=92),"3개월",
 AND(K1427&gt;=58,K1427&lt;=62),"2개월",
 AND(K1427&gt;=28,K1427&lt;=32),"1개월",
 AND(K1427=0),"당월",
 TRUE,"그외"
)</f>
        <v>2개월</v>
      </c>
    </row>
    <row r="1428" spans="1:12" ht="17.649999999999999" customHeight="1" x14ac:dyDescent="0.3">
      <c r="A1428" s="5">
        <v>46174</v>
      </c>
      <c r="B1428" s="6" t="s">
        <v>20</v>
      </c>
      <c r="C1428" s="6" t="s">
        <v>37</v>
      </c>
      <c r="D1428" s="5">
        <v>46113</v>
      </c>
      <c r="E1428" s="6" t="s">
        <v>15</v>
      </c>
      <c r="F1428" s="7">
        <v>887</v>
      </c>
      <c r="G1428" s="7">
        <v>148193.98534385569</v>
      </c>
      <c r="H1428" s="7">
        <v>131448065</v>
      </c>
      <c r="I1428" s="7">
        <v>32364068</v>
      </c>
      <c r="J1428" s="7">
        <v>0</v>
      </c>
      <c r="K1428">
        <f t="shared" si="22"/>
        <v>61</v>
      </c>
      <c r="L1428" s="8" t="str" cm="1">
        <f t="array" ref="L1428">_xlfn.IFS(
 AND(K1428&gt;=89,K1428&lt;=92),"3개월",
 AND(K1428&gt;=58,K1428&lt;=62),"2개월",
 AND(K1428&gt;=28,K1428&lt;=32),"1개월",
 AND(K1428=0),"당월",
 TRUE,"그외"
)</f>
        <v>2개월</v>
      </c>
    </row>
    <row r="1429" spans="1:12" ht="17.649999999999999" customHeight="1" x14ac:dyDescent="0.3">
      <c r="A1429" s="5">
        <v>46174</v>
      </c>
      <c r="B1429" s="6" t="s">
        <v>20</v>
      </c>
      <c r="C1429" s="6" t="s">
        <v>37</v>
      </c>
      <c r="D1429" s="5">
        <v>46143</v>
      </c>
      <c r="E1429" s="6" t="s">
        <v>14</v>
      </c>
      <c r="F1429" s="7">
        <v>7</v>
      </c>
      <c r="G1429" s="7">
        <v>156371.42857142861</v>
      </c>
      <c r="H1429" s="7">
        <v>1094600</v>
      </c>
      <c r="I1429" s="7">
        <v>354600</v>
      </c>
      <c r="J1429" s="7">
        <v>0</v>
      </c>
      <c r="K1429">
        <f t="shared" si="22"/>
        <v>31</v>
      </c>
      <c r="L1429" s="8" t="str" cm="1">
        <f t="array" ref="L1429">_xlfn.IFS(
 AND(K1429&gt;=89,K1429&lt;=92),"3개월",
 AND(K1429&gt;=58,K1429&lt;=62),"2개월",
 AND(K1429&gt;=28,K1429&lt;=32),"1개월",
 AND(K1429=0),"당월",
 TRUE,"그외"
)</f>
        <v>1개월</v>
      </c>
    </row>
    <row r="1430" spans="1:12" ht="17.649999999999999" customHeight="1" x14ac:dyDescent="0.3">
      <c r="A1430" s="5">
        <v>46174</v>
      </c>
      <c r="B1430" s="6" t="s">
        <v>20</v>
      </c>
      <c r="C1430" s="6" t="s">
        <v>37</v>
      </c>
      <c r="D1430" s="5">
        <v>46143</v>
      </c>
      <c r="E1430" s="6" t="s">
        <v>15</v>
      </c>
      <c r="F1430" s="7">
        <v>146</v>
      </c>
      <c r="G1430" s="7">
        <v>149106.36986301371</v>
      </c>
      <c r="H1430" s="7">
        <v>21769530</v>
      </c>
      <c r="I1430" s="7">
        <v>8583272</v>
      </c>
      <c r="J1430" s="7">
        <v>0</v>
      </c>
      <c r="K1430">
        <f t="shared" si="22"/>
        <v>31</v>
      </c>
      <c r="L1430" s="8" t="str" cm="1">
        <f t="array" ref="L1430">_xlfn.IFS(
 AND(K1430&gt;=89,K1430&lt;=92),"3개월",
 AND(K1430&gt;=58,K1430&lt;=62),"2개월",
 AND(K1430&gt;=28,K1430&lt;=32),"1개월",
 AND(K1430=0),"당월",
 TRUE,"그외"
)</f>
        <v>1개월</v>
      </c>
    </row>
    <row r="1431" spans="1:12" ht="17.649999999999999" customHeight="1" x14ac:dyDescent="0.3">
      <c r="A1431" s="5">
        <v>46174</v>
      </c>
      <c r="B1431" s="6" t="s">
        <v>20</v>
      </c>
      <c r="C1431" s="6" t="s">
        <v>38</v>
      </c>
      <c r="D1431" s="5">
        <v>45992</v>
      </c>
      <c r="E1431" s="6" t="s">
        <v>14</v>
      </c>
      <c r="F1431" s="7">
        <v>2</v>
      </c>
      <c r="G1431" s="7">
        <v>90998.5</v>
      </c>
      <c r="H1431" s="7">
        <v>181997</v>
      </c>
      <c r="I1431" s="7">
        <v>58782</v>
      </c>
      <c r="J1431" s="7">
        <v>0</v>
      </c>
      <c r="K1431">
        <f t="shared" si="22"/>
        <v>182</v>
      </c>
      <c r="L1431" s="8" t="str" cm="1">
        <f t="array" ref="L1431">_xlfn.IFS(
 AND(K1431&gt;=89,K1431&lt;=92),"3개월",
 AND(K1431&gt;=58,K1431&lt;=62),"2개월",
 AND(K1431&gt;=28,K1431&lt;=32),"1개월",
 AND(K1431=0),"당월",
 TRUE,"그외"
)</f>
        <v>그외</v>
      </c>
    </row>
    <row r="1432" spans="1:12" ht="17.649999999999999" customHeight="1" x14ac:dyDescent="0.3">
      <c r="A1432" s="5">
        <v>46174</v>
      </c>
      <c r="B1432" s="6" t="s">
        <v>20</v>
      </c>
      <c r="C1432" s="6" t="s">
        <v>38</v>
      </c>
      <c r="D1432" s="5">
        <v>46023</v>
      </c>
      <c r="E1432" s="6" t="s">
        <v>15</v>
      </c>
      <c r="F1432" s="7">
        <v>36</v>
      </c>
      <c r="G1432" s="7">
        <v>85315.277777777781</v>
      </c>
      <c r="H1432" s="7">
        <v>3071350</v>
      </c>
      <c r="I1432" s="7">
        <v>661467</v>
      </c>
      <c r="J1432" s="7">
        <v>0</v>
      </c>
      <c r="K1432">
        <f t="shared" si="22"/>
        <v>151</v>
      </c>
      <c r="L1432" s="8" t="str" cm="1">
        <f t="array" ref="L1432">_xlfn.IFS(
 AND(K1432&gt;=89,K1432&lt;=92),"3개월",
 AND(K1432&gt;=58,K1432&lt;=62),"2개월",
 AND(K1432&gt;=28,K1432&lt;=32),"1개월",
 AND(K1432=0),"당월",
 TRUE,"그외"
)</f>
        <v>그외</v>
      </c>
    </row>
    <row r="1433" spans="1:12" ht="17.649999999999999" customHeight="1" x14ac:dyDescent="0.3">
      <c r="A1433" s="5">
        <v>46174</v>
      </c>
      <c r="B1433" s="6" t="s">
        <v>20</v>
      </c>
      <c r="C1433" s="6" t="s">
        <v>38</v>
      </c>
      <c r="D1433" s="5">
        <v>46054</v>
      </c>
      <c r="E1433" s="6" t="s">
        <v>14</v>
      </c>
      <c r="F1433" s="7">
        <v>15</v>
      </c>
      <c r="G1433" s="7">
        <v>71001.600000000006</v>
      </c>
      <c r="H1433" s="7">
        <v>1065024</v>
      </c>
      <c r="I1433" s="7">
        <v>191142</v>
      </c>
      <c r="J1433" s="7">
        <v>0</v>
      </c>
      <c r="K1433">
        <f t="shared" si="22"/>
        <v>120</v>
      </c>
      <c r="L1433" s="8" t="str" cm="1">
        <f t="array" ref="L1433">_xlfn.IFS(
 AND(K1433&gt;=89,K1433&lt;=92),"3개월",
 AND(K1433&gt;=58,K1433&lt;=62),"2개월",
 AND(K1433&gt;=28,K1433&lt;=32),"1개월",
 AND(K1433=0),"당월",
 TRUE,"그외"
)</f>
        <v>그외</v>
      </c>
    </row>
    <row r="1434" spans="1:12" ht="17.649999999999999" customHeight="1" x14ac:dyDescent="0.3">
      <c r="A1434" s="5">
        <v>46174</v>
      </c>
      <c r="B1434" s="6" t="s">
        <v>20</v>
      </c>
      <c r="C1434" s="6" t="s">
        <v>38</v>
      </c>
      <c r="D1434" s="5">
        <v>46054</v>
      </c>
      <c r="E1434" s="6" t="s">
        <v>15</v>
      </c>
      <c r="F1434" s="7">
        <v>153</v>
      </c>
      <c r="G1434" s="7">
        <v>77698.248366013067</v>
      </c>
      <c r="H1434" s="7">
        <v>11887832</v>
      </c>
      <c r="I1434" s="7">
        <v>3320447</v>
      </c>
      <c r="J1434" s="7">
        <v>0</v>
      </c>
      <c r="K1434">
        <f t="shared" si="22"/>
        <v>120</v>
      </c>
      <c r="L1434" s="8" t="str" cm="1">
        <f t="array" ref="L1434">_xlfn.IFS(
 AND(K1434&gt;=89,K1434&lt;=92),"3개월",
 AND(K1434&gt;=58,K1434&lt;=62),"2개월",
 AND(K1434&gt;=28,K1434&lt;=32),"1개월",
 AND(K1434=0),"당월",
 TRUE,"그외"
)</f>
        <v>그외</v>
      </c>
    </row>
    <row r="1435" spans="1:12" ht="17.649999999999999" customHeight="1" x14ac:dyDescent="0.3">
      <c r="A1435" s="5">
        <v>46174</v>
      </c>
      <c r="B1435" s="6" t="s">
        <v>20</v>
      </c>
      <c r="C1435" s="6" t="s">
        <v>38</v>
      </c>
      <c r="D1435" s="5">
        <v>46082</v>
      </c>
      <c r="E1435" s="6" t="s">
        <v>14</v>
      </c>
      <c r="F1435" s="7">
        <v>534</v>
      </c>
      <c r="G1435" s="7">
        <v>74637.172284644199</v>
      </c>
      <c r="H1435" s="7">
        <v>39856250</v>
      </c>
      <c r="I1435" s="7">
        <v>5619990</v>
      </c>
      <c r="J1435" s="7">
        <v>0</v>
      </c>
      <c r="K1435">
        <f t="shared" si="22"/>
        <v>92</v>
      </c>
      <c r="L1435" s="8" t="str" cm="1">
        <f t="array" ref="L1435">_xlfn.IFS(
 AND(K1435&gt;=89,K1435&lt;=92),"3개월",
 AND(K1435&gt;=58,K1435&lt;=62),"2개월",
 AND(K1435&gt;=28,K1435&lt;=32),"1개월",
 AND(K1435=0),"당월",
 TRUE,"그외"
)</f>
        <v>3개월</v>
      </c>
    </row>
    <row r="1436" spans="1:12" ht="17.649999999999999" customHeight="1" x14ac:dyDescent="0.3">
      <c r="A1436" s="5">
        <v>46174</v>
      </c>
      <c r="B1436" s="6" t="s">
        <v>20</v>
      </c>
      <c r="C1436" s="6" t="s">
        <v>38</v>
      </c>
      <c r="D1436" s="5">
        <v>46082</v>
      </c>
      <c r="E1436" s="6" t="s">
        <v>15</v>
      </c>
      <c r="F1436" s="7">
        <v>550</v>
      </c>
      <c r="G1436" s="7">
        <v>91483.96727272727</v>
      </c>
      <c r="H1436" s="7">
        <v>50316182</v>
      </c>
      <c r="I1436" s="7">
        <v>7548752</v>
      </c>
      <c r="J1436" s="7">
        <v>0</v>
      </c>
      <c r="K1436">
        <f t="shared" si="22"/>
        <v>92</v>
      </c>
      <c r="L1436" s="8" t="str" cm="1">
        <f t="array" ref="L1436">_xlfn.IFS(
 AND(K1436&gt;=89,K1436&lt;=92),"3개월",
 AND(K1436&gt;=58,K1436&lt;=62),"2개월",
 AND(K1436&gt;=28,K1436&lt;=32),"1개월",
 AND(K1436=0),"당월",
 TRUE,"그외"
)</f>
        <v>3개월</v>
      </c>
    </row>
    <row r="1437" spans="1:12" ht="17.649999999999999" customHeight="1" x14ac:dyDescent="0.3">
      <c r="A1437" s="5">
        <v>46174</v>
      </c>
      <c r="B1437" s="6" t="s">
        <v>20</v>
      </c>
      <c r="C1437" s="6" t="s">
        <v>38</v>
      </c>
      <c r="D1437" s="5">
        <v>46113</v>
      </c>
      <c r="E1437" s="6" t="s">
        <v>14</v>
      </c>
      <c r="F1437" s="7">
        <v>399</v>
      </c>
      <c r="G1437" s="7">
        <v>129532.4912280702</v>
      </c>
      <c r="H1437" s="7">
        <v>51683464</v>
      </c>
      <c r="I1437" s="7">
        <v>12808032</v>
      </c>
      <c r="J1437" s="7">
        <v>0</v>
      </c>
      <c r="K1437">
        <f t="shared" si="22"/>
        <v>61</v>
      </c>
      <c r="L1437" s="8" t="str" cm="1">
        <f t="array" ref="L1437">_xlfn.IFS(
 AND(K1437&gt;=89,K1437&lt;=92),"3개월",
 AND(K1437&gt;=58,K1437&lt;=62),"2개월",
 AND(K1437&gt;=28,K1437&lt;=32),"1개월",
 AND(K1437=0),"당월",
 TRUE,"그외"
)</f>
        <v>2개월</v>
      </c>
    </row>
    <row r="1438" spans="1:12" ht="17.649999999999999" customHeight="1" x14ac:dyDescent="0.3">
      <c r="A1438" s="5">
        <v>46174</v>
      </c>
      <c r="B1438" s="6" t="s">
        <v>20</v>
      </c>
      <c r="C1438" s="6" t="s">
        <v>38</v>
      </c>
      <c r="D1438" s="5">
        <v>46113</v>
      </c>
      <c r="E1438" s="6" t="s">
        <v>15</v>
      </c>
      <c r="F1438" s="7">
        <v>425</v>
      </c>
      <c r="G1438" s="7">
        <v>111875.6941176471</v>
      </c>
      <c r="H1438" s="7">
        <v>47547170</v>
      </c>
      <c r="I1438" s="7">
        <v>14652367</v>
      </c>
      <c r="J1438" s="7">
        <v>0</v>
      </c>
      <c r="K1438">
        <f t="shared" si="22"/>
        <v>61</v>
      </c>
      <c r="L1438" s="8" t="str" cm="1">
        <f t="array" ref="L1438">_xlfn.IFS(
 AND(K1438&gt;=89,K1438&lt;=92),"3개월",
 AND(K1438&gt;=58,K1438&lt;=62),"2개월",
 AND(K1438&gt;=28,K1438&lt;=32),"1개월",
 AND(K1438=0),"당월",
 TRUE,"그외"
)</f>
        <v>2개월</v>
      </c>
    </row>
    <row r="1439" spans="1:12" ht="17.649999999999999" customHeight="1" x14ac:dyDescent="0.3">
      <c r="A1439" s="5">
        <v>46174</v>
      </c>
      <c r="B1439" s="6" t="s">
        <v>20</v>
      </c>
      <c r="C1439" s="6" t="s">
        <v>38</v>
      </c>
      <c r="D1439" s="5">
        <v>46143</v>
      </c>
      <c r="E1439" s="6" t="s">
        <v>15</v>
      </c>
      <c r="F1439" s="7">
        <v>41</v>
      </c>
      <c r="G1439" s="7">
        <v>121018.8048780488</v>
      </c>
      <c r="H1439" s="7">
        <v>4961771</v>
      </c>
      <c r="I1439" s="7">
        <v>2494364</v>
      </c>
      <c r="J1439" s="7">
        <v>0</v>
      </c>
      <c r="K1439">
        <f t="shared" si="22"/>
        <v>31</v>
      </c>
      <c r="L1439" s="8" t="str" cm="1">
        <f t="array" ref="L1439">_xlfn.IFS(
 AND(K1439&gt;=89,K1439&lt;=92),"3개월",
 AND(K1439&gt;=58,K1439&lt;=62),"2개월",
 AND(K1439&gt;=28,K1439&lt;=32),"1개월",
 AND(K1439=0),"당월",
 TRUE,"그외"
)</f>
        <v>1개월</v>
      </c>
    </row>
    <row r="1440" spans="1:12" ht="17.649999999999999" customHeight="1" x14ac:dyDescent="0.3">
      <c r="A1440" s="5">
        <v>46174</v>
      </c>
      <c r="B1440" s="6" t="s">
        <v>40</v>
      </c>
      <c r="C1440" s="6" t="s">
        <v>91</v>
      </c>
      <c r="D1440" s="5">
        <v>46113</v>
      </c>
      <c r="E1440" s="6" t="s">
        <v>14</v>
      </c>
      <c r="F1440" s="7">
        <v>19</v>
      </c>
      <c r="G1440" s="7">
        <v>162564.73684210531</v>
      </c>
      <c r="H1440" s="7">
        <v>3088730</v>
      </c>
      <c r="I1440" s="7">
        <v>1229600</v>
      </c>
      <c r="J1440" s="7">
        <v>0</v>
      </c>
      <c r="K1440">
        <f t="shared" si="22"/>
        <v>61</v>
      </c>
      <c r="L1440" s="8" t="str" cm="1">
        <f t="array" ref="L1440">_xlfn.IFS(
 AND(K1440&gt;=89,K1440&lt;=92),"3개월",
 AND(K1440&gt;=58,K1440&lt;=62),"2개월",
 AND(K1440&gt;=28,K1440&lt;=32),"1개월",
 AND(K1440=0),"당월",
 TRUE,"그외"
)</f>
        <v>2개월</v>
      </c>
    </row>
    <row r="1441" spans="1:12" ht="17.649999999999999" customHeight="1" x14ac:dyDescent="0.3">
      <c r="A1441" s="5">
        <v>46174</v>
      </c>
      <c r="B1441" s="6" t="s">
        <v>40</v>
      </c>
      <c r="C1441" s="6" t="s">
        <v>91</v>
      </c>
      <c r="D1441" s="5">
        <v>46113</v>
      </c>
      <c r="E1441" s="6" t="s">
        <v>15</v>
      </c>
      <c r="F1441" s="7">
        <v>156</v>
      </c>
      <c r="G1441" s="7">
        <v>143610.78205128209</v>
      </c>
      <c r="H1441" s="7">
        <v>22403282</v>
      </c>
      <c r="I1441" s="7">
        <v>7336867</v>
      </c>
      <c r="J1441" s="7">
        <v>0</v>
      </c>
      <c r="K1441">
        <f t="shared" si="22"/>
        <v>61</v>
      </c>
      <c r="L1441" s="8" t="str" cm="1">
        <f t="array" ref="L1441">_xlfn.IFS(
 AND(K1441&gt;=89,K1441&lt;=92),"3개월",
 AND(K1441&gt;=58,K1441&lt;=62),"2개월",
 AND(K1441&gt;=28,K1441&lt;=32),"1개월",
 AND(K1441=0),"당월",
 TRUE,"그외"
)</f>
        <v>2개월</v>
      </c>
    </row>
    <row r="1442" spans="1:12" ht="17.649999999999999" customHeight="1" x14ac:dyDescent="0.3">
      <c r="A1442" s="5">
        <v>46174</v>
      </c>
      <c r="B1442" s="6" t="s">
        <v>40</v>
      </c>
      <c r="C1442" s="6" t="s">
        <v>91</v>
      </c>
      <c r="D1442" s="5">
        <v>46143</v>
      </c>
      <c r="E1442" s="6" t="s">
        <v>14</v>
      </c>
      <c r="F1442" s="7">
        <v>29</v>
      </c>
      <c r="G1442" s="7">
        <v>170258.41379310339</v>
      </c>
      <c r="H1442" s="7">
        <v>4937494</v>
      </c>
      <c r="I1442" s="7">
        <v>2011452</v>
      </c>
      <c r="J1442" s="7">
        <v>0</v>
      </c>
      <c r="K1442">
        <f t="shared" si="22"/>
        <v>31</v>
      </c>
      <c r="L1442" s="8" t="str" cm="1">
        <f t="array" ref="L1442">_xlfn.IFS(
 AND(K1442&gt;=89,K1442&lt;=92),"3개월",
 AND(K1442&gt;=58,K1442&lt;=62),"2개월",
 AND(K1442&gt;=28,K1442&lt;=32),"1개월",
 AND(K1442=0),"당월",
 TRUE,"그외"
)</f>
        <v>1개월</v>
      </c>
    </row>
    <row r="1443" spans="1:12" ht="17.649999999999999" customHeight="1" x14ac:dyDescent="0.3">
      <c r="A1443" s="5">
        <v>46174</v>
      </c>
      <c r="B1443" s="6" t="s">
        <v>40</v>
      </c>
      <c r="C1443" s="6" t="s">
        <v>91</v>
      </c>
      <c r="D1443" s="5">
        <v>46143</v>
      </c>
      <c r="E1443" s="6" t="s">
        <v>15</v>
      </c>
      <c r="F1443" s="7">
        <v>28</v>
      </c>
      <c r="G1443" s="7">
        <v>176785.92857142861</v>
      </c>
      <c r="H1443" s="7">
        <v>4950006</v>
      </c>
      <c r="I1443" s="7">
        <v>1868530</v>
      </c>
      <c r="J1443" s="7">
        <v>0</v>
      </c>
      <c r="K1443">
        <f t="shared" si="22"/>
        <v>31</v>
      </c>
      <c r="L1443" s="8" t="str" cm="1">
        <f t="array" ref="L1443">_xlfn.IFS(
 AND(K1443&gt;=89,K1443&lt;=92),"3개월",
 AND(K1443&gt;=58,K1443&lt;=62),"2개월",
 AND(K1443&gt;=28,K1443&lt;=32),"1개월",
 AND(K1443=0),"당월",
 TRUE,"그외"
)</f>
        <v>1개월</v>
      </c>
    </row>
    <row r="1444" spans="1:12" ht="17.649999999999999" customHeight="1" x14ac:dyDescent="0.3">
      <c r="A1444" s="5">
        <v>46174</v>
      </c>
      <c r="B1444" s="6" t="s">
        <v>40</v>
      </c>
      <c r="C1444" s="6" t="s">
        <v>41</v>
      </c>
      <c r="D1444" s="5">
        <v>46054</v>
      </c>
      <c r="E1444" s="6" t="s">
        <v>15</v>
      </c>
      <c r="F1444" s="7">
        <v>33</v>
      </c>
      <c r="G1444" s="7">
        <v>154099.15151515149</v>
      </c>
      <c r="H1444" s="7">
        <v>5085272</v>
      </c>
      <c r="I1444" s="7">
        <v>552011</v>
      </c>
      <c r="J1444" s="7">
        <v>0</v>
      </c>
      <c r="K1444">
        <f t="shared" si="22"/>
        <v>120</v>
      </c>
      <c r="L1444" s="8" t="str" cm="1">
        <f t="array" ref="L1444">_xlfn.IFS(
 AND(K1444&gt;=89,K1444&lt;=92),"3개월",
 AND(K1444&gt;=58,K1444&lt;=62),"2개월",
 AND(K1444&gt;=28,K1444&lt;=32),"1개월",
 AND(K1444=0),"당월",
 TRUE,"그외"
)</f>
        <v>그외</v>
      </c>
    </row>
    <row r="1445" spans="1:12" ht="17.649999999999999" customHeight="1" x14ac:dyDescent="0.3">
      <c r="A1445" s="5">
        <v>46174</v>
      </c>
      <c r="B1445" s="6" t="s">
        <v>40</v>
      </c>
      <c r="C1445" s="6" t="s">
        <v>41</v>
      </c>
      <c r="D1445" s="5">
        <v>46082</v>
      </c>
      <c r="E1445" s="6" t="s">
        <v>14</v>
      </c>
      <c r="F1445" s="7">
        <v>187</v>
      </c>
      <c r="G1445" s="7">
        <v>155757.43315508019</v>
      </c>
      <c r="H1445" s="7">
        <v>29126640</v>
      </c>
      <c r="I1445" s="7">
        <v>12148046</v>
      </c>
      <c r="J1445" s="7">
        <v>0</v>
      </c>
      <c r="K1445">
        <f t="shared" si="22"/>
        <v>92</v>
      </c>
      <c r="L1445" s="8" t="str" cm="1">
        <f t="array" ref="L1445">_xlfn.IFS(
 AND(K1445&gt;=89,K1445&lt;=92),"3개월",
 AND(K1445&gt;=58,K1445&lt;=62),"2개월",
 AND(K1445&gt;=28,K1445&lt;=32),"1개월",
 AND(K1445=0),"당월",
 TRUE,"그외"
)</f>
        <v>3개월</v>
      </c>
    </row>
    <row r="1446" spans="1:12" ht="17.649999999999999" customHeight="1" x14ac:dyDescent="0.3">
      <c r="A1446" s="5">
        <v>46174</v>
      </c>
      <c r="B1446" s="6" t="s">
        <v>40</v>
      </c>
      <c r="C1446" s="6" t="s">
        <v>41</v>
      </c>
      <c r="D1446" s="5">
        <v>46082</v>
      </c>
      <c r="E1446" s="6" t="s">
        <v>15</v>
      </c>
      <c r="F1446" s="7">
        <v>159</v>
      </c>
      <c r="G1446" s="7">
        <v>174457.641509434</v>
      </c>
      <c r="H1446" s="7">
        <v>27738765</v>
      </c>
      <c r="I1446" s="7">
        <v>4136476</v>
      </c>
      <c r="J1446" s="7">
        <v>0</v>
      </c>
      <c r="K1446">
        <f t="shared" si="22"/>
        <v>92</v>
      </c>
      <c r="L1446" s="8" t="str" cm="1">
        <f t="array" ref="L1446">_xlfn.IFS(
 AND(K1446&gt;=89,K1446&lt;=92),"3개월",
 AND(K1446&gt;=58,K1446&lt;=62),"2개월",
 AND(K1446&gt;=28,K1446&lt;=32),"1개월",
 AND(K1446=0),"당월",
 TRUE,"그외"
)</f>
        <v>3개월</v>
      </c>
    </row>
    <row r="1447" spans="1:12" ht="17.649999999999999" customHeight="1" x14ac:dyDescent="0.3">
      <c r="A1447" s="5">
        <v>46174</v>
      </c>
      <c r="B1447" s="6" t="s">
        <v>40</v>
      </c>
      <c r="C1447" s="6" t="s">
        <v>41</v>
      </c>
      <c r="D1447" s="5">
        <v>46113</v>
      </c>
      <c r="E1447" s="6" t="s">
        <v>14</v>
      </c>
      <c r="F1447" s="7">
        <v>537</v>
      </c>
      <c r="G1447" s="7">
        <v>159442.312849162</v>
      </c>
      <c r="H1447" s="7">
        <v>85620522</v>
      </c>
      <c r="I1447" s="7">
        <v>40541149</v>
      </c>
      <c r="J1447" s="7">
        <v>0</v>
      </c>
      <c r="K1447">
        <f t="shared" si="22"/>
        <v>61</v>
      </c>
      <c r="L1447" s="8" t="str" cm="1">
        <f t="array" ref="L1447">_xlfn.IFS(
 AND(K1447&gt;=89,K1447&lt;=92),"3개월",
 AND(K1447&gt;=58,K1447&lt;=62),"2개월",
 AND(K1447&gt;=28,K1447&lt;=32),"1개월",
 AND(K1447=0),"당월",
 TRUE,"그외"
)</f>
        <v>2개월</v>
      </c>
    </row>
    <row r="1448" spans="1:12" ht="17.649999999999999" customHeight="1" x14ac:dyDescent="0.3">
      <c r="A1448" s="5">
        <v>46174</v>
      </c>
      <c r="B1448" s="6" t="s">
        <v>40</v>
      </c>
      <c r="C1448" s="6" t="s">
        <v>41</v>
      </c>
      <c r="D1448" s="5">
        <v>46113</v>
      </c>
      <c r="E1448" s="6" t="s">
        <v>15</v>
      </c>
      <c r="F1448" s="7">
        <v>372</v>
      </c>
      <c r="G1448" s="7">
        <v>211857.65591397849</v>
      </c>
      <c r="H1448" s="7">
        <v>78811048</v>
      </c>
      <c r="I1448" s="7">
        <v>22269085</v>
      </c>
      <c r="J1448" s="7">
        <v>0</v>
      </c>
      <c r="K1448">
        <f t="shared" si="22"/>
        <v>61</v>
      </c>
      <c r="L1448" s="8" t="str" cm="1">
        <f t="array" ref="L1448">_xlfn.IFS(
 AND(K1448&gt;=89,K1448&lt;=92),"3개월",
 AND(K1448&gt;=58,K1448&lt;=62),"2개월",
 AND(K1448&gt;=28,K1448&lt;=32),"1개월",
 AND(K1448=0),"당월",
 TRUE,"그외"
)</f>
        <v>2개월</v>
      </c>
    </row>
    <row r="1449" spans="1:12" ht="17.649999999999999" customHeight="1" x14ac:dyDescent="0.3">
      <c r="A1449" s="5">
        <v>46174</v>
      </c>
      <c r="B1449" s="6" t="s">
        <v>40</v>
      </c>
      <c r="C1449" s="6" t="s">
        <v>41</v>
      </c>
      <c r="D1449" s="5">
        <v>46143</v>
      </c>
      <c r="E1449" s="6" t="s">
        <v>14</v>
      </c>
      <c r="F1449" s="7">
        <v>119</v>
      </c>
      <c r="G1449" s="7">
        <v>176106.70588235301</v>
      </c>
      <c r="H1449" s="7">
        <v>20956698</v>
      </c>
      <c r="I1449" s="7">
        <v>10809513</v>
      </c>
      <c r="J1449" s="7">
        <v>0</v>
      </c>
      <c r="K1449">
        <f t="shared" si="22"/>
        <v>31</v>
      </c>
      <c r="L1449" s="8" t="str" cm="1">
        <f t="array" ref="L1449">_xlfn.IFS(
 AND(K1449&gt;=89,K1449&lt;=92),"3개월",
 AND(K1449&gt;=58,K1449&lt;=62),"2개월",
 AND(K1449&gt;=28,K1449&lt;=32),"1개월",
 AND(K1449=0),"당월",
 TRUE,"그외"
)</f>
        <v>1개월</v>
      </c>
    </row>
    <row r="1450" spans="1:12" ht="17.649999999999999" customHeight="1" x14ac:dyDescent="0.3">
      <c r="A1450" s="5">
        <v>46174</v>
      </c>
      <c r="B1450" s="6" t="s">
        <v>40</v>
      </c>
      <c r="C1450" s="6" t="s">
        <v>41</v>
      </c>
      <c r="D1450" s="5">
        <v>46143</v>
      </c>
      <c r="E1450" s="6" t="s">
        <v>15</v>
      </c>
      <c r="F1450" s="7">
        <v>111</v>
      </c>
      <c r="G1450" s="7">
        <v>93897.08108108108</v>
      </c>
      <c r="H1450" s="7">
        <v>10422576</v>
      </c>
      <c r="I1450" s="7">
        <v>4076518</v>
      </c>
      <c r="J1450" s="7">
        <v>0</v>
      </c>
      <c r="K1450">
        <f t="shared" si="22"/>
        <v>31</v>
      </c>
      <c r="L1450" s="8" t="str" cm="1">
        <f t="array" ref="L1450">_xlfn.IFS(
 AND(K1450&gt;=89,K1450&lt;=92),"3개월",
 AND(K1450&gt;=58,K1450&lt;=62),"2개월",
 AND(K1450&gt;=28,K1450&lt;=32),"1개월",
 AND(K1450=0),"당월",
 TRUE,"그외"
)</f>
        <v>1개월</v>
      </c>
    </row>
    <row r="1451" spans="1:12" ht="17.649999999999999" customHeight="1" x14ac:dyDescent="0.3">
      <c r="A1451" s="5">
        <v>46174</v>
      </c>
      <c r="B1451" s="6" t="s">
        <v>40</v>
      </c>
      <c r="C1451" s="6" t="s">
        <v>42</v>
      </c>
      <c r="D1451" s="5">
        <v>46082</v>
      </c>
      <c r="E1451" s="6" t="s">
        <v>14</v>
      </c>
      <c r="F1451" s="7">
        <v>822</v>
      </c>
      <c r="G1451" s="7">
        <v>238308.02919708029</v>
      </c>
      <c r="H1451" s="7">
        <v>195889200</v>
      </c>
      <c r="I1451" s="7">
        <v>14467200</v>
      </c>
      <c r="J1451" s="7">
        <v>0</v>
      </c>
      <c r="K1451">
        <f t="shared" si="22"/>
        <v>92</v>
      </c>
      <c r="L1451" s="8" t="str" cm="1">
        <f t="array" ref="L1451">_xlfn.IFS(
 AND(K1451&gt;=89,K1451&lt;=92),"3개월",
 AND(K1451&gt;=58,K1451&lt;=62),"2개월",
 AND(K1451&gt;=28,K1451&lt;=32),"1개월",
 AND(K1451=0),"당월",
 TRUE,"그외"
)</f>
        <v>3개월</v>
      </c>
    </row>
    <row r="1452" spans="1:12" ht="17.649999999999999" customHeight="1" x14ac:dyDescent="0.3">
      <c r="A1452" s="5">
        <v>46174</v>
      </c>
      <c r="B1452" s="6" t="s">
        <v>40</v>
      </c>
      <c r="C1452" s="6" t="s">
        <v>42</v>
      </c>
      <c r="D1452" s="5">
        <v>46113</v>
      </c>
      <c r="E1452" s="6" t="s">
        <v>14</v>
      </c>
      <c r="F1452" s="7">
        <v>152</v>
      </c>
      <c r="G1452" s="7">
        <v>264481.57894736843</v>
      </c>
      <c r="H1452" s="7">
        <v>40201200</v>
      </c>
      <c r="I1452" s="7">
        <v>7982200</v>
      </c>
      <c r="J1452" s="7">
        <v>0</v>
      </c>
      <c r="K1452">
        <f t="shared" si="22"/>
        <v>61</v>
      </c>
      <c r="L1452" s="8" t="str" cm="1">
        <f t="array" ref="L1452">_xlfn.IFS(
 AND(K1452&gt;=89,K1452&lt;=92),"3개월",
 AND(K1452&gt;=58,K1452&lt;=62),"2개월",
 AND(K1452&gt;=28,K1452&lt;=32),"1개월",
 AND(K1452=0),"당월",
 TRUE,"그외"
)</f>
        <v>2개월</v>
      </c>
    </row>
    <row r="1453" spans="1:12" ht="17.649999999999999" customHeight="1" x14ac:dyDescent="0.3">
      <c r="A1453" s="5">
        <v>46174</v>
      </c>
      <c r="B1453" s="6" t="s">
        <v>40</v>
      </c>
      <c r="C1453" s="6" t="s">
        <v>42</v>
      </c>
      <c r="D1453" s="5">
        <v>46143</v>
      </c>
      <c r="E1453" s="6" t="s">
        <v>14</v>
      </c>
      <c r="F1453" s="7">
        <v>28</v>
      </c>
      <c r="G1453" s="7">
        <v>203600</v>
      </c>
      <c r="H1453" s="7">
        <v>5700800</v>
      </c>
      <c r="I1453" s="7">
        <v>2900800</v>
      </c>
      <c r="J1453" s="7">
        <v>0</v>
      </c>
      <c r="K1453">
        <f t="shared" si="22"/>
        <v>31</v>
      </c>
      <c r="L1453" s="8" t="str" cm="1">
        <f t="array" ref="L1453">_xlfn.IFS(
 AND(K1453&gt;=89,K1453&lt;=92),"3개월",
 AND(K1453&gt;=58,K1453&lt;=62),"2개월",
 AND(K1453&gt;=28,K1453&lt;=32),"1개월",
 AND(K1453=0),"당월",
 TRUE,"그외"
)</f>
        <v>1개월</v>
      </c>
    </row>
    <row r="1454" spans="1:12" ht="17.649999999999999" customHeight="1" x14ac:dyDescent="0.3">
      <c r="A1454" s="5">
        <v>46174</v>
      </c>
      <c r="B1454" s="6" t="s">
        <v>40</v>
      </c>
      <c r="C1454" s="6" t="s">
        <v>92</v>
      </c>
      <c r="D1454" s="5">
        <v>46054</v>
      </c>
      <c r="E1454" s="6" t="s">
        <v>14</v>
      </c>
      <c r="F1454" s="7">
        <v>376</v>
      </c>
      <c r="G1454" s="7">
        <v>160656.38297872341</v>
      </c>
      <c r="H1454" s="7">
        <v>60406800</v>
      </c>
      <c r="I1454" s="7">
        <v>2744800</v>
      </c>
      <c r="J1454" s="7">
        <v>0</v>
      </c>
      <c r="K1454">
        <f t="shared" si="22"/>
        <v>120</v>
      </c>
      <c r="L1454" s="8" t="str" cm="1">
        <f t="array" ref="L1454">_xlfn.IFS(
 AND(K1454&gt;=89,K1454&lt;=92),"3개월",
 AND(K1454&gt;=58,K1454&lt;=62),"2개월",
 AND(K1454&gt;=28,K1454&lt;=32),"1개월",
 AND(K1454=0),"당월",
 TRUE,"그외"
)</f>
        <v>그외</v>
      </c>
    </row>
    <row r="1455" spans="1:12" ht="17.649999999999999" customHeight="1" x14ac:dyDescent="0.3">
      <c r="A1455" s="5">
        <v>46174</v>
      </c>
      <c r="B1455" s="6" t="s">
        <v>40</v>
      </c>
      <c r="C1455" s="6" t="s">
        <v>92</v>
      </c>
      <c r="D1455" s="5">
        <v>46082</v>
      </c>
      <c r="E1455" s="6" t="s">
        <v>14</v>
      </c>
      <c r="F1455" s="7">
        <v>2476</v>
      </c>
      <c r="G1455" s="7">
        <v>164137.5916801292</v>
      </c>
      <c r="H1455" s="7">
        <v>406404677</v>
      </c>
      <c r="I1455" s="7">
        <v>26314991</v>
      </c>
      <c r="J1455" s="7">
        <v>0</v>
      </c>
      <c r="K1455">
        <f t="shared" si="22"/>
        <v>92</v>
      </c>
      <c r="L1455" s="8" t="str" cm="1">
        <f t="array" ref="L1455">_xlfn.IFS(
 AND(K1455&gt;=89,K1455&lt;=92),"3개월",
 AND(K1455&gt;=58,K1455&lt;=62),"2개월",
 AND(K1455&gt;=28,K1455&lt;=32),"1개월",
 AND(K1455=0),"당월",
 TRUE,"그외"
)</f>
        <v>3개월</v>
      </c>
    </row>
    <row r="1456" spans="1:12" ht="17.649999999999999" customHeight="1" x14ac:dyDescent="0.3">
      <c r="A1456" s="5">
        <v>46174</v>
      </c>
      <c r="B1456" s="6" t="s">
        <v>40</v>
      </c>
      <c r="C1456" s="6" t="s">
        <v>92</v>
      </c>
      <c r="D1456" s="5">
        <v>46082</v>
      </c>
      <c r="E1456" s="6" t="s">
        <v>15</v>
      </c>
      <c r="F1456" s="7">
        <v>50</v>
      </c>
      <c r="G1456" s="7">
        <v>149810.04</v>
      </c>
      <c r="H1456" s="7">
        <v>7490502</v>
      </c>
      <c r="I1456" s="7">
        <v>589381</v>
      </c>
      <c r="J1456" s="7">
        <v>0</v>
      </c>
      <c r="K1456">
        <f t="shared" si="22"/>
        <v>92</v>
      </c>
      <c r="L1456" s="8" t="str" cm="1">
        <f t="array" ref="L1456">_xlfn.IFS(
 AND(K1456&gt;=89,K1456&lt;=92),"3개월",
 AND(K1456&gt;=58,K1456&lt;=62),"2개월",
 AND(K1456&gt;=28,K1456&lt;=32),"1개월",
 AND(K1456=0),"당월",
 TRUE,"그외"
)</f>
        <v>3개월</v>
      </c>
    </row>
    <row r="1457" spans="1:12" ht="17.649999999999999" customHeight="1" x14ac:dyDescent="0.3">
      <c r="A1457" s="5">
        <v>46174</v>
      </c>
      <c r="B1457" s="6" t="s">
        <v>40</v>
      </c>
      <c r="C1457" s="6" t="s">
        <v>92</v>
      </c>
      <c r="D1457" s="5">
        <v>46113</v>
      </c>
      <c r="E1457" s="6" t="s">
        <v>14</v>
      </c>
      <c r="F1457" s="7">
        <v>640</v>
      </c>
      <c r="G1457" s="7">
        <v>183269.80937500001</v>
      </c>
      <c r="H1457" s="7">
        <v>117292678</v>
      </c>
      <c r="I1457" s="7">
        <v>19919451</v>
      </c>
      <c r="J1457" s="7">
        <v>0</v>
      </c>
      <c r="K1457">
        <f t="shared" si="22"/>
        <v>61</v>
      </c>
      <c r="L1457" s="8" t="str" cm="1">
        <f t="array" ref="L1457">_xlfn.IFS(
 AND(K1457&gt;=89,K1457&lt;=92),"3개월",
 AND(K1457&gt;=58,K1457&lt;=62),"2개월",
 AND(K1457&gt;=28,K1457&lt;=32),"1개월",
 AND(K1457=0),"당월",
 TRUE,"그외"
)</f>
        <v>2개월</v>
      </c>
    </row>
    <row r="1458" spans="1:12" ht="17.649999999999999" customHeight="1" x14ac:dyDescent="0.3">
      <c r="A1458" s="5">
        <v>46174</v>
      </c>
      <c r="B1458" s="6" t="s">
        <v>40</v>
      </c>
      <c r="C1458" s="6" t="s">
        <v>92</v>
      </c>
      <c r="D1458" s="5">
        <v>46113</v>
      </c>
      <c r="E1458" s="6" t="s">
        <v>15</v>
      </c>
      <c r="F1458" s="7">
        <v>71</v>
      </c>
      <c r="G1458" s="7">
        <v>184689.19718309859</v>
      </c>
      <c r="H1458" s="7">
        <v>13112933</v>
      </c>
      <c r="I1458" s="7">
        <v>2403025</v>
      </c>
      <c r="J1458" s="7">
        <v>0</v>
      </c>
      <c r="K1458">
        <f t="shared" si="22"/>
        <v>61</v>
      </c>
      <c r="L1458" s="8" t="str" cm="1">
        <f t="array" ref="L1458">_xlfn.IFS(
 AND(K1458&gt;=89,K1458&lt;=92),"3개월",
 AND(K1458&gt;=58,K1458&lt;=62),"2개월",
 AND(K1458&gt;=28,K1458&lt;=32),"1개월",
 AND(K1458=0),"당월",
 TRUE,"그외"
)</f>
        <v>2개월</v>
      </c>
    </row>
    <row r="1459" spans="1:12" ht="17.649999999999999" customHeight="1" x14ac:dyDescent="0.3">
      <c r="A1459" s="5">
        <v>46174</v>
      </c>
      <c r="B1459" s="6" t="s">
        <v>40</v>
      </c>
      <c r="C1459" s="6" t="s">
        <v>92</v>
      </c>
      <c r="D1459" s="5">
        <v>46143</v>
      </c>
      <c r="E1459" s="6" t="s">
        <v>14</v>
      </c>
      <c r="F1459" s="7">
        <v>10</v>
      </c>
      <c r="G1459" s="7">
        <v>104738</v>
      </c>
      <c r="H1459" s="7">
        <v>1047380</v>
      </c>
      <c r="I1459" s="7">
        <v>742268</v>
      </c>
      <c r="J1459" s="7">
        <v>0</v>
      </c>
      <c r="K1459">
        <f t="shared" si="22"/>
        <v>31</v>
      </c>
      <c r="L1459" s="8" t="str" cm="1">
        <f t="array" ref="L1459">_xlfn.IFS(
 AND(K1459&gt;=89,K1459&lt;=92),"3개월",
 AND(K1459&gt;=58,K1459&lt;=62),"2개월",
 AND(K1459&gt;=28,K1459&lt;=32),"1개월",
 AND(K1459=0),"당월",
 TRUE,"그외"
)</f>
        <v>1개월</v>
      </c>
    </row>
    <row r="1460" spans="1:12" ht="17.649999999999999" customHeight="1" x14ac:dyDescent="0.3">
      <c r="A1460" s="5">
        <v>46174</v>
      </c>
      <c r="B1460" s="6" t="s">
        <v>40</v>
      </c>
      <c r="C1460" s="6" t="s">
        <v>92</v>
      </c>
      <c r="D1460" s="5">
        <v>46143</v>
      </c>
      <c r="E1460" s="6" t="s">
        <v>15</v>
      </c>
      <c r="F1460" s="7">
        <v>37</v>
      </c>
      <c r="G1460" s="7">
        <v>140463.13513513509</v>
      </c>
      <c r="H1460" s="7">
        <v>5197136</v>
      </c>
      <c r="I1460" s="7">
        <v>1367455</v>
      </c>
      <c r="J1460" s="7">
        <v>0</v>
      </c>
      <c r="K1460">
        <f t="shared" si="22"/>
        <v>31</v>
      </c>
      <c r="L1460" s="8" t="str" cm="1">
        <f t="array" ref="L1460">_xlfn.IFS(
 AND(K1460&gt;=89,K1460&lt;=92),"3개월",
 AND(K1460&gt;=58,K1460&lt;=62),"2개월",
 AND(K1460&gt;=28,K1460&lt;=32),"1개월",
 AND(K1460=0),"당월",
 TRUE,"그외"
)</f>
        <v>1개월</v>
      </c>
    </row>
    <row r="1461" spans="1:12" ht="17.649999999999999" customHeight="1" x14ac:dyDescent="0.3">
      <c r="A1461" s="5">
        <v>46174</v>
      </c>
      <c r="B1461" s="6" t="s">
        <v>40</v>
      </c>
      <c r="C1461" s="6" t="s">
        <v>93</v>
      </c>
      <c r="D1461" s="5">
        <v>46082</v>
      </c>
      <c r="E1461" s="6" t="s">
        <v>14</v>
      </c>
      <c r="F1461" s="7">
        <v>4223</v>
      </c>
      <c r="G1461" s="7">
        <v>163497.0163390954</v>
      </c>
      <c r="H1461" s="7">
        <v>690447900</v>
      </c>
      <c r="I1461" s="7">
        <v>43496900</v>
      </c>
      <c r="J1461" s="7">
        <v>0</v>
      </c>
      <c r="K1461">
        <f t="shared" si="22"/>
        <v>92</v>
      </c>
      <c r="L1461" s="8" t="str" cm="1">
        <f t="array" ref="L1461">_xlfn.IFS(
 AND(K1461&gt;=89,K1461&lt;=92),"3개월",
 AND(K1461&gt;=58,K1461&lt;=62),"2개월",
 AND(K1461&gt;=28,K1461&lt;=32),"1개월",
 AND(K1461=0),"당월",
 TRUE,"그외"
)</f>
        <v>3개월</v>
      </c>
    </row>
    <row r="1462" spans="1:12" ht="17.649999999999999" customHeight="1" x14ac:dyDescent="0.3">
      <c r="A1462" s="5">
        <v>46174</v>
      </c>
      <c r="B1462" s="6" t="s">
        <v>40</v>
      </c>
      <c r="C1462" s="6" t="s">
        <v>93</v>
      </c>
      <c r="D1462" s="5">
        <v>46082</v>
      </c>
      <c r="E1462" s="6" t="s">
        <v>15</v>
      </c>
      <c r="F1462" s="7">
        <v>34</v>
      </c>
      <c r="G1462" s="7">
        <v>187005.8823529412</v>
      </c>
      <c r="H1462" s="7">
        <v>6358200</v>
      </c>
      <c r="I1462" s="7">
        <v>350200</v>
      </c>
      <c r="J1462" s="7">
        <v>0</v>
      </c>
      <c r="K1462">
        <f t="shared" si="22"/>
        <v>92</v>
      </c>
      <c r="L1462" s="8" t="str" cm="1">
        <f t="array" ref="L1462">_xlfn.IFS(
 AND(K1462&gt;=89,K1462&lt;=92),"3개월",
 AND(K1462&gt;=58,K1462&lt;=62),"2개월",
 AND(K1462&gt;=28,K1462&lt;=32),"1개월",
 AND(K1462=0),"당월",
 TRUE,"그외"
)</f>
        <v>3개월</v>
      </c>
    </row>
    <row r="1463" spans="1:12" ht="17.649999999999999" customHeight="1" x14ac:dyDescent="0.3">
      <c r="A1463" s="5">
        <v>46174</v>
      </c>
      <c r="B1463" s="6" t="s">
        <v>40</v>
      </c>
      <c r="C1463" s="6" t="s">
        <v>93</v>
      </c>
      <c r="D1463" s="5">
        <v>46113</v>
      </c>
      <c r="E1463" s="6" t="s">
        <v>14</v>
      </c>
      <c r="F1463" s="7">
        <v>602</v>
      </c>
      <c r="G1463" s="7">
        <v>178651.3289036545</v>
      </c>
      <c r="H1463" s="7">
        <v>107548100</v>
      </c>
      <c r="I1463" s="7">
        <v>17988100</v>
      </c>
      <c r="J1463" s="7">
        <v>0</v>
      </c>
      <c r="K1463">
        <f t="shared" si="22"/>
        <v>61</v>
      </c>
      <c r="L1463" s="8" t="str" cm="1">
        <f t="array" ref="L1463">_xlfn.IFS(
 AND(K1463&gt;=89,K1463&lt;=92),"3개월",
 AND(K1463&gt;=58,K1463&lt;=62),"2개월",
 AND(K1463&gt;=28,K1463&lt;=32),"1개월",
 AND(K1463=0),"당월",
 TRUE,"그외"
)</f>
        <v>2개월</v>
      </c>
    </row>
    <row r="1464" spans="1:12" ht="17.649999999999999" customHeight="1" x14ac:dyDescent="0.3">
      <c r="A1464" s="5">
        <v>46174</v>
      </c>
      <c r="B1464" s="6" t="s">
        <v>40</v>
      </c>
      <c r="C1464" s="6" t="s">
        <v>93</v>
      </c>
      <c r="D1464" s="5">
        <v>46113</v>
      </c>
      <c r="E1464" s="6" t="s">
        <v>15</v>
      </c>
      <c r="F1464" s="7">
        <v>52</v>
      </c>
      <c r="G1464" s="7">
        <v>235857.6153846154</v>
      </c>
      <c r="H1464" s="7">
        <v>12264596</v>
      </c>
      <c r="I1464" s="7">
        <v>2093999</v>
      </c>
      <c r="J1464" s="7">
        <v>0</v>
      </c>
      <c r="K1464">
        <f t="shared" si="22"/>
        <v>61</v>
      </c>
      <c r="L1464" s="8" t="str" cm="1">
        <f t="array" ref="L1464">_xlfn.IFS(
 AND(K1464&gt;=89,K1464&lt;=92),"3개월",
 AND(K1464&gt;=58,K1464&lt;=62),"2개월",
 AND(K1464&gt;=28,K1464&lt;=32),"1개월",
 AND(K1464=0),"당월",
 TRUE,"그외"
)</f>
        <v>2개월</v>
      </c>
    </row>
    <row r="1465" spans="1:12" ht="17.649999999999999" customHeight="1" x14ac:dyDescent="0.3">
      <c r="A1465" s="5">
        <v>46174</v>
      </c>
      <c r="B1465" s="6" t="s">
        <v>40</v>
      </c>
      <c r="C1465" s="6" t="s">
        <v>93</v>
      </c>
      <c r="D1465" s="5">
        <v>46143</v>
      </c>
      <c r="E1465" s="6" t="s">
        <v>14</v>
      </c>
      <c r="F1465" s="7">
        <v>4</v>
      </c>
      <c r="G1465" s="7">
        <v>147800</v>
      </c>
      <c r="H1465" s="7">
        <v>591200</v>
      </c>
      <c r="I1465" s="7">
        <v>41200</v>
      </c>
      <c r="J1465" s="7">
        <v>0</v>
      </c>
      <c r="K1465">
        <f t="shared" si="22"/>
        <v>31</v>
      </c>
      <c r="L1465" s="8" t="str" cm="1">
        <f t="array" ref="L1465">_xlfn.IFS(
 AND(K1465&gt;=89,K1465&lt;=92),"3개월",
 AND(K1465&gt;=58,K1465&lt;=62),"2개월",
 AND(K1465&gt;=28,K1465&lt;=32),"1개월",
 AND(K1465=0),"당월",
 TRUE,"그외"
)</f>
        <v>1개월</v>
      </c>
    </row>
    <row r="1466" spans="1:12" ht="17.649999999999999" customHeight="1" x14ac:dyDescent="0.3">
      <c r="A1466" s="5">
        <v>46174</v>
      </c>
      <c r="B1466" s="6" t="s">
        <v>40</v>
      </c>
      <c r="C1466" s="6" t="s">
        <v>93</v>
      </c>
      <c r="D1466" s="5">
        <v>46143</v>
      </c>
      <c r="E1466" s="6" t="s">
        <v>15</v>
      </c>
      <c r="F1466" s="7">
        <v>4</v>
      </c>
      <c r="G1466" s="7">
        <v>76702.25</v>
      </c>
      <c r="H1466" s="7">
        <v>306809</v>
      </c>
      <c r="I1466" s="7">
        <v>58809</v>
      </c>
      <c r="J1466" s="7">
        <v>0</v>
      </c>
      <c r="K1466">
        <f t="shared" si="22"/>
        <v>31</v>
      </c>
      <c r="L1466" s="8" t="str" cm="1">
        <f t="array" ref="L1466">_xlfn.IFS(
 AND(K1466&gt;=89,K1466&lt;=92),"3개월",
 AND(K1466&gt;=58,K1466&lt;=62),"2개월",
 AND(K1466&gt;=28,K1466&lt;=32),"1개월",
 AND(K1466=0),"당월",
 TRUE,"그외"
)</f>
        <v>1개월</v>
      </c>
    </row>
    <row r="1467" spans="1:12" ht="17.649999999999999" customHeight="1" x14ac:dyDescent="0.3">
      <c r="A1467" s="5">
        <v>46174</v>
      </c>
      <c r="B1467" s="6" t="s">
        <v>40</v>
      </c>
      <c r="C1467" s="6" t="s">
        <v>47</v>
      </c>
      <c r="D1467" s="5">
        <v>45992</v>
      </c>
      <c r="E1467" s="6" t="s">
        <v>15</v>
      </c>
      <c r="F1467" s="7">
        <v>23</v>
      </c>
      <c r="G1467" s="7">
        <v>129230.347826087</v>
      </c>
      <c r="H1467" s="7">
        <v>2972298</v>
      </c>
      <c r="I1467" s="7">
        <v>577000</v>
      </c>
      <c r="J1467" s="7">
        <v>0</v>
      </c>
      <c r="K1467">
        <f t="shared" si="22"/>
        <v>182</v>
      </c>
      <c r="L1467" s="8" t="str" cm="1">
        <f t="array" ref="L1467">_xlfn.IFS(
 AND(K1467&gt;=89,K1467&lt;=92),"3개월",
 AND(K1467&gt;=58,K1467&lt;=62),"2개월",
 AND(K1467&gt;=28,K1467&lt;=32),"1개월",
 AND(K1467=0),"당월",
 TRUE,"그외"
)</f>
        <v>그외</v>
      </c>
    </row>
    <row r="1468" spans="1:12" ht="17.649999999999999" customHeight="1" x14ac:dyDescent="0.3">
      <c r="A1468" s="5">
        <v>46174</v>
      </c>
      <c r="B1468" s="6" t="s">
        <v>40</v>
      </c>
      <c r="C1468" s="6" t="s">
        <v>47</v>
      </c>
      <c r="D1468" s="5">
        <v>46023</v>
      </c>
      <c r="E1468" s="6" t="s">
        <v>15</v>
      </c>
      <c r="F1468" s="7">
        <v>61</v>
      </c>
      <c r="G1468" s="7">
        <v>137296.18032786879</v>
      </c>
      <c r="H1468" s="7">
        <v>8375067</v>
      </c>
      <c r="I1468" s="7">
        <v>1652304</v>
      </c>
      <c r="J1468" s="7">
        <v>0</v>
      </c>
      <c r="K1468">
        <f t="shared" si="22"/>
        <v>151</v>
      </c>
      <c r="L1468" s="8" t="str" cm="1">
        <f t="array" ref="L1468">_xlfn.IFS(
 AND(K1468&gt;=89,K1468&lt;=92),"3개월",
 AND(K1468&gt;=58,K1468&lt;=62),"2개월",
 AND(K1468&gt;=28,K1468&lt;=32),"1개월",
 AND(K1468=0),"당월",
 TRUE,"그외"
)</f>
        <v>그외</v>
      </c>
    </row>
    <row r="1469" spans="1:12" ht="17.649999999999999" customHeight="1" x14ac:dyDescent="0.3">
      <c r="A1469" s="5">
        <v>46174</v>
      </c>
      <c r="B1469" s="6" t="s">
        <v>40</v>
      </c>
      <c r="C1469" s="6" t="s">
        <v>47</v>
      </c>
      <c r="D1469" s="5">
        <v>46054</v>
      </c>
      <c r="E1469" s="6" t="s">
        <v>15</v>
      </c>
      <c r="F1469" s="7">
        <v>81</v>
      </c>
      <c r="G1469" s="7">
        <v>134304.06172839511</v>
      </c>
      <c r="H1469" s="7">
        <v>10878629</v>
      </c>
      <c r="I1469" s="7">
        <v>1666278</v>
      </c>
      <c r="J1469" s="7">
        <v>0</v>
      </c>
      <c r="K1469">
        <f t="shared" si="22"/>
        <v>120</v>
      </c>
      <c r="L1469" s="8" t="str" cm="1">
        <f t="array" ref="L1469">_xlfn.IFS(
 AND(K1469&gt;=89,K1469&lt;=92),"3개월",
 AND(K1469&gt;=58,K1469&lt;=62),"2개월",
 AND(K1469&gt;=28,K1469&lt;=32),"1개월",
 AND(K1469=0),"당월",
 TRUE,"그외"
)</f>
        <v>그외</v>
      </c>
    </row>
    <row r="1470" spans="1:12" ht="17.649999999999999" customHeight="1" x14ac:dyDescent="0.3">
      <c r="A1470" s="5">
        <v>46174</v>
      </c>
      <c r="B1470" s="6" t="s">
        <v>40</v>
      </c>
      <c r="C1470" s="6" t="s">
        <v>47</v>
      </c>
      <c r="D1470" s="5">
        <v>46082</v>
      </c>
      <c r="E1470" s="6" t="s">
        <v>14</v>
      </c>
      <c r="F1470" s="7">
        <v>168</v>
      </c>
      <c r="G1470" s="7">
        <v>106604.48809523811</v>
      </c>
      <c r="H1470" s="7">
        <v>17909554</v>
      </c>
      <c r="I1470" s="7">
        <v>4531560</v>
      </c>
      <c r="J1470" s="7">
        <v>0</v>
      </c>
      <c r="K1470">
        <f t="shared" si="22"/>
        <v>92</v>
      </c>
      <c r="L1470" s="8" t="str" cm="1">
        <f t="array" ref="L1470">_xlfn.IFS(
 AND(K1470&gt;=89,K1470&lt;=92),"3개월",
 AND(K1470&gt;=58,K1470&lt;=62),"2개월",
 AND(K1470&gt;=28,K1470&lt;=32),"1개월",
 AND(K1470=0),"당월",
 TRUE,"그외"
)</f>
        <v>3개월</v>
      </c>
    </row>
    <row r="1471" spans="1:12" ht="17.649999999999999" customHeight="1" x14ac:dyDescent="0.3">
      <c r="A1471" s="5">
        <v>46174</v>
      </c>
      <c r="B1471" s="6" t="s">
        <v>40</v>
      </c>
      <c r="C1471" s="6" t="s">
        <v>47</v>
      </c>
      <c r="D1471" s="5">
        <v>46082</v>
      </c>
      <c r="E1471" s="6" t="s">
        <v>15</v>
      </c>
      <c r="F1471" s="7">
        <v>1615</v>
      </c>
      <c r="G1471" s="7">
        <v>130515.83962848299</v>
      </c>
      <c r="H1471" s="7">
        <v>210783081</v>
      </c>
      <c r="I1471" s="7">
        <v>43658092</v>
      </c>
      <c r="J1471" s="7">
        <v>0</v>
      </c>
      <c r="K1471">
        <f t="shared" si="22"/>
        <v>92</v>
      </c>
      <c r="L1471" s="8" t="str" cm="1">
        <f t="array" ref="L1471">_xlfn.IFS(
 AND(K1471&gt;=89,K1471&lt;=92),"3개월",
 AND(K1471&gt;=58,K1471&lt;=62),"2개월",
 AND(K1471&gt;=28,K1471&lt;=32),"1개월",
 AND(K1471=0),"당월",
 TRUE,"그외"
)</f>
        <v>3개월</v>
      </c>
    </row>
    <row r="1472" spans="1:12" ht="17.649999999999999" customHeight="1" x14ac:dyDescent="0.3">
      <c r="A1472" s="5">
        <v>46174</v>
      </c>
      <c r="B1472" s="6" t="s">
        <v>40</v>
      </c>
      <c r="C1472" s="6" t="s">
        <v>47</v>
      </c>
      <c r="D1472" s="5">
        <v>46113</v>
      </c>
      <c r="E1472" s="6" t="s">
        <v>14</v>
      </c>
      <c r="F1472" s="7">
        <v>434</v>
      </c>
      <c r="G1472" s="7">
        <v>129931.198156682</v>
      </c>
      <c r="H1472" s="7">
        <v>56390140</v>
      </c>
      <c r="I1472" s="7">
        <v>30542479</v>
      </c>
      <c r="J1472" s="7">
        <v>0</v>
      </c>
      <c r="K1472">
        <f t="shared" si="22"/>
        <v>61</v>
      </c>
      <c r="L1472" s="8" t="str" cm="1">
        <f t="array" ref="L1472">_xlfn.IFS(
 AND(K1472&gt;=89,K1472&lt;=92),"3개월",
 AND(K1472&gt;=58,K1472&lt;=62),"2개월",
 AND(K1472&gt;=28,K1472&lt;=32),"1개월",
 AND(K1472=0),"당월",
 TRUE,"그외"
)</f>
        <v>2개월</v>
      </c>
    </row>
    <row r="1473" spans="1:12" ht="17.649999999999999" customHeight="1" x14ac:dyDescent="0.3">
      <c r="A1473" s="5">
        <v>46174</v>
      </c>
      <c r="B1473" s="6" t="s">
        <v>40</v>
      </c>
      <c r="C1473" s="6" t="s">
        <v>47</v>
      </c>
      <c r="D1473" s="5">
        <v>46113</v>
      </c>
      <c r="E1473" s="6" t="s">
        <v>15</v>
      </c>
      <c r="F1473" s="7">
        <v>1525</v>
      </c>
      <c r="G1473" s="7">
        <v>166636.5370491803</v>
      </c>
      <c r="H1473" s="7">
        <v>254120719</v>
      </c>
      <c r="I1473" s="7">
        <v>104751590</v>
      </c>
      <c r="J1473" s="7">
        <v>0</v>
      </c>
      <c r="K1473">
        <f t="shared" si="22"/>
        <v>61</v>
      </c>
      <c r="L1473" s="8" t="str" cm="1">
        <f t="array" ref="L1473">_xlfn.IFS(
 AND(K1473&gt;=89,K1473&lt;=92),"3개월",
 AND(K1473&gt;=58,K1473&lt;=62),"2개월",
 AND(K1473&gt;=28,K1473&lt;=32),"1개월",
 AND(K1473=0),"당월",
 TRUE,"그외"
)</f>
        <v>2개월</v>
      </c>
    </row>
    <row r="1474" spans="1:12" ht="17.649999999999999" customHeight="1" x14ac:dyDescent="0.3">
      <c r="A1474" s="5">
        <v>46174</v>
      </c>
      <c r="B1474" s="6" t="s">
        <v>40</v>
      </c>
      <c r="C1474" s="6" t="s">
        <v>47</v>
      </c>
      <c r="D1474" s="5">
        <v>46143</v>
      </c>
      <c r="E1474" s="6" t="s">
        <v>14</v>
      </c>
      <c r="F1474" s="7">
        <v>65</v>
      </c>
      <c r="G1474" s="7">
        <v>114384.73846153849</v>
      </c>
      <c r="H1474" s="7">
        <v>7435008</v>
      </c>
      <c r="I1474" s="7">
        <v>5231854</v>
      </c>
      <c r="J1474" s="7">
        <v>0</v>
      </c>
      <c r="K1474">
        <f t="shared" si="22"/>
        <v>31</v>
      </c>
      <c r="L1474" s="8" t="str" cm="1">
        <f t="array" ref="L1474">_xlfn.IFS(
 AND(K1474&gt;=89,K1474&lt;=92),"3개월",
 AND(K1474&gt;=58,K1474&lt;=62),"2개월",
 AND(K1474&gt;=28,K1474&lt;=32),"1개월",
 AND(K1474=0),"당월",
 TRUE,"그외"
)</f>
        <v>1개월</v>
      </c>
    </row>
    <row r="1475" spans="1:12" ht="17.649999999999999" customHeight="1" x14ac:dyDescent="0.3">
      <c r="A1475" s="5">
        <v>46174</v>
      </c>
      <c r="B1475" s="6" t="s">
        <v>40</v>
      </c>
      <c r="C1475" s="6" t="s">
        <v>47</v>
      </c>
      <c r="D1475" s="5">
        <v>46143</v>
      </c>
      <c r="E1475" s="6" t="s">
        <v>15</v>
      </c>
      <c r="F1475" s="7">
        <v>495</v>
      </c>
      <c r="G1475" s="7">
        <v>154965.23636363639</v>
      </c>
      <c r="H1475" s="7">
        <v>76707792</v>
      </c>
      <c r="I1475" s="7">
        <v>38036698</v>
      </c>
      <c r="J1475" s="7">
        <v>0</v>
      </c>
      <c r="K1475">
        <f t="shared" si="22"/>
        <v>31</v>
      </c>
      <c r="L1475" s="8" t="str" cm="1">
        <f t="array" ref="L1475">_xlfn.IFS(
 AND(K1475&gt;=89,K1475&lt;=92),"3개월",
 AND(K1475&gt;=58,K1475&lt;=62),"2개월",
 AND(K1475&gt;=28,K1475&lt;=32),"1개월",
 AND(K1475=0),"당월",
 TRUE,"그외"
)</f>
        <v>1개월</v>
      </c>
    </row>
    <row r="1476" spans="1:12" ht="17.649999999999999" customHeight="1" x14ac:dyDescent="0.3">
      <c r="A1476" s="5">
        <v>46174</v>
      </c>
      <c r="B1476" s="6" t="s">
        <v>40</v>
      </c>
      <c r="C1476" s="6" t="s">
        <v>48</v>
      </c>
      <c r="D1476" s="5">
        <v>46023</v>
      </c>
      <c r="E1476" s="6" t="s">
        <v>15</v>
      </c>
      <c r="F1476" s="7">
        <v>45</v>
      </c>
      <c r="G1476" s="7">
        <v>205282.24444444451</v>
      </c>
      <c r="H1476" s="7">
        <v>9237701</v>
      </c>
      <c r="I1476" s="7">
        <v>1213434</v>
      </c>
      <c r="J1476" s="7">
        <v>0</v>
      </c>
      <c r="K1476">
        <f t="shared" si="22"/>
        <v>151</v>
      </c>
      <c r="L1476" s="8" t="str" cm="1">
        <f t="array" ref="L1476">_xlfn.IFS(
 AND(K1476&gt;=89,K1476&lt;=92),"3개월",
 AND(K1476&gt;=58,K1476&lt;=62),"2개월",
 AND(K1476&gt;=28,K1476&lt;=32),"1개월",
 AND(K1476=0),"당월",
 TRUE,"그외"
)</f>
        <v>그외</v>
      </c>
    </row>
    <row r="1477" spans="1:12" ht="17.649999999999999" customHeight="1" x14ac:dyDescent="0.3">
      <c r="A1477" s="5">
        <v>46174</v>
      </c>
      <c r="B1477" s="6" t="s">
        <v>40</v>
      </c>
      <c r="C1477" s="6" t="s">
        <v>48</v>
      </c>
      <c r="D1477" s="5">
        <v>46054</v>
      </c>
      <c r="E1477" s="6" t="s">
        <v>14</v>
      </c>
      <c r="F1477" s="7">
        <v>34</v>
      </c>
      <c r="G1477" s="7">
        <v>137600</v>
      </c>
      <c r="H1477" s="7">
        <v>4678400</v>
      </c>
      <c r="I1477" s="7">
        <v>598400</v>
      </c>
      <c r="J1477" s="7">
        <v>0</v>
      </c>
      <c r="K1477">
        <f t="shared" si="22"/>
        <v>120</v>
      </c>
      <c r="L1477" s="8" t="str" cm="1">
        <f t="array" ref="L1477">_xlfn.IFS(
 AND(K1477&gt;=89,K1477&lt;=92),"3개월",
 AND(K1477&gt;=58,K1477&lt;=62),"2개월",
 AND(K1477&gt;=28,K1477&lt;=32),"1개월",
 AND(K1477=0),"당월",
 TRUE,"그외"
)</f>
        <v>그외</v>
      </c>
    </row>
    <row r="1478" spans="1:12" ht="17.649999999999999" customHeight="1" x14ac:dyDescent="0.3">
      <c r="A1478" s="5">
        <v>46174</v>
      </c>
      <c r="B1478" s="6" t="s">
        <v>40</v>
      </c>
      <c r="C1478" s="6" t="s">
        <v>48</v>
      </c>
      <c r="D1478" s="5">
        <v>46054</v>
      </c>
      <c r="E1478" s="6" t="s">
        <v>15</v>
      </c>
      <c r="F1478" s="7">
        <v>138</v>
      </c>
      <c r="G1478" s="7">
        <v>152765.4347826087</v>
      </c>
      <c r="H1478" s="7">
        <v>21081630</v>
      </c>
      <c r="I1478" s="7">
        <v>3029243</v>
      </c>
      <c r="J1478" s="7">
        <v>0</v>
      </c>
      <c r="K1478">
        <f t="shared" si="22"/>
        <v>120</v>
      </c>
      <c r="L1478" s="8" t="str" cm="1">
        <f t="array" ref="L1478">_xlfn.IFS(
 AND(K1478&gt;=89,K1478&lt;=92),"3개월",
 AND(K1478&gt;=58,K1478&lt;=62),"2개월",
 AND(K1478&gt;=28,K1478&lt;=32),"1개월",
 AND(K1478=0),"당월",
 TRUE,"그외"
)</f>
        <v>그외</v>
      </c>
    </row>
    <row r="1479" spans="1:12" ht="17.649999999999999" customHeight="1" x14ac:dyDescent="0.3">
      <c r="A1479" s="5">
        <v>46174</v>
      </c>
      <c r="B1479" s="6" t="s">
        <v>40</v>
      </c>
      <c r="C1479" s="6" t="s">
        <v>48</v>
      </c>
      <c r="D1479" s="5">
        <v>46082</v>
      </c>
      <c r="E1479" s="6" t="s">
        <v>14</v>
      </c>
      <c r="F1479" s="7">
        <v>299</v>
      </c>
      <c r="G1479" s="7">
        <v>160444.24749163879</v>
      </c>
      <c r="H1479" s="7">
        <v>47972830</v>
      </c>
      <c r="I1479" s="7">
        <v>7522266</v>
      </c>
      <c r="J1479" s="7">
        <v>0</v>
      </c>
      <c r="K1479">
        <f t="shared" si="22"/>
        <v>92</v>
      </c>
      <c r="L1479" s="8" t="str" cm="1">
        <f t="array" ref="L1479">_xlfn.IFS(
 AND(K1479&gt;=89,K1479&lt;=92),"3개월",
 AND(K1479&gt;=58,K1479&lt;=62),"2개월",
 AND(K1479&gt;=28,K1479&lt;=32),"1개월",
 AND(K1479=0),"당월",
 TRUE,"그외"
)</f>
        <v>3개월</v>
      </c>
    </row>
    <row r="1480" spans="1:12" ht="17.649999999999999" customHeight="1" x14ac:dyDescent="0.3">
      <c r="A1480" s="5">
        <v>46174</v>
      </c>
      <c r="B1480" s="6" t="s">
        <v>40</v>
      </c>
      <c r="C1480" s="6" t="s">
        <v>48</v>
      </c>
      <c r="D1480" s="5">
        <v>46082</v>
      </c>
      <c r="E1480" s="6" t="s">
        <v>15</v>
      </c>
      <c r="F1480" s="7">
        <v>933</v>
      </c>
      <c r="G1480" s="7">
        <v>160510.7277599143</v>
      </c>
      <c r="H1480" s="7">
        <v>149756509</v>
      </c>
      <c r="I1480" s="7">
        <v>26588846</v>
      </c>
      <c r="J1480" s="7">
        <v>0</v>
      </c>
      <c r="K1480">
        <f t="shared" si="22"/>
        <v>92</v>
      </c>
      <c r="L1480" s="8" t="str" cm="1">
        <f t="array" ref="L1480">_xlfn.IFS(
 AND(K1480&gt;=89,K1480&lt;=92),"3개월",
 AND(K1480&gt;=58,K1480&lt;=62),"2개월",
 AND(K1480&gt;=28,K1480&lt;=32),"1개월",
 AND(K1480=0),"당월",
 TRUE,"그외"
)</f>
        <v>3개월</v>
      </c>
    </row>
    <row r="1481" spans="1:12" ht="17.649999999999999" customHeight="1" x14ac:dyDescent="0.3">
      <c r="A1481" s="5">
        <v>46174</v>
      </c>
      <c r="B1481" s="6" t="s">
        <v>40</v>
      </c>
      <c r="C1481" s="6" t="s">
        <v>48</v>
      </c>
      <c r="D1481" s="5">
        <v>46113</v>
      </c>
      <c r="E1481" s="6" t="s">
        <v>14</v>
      </c>
      <c r="F1481" s="7">
        <v>169</v>
      </c>
      <c r="G1481" s="7">
        <v>134705.1183431953</v>
      </c>
      <c r="H1481" s="7">
        <v>22765165</v>
      </c>
      <c r="I1481" s="7">
        <v>11716042</v>
      </c>
      <c r="J1481" s="7">
        <v>0</v>
      </c>
      <c r="K1481">
        <f t="shared" si="22"/>
        <v>61</v>
      </c>
      <c r="L1481" s="8" t="str" cm="1">
        <f t="array" ref="L1481">_xlfn.IFS(
 AND(K1481&gt;=89,K1481&lt;=92),"3개월",
 AND(K1481&gt;=58,K1481&lt;=62),"2개월",
 AND(K1481&gt;=28,K1481&lt;=32),"1개월",
 AND(K1481=0),"당월",
 TRUE,"그외"
)</f>
        <v>2개월</v>
      </c>
    </row>
    <row r="1482" spans="1:12" ht="17.649999999999999" customHeight="1" x14ac:dyDescent="0.3">
      <c r="A1482" s="5">
        <v>46174</v>
      </c>
      <c r="B1482" s="6" t="s">
        <v>40</v>
      </c>
      <c r="C1482" s="6" t="s">
        <v>48</v>
      </c>
      <c r="D1482" s="5">
        <v>46113</v>
      </c>
      <c r="E1482" s="6" t="s">
        <v>15</v>
      </c>
      <c r="F1482" s="7">
        <v>551</v>
      </c>
      <c r="G1482" s="7">
        <v>204534.85299455529</v>
      </c>
      <c r="H1482" s="7">
        <v>112698704</v>
      </c>
      <c r="I1482" s="7">
        <v>38143331</v>
      </c>
      <c r="J1482" s="7">
        <v>0</v>
      </c>
      <c r="K1482">
        <f t="shared" ref="K1482:K1545" si="23">A1482-D1482</f>
        <v>61</v>
      </c>
      <c r="L1482" s="8" t="str" cm="1">
        <f t="array" ref="L1482">_xlfn.IFS(
 AND(K1482&gt;=89,K1482&lt;=92),"3개월",
 AND(K1482&gt;=58,K1482&lt;=62),"2개월",
 AND(K1482&gt;=28,K1482&lt;=32),"1개월",
 AND(K1482=0),"당월",
 TRUE,"그외"
)</f>
        <v>2개월</v>
      </c>
    </row>
    <row r="1483" spans="1:12" ht="17.649999999999999" customHeight="1" x14ac:dyDescent="0.3">
      <c r="A1483" s="5">
        <v>46174</v>
      </c>
      <c r="B1483" s="6" t="s">
        <v>40</v>
      </c>
      <c r="C1483" s="6" t="s">
        <v>48</v>
      </c>
      <c r="D1483" s="5">
        <v>46143</v>
      </c>
      <c r="E1483" s="6" t="s">
        <v>14</v>
      </c>
      <c r="F1483" s="7">
        <v>31</v>
      </c>
      <c r="G1483" s="7">
        <v>116831.0967741935</v>
      </c>
      <c r="H1483" s="7">
        <v>3621764</v>
      </c>
      <c r="I1483" s="7">
        <v>2671744</v>
      </c>
      <c r="J1483" s="7">
        <v>0</v>
      </c>
      <c r="K1483">
        <f t="shared" si="23"/>
        <v>31</v>
      </c>
      <c r="L1483" s="8" t="str" cm="1">
        <f t="array" ref="L1483">_xlfn.IFS(
 AND(K1483&gt;=89,K1483&lt;=92),"3개월",
 AND(K1483&gt;=58,K1483&lt;=62),"2개월",
 AND(K1483&gt;=28,K1483&lt;=32),"1개월",
 AND(K1483=0),"당월",
 TRUE,"그외"
)</f>
        <v>1개월</v>
      </c>
    </row>
    <row r="1484" spans="1:12" ht="17.649999999999999" customHeight="1" x14ac:dyDescent="0.3">
      <c r="A1484" s="5">
        <v>46174</v>
      </c>
      <c r="B1484" s="6" t="s">
        <v>40</v>
      </c>
      <c r="C1484" s="6" t="s">
        <v>48</v>
      </c>
      <c r="D1484" s="5">
        <v>46143</v>
      </c>
      <c r="E1484" s="6" t="s">
        <v>15</v>
      </c>
      <c r="F1484" s="7">
        <v>165</v>
      </c>
      <c r="G1484" s="7">
        <v>171642.42424242431</v>
      </c>
      <c r="H1484" s="7">
        <v>28321000</v>
      </c>
      <c r="I1484" s="7">
        <v>12942105</v>
      </c>
      <c r="J1484" s="7">
        <v>0</v>
      </c>
      <c r="K1484">
        <f t="shared" si="23"/>
        <v>31</v>
      </c>
      <c r="L1484" s="8" t="str" cm="1">
        <f t="array" ref="L1484">_xlfn.IFS(
 AND(K1484&gt;=89,K1484&lt;=92),"3개월",
 AND(K1484&gt;=58,K1484&lt;=62),"2개월",
 AND(K1484&gt;=28,K1484&lt;=32),"1개월",
 AND(K1484=0),"당월",
 TRUE,"그외"
)</f>
        <v>1개월</v>
      </c>
    </row>
    <row r="1485" spans="1:12" ht="17.649999999999999" customHeight="1" x14ac:dyDescent="0.3">
      <c r="A1485" s="5">
        <v>46174</v>
      </c>
      <c r="B1485" s="6" t="s">
        <v>40</v>
      </c>
      <c r="C1485" s="6" t="s">
        <v>49</v>
      </c>
      <c r="D1485" s="5">
        <v>46113</v>
      </c>
      <c r="E1485" s="6" t="s">
        <v>14</v>
      </c>
      <c r="F1485" s="7">
        <v>47</v>
      </c>
      <c r="G1485" s="7">
        <v>0</v>
      </c>
      <c r="H1485" s="7">
        <v>0</v>
      </c>
      <c r="I1485" s="7">
        <v>0</v>
      </c>
      <c r="J1485" s="7">
        <v>0</v>
      </c>
      <c r="K1485">
        <f t="shared" si="23"/>
        <v>61</v>
      </c>
      <c r="L1485" s="8" t="str" cm="1">
        <f t="array" ref="L1485">_xlfn.IFS(
 AND(K1485&gt;=89,K1485&lt;=92),"3개월",
 AND(K1485&gt;=58,K1485&lt;=62),"2개월",
 AND(K1485&gt;=28,K1485&lt;=32),"1개월",
 AND(K1485=0),"당월",
 TRUE,"그외"
)</f>
        <v>2개월</v>
      </c>
    </row>
    <row r="1486" spans="1:12" ht="17.649999999999999" customHeight="1" x14ac:dyDescent="0.3">
      <c r="A1486" s="5">
        <v>46174</v>
      </c>
      <c r="B1486" s="6" t="s">
        <v>40</v>
      </c>
      <c r="C1486" s="6" t="s">
        <v>49</v>
      </c>
      <c r="D1486" s="5">
        <v>46113</v>
      </c>
      <c r="E1486" s="6" t="s">
        <v>15</v>
      </c>
      <c r="F1486" s="7">
        <v>5</v>
      </c>
      <c r="G1486" s="7">
        <v>281413.59999999998</v>
      </c>
      <c r="H1486" s="7">
        <v>1407068</v>
      </c>
      <c r="I1486" s="7">
        <v>216324</v>
      </c>
      <c r="J1486" s="7">
        <v>0</v>
      </c>
      <c r="K1486">
        <f t="shared" si="23"/>
        <v>61</v>
      </c>
      <c r="L1486" s="8" t="str" cm="1">
        <f t="array" ref="L1486">_xlfn.IFS(
 AND(K1486&gt;=89,K1486&lt;=92),"3개월",
 AND(K1486&gt;=58,K1486&lt;=62),"2개월",
 AND(K1486&gt;=28,K1486&lt;=32),"1개월",
 AND(K1486=0),"당월",
 TRUE,"그외"
)</f>
        <v>2개월</v>
      </c>
    </row>
    <row r="1487" spans="1:12" ht="17.649999999999999" customHeight="1" x14ac:dyDescent="0.3">
      <c r="A1487" s="5">
        <v>46174</v>
      </c>
      <c r="B1487" s="6" t="s">
        <v>40</v>
      </c>
      <c r="C1487" s="6" t="s">
        <v>49</v>
      </c>
      <c r="D1487" s="5">
        <v>46143</v>
      </c>
      <c r="E1487" s="6" t="s">
        <v>14</v>
      </c>
      <c r="F1487" s="7">
        <v>50</v>
      </c>
      <c r="G1487" s="7">
        <v>0</v>
      </c>
      <c r="H1487" s="7">
        <v>0</v>
      </c>
      <c r="I1487" s="7">
        <v>0</v>
      </c>
      <c r="J1487" s="7">
        <v>0</v>
      </c>
      <c r="K1487">
        <f t="shared" si="23"/>
        <v>31</v>
      </c>
      <c r="L1487" s="8" t="str" cm="1">
        <f t="array" ref="L1487">_xlfn.IFS(
 AND(K1487&gt;=89,K1487&lt;=92),"3개월",
 AND(K1487&gt;=58,K1487&lt;=62),"2개월",
 AND(K1487&gt;=28,K1487&lt;=32),"1개월",
 AND(K1487=0),"당월",
 TRUE,"그외"
)</f>
        <v>1개월</v>
      </c>
    </row>
    <row r="1488" spans="1:12" ht="17.649999999999999" customHeight="1" x14ac:dyDescent="0.3">
      <c r="A1488" s="5">
        <v>46174</v>
      </c>
      <c r="B1488" s="6" t="s">
        <v>40</v>
      </c>
      <c r="C1488" s="6" t="s">
        <v>49</v>
      </c>
      <c r="D1488" s="5">
        <v>46143</v>
      </c>
      <c r="E1488" s="6" t="s">
        <v>15</v>
      </c>
      <c r="F1488" s="7">
        <v>32</v>
      </c>
      <c r="G1488" s="7">
        <v>0</v>
      </c>
      <c r="H1488" s="7">
        <v>0</v>
      </c>
      <c r="I1488" s="7">
        <v>0</v>
      </c>
      <c r="J1488" s="7">
        <v>0</v>
      </c>
      <c r="K1488">
        <f t="shared" si="23"/>
        <v>31</v>
      </c>
      <c r="L1488" s="8" t="str" cm="1">
        <f t="array" ref="L1488">_xlfn.IFS(
 AND(K1488&gt;=89,K1488&lt;=92),"3개월",
 AND(K1488&gt;=58,K1488&lt;=62),"2개월",
 AND(K1488&gt;=28,K1488&lt;=32),"1개월",
 AND(K1488=0),"당월",
 TRUE,"그외"
)</f>
        <v>1개월</v>
      </c>
    </row>
    <row r="1489" spans="1:12" ht="17.649999999999999" customHeight="1" x14ac:dyDescent="0.3">
      <c r="A1489" s="5">
        <v>46174</v>
      </c>
      <c r="B1489" s="6" t="s">
        <v>50</v>
      </c>
      <c r="C1489" s="6" t="s">
        <v>51</v>
      </c>
      <c r="D1489" s="5">
        <v>45992</v>
      </c>
      <c r="E1489" s="6" t="s">
        <v>15</v>
      </c>
      <c r="F1489" s="7">
        <v>12</v>
      </c>
      <c r="G1489" s="7">
        <v>217695.41666666669</v>
      </c>
      <c r="H1489" s="7">
        <v>2612345</v>
      </c>
      <c r="I1489" s="7">
        <v>394256</v>
      </c>
      <c r="J1489" s="7">
        <v>0</v>
      </c>
      <c r="K1489">
        <f t="shared" si="23"/>
        <v>182</v>
      </c>
      <c r="L1489" s="8" t="str" cm="1">
        <f t="array" ref="L1489">_xlfn.IFS(
 AND(K1489&gt;=89,K1489&lt;=92),"3개월",
 AND(K1489&gt;=58,K1489&lt;=62),"2개월",
 AND(K1489&gt;=28,K1489&lt;=32),"1개월",
 AND(K1489=0),"당월",
 TRUE,"그외"
)</f>
        <v>그외</v>
      </c>
    </row>
    <row r="1490" spans="1:12" ht="17.649999999999999" customHeight="1" x14ac:dyDescent="0.3">
      <c r="A1490" s="5">
        <v>46174</v>
      </c>
      <c r="B1490" s="6" t="s">
        <v>50</v>
      </c>
      <c r="C1490" s="6" t="s">
        <v>51</v>
      </c>
      <c r="D1490" s="5">
        <v>46023</v>
      </c>
      <c r="E1490" s="6" t="s">
        <v>14</v>
      </c>
      <c r="F1490" s="7">
        <v>6</v>
      </c>
      <c r="G1490" s="7">
        <v>144711</v>
      </c>
      <c r="H1490" s="7">
        <v>868266</v>
      </c>
      <c r="I1490" s="7">
        <v>248076</v>
      </c>
      <c r="J1490" s="7">
        <v>0</v>
      </c>
      <c r="K1490">
        <f t="shared" si="23"/>
        <v>151</v>
      </c>
      <c r="L1490" s="8" t="str" cm="1">
        <f t="array" ref="L1490">_xlfn.IFS(
 AND(K1490&gt;=89,K1490&lt;=92),"3개월",
 AND(K1490&gt;=58,K1490&lt;=62),"2개월",
 AND(K1490&gt;=28,K1490&lt;=32),"1개월",
 AND(K1490=0),"당월",
 TRUE,"그외"
)</f>
        <v>그외</v>
      </c>
    </row>
    <row r="1491" spans="1:12" ht="17.649999999999999" customHeight="1" x14ac:dyDescent="0.3">
      <c r="A1491" s="5">
        <v>46174</v>
      </c>
      <c r="B1491" s="6" t="s">
        <v>50</v>
      </c>
      <c r="C1491" s="6" t="s">
        <v>51</v>
      </c>
      <c r="D1491" s="5">
        <v>46023</v>
      </c>
      <c r="E1491" s="6" t="s">
        <v>15</v>
      </c>
      <c r="F1491" s="7">
        <v>41</v>
      </c>
      <c r="G1491" s="7">
        <v>203000.73170731711</v>
      </c>
      <c r="H1491" s="7">
        <v>8323030</v>
      </c>
      <c r="I1491" s="7">
        <v>1266027</v>
      </c>
      <c r="J1491" s="7">
        <v>0</v>
      </c>
      <c r="K1491">
        <f t="shared" si="23"/>
        <v>151</v>
      </c>
      <c r="L1491" s="8" t="str" cm="1">
        <f t="array" ref="L1491">_xlfn.IFS(
 AND(K1491&gt;=89,K1491&lt;=92),"3개월",
 AND(K1491&gt;=58,K1491&lt;=62),"2개월",
 AND(K1491&gt;=28,K1491&lt;=32),"1개월",
 AND(K1491=0),"당월",
 TRUE,"그외"
)</f>
        <v>그외</v>
      </c>
    </row>
    <row r="1492" spans="1:12" ht="17.649999999999999" customHeight="1" x14ac:dyDescent="0.3">
      <c r="A1492" s="5">
        <v>46174</v>
      </c>
      <c r="B1492" s="6" t="s">
        <v>50</v>
      </c>
      <c r="C1492" s="6" t="s">
        <v>51</v>
      </c>
      <c r="D1492" s="5">
        <v>46054</v>
      </c>
      <c r="E1492" s="6" t="s">
        <v>15</v>
      </c>
      <c r="F1492" s="7">
        <v>48</v>
      </c>
      <c r="G1492" s="7">
        <v>211995.79166666669</v>
      </c>
      <c r="H1492" s="7">
        <v>10175798</v>
      </c>
      <c r="I1492" s="7">
        <v>1210011</v>
      </c>
      <c r="J1492" s="7">
        <v>0</v>
      </c>
      <c r="K1492">
        <f t="shared" si="23"/>
        <v>120</v>
      </c>
      <c r="L1492" s="8" t="str" cm="1">
        <f t="array" ref="L1492">_xlfn.IFS(
 AND(K1492&gt;=89,K1492&lt;=92),"3개월",
 AND(K1492&gt;=58,K1492&lt;=62),"2개월",
 AND(K1492&gt;=28,K1492&lt;=32),"1개월",
 AND(K1492=0),"당월",
 TRUE,"그외"
)</f>
        <v>그외</v>
      </c>
    </row>
    <row r="1493" spans="1:12" ht="17.649999999999999" customHeight="1" x14ac:dyDescent="0.3">
      <c r="A1493" s="5">
        <v>46174</v>
      </c>
      <c r="B1493" s="6" t="s">
        <v>50</v>
      </c>
      <c r="C1493" s="6" t="s">
        <v>51</v>
      </c>
      <c r="D1493" s="5">
        <v>46082</v>
      </c>
      <c r="E1493" s="6" t="s">
        <v>14</v>
      </c>
      <c r="F1493" s="7">
        <v>84</v>
      </c>
      <c r="G1493" s="7">
        <v>161202.8571428571</v>
      </c>
      <c r="H1493" s="7">
        <v>13541040</v>
      </c>
      <c r="I1493" s="7">
        <v>2942040</v>
      </c>
      <c r="J1493" s="7">
        <v>0</v>
      </c>
      <c r="K1493">
        <f t="shared" si="23"/>
        <v>92</v>
      </c>
      <c r="L1493" s="8" t="str" cm="1">
        <f t="array" ref="L1493">_xlfn.IFS(
 AND(K1493&gt;=89,K1493&lt;=92),"3개월",
 AND(K1493&gt;=58,K1493&lt;=62),"2개월",
 AND(K1493&gt;=28,K1493&lt;=32),"1개월",
 AND(K1493=0),"당월",
 TRUE,"그외"
)</f>
        <v>3개월</v>
      </c>
    </row>
    <row r="1494" spans="1:12" ht="17.649999999999999" customHeight="1" x14ac:dyDescent="0.3">
      <c r="A1494" s="5">
        <v>46174</v>
      </c>
      <c r="B1494" s="6" t="s">
        <v>50</v>
      </c>
      <c r="C1494" s="6" t="s">
        <v>51</v>
      </c>
      <c r="D1494" s="5">
        <v>46082</v>
      </c>
      <c r="E1494" s="6" t="s">
        <v>15</v>
      </c>
      <c r="F1494" s="7">
        <v>151</v>
      </c>
      <c r="G1494" s="7">
        <v>225775.81456953639</v>
      </c>
      <c r="H1494" s="7">
        <v>34092148</v>
      </c>
      <c r="I1494" s="7">
        <v>4104266</v>
      </c>
      <c r="J1494" s="7">
        <v>0</v>
      </c>
      <c r="K1494">
        <f t="shared" si="23"/>
        <v>92</v>
      </c>
      <c r="L1494" s="8" t="str" cm="1">
        <f t="array" ref="L1494">_xlfn.IFS(
 AND(K1494&gt;=89,K1494&lt;=92),"3개월",
 AND(K1494&gt;=58,K1494&lt;=62),"2개월",
 AND(K1494&gt;=28,K1494&lt;=32),"1개월",
 AND(K1494=0),"당월",
 TRUE,"그외"
)</f>
        <v>3개월</v>
      </c>
    </row>
    <row r="1495" spans="1:12" ht="17.649999999999999" customHeight="1" x14ac:dyDescent="0.3">
      <c r="A1495" s="5">
        <v>46174</v>
      </c>
      <c r="B1495" s="6" t="s">
        <v>50</v>
      </c>
      <c r="C1495" s="6" t="s">
        <v>51</v>
      </c>
      <c r="D1495" s="5">
        <v>46113</v>
      </c>
      <c r="E1495" s="6" t="s">
        <v>14</v>
      </c>
      <c r="F1495" s="7">
        <v>111</v>
      </c>
      <c r="G1495" s="7">
        <v>169762.06306306311</v>
      </c>
      <c r="H1495" s="7">
        <v>18843589</v>
      </c>
      <c r="I1495" s="7">
        <v>4957874</v>
      </c>
      <c r="J1495" s="7">
        <v>0</v>
      </c>
      <c r="K1495">
        <f t="shared" si="23"/>
        <v>61</v>
      </c>
      <c r="L1495" s="8" t="str" cm="1">
        <f t="array" ref="L1495">_xlfn.IFS(
 AND(K1495&gt;=89,K1495&lt;=92),"3개월",
 AND(K1495&gt;=58,K1495&lt;=62),"2개월",
 AND(K1495&gt;=28,K1495&lt;=32),"1개월",
 AND(K1495=0),"당월",
 TRUE,"그외"
)</f>
        <v>2개월</v>
      </c>
    </row>
    <row r="1496" spans="1:12" ht="17.649999999999999" customHeight="1" x14ac:dyDescent="0.3">
      <c r="A1496" s="5">
        <v>46174</v>
      </c>
      <c r="B1496" s="6" t="s">
        <v>50</v>
      </c>
      <c r="C1496" s="6" t="s">
        <v>51</v>
      </c>
      <c r="D1496" s="5">
        <v>46113</v>
      </c>
      <c r="E1496" s="6" t="s">
        <v>15</v>
      </c>
      <c r="F1496" s="7">
        <v>1101</v>
      </c>
      <c r="G1496" s="7">
        <v>211175.34332425069</v>
      </c>
      <c r="H1496" s="7">
        <v>232504053</v>
      </c>
      <c r="I1496" s="7">
        <v>61276552</v>
      </c>
      <c r="J1496" s="7">
        <v>0</v>
      </c>
      <c r="K1496">
        <f t="shared" si="23"/>
        <v>61</v>
      </c>
      <c r="L1496" s="8" t="str" cm="1">
        <f t="array" ref="L1496">_xlfn.IFS(
 AND(K1496&gt;=89,K1496&lt;=92),"3개월",
 AND(K1496&gt;=58,K1496&lt;=62),"2개월",
 AND(K1496&gt;=28,K1496&lt;=32),"1개월",
 AND(K1496=0),"당월",
 TRUE,"그외"
)</f>
        <v>2개월</v>
      </c>
    </row>
    <row r="1497" spans="1:12" ht="17.649999999999999" customHeight="1" x14ac:dyDescent="0.3">
      <c r="A1497" s="5">
        <v>46174</v>
      </c>
      <c r="B1497" s="6" t="s">
        <v>50</v>
      </c>
      <c r="C1497" s="6" t="s">
        <v>51</v>
      </c>
      <c r="D1497" s="5">
        <v>46143</v>
      </c>
      <c r="E1497" s="6" t="s">
        <v>15</v>
      </c>
      <c r="F1497" s="7">
        <v>286</v>
      </c>
      <c r="G1497" s="7">
        <v>215456.6153846154</v>
      </c>
      <c r="H1497" s="7">
        <v>61620592</v>
      </c>
      <c r="I1497" s="7">
        <v>20382464</v>
      </c>
      <c r="J1497" s="7">
        <v>0</v>
      </c>
      <c r="K1497">
        <f t="shared" si="23"/>
        <v>31</v>
      </c>
      <c r="L1497" s="8" t="str" cm="1">
        <f t="array" ref="L1497">_xlfn.IFS(
 AND(K1497&gt;=89,K1497&lt;=92),"3개월",
 AND(K1497&gt;=58,K1497&lt;=62),"2개월",
 AND(K1497&gt;=28,K1497&lt;=32),"1개월",
 AND(K1497=0),"당월",
 TRUE,"그외"
)</f>
        <v>1개월</v>
      </c>
    </row>
    <row r="1498" spans="1:12" ht="17.649999999999999" customHeight="1" x14ac:dyDescent="0.3">
      <c r="A1498" s="5">
        <v>46174</v>
      </c>
      <c r="B1498" s="6" t="s">
        <v>50</v>
      </c>
      <c r="C1498" s="6" t="s">
        <v>52</v>
      </c>
      <c r="D1498" s="5">
        <v>45962</v>
      </c>
      <c r="E1498" s="6" t="s">
        <v>15</v>
      </c>
      <c r="F1498" s="7">
        <v>9</v>
      </c>
      <c r="G1498" s="7">
        <v>113356.3333333333</v>
      </c>
      <c r="H1498" s="7">
        <v>1020207</v>
      </c>
      <c r="I1498" s="7">
        <v>177455</v>
      </c>
      <c r="J1498" s="7">
        <v>0</v>
      </c>
      <c r="K1498">
        <f t="shared" si="23"/>
        <v>212</v>
      </c>
      <c r="L1498" s="8" t="str" cm="1">
        <f t="array" ref="L1498">_xlfn.IFS(
 AND(K1498&gt;=89,K1498&lt;=92),"3개월",
 AND(K1498&gt;=58,K1498&lt;=62),"2개월",
 AND(K1498&gt;=28,K1498&lt;=32),"1개월",
 AND(K1498=0),"당월",
 TRUE,"그외"
)</f>
        <v>그외</v>
      </c>
    </row>
    <row r="1499" spans="1:12" ht="17.649999999999999" customHeight="1" x14ac:dyDescent="0.3">
      <c r="A1499" s="5">
        <v>46174</v>
      </c>
      <c r="B1499" s="6" t="s">
        <v>50</v>
      </c>
      <c r="C1499" s="6" t="s">
        <v>52</v>
      </c>
      <c r="D1499" s="5">
        <v>45992</v>
      </c>
      <c r="E1499" s="6" t="s">
        <v>14</v>
      </c>
      <c r="F1499" s="7">
        <v>4</v>
      </c>
      <c r="G1499" s="7">
        <v>110256</v>
      </c>
      <c r="H1499" s="7">
        <v>441024</v>
      </c>
      <c r="I1499" s="7">
        <v>165384</v>
      </c>
      <c r="J1499" s="7">
        <v>0</v>
      </c>
      <c r="K1499">
        <f t="shared" si="23"/>
        <v>182</v>
      </c>
      <c r="L1499" s="8" t="str" cm="1">
        <f t="array" ref="L1499">_xlfn.IFS(
 AND(K1499&gt;=89,K1499&lt;=92),"3개월",
 AND(K1499&gt;=58,K1499&lt;=62),"2개월",
 AND(K1499&gt;=28,K1499&lt;=32),"1개월",
 AND(K1499=0),"당월",
 TRUE,"그외"
)</f>
        <v>그외</v>
      </c>
    </row>
    <row r="1500" spans="1:12" ht="17.649999999999999" customHeight="1" x14ac:dyDescent="0.3">
      <c r="A1500" s="5">
        <v>46174</v>
      </c>
      <c r="B1500" s="6" t="s">
        <v>50</v>
      </c>
      <c r="C1500" s="6" t="s">
        <v>52</v>
      </c>
      <c r="D1500" s="5">
        <v>45992</v>
      </c>
      <c r="E1500" s="6" t="s">
        <v>15</v>
      </c>
      <c r="F1500" s="7">
        <v>60</v>
      </c>
      <c r="G1500" s="7">
        <v>119615.3666666667</v>
      </c>
      <c r="H1500" s="7">
        <v>7176922</v>
      </c>
      <c r="I1500" s="7">
        <v>1723087</v>
      </c>
      <c r="J1500" s="7">
        <v>0</v>
      </c>
      <c r="K1500">
        <f t="shared" si="23"/>
        <v>182</v>
      </c>
      <c r="L1500" s="8" t="str" cm="1">
        <f t="array" ref="L1500">_xlfn.IFS(
 AND(K1500&gt;=89,K1500&lt;=92),"3개월",
 AND(K1500&gt;=58,K1500&lt;=62),"2개월",
 AND(K1500&gt;=28,K1500&lt;=32),"1개월",
 AND(K1500=0),"당월",
 TRUE,"그외"
)</f>
        <v>그외</v>
      </c>
    </row>
    <row r="1501" spans="1:12" ht="17.649999999999999" customHeight="1" x14ac:dyDescent="0.3">
      <c r="A1501" s="5">
        <v>46174</v>
      </c>
      <c r="B1501" s="6" t="s">
        <v>50</v>
      </c>
      <c r="C1501" s="6" t="s">
        <v>52</v>
      </c>
      <c r="D1501" s="5">
        <v>46023</v>
      </c>
      <c r="E1501" s="6" t="s">
        <v>14</v>
      </c>
      <c r="F1501" s="7">
        <v>16</v>
      </c>
      <c r="G1501" s="7">
        <v>110301</v>
      </c>
      <c r="H1501" s="7">
        <v>1764816</v>
      </c>
      <c r="I1501" s="7">
        <v>661806</v>
      </c>
      <c r="J1501" s="7">
        <v>0</v>
      </c>
      <c r="K1501">
        <f t="shared" si="23"/>
        <v>151</v>
      </c>
      <c r="L1501" s="8" t="str" cm="1">
        <f t="array" ref="L1501">_xlfn.IFS(
 AND(K1501&gt;=89,K1501&lt;=92),"3개월",
 AND(K1501&gt;=58,K1501&lt;=62),"2개월",
 AND(K1501&gt;=28,K1501&lt;=32),"1개월",
 AND(K1501=0),"당월",
 TRUE,"그외"
)</f>
        <v>그외</v>
      </c>
    </row>
    <row r="1502" spans="1:12" ht="17.649999999999999" customHeight="1" x14ac:dyDescent="0.3">
      <c r="A1502" s="5">
        <v>46174</v>
      </c>
      <c r="B1502" s="6" t="s">
        <v>50</v>
      </c>
      <c r="C1502" s="6" t="s">
        <v>52</v>
      </c>
      <c r="D1502" s="5">
        <v>46023</v>
      </c>
      <c r="E1502" s="6" t="s">
        <v>15</v>
      </c>
      <c r="F1502" s="7">
        <v>279</v>
      </c>
      <c r="G1502" s="7">
        <v>141172.01075268819</v>
      </c>
      <c r="H1502" s="7">
        <v>39386991</v>
      </c>
      <c r="I1502" s="7">
        <v>8212054</v>
      </c>
      <c r="J1502" s="7">
        <v>0</v>
      </c>
      <c r="K1502">
        <f t="shared" si="23"/>
        <v>151</v>
      </c>
      <c r="L1502" s="8" t="str" cm="1">
        <f t="array" ref="L1502">_xlfn.IFS(
 AND(K1502&gt;=89,K1502&lt;=92),"3개월",
 AND(K1502&gt;=58,K1502&lt;=62),"2개월",
 AND(K1502&gt;=28,K1502&lt;=32),"1개월",
 AND(K1502=0),"당월",
 TRUE,"그외"
)</f>
        <v>그외</v>
      </c>
    </row>
    <row r="1503" spans="1:12" ht="17.649999999999999" customHeight="1" x14ac:dyDescent="0.3">
      <c r="A1503" s="5">
        <v>46174</v>
      </c>
      <c r="B1503" s="6" t="s">
        <v>50</v>
      </c>
      <c r="C1503" s="6" t="s">
        <v>52</v>
      </c>
      <c r="D1503" s="5">
        <v>46054</v>
      </c>
      <c r="E1503" s="6" t="s">
        <v>15</v>
      </c>
      <c r="F1503" s="7">
        <v>263</v>
      </c>
      <c r="G1503" s="7">
        <v>131377.45247148289</v>
      </c>
      <c r="H1503" s="7">
        <v>34552270</v>
      </c>
      <c r="I1503" s="7">
        <v>7029808</v>
      </c>
      <c r="J1503" s="7">
        <v>0</v>
      </c>
      <c r="K1503">
        <f t="shared" si="23"/>
        <v>120</v>
      </c>
      <c r="L1503" s="8" t="str" cm="1">
        <f t="array" ref="L1503">_xlfn.IFS(
 AND(K1503&gt;=89,K1503&lt;=92),"3개월",
 AND(K1503&gt;=58,K1503&lt;=62),"2개월",
 AND(K1503&gt;=28,K1503&lt;=32),"1개월",
 AND(K1503=0),"당월",
 TRUE,"그외"
)</f>
        <v>그외</v>
      </c>
    </row>
    <row r="1504" spans="1:12" ht="17.649999999999999" customHeight="1" x14ac:dyDescent="0.3">
      <c r="A1504" s="5">
        <v>46174</v>
      </c>
      <c r="B1504" s="6" t="s">
        <v>50</v>
      </c>
      <c r="C1504" s="6" t="s">
        <v>52</v>
      </c>
      <c r="D1504" s="5">
        <v>46082</v>
      </c>
      <c r="E1504" s="6" t="s">
        <v>14</v>
      </c>
      <c r="F1504" s="7">
        <v>701</v>
      </c>
      <c r="G1504" s="7">
        <v>121263.1483594865</v>
      </c>
      <c r="H1504" s="7">
        <v>85005467</v>
      </c>
      <c r="I1504" s="7">
        <v>24037419</v>
      </c>
      <c r="J1504" s="7">
        <v>0</v>
      </c>
      <c r="K1504">
        <f t="shared" si="23"/>
        <v>92</v>
      </c>
      <c r="L1504" s="8" t="str" cm="1">
        <f t="array" ref="L1504">_xlfn.IFS(
 AND(K1504&gt;=89,K1504&lt;=92),"3개월",
 AND(K1504&gt;=58,K1504&lt;=62),"2개월",
 AND(K1504&gt;=28,K1504&lt;=32),"1개월",
 AND(K1504=0),"당월",
 TRUE,"그외"
)</f>
        <v>3개월</v>
      </c>
    </row>
    <row r="1505" spans="1:12" ht="17.649999999999999" customHeight="1" x14ac:dyDescent="0.3">
      <c r="A1505" s="5">
        <v>46174</v>
      </c>
      <c r="B1505" s="6" t="s">
        <v>50</v>
      </c>
      <c r="C1505" s="6" t="s">
        <v>52</v>
      </c>
      <c r="D1505" s="5">
        <v>46082</v>
      </c>
      <c r="E1505" s="6" t="s">
        <v>15</v>
      </c>
      <c r="F1505" s="7">
        <v>375</v>
      </c>
      <c r="G1505" s="7">
        <v>148856.0026666667</v>
      </c>
      <c r="H1505" s="7">
        <v>55821001</v>
      </c>
      <c r="I1505" s="7">
        <v>10641934</v>
      </c>
      <c r="J1505" s="7">
        <v>0</v>
      </c>
      <c r="K1505">
        <f t="shared" si="23"/>
        <v>92</v>
      </c>
      <c r="L1505" s="8" t="str" cm="1">
        <f t="array" ref="L1505">_xlfn.IFS(
 AND(K1505&gt;=89,K1505&lt;=92),"3개월",
 AND(K1505&gt;=58,K1505&lt;=62),"2개월",
 AND(K1505&gt;=28,K1505&lt;=32),"1개월",
 AND(K1505=0),"당월",
 TRUE,"그외"
)</f>
        <v>3개월</v>
      </c>
    </row>
    <row r="1506" spans="1:12" ht="17.649999999999999" customHeight="1" x14ac:dyDescent="0.3">
      <c r="A1506" s="5">
        <v>46174</v>
      </c>
      <c r="B1506" s="6" t="s">
        <v>50</v>
      </c>
      <c r="C1506" s="6" t="s">
        <v>52</v>
      </c>
      <c r="D1506" s="5">
        <v>46113</v>
      </c>
      <c r="E1506" s="6" t="s">
        <v>14</v>
      </c>
      <c r="F1506" s="7">
        <v>921</v>
      </c>
      <c r="G1506" s="7">
        <v>122040.13355048859</v>
      </c>
      <c r="H1506" s="7">
        <v>112398963</v>
      </c>
      <c r="I1506" s="7">
        <v>41880928</v>
      </c>
      <c r="J1506" s="7">
        <v>0</v>
      </c>
      <c r="K1506">
        <f t="shared" si="23"/>
        <v>61</v>
      </c>
      <c r="L1506" s="8" t="str" cm="1">
        <f t="array" ref="L1506">_xlfn.IFS(
 AND(K1506&gt;=89,K1506&lt;=92),"3개월",
 AND(K1506&gt;=58,K1506&lt;=62),"2개월",
 AND(K1506&gt;=28,K1506&lt;=32),"1개월",
 AND(K1506=0),"당월",
 TRUE,"그외"
)</f>
        <v>2개월</v>
      </c>
    </row>
    <row r="1507" spans="1:12" ht="17.649999999999999" customHeight="1" x14ac:dyDescent="0.3">
      <c r="A1507" s="5">
        <v>46174</v>
      </c>
      <c r="B1507" s="6" t="s">
        <v>50</v>
      </c>
      <c r="C1507" s="6" t="s">
        <v>52</v>
      </c>
      <c r="D1507" s="5">
        <v>46113</v>
      </c>
      <c r="E1507" s="6" t="s">
        <v>15</v>
      </c>
      <c r="F1507" s="7">
        <v>776</v>
      </c>
      <c r="G1507" s="7">
        <v>154886.49484536081</v>
      </c>
      <c r="H1507" s="7">
        <v>120191920</v>
      </c>
      <c r="I1507" s="7">
        <v>45926481</v>
      </c>
      <c r="J1507" s="7">
        <v>0</v>
      </c>
      <c r="K1507">
        <f t="shared" si="23"/>
        <v>61</v>
      </c>
      <c r="L1507" s="8" t="str" cm="1">
        <f t="array" ref="L1507">_xlfn.IFS(
 AND(K1507&gt;=89,K1507&lt;=92),"3개월",
 AND(K1507&gt;=58,K1507&lt;=62),"2개월",
 AND(K1507&gt;=28,K1507&lt;=32),"1개월",
 AND(K1507=0),"당월",
 TRUE,"그외"
)</f>
        <v>2개월</v>
      </c>
    </row>
    <row r="1508" spans="1:12" ht="17.649999999999999" customHeight="1" x14ac:dyDescent="0.3">
      <c r="A1508" s="5">
        <v>46174</v>
      </c>
      <c r="B1508" s="6" t="s">
        <v>50</v>
      </c>
      <c r="C1508" s="6" t="s">
        <v>52</v>
      </c>
      <c r="D1508" s="5">
        <v>46143</v>
      </c>
      <c r="E1508" s="6" t="s">
        <v>14</v>
      </c>
      <c r="F1508" s="7">
        <v>95</v>
      </c>
      <c r="G1508" s="7">
        <v>130222.10526315789</v>
      </c>
      <c r="H1508" s="7">
        <v>12371100</v>
      </c>
      <c r="I1508" s="7">
        <v>6427190</v>
      </c>
      <c r="J1508" s="7">
        <v>0</v>
      </c>
      <c r="K1508">
        <f t="shared" si="23"/>
        <v>31</v>
      </c>
      <c r="L1508" s="8" t="str" cm="1">
        <f t="array" ref="L1508">_xlfn.IFS(
 AND(K1508&gt;=89,K1508&lt;=92),"3개월",
 AND(K1508&gt;=58,K1508&lt;=62),"2개월",
 AND(K1508&gt;=28,K1508&lt;=32),"1개월",
 AND(K1508=0),"당월",
 TRUE,"그외"
)</f>
        <v>1개월</v>
      </c>
    </row>
    <row r="1509" spans="1:12" ht="17.649999999999999" customHeight="1" x14ac:dyDescent="0.3">
      <c r="A1509" s="5">
        <v>46174</v>
      </c>
      <c r="B1509" s="6" t="s">
        <v>50</v>
      </c>
      <c r="C1509" s="6" t="s">
        <v>52</v>
      </c>
      <c r="D1509" s="5">
        <v>46143</v>
      </c>
      <c r="E1509" s="6" t="s">
        <v>15</v>
      </c>
      <c r="F1509" s="7">
        <v>272</v>
      </c>
      <c r="G1509" s="7">
        <v>180323.2830882353</v>
      </c>
      <c r="H1509" s="7">
        <v>49047933</v>
      </c>
      <c r="I1509" s="7">
        <v>20831868</v>
      </c>
      <c r="J1509" s="7">
        <v>0</v>
      </c>
      <c r="K1509">
        <f t="shared" si="23"/>
        <v>31</v>
      </c>
      <c r="L1509" s="8" t="str" cm="1">
        <f t="array" ref="L1509">_xlfn.IFS(
 AND(K1509&gt;=89,K1509&lt;=92),"3개월",
 AND(K1509&gt;=58,K1509&lt;=62),"2개월",
 AND(K1509&gt;=28,K1509&lt;=32),"1개월",
 AND(K1509=0),"당월",
 TRUE,"그외"
)</f>
        <v>1개월</v>
      </c>
    </row>
    <row r="1510" spans="1:12" ht="17.649999999999999" customHeight="1" x14ac:dyDescent="0.3">
      <c r="A1510" s="5">
        <v>46174</v>
      </c>
      <c r="B1510" s="6" t="s">
        <v>50</v>
      </c>
      <c r="C1510" s="6" t="s">
        <v>53</v>
      </c>
      <c r="D1510" s="5">
        <v>45962</v>
      </c>
      <c r="E1510" s="6" t="s">
        <v>15</v>
      </c>
      <c r="F1510" s="7">
        <v>8</v>
      </c>
      <c r="G1510" s="7">
        <v>154700</v>
      </c>
      <c r="H1510" s="7">
        <v>1237600</v>
      </c>
      <c r="I1510" s="7">
        <v>135200</v>
      </c>
      <c r="J1510" s="7">
        <v>0</v>
      </c>
      <c r="K1510">
        <f t="shared" si="23"/>
        <v>212</v>
      </c>
      <c r="L1510" s="8" t="str" cm="1">
        <f t="array" ref="L1510">_xlfn.IFS(
 AND(K1510&gt;=89,K1510&lt;=92),"3개월",
 AND(K1510&gt;=58,K1510&lt;=62),"2개월",
 AND(K1510&gt;=28,K1510&lt;=32),"1개월",
 AND(K1510=0),"당월",
 TRUE,"그외"
)</f>
        <v>그외</v>
      </c>
    </row>
    <row r="1511" spans="1:12" ht="17.649999999999999" customHeight="1" x14ac:dyDescent="0.3">
      <c r="A1511" s="5">
        <v>46174</v>
      </c>
      <c r="B1511" s="6" t="s">
        <v>50</v>
      </c>
      <c r="C1511" s="6" t="s">
        <v>53</v>
      </c>
      <c r="D1511" s="5">
        <v>45992</v>
      </c>
      <c r="E1511" s="6" t="s">
        <v>15</v>
      </c>
      <c r="F1511" s="7">
        <v>147</v>
      </c>
      <c r="G1511" s="7">
        <v>183716.51700680269</v>
      </c>
      <c r="H1511" s="7">
        <v>27006328</v>
      </c>
      <c r="I1511" s="7">
        <v>4533015</v>
      </c>
      <c r="J1511" s="7">
        <v>0</v>
      </c>
      <c r="K1511">
        <f t="shared" si="23"/>
        <v>182</v>
      </c>
      <c r="L1511" s="8" t="str" cm="1">
        <f t="array" ref="L1511">_xlfn.IFS(
 AND(K1511&gt;=89,K1511&lt;=92),"3개월",
 AND(K1511&gt;=58,K1511&lt;=62),"2개월",
 AND(K1511&gt;=28,K1511&lt;=32),"1개월",
 AND(K1511=0),"당월",
 TRUE,"그외"
)</f>
        <v>그외</v>
      </c>
    </row>
    <row r="1512" spans="1:12" ht="17.649999999999999" customHeight="1" x14ac:dyDescent="0.3">
      <c r="A1512" s="5">
        <v>46174</v>
      </c>
      <c r="B1512" s="6" t="s">
        <v>50</v>
      </c>
      <c r="C1512" s="6" t="s">
        <v>53</v>
      </c>
      <c r="D1512" s="5">
        <v>46023</v>
      </c>
      <c r="E1512" s="6" t="s">
        <v>14</v>
      </c>
      <c r="F1512" s="7">
        <v>4</v>
      </c>
      <c r="G1512" s="7">
        <v>170674</v>
      </c>
      <c r="H1512" s="7">
        <v>682696</v>
      </c>
      <c r="I1512" s="7">
        <v>168336</v>
      </c>
      <c r="J1512" s="7">
        <v>0</v>
      </c>
      <c r="K1512">
        <f t="shared" si="23"/>
        <v>151</v>
      </c>
      <c r="L1512" s="8" t="str" cm="1">
        <f t="array" ref="L1512">_xlfn.IFS(
 AND(K1512&gt;=89,K1512&lt;=92),"3개월",
 AND(K1512&gt;=58,K1512&lt;=62),"2개월",
 AND(K1512&gt;=28,K1512&lt;=32),"1개월",
 AND(K1512=0),"당월",
 TRUE,"그외"
)</f>
        <v>그외</v>
      </c>
    </row>
    <row r="1513" spans="1:12" ht="17.649999999999999" customHeight="1" x14ac:dyDescent="0.3">
      <c r="A1513" s="5">
        <v>46174</v>
      </c>
      <c r="B1513" s="6" t="s">
        <v>50</v>
      </c>
      <c r="C1513" s="6" t="s">
        <v>53</v>
      </c>
      <c r="D1513" s="5">
        <v>46023</v>
      </c>
      <c r="E1513" s="6" t="s">
        <v>15</v>
      </c>
      <c r="F1513" s="7">
        <v>291</v>
      </c>
      <c r="G1513" s="7">
        <v>226020.73195876289</v>
      </c>
      <c r="H1513" s="7">
        <v>65772033</v>
      </c>
      <c r="I1513" s="7">
        <v>9016044</v>
      </c>
      <c r="J1513" s="7">
        <v>0</v>
      </c>
      <c r="K1513">
        <f t="shared" si="23"/>
        <v>151</v>
      </c>
      <c r="L1513" s="8" t="str" cm="1">
        <f t="array" ref="L1513">_xlfn.IFS(
 AND(K1513&gt;=89,K1513&lt;=92),"3개월",
 AND(K1513&gt;=58,K1513&lt;=62),"2개월",
 AND(K1513&gt;=28,K1513&lt;=32),"1개월",
 AND(K1513=0),"당월",
 TRUE,"그외"
)</f>
        <v>그외</v>
      </c>
    </row>
    <row r="1514" spans="1:12" ht="17.649999999999999" customHeight="1" x14ac:dyDescent="0.3">
      <c r="A1514" s="5">
        <v>46174</v>
      </c>
      <c r="B1514" s="6" t="s">
        <v>50</v>
      </c>
      <c r="C1514" s="6" t="s">
        <v>53</v>
      </c>
      <c r="D1514" s="5">
        <v>46054</v>
      </c>
      <c r="E1514" s="6" t="s">
        <v>15</v>
      </c>
      <c r="F1514" s="7">
        <v>221</v>
      </c>
      <c r="G1514" s="7">
        <v>262328.85972850682</v>
      </c>
      <c r="H1514" s="7">
        <v>57974678</v>
      </c>
      <c r="I1514" s="7">
        <v>6463290</v>
      </c>
      <c r="J1514" s="7">
        <v>0</v>
      </c>
      <c r="K1514">
        <f t="shared" si="23"/>
        <v>120</v>
      </c>
      <c r="L1514" s="8" t="str" cm="1">
        <f t="array" ref="L1514">_xlfn.IFS(
 AND(K1514&gt;=89,K1514&lt;=92),"3개월",
 AND(K1514&gt;=58,K1514&lt;=62),"2개월",
 AND(K1514&gt;=28,K1514&lt;=32),"1개월",
 AND(K1514=0),"당월",
 TRUE,"그외"
)</f>
        <v>그외</v>
      </c>
    </row>
    <row r="1515" spans="1:12" ht="17.649999999999999" customHeight="1" x14ac:dyDescent="0.3">
      <c r="A1515" s="5">
        <v>46174</v>
      </c>
      <c r="B1515" s="6" t="s">
        <v>50</v>
      </c>
      <c r="C1515" s="6" t="s">
        <v>53</v>
      </c>
      <c r="D1515" s="5">
        <v>46082</v>
      </c>
      <c r="E1515" s="6" t="s">
        <v>14</v>
      </c>
      <c r="F1515" s="7">
        <v>259</v>
      </c>
      <c r="G1515" s="7">
        <v>137777.19691119689</v>
      </c>
      <c r="H1515" s="7">
        <v>35684294</v>
      </c>
      <c r="I1515" s="7">
        <v>10872342</v>
      </c>
      <c r="J1515" s="7">
        <v>0</v>
      </c>
      <c r="K1515">
        <f t="shared" si="23"/>
        <v>92</v>
      </c>
      <c r="L1515" s="8" t="str" cm="1">
        <f t="array" ref="L1515">_xlfn.IFS(
 AND(K1515&gt;=89,K1515&lt;=92),"3개월",
 AND(K1515&gt;=58,K1515&lt;=62),"2개월",
 AND(K1515&gt;=28,K1515&lt;=32),"1개월",
 AND(K1515=0),"당월",
 TRUE,"그외"
)</f>
        <v>3개월</v>
      </c>
    </row>
    <row r="1516" spans="1:12" ht="17.649999999999999" customHeight="1" x14ac:dyDescent="0.3">
      <c r="A1516" s="5">
        <v>46174</v>
      </c>
      <c r="B1516" s="6" t="s">
        <v>50</v>
      </c>
      <c r="C1516" s="6" t="s">
        <v>53</v>
      </c>
      <c r="D1516" s="5">
        <v>46082</v>
      </c>
      <c r="E1516" s="6" t="s">
        <v>15</v>
      </c>
      <c r="F1516" s="7">
        <v>648</v>
      </c>
      <c r="G1516" s="7">
        <v>299657.58333333331</v>
      </c>
      <c r="H1516" s="7">
        <v>194178114</v>
      </c>
      <c r="I1516" s="7">
        <v>19138130</v>
      </c>
      <c r="J1516" s="7">
        <v>0</v>
      </c>
      <c r="K1516">
        <f t="shared" si="23"/>
        <v>92</v>
      </c>
      <c r="L1516" s="8" t="str" cm="1">
        <f t="array" ref="L1516">_xlfn.IFS(
 AND(K1516&gt;=89,K1516&lt;=92),"3개월",
 AND(K1516&gt;=58,K1516&lt;=62),"2개월",
 AND(K1516&gt;=28,K1516&lt;=32),"1개월",
 AND(K1516=0),"당월",
 TRUE,"그외"
)</f>
        <v>3개월</v>
      </c>
    </row>
    <row r="1517" spans="1:12" ht="17.649999999999999" customHeight="1" x14ac:dyDescent="0.3">
      <c r="A1517" s="5">
        <v>46174</v>
      </c>
      <c r="B1517" s="6" t="s">
        <v>50</v>
      </c>
      <c r="C1517" s="6" t="s">
        <v>53</v>
      </c>
      <c r="D1517" s="5">
        <v>46113</v>
      </c>
      <c r="E1517" s="6" t="s">
        <v>14</v>
      </c>
      <c r="F1517" s="7">
        <v>2132</v>
      </c>
      <c r="G1517" s="7">
        <v>153949.6594746717</v>
      </c>
      <c r="H1517" s="7">
        <v>328220674</v>
      </c>
      <c r="I1517" s="7">
        <v>95832484</v>
      </c>
      <c r="J1517" s="7">
        <v>0</v>
      </c>
      <c r="K1517">
        <f t="shared" si="23"/>
        <v>61</v>
      </c>
      <c r="L1517" s="8" t="str" cm="1">
        <f t="array" ref="L1517">_xlfn.IFS(
 AND(K1517&gt;=89,K1517&lt;=92),"3개월",
 AND(K1517&gt;=58,K1517&lt;=62),"2개월",
 AND(K1517&gt;=28,K1517&lt;=32),"1개월",
 AND(K1517=0),"당월",
 TRUE,"그외"
)</f>
        <v>2개월</v>
      </c>
    </row>
    <row r="1518" spans="1:12" ht="17.649999999999999" customHeight="1" x14ac:dyDescent="0.3">
      <c r="A1518" s="5">
        <v>46174</v>
      </c>
      <c r="B1518" s="6" t="s">
        <v>50</v>
      </c>
      <c r="C1518" s="6" t="s">
        <v>53</v>
      </c>
      <c r="D1518" s="5">
        <v>46113</v>
      </c>
      <c r="E1518" s="6" t="s">
        <v>15</v>
      </c>
      <c r="F1518" s="7">
        <v>1043</v>
      </c>
      <c r="G1518" s="7">
        <v>275777.09875359538</v>
      </c>
      <c r="H1518" s="7">
        <v>287635514</v>
      </c>
      <c r="I1518" s="7">
        <v>57225722</v>
      </c>
      <c r="J1518" s="7">
        <v>0</v>
      </c>
      <c r="K1518">
        <f t="shared" si="23"/>
        <v>61</v>
      </c>
      <c r="L1518" s="8" t="str" cm="1">
        <f t="array" ref="L1518">_xlfn.IFS(
 AND(K1518&gt;=89,K1518&lt;=92),"3개월",
 AND(K1518&gt;=58,K1518&lt;=62),"2개월",
 AND(K1518&gt;=28,K1518&lt;=32),"1개월",
 AND(K1518=0),"당월",
 TRUE,"그외"
)</f>
        <v>2개월</v>
      </c>
    </row>
    <row r="1519" spans="1:12" ht="17.649999999999999" customHeight="1" x14ac:dyDescent="0.3">
      <c r="A1519" s="5">
        <v>46174</v>
      </c>
      <c r="B1519" s="6" t="s">
        <v>50</v>
      </c>
      <c r="C1519" s="6" t="s">
        <v>53</v>
      </c>
      <c r="D1519" s="5">
        <v>46143</v>
      </c>
      <c r="E1519" s="6" t="s">
        <v>14</v>
      </c>
      <c r="F1519" s="7">
        <v>42</v>
      </c>
      <c r="G1519" s="7">
        <v>156444.71428571429</v>
      </c>
      <c r="H1519" s="7">
        <v>6570678</v>
      </c>
      <c r="I1519" s="7">
        <v>2838948</v>
      </c>
      <c r="J1519" s="7">
        <v>0</v>
      </c>
      <c r="K1519">
        <f t="shared" si="23"/>
        <v>31</v>
      </c>
      <c r="L1519" s="8" t="str" cm="1">
        <f t="array" ref="L1519">_xlfn.IFS(
 AND(K1519&gt;=89,K1519&lt;=92),"3개월",
 AND(K1519&gt;=58,K1519&lt;=62),"2개월",
 AND(K1519&gt;=28,K1519&lt;=32),"1개월",
 AND(K1519=0),"당월",
 TRUE,"그외"
)</f>
        <v>1개월</v>
      </c>
    </row>
    <row r="1520" spans="1:12" ht="17.649999999999999" customHeight="1" x14ac:dyDescent="0.3">
      <c r="A1520" s="5">
        <v>46174</v>
      </c>
      <c r="B1520" s="6" t="s">
        <v>50</v>
      </c>
      <c r="C1520" s="6" t="s">
        <v>53</v>
      </c>
      <c r="D1520" s="5">
        <v>46143</v>
      </c>
      <c r="E1520" s="6" t="s">
        <v>15</v>
      </c>
      <c r="F1520" s="7">
        <v>243</v>
      </c>
      <c r="G1520" s="7">
        <v>259772.19753086421</v>
      </c>
      <c r="H1520" s="7">
        <v>63124644</v>
      </c>
      <c r="I1520" s="7">
        <v>15958158</v>
      </c>
      <c r="J1520" s="7">
        <v>0</v>
      </c>
      <c r="K1520">
        <f t="shared" si="23"/>
        <v>31</v>
      </c>
      <c r="L1520" s="8" t="str" cm="1">
        <f t="array" ref="L1520">_xlfn.IFS(
 AND(K1520&gt;=89,K1520&lt;=92),"3개월",
 AND(K1520&gt;=58,K1520&lt;=62),"2개월",
 AND(K1520&gt;=28,K1520&lt;=32),"1개월",
 AND(K1520=0),"당월",
 TRUE,"그외"
)</f>
        <v>1개월</v>
      </c>
    </row>
    <row r="1521" spans="1:12" ht="17.649999999999999" customHeight="1" x14ac:dyDescent="0.3">
      <c r="A1521" s="5">
        <v>46174</v>
      </c>
      <c r="B1521" s="6" t="s">
        <v>50</v>
      </c>
      <c r="C1521" s="6" t="s">
        <v>54</v>
      </c>
      <c r="D1521" s="5">
        <v>45962</v>
      </c>
      <c r="E1521" s="6" t="s">
        <v>15</v>
      </c>
      <c r="F1521" s="7">
        <v>3</v>
      </c>
      <c r="G1521" s="7">
        <v>181566.66666666669</v>
      </c>
      <c r="H1521" s="7">
        <v>544700</v>
      </c>
      <c r="I1521" s="7">
        <v>50700</v>
      </c>
      <c r="J1521" s="7">
        <v>0</v>
      </c>
      <c r="K1521">
        <f t="shared" si="23"/>
        <v>212</v>
      </c>
      <c r="L1521" s="8" t="str" cm="1">
        <f t="array" ref="L1521">_xlfn.IFS(
 AND(K1521&gt;=89,K1521&lt;=92),"3개월",
 AND(K1521&gt;=58,K1521&lt;=62),"2개월",
 AND(K1521&gt;=28,K1521&lt;=32),"1개월",
 AND(K1521=0),"당월",
 TRUE,"그외"
)</f>
        <v>그외</v>
      </c>
    </row>
    <row r="1522" spans="1:12" ht="17.649999999999999" customHeight="1" x14ac:dyDescent="0.3">
      <c r="A1522" s="5">
        <v>46174</v>
      </c>
      <c r="B1522" s="6" t="s">
        <v>50</v>
      </c>
      <c r="C1522" s="6" t="s">
        <v>54</v>
      </c>
      <c r="D1522" s="5">
        <v>45992</v>
      </c>
      <c r="E1522" s="6" t="s">
        <v>15</v>
      </c>
      <c r="F1522" s="7">
        <v>29</v>
      </c>
      <c r="G1522" s="7">
        <v>135433.03448275861</v>
      </c>
      <c r="H1522" s="7">
        <v>3927558</v>
      </c>
      <c r="I1522" s="7">
        <v>717095</v>
      </c>
      <c r="J1522" s="7">
        <v>0</v>
      </c>
      <c r="K1522">
        <f t="shared" si="23"/>
        <v>182</v>
      </c>
      <c r="L1522" s="8" t="str" cm="1">
        <f t="array" ref="L1522">_xlfn.IFS(
 AND(K1522&gt;=89,K1522&lt;=92),"3개월",
 AND(K1522&gt;=58,K1522&lt;=62),"2개월",
 AND(K1522&gt;=28,K1522&lt;=32),"1개월",
 AND(K1522=0),"당월",
 TRUE,"그외"
)</f>
        <v>그외</v>
      </c>
    </row>
    <row r="1523" spans="1:12" ht="17.649999999999999" customHeight="1" x14ac:dyDescent="0.3">
      <c r="A1523" s="5">
        <v>46174</v>
      </c>
      <c r="B1523" s="6" t="s">
        <v>50</v>
      </c>
      <c r="C1523" s="6" t="s">
        <v>54</v>
      </c>
      <c r="D1523" s="5">
        <v>46023</v>
      </c>
      <c r="E1523" s="6" t="s">
        <v>14</v>
      </c>
      <c r="F1523" s="7">
        <v>10</v>
      </c>
      <c r="G1523" s="7">
        <v>110265.60000000001</v>
      </c>
      <c r="H1523" s="7">
        <v>1102656</v>
      </c>
      <c r="I1523" s="7">
        <v>413496</v>
      </c>
      <c r="J1523" s="7">
        <v>0</v>
      </c>
      <c r="K1523">
        <f t="shared" si="23"/>
        <v>151</v>
      </c>
      <c r="L1523" s="8" t="str" cm="1">
        <f t="array" ref="L1523">_xlfn.IFS(
 AND(K1523&gt;=89,K1523&lt;=92),"3개월",
 AND(K1523&gt;=58,K1523&lt;=62),"2개월",
 AND(K1523&gt;=28,K1523&lt;=32),"1개월",
 AND(K1523=0),"당월",
 TRUE,"그외"
)</f>
        <v>그외</v>
      </c>
    </row>
    <row r="1524" spans="1:12" ht="17.649999999999999" customHeight="1" x14ac:dyDescent="0.3">
      <c r="A1524" s="5">
        <v>46174</v>
      </c>
      <c r="B1524" s="6" t="s">
        <v>50</v>
      </c>
      <c r="C1524" s="6" t="s">
        <v>54</v>
      </c>
      <c r="D1524" s="5">
        <v>46023</v>
      </c>
      <c r="E1524" s="6" t="s">
        <v>15</v>
      </c>
      <c r="F1524" s="7">
        <v>113</v>
      </c>
      <c r="G1524" s="7">
        <v>152557.2831858407</v>
      </c>
      <c r="H1524" s="7">
        <v>17238973</v>
      </c>
      <c r="I1524" s="7">
        <v>3146517</v>
      </c>
      <c r="J1524" s="7">
        <v>0</v>
      </c>
      <c r="K1524">
        <f t="shared" si="23"/>
        <v>151</v>
      </c>
      <c r="L1524" s="8" t="str" cm="1">
        <f t="array" ref="L1524">_xlfn.IFS(
 AND(K1524&gt;=89,K1524&lt;=92),"3개월",
 AND(K1524&gt;=58,K1524&lt;=62),"2개월",
 AND(K1524&gt;=28,K1524&lt;=32),"1개월",
 AND(K1524=0),"당월",
 TRUE,"그외"
)</f>
        <v>그외</v>
      </c>
    </row>
    <row r="1525" spans="1:12" ht="17.649999999999999" customHeight="1" x14ac:dyDescent="0.3">
      <c r="A1525" s="5">
        <v>46174</v>
      </c>
      <c r="B1525" s="6" t="s">
        <v>50</v>
      </c>
      <c r="C1525" s="6" t="s">
        <v>54</v>
      </c>
      <c r="D1525" s="5">
        <v>46054</v>
      </c>
      <c r="E1525" s="6" t="s">
        <v>15</v>
      </c>
      <c r="F1525" s="7">
        <v>210</v>
      </c>
      <c r="G1525" s="7">
        <v>177204.1047619048</v>
      </c>
      <c r="H1525" s="7">
        <v>37212862</v>
      </c>
      <c r="I1525" s="7">
        <v>6822017</v>
      </c>
      <c r="J1525" s="7">
        <v>0</v>
      </c>
      <c r="K1525">
        <f t="shared" si="23"/>
        <v>120</v>
      </c>
      <c r="L1525" s="8" t="str" cm="1">
        <f t="array" ref="L1525">_xlfn.IFS(
 AND(K1525&gt;=89,K1525&lt;=92),"3개월",
 AND(K1525&gt;=58,K1525&lt;=62),"2개월",
 AND(K1525&gt;=28,K1525&lt;=32),"1개월",
 AND(K1525=0),"당월",
 TRUE,"그외"
)</f>
        <v>그외</v>
      </c>
    </row>
    <row r="1526" spans="1:12" ht="17.649999999999999" customHeight="1" x14ac:dyDescent="0.3">
      <c r="A1526" s="5">
        <v>46174</v>
      </c>
      <c r="B1526" s="6" t="s">
        <v>50</v>
      </c>
      <c r="C1526" s="6" t="s">
        <v>54</v>
      </c>
      <c r="D1526" s="5">
        <v>46082</v>
      </c>
      <c r="E1526" s="6" t="s">
        <v>14</v>
      </c>
      <c r="F1526" s="7">
        <v>564</v>
      </c>
      <c r="G1526" s="7">
        <v>103209.28546099291</v>
      </c>
      <c r="H1526" s="7">
        <v>58210037</v>
      </c>
      <c r="I1526" s="7">
        <v>22036008</v>
      </c>
      <c r="J1526" s="7">
        <v>0</v>
      </c>
      <c r="K1526">
        <f t="shared" si="23"/>
        <v>92</v>
      </c>
      <c r="L1526" s="8" t="str" cm="1">
        <f t="array" ref="L1526">_xlfn.IFS(
 AND(K1526&gt;=89,K1526&lt;=92),"3개월",
 AND(K1526&gt;=58,K1526&lt;=62),"2개월",
 AND(K1526&gt;=28,K1526&lt;=32),"1개월",
 AND(K1526=0),"당월",
 TRUE,"그외"
)</f>
        <v>3개월</v>
      </c>
    </row>
    <row r="1527" spans="1:12" ht="17.649999999999999" customHeight="1" x14ac:dyDescent="0.3">
      <c r="A1527" s="5">
        <v>46174</v>
      </c>
      <c r="B1527" s="6" t="s">
        <v>50</v>
      </c>
      <c r="C1527" s="6" t="s">
        <v>54</v>
      </c>
      <c r="D1527" s="5">
        <v>46082</v>
      </c>
      <c r="E1527" s="6" t="s">
        <v>15</v>
      </c>
      <c r="F1527" s="7">
        <v>391</v>
      </c>
      <c r="G1527" s="7">
        <v>166715.35038363171</v>
      </c>
      <c r="H1527" s="7">
        <v>65185702</v>
      </c>
      <c r="I1527" s="7">
        <v>12352533</v>
      </c>
      <c r="J1527" s="7">
        <v>0</v>
      </c>
      <c r="K1527">
        <f t="shared" si="23"/>
        <v>92</v>
      </c>
      <c r="L1527" s="8" t="str" cm="1">
        <f t="array" ref="L1527">_xlfn.IFS(
 AND(K1527&gt;=89,K1527&lt;=92),"3개월",
 AND(K1527&gt;=58,K1527&lt;=62),"2개월",
 AND(K1527&gt;=28,K1527&lt;=32),"1개월",
 AND(K1527=0),"당월",
 TRUE,"그외"
)</f>
        <v>3개월</v>
      </c>
    </row>
    <row r="1528" spans="1:12" ht="17.649999999999999" customHeight="1" x14ac:dyDescent="0.3">
      <c r="A1528" s="5">
        <v>46174</v>
      </c>
      <c r="B1528" s="6" t="s">
        <v>50</v>
      </c>
      <c r="C1528" s="6" t="s">
        <v>54</v>
      </c>
      <c r="D1528" s="5">
        <v>46113</v>
      </c>
      <c r="E1528" s="6" t="s">
        <v>14</v>
      </c>
      <c r="F1528" s="7">
        <v>905</v>
      </c>
      <c r="G1528" s="7">
        <v>109100.52707182321</v>
      </c>
      <c r="H1528" s="7">
        <v>98735977</v>
      </c>
      <c r="I1528" s="7">
        <v>39344072</v>
      </c>
      <c r="J1528" s="7">
        <v>0</v>
      </c>
      <c r="K1528">
        <f t="shared" si="23"/>
        <v>61</v>
      </c>
      <c r="L1528" s="8" t="str" cm="1">
        <f t="array" ref="L1528">_xlfn.IFS(
 AND(K1528&gt;=89,K1528&lt;=92),"3개월",
 AND(K1528&gt;=58,K1528&lt;=62),"2개월",
 AND(K1528&gt;=28,K1528&lt;=32),"1개월",
 AND(K1528=0),"당월",
 TRUE,"그외"
)</f>
        <v>2개월</v>
      </c>
    </row>
    <row r="1529" spans="1:12" ht="17.649999999999999" customHeight="1" x14ac:dyDescent="0.3">
      <c r="A1529" s="5">
        <v>46174</v>
      </c>
      <c r="B1529" s="6" t="s">
        <v>50</v>
      </c>
      <c r="C1529" s="6" t="s">
        <v>54</v>
      </c>
      <c r="D1529" s="5">
        <v>46113</v>
      </c>
      <c r="E1529" s="6" t="s">
        <v>15</v>
      </c>
      <c r="F1529" s="7">
        <v>1037</v>
      </c>
      <c r="G1529" s="7">
        <v>159696.83317261329</v>
      </c>
      <c r="H1529" s="7">
        <v>165605616</v>
      </c>
      <c r="I1529" s="7">
        <v>56274744</v>
      </c>
      <c r="J1529" s="7">
        <v>0</v>
      </c>
      <c r="K1529">
        <f t="shared" si="23"/>
        <v>61</v>
      </c>
      <c r="L1529" s="8" t="str" cm="1">
        <f t="array" ref="L1529">_xlfn.IFS(
 AND(K1529&gt;=89,K1529&lt;=92),"3개월",
 AND(K1529&gt;=58,K1529&lt;=62),"2개월",
 AND(K1529&gt;=28,K1529&lt;=32),"1개월",
 AND(K1529=0),"당월",
 TRUE,"그외"
)</f>
        <v>2개월</v>
      </c>
    </row>
    <row r="1530" spans="1:12" ht="17.649999999999999" customHeight="1" x14ac:dyDescent="0.3">
      <c r="A1530" s="5">
        <v>46174</v>
      </c>
      <c r="B1530" s="6" t="s">
        <v>50</v>
      </c>
      <c r="C1530" s="6" t="s">
        <v>54</v>
      </c>
      <c r="D1530" s="5">
        <v>46143</v>
      </c>
      <c r="E1530" s="6" t="s">
        <v>15</v>
      </c>
      <c r="F1530" s="7">
        <v>95</v>
      </c>
      <c r="G1530" s="7">
        <v>136623.67368421049</v>
      </c>
      <c r="H1530" s="7">
        <v>12979249</v>
      </c>
      <c r="I1530" s="7">
        <v>5826378</v>
      </c>
      <c r="J1530" s="7">
        <v>0</v>
      </c>
      <c r="K1530">
        <f t="shared" si="23"/>
        <v>31</v>
      </c>
      <c r="L1530" s="8" t="str" cm="1">
        <f t="array" ref="L1530">_xlfn.IFS(
 AND(K1530&gt;=89,K1530&lt;=92),"3개월",
 AND(K1530&gt;=58,K1530&lt;=62),"2개월",
 AND(K1530&gt;=28,K1530&lt;=32),"1개월",
 AND(K1530=0),"당월",
 TRUE,"그외"
)</f>
        <v>1개월</v>
      </c>
    </row>
    <row r="1531" spans="1:12" ht="17.649999999999999" customHeight="1" x14ac:dyDescent="0.3">
      <c r="A1531" s="5">
        <v>46174</v>
      </c>
      <c r="B1531" s="6" t="s">
        <v>50</v>
      </c>
      <c r="C1531" s="6" t="s">
        <v>56</v>
      </c>
      <c r="D1531" s="5">
        <v>45992</v>
      </c>
      <c r="E1531" s="6" t="s">
        <v>15</v>
      </c>
      <c r="F1531" s="7">
        <v>30</v>
      </c>
      <c r="G1531" s="7">
        <v>166775.76666666669</v>
      </c>
      <c r="H1531" s="7">
        <v>5003273</v>
      </c>
      <c r="I1531" s="7">
        <v>1025486</v>
      </c>
      <c r="J1531" s="7">
        <v>0</v>
      </c>
      <c r="K1531">
        <f t="shared" si="23"/>
        <v>182</v>
      </c>
      <c r="L1531" s="8" t="str" cm="1">
        <f t="array" ref="L1531">_xlfn.IFS(
 AND(K1531&gt;=89,K1531&lt;=92),"3개월",
 AND(K1531&gt;=58,K1531&lt;=62),"2개월",
 AND(K1531&gt;=28,K1531&lt;=32),"1개월",
 AND(K1531=0),"당월",
 TRUE,"그외"
)</f>
        <v>그외</v>
      </c>
    </row>
    <row r="1532" spans="1:12" ht="17.649999999999999" customHeight="1" x14ac:dyDescent="0.3">
      <c r="A1532" s="5">
        <v>46174</v>
      </c>
      <c r="B1532" s="6" t="s">
        <v>50</v>
      </c>
      <c r="C1532" s="6" t="s">
        <v>56</v>
      </c>
      <c r="D1532" s="5">
        <v>46023</v>
      </c>
      <c r="E1532" s="6" t="s">
        <v>14</v>
      </c>
      <c r="F1532" s="7">
        <v>20</v>
      </c>
      <c r="G1532" s="7">
        <v>110263.2</v>
      </c>
      <c r="H1532" s="7">
        <v>2205264</v>
      </c>
      <c r="I1532" s="7">
        <v>826974</v>
      </c>
      <c r="J1532" s="7">
        <v>0</v>
      </c>
      <c r="K1532">
        <f t="shared" si="23"/>
        <v>151</v>
      </c>
      <c r="L1532" s="8" t="str" cm="1">
        <f t="array" ref="L1532">_xlfn.IFS(
 AND(K1532&gt;=89,K1532&lt;=92),"3개월",
 AND(K1532&gt;=58,K1532&lt;=62),"2개월",
 AND(K1532&gt;=28,K1532&lt;=32),"1개월",
 AND(K1532=0),"당월",
 TRUE,"그외"
)</f>
        <v>그외</v>
      </c>
    </row>
    <row r="1533" spans="1:12" ht="17.649999999999999" customHeight="1" x14ac:dyDescent="0.3">
      <c r="A1533" s="5">
        <v>46174</v>
      </c>
      <c r="B1533" s="6" t="s">
        <v>50</v>
      </c>
      <c r="C1533" s="6" t="s">
        <v>56</v>
      </c>
      <c r="D1533" s="5">
        <v>46023</v>
      </c>
      <c r="E1533" s="6" t="s">
        <v>15</v>
      </c>
      <c r="F1533" s="7">
        <v>72</v>
      </c>
      <c r="G1533" s="7">
        <v>172462.31944444441</v>
      </c>
      <c r="H1533" s="7">
        <v>12417287</v>
      </c>
      <c r="I1533" s="7">
        <v>2279936</v>
      </c>
      <c r="J1533" s="7">
        <v>0</v>
      </c>
      <c r="K1533">
        <f t="shared" si="23"/>
        <v>151</v>
      </c>
      <c r="L1533" s="8" t="str" cm="1">
        <f t="array" ref="L1533">_xlfn.IFS(
 AND(K1533&gt;=89,K1533&lt;=92),"3개월",
 AND(K1533&gt;=58,K1533&lt;=62),"2개월",
 AND(K1533&gt;=28,K1533&lt;=32),"1개월",
 AND(K1533=0),"당월",
 TRUE,"그외"
)</f>
        <v>그외</v>
      </c>
    </row>
    <row r="1534" spans="1:12" ht="17.649999999999999" customHeight="1" x14ac:dyDescent="0.3">
      <c r="A1534" s="5">
        <v>46174</v>
      </c>
      <c r="B1534" s="6" t="s">
        <v>50</v>
      </c>
      <c r="C1534" s="6" t="s">
        <v>56</v>
      </c>
      <c r="D1534" s="5">
        <v>46054</v>
      </c>
      <c r="E1534" s="6" t="s">
        <v>15</v>
      </c>
      <c r="F1534" s="7">
        <v>99</v>
      </c>
      <c r="G1534" s="7">
        <v>170146.6464646465</v>
      </c>
      <c r="H1534" s="7">
        <v>16844518</v>
      </c>
      <c r="I1534" s="7">
        <v>2520582</v>
      </c>
      <c r="J1534" s="7">
        <v>0</v>
      </c>
      <c r="K1534">
        <f t="shared" si="23"/>
        <v>120</v>
      </c>
      <c r="L1534" s="8" t="str" cm="1">
        <f t="array" ref="L1534">_xlfn.IFS(
 AND(K1534&gt;=89,K1534&lt;=92),"3개월",
 AND(K1534&gt;=58,K1534&lt;=62),"2개월",
 AND(K1534&gt;=28,K1534&lt;=32),"1개월",
 AND(K1534=0),"당월",
 TRUE,"그외"
)</f>
        <v>그외</v>
      </c>
    </row>
    <row r="1535" spans="1:12" ht="17.649999999999999" customHeight="1" x14ac:dyDescent="0.3">
      <c r="A1535" s="5">
        <v>46174</v>
      </c>
      <c r="B1535" s="6" t="s">
        <v>50</v>
      </c>
      <c r="C1535" s="6" t="s">
        <v>56</v>
      </c>
      <c r="D1535" s="5">
        <v>46082</v>
      </c>
      <c r="E1535" s="6" t="s">
        <v>14</v>
      </c>
      <c r="F1535" s="7">
        <v>128</v>
      </c>
      <c r="G1535" s="7">
        <v>120909.921875</v>
      </c>
      <c r="H1535" s="7">
        <v>15476470</v>
      </c>
      <c r="I1535" s="7">
        <v>4203978</v>
      </c>
      <c r="J1535" s="7">
        <v>0</v>
      </c>
      <c r="K1535">
        <f t="shared" si="23"/>
        <v>92</v>
      </c>
      <c r="L1535" s="8" t="str" cm="1">
        <f t="array" ref="L1535">_xlfn.IFS(
 AND(K1535&gt;=89,K1535&lt;=92),"3개월",
 AND(K1535&gt;=58,K1535&lt;=62),"2개월",
 AND(K1535&gt;=28,K1535&lt;=32),"1개월",
 AND(K1535=0),"당월",
 TRUE,"그외"
)</f>
        <v>3개월</v>
      </c>
    </row>
    <row r="1536" spans="1:12" ht="17.649999999999999" customHeight="1" x14ac:dyDescent="0.3">
      <c r="A1536" s="5">
        <v>46174</v>
      </c>
      <c r="B1536" s="6" t="s">
        <v>50</v>
      </c>
      <c r="C1536" s="6" t="s">
        <v>56</v>
      </c>
      <c r="D1536" s="5">
        <v>46082</v>
      </c>
      <c r="E1536" s="6" t="s">
        <v>15</v>
      </c>
      <c r="F1536" s="7">
        <v>433</v>
      </c>
      <c r="G1536" s="7">
        <v>178412.53348729789</v>
      </c>
      <c r="H1536" s="7">
        <v>77252627</v>
      </c>
      <c r="I1536" s="7">
        <v>12251643</v>
      </c>
      <c r="J1536" s="7">
        <v>0</v>
      </c>
      <c r="K1536">
        <f t="shared" si="23"/>
        <v>92</v>
      </c>
      <c r="L1536" s="8" t="str" cm="1">
        <f t="array" ref="L1536">_xlfn.IFS(
 AND(K1536&gt;=89,K1536&lt;=92),"3개월",
 AND(K1536&gt;=58,K1536&lt;=62),"2개월",
 AND(K1536&gt;=28,K1536&lt;=32),"1개월",
 AND(K1536=0),"당월",
 TRUE,"그외"
)</f>
        <v>3개월</v>
      </c>
    </row>
    <row r="1537" spans="1:12" ht="17.649999999999999" customHeight="1" x14ac:dyDescent="0.3">
      <c r="A1537" s="5">
        <v>46174</v>
      </c>
      <c r="B1537" s="6" t="s">
        <v>50</v>
      </c>
      <c r="C1537" s="6" t="s">
        <v>56</v>
      </c>
      <c r="D1537" s="5">
        <v>46113</v>
      </c>
      <c r="E1537" s="6" t="s">
        <v>14</v>
      </c>
      <c r="F1537" s="7">
        <v>419</v>
      </c>
      <c r="G1537" s="7">
        <v>136720.6778042959</v>
      </c>
      <c r="H1537" s="7">
        <v>57285964</v>
      </c>
      <c r="I1537" s="7">
        <v>20669624</v>
      </c>
      <c r="J1537" s="7">
        <v>0</v>
      </c>
      <c r="K1537">
        <f t="shared" si="23"/>
        <v>61</v>
      </c>
      <c r="L1537" s="8" t="str" cm="1">
        <f t="array" ref="L1537">_xlfn.IFS(
 AND(K1537&gt;=89,K1537&lt;=92),"3개월",
 AND(K1537&gt;=58,K1537&lt;=62),"2개월",
 AND(K1537&gt;=28,K1537&lt;=32),"1개월",
 AND(K1537=0),"당월",
 TRUE,"그외"
)</f>
        <v>2개월</v>
      </c>
    </row>
    <row r="1538" spans="1:12" ht="17.649999999999999" customHeight="1" x14ac:dyDescent="0.3">
      <c r="A1538" s="5">
        <v>46174</v>
      </c>
      <c r="B1538" s="6" t="s">
        <v>50</v>
      </c>
      <c r="C1538" s="6" t="s">
        <v>56</v>
      </c>
      <c r="D1538" s="5">
        <v>46113</v>
      </c>
      <c r="E1538" s="6" t="s">
        <v>15</v>
      </c>
      <c r="F1538" s="7">
        <v>877</v>
      </c>
      <c r="G1538" s="7">
        <v>190761.22805017099</v>
      </c>
      <c r="H1538" s="7">
        <v>167297597</v>
      </c>
      <c r="I1538" s="7">
        <v>49708939</v>
      </c>
      <c r="J1538" s="7">
        <v>0</v>
      </c>
      <c r="K1538">
        <f t="shared" si="23"/>
        <v>61</v>
      </c>
      <c r="L1538" s="8" t="str" cm="1">
        <f t="array" ref="L1538">_xlfn.IFS(
 AND(K1538&gt;=89,K1538&lt;=92),"3개월",
 AND(K1538&gt;=58,K1538&lt;=62),"2개월",
 AND(K1538&gt;=28,K1538&lt;=32),"1개월",
 AND(K1538=0),"당월",
 TRUE,"그외"
)</f>
        <v>2개월</v>
      </c>
    </row>
    <row r="1539" spans="1:12" ht="17.649999999999999" customHeight="1" x14ac:dyDescent="0.3">
      <c r="A1539" s="5">
        <v>46174</v>
      </c>
      <c r="B1539" s="6" t="s">
        <v>50</v>
      </c>
      <c r="C1539" s="6" t="s">
        <v>56</v>
      </c>
      <c r="D1539" s="5">
        <v>46143</v>
      </c>
      <c r="E1539" s="6" t="s">
        <v>14</v>
      </c>
      <c r="F1539" s="7">
        <v>19</v>
      </c>
      <c r="G1539" s="7">
        <v>153444.78947368421</v>
      </c>
      <c r="H1539" s="7">
        <v>2915451</v>
      </c>
      <c r="I1539" s="7">
        <v>1284286</v>
      </c>
      <c r="J1539" s="7">
        <v>0</v>
      </c>
      <c r="K1539">
        <f t="shared" si="23"/>
        <v>31</v>
      </c>
      <c r="L1539" s="8" t="str" cm="1">
        <f t="array" ref="L1539">_xlfn.IFS(
 AND(K1539&gt;=89,K1539&lt;=92),"3개월",
 AND(K1539&gt;=58,K1539&lt;=62),"2개월",
 AND(K1539&gt;=28,K1539&lt;=32),"1개월",
 AND(K1539=0),"당월",
 TRUE,"그외"
)</f>
        <v>1개월</v>
      </c>
    </row>
    <row r="1540" spans="1:12" ht="17.649999999999999" customHeight="1" x14ac:dyDescent="0.3">
      <c r="A1540" s="5">
        <v>46174</v>
      </c>
      <c r="B1540" s="6" t="s">
        <v>50</v>
      </c>
      <c r="C1540" s="6" t="s">
        <v>56</v>
      </c>
      <c r="D1540" s="5">
        <v>46143</v>
      </c>
      <c r="E1540" s="6" t="s">
        <v>15</v>
      </c>
      <c r="F1540" s="7">
        <v>445</v>
      </c>
      <c r="G1540" s="7">
        <v>174961.84943820219</v>
      </c>
      <c r="H1540" s="7">
        <v>77858023</v>
      </c>
      <c r="I1540" s="7">
        <v>33092556</v>
      </c>
      <c r="J1540" s="7">
        <v>0</v>
      </c>
      <c r="K1540">
        <f t="shared" si="23"/>
        <v>31</v>
      </c>
      <c r="L1540" s="8" t="str" cm="1">
        <f t="array" ref="L1540">_xlfn.IFS(
 AND(K1540&gt;=89,K1540&lt;=92),"3개월",
 AND(K1540&gt;=58,K1540&lt;=62),"2개월",
 AND(K1540&gt;=28,K1540&lt;=32),"1개월",
 AND(K1540=0),"당월",
 TRUE,"그외"
)</f>
        <v>1개월</v>
      </c>
    </row>
    <row r="1541" spans="1:12" ht="17.649999999999999" customHeight="1" x14ac:dyDescent="0.3">
      <c r="A1541" s="5">
        <v>46174</v>
      </c>
      <c r="B1541" s="6" t="s">
        <v>50</v>
      </c>
      <c r="C1541" s="6" t="s">
        <v>57</v>
      </c>
      <c r="D1541" s="5">
        <v>45962</v>
      </c>
      <c r="E1541" s="6" t="s">
        <v>15</v>
      </c>
      <c r="F1541" s="7">
        <v>13</v>
      </c>
      <c r="G1541" s="7">
        <v>223730.15384615379</v>
      </c>
      <c r="H1541" s="7">
        <v>2908492</v>
      </c>
      <c r="I1541" s="7">
        <v>270995</v>
      </c>
      <c r="J1541" s="7">
        <v>0</v>
      </c>
      <c r="K1541">
        <f t="shared" si="23"/>
        <v>212</v>
      </c>
      <c r="L1541" s="8" t="str" cm="1">
        <f t="array" ref="L1541">_xlfn.IFS(
 AND(K1541&gt;=89,K1541&lt;=92),"3개월",
 AND(K1541&gt;=58,K1541&lt;=62),"2개월",
 AND(K1541&gt;=28,K1541&lt;=32),"1개월",
 AND(K1541=0),"당월",
 TRUE,"그외"
)</f>
        <v>그외</v>
      </c>
    </row>
    <row r="1542" spans="1:12" ht="17.649999999999999" customHeight="1" x14ac:dyDescent="0.3">
      <c r="A1542" s="5">
        <v>46174</v>
      </c>
      <c r="B1542" s="6" t="s">
        <v>50</v>
      </c>
      <c r="C1542" s="6" t="s">
        <v>57</v>
      </c>
      <c r="D1542" s="5">
        <v>45992</v>
      </c>
      <c r="E1542" s="6" t="s">
        <v>15</v>
      </c>
      <c r="F1542" s="7">
        <v>82</v>
      </c>
      <c r="G1542" s="7">
        <v>142932.98780487801</v>
      </c>
      <c r="H1542" s="7">
        <v>11720505</v>
      </c>
      <c r="I1542" s="7">
        <v>2314447</v>
      </c>
      <c r="J1542" s="7">
        <v>0</v>
      </c>
      <c r="K1542">
        <f t="shared" si="23"/>
        <v>182</v>
      </c>
      <c r="L1542" s="8" t="str" cm="1">
        <f t="array" ref="L1542">_xlfn.IFS(
 AND(K1542&gt;=89,K1542&lt;=92),"3개월",
 AND(K1542&gt;=58,K1542&lt;=62),"2개월",
 AND(K1542&gt;=28,K1542&lt;=32),"1개월",
 AND(K1542=0),"당월",
 TRUE,"그외"
)</f>
        <v>그외</v>
      </c>
    </row>
    <row r="1543" spans="1:12" ht="17.649999999999999" customHeight="1" x14ac:dyDescent="0.3">
      <c r="A1543" s="5">
        <v>46174</v>
      </c>
      <c r="B1543" s="6" t="s">
        <v>50</v>
      </c>
      <c r="C1543" s="6" t="s">
        <v>57</v>
      </c>
      <c r="D1543" s="5">
        <v>46023</v>
      </c>
      <c r="E1543" s="6" t="s">
        <v>15</v>
      </c>
      <c r="F1543" s="7">
        <v>207</v>
      </c>
      <c r="G1543" s="7">
        <v>138341.0917874396</v>
      </c>
      <c r="H1543" s="7">
        <v>28636606</v>
      </c>
      <c r="I1543" s="7">
        <v>6337806</v>
      </c>
      <c r="J1543" s="7">
        <v>0</v>
      </c>
      <c r="K1543">
        <f t="shared" si="23"/>
        <v>151</v>
      </c>
      <c r="L1543" s="8" t="str" cm="1">
        <f t="array" ref="L1543">_xlfn.IFS(
 AND(K1543&gt;=89,K1543&lt;=92),"3개월",
 AND(K1543&gt;=58,K1543&lt;=62),"2개월",
 AND(K1543&gt;=28,K1543&lt;=32),"1개월",
 AND(K1543=0),"당월",
 TRUE,"그외"
)</f>
        <v>그외</v>
      </c>
    </row>
    <row r="1544" spans="1:12" ht="17.649999999999999" customHeight="1" x14ac:dyDescent="0.3">
      <c r="A1544" s="5">
        <v>46174</v>
      </c>
      <c r="B1544" s="6" t="s">
        <v>50</v>
      </c>
      <c r="C1544" s="6" t="s">
        <v>57</v>
      </c>
      <c r="D1544" s="5">
        <v>46054</v>
      </c>
      <c r="E1544" s="6" t="s">
        <v>15</v>
      </c>
      <c r="F1544" s="7">
        <v>226</v>
      </c>
      <c r="G1544" s="7">
        <v>148440.8008849558</v>
      </c>
      <c r="H1544" s="7">
        <v>33547621</v>
      </c>
      <c r="I1544" s="7">
        <v>5877753</v>
      </c>
      <c r="J1544" s="7">
        <v>0</v>
      </c>
      <c r="K1544">
        <f t="shared" si="23"/>
        <v>120</v>
      </c>
      <c r="L1544" s="8" t="str" cm="1">
        <f t="array" ref="L1544">_xlfn.IFS(
 AND(K1544&gt;=89,K1544&lt;=92),"3개월",
 AND(K1544&gt;=58,K1544&lt;=62),"2개월",
 AND(K1544&gt;=28,K1544&lt;=32),"1개월",
 AND(K1544=0),"당월",
 TRUE,"그외"
)</f>
        <v>그외</v>
      </c>
    </row>
    <row r="1545" spans="1:12" ht="17.649999999999999" customHeight="1" x14ac:dyDescent="0.3">
      <c r="A1545" s="5">
        <v>46174</v>
      </c>
      <c r="B1545" s="6" t="s">
        <v>50</v>
      </c>
      <c r="C1545" s="6" t="s">
        <v>57</v>
      </c>
      <c r="D1545" s="5">
        <v>46082</v>
      </c>
      <c r="E1545" s="6" t="s">
        <v>14</v>
      </c>
      <c r="F1545" s="7">
        <v>173</v>
      </c>
      <c r="G1545" s="7">
        <v>117714.1502890173</v>
      </c>
      <c r="H1545" s="7">
        <v>20364548</v>
      </c>
      <c r="I1545" s="7">
        <v>5115068</v>
      </c>
      <c r="J1545" s="7">
        <v>0</v>
      </c>
      <c r="K1545">
        <f t="shared" si="23"/>
        <v>92</v>
      </c>
      <c r="L1545" s="8" t="str" cm="1">
        <f t="array" ref="L1545">_xlfn.IFS(
 AND(K1545&gt;=89,K1545&lt;=92),"3개월",
 AND(K1545&gt;=58,K1545&lt;=62),"2개월",
 AND(K1545&gt;=28,K1545&lt;=32),"1개월",
 AND(K1545=0),"당월",
 TRUE,"그외"
)</f>
        <v>3개월</v>
      </c>
    </row>
    <row r="1546" spans="1:12" ht="17.649999999999999" customHeight="1" x14ac:dyDescent="0.3">
      <c r="A1546" s="5">
        <v>46174</v>
      </c>
      <c r="B1546" s="6" t="s">
        <v>50</v>
      </c>
      <c r="C1546" s="6" t="s">
        <v>57</v>
      </c>
      <c r="D1546" s="5">
        <v>46082</v>
      </c>
      <c r="E1546" s="6" t="s">
        <v>15</v>
      </c>
      <c r="F1546" s="7">
        <v>1213</v>
      </c>
      <c r="G1546" s="7">
        <v>164128.2555647156</v>
      </c>
      <c r="H1546" s="7">
        <v>199087574</v>
      </c>
      <c r="I1546" s="7">
        <v>32806885</v>
      </c>
      <c r="J1546" s="7">
        <v>0</v>
      </c>
      <c r="K1546">
        <f t="shared" ref="K1546:K1609" si="24">A1546-D1546</f>
        <v>92</v>
      </c>
      <c r="L1546" s="8" t="str" cm="1">
        <f t="array" ref="L1546">_xlfn.IFS(
 AND(K1546&gt;=89,K1546&lt;=92),"3개월",
 AND(K1546&gt;=58,K1546&lt;=62),"2개월",
 AND(K1546&gt;=28,K1546&lt;=32),"1개월",
 AND(K1546=0),"당월",
 TRUE,"그외"
)</f>
        <v>3개월</v>
      </c>
    </row>
    <row r="1547" spans="1:12" ht="17.649999999999999" customHeight="1" x14ac:dyDescent="0.3">
      <c r="A1547" s="5">
        <v>46174</v>
      </c>
      <c r="B1547" s="6" t="s">
        <v>50</v>
      </c>
      <c r="C1547" s="6" t="s">
        <v>57</v>
      </c>
      <c r="D1547" s="5">
        <v>46113</v>
      </c>
      <c r="E1547" s="6" t="s">
        <v>14</v>
      </c>
      <c r="F1547" s="7">
        <v>487</v>
      </c>
      <c r="G1547" s="7">
        <v>138537.11704312111</v>
      </c>
      <c r="H1547" s="7">
        <v>67467576</v>
      </c>
      <c r="I1547" s="7">
        <v>22522976</v>
      </c>
      <c r="J1547" s="7">
        <v>0</v>
      </c>
      <c r="K1547">
        <f t="shared" si="24"/>
        <v>61</v>
      </c>
      <c r="L1547" s="8" t="str" cm="1">
        <f t="array" ref="L1547">_xlfn.IFS(
 AND(K1547&gt;=89,K1547&lt;=92),"3개월",
 AND(K1547&gt;=58,K1547&lt;=62),"2개월",
 AND(K1547&gt;=28,K1547&lt;=32),"1개월",
 AND(K1547=0),"당월",
 TRUE,"그외"
)</f>
        <v>2개월</v>
      </c>
    </row>
    <row r="1548" spans="1:12" ht="17.649999999999999" customHeight="1" x14ac:dyDescent="0.3">
      <c r="A1548" s="5">
        <v>46174</v>
      </c>
      <c r="B1548" s="6" t="s">
        <v>50</v>
      </c>
      <c r="C1548" s="6" t="s">
        <v>57</v>
      </c>
      <c r="D1548" s="5">
        <v>46113</v>
      </c>
      <c r="E1548" s="6" t="s">
        <v>15</v>
      </c>
      <c r="F1548" s="7">
        <v>1327</v>
      </c>
      <c r="G1548" s="7">
        <v>191329.03767897509</v>
      </c>
      <c r="H1548" s="7">
        <v>253893633</v>
      </c>
      <c r="I1548" s="7">
        <v>72030319</v>
      </c>
      <c r="J1548" s="7">
        <v>0</v>
      </c>
      <c r="K1548">
        <f t="shared" si="24"/>
        <v>61</v>
      </c>
      <c r="L1548" s="8" t="str" cm="1">
        <f t="array" ref="L1548">_xlfn.IFS(
 AND(K1548&gt;=89,K1548&lt;=92),"3개월",
 AND(K1548&gt;=58,K1548&lt;=62),"2개월",
 AND(K1548&gt;=28,K1548&lt;=32),"1개월",
 AND(K1548=0),"당월",
 TRUE,"그외"
)</f>
        <v>2개월</v>
      </c>
    </row>
    <row r="1549" spans="1:12" ht="17.649999999999999" customHeight="1" x14ac:dyDescent="0.3">
      <c r="A1549" s="5">
        <v>46174</v>
      </c>
      <c r="B1549" s="6" t="s">
        <v>50</v>
      </c>
      <c r="C1549" s="6" t="s">
        <v>57</v>
      </c>
      <c r="D1549" s="5">
        <v>46143</v>
      </c>
      <c r="E1549" s="6" t="s">
        <v>14</v>
      </c>
      <c r="F1549" s="7">
        <v>70</v>
      </c>
      <c r="G1549" s="7">
        <v>146667.7714285714</v>
      </c>
      <c r="H1549" s="7">
        <v>10266744</v>
      </c>
      <c r="I1549" s="7">
        <v>4680884</v>
      </c>
      <c r="J1549" s="7">
        <v>0</v>
      </c>
      <c r="K1549">
        <f t="shared" si="24"/>
        <v>31</v>
      </c>
      <c r="L1549" s="8" t="str" cm="1">
        <f t="array" ref="L1549">_xlfn.IFS(
 AND(K1549&gt;=89,K1549&lt;=92),"3개월",
 AND(K1549&gt;=58,K1549&lt;=62),"2개월",
 AND(K1549&gt;=28,K1549&lt;=32),"1개월",
 AND(K1549=0),"당월",
 TRUE,"그외"
)</f>
        <v>1개월</v>
      </c>
    </row>
    <row r="1550" spans="1:12" ht="17.649999999999999" customHeight="1" x14ac:dyDescent="0.3">
      <c r="A1550" s="5">
        <v>46174</v>
      </c>
      <c r="B1550" s="6" t="s">
        <v>50</v>
      </c>
      <c r="C1550" s="6" t="s">
        <v>57</v>
      </c>
      <c r="D1550" s="5">
        <v>46143</v>
      </c>
      <c r="E1550" s="6" t="s">
        <v>15</v>
      </c>
      <c r="F1550" s="7">
        <v>296</v>
      </c>
      <c r="G1550" s="7">
        <v>189683.77702702701</v>
      </c>
      <c r="H1550" s="7">
        <v>56146398</v>
      </c>
      <c r="I1550" s="7">
        <v>21574050</v>
      </c>
      <c r="J1550" s="7">
        <v>0</v>
      </c>
      <c r="K1550">
        <f t="shared" si="24"/>
        <v>31</v>
      </c>
      <c r="L1550" s="8" t="str" cm="1">
        <f t="array" ref="L1550">_xlfn.IFS(
 AND(K1550&gt;=89,K1550&lt;=92),"3개월",
 AND(K1550&gt;=58,K1550&lt;=62),"2개월",
 AND(K1550&gt;=28,K1550&lt;=32),"1개월",
 AND(K1550=0),"당월",
 TRUE,"그외"
)</f>
        <v>1개월</v>
      </c>
    </row>
    <row r="1551" spans="1:12" ht="17.649999999999999" customHeight="1" x14ac:dyDescent="0.3">
      <c r="A1551" s="5">
        <v>46174</v>
      </c>
      <c r="B1551" s="6" t="s">
        <v>50</v>
      </c>
      <c r="C1551" s="6" t="s">
        <v>58</v>
      </c>
      <c r="D1551" s="5">
        <v>46023</v>
      </c>
      <c r="E1551" s="6" t="s">
        <v>15</v>
      </c>
      <c r="F1551" s="7">
        <v>50</v>
      </c>
      <c r="G1551" s="7">
        <v>207797.34</v>
      </c>
      <c r="H1551" s="7">
        <v>10389867</v>
      </c>
      <c r="I1551" s="7">
        <v>1180388</v>
      </c>
      <c r="J1551" s="7">
        <v>0</v>
      </c>
      <c r="K1551">
        <f t="shared" si="24"/>
        <v>151</v>
      </c>
      <c r="L1551" s="8" t="str" cm="1">
        <f t="array" ref="L1551">_xlfn.IFS(
 AND(K1551&gt;=89,K1551&lt;=92),"3개월",
 AND(K1551&gt;=58,K1551&lt;=62),"2개월",
 AND(K1551&gt;=28,K1551&lt;=32),"1개월",
 AND(K1551=0),"당월",
 TRUE,"그외"
)</f>
        <v>그외</v>
      </c>
    </row>
    <row r="1552" spans="1:12" ht="17.649999999999999" customHeight="1" x14ac:dyDescent="0.3">
      <c r="A1552" s="5">
        <v>46174</v>
      </c>
      <c r="B1552" s="6" t="s">
        <v>50</v>
      </c>
      <c r="C1552" s="6" t="s">
        <v>58</v>
      </c>
      <c r="D1552" s="5">
        <v>46054</v>
      </c>
      <c r="E1552" s="6" t="s">
        <v>15</v>
      </c>
      <c r="F1552" s="7">
        <v>328</v>
      </c>
      <c r="G1552" s="7">
        <v>177852.625</v>
      </c>
      <c r="H1552" s="7">
        <v>58335661</v>
      </c>
      <c r="I1552" s="7">
        <v>7406892</v>
      </c>
      <c r="J1552" s="7">
        <v>0</v>
      </c>
      <c r="K1552">
        <f t="shared" si="24"/>
        <v>120</v>
      </c>
      <c r="L1552" s="8" t="str" cm="1">
        <f t="array" ref="L1552">_xlfn.IFS(
 AND(K1552&gt;=89,K1552&lt;=92),"3개월",
 AND(K1552&gt;=58,K1552&lt;=62),"2개월",
 AND(K1552&gt;=28,K1552&lt;=32),"1개월",
 AND(K1552=0),"당월",
 TRUE,"그외"
)</f>
        <v>그외</v>
      </c>
    </row>
    <row r="1553" spans="1:12" ht="17.649999999999999" customHeight="1" x14ac:dyDescent="0.3">
      <c r="A1553" s="5">
        <v>46174</v>
      </c>
      <c r="B1553" s="6" t="s">
        <v>50</v>
      </c>
      <c r="C1553" s="6" t="s">
        <v>58</v>
      </c>
      <c r="D1553" s="5">
        <v>46082</v>
      </c>
      <c r="E1553" s="6" t="s">
        <v>14</v>
      </c>
      <c r="F1553" s="7">
        <v>207</v>
      </c>
      <c r="G1553" s="7">
        <v>136454.31884057971</v>
      </c>
      <c r="H1553" s="7">
        <v>28246044</v>
      </c>
      <c r="I1553" s="7">
        <v>8686800</v>
      </c>
      <c r="J1553" s="7">
        <v>0</v>
      </c>
      <c r="K1553">
        <f t="shared" si="24"/>
        <v>92</v>
      </c>
      <c r="L1553" s="8" t="str" cm="1">
        <f t="array" ref="L1553">_xlfn.IFS(
 AND(K1553&gt;=89,K1553&lt;=92),"3개월",
 AND(K1553&gt;=58,K1553&lt;=62),"2개월",
 AND(K1553&gt;=28,K1553&lt;=32),"1개월",
 AND(K1553=0),"당월",
 TRUE,"그외"
)</f>
        <v>3개월</v>
      </c>
    </row>
    <row r="1554" spans="1:12" ht="17.649999999999999" customHeight="1" x14ac:dyDescent="0.3">
      <c r="A1554" s="5">
        <v>46174</v>
      </c>
      <c r="B1554" s="6" t="s">
        <v>50</v>
      </c>
      <c r="C1554" s="6" t="s">
        <v>58</v>
      </c>
      <c r="D1554" s="5">
        <v>46082</v>
      </c>
      <c r="E1554" s="6" t="s">
        <v>15</v>
      </c>
      <c r="F1554" s="7">
        <v>760</v>
      </c>
      <c r="G1554" s="7">
        <v>198244.03289473691</v>
      </c>
      <c r="H1554" s="7">
        <v>150665465</v>
      </c>
      <c r="I1554" s="7">
        <v>19433064</v>
      </c>
      <c r="J1554" s="7">
        <v>0</v>
      </c>
      <c r="K1554">
        <f t="shared" si="24"/>
        <v>92</v>
      </c>
      <c r="L1554" s="8" t="str" cm="1">
        <f t="array" ref="L1554">_xlfn.IFS(
 AND(K1554&gt;=89,K1554&lt;=92),"3개월",
 AND(K1554&gt;=58,K1554&lt;=62),"2개월",
 AND(K1554&gt;=28,K1554&lt;=32),"1개월",
 AND(K1554=0),"당월",
 TRUE,"그외"
)</f>
        <v>3개월</v>
      </c>
    </row>
    <row r="1555" spans="1:12" ht="17.649999999999999" customHeight="1" x14ac:dyDescent="0.3">
      <c r="A1555" s="5">
        <v>46174</v>
      </c>
      <c r="B1555" s="6" t="s">
        <v>50</v>
      </c>
      <c r="C1555" s="6" t="s">
        <v>58</v>
      </c>
      <c r="D1555" s="5">
        <v>46113</v>
      </c>
      <c r="E1555" s="6" t="s">
        <v>14</v>
      </c>
      <c r="F1555" s="7">
        <v>679</v>
      </c>
      <c r="G1555" s="7">
        <v>143750.60382916051</v>
      </c>
      <c r="H1555" s="7">
        <v>97606660</v>
      </c>
      <c r="I1555" s="7">
        <v>31916880</v>
      </c>
      <c r="J1555" s="7">
        <v>0</v>
      </c>
      <c r="K1555">
        <f t="shared" si="24"/>
        <v>61</v>
      </c>
      <c r="L1555" s="8" t="str" cm="1">
        <f t="array" ref="L1555">_xlfn.IFS(
 AND(K1555&gt;=89,K1555&lt;=92),"3개월",
 AND(K1555&gt;=58,K1555&lt;=62),"2개월",
 AND(K1555&gt;=28,K1555&lt;=32),"1개월",
 AND(K1555=0),"당월",
 TRUE,"그외"
)</f>
        <v>2개월</v>
      </c>
    </row>
    <row r="1556" spans="1:12" ht="17.649999999999999" customHeight="1" x14ac:dyDescent="0.3">
      <c r="A1556" s="5">
        <v>46174</v>
      </c>
      <c r="B1556" s="6" t="s">
        <v>50</v>
      </c>
      <c r="C1556" s="6" t="s">
        <v>58</v>
      </c>
      <c r="D1556" s="5">
        <v>46113</v>
      </c>
      <c r="E1556" s="6" t="s">
        <v>15</v>
      </c>
      <c r="F1556" s="7">
        <v>1586</v>
      </c>
      <c r="G1556" s="7">
        <v>163270.66960907949</v>
      </c>
      <c r="H1556" s="7">
        <v>258947282</v>
      </c>
      <c r="I1556" s="7">
        <v>90082973</v>
      </c>
      <c r="J1556" s="7">
        <v>0</v>
      </c>
      <c r="K1556">
        <f t="shared" si="24"/>
        <v>61</v>
      </c>
      <c r="L1556" s="8" t="str" cm="1">
        <f t="array" ref="L1556">_xlfn.IFS(
 AND(K1556&gt;=89,K1556&lt;=92),"3개월",
 AND(K1556&gt;=58,K1556&lt;=62),"2개월",
 AND(K1556&gt;=28,K1556&lt;=32),"1개월",
 AND(K1556=0),"당월",
 TRUE,"그외"
)</f>
        <v>2개월</v>
      </c>
    </row>
    <row r="1557" spans="1:12" ht="17.649999999999999" customHeight="1" x14ac:dyDescent="0.3">
      <c r="A1557" s="5">
        <v>46174</v>
      </c>
      <c r="B1557" s="6" t="s">
        <v>50</v>
      </c>
      <c r="C1557" s="6" t="s">
        <v>58</v>
      </c>
      <c r="D1557" s="5">
        <v>46143</v>
      </c>
      <c r="E1557" s="6" t="s">
        <v>14</v>
      </c>
      <c r="F1557" s="7">
        <v>51</v>
      </c>
      <c r="G1557" s="7">
        <v>138188.4705882353</v>
      </c>
      <c r="H1557" s="7">
        <v>7047612</v>
      </c>
      <c r="I1557" s="7">
        <v>3451902</v>
      </c>
      <c r="J1557" s="7">
        <v>0</v>
      </c>
      <c r="K1557">
        <f t="shared" si="24"/>
        <v>31</v>
      </c>
      <c r="L1557" s="8" t="str" cm="1">
        <f t="array" ref="L1557">_xlfn.IFS(
 AND(K1557&gt;=89,K1557&lt;=92),"3개월",
 AND(K1557&gt;=58,K1557&lt;=62),"2개월",
 AND(K1557&gt;=28,K1557&lt;=32),"1개월",
 AND(K1557=0),"당월",
 TRUE,"그외"
)</f>
        <v>1개월</v>
      </c>
    </row>
    <row r="1558" spans="1:12" ht="17.649999999999999" customHeight="1" x14ac:dyDescent="0.3">
      <c r="A1558" s="5">
        <v>46174</v>
      </c>
      <c r="B1558" s="6" t="s">
        <v>50</v>
      </c>
      <c r="C1558" s="6" t="s">
        <v>58</v>
      </c>
      <c r="D1558" s="5">
        <v>46143</v>
      </c>
      <c r="E1558" s="6" t="s">
        <v>15</v>
      </c>
      <c r="F1558" s="7">
        <v>577</v>
      </c>
      <c r="G1558" s="7">
        <v>190466.36221837089</v>
      </c>
      <c r="H1558" s="7">
        <v>109899091</v>
      </c>
      <c r="I1558" s="7">
        <v>43589763</v>
      </c>
      <c r="J1558" s="7">
        <v>0</v>
      </c>
      <c r="K1558">
        <f t="shared" si="24"/>
        <v>31</v>
      </c>
      <c r="L1558" s="8" t="str" cm="1">
        <f t="array" ref="L1558">_xlfn.IFS(
 AND(K1558&gt;=89,K1558&lt;=92),"3개월",
 AND(K1558&gt;=58,K1558&lt;=62),"2개월",
 AND(K1558&gt;=28,K1558&lt;=32),"1개월",
 AND(K1558=0),"당월",
 TRUE,"그외"
)</f>
        <v>1개월</v>
      </c>
    </row>
    <row r="1559" spans="1:12" ht="17.649999999999999" customHeight="1" x14ac:dyDescent="0.3">
      <c r="A1559" s="5">
        <v>46174</v>
      </c>
      <c r="B1559" s="6" t="s">
        <v>50</v>
      </c>
      <c r="C1559" s="6" t="s">
        <v>59</v>
      </c>
      <c r="D1559" s="5">
        <v>46023</v>
      </c>
      <c r="E1559" s="6" t="s">
        <v>14</v>
      </c>
      <c r="F1559" s="7">
        <v>5</v>
      </c>
      <c r="G1559" s="7">
        <v>156570</v>
      </c>
      <c r="H1559" s="7">
        <v>782850</v>
      </c>
      <c r="I1559" s="7">
        <v>207225</v>
      </c>
      <c r="J1559" s="7">
        <v>0</v>
      </c>
      <c r="K1559">
        <f t="shared" si="24"/>
        <v>151</v>
      </c>
      <c r="L1559" s="8" t="str" cm="1">
        <f t="array" ref="L1559">_xlfn.IFS(
 AND(K1559&gt;=89,K1559&lt;=92),"3개월",
 AND(K1559&gt;=58,K1559&lt;=62),"2개월",
 AND(K1559&gt;=28,K1559&lt;=32),"1개월",
 AND(K1559=0),"당월",
 TRUE,"그외"
)</f>
        <v>그외</v>
      </c>
    </row>
    <row r="1560" spans="1:12" ht="17.649999999999999" customHeight="1" x14ac:dyDescent="0.3">
      <c r="A1560" s="5">
        <v>46174</v>
      </c>
      <c r="B1560" s="6" t="s">
        <v>50</v>
      </c>
      <c r="C1560" s="6" t="s">
        <v>59</v>
      </c>
      <c r="D1560" s="5">
        <v>46023</v>
      </c>
      <c r="E1560" s="6" t="s">
        <v>15</v>
      </c>
      <c r="F1560" s="7">
        <v>48</v>
      </c>
      <c r="G1560" s="7">
        <v>354127.85416666669</v>
      </c>
      <c r="H1560" s="7">
        <v>16998137</v>
      </c>
      <c r="I1560" s="7">
        <v>1477973</v>
      </c>
      <c r="J1560" s="7">
        <v>0</v>
      </c>
      <c r="K1560">
        <f t="shared" si="24"/>
        <v>151</v>
      </c>
      <c r="L1560" s="8" t="str" cm="1">
        <f t="array" ref="L1560">_xlfn.IFS(
 AND(K1560&gt;=89,K1560&lt;=92),"3개월",
 AND(K1560&gt;=58,K1560&lt;=62),"2개월",
 AND(K1560&gt;=28,K1560&lt;=32),"1개월",
 AND(K1560=0),"당월",
 TRUE,"그외"
)</f>
        <v>그외</v>
      </c>
    </row>
    <row r="1561" spans="1:12" ht="17.649999999999999" customHeight="1" x14ac:dyDescent="0.3">
      <c r="A1561" s="5">
        <v>46174</v>
      </c>
      <c r="B1561" s="6" t="s">
        <v>50</v>
      </c>
      <c r="C1561" s="6" t="s">
        <v>59</v>
      </c>
      <c r="D1561" s="5">
        <v>46054</v>
      </c>
      <c r="E1561" s="6" t="s">
        <v>15</v>
      </c>
      <c r="F1561" s="7">
        <v>38</v>
      </c>
      <c r="G1561" s="7">
        <v>364787.07894736843</v>
      </c>
      <c r="H1561" s="7">
        <v>13861909</v>
      </c>
      <c r="I1561" s="7">
        <v>1201857</v>
      </c>
      <c r="J1561" s="7">
        <v>0</v>
      </c>
      <c r="K1561">
        <f t="shared" si="24"/>
        <v>120</v>
      </c>
      <c r="L1561" s="8" t="str" cm="1">
        <f t="array" ref="L1561">_xlfn.IFS(
 AND(K1561&gt;=89,K1561&lt;=92),"3개월",
 AND(K1561&gt;=58,K1561&lt;=62),"2개월",
 AND(K1561&gt;=28,K1561&lt;=32),"1개월",
 AND(K1561=0),"당월",
 TRUE,"그외"
)</f>
        <v>그외</v>
      </c>
    </row>
    <row r="1562" spans="1:12" ht="17.649999999999999" customHeight="1" x14ac:dyDescent="0.3">
      <c r="A1562" s="5">
        <v>46174</v>
      </c>
      <c r="B1562" s="6" t="s">
        <v>50</v>
      </c>
      <c r="C1562" s="6" t="s">
        <v>59</v>
      </c>
      <c r="D1562" s="5">
        <v>46082</v>
      </c>
      <c r="E1562" s="6" t="s">
        <v>14</v>
      </c>
      <c r="F1562" s="7">
        <v>535</v>
      </c>
      <c r="G1562" s="7">
        <v>158751.43925233651</v>
      </c>
      <c r="H1562" s="7">
        <v>84932020</v>
      </c>
      <c r="I1562" s="7">
        <v>21779150</v>
      </c>
      <c r="J1562" s="7">
        <v>0</v>
      </c>
      <c r="K1562">
        <f t="shared" si="24"/>
        <v>92</v>
      </c>
      <c r="L1562" s="8" t="str" cm="1">
        <f t="array" ref="L1562">_xlfn.IFS(
 AND(K1562&gt;=89,K1562&lt;=92),"3개월",
 AND(K1562&gt;=58,K1562&lt;=62),"2개월",
 AND(K1562&gt;=28,K1562&lt;=32),"1개월",
 AND(K1562=0),"당월",
 TRUE,"그외"
)</f>
        <v>3개월</v>
      </c>
    </row>
    <row r="1563" spans="1:12" ht="17.649999999999999" customHeight="1" x14ac:dyDescent="0.3">
      <c r="A1563" s="5">
        <v>46174</v>
      </c>
      <c r="B1563" s="6" t="s">
        <v>50</v>
      </c>
      <c r="C1563" s="6" t="s">
        <v>59</v>
      </c>
      <c r="D1563" s="5">
        <v>46082</v>
      </c>
      <c r="E1563" s="6" t="s">
        <v>15</v>
      </c>
      <c r="F1563" s="7">
        <v>443</v>
      </c>
      <c r="G1563" s="7">
        <v>235460.47404063199</v>
      </c>
      <c r="H1563" s="7">
        <v>104308990</v>
      </c>
      <c r="I1563" s="7">
        <v>13167457</v>
      </c>
      <c r="J1563" s="7">
        <v>0</v>
      </c>
      <c r="K1563">
        <f t="shared" si="24"/>
        <v>92</v>
      </c>
      <c r="L1563" s="8" t="str" cm="1">
        <f t="array" ref="L1563">_xlfn.IFS(
 AND(K1563&gt;=89,K1563&lt;=92),"3개월",
 AND(K1563&gt;=58,K1563&lt;=62),"2개월",
 AND(K1563&gt;=28,K1563&lt;=32),"1개월",
 AND(K1563=0),"당월",
 TRUE,"그외"
)</f>
        <v>3개월</v>
      </c>
    </row>
    <row r="1564" spans="1:12" ht="17.649999999999999" customHeight="1" x14ac:dyDescent="0.3">
      <c r="A1564" s="5">
        <v>46174</v>
      </c>
      <c r="B1564" s="6" t="s">
        <v>50</v>
      </c>
      <c r="C1564" s="6" t="s">
        <v>59</v>
      </c>
      <c r="D1564" s="5">
        <v>46113</v>
      </c>
      <c r="E1564" s="6" t="s">
        <v>14</v>
      </c>
      <c r="F1564" s="7">
        <v>1800</v>
      </c>
      <c r="G1564" s="7">
        <v>159939.02222222221</v>
      </c>
      <c r="H1564" s="7">
        <v>287890240</v>
      </c>
      <c r="I1564" s="7">
        <v>79109190</v>
      </c>
      <c r="J1564" s="7">
        <v>0</v>
      </c>
      <c r="K1564">
        <f t="shared" si="24"/>
        <v>61</v>
      </c>
      <c r="L1564" s="8" t="str" cm="1">
        <f t="array" ref="L1564">_xlfn.IFS(
 AND(K1564&gt;=89,K1564&lt;=92),"3개월",
 AND(K1564&gt;=58,K1564&lt;=62),"2개월",
 AND(K1564&gt;=28,K1564&lt;=32),"1개월",
 AND(K1564=0),"당월",
 TRUE,"그외"
)</f>
        <v>2개월</v>
      </c>
    </row>
    <row r="1565" spans="1:12" ht="17.649999999999999" customHeight="1" x14ac:dyDescent="0.3">
      <c r="A1565" s="5">
        <v>46174</v>
      </c>
      <c r="B1565" s="6" t="s">
        <v>50</v>
      </c>
      <c r="C1565" s="6" t="s">
        <v>59</v>
      </c>
      <c r="D1565" s="5">
        <v>46113</v>
      </c>
      <c r="E1565" s="6" t="s">
        <v>15</v>
      </c>
      <c r="F1565" s="7">
        <v>724</v>
      </c>
      <c r="G1565" s="7">
        <v>225883.01933701659</v>
      </c>
      <c r="H1565" s="7">
        <v>163539306</v>
      </c>
      <c r="I1565" s="7">
        <v>39767892</v>
      </c>
      <c r="J1565" s="7">
        <v>0</v>
      </c>
      <c r="K1565">
        <f t="shared" si="24"/>
        <v>61</v>
      </c>
      <c r="L1565" s="8" t="str" cm="1">
        <f t="array" ref="L1565">_xlfn.IFS(
 AND(K1565&gt;=89,K1565&lt;=92),"3개월",
 AND(K1565&gt;=58,K1565&lt;=62),"2개월",
 AND(K1565&gt;=28,K1565&lt;=32),"1개월",
 AND(K1565=0),"당월",
 TRUE,"그외"
)</f>
        <v>2개월</v>
      </c>
    </row>
    <row r="1566" spans="1:12" ht="17.649999999999999" customHeight="1" x14ac:dyDescent="0.3">
      <c r="A1566" s="5">
        <v>46174</v>
      </c>
      <c r="B1566" s="6" t="s">
        <v>50</v>
      </c>
      <c r="C1566" s="6" t="s">
        <v>59</v>
      </c>
      <c r="D1566" s="5">
        <v>46143</v>
      </c>
      <c r="E1566" s="6" t="s">
        <v>14</v>
      </c>
      <c r="F1566" s="7">
        <v>90</v>
      </c>
      <c r="G1566" s="7">
        <v>174018.44444444441</v>
      </c>
      <c r="H1566" s="7">
        <v>15661660</v>
      </c>
      <c r="I1566" s="7">
        <v>6053500</v>
      </c>
      <c r="J1566" s="7">
        <v>0</v>
      </c>
      <c r="K1566">
        <f t="shared" si="24"/>
        <v>31</v>
      </c>
      <c r="L1566" s="8" t="str" cm="1">
        <f t="array" ref="L1566">_xlfn.IFS(
 AND(K1566&gt;=89,K1566&lt;=92),"3개월",
 AND(K1566&gt;=58,K1566&lt;=62),"2개월",
 AND(K1566&gt;=28,K1566&lt;=32),"1개월",
 AND(K1566=0),"당월",
 TRUE,"그외"
)</f>
        <v>1개월</v>
      </c>
    </row>
    <row r="1567" spans="1:12" ht="17.649999999999999" customHeight="1" x14ac:dyDescent="0.3">
      <c r="A1567" s="5">
        <v>46174</v>
      </c>
      <c r="B1567" s="6" t="s">
        <v>50</v>
      </c>
      <c r="C1567" s="6" t="s">
        <v>59</v>
      </c>
      <c r="D1567" s="5">
        <v>46143</v>
      </c>
      <c r="E1567" s="6" t="s">
        <v>15</v>
      </c>
      <c r="F1567" s="7">
        <v>117</v>
      </c>
      <c r="G1567" s="7">
        <v>216166.6581196581</v>
      </c>
      <c r="H1567" s="7">
        <v>25291499</v>
      </c>
      <c r="I1567" s="7">
        <v>8795590</v>
      </c>
      <c r="J1567" s="7">
        <v>0</v>
      </c>
      <c r="K1567">
        <f t="shared" si="24"/>
        <v>31</v>
      </c>
      <c r="L1567" s="8" t="str" cm="1">
        <f t="array" ref="L1567">_xlfn.IFS(
 AND(K1567&gt;=89,K1567&lt;=92),"3개월",
 AND(K1567&gt;=58,K1567&lt;=62),"2개월",
 AND(K1567&gt;=28,K1567&lt;=32),"1개월",
 AND(K1567=0),"당월",
 TRUE,"그외"
)</f>
        <v>1개월</v>
      </c>
    </row>
    <row r="1568" spans="1:12" ht="17.649999999999999" customHeight="1" x14ac:dyDescent="0.3">
      <c r="A1568" s="5">
        <v>46174</v>
      </c>
      <c r="B1568" s="6" t="s">
        <v>60</v>
      </c>
      <c r="C1568" s="6" t="s">
        <v>61</v>
      </c>
      <c r="D1568" s="5">
        <v>45931</v>
      </c>
      <c r="E1568" s="6" t="s">
        <v>15</v>
      </c>
      <c r="F1568" s="7">
        <v>1</v>
      </c>
      <c r="G1568" s="7">
        <v>186400</v>
      </c>
      <c r="H1568" s="7">
        <v>186400</v>
      </c>
      <c r="I1568" s="7">
        <v>26400</v>
      </c>
      <c r="J1568" s="7">
        <v>0</v>
      </c>
      <c r="K1568">
        <f t="shared" si="24"/>
        <v>243</v>
      </c>
      <c r="L1568" s="8" t="str" cm="1">
        <f t="array" ref="L1568">_xlfn.IFS(
 AND(K1568&gt;=89,K1568&lt;=92),"3개월",
 AND(K1568&gt;=58,K1568&lt;=62),"2개월",
 AND(K1568&gt;=28,K1568&lt;=32),"1개월",
 AND(K1568=0),"당월",
 TRUE,"그외"
)</f>
        <v>그외</v>
      </c>
    </row>
    <row r="1569" spans="1:12" ht="17.649999999999999" customHeight="1" x14ac:dyDescent="0.3">
      <c r="A1569" s="5">
        <v>46174</v>
      </c>
      <c r="B1569" s="6" t="s">
        <v>60</v>
      </c>
      <c r="C1569" s="6" t="s">
        <v>61</v>
      </c>
      <c r="D1569" s="5">
        <v>45962</v>
      </c>
      <c r="E1569" s="6" t="s">
        <v>15</v>
      </c>
      <c r="F1569" s="7">
        <v>1</v>
      </c>
      <c r="G1569" s="7">
        <v>172300</v>
      </c>
      <c r="H1569" s="7">
        <v>172300</v>
      </c>
      <c r="I1569" s="7">
        <v>26700</v>
      </c>
      <c r="J1569" s="7">
        <v>0</v>
      </c>
      <c r="K1569">
        <f t="shared" si="24"/>
        <v>212</v>
      </c>
      <c r="L1569" s="8" t="str" cm="1">
        <f t="array" ref="L1569">_xlfn.IFS(
 AND(K1569&gt;=89,K1569&lt;=92),"3개월",
 AND(K1569&gt;=58,K1569&lt;=62),"2개월",
 AND(K1569&gt;=28,K1569&lt;=32),"1개월",
 AND(K1569=0),"당월",
 TRUE,"그외"
)</f>
        <v>그외</v>
      </c>
    </row>
    <row r="1570" spans="1:12" ht="17.649999999999999" customHeight="1" x14ac:dyDescent="0.3">
      <c r="A1570" s="5">
        <v>46174</v>
      </c>
      <c r="B1570" s="6" t="s">
        <v>60</v>
      </c>
      <c r="C1570" s="6" t="s">
        <v>61</v>
      </c>
      <c r="D1570" s="5">
        <v>45992</v>
      </c>
      <c r="E1570" s="6" t="s">
        <v>15</v>
      </c>
      <c r="F1570" s="7">
        <v>20</v>
      </c>
      <c r="G1570" s="7">
        <v>180354.15</v>
      </c>
      <c r="H1570" s="7">
        <v>3607083</v>
      </c>
      <c r="I1570" s="7">
        <v>912196</v>
      </c>
      <c r="J1570" s="7">
        <v>0</v>
      </c>
      <c r="K1570">
        <f t="shared" si="24"/>
        <v>182</v>
      </c>
      <c r="L1570" s="8" t="str" cm="1">
        <f t="array" ref="L1570">_xlfn.IFS(
 AND(K1570&gt;=89,K1570&lt;=92),"3개월",
 AND(K1570&gt;=58,K1570&lt;=62),"2개월",
 AND(K1570&gt;=28,K1570&lt;=32),"1개월",
 AND(K1570=0),"당월",
 TRUE,"그외"
)</f>
        <v>그외</v>
      </c>
    </row>
    <row r="1571" spans="1:12" ht="17.649999999999999" customHeight="1" x14ac:dyDescent="0.3">
      <c r="A1571" s="5">
        <v>46174</v>
      </c>
      <c r="B1571" s="6" t="s">
        <v>60</v>
      </c>
      <c r="C1571" s="6" t="s">
        <v>61</v>
      </c>
      <c r="D1571" s="5">
        <v>46023</v>
      </c>
      <c r="E1571" s="6" t="s">
        <v>15</v>
      </c>
      <c r="F1571" s="7">
        <v>54</v>
      </c>
      <c r="G1571" s="7">
        <v>177755.44444444441</v>
      </c>
      <c r="H1571" s="7">
        <v>9598794</v>
      </c>
      <c r="I1571" s="7">
        <v>2420467</v>
      </c>
      <c r="J1571" s="7">
        <v>0</v>
      </c>
      <c r="K1571">
        <f t="shared" si="24"/>
        <v>151</v>
      </c>
      <c r="L1571" s="8" t="str" cm="1">
        <f t="array" ref="L1571">_xlfn.IFS(
 AND(K1571&gt;=89,K1571&lt;=92),"3개월",
 AND(K1571&gt;=58,K1571&lt;=62),"2개월",
 AND(K1571&gt;=28,K1571&lt;=32),"1개월",
 AND(K1571=0),"당월",
 TRUE,"그외"
)</f>
        <v>그외</v>
      </c>
    </row>
    <row r="1572" spans="1:12" ht="17.649999999999999" customHeight="1" x14ac:dyDescent="0.3">
      <c r="A1572" s="5">
        <v>46174</v>
      </c>
      <c r="B1572" s="6" t="s">
        <v>60</v>
      </c>
      <c r="C1572" s="6" t="s">
        <v>61</v>
      </c>
      <c r="D1572" s="5">
        <v>46054</v>
      </c>
      <c r="E1572" s="6" t="s">
        <v>15</v>
      </c>
      <c r="F1572" s="7">
        <v>98</v>
      </c>
      <c r="G1572" s="7">
        <v>154257.11224489799</v>
      </c>
      <c r="H1572" s="7">
        <v>15117197</v>
      </c>
      <c r="I1572" s="7">
        <v>3150186</v>
      </c>
      <c r="J1572" s="7">
        <v>0</v>
      </c>
      <c r="K1572">
        <f t="shared" si="24"/>
        <v>120</v>
      </c>
      <c r="L1572" s="8" t="str" cm="1">
        <f t="array" ref="L1572">_xlfn.IFS(
 AND(K1572&gt;=89,K1572&lt;=92),"3개월",
 AND(K1572&gt;=58,K1572&lt;=62),"2개월",
 AND(K1572&gt;=28,K1572&lt;=32),"1개월",
 AND(K1572=0),"당월",
 TRUE,"그외"
)</f>
        <v>그외</v>
      </c>
    </row>
    <row r="1573" spans="1:12" ht="17.649999999999999" customHeight="1" x14ac:dyDescent="0.3">
      <c r="A1573" s="5">
        <v>46174</v>
      </c>
      <c r="B1573" s="6" t="s">
        <v>60</v>
      </c>
      <c r="C1573" s="6" t="s">
        <v>61</v>
      </c>
      <c r="D1573" s="5">
        <v>46082</v>
      </c>
      <c r="E1573" s="6" t="s">
        <v>14</v>
      </c>
      <c r="F1573" s="7">
        <v>160</v>
      </c>
      <c r="G1573" s="7">
        <v>134900</v>
      </c>
      <c r="H1573" s="7">
        <v>21584000</v>
      </c>
      <c r="I1573" s="7">
        <v>4464000</v>
      </c>
      <c r="J1573" s="7">
        <v>0</v>
      </c>
      <c r="K1573">
        <f t="shared" si="24"/>
        <v>92</v>
      </c>
      <c r="L1573" s="8" t="str" cm="1">
        <f t="array" ref="L1573">_xlfn.IFS(
 AND(K1573&gt;=89,K1573&lt;=92),"3개월",
 AND(K1573&gt;=58,K1573&lt;=62),"2개월",
 AND(K1573&gt;=28,K1573&lt;=32),"1개월",
 AND(K1573=0),"당월",
 TRUE,"그외"
)</f>
        <v>3개월</v>
      </c>
    </row>
    <row r="1574" spans="1:12" ht="17.649999999999999" customHeight="1" x14ac:dyDescent="0.3">
      <c r="A1574" s="5">
        <v>46174</v>
      </c>
      <c r="B1574" s="6" t="s">
        <v>60</v>
      </c>
      <c r="C1574" s="6" t="s">
        <v>61</v>
      </c>
      <c r="D1574" s="5">
        <v>46082</v>
      </c>
      <c r="E1574" s="6" t="s">
        <v>15</v>
      </c>
      <c r="F1574" s="7">
        <v>264</v>
      </c>
      <c r="G1574" s="7">
        <v>201598</v>
      </c>
      <c r="H1574" s="7">
        <v>53221872</v>
      </c>
      <c r="I1574" s="7">
        <v>11554165</v>
      </c>
      <c r="J1574" s="7">
        <v>0</v>
      </c>
      <c r="K1574">
        <f t="shared" si="24"/>
        <v>92</v>
      </c>
      <c r="L1574" s="8" t="str" cm="1">
        <f t="array" ref="L1574">_xlfn.IFS(
 AND(K1574&gt;=89,K1574&lt;=92),"3개월",
 AND(K1574&gt;=58,K1574&lt;=62),"2개월",
 AND(K1574&gt;=28,K1574&lt;=32),"1개월",
 AND(K1574=0),"당월",
 TRUE,"그외"
)</f>
        <v>3개월</v>
      </c>
    </row>
    <row r="1575" spans="1:12" ht="17.649999999999999" customHeight="1" x14ac:dyDescent="0.3">
      <c r="A1575" s="5">
        <v>46174</v>
      </c>
      <c r="B1575" s="6" t="s">
        <v>60</v>
      </c>
      <c r="C1575" s="6" t="s">
        <v>61</v>
      </c>
      <c r="D1575" s="5">
        <v>46113</v>
      </c>
      <c r="E1575" s="6" t="s">
        <v>14</v>
      </c>
      <c r="F1575" s="7">
        <v>602</v>
      </c>
      <c r="G1575" s="7">
        <v>107642.86710963451</v>
      </c>
      <c r="H1575" s="7">
        <v>64801006</v>
      </c>
      <c r="I1575" s="7">
        <v>19761710</v>
      </c>
      <c r="J1575" s="7">
        <v>0</v>
      </c>
      <c r="K1575">
        <f t="shared" si="24"/>
        <v>61</v>
      </c>
      <c r="L1575" s="8" t="str" cm="1">
        <f t="array" ref="L1575">_xlfn.IFS(
 AND(K1575&gt;=89,K1575&lt;=92),"3개월",
 AND(K1575&gt;=58,K1575&lt;=62),"2개월",
 AND(K1575&gt;=28,K1575&lt;=32),"1개월",
 AND(K1575=0),"당월",
 TRUE,"그외"
)</f>
        <v>2개월</v>
      </c>
    </row>
    <row r="1576" spans="1:12" ht="17.649999999999999" customHeight="1" x14ac:dyDescent="0.3">
      <c r="A1576" s="5">
        <v>46174</v>
      </c>
      <c r="B1576" s="6" t="s">
        <v>60</v>
      </c>
      <c r="C1576" s="6" t="s">
        <v>61</v>
      </c>
      <c r="D1576" s="5">
        <v>46113</v>
      </c>
      <c r="E1576" s="6" t="s">
        <v>15</v>
      </c>
      <c r="F1576" s="7">
        <v>500</v>
      </c>
      <c r="G1576" s="7">
        <v>179895.37</v>
      </c>
      <c r="H1576" s="7">
        <v>89947685</v>
      </c>
      <c r="I1576" s="7">
        <v>24131331</v>
      </c>
      <c r="J1576" s="7">
        <v>0</v>
      </c>
      <c r="K1576">
        <f t="shared" si="24"/>
        <v>61</v>
      </c>
      <c r="L1576" s="8" t="str" cm="1">
        <f t="array" ref="L1576">_xlfn.IFS(
 AND(K1576&gt;=89,K1576&lt;=92),"3개월",
 AND(K1576&gt;=58,K1576&lt;=62),"2개월",
 AND(K1576&gt;=28,K1576&lt;=32),"1개월",
 AND(K1576=0),"당월",
 TRUE,"그외"
)</f>
        <v>2개월</v>
      </c>
    </row>
    <row r="1577" spans="1:12" ht="17.649999999999999" customHeight="1" x14ac:dyDescent="0.3">
      <c r="A1577" s="5">
        <v>46174</v>
      </c>
      <c r="B1577" s="6" t="s">
        <v>60</v>
      </c>
      <c r="C1577" s="6" t="s">
        <v>61</v>
      </c>
      <c r="D1577" s="5">
        <v>46143</v>
      </c>
      <c r="E1577" s="6" t="s">
        <v>15</v>
      </c>
      <c r="F1577" s="7">
        <v>106</v>
      </c>
      <c r="G1577" s="7">
        <v>204715.6132075472</v>
      </c>
      <c r="H1577" s="7">
        <v>21699855</v>
      </c>
      <c r="I1577" s="7">
        <v>10635296</v>
      </c>
      <c r="J1577" s="7">
        <v>0</v>
      </c>
      <c r="K1577">
        <f t="shared" si="24"/>
        <v>31</v>
      </c>
      <c r="L1577" s="8" t="str" cm="1">
        <f t="array" ref="L1577">_xlfn.IFS(
 AND(K1577&gt;=89,K1577&lt;=92),"3개월",
 AND(K1577&gt;=58,K1577&lt;=62),"2개월",
 AND(K1577&gt;=28,K1577&lt;=32),"1개월",
 AND(K1577=0),"당월",
 TRUE,"그외"
)</f>
        <v>1개월</v>
      </c>
    </row>
    <row r="1578" spans="1:12" ht="17.649999999999999" customHeight="1" x14ac:dyDescent="0.3">
      <c r="A1578" s="5">
        <v>46174</v>
      </c>
      <c r="B1578" s="6" t="s">
        <v>60</v>
      </c>
      <c r="C1578" s="6" t="s">
        <v>62</v>
      </c>
      <c r="D1578" s="5">
        <v>45962</v>
      </c>
      <c r="E1578" s="6" t="s">
        <v>15</v>
      </c>
      <c r="F1578" s="7">
        <v>1</v>
      </c>
      <c r="G1578" s="7">
        <v>203200</v>
      </c>
      <c r="H1578" s="7">
        <v>203200</v>
      </c>
      <c r="I1578" s="7">
        <v>33200</v>
      </c>
      <c r="J1578" s="7">
        <v>0</v>
      </c>
      <c r="K1578">
        <f t="shared" si="24"/>
        <v>212</v>
      </c>
      <c r="L1578" s="8" t="str" cm="1">
        <f t="array" ref="L1578">_xlfn.IFS(
 AND(K1578&gt;=89,K1578&lt;=92),"3개월",
 AND(K1578&gt;=58,K1578&lt;=62),"2개월",
 AND(K1578&gt;=28,K1578&lt;=32),"1개월",
 AND(K1578=0),"당월",
 TRUE,"그외"
)</f>
        <v>그외</v>
      </c>
    </row>
    <row r="1579" spans="1:12" ht="17.649999999999999" customHeight="1" x14ac:dyDescent="0.3">
      <c r="A1579" s="5">
        <v>46174</v>
      </c>
      <c r="B1579" s="6" t="s">
        <v>60</v>
      </c>
      <c r="C1579" s="6" t="s">
        <v>62</v>
      </c>
      <c r="D1579" s="5">
        <v>45992</v>
      </c>
      <c r="E1579" s="6" t="s">
        <v>15</v>
      </c>
      <c r="F1579" s="7">
        <v>169</v>
      </c>
      <c r="G1579" s="7">
        <v>278149.12426035502</v>
      </c>
      <c r="H1579" s="7">
        <v>47007202</v>
      </c>
      <c r="I1579" s="7">
        <v>7463682</v>
      </c>
      <c r="J1579" s="7">
        <v>0</v>
      </c>
      <c r="K1579">
        <f t="shared" si="24"/>
        <v>182</v>
      </c>
      <c r="L1579" s="8" t="str" cm="1">
        <f t="array" ref="L1579">_xlfn.IFS(
 AND(K1579&gt;=89,K1579&lt;=92),"3개월",
 AND(K1579&gt;=58,K1579&lt;=62),"2개월",
 AND(K1579&gt;=28,K1579&lt;=32),"1개월",
 AND(K1579=0),"당월",
 TRUE,"그외"
)</f>
        <v>그외</v>
      </c>
    </row>
    <row r="1580" spans="1:12" ht="17.649999999999999" customHeight="1" x14ac:dyDescent="0.3">
      <c r="A1580" s="5">
        <v>46174</v>
      </c>
      <c r="B1580" s="6" t="s">
        <v>60</v>
      </c>
      <c r="C1580" s="6" t="s">
        <v>62</v>
      </c>
      <c r="D1580" s="5">
        <v>46023</v>
      </c>
      <c r="E1580" s="6" t="s">
        <v>15</v>
      </c>
      <c r="F1580" s="7">
        <v>724</v>
      </c>
      <c r="G1580" s="7">
        <v>280771.2099447514</v>
      </c>
      <c r="H1580" s="7">
        <v>203278356</v>
      </c>
      <c r="I1580" s="7">
        <v>33512354</v>
      </c>
      <c r="J1580" s="7">
        <v>0</v>
      </c>
      <c r="K1580">
        <f t="shared" si="24"/>
        <v>151</v>
      </c>
      <c r="L1580" s="8" t="str" cm="1">
        <f t="array" ref="L1580">_xlfn.IFS(
 AND(K1580&gt;=89,K1580&lt;=92),"3개월",
 AND(K1580&gt;=58,K1580&lt;=62),"2개월",
 AND(K1580&gt;=28,K1580&lt;=32),"1개월",
 AND(K1580=0),"당월",
 TRUE,"그외"
)</f>
        <v>그외</v>
      </c>
    </row>
    <row r="1581" spans="1:12" ht="17.649999999999999" customHeight="1" x14ac:dyDescent="0.3">
      <c r="A1581" s="5">
        <v>46174</v>
      </c>
      <c r="B1581" s="6" t="s">
        <v>60</v>
      </c>
      <c r="C1581" s="6" t="s">
        <v>62</v>
      </c>
      <c r="D1581" s="5">
        <v>46054</v>
      </c>
      <c r="E1581" s="6" t="s">
        <v>15</v>
      </c>
      <c r="F1581" s="7">
        <v>633</v>
      </c>
      <c r="G1581" s="7">
        <v>267127.79304897308</v>
      </c>
      <c r="H1581" s="7">
        <v>169091893</v>
      </c>
      <c r="I1581" s="7">
        <v>24857564</v>
      </c>
      <c r="J1581" s="7">
        <v>0</v>
      </c>
      <c r="K1581">
        <f t="shared" si="24"/>
        <v>120</v>
      </c>
      <c r="L1581" s="8" t="str" cm="1">
        <f t="array" ref="L1581">_xlfn.IFS(
 AND(K1581&gt;=89,K1581&lt;=92),"3개월",
 AND(K1581&gt;=58,K1581&lt;=62),"2개월",
 AND(K1581&gt;=28,K1581&lt;=32),"1개월",
 AND(K1581=0),"당월",
 TRUE,"그외"
)</f>
        <v>그외</v>
      </c>
    </row>
    <row r="1582" spans="1:12" ht="17.649999999999999" customHeight="1" x14ac:dyDescent="0.3">
      <c r="A1582" s="5">
        <v>46174</v>
      </c>
      <c r="B1582" s="6" t="s">
        <v>60</v>
      </c>
      <c r="C1582" s="6" t="s">
        <v>62</v>
      </c>
      <c r="D1582" s="5">
        <v>46082</v>
      </c>
      <c r="E1582" s="6" t="s">
        <v>14</v>
      </c>
      <c r="F1582" s="7">
        <v>391</v>
      </c>
      <c r="G1582" s="7">
        <v>155314.13810741689</v>
      </c>
      <c r="H1582" s="7">
        <v>60727828</v>
      </c>
      <c r="I1582" s="7">
        <v>12365394</v>
      </c>
      <c r="J1582" s="7">
        <v>0</v>
      </c>
      <c r="K1582">
        <f t="shared" si="24"/>
        <v>92</v>
      </c>
      <c r="L1582" s="8" t="str" cm="1">
        <f t="array" ref="L1582">_xlfn.IFS(
 AND(K1582&gt;=89,K1582&lt;=92),"3개월",
 AND(K1582&gt;=58,K1582&lt;=62),"2개월",
 AND(K1582&gt;=28,K1582&lt;=32),"1개월",
 AND(K1582=0),"당월",
 TRUE,"그외"
)</f>
        <v>3개월</v>
      </c>
    </row>
    <row r="1583" spans="1:12" ht="17.649999999999999" customHeight="1" x14ac:dyDescent="0.3">
      <c r="A1583" s="5">
        <v>46174</v>
      </c>
      <c r="B1583" s="6" t="s">
        <v>60</v>
      </c>
      <c r="C1583" s="6" t="s">
        <v>62</v>
      </c>
      <c r="D1583" s="5">
        <v>46082</v>
      </c>
      <c r="E1583" s="6" t="s">
        <v>15</v>
      </c>
      <c r="F1583" s="7">
        <v>1696</v>
      </c>
      <c r="G1583" s="7">
        <v>300969.02358490572</v>
      </c>
      <c r="H1583" s="7">
        <v>510443464</v>
      </c>
      <c r="I1583" s="7">
        <v>72917307</v>
      </c>
      <c r="J1583" s="7">
        <v>0</v>
      </c>
      <c r="K1583">
        <f t="shared" si="24"/>
        <v>92</v>
      </c>
      <c r="L1583" s="8" t="str" cm="1">
        <f t="array" ref="L1583">_xlfn.IFS(
 AND(K1583&gt;=89,K1583&lt;=92),"3개월",
 AND(K1583&gt;=58,K1583&lt;=62),"2개월",
 AND(K1583&gt;=28,K1583&lt;=32),"1개월",
 AND(K1583=0),"당월",
 TRUE,"그외"
)</f>
        <v>3개월</v>
      </c>
    </row>
    <row r="1584" spans="1:12" ht="17.649999999999999" customHeight="1" x14ac:dyDescent="0.3">
      <c r="A1584" s="5">
        <v>46174</v>
      </c>
      <c r="B1584" s="6" t="s">
        <v>60</v>
      </c>
      <c r="C1584" s="6" t="s">
        <v>62</v>
      </c>
      <c r="D1584" s="5">
        <v>46113</v>
      </c>
      <c r="E1584" s="6" t="s">
        <v>14</v>
      </c>
      <c r="F1584" s="7">
        <v>276</v>
      </c>
      <c r="G1584" s="7">
        <v>218479.6702898551</v>
      </c>
      <c r="H1584" s="7">
        <v>60300389</v>
      </c>
      <c r="I1584" s="7">
        <v>27343535</v>
      </c>
      <c r="J1584" s="7">
        <v>0</v>
      </c>
      <c r="K1584">
        <f t="shared" si="24"/>
        <v>61</v>
      </c>
      <c r="L1584" s="8" t="str" cm="1">
        <f t="array" ref="L1584">_xlfn.IFS(
 AND(K1584&gt;=89,K1584&lt;=92),"3개월",
 AND(K1584&gt;=58,K1584&lt;=62),"2개월",
 AND(K1584&gt;=28,K1584&lt;=32),"1개월",
 AND(K1584=0),"당월",
 TRUE,"그외"
)</f>
        <v>2개월</v>
      </c>
    </row>
    <row r="1585" spans="1:12" ht="17.649999999999999" customHeight="1" x14ac:dyDescent="0.3">
      <c r="A1585" s="5">
        <v>46174</v>
      </c>
      <c r="B1585" s="6" t="s">
        <v>60</v>
      </c>
      <c r="C1585" s="6" t="s">
        <v>62</v>
      </c>
      <c r="D1585" s="5">
        <v>46113</v>
      </c>
      <c r="E1585" s="6" t="s">
        <v>15</v>
      </c>
      <c r="F1585" s="7">
        <v>2998</v>
      </c>
      <c r="G1585" s="7">
        <v>305579.66777851898</v>
      </c>
      <c r="H1585" s="7">
        <v>916127844</v>
      </c>
      <c r="I1585" s="7">
        <v>335270391</v>
      </c>
      <c r="J1585" s="7">
        <v>0</v>
      </c>
      <c r="K1585">
        <f t="shared" si="24"/>
        <v>61</v>
      </c>
      <c r="L1585" s="8" t="str" cm="1">
        <f t="array" ref="L1585">_xlfn.IFS(
 AND(K1585&gt;=89,K1585&lt;=92),"3개월",
 AND(K1585&gt;=58,K1585&lt;=62),"2개월",
 AND(K1585&gt;=28,K1585&lt;=32),"1개월",
 AND(K1585=0),"당월",
 TRUE,"그외"
)</f>
        <v>2개월</v>
      </c>
    </row>
    <row r="1586" spans="1:12" ht="17.649999999999999" customHeight="1" x14ac:dyDescent="0.3">
      <c r="A1586" s="5">
        <v>46174</v>
      </c>
      <c r="B1586" s="6" t="s">
        <v>60</v>
      </c>
      <c r="C1586" s="6" t="s">
        <v>62</v>
      </c>
      <c r="D1586" s="5">
        <v>46143</v>
      </c>
      <c r="E1586" s="6" t="s">
        <v>14</v>
      </c>
      <c r="F1586" s="7">
        <v>17</v>
      </c>
      <c r="G1586" s="7">
        <v>349995</v>
      </c>
      <c r="H1586" s="7">
        <v>5949915</v>
      </c>
      <c r="I1586" s="7">
        <v>2379966</v>
      </c>
      <c r="J1586" s="7">
        <v>0</v>
      </c>
      <c r="K1586">
        <f t="shared" si="24"/>
        <v>31</v>
      </c>
      <c r="L1586" s="8" t="str" cm="1">
        <f t="array" ref="L1586">_xlfn.IFS(
 AND(K1586&gt;=89,K1586&lt;=92),"3개월",
 AND(K1586&gt;=58,K1586&lt;=62),"2개월",
 AND(K1586&gt;=28,K1586&lt;=32),"1개월",
 AND(K1586=0),"당월",
 TRUE,"그외"
)</f>
        <v>1개월</v>
      </c>
    </row>
    <row r="1587" spans="1:12" ht="17.649999999999999" customHeight="1" x14ac:dyDescent="0.3">
      <c r="A1587" s="5">
        <v>46174</v>
      </c>
      <c r="B1587" s="6" t="s">
        <v>60</v>
      </c>
      <c r="C1587" s="6" t="s">
        <v>62</v>
      </c>
      <c r="D1587" s="5">
        <v>46143</v>
      </c>
      <c r="E1587" s="6" t="s">
        <v>15</v>
      </c>
      <c r="F1587" s="7">
        <v>1217</v>
      </c>
      <c r="G1587" s="7">
        <v>292514.18734593259</v>
      </c>
      <c r="H1587" s="7">
        <v>355989766</v>
      </c>
      <c r="I1587" s="7">
        <v>168641090</v>
      </c>
      <c r="J1587" s="7">
        <v>0</v>
      </c>
      <c r="K1587">
        <f t="shared" si="24"/>
        <v>31</v>
      </c>
      <c r="L1587" s="8" t="str" cm="1">
        <f t="array" ref="L1587">_xlfn.IFS(
 AND(K1587&gt;=89,K1587&lt;=92),"3개월",
 AND(K1587&gt;=58,K1587&lt;=62),"2개월",
 AND(K1587&gt;=28,K1587&lt;=32),"1개월",
 AND(K1587=0),"당월",
 TRUE,"그외"
)</f>
        <v>1개월</v>
      </c>
    </row>
    <row r="1588" spans="1:12" ht="17.649999999999999" customHeight="1" x14ac:dyDescent="0.3">
      <c r="A1588" s="5">
        <v>46174</v>
      </c>
      <c r="B1588" s="6" t="s">
        <v>60</v>
      </c>
      <c r="C1588" s="6" t="s">
        <v>63</v>
      </c>
      <c r="D1588" s="5">
        <v>45962</v>
      </c>
      <c r="E1588" s="6" t="s">
        <v>15</v>
      </c>
      <c r="F1588" s="7">
        <v>182</v>
      </c>
      <c r="G1588" s="7">
        <v>250227.09890109891</v>
      </c>
      <c r="H1588" s="7">
        <v>45541332</v>
      </c>
      <c r="I1588" s="7">
        <v>7566240</v>
      </c>
      <c r="J1588" s="7">
        <v>0</v>
      </c>
      <c r="K1588">
        <f t="shared" si="24"/>
        <v>212</v>
      </c>
      <c r="L1588" s="8" t="str" cm="1">
        <f t="array" ref="L1588">_xlfn.IFS(
 AND(K1588&gt;=89,K1588&lt;=92),"3개월",
 AND(K1588&gt;=58,K1588&lt;=62),"2개월",
 AND(K1588&gt;=28,K1588&lt;=32),"1개월",
 AND(K1588=0),"당월",
 TRUE,"그외"
)</f>
        <v>그외</v>
      </c>
    </row>
    <row r="1589" spans="1:12" ht="17.649999999999999" customHeight="1" x14ac:dyDescent="0.3">
      <c r="A1589" s="5">
        <v>46174</v>
      </c>
      <c r="B1589" s="6" t="s">
        <v>60</v>
      </c>
      <c r="C1589" s="6" t="s">
        <v>63</v>
      </c>
      <c r="D1589" s="5">
        <v>45992</v>
      </c>
      <c r="E1589" s="6" t="s">
        <v>15</v>
      </c>
      <c r="F1589" s="7">
        <v>450</v>
      </c>
      <c r="G1589" s="7">
        <v>268533.85333333327</v>
      </c>
      <c r="H1589" s="7">
        <v>120840234</v>
      </c>
      <c r="I1589" s="7">
        <v>21155363</v>
      </c>
      <c r="J1589" s="7">
        <v>0</v>
      </c>
      <c r="K1589">
        <f t="shared" si="24"/>
        <v>182</v>
      </c>
      <c r="L1589" s="8" t="str" cm="1">
        <f t="array" ref="L1589">_xlfn.IFS(
 AND(K1589&gt;=89,K1589&lt;=92),"3개월",
 AND(K1589&gt;=58,K1589&lt;=62),"2개월",
 AND(K1589&gt;=28,K1589&lt;=32),"1개월",
 AND(K1589=0),"당월",
 TRUE,"그외"
)</f>
        <v>그외</v>
      </c>
    </row>
    <row r="1590" spans="1:12" ht="17.649999999999999" customHeight="1" x14ac:dyDescent="0.3">
      <c r="A1590" s="5">
        <v>46174</v>
      </c>
      <c r="B1590" s="6" t="s">
        <v>60</v>
      </c>
      <c r="C1590" s="6" t="s">
        <v>63</v>
      </c>
      <c r="D1590" s="5">
        <v>46023</v>
      </c>
      <c r="E1590" s="6" t="s">
        <v>15</v>
      </c>
      <c r="F1590" s="7">
        <v>1159</v>
      </c>
      <c r="G1590" s="7">
        <v>301409.26660914579</v>
      </c>
      <c r="H1590" s="7">
        <v>349333340</v>
      </c>
      <c r="I1590" s="7">
        <v>57908584</v>
      </c>
      <c r="J1590" s="7">
        <v>0</v>
      </c>
      <c r="K1590">
        <f t="shared" si="24"/>
        <v>151</v>
      </c>
      <c r="L1590" s="8" t="str" cm="1">
        <f t="array" ref="L1590">_xlfn.IFS(
 AND(K1590&gt;=89,K1590&lt;=92),"3개월",
 AND(K1590&gt;=58,K1590&lt;=62),"2개월",
 AND(K1590&gt;=28,K1590&lt;=32),"1개월",
 AND(K1590=0),"당월",
 TRUE,"그외"
)</f>
        <v>그외</v>
      </c>
    </row>
    <row r="1591" spans="1:12" ht="17.649999999999999" customHeight="1" x14ac:dyDescent="0.3">
      <c r="A1591" s="5">
        <v>46174</v>
      </c>
      <c r="B1591" s="6" t="s">
        <v>60</v>
      </c>
      <c r="C1591" s="6" t="s">
        <v>63</v>
      </c>
      <c r="D1591" s="5">
        <v>46054</v>
      </c>
      <c r="E1591" s="6" t="s">
        <v>15</v>
      </c>
      <c r="F1591" s="7">
        <v>777</v>
      </c>
      <c r="G1591" s="7">
        <v>304975.82882882882</v>
      </c>
      <c r="H1591" s="7">
        <v>236966219</v>
      </c>
      <c r="I1591" s="7">
        <v>33799470</v>
      </c>
      <c r="J1591" s="7">
        <v>0</v>
      </c>
      <c r="K1591">
        <f t="shared" si="24"/>
        <v>120</v>
      </c>
      <c r="L1591" s="8" t="str" cm="1">
        <f t="array" ref="L1591">_xlfn.IFS(
 AND(K1591&gt;=89,K1591&lt;=92),"3개월",
 AND(K1591&gt;=58,K1591&lt;=62),"2개월",
 AND(K1591&gt;=28,K1591&lt;=32),"1개월",
 AND(K1591=0),"당월",
 TRUE,"그외"
)</f>
        <v>그외</v>
      </c>
    </row>
    <row r="1592" spans="1:12" ht="17.649999999999999" customHeight="1" x14ac:dyDescent="0.3">
      <c r="A1592" s="5">
        <v>46174</v>
      </c>
      <c r="B1592" s="6" t="s">
        <v>60</v>
      </c>
      <c r="C1592" s="6" t="s">
        <v>63</v>
      </c>
      <c r="D1592" s="5">
        <v>46082</v>
      </c>
      <c r="E1592" s="6" t="s">
        <v>14</v>
      </c>
      <c r="F1592" s="7">
        <v>94</v>
      </c>
      <c r="G1592" s="7">
        <v>242605.95744680849</v>
      </c>
      <c r="H1592" s="7">
        <v>22804960</v>
      </c>
      <c r="I1592" s="7">
        <v>3344860</v>
      </c>
      <c r="J1592" s="7">
        <v>0</v>
      </c>
      <c r="K1592">
        <f t="shared" si="24"/>
        <v>92</v>
      </c>
      <c r="L1592" s="8" t="str" cm="1">
        <f t="array" ref="L1592">_xlfn.IFS(
 AND(K1592&gt;=89,K1592&lt;=92),"3개월",
 AND(K1592&gt;=58,K1592&lt;=62),"2개월",
 AND(K1592&gt;=28,K1592&lt;=32),"1개월",
 AND(K1592=0),"당월",
 TRUE,"그외"
)</f>
        <v>3개월</v>
      </c>
    </row>
    <row r="1593" spans="1:12" ht="17.649999999999999" customHeight="1" x14ac:dyDescent="0.3">
      <c r="A1593" s="5">
        <v>46174</v>
      </c>
      <c r="B1593" s="6" t="s">
        <v>60</v>
      </c>
      <c r="C1593" s="6" t="s">
        <v>63</v>
      </c>
      <c r="D1593" s="5">
        <v>46082</v>
      </c>
      <c r="E1593" s="6" t="s">
        <v>15</v>
      </c>
      <c r="F1593" s="7">
        <v>1913</v>
      </c>
      <c r="G1593" s="7">
        <v>309482.77783585992</v>
      </c>
      <c r="H1593" s="7">
        <v>592040554</v>
      </c>
      <c r="I1593" s="7">
        <v>88942096</v>
      </c>
      <c r="J1593" s="7">
        <v>0</v>
      </c>
      <c r="K1593">
        <f t="shared" si="24"/>
        <v>92</v>
      </c>
      <c r="L1593" s="8" t="str" cm="1">
        <f t="array" ref="L1593">_xlfn.IFS(
 AND(K1593&gt;=89,K1593&lt;=92),"3개월",
 AND(K1593&gt;=58,K1593&lt;=62),"2개월",
 AND(K1593&gt;=28,K1593&lt;=32),"1개월",
 AND(K1593=0),"당월",
 TRUE,"그외"
)</f>
        <v>3개월</v>
      </c>
    </row>
    <row r="1594" spans="1:12" ht="17.649999999999999" customHeight="1" x14ac:dyDescent="0.3">
      <c r="A1594" s="5">
        <v>46174</v>
      </c>
      <c r="B1594" s="6" t="s">
        <v>60</v>
      </c>
      <c r="C1594" s="6" t="s">
        <v>63</v>
      </c>
      <c r="D1594" s="5">
        <v>46113</v>
      </c>
      <c r="E1594" s="6" t="s">
        <v>14</v>
      </c>
      <c r="F1594" s="7">
        <v>6</v>
      </c>
      <c r="G1594" s="7">
        <v>256200</v>
      </c>
      <c r="H1594" s="7">
        <v>1537200</v>
      </c>
      <c r="I1594" s="7">
        <v>571200</v>
      </c>
      <c r="J1594" s="7">
        <v>0</v>
      </c>
      <c r="K1594">
        <f t="shared" si="24"/>
        <v>61</v>
      </c>
      <c r="L1594" s="8" t="str" cm="1">
        <f t="array" ref="L1594">_xlfn.IFS(
 AND(K1594&gt;=89,K1594&lt;=92),"3개월",
 AND(K1594&gt;=58,K1594&lt;=62),"2개월",
 AND(K1594&gt;=28,K1594&lt;=32),"1개월",
 AND(K1594=0),"당월",
 TRUE,"그외"
)</f>
        <v>2개월</v>
      </c>
    </row>
    <row r="1595" spans="1:12" ht="17.649999999999999" customHeight="1" x14ac:dyDescent="0.3">
      <c r="A1595" s="5">
        <v>46174</v>
      </c>
      <c r="B1595" s="6" t="s">
        <v>60</v>
      </c>
      <c r="C1595" s="6" t="s">
        <v>63</v>
      </c>
      <c r="D1595" s="5">
        <v>46113</v>
      </c>
      <c r="E1595" s="6" t="s">
        <v>15</v>
      </c>
      <c r="F1595" s="7">
        <v>1334</v>
      </c>
      <c r="G1595" s="7">
        <v>354646.34932533727</v>
      </c>
      <c r="H1595" s="7">
        <v>473098230</v>
      </c>
      <c r="I1595" s="7">
        <v>152751876</v>
      </c>
      <c r="J1595" s="7">
        <v>0</v>
      </c>
      <c r="K1595">
        <f t="shared" si="24"/>
        <v>61</v>
      </c>
      <c r="L1595" s="8" t="str" cm="1">
        <f t="array" ref="L1595">_xlfn.IFS(
 AND(K1595&gt;=89,K1595&lt;=92),"3개월",
 AND(K1595&gt;=58,K1595&lt;=62),"2개월",
 AND(K1595&gt;=28,K1595&lt;=32),"1개월",
 AND(K1595=0),"당월",
 TRUE,"그외"
)</f>
        <v>2개월</v>
      </c>
    </row>
    <row r="1596" spans="1:12" ht="17.649999999999999" customHeight="1" x14ac:dyDescent="0.3">
      <c r="A1596" s="5">
        <v>46174</v>
      </c>
      <c r="B1596" s="6" t="s">
        <v>60</v>
      </c>
      <c r="C1596" s="6" t="s">
        <v>63</v>
      </c>
      <c r="D1596" s="5">
        <v>46143</v>
      </c>
      <c r="E1596" s="6" t="s">
        <v>15</v>
      </c>
      <c r="F1596" s="7">
        <v>424</v>
      </c>
      <c r="G1596" s="7">
        <v>353588.99764150952</v>
      </c>
      <c r="H1596" s="7">
        <v>149921735</v>
      </c>
      <c r="I1596" s="7">
        <v>60903370</v>
      </c>
      <c r="J1596" s="7">
        <v>0</v>
      </c>
      <c r="K1596">
        <f t="shared" si="24"/>
        <v>31</v>
      </c>
      <c r="L1596" s="8" t="str" cm="1">
        <f t="array" ref="L1596">_xlfn.IFS(
 AND(K1596&gt;=89,K1596&lt;=92),"3개월",
 AND(K1596&gt;=58,K1596&lt;=62),"2개월",
 AND(K1596&gt;=28,K1596&lt;=32),"1개월",
 AND(K1596=0),"당월",
 TRUE,"그외"
)</f>
        <v>1개월</v>
      </c>
    </row>
    <row r="1597" spans="1:12" ht="17.649999999999999" customHeight="1" x14ac:dyDescent="0.3">
      <c r="A1597" s="5">
        <v>46174</v>
      </c>
      <c r="B1597" s="6" t="s">
        <v>60</v>
      </c>
      <c r="C1597" s="6" t="s">
        <v>64</v>
      </c>
      <c r="D1597" s="5">
        <v>45931</v>
      </c>
      <c r="E1597" s="6" t="s">
        <v>15</v>
      </c>
      <c r="F1597" s="7">
        <v>2</v>
      </c>
      <c r="G1597" s="7">
        <v>255690</v>
      </c>
      <c r="H1597" s="7">
        <v>511380</v>
      </c>
      <c r="I1597" s="7">
        <v>85230</v>
      </c>
      <c r="J1597" s="7">
        <v>0</v>
      </c>
      <c r="K1597">
        <f t="shared" si="24"/>
        <v>243</v>
      </c>
      <c r="L1597" s="8" t="str" cm="1">
        <f t="array" ref="L1597">_xlfn.IFS(
 AND(K1597&gt;=89,K1597&lt;=92),"3개월",
 AND(K1597&gt;=58,K1597&lt;=62),"2개월",
 AND(K1597&gt;=28,K1597&lt;=32),"1개월",
 AND(K1597=0),"당월",
 TRUE,"그외"
)</f>
        <v>그외</v>
      </c>
    </row>
    <row r="1598" spans="1:12" ht="17.649999999999999" customHeight="1" x14ac:dyDescent="0.3">
      <c r="A1598" s="5">
        <v>46174</v>
      </c>
      <c r="B1598" s="6" t="s">
        <v>60</v>
      </c>
      <c r="C1598" s="6" t="s">
        <v>64</v>
      </c>
      <c r="D1598" s="5">
        <v>45962</v>
      </c>
      <c r="E1598" s="6" t="s">
        <v>15</v>
      </c>
      <c r="F1598" s="7">
        <v>141</v>
      </c>
      <c r="G1598" s="7">
        <v>157578.2127659574</v>
      </c>
      <c r="H1598" s="7">
        <v>22218528</v>
      </c>
      <c r="I1598" s="7">
        <v>3832132</v>
      </c>
      <c r="J1598" s="7">
        <v>0</v>
      </c>
      <c r="K1598">
        <f t="shared" si="24"/>
        <v>212</v>
      </c>
      <c r="L1598" s="8" t="str" cm="1">
        <f t="array" ref="L1598">_xlfn.IFS(
 AND(K1598&gt;=89,K1598&lt;=92),"3개월",
 AND(K1598&gt;=58,K1598&lt;=62),"2개월",
 AND(K1598&gt;=28,K1598&lt;=32),"1개월",
 AND(K1598=0),"당월",
 TRUE,"그외"
)</f>
        <v>그외</v>
      </c>
    </row>
    <row r="1599" spans="1:12" ht="17.649999999999999" customHeight="1" x14ac:dyDescent="0.3">
      <c r="A1599" s="5">
        <v>46174</v>
      </c>
      <c r="B1599" s="6" t="s">
        <v>60</v>
      </c>
      <c r="C1599" s="6" t="s">
        <v>64</v>
      </c>
      <c r="D1599" s="5">
        <v>45992</v>
      </c>
      <c r="E1599" s="6" t="s">
        <v>15</v>
      </c>
      <c r="F1599" s="7">
        <v>195</v>
      </c>
      <c r="G1599" s="7">
        <v>172776.0461538462</v>
      </c>
      <c r="H1599" s="7">
        <v>33691329</v>
      </c>
      <c r="I1599" s="7">
        <v>6230063</v>
      </c>
      <c r="J1599" s="7">
        <v>0</v>
      </c>
      <c r="K1599">
        <f t="shared" si="24"/>
        <v>182</v>
      </c>
      <c r="L1599" s="8" t="str" cm="1">
        <f t="array" ref="L1599">_xlfn.IFS(
 AND(K1599&gt;=89,K1599&lt;=92),"3개월",
 AND(K1599&gt;=58,K1599&lt;=62),"2개월",
 AND(K1599&gt;=28,K1599&lt;=32),"1개월",
 AND(K1599=0),"당월",
 TRUE,"그외"
)</f>
        <v>그외</v>
      </c>
    </row>
    <row r="1600" spans="1:12" ht="17.649999999999999" customHeight="1" x14ac:dyDescent="0.3">
      <c r="A1600" s="5">
        <v>46174</v>
      </c>
      <c r="B1600" s="6" t="s">
        <v>60</v>
      </c>
      <c r="C1600" s="6" t="s">
        <v>64</v>
      </c>
      <c r="D1600" s="5">
        <v>46023</v>
      </c>
      <c r="E1600" s="6" t="s">
        <v>15</v>
      </c>
      <c r="F1600" s="7">
        <v>498</v>
      </c>
      <c r="G1600" s="7">
        <v>187757.7610441767</v>
      </c>
      <c r="H1600" s="7">
        <v>93503365</v>
      </c>
      <c r="I1600" s="7">
        <v>16290796</v>
      </c>
      <c r="J1600" s="7">
        <v>0</v>
      </c>
      <c r="K1600">
        <f t="shared" si="24"/>
        <v>151</v>
      </c>
      <c r="L1600" s="8" t="str" cm="1">
        <f t="array" ref="L1600">_xlfn.IFS(
 AND(K1600&gt;=89,K1600&lt;=92),"3개월",
 AND(K1600&gt;=58,K1600&lt;=62),"2개월",
 AND(K1600&gt;=28,K1600&lt;=32),"1개월",
 AND(K1600=0),"당월",
 TRUE,"그외"
)</f>
        <v>그외</v>
      </c>
    </row>
    <row r="1601" spans="1:12" ht="17.649999999999999" customHeight="1" x14ac:dyDescent="0.3">
      <c r="A1601" s="5">
        <v>46174</v>
      </c>
      <c r="B1601" s="6" t="s">
        <v>60</v>
      </c>
      <c r="C1601" s="6" t="s">
        <v>64</v>
      </c>
      <c r="D1601" s="5">
        <v>46054</v>
      </c>
      <c r="E1601" s="6" t="s">
        <v>14</v>
      </c>
      <c r="F1601" s="7">
        <v>150</v>
      </c>
      <c r="G1601" s="7">
        <v>149726.66666666669</v>
      </c>
      <c r="H1601" s="7">
        <v>22459000</v>
      </c>
      <c r="I1601" s="7">
        <v>3300000</v>
      </c>
      <c r="J1601" s="7">
        <v>0</v>
      </c>
      <c r="K1601">
        <f t="shared" si="24"/>
        <v>120</v>
      </c>
      <c r="L1601" s="8" t="str" cm="1">
        <f t="array" ref="L1601">_xlfn.IFS(
 AND(K1601&gt;=89,K1601&lt;=92),"3개월",
 AND(K1601&gt;=58,K1601&lt;=62),"2개월",
 AND(K1601&gt;=28,K1601&lt;=32),"1개월",
 AND(K1601=0),"당월",
 TRUE,"그외"
)</f>
        <v>그외</v>
      </c>
    </row>
    <row r="1602" spans="1:12" ht="17.649999999999999" customHeight="1" x14ac:dyDescent="0.3">
      <c r="A1602" s="5">
        <v>46174</v>
      </c>
      <c r="B1602" s="6" t="s">
        <v>60</v>
      </c>
      <c r="C1602" s="6" t="s">
        <v>64</v>
      </c>
      <c r="D1602" s="5">
        <v>46054</v>
      </c>
      <c r="E1602" s="6" t="s">
        <v>15</v>
      </c>
      <c r="F1602" s="7">
        <v>705</v>
      </c>
      <c r="G1602" s="7">
        <v>159164.96595744681</v>
      </c>
      <c r="H1602" s="7">
        <v>112211301</v>
      </c>
      <c r="I1602" s="7">
        <v>15916404</v>
      </c>
      <c r="J1602" s="7">
        <v>0</v>
      </c>
      <c r="K1602">
        <f t="shared" si="24"/>
        <v>120</v>
      </c>
      <c r="L1602" s="8" t="str" cm="1">
        <f t="array" ref="L1602">_xlfn.IFS(
 AND(K1602&gt;=89,K1602&lt;=92),"3개월",
 AND(K1602&gt;=58,K1602&lt;=62),"2개월",
 AND(K1602&gt;=28,K1602&lt;=32),"1개월",
 AND(K1602=0),"당월",
 TRUE,"그외"
)</f>
        <v>그외</v>
      </c>
    </row>
    <row r="1603" spans="1:12" ht="17.649999999999999" customHeight="1" x14ac:dyDescent="0.3">
      <c r="A1603" s="5">
        <v>46174</v>
      </c>
      <c r="B1603" s="6" t="s">
        <v>60</v>
      </c>
      <c r="C1603" s="6" t="s">
        <v>64</v>
      </c>
      <c r="D1603" s="5">
        <v>46082</v>
      </c>
      <c r="E1603" s="6" t="s">
        <v>14</v>
      </c>
      <c r="F1603" s="7">
        <v>1670</v>
      </c>
      <c r="G1603" s="7">
        <v>129472.4550898204</v>
      </c>
      <c r="H1603" s="7">
        <v>216219000</v>
      </c>
      <c r="I1603" s="7">
        <v>46593000</v>
      </c>
      <c r="J1603" s="7">
        <v>0</v>
      </c>
      <c r="K1603">
        <f t="shared" si="24"/>
        <v>92</v>
      </c>
      <c r="L1603" s="8" t="str" cm="1">
        <f t="array" ref="L1603">_xlfn.IFS(
 AND(K1603&gt;=89,K1603&lt;=92),"3개월",
 AND(K1603&gt;=58,K1603&lt;=62),"2개월",
 AND(K1603&gt;=28,K1603&lt;=32),"1개월",
 AND(K1603=0),"당월",
 TRUE,"그외"
)</f>
        <v>3개월</v>
      </c>
    </row>
    <row r="1604" spans="1:12" ht="17.649999999999999" customHeight="1" x14ac:dyDescent="0.3">
      <c r="A1604" s="5">
        <v>46174</v>
      </c>
      <c r="B1604" s="6" t="s">
        <v>60</v>
      </c>
      <c r="C1604" s="6" t="s">
        <v>64</v>
      </c>
      <c r="D1604" s="5">
        <v>46082</v>
      </c>
      <c r="E1604" s="6" t="s">
        <v>15</v>
      </c>
      <c r="F1604" s="7">
        <v>2073</v>
      </c>
      <c r="G1604" s="7">
        <v>173821.60877954651</v>
      </c>
      <c r="H1604" s="7">
        <v>360332195</v>
      </c>
      <c r="I1604" s="7">
        <v>58884341</v>
      </c>
      <c r="J1604" s="7">
        <v>0</v>
      </c>
      <c r="K1604">
        <f t="shared" si="24"/>
        <v>92</v>
      </c>
      <c r="L1604" s="8" t="str" cm="1">
        <f t="array" ref="L1604">_xlfn.IFS(
 AND(K1604&gt;=89,K1604&lt;=92),"3개월",
 AND(K1604&gt;=58,K1604&lt;=62),"2개월",
 AND(K1604&gt;=28,K1604&lt;=32),"1개월",
 AND(K1604=0),"당월",
 TRUE,"그외"
)</f>
        <v>3개월</v>
      </c>
    </row>
    <row r="1605" spans="1:12" ht="17.649999999999999" customHeight="1" x14ac:dyDescent="0.3">
      <c r="A1605" s="5">
        <v>46174</v>
      </c>
      <c r="B1605" s="6" t="s">
        <v>60</v>
      </c>
      <c r="C1605" s="6" t="s">
        <v>64</v>
      </c>
      <c r="D1605" s="5">
        <v>46113</v>
      </c>
      <c r="E1605" s="6" t="s">
        <v>14</v>
      </c>
      <c r="F1605" s="7">
        <v>1414</v>
      </c>
      <c r="G1605" s="7">
        <v>156157.66619519089</v>
      </c>
      <c r="H1605" s="7">
        <v>220806940</v>
      </c>
      <c r="I1605" s="7">
        <v>84061200</v>
      </c>
      <c r="J1605" s="7">
        <v>0</v>
      </c>
      <c r="K1605">
        <f t="shared" si="24"/>
        <v>61</v>
      </c>
      <c r="L1605" s="8" t="str" cm="1">
        <f t="array" ref="L1605">_xlfn.IFS(
 AND(K1605&gt;=89,K1605&lt;=92),"3개월",
 AND(K1605&gt;=58,K1605&lt;=62),"2개월",
 AND(K1605&gt;=28,K1605&lt;=32),"1개월",
 AND(K1605=0),"당월",
 TRUE,"그외"
)</f>
        <v>2개월</v>
      </c>
    </row>
    <row r="1606" spans="1:12" ht="17.649999999999999" customHeight="1" x14ac:dyDescent="0.3">
      <c r="A1606" s="5">
        <v>46174</v>
      </c>
      <c r="B1606" s="6" t="s">
        <v>60</v>
      </c>
      <c r="C1606" s="6" t="s">
        <v>64</v>
      </c>
      <c r="D1606" s="5">
        <v>46113</v>
      </c>
      <c r="E1606" s="6" t="s">
        <v>15</v>
      </c>
      <c r="F1606" s="7">
        <v>2663</v>
      </c>
      <c r="G1606" s="7">
        <v>177382.52910251601</v>
      </c>
      <c r="H1606" s="7">
        <v>472369675</v>
      </c>
      <c r="I1606" s="7">
        <v>152046348</v>
      </c>
      <c r="J1606" s="7">
        <v>0</v>
      </c>
      <c r="K1606">
        <f t="shared" si="24"/>
        <v>61</v>
      </c>
      <c r="L1606" s="8" t="str" cm="1">
        <f t="array" ref="L1606">_xlfn.IFS(
 AND(K1606&gt;=89,K1606&lt;=92),"3개월",
 AND(K1606&gt;=58,K1606&lt;=62),"2개월",
 AND(K1606&gt;=28,K1606&lt;=32),"1개월",
 AND(K1606=0),"당월",
 TRUE,"그외"
)</f>
        <v>2개월</v>
      </c>
    </row>
    <row r="1607" spans="1:12" ht="17.649999999999999" customHeight="1" x14ac:dyDescent="0.3">
      <c r="A1607" s="5">
        <v>46174</v>
      </c>
      <c r="B1607" s="6" t="s">
        <v>60</v>
      </c>
      <c r="C1607" s="6" t="s">
        <v>64</v>
      </c>
      <c r="D1607" s="5">
        <v>46143</v>
      </c>
      <c r="E1607" s="6" t="s">
        <v>14</v>
      </c>
      <c r="F1607" s="7">
        <v>6</v>
      </c>
      <c r="G1607" s="7">
        <v>0</v>
      </c>
      <c r="H1607" s="7">
        <v>0</v>
      </c>
      <c r="I1607" s="7">
        <v>0</v>
      </c>
      <c r="J1607" s="7">
        <v>0</v>
      </c>
      <c r="K1607">
        <f t="shared" si="24"/>
        <v>31</v>
      </c>
      <c r="L1607" s="8" t="str" cm="1">
        <f t="array" ref="L1607">_xlfn.IFS(
 AND(K1607&gt;=89,K1607&lt;=92),"3개월",
 AND(K1607&gt;=58,K1607&lt;=62),"2개월",
 AND(K1607&gt;=28,K1607&lt;=32),"1개월",
 AND(K1607=0),"당월",
 TRUE,"그외"
)</f>
        <v>1개월</v>
      </c>
    </row>
    <row r="1608" spans="1:12" ht="17.649999999999999" customHeight="1" x14ac:dyDescent="0.3">
      <c r="A1608" s="5">
        <v>46174</v>
      </c>
      <c r="B1608" s="6" t="s">
        <v>60</v>
      </c>
      <c r="C1608" s="6" t="s">
        <v>64</v>
      </c>
      <c r="D1608" s="5">
        <v>46143</v>
      </c>
      <c r="E1608" s="6" t="s">
        <v>15</v>
      </c>
      <c r="F1608" s="7">
        <v>226</v>
      </c>
      <c r="G1608" s="7">
        <v>185718.05309734511</v>
      </c>
      <c r="H1608" s="7">
        <v>41972280</v>
      </c>
      <c r="I1608" s="7">
        <v>18142908</v>
      </c>
      <c r="J1608" s="7">
        <v>0</v>
      </c>
      <c r="K1608">
        <f t="shared" si="24"/>
        <v>31</v>
      </c>
      <c r="L1608" s="8" t="str" cm="1">
        <f t="array" ref="L1608">_xlfn.IFS(
 AND(K1608&gt;=89,K1608&lt;=92),"3개월",
 AND(K1608&gt;=58,K1608&lt;=62),"2개월",
 AND(K1608&gt;=28,K1608&lt;=32),"1개월",
 AND(K1608=0),"당월",
 TRUE,"그외"
)</f>
        <v>1개월</v>
      </c>
    </row>
    <row r="1609" spans="1:12" ht="17.649999999999999" customHeight="1" x14ac:dyDescent="0.3">
      <c r="A1609" s="5">
        <v>46174</v>
      </c>
      <c r="B1609" s="6" t="s">
        <v>60</v>
      </c>
      <c r="C1609" s="6" t="s">
        <v>67</v>
      </c>
      <c r="D1609" s="5">
        <v>45931</v>
      </c>
      <c r="E1609" s="6" t="s">
        <v>15</v>
      </c>
      <c r="F1609" s="7">
        <v>21</v>
      </c>
      <c r="G1609" s="7">
        <v>178304.76190476189</v>
      </c>
      <c r="H1609" s="7">
        <v>3744400</v>
      </c>
      <c r="I1609" s="7">
        <v>554400</v>
      </c>
      <c r="J1609" s="7">
        <v>0</v>
      </c>
      <c r="K1609">
        <f t="shared" si="24"/>
        <v>243</v>
      </c>
      <c r="L1609" s="8" t="str" cm="1">
        <f t="array" ref="L1609">_xlfn.IFS(
 AND(K1609&gt;=89,K1609&lt;=92),"3개월",
 AND(K1609&gt;=58,K1609&lt;=62),"2개월",
 AND(K1609&gt;=28,K1609&lt;=32),"1개월",
 AND(K1609=0),"당월",
 TRUE,"그외"
)</f>
        <v>그외</v>
      </c>
    </row>
    <row r="1610" spans="1:12" ht="17.649999999999999" customHeight="1" x14ac:dyDescent="0.3">
      <c r="A1610" s="5">
        <v>46174</v>
      </c>
      <c r="B1610" s="6" t="s">
        <v>60</v>
      </c>
      <c r="C1610" s="6" t="s">
        <v>67</v>
      </c>
      <c r="D1610" s="5">
        <v>45962</v>
      </c>
      <c r="E1610" s="6" t="s">
        <v>15</v>
      </c>
      <c r="F1610" s="7">
        <v>45</v>
      </c>
      <c r="G1610" s="7">
        <v>170201.8222222222</v>
      </c>
      <c r="H1610" s="7">
        <v>7659082</v>
      </c>
      <c r="I1610" s="7">
        <v>1201500</v>
      </c>
      <c r="J1610" s="7">
        <v>0</v>
      </c>
      <c r="K1610">
        <f t="shared" ref="K1610:K1673" si="25">A1610-D1610</f>
        <v>212</v>
      </c>
      <c r="L1610" s="8" t="str" cm="1">
        <f t="array" ref="L1610">_xlfn.IFS(
 AND(K1610&gt;=89,K1610&lt;=92),"3개월",
 AND(K1610&gt;=58,K1610&lt;=62),"2개월",
 AND(K1610&gt;=28,K1610&lt;=32),"1개월",
 AND(K1610=0),"당월",
 TRUE,"그외"
)</f>
        <v>그외</v>
      </c>
    </row>
    <row r="1611" spans="1:12" ht="17.649999999999999" customHeight="1" x14ac:dyDescent="0.3">
      <c r="A1611" s="5">
        <v>46174</v>
      </c>
      <c r="B1611" s="6" t="s">
        <v>60</v>
      </c>
      <c r="C1611" s="6" t="s">
        <v>67</v>
      </c>
      <c r="D1611" s="5">
        <v>45992</v>
      </c>
      <c r="E1611" s="6" t="s">
        <v>15</v>
      </c>
      <c r="F1611" s="7">
        <v>217</v>
      </c>
      <c r="G1611" s="7">
        <v>160469.03225806449</v>
      </c>
      <c r="H1611" s="7">
        <v>34821780</v>
      </c>
      <c r="I1611" s="7">
        <v>6878900</v>
      </c>
      <c r="J1611" s="7">
        <v>0</v>
      </c>
      <c r="K1611">
        <f t="shared" si="25"/>
        <v>182</v>
      </c>
      <c r="L1611" s="8" t="str" cm="1">
        <f t="array" ref="L1611">_xlfn.IFS(
 AND(K1611&gt;=89,K1611&lt;=92),"3개월",
 AND(K1611&gt;=58,K1611&lt;=62),"2개월",
 AND(K1611&gt;=28,K1611&lt;=32),"1개월",
 AND(K1611=0),"당월",
 TRUE,"그외"
)</f>
        <v>그외</v>
      </c>
    </row>
    <row r="1612" spans="1:12" ht="17.649999999999999" customHeight="1" x14ac:dyDescent="0.3">
      <c r="A1612" s="5">
        <v>46174</v>
      </c>
      <c r="B1612" s="6" t="s">
        <v>60</v>
      </c>
      <c r="C1612" s="6" t="s">
        <v>67</v>
      </c>
      <c r="D1612" s="5">
        <v>46023</v>
      </c>
      <c r="E1612" s="6" t="s">
        <v>15</v>
      </c>
      <c r="F1612" s="7">
        <v>274</v>
      </c>
      <c r="G1612" s="7">
        <v>185850.3905109489</v>
      </c>
      <c r="H1612" s="7">
        <v>50923007</v>
      </c>
      <c r="I1612" s="7">
        <v>8938745</v>
      </c>
      <c r="J1612" s="7">
        <v>0</v>
      </c>
      <c r="K1612">
        <f t="shared" si="25"/>
        <v>151</v>
      </c>
      <c r="L1612" s="8" t="str" cm="1">
        <f t="array" ref="L1612">_xlfn.IFS(
 AND(K1612&gt;=89,K1612&lt;=92),"3개월",
 AND(K1612&gt;=58,K1612&lt;=62),"2개월",
 AND(K1612&gt;=28,K1612&lt;=32),"1개월",
 AND(K1612=0),"당월",
 TRUE,"그외"
)</f>
        <v>그외</v>
      </c>
    </row>
    <row r="1613" spans="1:12" ht="17.649999999999999" customHeight="1" x14ac:dyDescent="0.3">
      <c r="A1613" s="5">
        <v>46174</v>
      </c>
      <c r="B1613" s="6" t="s">
        <v>60</v>
      </c>
      <c r="C1613" s="6" t="s">
        <v>67</v>
      </c>
      <c r="D1613" s="5">
        <v>46054</v>
      </c>
      <c r="E1613" s="6" t="s">
        <v>14</v>
      </c>
      <c r="F1613" s="7">
        <v>170</v>
      </c>
      <c r="G1613" s="7">
        <v>154341.17647058819</v>
      </c>
      <c r="H1613" s="7">
        <v>26238000</v>
      </c>
      <c r="I1613" s="7">
        <v>3740000</v>
      </c>
      <c r="J1613" s="7">
        <v>0</v>
      </c>
      <c r="K1613">
        <f t="shared" si="25"/>
        <v>120</v>
      </c>
      <c r="L1613" s="8" t="str" cm="1">
        <f t="array" ref="L1613">_xlfn.IFS(
 AND(K1613&gt;=89,K1613&lt;=92),"3개월",
 AND(K1613&gt;=58,K1613&lt;=62),"2개월",
 AND(K1613&gt;=28,K1613&lt;=32),"1개월",
 AND(K1613=0),"당월",
 TRUE,"그외"
)</f>
        <v>그외</v>
      </c>
    </row>
    <row r="1614" spans="1:12" ht="17.649999999999999" customHeight="1" x14ac:dyDescent="0.3">
      <c r="A1614" s="5">
        <v>46174</v>
      </c>
      <c r="B1614" s="6" t="s">
        <v>60</v>
      </c>
      <c r="C1614" s="6" t="s">
        <v>67</v>
      </c>
      <c r="D1614" s="5">
        <v>46054</v>
      </c>
      <c r="E1614" s="6" t="s">
        <v>15</v>
      </c>
      <c r="F1614" s="7">
        <v>532</v>
      </c>
      <c r="G1614" s="7">
        <v>173060.79511278201</v>
      </c>
      <c r="H1614" s="7">
        <v>92068343</v>
      </c>
      <c r="I1614" s="7">
        <v>12236456</v>
      </c>
      <c r="J1614" s="7">
        <v>0</v>
      </c>
      <c r="K1614">
        <f t="shared" si="25"/>
        <v>120</v>
      </c>
      <c r="L1614" s="8" t="str" cm="1">
        <f t="array" ref="L1614">_xlfn.IFS(
 AND(K1614&gt;=89,K1614&lt;=92),"3개월",
 AND(K1614&gt;=58,K1614&lt;=62),"2개월",
 AND(K1614&gt;=28,K1614&lt;=32),"1개월",
 AND(K1614=0),"당월",
 TRUE,"그외"
)</f>
        <v>그외</v>
      </c>
    </row>
    <row r="1615" spans="1:12" ht="17.649999999999999" customHeight="1" x14ac:dyDescent="0.3">
      <c r="A1615" s="5">
        <v>46174</v>
      </c>
      <c r="B1615" s="6" t="s">
        <v>60</v>
      </c>
      <c r="C1615" s="6" t="s">
        <v>67</v>
      </c>
      <c r="D1615" s="5">
        <v>46082</v>
      </c>
      <c r="E1615" s="6" t="s">
        <v>14</v>
      </c>
      <c r="F1615" s="7">
        <v>1098</v>
      </c>
      <c r="G1615" s="7">
        <v>133928.23315118399</v>
      </c>
      <c r="H1615" s="7">
        <v>147053200</v>
      </c>
      <c r="I1615" s="7">
        <v>30634200</v>
      </c>
      <c r="J1615" s="7">
        <v>0</v>
      </c>
      <c r="K1615">
        <f t="shared" si="25"/>
        <v>92</v>
      </c>
      <c r="L1615" s="8" t="str" cm="1">
        <f t="array" ref="L1615">_xlfn.IFS(
 AND(K1615&gt;=89,K1615&lt;=92),"3개월",
 AND(K1615&gt;=58,K1615&lt;=62),"2개월",
 AND(K1615&gt;=28,K1615&lt;=32),"1개월",
 AND(K1615=0),"당월",
 TRUE,"그외"
)</f>
        <v>3개월</v>
      </c>
    </row>
    <row r="1616" spans="1:12" ht="17.649999999999999" customHeight="1" x14ac:dyDescent="0.3">
      <c r="A1616" s="5">
        <v>46174</v>
      </c>
      <c r="B1616" s="6" t="s">
        <v>60</v>
      </c>
      <c r="C1616" s="6" t="s">
        <v>67</v>
      </c>
      <c r="D1616" s="5">
        <v>46082</v>
      </c>
      <c r="E1616" s="6" t="s">
        <v>15</v>
      </c>
      <c r="F1616" s="7">
        <v>2468</v>
      </c>
      <c r="G1616" s="7">
        <v>171526.29902755271</v>
      </c>
      <c r="H1616" s="7">
        <v>423326906</v>
      </c>
      <c r="I1616" s="7">
        <v>69292557</v>
      </c>
      <c r="J1616" s="7">
        <v>0</v>
      </c>
      <c r="K1616">
        <f t="shared" si="25"/>
        <v>92</v>
      </c>
      <c r="L1616" s="8" t="str" cm="1">
        <f t="array" ref="L1616">_xlfn.IFS(
 AND(K1616&gt;=89,K1616&lt;=92),"3개월",
 AND(K1616&gt;=58,K1616&lt;=62),"2개월",
 AND(K1616&gt;=28,K1616&lt;=32),"1개월",
 AND(K1616=0),"당월",
 TRUE,"그외"
)</f>
        <v>3개월</v>
      </c>
    </row>
    <row r="1617" spans="1:12" ht="17.649999999999999" customHeight="1" x14ac:dyDescent="0.3">
      <c r="A1617" s="5">
        <v>46174</v>
      </c>
      <c r="B1617" s="6" t="s">
        <v>60</v>
      </c>
      <c r="C1617" s="6" t="s">
        <v>67</v>
      </c>
      <c r="D1617" s="5">
        <v>46113</v>
      </c>
      <c r="E1617" s="6" t="s">
        <v>14</v>
      </c>
      <c r="F1617" s="7">
        <v>925</v>
      </c>
      <c r="G1617" s="7">
        <v>170556</v>
      </c>
      <c r="H1617" s="7">
        <v>157764300</v>
      </c>
      <c r="I1617" s="7">
        <v>59661300</v>
      </c>
      <c r="J1617" s="7">
        <v>0</v>
      </c>
      <c r="K1617">
        <f t="shared" si="25"/>
        <v>61</v>
      </c>
      <c r="L1617" s="8" t="str" cm="1">
        <f t="array" ref="L1617">_xlfn.IFS(
 AND(K1617&gt;=89,K1617&lt;=92),"3개월",
 AND(K1617&gt;=58,K1617&lt;=62),"2개월",
 AND(K1617&gt;=28,K1617&lt;=32),"1개월",
 AND(K1617=0),"당월",
 TRUE,"그외"
)</f>
        <v>2개월</v>
      </c>
    </row>
    <row r="1618" spans="1:12" ht="17.649999999999999" customHeight="1" x14ac:dyDescent="0.3">
      <c r="A1618" s="5">
        <v>46174</v>
      </c>
      <c r="B1618" s="6" t="s">
        <v>60</v>
      </c>
      <c r="C1618" s="6" t="s">
        <v>67</v>
      </c>
      <c r="D1618" s="5">
        <v>46113</v>
      </c>
      <c r="E1618" s="6" t="s">
        <v>15</v>
      </c>
      <c r="F1618" s="7">
        <v>1870</v>
      </c>
      <c r="G1618" s="7">
        <v>173454.90855614969</v>
      </c>
      <c r="H1618" s="7">
        <v>324360679</v>
      </c>
      <c r="I1618" s="7">
        <v>86644921</v>
      </c>
      <c r="J1618" s="7">
        <v>0</v>
      </c>
      <c r="K1618">
        <f t="shared" si="25"/>
        <v>61</v>
      </c>
      <c r="L1618" s="8" t="str" cm="1">
        <f t="array" ref="L1618">_xlfn.IFS(
 AND(K1618&gt;=89,K1618&lt;=92),"3개월",
 AND(K1618&gt;=58,K1618&lt;=62),"2개월",
 AND(K1618&gt;=28,K1618&lt;=32),"1개월",
 AND(K1618=0),"당월",
 TRUE,"그외"
)</f>
        <v>2개월</v>
      </c>
    </row>
    <row r="1619" spans="1:12" ht="17.649999999999999" customHeight="1" x14ac:dyDescent="0.3">
      <c r="A1619" s="5">
        <v>46174</v>
      </c>
      <c r="B1619" s="6" t="s">
        <v>60</v>
      </c>
      <c r="C1619" s="6" t="s">
        <v>67</v>
      </c>
      <c r="D1619" s="5">
        <v>46143</v>
      </c>
      <c r="E1619" s="6" t="s">
        <v>14</v>
      </c>
      <c r="F1619" s="7">
        <v>5</v>
      </c>
      <c r="G1619" s="7">
        <v>114651</v>
      </c>
      <c r="H1619" s="7">
        <v>573255</v>
      </c>
      <c r="I1619" s="7">
        <v>121800</v>
      </c>
      <c r="J1619" s="7">
        <v>0</v>
      </c>
      <c r="K1619">
        <f t="shared" si="25"/>
        <v>31</v>
      </c>
      <c r="L1619" s="8" t="str" cm="1">
        <f t="array" ref="L1619">_xlfn.IFS(
 AND(K1619&gt;=89,K1619&lt;=92),"3개월",
 AND(K1619&gt;=58,K1619&lt;=62),"2개월",
 AND(K1619&gt;=28,K1619&lt;=32),"1개월",
 AND(K1619=0),"당월",
 TRUE,"그외"
)</f>
        <v>1개월</v>
      </c>
    </row>
    <row r="1620" spans="1:12" ht="17.649999999999999" customHeight="1" x14ac:dyDescent="0.3">
      <c r="A1620" s="5">
        <v>46174</v>
      </c>
      <c r="B1620" s="6" t="s">
        <v>60</v>
      </c>
      <c r="C1620" s="6" t="s">
        <v>67</v>
      </c>
      <c r="D1620" s="5">
        <v>46143</v>
      </c>
      <c r="E1620" s="6" t="s">
        <v>15</v>
      </c>
      <c r="F1620" s="7">
        <v>173</v>
      </c>
      <c r="G1620" s="7">
        <v>198521.7803468208</v>
      </c>
      <c r="H1620" s="7">
        <v>34344268</v>
      </c>
      <c r="I1620" s="7">
        <v>18011375</v>
      </c>
      <c r="J1620" s="7">
        <v>0</v>
      </c>
      <c r="K1620">
        <f t="shared" si="25"/>
        <v>31</v>
      </c>
      <c r="L1620" s="8" t="str" cm="1">
        <f t="array" ref="L1620">_xlfn.IFS(
 AND(K1620&gt;=89,K1620&lt;=92),"3개월",
 AND(K1620&gt;=58,K1620&lt;=62),"2개월",
 AND(K1620&gt;=28,K1620&lt;=32),"1개월",
 AND(K1620=0),"당월",
 TRUE,"그외"
)</f>
        <v>1개월</v>
      </c>
    </row>
    <row r="1621" spans="1:12" ht="17.649999999999999" customHeight="1" x14ac:dyDescent="0.3">
      <c r="A1621" s="5">
        <v>46174</v>
      </c>
      <c r="B1621" s="6" t="s">
        <v>60</v>
      </c>
      <c r="C1621" s="6" t="s">
        <v>70</v>
      </c>
      <c r="D1621" s="5">
        <v>46082</v>
      </c>
      <c r="E1621" s="6" t="s">
        <v>14</v>
      </c>
      <c r="F1621" s="7">
        <v>44</v>
      </c>
      <c r="G1621" s="7">
        <v>128059.0909090909</v>
      </c>
      <c r="H1621" s="7">
        <v>5634600</v>
      </c>
      <c r="I1621" s="7">
        <v>1227600</v>
      </c>
      <c r="J1621" s="7">
        <v>0</v>
      </c>
      <c r="K1621">
        <f t="shared" si="25"/>
        <v>92</v>
      </c>
      <c r="L1621" s="8" t="str" cm="1">
        <f t="array" ref="L1621">_xlfn.IFS(
 AND(K1621&gt;=89,K1621&lt;=92),"3개월",
 AND(K1621&gt;=58,K1621&lt;=62),"2개월",
 AND(K1621&gt;=28,K1621&lt;=32),"1개월",
 AND(K1621=0),"당월",
 TRUE,"그외"
)</f>
        <v>3개월</v>
      </c>
    </row>
    <row r="1622" spans="1:12" ht="17.649999999999999" customHeight="1" x14ac:dyDescent="0.3">
      <c r="A1622" s="5">
        <v>46174</v>
      </c>
      <c r="B1622" s="6" t="s">
        <v>60</v>
      </c>
      <c r="C1622" s="6" t="s">
        <v>70</v>
      </c>
      <c r="D1622" s="5">
        <v>46082</v>
      </c>
      <c r="E1622" s="6" t="s">
        <v>15</v>
      </c>
      <c r="F1622" s="7">
        <v>35</v>
      </c>
      <c r="G1622" s="7">
        <v>145266.42857142861</v>
      </c>
      <c r="H1622" s="7">
        <v>5084325</v>
      </c>
      <c r="I1622" s="7">
        <v>943155</v>
      </c>
      <c r="J1622" s="7">
        <v>0</v>
      </c>
      <c r="K1622">
        <f t="shared" si="25"/>
        <v>92</v>
      </c>
      <c r="L1622" s="8" t="str" cm="1">
        <f t="array" ref="L1622">_xlfn.IFS(
 AND(K1622&gt;=89,K1622&lt;=92),"3개월",
 AND(K1622&gt;=58,K1622&lt;=62),"2개월",
 AND(K1622&gt;=28,K1622&lt;=32),"1개월",
 AND(K1622=0),"당월",
 TRUE,"그외"
)</f>
        <v>3개월</v>
      </c>
    </row>
    <row r="1623" spans="1:12" ht="17.649999999999999" customHeight="1" x14ac:dyDescent="0.3">
      <c r="A1623" s="5">
        <v>46174</v>
      </c>
      <c r="B1623" s="6" t="s">
        <v>60</v>
      </c>
      <c r="C1623" s="6" t="s">
        <v>70</v>
      </c>
      <c r="D1623" s="5">
        <v>46113</v>
      </c>
      <c r="E1623" s="6" t="s">
        <v>14</v>
      </c>
      <c r="F1623" s="7">
        <v>2</v>
      </c>
      <c r="G1623" s="7">
        <v>177900</v>
      </c>
      <c r="H1623" s="7">
        <v>355800</v>
      </c>
      <c r="I1623" s="7">
        <v>175800</v>
      </c>
      <c r="J1623" s="7">
        <v>0</v>
      </c>
      <c r="K1623">
        <f t="shared" si="25"/>
        <v>61</v>
      </c>
      <c r="L1623" s="8" t="str" cm="1">
        <f t="array" ref="L1623">_xlfn.IFS(
 AND(K1623&gt;=89,K1623&lt;=92),"3개월",
 AND(K1623&gt;=58,K1623&lt;=62),"2개월",
 AND(K1623&gt;=28,K1623&lt;=32),"1개월",
 AND(K1623=0),"당월",
 TRUE,"그외"
)</f>
        <v>2개월</v>
      </c>
    </row>
    <row r="1624" spans="1:12" ht="17.649999999999999" customHeight="1" x14ac:dyDescent="0.3">
      <c r="A1624" s="5">
        <v>46174</v>
      </c>
      <c r="B1624" s="6" t="s">
        <v>60</v>
      </c>
      <c r="C1624" s="6" t="s">
        <v>70</v>
      </c>
      <c r="D1624" s="5">
        <v>46113</v>
      </c>
      <c r="E1624" s="6" t="s">
        <v>15</v>
      </c>
      <c r="F1624" s="7">
        <v>53</v>
      </c>
      <c r="G1624" s="7">
        <v>195842.641509434</v>
      </c>
      <c r="H1624" s="7">
        <v>10379660</v>
      </c>
      <c r="I1624" s="7">
        <v>3299400</v>
      </c>
      <c r="J1624" s="7">
        <v>0</v>
      </c>
      <c r="K1624">
        <f t="shared" si="25"/>
        <v>61</v>
      </c>
      <c r="L1624" s="8" t="str" cm="1">
        <f t="array" ref="L1624">_xlfn.IFS(
 AND(K1624&gt;=89,K1624&lt;=92),"3개월",
 AND(K1624&gt;=58,K1624&lt;=62),"2개월",
 AND(K1624&gt;=28,K1624&lt;=32),"1개월",
 AND(K1624=0),"당월",
 TRUE,"그외"
)</f>
        <v>2개월</v>
      </c>
    </row>
    <row r="1625" spans="1:12" ht="17.649999999999999" customHeight="1" x14ac:dyDescent="0.3">
      <c r="A1625" s="5">
        <v>46174</v>
      </c>
      <c r="B1625" s="6" t="s">
        <v>60</v>
      </c>
      <c r="C1625" s="6" t="s">
        <v>72</v>
      </c>
      <c r="D1625" s="5">
        <v>45962</v>
      </c>
      <c r="E1625" s="6" t="s">
        <v>15</v>
      </c>
      <c r="F1625" s="7">
        <v>36</v>
      </c>
      <c r="G1625" s="7">
        <v>154545.83333333331</v>
      </c>
      <c r="H1625" s="7">
        <v>5563650</v>
      </c>
      <c r="I1625" s="7">
        <v>759600</v>
      </c>
      <c r="J1625" s="7">
        <v>0</v>
      </c>
      <c r="K1625">
        <f t="shared" si="25"/>
        <v>212</v>
      </c>
      <c r="L1625" s="8" t="str" cm="1">
        <f t="array" ref="L1625">_xlfn.IFS(
 AND(K1625&gt;=89,K1625&lt;=92),"3개월",
 AND(K1625&gt;=58,K1625&lt;=62),"2개월",
 AND(K1625&gt;=28,K1625&lt;=32),"1개월",
 AND(K1625=0),"당월",
 TRUE,"그외"
)</f>
        <v>그외</v>
      </c>
    </row>
    <row r="1626" spans="1:12" ht="17.649999999999999" customHeight="1" x14ac:dyDescent="0.3">
      <c r="A1626" s="5">
        <v>46174</v>
      </c>
      <c r="B1626" s="6" t="s">
        <v>60</v>
      </c>
      <c r="C1626" s="6" t="s">
        <v>72</v>
      </c>
      <c r="D1626" s="5">
        <v>45992</v>
      </c>
      <c r="E1626" s="6" t="s">
        <v>15</v>
      </c>
      <c r="F1626" s="7">
        <v>81</v>
      </c>
      <c r="G1626" s="7">
        <v>185387.03703703711</v>
      </c>
      <c r="H1626" s="7">
        <v>15016350</v>
      </c>
      <c r="I1626" s="7">
        <v>1984500</v>
      </c>
      <c r="J1626" s="7">
        <v>0</v>
      </c>
      <c r="K1626">
        <f t="shared" si="25"/>
        <v>182</v>
      </c>
      <c r="L1626" s="8" t="str" cm="1">
        <f t="array" ref="L1626">_xlfn.IFS(
 AND(K1626&gt;=89,K1626&lt;=92),"3개월",
 AND(K1626&gt;=58,K1626&lt;=62),"2개월",
 AND(K1626&gt;=28,K1626&lt;=32),"1개월",
 AND(K1626=0),"당월",
 TRUE,"그외"
)</f>
        <v>그외</v>
      </c>
    </row>
    <row r="1627" spans="1:12" ht="17.649999999999999" customHeight="1" x14ac:dyDescent="0.3">
      <c r="A1627" s="5">
        <v>46174</v>
      </c>
      <c r="B1627" s="6" t="s">
        <v>60</v>
      </c>
      <c r="C1627" s="6" t="s">
        <v>72</v>
      </c>
      <c r="D1627" s="5">
        <v>46023</v>
      </c>
      <c r="E1627" s="6" t="s">
        <v>15</v>
      </c>
      <c r="F1627" s="7">
        <v>146</v>
      </c>
      <c r="G1627" s="7">
        <v>187003.8630136986</v>
      </c>
      <c r="H1627" s="7">
        <v>27302564</v>
      </c>
      <c r="I1627" s="7">
        <v>3608940</v>
      </c>
      <c r="J1627" s="7">
        <v>0</v>
      </c>
      <c r="K1627">
        <f t="shared" si="25"/>
        <v>151</v>
      </c>
      <c r="L1627" s="8" t="str" cm="1">
        <f t="array" ref="L1627">_xlfn.IFS(
 AND(K1627&gt;=89,K1627&lt;=92),"3개월",
 AND(K1627&gt;=58,K1627&lt;=62),"2개월",
 AND(K1627&gt;=28,K1627&lt;=32),"1개월",
 AND(K1627=0),"당월",
 TRUE,"그외"
)</f>
        <v>그외</v>
      </c>
    </row>
    <row r="1628" spans="1:12" ht="17.649999999999999" customHeight="1" x14ac:dyDescent="0.3">
      <c r="A1628" s="5">
        <v>46174</v>
      </c>
      <c r="B1628" s="6" t="s">
        <v>60</v>
      </c>
      <c r="C1628" s="6" t="s">
        <v>72</v>
      </c>
      <c r="D1628" s="5">
        <v>46054</v>
      </c>
      <c r="E1628" s="6" t="s">
        <v>15</v>
      </c>
      <c r="F1628" s="7">
        <v>267</v>
      </c>
      <c r="G1628" s="7">
        <v>173993.64419475649</v>
      </c>
      <c r="H1628" s="7">
        <v>46456303</v>
      </c>
      <c r="I1628" s="7">
        <v>4718234</v>
      </c>
      <c r="J1628" s="7">
        <v>0</v>
      </c>
      <c r="K1628">
        <f t="shared" si="25"/>
        <v>120</v>
      </c>
      <c r="L1628" s="8" t="str" cm="1">
        <f t="array" ref="L1628">_xlfn.IFS(
 AND(K1628&gt;=89,K1628&lt;=92),"3개월",
 AND(K1628&gt;=58,K1628&lt;=62),"2개월",
 AND(K1628&gt;=28,K1628&lt;=32),"1개월",
 AND(K1628=0),"당월",
 TRUE,"그외"
)</f>
        <v>그외</v>
      </c>
    </row>
    <row r="1629" spans="1:12" ht="17.649999999999999" customHeight="1" x14ac:dyDescent="0.3">
      <c r="A1629" s="5">
        <v>46174</v>
      </c>
      <c r="B1629" s="6" t="s">
        <v>60</v>
      </c>
      <c r="C1629" s="6" t="s">
        <v>72</v>
      </c>
      <c r="D1629" s="5">
        <v>46082</v>
      </c>
      <c r="E1629" s="6" t="s">
        <v>14</v>
      </c>
      <c r="F1629" s="7">
        <v>569</v>
      </c>
      <c r="G1629" s="7">
        <v>68000</v>
      </c>
      <c r="H1629" s="7">
        <v>38692000</v>
      </c>
      <c r="I1629" s="7">
        <v>12518000</v>
      </c>
      <c r="J1629" s="7">
        <v>0</v>
      </c>
      <c r="K1629">
        <f t="shared" si="25"/>
        <v>92</v>
      </c>
      <c r="L1629" s="8" t="str" cm="1">
        <f t="array" ref="L1629">_xlfn.IFS(
 AND(K1629&gt;=89,K1629&lt;=92),"3개월",
 AND(K1629&gt;=58,K1629&lt;=62),"2개월",
 AND(K1629&gt;=28,K1629&lt;=32),"1개월",
 AND(K1629=0),"당월",
 TRUE,"그외"
)</f>
        <v>3개월</v>
      </c>
    </row>
    <row r="1630" spans="1:12" ht="17.649999999999999" customHeight="1" x14ac:dyDescent="0.3">
      <c r="A1630" s="5">
        <v>46174</v>
      </c>
      <c r="B1630" s="6" t="s">
        <v>60</v>
      </c>
      <c r="C1630" s="6" t="s">
        <v>72</v>
      </c>
      <c r="D1630" s="5">
        <v>46082</v>
      </c>
      <c r="E1630" s="6" t="s">
        <v>15</v>
      </c>
      <c r="F1630" s="7">
        <v>792</v>
      </c>
      <c r="G1630" s="7">
        <v>197093.33207070711</v>
      </c>
      <c r="H1630" s="7">
        <v>156097919</v>
      </c>
      <c r="I1630" s="7">
        <v>17314270</v>
      </c>
      <c r="J1630" s="7">
        <v>0</v>
      </c>
      <c r="K1630">
        <f t="shared" si="25"/>
        <v>92</v>
      </c>
      <c r="L1630" s="8" t="str" cm="1">
        <f t="array" ref="L1630">_xlfn.IFS(
 AND(K1630&gt;=89,K1630&lt;=92),"3개월",
 AND(K1630&gt;=58,K1630&lt;=62),"2개월",
 AND(K1630&gt;=28,K1630&lt;=32),"1개월",
 AND(K1630=0),"당월",
 TRUE,"그외"
)</f>
        <v>3개월</v>
      </c>
    </row>
    <row r="1631" spans="1:12" ht="17.649999999999999" customHeight="1" x14ac:dyDescent="0.3">
      <c r="A1631" s="5">
        <v>46174</v>
      </c>
      <c r="B1631" s="6" t="s">
        <v>60</v>
      </c>
      <c r="C1631" s="6" t="s">
        <v>72</v>
      </c>
      <c r="D1631" s="5">
        <v>46113</v>
      </c>
      <c r="E1631" s="6" t="s">
        <v>14</v>
      </c>
      <c r="F1631" s="7">
        <v>1099</v>
      </c>
      <c r="G1631" s="7">
        <v>130374.7042766151</v>
      </c>
      <c r="H1631" s="7">
        <v>143281800</v>
      </c>
      <c r="I1631" s="7">
        <v>58727400</v>
      </c>
      <c r="J1631" s="7">
        <v>0</v>
      </c>
      <c r="K1631">
        <f t="shared" si="25"/>
        <v>61</v>
      </c>
      <c r="L1631" s="8" t="str" cm="1">
        <f t="array" ref="L1631">_xlfn.IFS(
 AND(K1631&gt;=89,K1631&lt;=92),"3개월",
 AND(K1631&gt;=58,K1631&lt;=62),"2개월",
 AND(K1631&gt;=28,K1631&lt;=32),"1개월",
 AND(K1631=0),"당월",
 TRUE,"그외"
)</f>
        <v>2개월</v>
      </c>
    </row>
    <row r="1632" spans="1:12" ht="17.649999999999999" customHeight="1" x14ac:dyDescent="0.3">
      <c r="A1632" s="5">
        <v>46174</v>
      </c>
      <c r="B1632" s="6" t="s">
        <v>60</v>
      </c>
      <c r="C1632" s="6" t="s">
        <v>72</v>
      </c>
      <c r="D1632" s="5">
        <v>46113</v>
      </c>
      <c r="E1632" s="6" t="s">
        <v>15</v>
      </c>
      <c r="F1632" s="7">
        <v>1155</v>
      </c>
      <c r="G1632" s="7">
        <v>188349.89870129869</v>
      </c>
      <c r="H1632" s="7">
        <v>217544133</v>
      </c>
      <c r="I1632" s="7">
        <v>51704633</v>
      </c>
      <c r="J1632" s="7">
        <v>0</v>
      </c>
      <c r="K1632">
        <f t="shared" si="25"/>
        <v>61</v>
      </c>
      <c r="L1632" s="8" t="str" cm="1">
        <f t="array" ref="L1632">_xlfn.IFS(
 AND(K1632&gt;=89,K1632&lt;=92),"3개월",
 AND(K1632&gt;=58,K1632&lt;=62),"2개월",
 AND(K1632&gt;=28,K1632&lt;=32),"1개월",
 AND(K1632=0),"당월",
 TRUE,"그외"
)</f>
        <v>2개월</v>
      </c>
    </row>
    <row r="1633" spans="1:12" ht="17.649999999999999" customHeight="1" x14ac:dyDescent="0.3">
      <c r="A1633" s="5">
        <v>46174</v>
      </c>
      <c r="B1633" s="6" t="s">
        <v>60</v>
      </c>
      <c r="C1633" s="6" t="s">
        <v>72</v>
      </c>
      <c r="D1633" s="5">
        <v>46143</v>
      </c>
      <c r="E1633" s="6" t="s">
        <v>14</v>
      </c>
      <c r="F1633" s="7">
        <v>4</v>
      </c>
      <c r="G1633" s="7">
        <v>200100</v>
      </c>
      <c r="H1633" s="7">
        <v>800400</v>
      </c>
      <c r="I1633" s="7">
        <v>516400</v>
      </c>
      <c r="J1633" s="7">
        <v>0</v>
      </c>
      <c r="K1633">
        <f t="shared" si="25"/>
        <v>31</v>
      </c>
      <c r="L1633" s="8" t="str" cm="1">
        <f t="array" ref="L1633">_xlfn.IFS(
 AND(K1633&gt;=89,K1633&lt;=92),"3개월",
 AND(K1633&gt;=58,K1633&lt;=62),"2개월",
 AND(K1633&gt;=28,K1633&lt;=32),"1개월",
 AND(K1633=0),"당월",
 TRUE,"그외"
)</f>
        <v>1개월</v>
      </c>
    </row>
    <row r="1634" spans="1:12" ht="17.649999999999999" customHeight="1" x14ac:dyDescent="0.3">
      <c r="A1634" s="5">
        <v>46174</v>
      </c>
      <c r="B1634" s="6" t="s">
        <v>60</v>
      </c>
      <c r="C1634" s="6" t="s">
        <v>72</v>
      </c>
      <c r="D1634" s="5">
        <v>46143</v>
      </c>
      <c r="E1634" s="6" t="s">
        <v>15</v>
      </c>
      <c r="F1634" s="7">
        <v>204</v>
      </c>
      <c r="G1634" s="7">
        <v>197125.35784313729</v>
      </c>
      <c r="H1634" s="7">
        <v>40213573</v>
      </c>
      <c r="I1634" s="7">
        <v>18308010</v>
      </c>
      <c r="J1634" s="7">
        <v>0</v>
      </c>
      <c r="K1634">
        <f t="shared" si="25"/>
        <v>31</v>
      </c>
      <c r="L1634" s="8" t="str" cm="1">
        <f t="array" ref="L1634">_xlfn.IFS(
 AND(K1634&gt;=89,K1634&lt;=92),"3개월",
 AND(K1634&gt;=58,K1634&lt;=62),"2개월",
 AND(K1634&gt;=28,K1634&lt;=32),"1개월",
 AND(K1634=0),"당월",
 TRUE,"그외"
)</f>
        <v>1개월</v>
      </c>
    </row>
    <row r="1635" spans="1:12" ht="17.649999999999999" customHeight="1" x14ac:dyDescent="0.3">
      <c r="A1635" s="5">
        <v>46174</v>
      </c>
      <c r="B1635" s="6" t="s">
        <v>60</v>
      </c>
      <c r="C1635" s="6" t="s">
        <v>73</v>
      </c>
      <c r="D1635" s="5">
        <v>46054</v>
      </c>
      <c r="E1635" s="6" t="s">
        <v>15</v>
      </c>
      <c r="F1635" s="7">
        <v>225</v>
      </c>
      <c r="G1635" s="7">
        <v>245695.55555555559</v>
      </c>
      <c r="H1635" s="7">
        <v>55281500</v>
      </c>
      <c r="I1635" s="7">
        <v>6869668</v>
      </c>
      <c r="J1635" s="7">
        <v>0</v>
      </c>
      <c r="K1635">
        <f t="shared" si="25"/>
        <v>120</v>
      </c>
      <c r="L1635" s="8" t="str" cm="1">
        <f t="array" ref="L1635">_xlfn.IFS(
 AND(K1635&gt;=89,K1635&lt;=92),"3개월",
 AND(K1635&gt;=58,K1635&lt;=62),"2개월",
 AND(K1635&gt;=28,K1635&lt;=32),"1개월",
 AND(K1635=0),"당월",
 TRUE,"그외"
)</f>
        <v>그외</v>
      </c>
    </row>
    <row r="1636" spans="1:12" ht="17.649999999999999" customHeight="1" x14ac:dyDescent="0.3">
      <c r="A1636" s="5">
        <v>46174</v>
      </c>
      <c r="B1636" s="6" t="s">
        <v>60</v>
      </c>
      <c r="C1636" s="6" t="s">
        <v>73</v>
      </c>
      <c r="D1636" s="5">
        <v>46113</v>
      </c>
      <c r="E1636" s="6" t="s">
        <v>14</v>
      </c>
      <c r="F1636" s="7">
        <v>10</v>
      </c>
      <c r="G1636" s="7">
        <v>175200</v>
      </c>
      <c r="H1636" s="7">
        <v>1752000</v>
      </c>
      <c r="I1636" s="7">
        <v>952000</v>
      </c>
      <c r="J1636" s="7">
        <v>0</v>
      </c>
      <c r="K1636">
        <f t="shared" si="25"/>
        <v>61</v>
      </c>
      <c r="L1636" s="8" t="str" cm="1">
        <f t="array" ref="L1636">_xlfn.IFS(
 AND(K1636&gt;=89,K1636&lt;=92),"3개월",
 AND(K1636&gt;=58,K1636&lt;=62),"2개월",
 AND(K1636&gt;=28,K1636&lt;=32),"1개월",
 AND(K1636=0),"당월",
 TRUE,"그외"
)</f>
        <v>2개월</v>
      </c>
    </row>
    <row r="1637" spans="1:12" ht="17.649999999999999" customHeight="1" x14ac:dyDescent="0.3">
      <c r="A1637" s="5">
        <v>46174</v>
      </c>
      <c r="B1637" s="6" t="s">
        <v>60</v>
      </c>
      <c r="C1637" s="6" t="s">
        <v>73</v>
      </c>
      <c r="D1637" s="5">
        <v>46113</v>
      </c>
      <c r="E1637" s="6" t="s">
        <v>15</v>
      </c>
      <c r="F1637" s="7">
        <v>3381</v>
      </c>
      <c r="G1637" s="7">
        <v>181490.96805678791</v>
      </c>
      <c r="H1637" s="7">
        <v>613620963</v>
      </c>
      <c r="I1637" s="7">
        <v>195408608</v>
      </c>
      <c r="J1637" s="7">
        <v>0</v>
      </c>
      <c r="K1637">
        <f t="shared" si="25"/>
        <v>61</v>
      </c>
      <c r="L1637" s="8" t="str" cm="1">
        <f t="array" ref="L1637">_xlfn.IFS(
 AND(K1637&gt;=89,K1637&lt;=92),"3개월",
 AND(K1637&gt;=58,K1637&lt;=62),"2개월",
 AND(K1637&gt;=28,K1637&lt;=32),"1개월",
 AND(K1637=0),"당월",
 TRUE,"그외"
)</f>
        <v>2개월</v>
      </c>
    </row>
    <row r="1638" spans="1:12" ht="17.649999999999999" customHeight="1" x14ac:dyDescent="0.3">
      <c r="A1638" s="5">
        <v>46174</v>
      </c>
      <c r="B1638" s="6" t="s">
        <v>60</v>
      </c>
      <c r="C1638" s="6" t="s">
        <v>73</v>
      </c>
      <c r="D1638" s="5">
        <v>46143</v>
      </c>
      <c r="E1638" s="6" t="s">
        <v>14</v>
      </c>
      <c r="F1638" s="7">
        <v>113</v>
      </c>
      <c r="G1638" s="7">
        <v>201965.27433628321</v>
      </c>
      <c r="H1638" s="7">
        <v>22822076</v>
      </c>
      <c r="I1638" s="7">
        <v>8491920</v>
      </c>
      <c r="J1638" s="7">
        <v>0</v>
      </c>
      <c r="K1638">
        <f t="shared" si="25"/>
        <v>31</v>
      </c>
      <c r="L1638" s="8" t="str" cm="1">
        <f t="array" ref="L1638">_xlfn.IFS(
 AND(K1638&gt;=89,K1638&lt;=92),"3개월",
 AND(K1638&gt;=58,K1638&lt;=62),"2개월",
 AND(K1638&gt;=28,K1638&lt;=32),"1개월",
 AND(K1638=0),"당월",
 TRUE,"그외"
)</f>
        <v>1개월</v>
      </c>
    </row>
    <row r="1639" spans="1:12" ht="17.649999999999999" customHeight="1" x14ac:dyDescent="0.3">
      <c r="A1639" s="5">
        <v>46174</v>
      </c>
      <c r="B1639" s="6" t="s">
        <v>60</v>
      </c>
      <c r="C1639" s="6" t="s">
        <v>73</v>
      </c>
      <c r="D1639" s="5">
        <v>46143</v>
      </c>
      <c r="E1639" s="6" t="s">
        <v>15</v>
      </c>
      <c r="F1639" s="7">
        <v>1457</v>
      </c>
      <c r="G1639" s="7">
        <v>225252.62937542901</v>
      </c>
      <c r="H1639" s="7">
        <v>328193081</v>
      </c>
      <c r="I1639" s="7">
        <v>146723017</v>
      </c>
      <c r="J1639" s="7">
        <v>0</v>
      </c>
      <c r="K1639">
        <f t="shared" si="25"/>
        <v>31</v>
      </c>
      <c r="L1639" s="8" t="str" cm="1">
        <f t="array" ref="L1639">_xlfn.IFS(
 AND(K1639&gt;=89,K1639&lt;=92),"3개월",
 AND(K1639&gt;=58,K1639&lt;=62),"2개월",
 AND(K1639&gt;=28,K1639&lt;=32),"1개월",
 AND(K1639=0),"당월",
 TRUE,"그외"
)</f>
        <v>1개월</v>
      </c>
    </row>
    <row r="1640" spans="1:12" ht="17.649999999999999" customHeight="1" x14ac:dyDescent="0.3">
      <c r="A1640" s="5">
        <v>46174</v>
      </c>
      <c r="B1640" s="6" t="s">
        <v>60</v>
      </c>
      <c r="C1640" s="6" t="s">
        <v>74</v>
      </c>
      <c r="D1640" s="5">
        <v>45962</v>
      </c>
      <c r="E1640" s="6" t="s">
        <v>15</v>
      </c>
      <c r="F1640" s="7">
        <v>4</v>
      </c>
      <c r="G1640" s="7">
        <v>244300</v>
      </c>
      <c r="H1640" s="7">
        <v>977200</v>
      </c>
      <c r="I1640" s="7">
        <v>112400</v>
      </c>
      <c r="J1640" s="7">
        <v>0</v>
      </c>
      <c r="K1640">
        <f t="shared" si="25"/>
        <v>212</v>
      </c>
      <c r="L1640" s="8" t="str" cm="1">
        <f t="array" ref="L1640">_xlfn.IFS(
 AND(K1640&gt;=89,K1640&lt;=92),"3개월",
 AND(K1640&gt;=58,K1640&lt;=62),"2개월",
 AND(K1640&gt;=28,K1640&lt;=32),"1개월",
 AND(K1640=0),"당월",
 TRUE,"그외"
)</f>
        <v>그외</v>
      </c>
    </row>
    <row r="1641" spans="1:12" ht="17.649999999999999" customHeight="1" x14ac:dyDescent="0.3">
      <c r="A1641" s="5">
        <v>46174</v>
      </c>
      <c r="B1641" s="6" t="s">
        <v>60</v>
      </c>
      <c r="C1641" s="6" t="s">
        <v>74</v>
      </c>
      <c r="D1641" s="5">
        <v>45992</v>
      </c>
      <c r="E1641" s="6" t="s">
        <v>15</v>
      </c>
      <c r="F1641" s="7">
        <v>47</v>
      </c>
      <c r="G1641" s="7">
        <v>255417.02127659571</v>
      </c>
      <c r="H1641" s="7">
        <v>12004600</v>
      </c>
      <c r="I1641" s="7">
        <v>1384000</v>
      </c>
      <c r="J1641" s="7">
        <v>0</v>
      </c>
      <c r="K1641">
        <f t="shared" si="25"/>
        <v>182</v>
      </c>
      <c r="L1641" s="8" t="str" cm="1">
        <f t="array" ref="L1641">_xlfn.IFS(
 AND(K1641&gt;=89,K1641&lt;=92),"3개월",
 AND(K1641&gt;=58,K1641&lt;=62),"2개월",
 AND(K1641&gt;=28,K1641&lt;=32),"1개월",
 AND(K1641=0),"당월",
 TRUE,"그외"
)</f>
        <v>그외</v>
      </c>
    </row>
    <row r="1642" spans="1:12" ht="17.649999999999999" customHeight="1" x14ac:dyDescent="0.3">
      <c r="A1642" s="5">
        <v>46174</v>
      </c>
      <c r="B1642" s="6" t="s">
        <v>60</v>
      </c>
      <c r="C1642" s="6" t="s">
        <v>74</v>
      </c>
      <c r="D1642" s="5">
        <v>46023</v>
      </c>
      <c r="E1642" s="6" t="s">
        <v>15</v>
      </c>
      <c r="F1642" s="7">
        <v>160</v>
      </c>
      <c r="G1642" s="7">
        <v>205687.72500000001</v>
      </c>
      <c r="H1642" s="7">
        <v>32910036</v>
      </c>
      <c r="I1642" s="7">
        <v>5398400</v>
      </c>
      <c r="J1642" s="7">
        <v>0</v>
      </c>
      <c r="K1642">
        <f t="shared" si="25"/>
        <v>151</v>
      </c>
      <c r="L1642" s="8" t="str" cm="1">
        <f t="array" ref="L1642">_xlfn.IFS(
 AND(K1642&gt;=89,K1642&lt;=92),"3개월",
 AND(K1642&gt;=58,K1642&lt;=62),"2개월",
 AND(K1642&gt;=28,K1642&lt;=32),"1개월",
 AND(K1642=0),"당월",
 TRUE,"그외"
)</f>
        <v>그외</v>
      </c>
    </row>
    <row r="1643" spans="1:12" ht="17.649999999999999" customHeight="1" x14ac:dyDescent="0.3">
      <c r="A1643" s="5">
        <v>46174</v>
      </c>
      <c r="B1643" s="6" t="s">
        <v>60</v>
      </c>
      <c r="C1643" s="6" t="s">
        <v>74</v>
      </c>
      <c r="D1643" s="5">
        <v>46054</v>
      </c>
      <c r="E1643" s="6" t="s">
        <v>14</v>
      </c>
      <c r="F1643" s="7">
        <v>44</v>
      </c>
      <c r="G1643" s="7">
        <v>201000</v>
      </c>
      <c r="H1643" s="7">
        <v>8844000</v>
      </c>
      <c r="I1643" s="7">
        <v>1100000</v>
      </c>
      <c r="J1643" s="7">
        <v>0</v>
      </c>
      <c r="K1643">
        <f t="shared" si="25"/>
        <v>120</v>
      </c>
      <c r="L1643" s="8" t="str" cm="1">
        <f t="array" ref="L1643">_xlfn.IFS(
 AND(K1643&gt;=89,K1643&lt;=92),"3개월",
 AND(K1643&gt;=58,K1643&lt;=62),"2개월",
 AND(K1643&gt;=28,K1643&lt;=32),"1개월",
 AND(K1643=0),"당월",
 TRUE,"그외"
)</f>
        <v>그외</v>
      </c>
    </row>
    <row r="1644" spans="1:12" ht="17.649999999999999" customHeight="1" x14ac:dyDescent="0.3">
      <c r="A1644" s="5">
        <v>46174</v>
      </c>
      <c r="B1644" s="6" t="s">
        <v>60</v>
      </c>
      <c r="C1644" s="6" t="s">
        <v>74</v>
      </c>
      <c r="D1644" s="5">
        <v>46054</v>
      </c>
      <c r="E1644" s="6" t="s">
        <v>15</v>
      </c>
      <c r="F1644" s="7">
        <v>215</v>
      </c>
      <c r="G1644" s="7">
        <v>204874.22790697671</v>
      </c>
      <c r="H1644" s="7">
        <v>44047959</v>
      </c>
      <c r="I1644" s="7">
        <v>5769005</v>
      </c>
      <c r="J1644" s="7">
        <v>0</v>
      </c>
      <c r="K1644">
        <f t="shared" si="25"/>
        <v>120</v>
      </c>
      <c r="L1644" s="8" t="str" cm="1">
        <f t="array" ref="L1644">_xlfn.IFS(
 AND(K1644&gt;=89,K1644&lt;=92),"3개월",
 AND(K1644&gt;=58,K1644&lt;=62),"2개월",
 AND(K1644&gt;=28,K1644&lt;=32),"1개월",
 AND(K1644=0),"당월",
 TRUE,"그외"
)</f>
        <v>그외</v>
      </c>
    </row>
    <row r="1645" spans="1:12" ht="17.649999999999999" customHeight="1" x14ac:dyDescent="0.3">
      <c r="A1645" s="5">
        <v>46174</v>
      </c>
      <c r="B1645" s="6" t="s">
        <v>60</v>
      </c>
      <c r="C1645" s="6" t="s">
        <v>74</v>
      </c>
      <c r="D1645" s="5">
        <v>46082</v>
      </c>
      <c r="E1645" s="6" t="s">
        <v>14</v>
      </c>
      <c r="F1645" s="7">
        <v>96</v>
      </c>
      <c r="G1645" s="7">
        <v>171566.66666666669</v>
      </c>
      <c r="H1645" s="7">
        <v>16470400</v>
      </c>
      <c r="I1645" s="7">
        <v>2822400</v>
      </c>
      <c r="J1645" s="7">
        <v>0</v>
      </c>
      <c r="K1645">
        <f t="shared" si="25"/>
        <v>92</v>
      </c>
      <c r="L1645" s="8" t="str" cm="1">
        <f t="array" ref="L1645">_xlfn.IFS(
 AND(K1645&gt;=89,K1645&lt;=92),"3개월",
 AND(K1645&gt;=58,K1645&lt;=62),"2개월",
 AND(K1645&gt;=28,K1645&lt;=32),"1개월",
 AND(K1645=0),"당월",
 TRUE,"그외"
)</f>
        <v>3개월</v>
      </c>
    </row>
    <row r="1646" spans="1:12" ht="17.649999999999999" customHeight="1" x14ac:dyDescent="0.3">
      <c r="A1646" s="5">
        <v>46174</v>
      </c>
      <c r="B1646" s="6" t="s">
        <v>60</v>
      </c>
      <c r="C1646" s="6" t="s">
        <v>74</v>
      </c>
      <c r="D1646" s="5">
        <v>46082</v>
      </c>
      <c r="E1646" s="6" t="s">
        <v>15</v>
      </c>
      <c r="F1646" s="7">
        <v>1258</v>
      </c>
      <c r="G1646" s="7">
        <v>177349.89507154209</v>
      </c>
      <c r="H1646" s="7">
        <v>223106168</v>
      </c>
      <c r="I1646" s="7">
        <v>38477716</v>
      </c>
      <c r="J1646" s="7">
        <v>0</v>
      </c>
      <c r="K1646">
        <f t="shared" si="25"/>
        <v>92</v>
      </c>
      <c r="L1646" s="8" t="str" cm="1">
        <f t="array" ref="L1646">_xlfn.IFS(
 AND(K1646&gt;=89,K1646&lt;=92),"3개월",
 AND(K1646&gt;=58,K1646&lt;=62),"2개월",
 AND(K1646&gt;=28,K1646&lt;=32),"1개월",
 AND(K1646=0),"당월",
 TRUE,"그외"
)</f>
        <v>3개월</v>
      </c>
    </row>
    <row r="1647" spans="1:12" ht="17.649999999999999" customHeight="1" x14ac:dyDescent="0.3">
      <c r="A1647" s="5">
        <v>46174</v>
      </c>
      <c r="B1647" s="6" t="s">
        <v>60</v>
      </c>
      <c r="C1647" s="6" t="s">
        <v>74</v>
      </c>
      <c r="D1647" s="5">
        <v>46113</v>
      </c>
      <c r="E1647" s="6" t="s">
        <v>14</v>
      </c>
      <c r="F1647" s="7">
        <v>45</v>
      </c>
      <c r="G1647" s="7">
        <v>222200</v>
      </c>
      <c r="H1647" s="7">
        <v>9999000</v>
      </c>
      <c r="I1647" s="7">
        <v>4284000</v>
      </c>
      <c r="J1647" s="7">
        <v>0</v>
      </c>
      <c r="K1647">
        <f t="shared" si="25"/>
        <v>61</v>
      </c>
      <c r="L1647" s="8" t="str" cm="1">
        <f t="array" ref="L1647">_xlfn.IFS(
 AND(K1647&gt;=89,K1647&lt;=92),"3개월",
 AND(K1647&gt;=58,K1647&lt;=62),"2개월",
 AND(K1647&gt;=28,K1647&lt;=32),"1개월",
 AND(K1647=0),"당월",
 TRUE,"그외"
)</f>
        <v>2개월</v>
      </c>
    </row>
    <row r="1648" spans="1:12" ht="17.649999999999999" customHeight="1" x14ac:dyDescent="0.3">
      <c r="A1648" s="5">
        <v>46174</v>
      </c>
      <c r="B1648" s="6" t="s">
        <v>60</v>
      </c>
      <c r="C1648" s="6" t="s">
        <v>74</v>
      </c>
      <c r="D1648" s="5">
        <v>46113</v>
      </c>
      <c r="E1648" s="6" t="s">
        <v>15</v>
      </c>
      <c r="F1648" s="7">
        <v>451</v>
      </c>
      <c r="G1648" s="7">
        <v>179737.33702882481</v>
      </c>
      <c r="H1648" s="7">
        <v>81061539</v>
      </c>
      <c r="I1648" s="7">
        <v>27187371</v>
      </c>
      <c r="J1648" s="7">
        <v>0</v>
      </c>
      <c r="K1648">
        <f t="shared" si="25"/>
        <v>61</v>
      </c>
      <c r="L1648" s="8" t="str" cm="1">
        <f t="array" ref="L1648">_xlfn.IFS(
 AND(K1648&gt;=89,K1648&lt;=92),"3개월",
 AND(K1648&gt;=58,K1648&lt;=62),"2개월",
 AND(K1648&gt;=28,K1648&lt;=32),"1개월",
 AND(K1648=0),"당월",
 TRUE,"그외"
)</f>
        <v>2개월</v>
      </c>
    </row>
    <row r="1649" spans="1:12" ht="17.649999999999999" customHeight="1" x14ac:dyDescent="0.3">
      <c r="A1649" s="5">
        <v>46174</v>
      </c>
      <c r="B1649" s="6" t="s">
        <v>60</v>
      </c>
      <c r="C1649" s="6" t="s">
        <v>74</v>
      </c>
      <c r="D1649" s="5">
        <v>46143</v>
      </c>
      <c r="E1649" s="6" t="s">
        <v>15</v>
      </c>
      <c r="F1649" s="7">
        <v>52</v>
      </c>
      <c r="G1649" s="7">
        <v>200025.75</v>
      </c>
      <c r="H1649" s="7">
        <v>10401339</v>
      </c>
      <c r="I1649" s="7">
        <v>4469626</v>
      </c>
      <c r="J1649" s="7">
        <v>0</v>
      </c>
      <c r="K1649">
        <f t="shared" si="25"/>
        <v>31</v>
      </c>
      <c r="L1649" s="8" t="str" cm="1">
        <f t="array" ref="L1649">_xlfn.IFS(
 AND(K1649&gt;=89,K1649&lt;=92),"3개월",
 AND(K1649&gt;=58,K1649&lt;=62),"2개월",
 AND(K1649&gt;=28,K1649&lt;=32),"1개월",
 AND(K1649=0),"당월",
 TRUE,"그외"
)</f>
        <v>1개월</v>
      </c>
    </row>
    <row r="1650" spans="1:12" ht="17.649999999999999" customHeight="1" x14ac:dyDescent="0.3">
      <c r="A1650" s="5">
        <v>46174</v>
      </c>
      <c r="B1650" s="6" t="s">
        <v>75</v>
      </c>
      <c r="C1650" s="6" t="s">
        <v>80</v>
      </c>
      <c r="D1650" s="5">
        <v>45931</v>
      </c>
      <c r="E1650" s="6" t="s">
        <v>15</v>
      </c>
      <c r="F1650" s="7">
        <v>41</v>
      </c>
      <c r="G1650" s="7">
        <v>311162.60975609749</v>
      </c>
      <c r="H1650" s="7">
        <v>12757667</v>
      </c>
      <c r="I1650" s="7">
        <v>1408000</v>
      </c>
      <c r="J1650" s="7">
        <v>0</v>
      </c>
      <c r="K1650">
        <f t="shared" si="25"/>
        <v>243</v>
      </c>
      <c r="L1650" s="8" t="str" cm="1">
        <f t="array" ref="L1650">_xlfn.IFS(
 AND(K1650&gt;=89,K1650&lt;=92),"3개월",
 AND(K1650&gt;=58,K1650&lt;=62),"2개월",
 AND(K1650&gt;=28,K1650&lt;=32),"1개월",
 AND(K1650=0),"당월",
 TRUE,"그외"
)</f>
        <v>그외</v>
      </c>
    </row>
    <row r="1651" spans="1:12" ht="17.649999999999999" customHeight="1" x14ac:dyDescent="0.3">
      <c r="A1651" s="5">
        <v>46174</v>
      </c>
      <c r="B1651" s="6" t="s">
        <v>75</v>
      </c>
      <c r="C1651" s="6" t="s">
        <v>80</v>
      </c>
      <c r="D1651" s="5">
        <v>45962</v>
      </c>
      <c r="E1651" s="6" t="s">
        <v>15</v>
      </c>
      <c r="F1651" s="7">
        <v>78</v>
      </c>
      <c r="G1651" s="7">
        <v>311682.60256410262</v>
      </c>
      <c r="H1651" s="7">
        <v>24311243</v>
      </c>
      <c r="I1651" s="7">
        <v>1929618</v>
      </c>
      <c r="J1651" s="7">
        <v>0</v>
      </c>
      <c r="K1651">
        <f t="shared" si="25"/>
        <v>212</v>
      </c>
      <c r="L1651" s="8" t="str" cm="1">
        <f t="array" ref="L1651">_xlfn.IFS(
 AND(K1651&gt;=89,K1651&lt;=92),"3개월",
 AND(K1651&gt;=58,K1651&lt;=62),"2개월",
 AND(K1651&gt;=28,K1651&lt;=32),"1개월",
 AND(K1651=0),"당월",
 TRUE,"그외"
)</f>
        <v>그외</v>
      </c>
    </row>
    <row r="1652" spans="1:12" ht="17.649999999999999" customHeight="1" x14ac:dyDescent="0.3">
      <c r="A1652" s="5">
        <v>46174</v>
      </c>
      <c r="B1652" s="6" t="s">
        <v>75</v>
      </c>
      <c r="C1652" s="6" t="s">
        <v>80</v>
      </c>
      <c r="D1652" s="5">
        <v>45992</v>
      </c>
      <c r="E1652" s="6" t="s">
        <v>15</v>
      </c>
      <c r="F1652" s="7">
        <v>84</v>
      </c>
      <c r="G1652" s="7">
        <v>363896.73809523811</v>
      </c>
      <c r="H1652" s="7">
        <v>30567326</v>
      </c>
      <c r="I1652" s="7">
        <v>3055576</v>
      </c>
      <c r="J1652" s="7">
        <v>0</v>
      </c>
      <c r="K1652">
        <f t="shared" si="25"/>
        <v>182</v>
      </c>
      <c r="L1652" s="8" t="str" cm="1">
        <f t="array" ref="L1652">_xlfn.IFS(
 AND(K1652&gt;=89,K1652&lt;=92),"3개월",
 AND(K1652&gt;=58,K1652&lt;=62),"2개월",
 AND(K1652&gt;=28,K1652&lt;=32),"1개월",
 AND(K1652=0),"당월",
 TRUE,"그외"
)</f>
        <v>그외</v>
      </c>
    </row>
    <row r="1653" spans="1:12" ht="17.649999999999999" customHeight="1" x14ac:dyDescent="0.3">
      <c r="A1653" s="5">
        <v>46174</v>
      </c>
      <c r="B1653" s="6" t="s">
        <v>75</v>
      </c>
      <c r="C1653" s="6" t="s">
        <v>80</v>
      </c>
      <c r="D1653" s="5">
        <v>46023</v>
      </c>
      <c r="E1653" s="6" t="s">
        <v>15</v>
      </c>
      <c r="F1653" s="7">
        <v>209</v>
      </c>
      <c r="G1653" s="7">
        <v>330680.88516746409</v>
      </c>
      <c r="H1653" s="7">
        <v>69112305</v>
      </c>
      <c r="I1653" s="7">
        <v>5912369</v>
      </c>
      <c r="J1653" s="7">
        <v>0</v>
      </c>
      <c r="K1653">
        <f t="shared" si="25"/>
        <v>151</v>
      </c>
      <c r="L1653" s="8" t="str" cm="1">
        <f t="array" ref="L1653">_xlfn.IFS(
 AND(K1653&gt;=89,K1653&lt;=92),"3개월",
 AND(K1653&gt;=58,K1653&lt;=62),"2개월",
 AND(K1653&gt;=28,K1653&lt;=32),"1개월",
 AND(K1653=0),"당월",
 TRUE,"그외"
)</f>
        <v>그외</v>
      </c>
    </row>
    <row r="1654" spans="1:12" ht="17.649999999999999" customHeight="1" x14ac:dyDescent="0.3">
      <c r="A1654" s="5">
        <v>46174</v>
      </c>
      <c r="B1654" s="6" t="s">
        <v>75</v>
      </c>
      <c r="C1654" s="6" t="s">
        <v>80</v>
      </c>
      <c r="D1654" s="5">
        <v>46054</v>
      </c>
      <c r="E1654" s="6" t="s">
        <v>15</v>
      </c>
      <c r="F1654" s="7">
        <v>336</v>
      </c>
      <c r="G1654" s="7">
        <v>364822.88690476189</v>
      </c>
      <c r="H1654" s="7">
        <v>122580490</v>
      </c>
      <c r="I1654" s="7">
        <v>7253512</v>
      </c>
      <c r="J1654" s="7">
        <v>0</v>
      </c>
      <c r="K1654">
        <f t="shared" si="25"/>
        <v>120</v>
      </c>
      <c r="L1654" s="8" t="str" cm="1">
        <f t="array" ref="L1654">_xlfn.IFS(
 AND(K1654&gt;=89,K1654&lt;=92),"3개월",
 AND(K1654&gt;=58,K1654&lt;=62),"2개월",
 AND(K1654&gt;=28,K1654&lt;=32),"1개월",
 AND(K1654=0),"당월",
 TRUE,"그외"
)</f>
        <v>그외</v>
      </c>
    </row>
    <row r="1655" spans="1:12" ht="17.649999999999999" customHeight="1" x14ac:dyDescent="0.3">
      <c r="A1655" s="5">
        <v>46174</v>
      </c>
      <c r="B1655" s="6" t="s">
        <v>75</v>
      </c>
      <c r="C1655" s="6" t="s">
        <v>80</v>
      </c>
      <c r="D1655" s="5">
        <v>46082</v>
      </c>
      <c r="E1655" s="6" t="s">
        <v>14</v>
      </c>
      <c r="F1655" s="7">
        <v>956</v>
      </c>
      <c r="G1655" s="7">
        <v>305510.04184100422</v>
      </c>
      <c r="H1655" s="7">
        <v>292067600</v>
      </c>
      <c r="I1655" s="7">
        <v>64625600</v>
      </c>
      <c r="J1655" s="7">
        <v>0</v>
      </c>
      <c r="K1655">
        <f t="shared" si="25"/>
        <v>92</v>
      </c>
      <c r="L1655" s="8" t="str" cm="1">
        <f t="array" ref="L1655">_xlfn.IFS(
 AND(K1655&gt;=89,K1655&lt;=92),"3개월",
 AND(K1655&gt;=58,K1655&lt;=62),"2개월",
 AND(K1655&gt;=28,K1655&lt;=32),"1개월",
 AND(K1655=0),"당월",
 TRUE,"그외"
)</f>
        <v>3개월</v>
      </c>
    </row>
    <row r="1656" spans="1:12" ht="17.649999999999999" customHeight="1" x14ac:dyDescent="0.3">
      <c r="A1656" s="5">
        <v>46174</v>
      </c>
      <c r="B1656" s="6" t="s">
        <v>75</v>
      </c>
      <c r="C1656" s="6" t="s">
        <v>80</v>
      </c>
      <c r="D1656" s="5">
        <v>46082</v>
      </c>
      <c r="E1656" s="6" t="s">
        <v>15</v>
      </c>
      <c r="F1656" s="7">
        <v>1096</v>
      </c>
      <c r="G1656" s="7">
        <v>423341.25729927007</v>
      </c>
      <c r="H1656" s="7">
        <v>463982018</v>
      </c>
      <c r="I1656" s="7">
        <v>34755443</v>
      </c>
      <c r="J1656" s="7">
        <v>0</v>
      </c>
      <c r="K1656">
        <f t="shared" si="25"/>
        <v>92</v>
      </c>
      <c r="L1656" s="8" t="str" cm="1">
        <f t="array" ref="L1656">_xlfn.IFS(
 AND(K1656&gt;=89,K1656&lt;=92),"3개월",
 AND(K1656&gt;=58,K1656&lt;=62),"2개월",
 AND(K1656&gt;=28,K1656&lt;=32),"1개월",
 AND(K1656=0),"당월",
 TRUE,"그외"
)</f>
        <v>3개월</v>
      </c>
    </row>
    <row r="1657" spans="1:12" ht="17.649999999999999" customHeight="1" x14ac:dyDescent="0.3">
      <c r="A1657" s="5">
        <v>46174</v>
      </c>
      <c r="B1657" s="6" t="s">
        <v>75</v>
      </c>
      <c r="C1657" s="6" t="s">
        <v>80</v>
      </c>
      <c r="D1657" s="5">
        <v>46113</v>
      </c>
      <c r="E1657" s="6" t="s">
        <v>14</v>
      </c>
      <c r="F1657" s="7">
        <v>270</v>
      </c>
      <c r="G1657" s="7">
        <v>370947.40740740742</v>
      </c>
      <c r="H1657" s="7">
        <v>100155800</v>
      </c>
      <c r="I1657" s="7">
        <v>54241800</v>
      </c>
      <c r="J1657" s="7">
        <v>0</v>
      </c>
      <c r="K1657">
        <f t="shared" si="25"/>
        <v>61</v>
      </c>
      <c r="L1657" s="8" t="str" cm="1">
        <f t="array" ref="L1657">_xlfn.IFS(
 AND(K1657&gt;=89,K1657&lt;=92),"3개월",
 AND(K1657&gt;=58,K1657&lt;=62),"2개월",
 AND(K1657&gt;=28,K1657&lt;=32),"1개월",
 AND(K1657=0),"당월",
 TRUE,"그외"
)</f>
        <v>2개월</v>
      </c>
    </row>
    <row r="1658" spans="1:12" ht="17.649999999999999" customHeight="1" x14ac:dyDescent="0.3">
      <c r="A1658" s="5">
        <v>46174</v>
      </c>
      <c r="B1658" s="6" t="s">
        <v>75</v>
      </c>
      <c r="C1658" s="6" t="s">
        <v>80</v>
      </c>
      <c r="D1658" s="5">
        <v>46113</v>
      </c>
      <c r="E1658" s="6" t="s">
        <v>15</v>
      </c>
      <c r="F1658" s="7">
        <v>801</v>
      </c>
      <c r="G1658" s="7">
        <v>483900.33083645441</v>
      </c>
      <c r="H1658" s="7">
        <v>387604165</v>
      </c>
      <c r="I1658" s="7">
        <v>31010601</v>
      </c>
      <c r="J1658" s="7">
        <v>0</v>
      </c>
      <c r="K1658">
        <f t="shared" si="25"/>
        <v>61</v>
      </c>
      <c r="L1658" s="8" t="str" cm="1">
        <f t="array" ref="L1658">_xlfn.IFS(
 AND(K1658&gt;=89,K1658&lt;=92),"3개월",
 AND(K1658&gt;=58,K1658&lt;=62),"2개월",
 AND(K1658&gt;=28,K1658&lt;=32),"1개월",
 AND(K1658=0),"당월",
 TRUE,"그외"
)</f>
        <v>2개월</v>
      </c>
    </row>
    <row r="1659" spans="1:12" ht="17.649999999999999" customHeight="1" x14ac:dyDescent="0.3">
      <c r="A1659" s="5">
        <v>46174</v>
      </c>
      <c r="B1659" s="6" t="s">
        <v>75</v>
      </c>
      <c r="C1659" s="6" t="s">
        <v>80</v>
      </c>
      <c r="D1659" s="5">
        <v>46143</v>
      </c>
      <c r="E1659" s="6" t="s">
        <v>14</v>
      </c>
      <c r="F1659" s="7">
        <v>2</v>
      </c>
      <c r="G1659" s="7">
        <v>504900</v>
      </c>
      <c r="H1659" s="7">
        <v>1009800</v>
      </c>
      <c r="I1659" s="7">
        <v>427800</v>
      </c>
      <c r="J1659" s="7">
        <v>0</v>
      </c>
      <c r="K1659">
        <f t="shared" si="25"/>
        <v>31</v>
      </c>
      <c r="L1659" s="8" t="str" cm="1">
        <f t="array" ref="L1659">_xlfn.IFS(
 AND(K1659&gt;=89,K1659&lt;=92),"3개월",
 AND(K1659&gt;=58,K1659&lt;=62),"2개월",
 AND(K1659&gt;=28,K1659&lt;=32),"1개월",
 AND(K1659=0),"당월",
 TRUE,"그외"
)</f>
        <v>1개월</v>
      </c>
    </row>
    <row r="1660" spans="1:12" ht="17.649999999999999" customHeight="1" x14ac:dyDescent="0.3">
      <c r="A1660" s="5">
        <v>46174</v>
      </c>
      <c r="B1660" s="6" t="s">
        <v>75</v>
      </c>
      <c r="C1660" s="6" t="s">
        <v>80</v>
      </c>
      <c r="D1660" s="5">
        <v>46143</v>
      </c>
      <c r="E1660" s="6" t="s">
        <v>15</v>
      </c>
      <c r="F1660" s="7">
        <v>215</v>
      </c>
      <c r="G1660" s="7">
        <v>328455.51162790699</v>
      </c>
      <c r="H1660" s="7">
        <v>70617935</v>
      </c>
      <c r="I1660" s="7">
        <v>3346384</v>
      </c>
      <c r="J1660" s="7">
        <v>0</v>
      </c>
      <c r="K1660">
        <f t="shared" si="25"/>
        <v>31</v>
      </c>
      <c r="L1660" s="8" t="str" cm="1">
        <f t="array" ref="L1660">_xlfn.IFS(
 AND(K1660&gt;=89,K1660&lt;=92),"3개월",
 AND(K1660&gt;=58,K1660&lt;=62),"2개월",
 AND(K1660&gt;=28,K1660&lt;=32),"1개월",
 AND(K1660=0),"당월",
 TRUE,"그외"
)</f>
        <v>1개월</v>
      </c>
    </row>
    <row r="1661" spans="1:12" ht="17.649999999999999" customHeight="1" x14ac:dyDescent="0.3">
      <c r="A1661" s="5">
        <v>46174</v>
      </c>
      <c r="B1661" s="6" t="s">
        <v>81</v>
      </c>
      <c r="C1661" s="6" t="s">
        <v>96</v>
      </c>
      <c r="D1661" s="5">
        <v>45931</v>
      </c>
      <c r="E1661" s="6" t="s">
        <v>15</v>
      </c>
      <c r="F1661" s="7">
        <v>32</v>
      </c>
      <c r="G1661" s="7">
        <v>152910.5</v>
      </c>
      <c r="H1661" s="7">
        <v>4893136</v>
      </c>
      <c r="I1661" s="7">
        <v>668800</v>
      </c>
      <c r="J1661" s="7">
        <v>0</v>
      </c>
      <c r="K1661">
        <f t="shared" si="25"/>
        <v>243</v>
      </c>
      <c r="L1661" s="8" t="str" cm="1">
        <f t="array" ref="L1661">_xlfn.IFS(
 AND(K1661&gt;=89,K1661&lt;=92),"3개월",
 AND(K1661&gt;=58,K1661&lt;=62),"2개월",
 AND(K1661&gt;=28,K1661&lt;=32),"1개월",
 AND(K1661=0),"당월",
 TRUE,"그외"
)</f>
        <v>그외</v>
      </c>
    </row>
    <row r="1662" spans="1:12" ht="17.649999999999999" customHeight="1" x14ac:dyDescent="0.3">
      <c r="A1662" s="5">
        <v>46174</v>
      </c>
      <c r="B1662" s="6" t="s">
        <v>81</v>
      </c>
      <c r="C1662" s="6" t="s">
        <v>96</v>
      </c>
      <c r="D1662" s="5">
        <v>45962</v>
      </c>
      <c r="E1662" s="6" t="s">
        <v>15</v>
      </c>
      <c r="F1662" s="7">
        <v>185</v>
      </c>
      <c r="G1662" s="7">
        <v>155253.95135135131</v>
      </c>
      <c r="H1662" s="7">
        <v>28721981</v>
      </c>
      <c r="I1662" s="7">
        <v>4016370</v>
      </c>
      <c r="J1662" s="7">
        <v>0</v>
      </c>
      <c r="K1662">
        <f t="shared" si="25"/>
        <v>212</v>
      </c>
      <c r="L1662" s="8" t="str" cm="1">
        <f t="array" ref="L1662">_xlfn.IFS(
 AND(K1662&gt;=89,K1662&lt;=92),"3개월",
 AND(K1662&gt;=58,K1662&lt;=62),"2개월",
 AND(K1662&gt;=28,K1662&lt;=32),"1개월",
 AND(K1662=0),"당월",
 TRUE,"그외"
)</f>
        <v>그외</v>
      </c>
    </row>
    <row r="1663" spans="1:12" ht="17.649999999999999" customHeight="1" x14ac:dyDescent="0.3">
      <c r="A1663" s="5">
        <v>46174</v>
      </c>
      <c r="B1663" s="6" t="s">
        <v>81</v>
      </c>
      <c r="C1663" s="6" t="s">
        <v>96</v>
      </c>
      <c r="D1663" s="5">
        <v>45992</v>
      </c>
      <c r="E1663" s="6" t="s">
        <v>15</v>
      </c>
      <c r="F1663" s="7">
        <v>424</v>
      </c>
      <c r="G1663" s="7">
        <v>179931.40566037729</v>
      </c>
      <c r="H1663" s="7">
        <v>76290916</v>
      </c>
      <c r="I1663" s="7">
        <v>10638628</v>
      </c>
      <c r="J1663" s="7">
        <v>0</v>
      </c>
      <c r="K1663">
        <f t="shared" si="25"/>
        <v>182</v>
      </c>
      <c r="L1663" s="8" t="str" cm="1">
        <f t="array" ref="L1663">_xlfn.IFS(
 AND(K1663&gt;=89,K1663&lt;=92),"3개월",
 AND(K1663&gt;=58,K1663&lt;=62),"2개월",
 AND(K1663&gt;=28,K1663&lt;=32),"1개월",
 AND(K1663=0),"당월",
 TRUE,"그외"
)</f>
        <v>그외</v>
      </c>
    </row>
    <row r="1664" spans="1:12" ht="17.649999999999999" customHeight="1" x14ac:dyDescent="0.3">
      <c r="A1664" s="5">
        <v>46174</v>
      </c>
      <c r="B1664" s="6" t="s">
        <v>81</v>
      </c>
      <c r="C1664" s="6" t="s">
        <v>96</v>
      </c>
      <c r="D1664" s="5">
        <v>46023</v>
      </c>
      <c r="E1664" s="6" t="s">
        <v>15</v>
      </c>
      <c r="F1664" s="7">
        <v>953</v>
      </c>
      <c r="G1664" s="7">
        <v>192171.84575026229</v>
      </c>
      <c r="H1664" s="7">
        <v>183139769</v>
      </c>
      <c r="I1664" s="7">
        <v>24253361</v>
      </c>
      <c r="J1664" s="7">
        <v>0</v>
      </c>
      <c r="K1664">
        <f t="shared" si="25"/>
        <v>151</v>
      </c>
      <c r="L1664" s="8" t="str" cm="1">
        <f t="array" ref="L1664">_xlfn.IFS(
 AND(K1664&gt;=89,K1664&lt;=92),"3개월",
 AND(K1664&gt;=58,K1664&lt;=62),"2개월",
 AND(K1664&gt;=28,K1664&lt;=32),"1개월",
 AND(K1664=0),"당월",
 TRUE,"그외"
)</f>
        <v>그외</v>
      </c>
    </row>
    <row r="1665" spans="1:12" ht="17.649999999999999" customHeight="1" x14ac:dyDescent="0.3">
      <c r="A1665" s="5">
        <v>46174</v>
      </c>
      <c r="B1665" s="6" t="s">
        <v>81</v>
      </c>
      <c r="C1665" s="6" t="s">
        <v>96</v>
      </c>
      <c r="D1665" s="5">
        <v>46054</v>
      </c>
      <c r="E1665" s="6" t="s">
        <v>14</v>
      </c>
      <c r="F1665" s="7">
        <v>394</v>
      </c>
      <c r="G1665" s="7">
        <v>226681.21827411171</v>
      </c>
      <c r="H1665" s="7">
        <v>89312400</v>
      </c>
      <c r="I1665" s="7">
        <v>6934400</v>
      </c>
      <c r="J1665" s="7">
        <v>0</v>
      </c>
      <c r="K1665">
        <f t="shared" si="25"/>
        <v>120</v>
      </c>
      <c r="L1665" s="8" t="str" cm="1">
        <f t="array" ref="L1665">_xlfn.IFS(
 AND(K1665&gt;=89,K1665&lt;=92),"3개월",
 AND(K1665&gt;=58,K1665&lt;=62),"2개월",
 AND(K1665&gt;=28,K1665&lt;=32),"1개월",
 AND(K1665=0),"당월",
 TRUE,"그외"
)</f>
        <v>그외</v>
      </c>
    </row>
    <row r="1666" spans="1:12" ht="17.649999999999999" customHeight="1" x14ac:dyDescent="0.3">
      <c r="A1666" s="5">
        <v>46174</v>
      </c>
      <c r="B1666" s="6" t="s">
        <v>81</v>
      </c>
      <c r="C1666" s="6" t="s">
        <v>96</v>
      </c>
      <c r="D1666" s="5">
        <v>46054</v>
      </c>
      <c r="E1666" s="6" t="s">
        <v>15</v>
      </c>
      <c r="F1666" s="7">
        <v>531</v>
      </c>
      <c r="G1666" s="7">
        <v>207180.56873822969</v>
      </c>
      <c r="H1666" s="7">
        <v>110012882</v>
      </c>
      <c r="I1666" s="7">
        <v>9993947</v>
      </c>
      <c r="J1666" s="7">
        <v>0</v>
      </c>
      <c r="K1666">
        <f t="shared" si="25"/>
        <v>120</v>
      </c>
      <c r="L1666" s="8" t="str" cm="1">
        <f t="array" ref="L1666">_xlfn.IFS(
 AND(K1666&gt;=89,K1666&lt;=92),"3개월",
 AND(K1666&gt;=58,K1666&lt;=62),"2개월",
 AND(K1666&gt;=28,K1666&lt;=32),"1개월",
 AND(K1666=0),"당월",
 TRUE,"그외"
)</f>
        <v>그외</v>
      </c>
    </row>
    <row r="1667" spans="1:12" ht="17.649999999999999" customHeight="1" x14ac:dyDescent="0.3">
      <c r="A1667" s="5">
        <v>46174</v>
      </c>
      <c r="B1667" s="6" t="s">
        <v>81</v>
      </c>
      <c r="C1667" s="6" t="s">
        <v>96</v>
      </c>
      <c r="D1667" s="5">
        <v>46082</v>
      </c>
      <c r="E1667" s="6" t="s">
        <v>14</v>
      </c>
      <c r="F1667" s="7">
        <v>1559</v>
      </c>
      <c r="G1667" s="7">
        <v>218787.04297626691</v>
      </c>
      <c r="H1667" s="7">
        <v>341089000</v>
      </c>
      <c r="I1667" s="7">
        <v>34298000</v>
      </c>
      <c r="J1667" s="7">
        <v>0</v>
      </c>
      <c r="K1667">
        <f t="shared" si="25"/>
        <v>92</v>
      </c>
      <c r="L1667" s="8" t="str" cm="1">
        <f t="array" ref="L1667">_xlfn.IFS(
 AND(K1667&gt;=89,K1667&lt;=92),"3개월",
 AND(K1667&gt;=58,K1667&lt;=62),"2개월",
 AND(K1667&gt;=28,K1667&lt;=32),"1개월",
 AND(K1667=0),"당월",
 TRUE,"그외"
)</f>
        <v>3개월</v>
      </c>
    </row>
    <row r="1668" spans="1:12" ht="17.649999999999999" customHeight="1" x14ac:dyDescent="0.3">
      <c r="A1668" s="5">
        <v>46174</v>
      </c>
      <c r="B1668" s="6" t="s">
        <v>81</v>
      </c>
      <c r="C1668" s="6" t="s">
        <v>96</v>
      </c>
      <c r="D1668" s="5">
        <v>46082</v>
      </c>
      <c r="E1668" s="6" t="s">
        <v>15</v>
      </c>
      <c r="F1668" s="7">
        <v>711</v>
      </c>
      <c r="G1668" s="7">
        <v>237612.1575246132</v>
      </c>
      <c r="H1668" s="7">
        <v>168942244</v>
      </c>
      <c r="I1668" s="7">
        <v>17214899</v>
      </c>
      <c r="J1668" s="7">
        <v>0</v>
      </c>
      <c r="K1668">
        <f t="shared" si="25"/>
        <v>92</v>
      </c>
      <c r="L1668" s="8" t="str" cm="1">
        <f t="array" ref="L1668">_xlfn.IFS(
 AND(K1668&gt;=89,K1668&lt;=92),"3개월",
 AND(K1668&gt;=58,K1668&lt;=62),"2개월",
 AND(K1668&gt;=28,K1668&lt;=32),"1개월",
 AND(K1668=0),"당월",
 TRUE,"그외"
)</f>
        <v>3개월</v>
      </c>
    </row>
    <row r="1669" spans="1:12" ht="17.649999999999999" customHeight="1" x14ac:dyDescent="0.3">
      <c r="A1669" s="5">
        <v>46174</v>
      </c>
      <c r="B1669" s="6" t="s">
        <v>81</v>
      </c>
      <c r="C1669" s="6" t="s">
        <v>96</v>
      </c>
      <c r="D1669" s="5">
        <v>46113</v>
      </c>
      <c r="E1669" s="6" t="s">
        <v>14</v>
      </c>
      <c r="F1669" s="7">
        <v>725</v>
      </c>
      <c r="G1669" s="7">
        <v>275171.86206896551</v>
      </c>
      <c r="H1669" s="7">
        <v>199499600</v>
      </c>
      <c r="I1669" s="7">
        <v>48094600</v>
      </c>
      <c r="J1669" s="7">
        <v>0</v>
      </c>
      <c r="K1669">
        <f t="shared" si="25"/>
        <v>61</v>
      </c>
      <c r="L1669" s="8" t="str" cm="1">
        <f t="array" ref="L1669">_xlfn.IFS(
 AND(K1669&gt;=89,K1669&lt;=92),"3개월",
 AND(K1669&gt;=58,K1669&lt;=62),"2개월",
 AND(K1669&gt;=28,K1669&lt;=32),"1개월",
 AND(K1669=0),"당월",
 TRUE,"그외"
)</f>
        <v>2개월</v>
      </c>
    </row>
    <row r="1670" spans="1:12" ht="17.649999999999999" customHeight="1" x14ac:dyDescent="0.3">
      <c r="A1670" s="5">
        <v>46174</v>
      </c>
      <c r="B1670" s="6" t="s">
        <v>81</v>
      </c>
      <c r="C1670" s="6" t="s">
        <v>96</v>
      </c>
      <c r="D1670" s="5">
        <v>46113</v>
      </c>
      <c r="E1670" s="6" t="s">
        <v>15</v>
      </c>
      <c r="F1670" s="7">
        <v>645</v>
      </c>
      <c r="G1670" s="7">
        <v>262584.46666666667</v>
      </c>
      <c r="H1670" s="7">
        <v>169366981</v>
      </c>
      <c r="I1670" s="7">
        <v>35061808</v>
      </c>
      <c r="J1670" s="7">
        <v>0</v>
      </c>
      <c r="K1670">
        <f t="shared" si="25"/>
        <v>61</v>
      </c>
      <c r="L1670" s="8" t="str" cm="1">
        <f t="array" ref="L1670">_xlfn.IFS(
 AND(K1670&gt;=89,K1670&lt;=92),"3개월",
 AND(K1670&gt;=58,K1670&lt;=62),"2개월",
 AND(K1670&gt;=28,K1670&lt;=32),"1개월",
 AND(K1670=0),"당월",
 TRUE,"그외"
)</f>
        <v>2개월</v>
      </c>
    </row>
    <row r="1671" spans="1:12" ht="17.649999999999999" customHeight="1" x14ac:dyDescent="0.3">
      <c r="A1671" s="5">
        <v>46174</v>
      </c>
      <c r="B1671" s="6" t="s">
        <v>81</v>
      </c>
      <c r="C1671" s="6" t="s">
        <v>96</v>
      </c>
      <c r="D1671" s="5">
        <v>46143</v>
      </c>
      <c r="E1671" s="6" t="s">
        <v>15</v>
      </c>
      <c r="F1671" s="7">
        <v>47</v>
      </c>
      <c r="G1671" s="7">
        <v>301644.19148936169</v>
      </c>
      <c r="H1671" s="7">
        <v>14177277</v>
      </c>
      <c r="I1671" s="7">
        <v>4399614</v>
      </c>
      <c r="J1671" s="7">
        <v>0</v>
      </c>
      <c r="K1671">
        <f t="shared" si="25"/>
        <v>31</v>
      </c>
      <c r="L1671" s="8" t="str" cm="1">
        <f t="array" ref="L1671">_xlfn.IFS(
 AND(K1671&gt;=89,K1671&lt;=92),"3개월",
 AND(K1671&gt;=58,K1671&lt;=62),"2개월",
 AND(K1671&gt;=28,K1671&lt;=32),"1개월",
 AND(K1671=0),"당월",
 TRUE,"그외"
)</f>
        <v>1개월</v>
      </c>
    </row>
    <row r="1672" spans="1:12" ht="17.649999999999999" customHeight="1" x14ac:dyDescent="0.3">
      <c r="A1672" s="5">
        <v>46174</v>
      </c>
      <c r="B1672" s="6" t="s">
        <v>81</v>
      </c>
      <c r="C1672" s="6" t="s">
        <v>82</v>
      </c>
      <c r="D1672" s="5">
        <v>45962</v>
      </c>
      <c r="E1672" s="6" t="s">
        <v>15</v>
      </c>
      <c r="F1672" s="7">
        <v>9</v>
      </c>
      <c r="G1672" s="7">
        <v>141100</v>
      </c>
      <c r="H1672" s="7">
        <v>1269900</v>
      </c>
      <c r="I1672" s="7">
        <v>189900</v>
      </c>
      <c r="J1672" s="7">
        <v>0</v>
      </c>
      <c r="K1672">
        <f t="shared" si="25"/>
        <v>212</v>
      </c>
      <c r="L1672" s="8" t="str" cm="1">
        <f t="array" ref="L1672">_xlfn.IFS(
 AND(K1672&gt;=89,K1672&lt;=92),"3개월",
 AND(K1672&gt;=58,K1672&lt;=62),"2개월",
 AND(K1672&gt;=28,K1672&lt;=32),"1개월",
 AND(K1672=0),"당월",
 TRUE,"그외"
)</f>
        <v>그외</v>
      </c>
    </row>
    <row r="1673" spans="1:12" ht="17.649999999999999" customHeight="1" x14ac:dyDescent="0.3">
      <c r="A1673" s="5">
        <v>46174</v>
      </c>
      <c r="B1673" s="6" t="s">
        <v>81</v>
      </c>
      <c r="C1673" s="6" t="s">
        <v>82</v>
      </c>
      <c r="D1673" s="5">
        <v>45992</v>
      </c>
      <c r="E1673" s="6" t="s">
        <v>15</v>
      </c>
      <c r="F1673" s="7">
        <v>7</v>
      </c>
      <c r="G1673" s="7">
        <v>161974.42857142861</v>
      </c>
      <c r="H1673" s="7">
        <v>1133821</v>
      </c>
      <c r="I1673" s="7">
        <v>249408</v>
      </c>
      <c r="J1673" s="7">
        <v>0</v>
      </c>
      <c r="K1673">
        <f t="shared" si="25"/>
        <v>182</v>
      </c>
      <c r="L1673" s="8" t="str" cm="1">
        <f t="array" ref="L1673">_xlfn.IFS(
 AND(K1673&gt;=89,K1673&lt;=92),"3개월",
 AND(K1673&gt;=58,K1673&lt;=62),"2개월",
 AND(K1673&gt;=28,K1673&lt;=32),"1개월",
 AND(K1673=0),"당월",
 TRUE,"그외"
)</f>
        <v>그외</v>
      </c>
    </row>
    <row r="1674" spans="1:12" ht="17.649999999999999" customHeight="1" x14ac:dyDescent="0.3">
      <c r="A1674" s="5">
        <v>46174</v>
      </c>
      <c r="B1674" s="6" t="s">
        <v>81</v>
      </c>
      <c r="C1674" s="6" t="s">
        <v>82</v>
      </c>
      <c r="D1674" s="5">
        <v>46023</v>
      </c>
      <c r="E1674" s="6" t="s">
        <v>15</v>
      </c>
      <c r="F1674" s="7">
        <v>59</v>
      </c>
      <c r="G1674" s="7">
        <v>171702.35593220341</v>
      </c>
      <c r="H1674" s="7">
        <v>10130439</v>
      </c>
      <c r="I1674" s="7">
        <v>1682517</v>
      </c>
      <c r="J1674" s="7">
        <v>0</v>
      </c>
      <c r="K1674">
        <f t="shared" ref="K1674:K1737" si="26">A1674-D1674</f>
        <v>151</v>
      </c>
      <c r="L1674" s="8" t="str" cm="1">
        <f t="array" ref="L1674">_xlfn.IFS(
 AND(K1674&gt;=89,K1674&lt;=92),"3개월",
 AND(K1674&gt;=58,K1674&lt;=62),"2개월",
 AND(K1674&gt;=28,K1674&lt;=32),"1개월",
 AND(K1674=0),"당월",
 TRUE,"그외"
)</f>
        <v>그외</v>
      </c>
    </row>
    <row r="1675" spans="1:12" ht="17.649999999999999" customHeight="1" x14ac:dyDescent="0.3">
      <c r="A1675" s="5">
        <v>46174</v>
      </c>
      <c r="B1675" s="6" t="s">
        <v>81</v>
      </c>
      <c r="C1675" s="6" t="s">
        <v>82</v>
      </c>
      <c r="D1675" s="5">
        <v>46054</v>
      </c>
      <c r="E1675" s="6" t="s">
        <v>14</v>
      </c>
      <c r="F1675" s="7">
        <v>18</v>
      </c>
      <c r="G1675" s="7">
        <v>207600</v>
      </c>
      <c r="H1675" s="7">
        <v>3736800</v>
      </c>
      <c r="I1675" s="7">
        <v>316800</v>
      </c>
      <c r="J1675" s="7">
        <v>0</v>
      </c>
      <c r="K1675">
        <f t="shared" si="26"/>
        <v>120</v>
      </c>
      <c r="L1675" s="8" t="str" cm="1">
        <f t="array" ref="L1675">_xlfn.IFS(
 AND(K1675&gt;=89,K1675&lt;=92),"3개월",
 AND(K1675&gt;=58,K1675&lt;=62),"2개월",
 AND(K1675&gt;=28,K1675&lt;=32),"1개월",
 AND(K1675=0),"당월",
 TRUE,"그외"
)</f>
        <v>그외</v>
      </c>
    </row>
    <row r="1676" spans="1:12" ht="17.649999999999999" customHeight="1" x14ac:dyDescent="0.3">
      <c r="A1676" s="5">
        <v>46174</v>
      </c>
      <c r="B1676" s="6" t="s">
        <v>81</v>
      </c>
      <c r="C1676" s="6" t="s">
        <v>82</v>
      </c>
      <c r="D1676" s="5">
        <v>46054</v>
      </c>
      <c r="E1676" s="6" t="s">
        <v>15</v>
      </c>
      <c r="F1676" s="7">
        <v>34</v>
      </c>
      <c r="G1676" s="7">
        <v>150931.4117647059</v>
      </c>
      <c r="H1676" s="7">
        <v>5131668</v>
      </c>
      <c r="I1676" s="7">
        <v>598400</v>
      </c>
      <c r="J1676" s="7">
        <v>0</v>
      </c>
      <c r="K1676">
        <f t="shared" si="26"/>
        <v>120</v>
      </c>
      <c r="L1676" s="8" t="str" cm="1">
        <f t="array" ref="L1676">_xlfn.IFS(
 AND(K1676&gt;=89,K1676&lt;=92),"3개월",
 AND(K1676&gt;=58,K1676&lt;=62),"2개월",
 AND(K1676&gt;=28,K1676&lt;=32),"1개월",
 AND(K1676=0),"당월",
 TRUE,"그외"
)</f>
        <v>그외</v>
      </c>
    </row>
    <row r="1677" spans="1:12" ht="17.649999999999999" customHeight="1" x14ac:dyDescent="0.3">
      <c r="A1677" s="5">
        <v>46174</v>
      </c>
      <c r="B1677" s="6" t="s">
        <v>81</v>
      </c>
      <c r="C1677" s="6" t="s">
        <v>82</v>
      </c>
      <c r="D1677" s="5">
        <v>46082</v>
      </c>
      <c r="E1677" s="6" t="s">
        <v>14</v>
      </c>
      <c r="F1677" s="7">
        <v>960</v>
      </c>
      <c r="G1677" s="7">
        <v>191233.33333333331</v>
      </c>
      <c r="H1677" s="7">
        <v>183584000</v>
      </c>
      <c r="I1677" s="7">
        <v>21120000</v>
      </c>
      <c r="J1677" s="7">
        <v>0</v>
      </c>
      <c r="K1677">
        <f t="shared" si="26"/>
        <v>92</v>
      </c>
      <c r="L1677" s="8" t="str" cm="1">
        <f t="array" ref="L1677">_xlfn.IFS(
 AND(K1677&gt;=89,K1677&lt;=92),"3개월",
 AND(K1677&gt;=58,K1677&lt;=62),"2개월",
 AND(K1677&gt;=28,K1677&lt;=32),"1개월",
 AND(K1677=0),"당월",
 TRUE,"그외"
)</f>
        <v>3개월</v>
      </c>
    </row>
    <row r="1678" spans="1:12" ht="17.649999999999999" customHeight="1" x14ac:dyDescent="0.3">
      <c r="A1678" s="5">
        <v>46174</v>
      </c>
      <c r="B1678" s="6" t="s">
        <v>81</v>
      </c>
      <c r="C1678" s="6" t="s">
        <v>82</v>
      </c>
      <c r="D1678" s="5">
        <v>46082</v>
      </c>
      <c r="E1678" s="6" t="s">
        <v>15</v>
      </c>
      <c r="F1678" s="7">
        <v>232</v>
      </c>
      <c r="G1678" s="7">
        <v>141781.19827586209</v>
      </c>
      <c r="H1678" s="7">
        <v>32893238</v>
      </c>
      <c r="I1678" s="7">
        <v>5374230</v>
      </c>
      <c r="J1678" s="7">
        <v>0</v>
      </c>
      <c r="K1678">
        <f t="shared" si="26"/>
        <v>92</v>
      </c>
      <c r="L1678" s="8" t="str" cm="1">
        <f t="array" ref="L1678">_xlfn.IFS(
 AND(K1678&gt;=89,K1678&lt;=92),"3개월",
 AND(K1678&gt;=58,K1678&lt;=62),"2개월",
 AND(K1678&gt;=28,K1678&lt;=32),"1개월",
 AND(K1678=0),"당월",
 TRUE,"그외"
)</f>
        <v>3개월</v>
      </c>
    </row>
    <row r="1679" spans="1:12" ht="17.649999999999999" customHeight="1" x14ac:dyDescent="0.3">
      <c r="A1679" s="5">
        <v>46174</v>
      </c>
      <c r="B1679" s="6" t="s">
        <v>81</v>
      </c>
      <c r="C1679" s="6" t="s">
        <v>82</v>
      </c>
      <c r="D1679" s="5">
        <v>46113</v>
      </c>
      <c r="E1679" s="6" t="s">
        <v>14</v>
      </c>
      <c r="F1679" s="7">
        <v>672</v>
      </c>
      <c r="G1679" s="7">
        <v>187569.9404761905</v>
      </c>
      <c r="H1679" s="7">
        <v>126047000</v>
      </c>
      <c r="I1679" s="7">
        <v>26588000</v>
      </c>
      <c r="J1679" s="7">
        <v>0</v>
      </c>
      <c r="K1679">
        <f t="shared" si="26"/>
        <v>61</v>
      </c>
      <c r="L1679" s="8" t="str" cm="1">
        <f t="array" ref="L1679">_xlfn.IFS(
 AND(K1679&gt;=89,K1679&lt;=92),"3개월",
 AND(K1679&gt;=58,K1679&lt;=62),"2개월",
 AND(K1679&gt;=28,K1679&lt;=32),"1개월",
 AND(K1679=0),"당월",
 TRUE,"그외"
)</f>
        <v>2개월</v>
      </c>
    </row>
    <row r="1680" spans="1:12" ht="17.649999999999999" customHeight="1" x14ac:dyDescent="0.3">
      <c r="A1680" s="5">
        <v>46174</v>
      </c>
      <c r="B1680" s="6" t="s">
        <v>81</v>
      </c>
      <c r="C1680" s="6" t="s">
        <v>82</v>
      </c>
      <c r="D1680" s="5">
        <v>46113</v>
      </c>
      <c r="E1680" s="6" t="s">
        <v>15</v>
      </c>
      <c r="F1680" s="7">
        <v>302</v>
      </c>
      <c r="G1680" s="7">
        <v>186503.86754966891</v>
      </c>
      <c r="H1680" s="7">
        <v>56324168</v>
      </c>
      <c r="I1680" s="7">
        <v>12596070</v>
      </c>
      <c r="J1680" s="7">
        <v>0</v>
      </c>
      <c r="K1680">
        <f t="shared" si="26"/>
        <v>61</v>
      </c>
      <c r="L1680" s="8" t="str" cm="1">
        <f t="array" ref="L1680">_xlfn.IFS(
 AND(K1680&gt;=89,K1680&lt;=92),"3개월",
 AND(K1680&gt;=58,K1680&lt;=62),"2개월",
 AND(K1680&gt;=28,K1680&lt;=32),"1개월",
 AND(K1680=0),"당월",
 TRUE,"그외"
)</f>
        <v>2개월</v>
      </c>
    </row>
    <row r="1681" spans="1:12" ht="17.649999999999999" customHeight="1" x14ac:dyDescent="0.3">
      <c r="A1681" s="5">
        <v>46174</v>
      </c>
      <c r="B1681" s="6" t="s">
        <v>81</v>
      </c>
      <c r="C1681" s="6" t="s">
        <v>82</v>
      </c>
      <c r="D1681" s="5">
        <v>46143</v>
      </c>
      <c r="E1681" s="6" t="s">
        <v>14</v>
      </c>
      <c r="F1681" s="7">
        <v>6</v>
      </c>
      <c r="G1681" s="7">
        <v>204066.66666666669</v>
      </c>
      <c r="H1681" s="7">
        <v>1224400</v>
      </c>
      <c r="I1681" s="7">
        <v>560400</v>
      </c>
      <c r="J1681" s="7">
        <v>0</v>
      </c>
      <c r="K1681">
        <f t="shared" si="26"/>
        <v>31</v>
      </c>
      <c r="L1681" s="8" t="str" cm="1">
        <f t="array" ref="L1681">_xlfn.IFS(
 AND(K1681&gt;=89,K1681&lt;=92),"3개월",
 AND(K1681&gt;=58,K1681&lt;=62),"2개월",
 AND(K1681&gt;=28,K1681&lt;=32),"1개월",
 AND(K1681=0),"당월",
 TRUE,"그외"
)</f>
        <v>1개월</v>
      </c>
    </row>
    <row r="1682" spans="1:12" ht="17.649999999999999" customHeight="1" x14ac:dyDescent="0.3">
      <c r="A1682" s="5">
        <v>46174</v>
      </c>
      <c r="B1682" s="6" t="s">
        <v>81</v>
      </c>
      <c r="C1682" s="6" t="s">
        <v>82</v>
      </c>
      <c r="D1682" s="5">
        <v>46143</v>
      </c>
      <c r="E1682" s="6" t="s">
        <v>15</v>
      </c>
      <c r="F1682" s="7">
        <v>48</v>
      </c>
      <c r="G1682" s="7">
        <v>89302.4375</v>
      </c>
      <c r="H1682" s="7">
        <v>4286517</v>
      </c>
      <c r="I1682" s="7">
        <v>1667790</v>
      </c>
      <c r="J1682" s="7">
        <v>0</v>
      </c>
      <c r="K1682">
        <f t="shared" si="26"/>
        <v>31</v>
      </c>
      <c r="L1682" s="8" t="str" cm="1">
        <f t="array" ref="L1682">_xlfn.IFS(
 AND(K1682&gt;=89,K1682&lt;=92),"3개월",
 AND(K1682&gt;=58,K1682&lt;=62),"2개월",
 AND(K1682&gt;=28,K1682&lt;=32),"1개월",
 AND(K1682=0),"당월",
 TRUE,"그외"
)</f>
        <v>1개월</v>
      </c>
    </row>
    <row r="1683" spans="1:12" ht="17.649999999999999" customHeight="1" x14ac:dyDescent="0.3">
      <c r="A1683" s="5">
        <v>46174</v>
      </c>
      <c r="B1683" s="6" t="s">
        <v>81</v>
      </c>
      <c r="C1683" s="6" t="s">
        <v>83</v>
      </c>
      <c r="D1683" s="5">
        <v>46054</v>
      </c>
      <c r="E1683" s="6" t="s">
        <v>14</v>
      </c>
      <c r="F1683" s="7">
        <v>98</v>
      </c>
      <c r="G1683" s="7">
        <v>182069.38775510201</v>
      </c>
      <c r="H1683" s="7">
        <v>17842800</v>
      </c>
      <c r="I1683" s="7">
        <v>1724800</v>
      </c>
      <c r="J1683" s="7">
        <v>0</v>
      </c>
      <c r="K1683">
        <f t="shared" si="26"/>
        <v>120</v>
      </c>
      <c r="L1683" s="8" t="str" cm="1">
        <f t="array" ref="L1683">_xlfn.IFS(
 AND(K1683&gt;=89,K1683&lt;=92),"3개월",
 AND(K1683&gt;=58,K1683&lt;=62),"2개월",
 AND(K1683&gt;=28,K1683&lt;=32),"1개월",
 AND(K1683=0),"당월",
 TRUE,"그외"
)</f>
        <v>그외</v>
      </c>
    </row>
    <row r="1684" spans="1:12" ht="17.649999999999999" customHeight="1" x14ac:dyDescent="0.3">
      <c r="A1684" s="5">
        <v>46174</v>
      </c>
      <c r="B1684" s="6" t="s">
        <v>81</v>
      </c>
      <c r="C1684" s="6" t="s">
        <v>83</v>
      </c>
      <c r="D1684" s="5">
        <v>46054</v>
      </c>
      <c r="E1684" s="6" t="s">
        <v>15</v>
      </c>
      <c r="F1684" s="7">
        <v>165</v>
      </c>
      <c r="G1684" s="7">
        <v>151297.22424242421</v>
      </c>
      <c r="H1684" s="7">
        <v>24964042</v>
      </c>
      <c r="I1684" s="7">
        <v>2929702</v>
      </c>
      <c r="J1684" s="7">
        <v>0</v>
      </c>
      <c r="K1684">
        <f t="shared" si="26"/>
        <v>120</v>
      </c>
      <c r="L1684" s="8" t="str" cm="1">
        <f t="array" ref="L1684">_xlfn.IFS(
 AND(K1684&gt;=89,K1684&lt;=92),"3개월",
 AND(K1684&gt;=58,K1684&lt;=62),"2개월",
 AND(K1684&gt;=28,K1684&lt;=32),"1개월",
 AND(K1684=0),"당월",
 TRUE,"그외"
)</f>
        <v>그외</v>
      </c>
    </row>
    <row r="1685" spans="1:12" ht="17.649999999999999" customHeight="1" x14ac:dyDescent="0.3">
      <c r="A1685" s="5">
        <v>46174</v>
      </c>
      <c r="B1685" s="6" t="s">
        <v>81</v>
      </c>
      <c r="C1685" s="6" t="s">
        <v>83</v>
      </c>
      <c r="D1685" s="5">
        <v>46082</v>
      </c>
      <c r="E1685" s="6" t="s">
        <v>14</v>
      </c>
      <c r="F1685" s="7">
        <v>318</v>
      </c>
      <c r="G1685" s="7">
        <v>176188.67924528301</v>
      </c>
      <c r="H1685" s="7">
        <v>56028000</v>
      </c>
      <c r="I1685" s="7">
        <v>6996000</v>
      </c>
      <c r="J1685" s="7">
        <v>0</v>
      </c>
      <c r="K1685">
        <f t="shared" si="26"/>
        <v>92</v>
      </c>
      <c r="L1685" s="8" t="str" cm="1">
        <f t="array" ref="L1685">_xlfn.IFS(
 AND(K1685&gt;=89,K1685&lt;=92),"3개월",
 AND(K1685&gt;=58,K1685&lt;=62),"2개월",
 AND(K1685&gt;=28,K1685&lt;=32),"1개월",
 AND(K1685=0),"당월",
 TRUE,"그외"
)</f>
        <v>3개월</v>
      </c>
    </row>
    <row r="1686" spans="1:12" ht="17.649999999999999" customHeight="1" x14ac:dyDescent="0.3">
      <c r="A1686" s="5">
        <v>46174</v>
      </c>
      <c r="B1686" s="6" t="s">
        <v>81</v>
      </c>
      <c r="C1686" s="6" t="s">
        <v>83</v>
      </c>
      <c r="D1686" s="5">
        <v>46082</v>
      </c>
      <c r="E1686" s="6" t="s">
        <v>15</v>
      </c>
      <c r="F1686" s="7">
        <v>209</v>
      </c>
      <c r="G1686" s="7">
        <v>161487.14832535881</v>
      </c>
      <c r="H1686" s="7">
        <v>33750814</v>
      </c>
      <c r="I1686" s="7">
        <v>4975892</v>
      </c>
      <c r="J1686" s="7">
        <v>0</v>
      </c>
      <c r="K1686">
        <f t="shared" si="26"/>
        <v>92</v>
      </c>
      <c r="L1686" s="8" t="str" cm="1">
        <f t="array" ref="L1686">_xlfn.IFS(
 AND(K1686&gt;=89,K1686&lt;=92),"3개월",
 AND(K1686&gt;=58,K1686&lt;=62),"2개월",
 AND(K1686&gt;=28,K1686&lt;=32),"1개월",
 AND(K1686=0),"당월",
 TRUE,"그외"
)</f>
        <v>3개월</v>
      </c>
    </row>
    <row r="1687" spans="1:12" ht="17.649999999999999" customHeight="1" x14ac:dyDescent="0.3">
      <c r="A1687" s="5">
        <v>46174</v>
      </c>
      <c r="B1687" s="6" t="s">
        <v>81</v>
      </c>
      <c r="C1687" s="6" t="s">
        <v>83</v>
      </c>
      <c r="D1687" s="5">
        <v>46113</v>
      </c>
      <c r="E1687" s="6" t="s">
        <v>14</v>
      </c>
      <c r="F1687" s="7">
        <v>102</v>
      </c>
      <c r="G1687" s="7">
        <v>272470.5882352941</v>
      </c>
      <c r="H1687" s="7">
        <v>27792000</v>
      </c>
      <c r="I1687" s="7">
        <v>6330000</v>
      </c>
      <c r="J1687" s="7">
        <v>0</v>
      </c>
      <c r="K1687">
        <f t="shared" si="26"/>
        <v>61</v>
      </c>
      <c r="L1687" s="8" t="str" cm="1">
        <f t="array" ref="L1687">_xlfn.IFS(
 AND(K1687&gt;=89,K1687&lt;=92),"3개월",
 AND(K1687&gt;=58,K1687&lt;=62),"2개월",
 AND(K1687&gt;=28,K1687&lt;=32),"1개월",
 AND(K1687=0),"당월",
 TRUE,"그외"
)</f>
        <v>2개월</v>
      </c>
    </row>
    <row r="1688" spans="1:12" ht="17.649999999999999" customHeight="1" x14ac:dyDescent="0.3">
      <c r="A1688" s="5">
        <v>46174</v>
      </c>
      <c r="B1688" s="6" t="s">
        <v>81</v>
      </c>
      <c r="C1688" s="6" t="s">
        <v>83</v>
      </c>
      <c r="D1688" s="5">
        <v>46113</v>
      </c>
      <c r="E1688" s="6" t="s">
        <v>15</v>
      </c>
      <c r="F1688" s="7">
        <v>214</v>
      </c>
      <c r="G1688" s="7">
        <v>171042.1635514019</v>
      </c>
      <c r="H1688" s="7">
        <v>36603023</v>
      </c>
      <c r="I1688" s="7">
        <v>10898863</v>
      </c>
      <c r="J1688" s="7">
        <v>0</v>
      </c>
      <c r="K1688">
        <f t="shared" si="26"/>
        <v>61</v>
      </c>
      <c r="L1688" s="8" t="str" cm="1">
        <f t="array" ref="L1688">_xlfn.IFS(
 AND(K1688&gt;=89,K1688&lt;=92),"3개월",
 AND(K1688&gt;=58,K1688&lt;=62),"2개월",
 AND(K1688&gt;=28,K1688&lt;=32),"1개월",
 AND(K1688=0),"당월",
 TRUE,"그외"
)</f>
        <v>2개월</v>
      </c>
    </row>
    <row r="1689" spans="1:12" ht="17.649999999999999" customHeight="1" x14ac:dyDescent="0.3">
      <c r="A1689" s="5">
        <v>46174</v>
      </c>
      <c r="B1689" s="6" t="s">
        <v>81</v>
      </c>
      <c r="C1689" s="6" t="s">
        <v>83</v>
      </c>
      <c r="D1689" s="5">
        <v>46143</v>
      </c>
      <c r="E1689" s="6" t="s">
        <v>15</v>
      </c>
      <c r="F1689" s="7">
        <v>54</v>
      </c>
      <c r="G1689" s="7">
        <v>112605.3148148148</v>
      </c>
      <c r="H1689" s="7">
        <v>6080687</v>
      </c>
      <c r="I1689" s="7">
        <v>2540103</v>
      </c>
      <c r="J1689" s="7">
        <v>0</v>
      </c>
      <c r="K1689">
        <f t="shared" si="26"/>
        <v>31</v>
      </c>
      <c r="L1689" s="8" t="str" cm="1">
        <f t="array" ref="L1689">_xlfn.IFS(
 AND(K1689&gt;=89,K1689&lt;=92),"3개월",
 AND(K1689&gt;=58,K1689&lt;=62),"2개월",
 AND(K1689&gt;=28,K1689&lt;=32),"1개월",
 AND(K1689=0),"당월",
 TRUE,"그외"
)</f>
        <v>1개월</v>
      </c>
    </row>
    <row r="1690" spans="1:12" ht="17.649999999999999" customHeight="1" x14ac:dyDescent="0.3">
      <c r="A1690" s="5">
        <v>46174</v>
      </c>
      <c r="B1690" s="6" t="s">
        <v>81</v>
      </c>
      <c r="C1690" s="6" t="s">
        <v>94</v>
      </c>
      <c r="D1690" s="5">
        <v>45992</v>
      </c>
      <c r="E1690" s="6" t="s">
        <v>15</v>
      </c>
      <c r="F1690" s="7">
        <v>13</v>
      </c>
      <c r="G1690" s="7">
        <v>0</v>
      </c>
      <c r="H1690" s="7">
        <v>0</v>
      </c>
      <c r="I1690" s="7">
        <v>0</v>
      </c>
      <c r="J1690" s="7">
        <v>0</v>
      </c>
      <c r="K1690">
        <f t="shared" si="26"/>
        <v>182</v>
      </c>
      <c r="L1690" s="8" t="str" cm="1">
        <f t="array" ref="L1690">_xlfn.IFS(
 AND(K1690&gt;=89,K1690&lt;=92),"3개월",
 AND(K1690&gt;=58,K1690&lt;=62),"2개월",
 AND(K1690&gt;=28,K1690&lt;=32),"1개월",
 AND(K1690=0),"당월",
 TRUE,"그외"
)</f>
        <v>그외</v>
      </c>
    </row>
    <row r="1691" spans="1:12" ht="17.649999999999999" customHeight="1" x14ac:dyDescent="0.3">
      <c r="A1691" s="5">
        <v>46174</v>
      </c>
      <c r="B1691" s="6" t="s">
        <v>81</v>
      </c>
      <c r="C1691" s="6" t="s">
        <v>94</v>
      </c>
      <c r="D1691" s="5">
        <v>46023</v>
      </c>
      <c r="E1691" s="6" t="s">
        <v>15</v>
      </c>
      <c r="F1691" s="7">
        <v>265</v>
      </c>
      <c r="G1691" s="7">
        <v>408802.41886792448</v>
      </c>
      <c r="H1691" s="7">
        <v>108332641</v>
      </c>
      <c r="I1691" s="7">
        <v>9542000</v>
      </c>
      <c r="J1691" s="7">
        <v>0</v>
      </c>
      <c r="K1691">
        <f t="shared" si="26"/>
        <v>151</v>
      </c>
      <c r="L1691" s="8" t="str" cm="1">
        <f t="array" ref="L1691">_xlfn.IFS(
 AND(K1691&gt;=89,K1691&lt;=92),"3개월",
 AND(K1691&gt;=58,K1691&lt;=62),"2개월",
 AND(K1691&gt;=28,K1691&lt;=32),"1개월",
 AND(K1691=0),"당월",
 TRUE,"그외"
)</f>
        <v>그외</v>
      </c>
    </row>
    <row r="1692" spans="1:12" ht="17.649999999999999" customHeight="1" x14ac:dyDescent="0.3">
      <c r="A1692" s="5">
        <v>46174</v>
      </c>
      <c r="B1692" s="6" t="s">
        <v>81</v>
      </c>
      <c r="C1692" s="6" t="s">
        <v>94</v>
      </c>
      <c r="D1692" s="5">
        <v>46054</v>
      </c>
      <c r="E1692" s="6" t="s">
        <v>15</v>
      </c>
      <c r="F1692" s="7">
        <v>213</v>
      </c>
      <c r="G1692" s="7">
        <v>414006.4694835681</v>
      </c>
      <c r="H1692" s="7">
        <v>88183378</v>
      </c>
      <c r="I1692" s="7">
        <v>5668026</v>
      </c>
      <c r="J1692" s="7">
        <v>0</v>
      </c>
      <c r="K1692">
        <f t="shared" si="26"/>
        <v>120</v>
      </c>
      <c r="L1692" s="8" t="str" cm="1">
        <f t="array" ref="L1692">_xlfn.IFS(
 AND(K1692&gt;=89,K1692&lt;=92),"3개월",
 AND(K1692&gt;=58,K1692&lt;=62),"2개월",
 AND(K1692&gt;=28,K1692&lt;=32),"1개월",
 AND(K1692=0),"당월",
 TRUE,"그외"
)</f>
        <v>그외</v>
      </c>
    </row>
    <row r="1693" spans="1:12" ht="17.649999999999999" customHeight="1" x14ac:dyDescent="0.3">
      <c r="A1693" s="5">
        <v>46174</v>
      </c>
      <c r="B1693" s="6" t="s">
        <v>81</v>
      </c>
      <c r="C1693" s="6" t="s">
        <v>94</v>
      </c>
      <c r="D1693" s="5">
        <v>46082</v>
      </c>
      <c r="E1693" s="6" t="s">
        <v>14</v>
      </c>
      <c r="F1693" s="7">
        <v>419</v>
      </c>
      <c r="G1693" s="7">
        <v>277873.9856801909</v>
      </c>
      <c r="H1693" s="7">
        <v>116429200</v>
      </c>
      <c r="I1693" s="7">
        <v>8467200</v>
      </c>
      <c r="J1693" s="7">
        <v>0</v>
      </c>
      <c r="K1693">
        <f t="shared" si="26"/>
        <v>92</v>
      </c>
      <c r="L1693" s="8" t="str" cm="1">
        <f t="array" ref="L1693">_xlfn.IFS(
 AND(K1693&gt;=89,K1693&lt;=92),"3개월",
 AND(K1693&gt;=58,K1693&lt;=62),"2개월",
 AND(K1693&gt;=28,K1693&lt;=32),"1개월",
 AND(K1693=0),"당월",
 TRUE,"그외"
)</f>
        <v>3개월</v>
      </c>
    </row>
    <row r="1694" spans="1:12" ht="17.649999999999999" customHeight="1" x14ac:dyDescent="0.3">
      <c r="A1694" s="5">
        <v>46174</v>
      </c>
      <c r="B1694" s="6" t="s">
        <v>81</v>
      </c>
      <c r="C1694" s="6" t="s">
        <v>94</v>
      </c>
      <c r="D1694" s="5">
        <v>46082</v>
      </c>
      <c r="E1694" s="6" t="s">
        <v>15</v>
      </c>
      <c r="F1694" s="7">
        <v>560</v>
      </c>
      <c r="G1694" s="7">
        <v>435364.33571428573</v>
      </c>
      <c r="H1694" s="7">
        <v>243804028</v>
      </c>
      <c r="I1694" s="7">
        <v>18898359</v>
      </c>
      <c r="J1694" s="7">
        <v>0</v>
      </c>
      <c r="K1694">
        <f t="shared" si="26"/>
        <v>92</v>
      </c>
      <c r="L1694" s="8" t="str" cm="1">
        <f t="array" ref="L1694">_xlfn.IFS(
 AND(K1694&gt;=89,K1694&lt;=92),"3개월",
 AND(K1694&gt;=58,K1694&lt;=62),"2개월",
 AND(K1694&gt;=28,K1694&lt;=32),"1개월",
 AND(K1694=0),"당월",
 TRUE,"그외"
)</f>
        <v>3개월</v>
      </c>
    </row>
    <row r="1695" spans="1:12" ht="17.649999999999999" customHeight="1" x14ac:dyDescent="0.3">
      <c r="A1695" s="5">
        <v>46174</v>
      </c>
      <c r="B1695" s="6" t="s">
        <v>81</v>
      </c>
      <c r="C1695" s="6" t="s">
        <v>94</v>
      </c>
      <c r="D1695" s="5">
        <v>46113</v>
      </c>
      <c r="E1695" s="6" t="s">
        <v>14</v>
      </c>
      <c r="F1695" s="7">
        <v>180</v>
      </c>
      <c r="G1695" s="7">
        <v>269095.52222222218</v>
      </c>
      <c r="H1695" s="7">
        <v>48437194</v>
      </c>
      <c r="I1695" s="7">
        <v>8755350</v>
      </c>
      <c r="J1695" s="7">
        <v>0</v>
      </c>
      <c r="K1695">
        <f t="shared" si="26"/>
        <v>61</v>
      </c>
      <c r="L1695" s="8" t="str" cm="1">
        <f t="array" ref="L1695">_xlfn.IFS(
 AND(K1695&gt;=89,K1695&lt;=92),"3개월",
 AND(K1695&gt;=58,K1695&lt;=62),"2개월",
 AND(K1695&gt;=28,K1695&lt;=32),"1개월",
 AND(K1695=0),"당월",
 TRUE,"그외"
)</f>
        <v>2개월</v>
      </c>
    </row>
    <row r="1696" spans="1:12" ht="17.649999999999999" customHeight="1" x14ac:dyDescent="0.3">
      <c r="A1696" s="5">
        <v>46174</v>
      </c>
      <c r="B1696" s="6" t="s">
        <v>81</v>
      </c>
      <c r="C1696" s="6" t="s">
        <v>94</v>
      </c>
      <c r="D1696" s="5">
        <v>46113</v>
      </c>
      <c r="E1696" s="6" t="s">
        <v>15</v>
      </c>
      <c r="F1696" s="7">
        <v>331</v>
      </c>
      <c r="G1696" s="7">
        <v>546373.72507552872</v>
      </c>
      <c r="H1696" s="7">
        <v>180849703</v>
      </c>
      <c r="I1696" s="7">
        <v>28927467</v>
      </c>
      <c r="J1696" s="7">
        <v>0</v>
      </c>
      <c r="K1696">
        <f t="shared" si="26"/>
        <v>61</v>
      </c>
      <c r="L1696" s="8" t="str" cm="1">
        <f t="array" ref="L1696">_xlfn.IFS(
 AND(K1696&gt;=89,K1696&lt;=92),"3개월",
 AND(K1696&gt;=58,K1696&lt;=62),"2개월",
 AND(K1696&gt;=28,K1696&lt;=32),"1개월",
 AND(K1696=0),"당월",
 TRUE,"그외"
)</f>
        <v>2개월</v>
      </c>
    </row>
    <row r="1697" spans="1:12" ht="17.649999999999999" customHeight="1" x14ac:dyDescent="0.3">
      <c r="A1697" s="5">
        <v>46174</v>
      </c>
      <c r="B1697" s="6" t="s">
        <v>81</v>
      </c>
      <c r="C1697" s="6" t="s">
        <v>94</v>
      </c>
      <c r="D1697" s="5">
        <v>46143</v>
      </c>
      <c r="E1697" s="6" t="s">
        <v>14</v>
      </c>
      <c r="F1697" s="7">
        <v>5</v>
      </c>
      <c r="G1697" s="7">
        <v>347443.20000000001</v>
      </c>
      <c r="H1697" s="7">
        <v>1737216</v>
      </c>
      <c r="I1697" s="7">
        <v>311808</v>
      </c>
      <c r="J1697" s="7">
        <v>0</v>
      </c>
      <c r="K1697">
        <f t="shared" si="26"/>
        <v>31</v>
      </c>
      <c r="L1697" s="8" t="str" cm="1">
        <f t="array" ref="L1697">_xlfn.IFS(
 AND(K1697&gt;=89,K1697&lt;=92),"3개월",
 AND(K1697&gt;=58,K1697&lt;=62),"2개월",
 AND(K1697&gt;=28,K1697&lt;=32),"1개월",
 AND(K1697=0),"당월",
 TRUE,"그외"
)</f>
        <v>1개월</v>
      </c>
    </row>
    <row r="1698" spans="1:12" ht="17.649999999999999" customHeight="1" x14ac:dyDescent="0.3">
      <c r="A1698" s="5">
        <v>46174</v>
      </c>
      <c r="B1698" s="6" t="s">
        <v>81</v>
      </c>
      <c r="C1698" s="6" t="s">
        <v>94</v>
      </c>
      <c r="D1698" s="5">
        <v>46143</v>
      </c>
      <c r="E1698" s="6" t="s">
        <v>15</v>
      </c>
      <c r="F1698" s="7">
        <v>67</v>
      </c>
      <c r="G1698" s="7">
        <v>379732.4776119403</v>
      </c>
      <c r="H1698" s="7">
        <v>25442076</v>
      </c>
      <c r="I1698" s="7">
        <v>6012011</v>
      </c>
      <c r="J1698" s="7">
        <v>0</v>
      </c>
      <c r="K1698">
        <f t="shared" si="26"/>
        <v>31</v>
      </c>
      <c r="L1698" s="8" t="str" cm="1">
        <f t="array" ref="L1698">_xlfn.IFS(
 AND(K1698&gt;=89,K1698&lt;=92),"3개월",
 AND(K1698&gt;=58,K1698&lt;=62),"2개월",
 AND(K1698&gt;=28,K1698&lt;=32),"1개월",
 AND(K1698=0),"당월",
 TRUE,"그외"
)</f>
        <v>1개월</v>
      </c>
    </row>
    <row r="1699" spans="1:12" ht="17.649999999999999" customHeight="1" x14ac:dyDescent="0.3">
      <c r="A1699" s="5">
        <v>46174</v>
      </c>
      <c r="B1699" s="6" t="s">
        <v>84</v>
      </c>
      <c r="C1699" s="6" t="s">
        <v>97</v>
      </c>
      <c r="D1699" s="5">
        <v>46054</v>
      </c>
      <c r="E1699" s="6" t="s">
        <v>15</v>
      </c>
      <c r="F1699" s="7">
        <v>50</v>
      </c>
      <c r="G1699" s="7">
        <v>639016.76</v>
      </c>
      <c r="H1699" s="7">
        <v>31950838</v>
      </c>
      <c r="I1699" s="7">
        <v>5621682</v>
      </c>
      <c r="J1699" s="7">
        <v>0</v>
      </c>
      <c r="K1699">
        <f t="shared" si="26"/>
        <v>120</v>
      </c>
      <c r="L1699" s="8" t="str" cm="1">
        <f t="array" ref="L1699">_xlfn.IFS(
 AND(K1699&gt;=89,K1699&lt;=92),"3개월",
 AND(K1699&gt;=58,K1699&lt;=62),"2개월",
 AND(K1699&gt;=28,K1699&lt;=32),"1개월",
 AND(K1699=0),"당월",
 TRUE,"그외"
)</f>
        <v>그외</v>
      </c>
    </row>
    <row r="1700" spans="1:12" ht="17.649999999999999" customHeight="1" x14ac:dyDescent="0.3">
      <c r="A1700" s="5">
        <v>46174</v>
      </c>
      <c r="B1700" s="6" t="s">
        <v>84</v>
      </c>
      <c r="C1700" s="6" t="s">
        <v>97</v>
      </c>
      <c r="D1700" s="5">
        <v>46082</v>
      </c>
      <c r="E1700" s="6" t="s">
        <v>15</v>
      </c>
      <c r="F1700" s="7">
        <v>97</v>
      </c>
      <c r="G1700" s="7">
        <v>576993.381443299</v>
      </c>
      <c r="H1700" s="7">
        <v>55968358</v>
      </c>
      <c r="I1700" s="7">
        <v>10604934</v>
      </c>
      <c r="J1700" s="7">
        <v>0</v>
      </c>
      <c r="K1700">
        <f t="shared" si="26"/>
        <v>92</v>
      </c>
      <c r="L1700" s="8" t="str" cm="1">
        <f t="array" ref="L1700">_xlfn.IFS(
 AND(K1700&gt;=89,K1700&lt;=92),"3개월",
 AND(K1700&gt;=58,K1700&lt;=62),"2개월",
 AND(K1700&gt;=28,K1700&lt;=32),"1개월",
 AND(K1700=0),"당월",
 TRUE,"그외"
)</f>
        <v>3개월</v>
      </c>
    </row>
    <row r="1701" spans="1:12" ht="17.649999999999999" customHeight="1" x14ac:dyDescent="0.3">
      <c r="A1701" s="5">
        <v>46174</v>
      </c>
      <c r="B1701" s="6" t="s">
        <v>84</v>
      </c>
      <c r="C1701" s="6" t="s">
        <v>97</v>
      </c>
      <c r="D1701" s="5">
        <v>46113</v>
      </c>
      <c r="E1701" s="6" t="s">
        <v>15</v>
      </c>
      <c r="F1701" s="7">
        <v>93</v>
      </c>
      <c r="G1701" s="7">
        <v>669939.84946236562</v>
      </c>
      <c r="H1701" s="7">
        <v>62304406</v>
      </c>
      <c r="I1701" s="7">
        <v>17662196</v>
      </c>
      <c r="J1701" s="7">
        <v>0</v>
      </c>
      <c r="K1701">
        <f t="shared" si="26"/>
        <v>61</v>
      </c>
      <c r="L1701" s="8" t="str" cm="1">
        <f t="array" ref="L1701">_xlfn.IFS(
 AND(K1701&gt;=89,K1701&lt;=92),"3개월",
 AND(K1701&gt;=58,K1701&lt;=62),"2개월",
 AND(K1701&gt;=28,K1701&lt;=32),"1개월",
 AND(K1701=0),"당월",
 TRUE,"그외"
)</f>
        <v>2개월</v>
      </c>
    </row>
    <row r="1702" spans="1:12" ht="17.649999999999999" customHeight="1" x14ac:dyDescent="0.3">
      <c r="A1702" s="5">
        <v>46174</v>
      </c>
      <c r="B1702" s="6" t="s">
        <v>84</v>
      </c>
      <c r="C1702" s="6" t="s">
        <v>97</v>
      </c>
      <c r="D1702" s="5">
        <v>46143</v>
      </c>
      <c r="E1702" s="6" t="s">
        <v>15</v>
      </c>
      <c r="F1702" s="7">
        <v>11</v>
      </c>
      <c r="G1702" s="7">
        <v>475997.36363636359</v>
      </c>
      <c r="H1702" s="7">
        <v>5235971</v>
      </c>
      <c r="I1702" s="7">
        <v>1768917</v>
      </c>
      <c r="J1702" s="7">
        <v>0</v>
      </c>
      <c r="K1702">
        <f t="shared" si="26"/>
        <v>31</v>
      </c>
      <c r="L1702" s="8" t="str" cm="1">
        <f t="array" ref="L1702">_xlfn.IFS(
 AND(K1702&gt;=89,K1702&lt;=92),"3개월",
 AND(K1702&gt;=58,K1702&lt;=62),"2개월",
 AND(K1702&gt;=28,K1702&lt;=32),"1개월",
 AND(K1702=0),"당월",
 TRUE,"그외"
)</f>
        <v>1개월</v>
      </c>
    </row>
    <row r="1703" spans="1:12" ht="17.649999999999999" customHeight="1" x14ac:dyDescent="0.3">
      <c r="A1703" s="5">
        <v>46174</v>
      </c>
      <c r="B1703" s="6" t="s">
        <v>84</v>
      </c>
      <c r="C1703" s="6" t="s">
        <v>85</v>
      </c>
      <c r="D1703" s="5">
        <v>45931</v>
      </c>
      <c r="E1703" s="6" t="s">
        <v>15</v>
      </c>
      <c r="F1703" s="7">
        <v>266</v>
      </c>
      <c r="G1703" s="7">
        <v>833321.19172932336</v>
      </c>
      <c r="H1703" s="7">
        <v>221663437</v>
      </c>
      <c r="I1703" s="7">
        <v>24216440</v>
      </c>
      <c r="J1703" s="7">
        <v>0</v>
      </c>
      <c r="K1703">
        <f t="shared" si="26"/>
        <v>243</v>
      </c>
      <c r="L1703" s="8" t="str" cm="1">
        <f t="array" ref="L1703">_xlfn.IFS(
 AND(K1703&gt;=89,K1703&lt;=92),"3개월",
 AND(K1703&gt;=58,K1703&lt;=62),"2개월",
 AND(K1703&gt;=28,K1703&lt;=32),"1개월",
 AND(K1703=0),"당월",
 TRUE,"그외"
)</f>
        <v>그외</v>
      </c>
    </row>
    <row r="1704" spans="1:12" ht="17.649999999999999" customHeight="1" x14ac:dyDescent="0.3">
      <c r="A1704" s="5">
        <v>46174</v>
      </c>
      <c r="B1704" s="6" t="s">
        <v>84</v>
      </c>
      <c r="C1704" s="6" t="s">
        <v>85</v>
      </c>
      <c r="D1704" s="5">
        <v>45962</v>
      </c>
      <c r="E1704" s="6" t="s">
        <v>15</v>
      </c>
      <c r="F1704" s="7">
        <v>383</v>
      </c>
      <c r="G1704" s="7">
        <v>804160.60835509142</v>
      </c>
      <c r="H1704" s="7">
        <v>307993513</v>
      </c>
      <c r="I1704" s="7">
        <v>33586719</v>
      </c>
      <c r="J1704" s="7">
        <v>0</v>
      </c>
      <c r="K1704">
        <f t="shared" si="26"/>
        <v>212</v>
      </c>
      <c r="L1704" s="8" t="str" cm="1">
        <f t="array" ref="L1704">_xlfn.IFS(
 AND(K1704&gt;=89,K1704&lt;=92),"3개월",
 AND(K1704&gt;=58,K1704&lt;=62),"2개월",
 AND(K1704&gt;=28,K1704&lt;=32),"1개월",
 AND(K1704=0),"당월",
 TRUE,"그외"
)</f>
        <v>그외</v>
      </c>
    </row>
    <row r="1705" spans="1:12" ht="17.649999999999999" customHeight="1" x14ac:dyDescent="0.3">
      <c r="A1705" s="5">
        <v>46174</v>
      </c>
      <c r="B1705" s="6" t="s">
        <v>84</v>
      </c>
      <c r="C1705" s="6" t="s">
        <v>85</v>
      </c>
      <c r="D1705" s="5">
        <v>45992</v>
      </c>
      <c r="E1705" s="6" t="s">
        <v>15</v>
      </c>
      <c r="F1705" s="7">
        <v>377</v>
      </c>
      <c r="G1705" s="7">
        <v>824684.2042440318</v>
      </c>
      <c r="H1705" s="7">
        <v>310905945</v>
      </c>
      <c r="I1705" s="7">
        <v>36461228</v>
      </c>
      <c r="J1705" s="7">
        <v>0</v>
      </c>
      <c r="K1705">
        <f t="shared" si="26"/>
        <v>182</v>
      </c>
      <c r="L1705" s="8" t="str" cm="1">
        <f t="array" ref="L1705">_xlfn.IFS(
 AND(K1705&gt;=89,K1705&lt;=92),"3개월",
 AND(K1705&gt;=58,K1705&lt;=62),"2개월",
 AND(K1705&gt;=28,K1705&lt;=32),"1개월",
 AND(K1705=0),"당월",
 TRUE,"그외"
)</f>
        <v>그외</v>
      </c>
    </row>
    <row r="1706" spans="1:12" ht="17.649999999999999" customHeight="1" x14ac:dyDescent="0.3">
      <c r="A1706" s="5">
        <v>46174</v>
      </c>
      <c r="B1706" s="6" t="s">
        <v>84</v>
      </c>
      <c r="C1706" s="6" t="s">
        <v>85</v>
      </c>
      <c r="D1706" s="5">
        <v>46023</v>
      </c>
      <c r="E1706" s="6" t="s">
        <v>15</v>
      </c>
      <c r="F1706" s="7">
        <v>631</v>
      </c>
      <c r="G1706" s="7">
        <v>894744.77337559429</v>
      </c>
      <c r="H1706" s="7">
        <v>564583952</v>
      </c>
      <c r="I1706" s="7">
        <v>63261954</v>
      </c>
      <c r="J1706" s="7">
        <v>0</v>
      </c>
      <c r="K1706">
        <f t="shared" si="26"/>
        <v>151</v>
      </c>
      <c r="L1706" s="8" t="str" cm="1">
        <f t="array" ref="L1706">_xlfn.IFS(
 AND(K1706&gt;=89,K1706&lt;=92),"3개월",
 AND(K1706&gt;=58,K1706&lt;=62),"2개월",
 AND(K1706&gt;=28,K1706&lt;=32),"1개월",
 AND(K1706=0),"당월",
 TRUE,"그외"
)</f>
        <v>그외</v>
      </c>
    </row>
    <row r="1707" spans="1:12" ht="17.649999999999999" customHeight="1" x14ac:dyDescent="0.3">
      <c r="A1707" s="5">
        <v>46174</v>
      </c>
      <c r="B1707" s="6" t="s">
        <v>84</v>
      </c>
      <c r="C1707" s="6" t="s">
        <v>85</v>
      </c>
      <c r="D1707" s="5">
        <v>46054</v>
      </c>
      <c r="E1707" s="6" t="s">
        <v>15</v>
      </c>
      <c r="F1707" s="7">
        <v>516</v>
      </c>
      <c r="G1707" s="7">
        <v>812917.01550387591</v>
      </c>
      <c r="H1707" s="7">
        <v>419465180</v>
      </c>
      <c r="I1707" s="7">
        <v>42223381</v>
      </c>
      <c r="J1707" s="7">
        <v>0</v>
      </c>
      <c r="K1707">
        <f t="shared" si="26"/>
        <v>120</v>
      </c>
      <c r="L1707" s="8" t="str" cm="1">
        <f t="array" ref="L1707">_xlfn.IFS(
 AND(K1707&gt;=89,K1707&lt;=92),"3개월",
 AND(K1707&gt;=58,K1707&lt;=62),"2개월",
 AND(K1707&gt;=28,K1707&lt;=32),"1개월",
 AND(K1707=0),"당월",
 TRUE,"그외"
)</f>
        <v>그외</v>
      </c>
    </row>
    <row r="1708" spans="1:12" ht="17.649999999999999" customHeight="1" x14ac:dyDescent="0.3">
      <c r="A1708" s="5">
        <v>46174</v>
      </c>
      <c r="B1708" s="6" t="s">
        <v>84</v>
      </c>
      <c r="C1708" s="6" t="s">
        <v>85</v>
      </c>
      <c r="D1708" s="5">
        <v>46082</v>
      </c>
      <c r="E1708" s="6" t="s">
        <v>14</v>
      </c>
      <c r="F1708" s="7">
        <v>67</v>
      </c>
      <c r="G1708" s="7">
        <v>699910.44776119408</v>
      </c>
      <c r="H1708" s="7">
        <v>46894000</v>
      </c>
      <c r="I1708" s="7">
        <v>4394000</v>
      </c>
      <c r="J1708" s="7">
        <v>0</v>
      </c>
      <c r="K1708">
        <f t="shared" si="26"/>
        <v>92</v>
      </c>
      <c r="L1708" s="8" t="str" cm="1">
        <f t="array" ref="L1708">_xlfn.IFS(
 AND(K1708&gt;=89,K1708&lt;=92),"3개월",
 AND(K1708&gt;=58,K1708&lt;=62),"2개월",
 AND(K1708&gt;=28,K1708&lt;=32),"1개월",
 AND(K1708=0),"당월",
 TRUE,"그외"
)</f>
        <v>3개월</v>
      </c>
    </row>
    <row r="1709" spans="1:12" ht="17.649999999999999" customHeight="1" x14ac:dyDescent="0.3">
      <c r="A1709" s="5">
        <v>46174</v>
      </c>
      <c r="B1709" s="6" t="s">
        <v>84</v>
      </c>
      <c r="C1709" s="6" t="s">
        <v>85</v>
      </c>
      <c r="D1709" s="5">
        <v>46082</v>
      </c>
      <c r="E1709" s="6" t="s">
        <v>15</v>
      </c>
      <c r="F1709" s="7">
        <v>1171</v>
      </c>
      <c r="G1709" s="7">
        <v>897586.71135781379</v>
      </c>
      <c r="H1709" s="7">
        <v>1051074039</v>
      </c>
      <c r="I1709" s="7">
        <v>108915679</v>
      </c>
      <c r="J1709" s="7">
        <v>0</v>
      </c>
      <c r="K1709">
        <f t="shared" si="26"/>
        <v>92</v>
      </c>
      <c r="L1709" s="8" t="str" cm="1">
        <f t="array" ref="L1709">_xlfn.IFS(
 AND(K1709&gt;=89,K1709&lt;=92),"3개월",
 AND(K1709&gt;=58,K1709&lt;=62),"2개월",
 AND(K1709&gt;=28,K1709&lt;=32),"1개월",
 AND(K1709=0),"당월",
 TRUE,"그외"
)</f>
        <v>3개월</v>
      </c>
    </row>
    <row r="1710" spans="1:12" ht="17.649999999999999" customHeight="1" x14ac:dyDescent="0.3">
      <c r="A1710" s="5">
        <v>46174</v>
      </c>
      <c r="B1710" s="6" t="s">
        <v>84</v>
      </c>
      <c r="C1710" s="6" t="s">
        <v>85</v>
      </c>
      <c r="D1710" s="5">
        <v>46113</v>
      </c>
      <c r="E1710" s="6" t="s">
        <v>14</v>
      </c>
      <c r="F1710" s="7">
        <v>46</v>
      </c>
      <c r="G1710" s="7">
        <v>876943.47826086951</v>
      </c>
      <c r="H1710" s="7">
        <v>40339400</v>
      </c>
      <c r="I1710" s="7">
        <v>9839400</v>
      </c>
      <c r="J1710" s="7">
        <v>0</v>
      </c>
      <c r="K1710">
        <f t="shared" si="26"/>
        <v>61</v>
      </c>
      <c r="L1710" s="8" t="str" cm="1">
        <f t="array" ref="L1710">_xlfn.IFS(
 AND(K1710&gt;=89,K1710&lt;=92),"3개월",
 AND(K1710&gt;=58,K1710&lt;=62),"2개월",
 AND(K1710&gt;=28,K1710&lt;=32),"1개월",
 AND(K1710=0),"당월",
 TRUE,"그외"
)</f>
        <v>2개월</v>
      </c>
    </row>
    <row r="1711" spans="1:12" ht="17.649999999999999" customHeight="1" x14ac:dyDescent="0.3">
      <c r="A1711" s="5">
        <v>46174</v>
      </c>
      <c r="B1711" s="6" t="s">
        <v>84</v>
      </c>
      <c r="C1711" s="6" t="s">
        <v>85</v>
      </c>
      <c r="D1711" s="5">
        <v>46113</v>
      </c>
      <c r="E1711" s="6" t="s">
        <v>15</v>
      </c>
      <c r="F1711" s="7">
        <v>613</v>
      </c>
      <c r="G1711" s="7">
        <v>882691.35399673739</v>
      </c>
      <c r="H1711" s="7">
        <v>541089800</v>
      </c>
      <c r="I1711" s="7">
        <v>126639794</v>
      </c>
      <c r="J1711" s="7">
        <v>0</v>
      </c>
      <c r="K1711">
        <f t="shared" si="26"/>
        <v>61</v>
      </c>
      <c r="L1711" s="8" t="str" cm="1">
        <f t="array" ref="L1711">_xlfn.IFS(
 AND(K1711&gt;=89,K1711&lt;=92),"3개월",
 AND(K1711&gt;=58,K1711&lt;=62),"2개월",
 AND(K1711&gt;=28,K1711&lt;=32),"1개월",
 AND(K1711=0),"당월",
 TRUE,"그외"
)</f>
        <v>2개월</v>
      </c>
    </row>
    <row r="1712" spans="1:12" ht="17.649999999999999" customHeight="1" x14ac:dyDescent="0.3">
      <c r="A1712" s="5">
        <v>46174</v>
      </c>
      <c r="B1712" s="6" t="s">
        <v>84</v>
      </c>
      <c r="C1712" s="6" t="s">
        <v>85</v>
      </c>
      <c r="D1712" s="5">
        <v>46143</v>
      </c>
      <c r="E1712" s="6" t="s">
        <v>15</v>
      </c>
      <c r="F1712" s="7">
        <v>127</v>
      </c>
      <c r="G1712" s="7">
        <v>816304.18110236223</v>
      </c>
      <c r="H1712" s="7">
        <v>103670631</v>
      </c>
      <c r="I1712" s="7">
        <v>35917054</v>
      </c>
      <c r="J1712" s="7">
        <v>0</v>
      </c>
      <c r="K1712">
        <f t="shared" si="26"/>
        <v>31</v>
      </c>
      <c r="L1712" s="8" t="str" cm="1">
        <f t="array" ref="L1712">_xlfn.IFS(
 AND(K1712&gt;=89,K1712&lt;=92),"3개월",
 AND(K1712&gt;=58,K1712&lt;=62),"2개월",
 AND(K1712&gt;=28,K1712&lt;=32),"1개월",
 AND(K1712=0),"당월",
 TRUE,"그외"
)</f>
        <v>1개월</v>
      </c>
    </row>
    <row r="1713" spans="1:12" ht="17.649999999999999" customHeight="1" x14ac:dyDescent="0.3">
      <c r="A1713" s="5">
        <v>46174</v>
      </c>
      <c r="B1713" s="6" t="s">
        <v>84</v>
      </c>
      <c r="C1713" s="6" t="s">
        <v>86</v>
      </c>
      <c r="D1713" s="5">
        <v>45809</v>
      </c>
      <c r="E1713" s="6" t="s">
        <v>15</v>
      </c>
      <c r="F1713" s="7">
        <v>1</v>
      </c>
      <c r="G1713" s="7">
        <v>898900</v>
      </c>
      <c r="H1713" s="7">
        <v>898900</v>
      </c>
      <c r="I1713" s="7">
        <v>78900</v>
      </c>
      <c r="J1713" s="7">
        <v>0</v>
      </c>
      <c r="K1713">
        <f t="shared" si="26"/>
        <v>365</v>
      </c>
      <c r="L1713" s="8" t="str" cm="1">
        <f t="array" ref="L1713">_xlfn.IFS(
 AND(K1713&gt;=89,K1713&lt;=92),"3개월",
 AND(K1713&gt;=58,K1713&lt;=62),"2개월",
 AND(K1713&gt;=28,K1713&lt;=32),"1개월",
 AND(K1713=0),"당월",
 TRUE,"그외"
)</f>
        <v>그외</v>
      </c>
    </row>
    <row r="1714" spans="1:12" ht="17.649999999999999" customHeight="1" x14ac:dyDescent="0.3">
      <c r="A1714" s="5">
        <v>46174</v>
      </c>
      <c r="B1714" s="6" t="s">
        <v>84</v>
      </c>
      <c r="C1714" s="6" t="s">
        <v>86</v>
      </c>
      <c r="D1714" s="5">
        <v>45931</v>
      </c>
      <c r="E1714" s="6" t="s">
        <v>15</v>
      </c>
      <c r="F1714" s="7">
        <v>398</v>
      </c>
      <c r="G1714" s="7">
        <v>760707.33919597988</v>
      </c>
      <c r="H1714" s="7">
        <v>302761521</v>
      </c>
      <c r="I1714" s="7">
        <v>35332251</v>
      </c>
      <c r="J1714" s="7">
        <v>0</v>
      </c>
      <c r="K1714">
        <f t="shared" si="26"/>
        <v>243</v>
      </c>
      <c r="L1714" s="8" t="str" cm="1">
        <f t="array" ref="L1714">_xlfn.IFS(
 AND(K1714&gt;=89,K1714&lt;=92),"3개월",
 AND(K1714&gt;=58,K1714&lt;=62),"2개월",
 AND(K1714&gt;=28,K1714&lt;=32),"1개월",
 AND(K1714=0),"당월",
 TRUE,"그외"
)</f>
        <v>그외</v>
      </c>
    </row>
    <row r="1715" spans="1:12" ht="17.649999999999999" customHeight="1" x14ac:dyDescent="0.3">
      <c r="A1715" s="5">
        <v>46174</v>
      </c>
      <c r="B1715" s="6" t="s">
        <v>84</v>
      </c>
      <c r="C1715" s="6" t="s">
        <v>86</v>
      </c>
      <c r="D1715" s="5">
        <v>45962</v>
      </c>
      <c r="E1715" s="6" t="s">
        <v>15</v>
      </c>
      <c r="F1715" s="7">
        <v>646</v>
      </c>
      <c r="G1715" s="7">
        <v>616529.9489164087</v>
      </c>
      <c r="H1715" s="7">
        <v>398278347</v>
      </c>
      <c r="I1715" s="7">
        <v>53283151</v>
      </c>
      <c r="J1715" s="7">
        <v>0</v>
      </c>
      <c r="K1715">
        <f t="shared" si="26"/>
        <v>212</v>
      </c>
      <c r="L1715" s="8" t="str" cm="1">
        <f t="array" ref="L1715">_xlfn.IFS(
 AND(K1715&gt;=89,K1715&lt;=92),"3개월",
 AND(K1715&gt;=58,K1715&lt;=62),"2개월",
 AND(K1715&gt;=28,K1715&lt;=32),"1개월",
 AND(K1715=0),"당월",
 TRUE,"그외"
)</f>
        <v>그외</v>
      </c>
    </row>
    <row r="1716" spans="1:12" ht="17.649999999999999" customHeight="1" x14ac:dyDescent="0.3">
      <c r="A1716" s="5">
        <v>46174</v>
      </c>
      <c r="B1716" s="6" t="s">
        <v>84</v>
      </c>
      <c r="C1716" s="6" t="s">
        <v>86</v>
      </c>
      <c r="D1716" s="5">
        <v>45992</v>
      </c>
      <c r="E1716" s="6" t="s">
        <v>15</v>
      </c>
      <c r="F1716" s="7">
        <v>662</v>
      </c>
      <c r="G1716" s="7">
        <v>698085.30362537759</v>
      </c>
      <c r="H1716" s="7">
        <v>462132471</v>
      </c>
      <c r="I1716" s="7">
        <v>60621962</v>
      </c>
      <c r="J1716" s="7">
        <v>0</v>
      </c>
      <c r="K1716">
        <f t="shared" si="26"/>
        <v>182</v>
      </c>
      <c r="L1716" s="8" t="str" cm="1">
        <f t="array" ref="L1716">_xlfn.IFS(
 AND(K1716&gt;=89,K1716&lt;=92),"3개월",
 AND(K1716&gt;=58,K1716&lt;=62),"2개월",
 AND(K1716&gt;=28,K1716&lt;=32),"1개월",
 AND(K1716=0),"당월",
 TRUE,"그외"
)</f>
        <v>그외</v>
      </c>
    </row>
    <row r="1717" spans="1:12" ht="17.649999999999999" customHeight="1" x14ac:dyDescent="0.3">
      <c r="A1717" s="5">
        <v>46174</v>
      </c>
      <c r="B1717" s="6" t="s">
        <v>84</v>
      </c>
      <c r="C1717" s="6" t="s">
        <v>86</v>
      </c>
      <c r="D1717" s="5">
        <v>46023</v>
      </c>
      <c r="E1717" s="6" t="s">
        <v>15</v>
      </c>
      <c r="F1717" s="7">
        <v>1254</v>
      </c>
      <c r="G1717" s="7">
        <v>672173.88835725677</v>
      </c>
      <c r="H1717" s="7">
        <v>842906056</v>
      </c>
      <c r="I1717" s="7">
        <v>116144507</v>
      </c>
      <c r="J1717" s="7">
        <v>0</v>
      </c>
      <c r="K1717">
        <f t="shared" si="26"/>
        <v>151</v>
      </c>
      <c r="L1717" s="8" t="str" cm="1">
        <f t="array" ref="L1717">_xlfn.IFS(
 AND(K1717&gt;=89,K1717&lt;=92),"3개월",
 AND(K1717&gt;=58,K1717&lt;=62),"2개월",
 AND(K1717&gt;=28,K1717&lt;=32),"1개월",
 AND(K1717=0),"당월",
 TRUE,"그외"
)</f>
        <v>그외</v>
      </c>
    </row>
    <row r="1718" spans="1:12" ht="17.649999999999999" customHeight="1" x14ac:dyDescent="0.3">
      <c r="A1718" s="5">
        <v>46174</v>
      </c>
      <c r="B1718" s="6" t="s">
        <v>84</v>
      </c>
      <c r="C1718" s="6" t="s">
        <v>86</v>
      </c>
      <c r="D1718" s="5">
        <v>46054</v>
      </c>
      <c r="E1718" s="6" t="s">
        <v>14</v>
      </c>
      <c r="F1718" s="7">
        <v>40</v>
      </c>
      <c r="G1718" s="7">
        <v>604400</v>
      </c>
      <c r="H1718" s="7">
        <v>24176000</v>
      </c>
      <c r="I1718" s="7">
        <v>2176000</v>
      </c>
      <c r="J1718" s="7">
        <v>0</v>
      </c>
      <c r="K1718">
        <f t="shared" si="26"/>
        <v>120</v>
      </c>
      <c r="L1718" s="8" t="str" cm="1">
        <f t="array" ref="L1718">_xlfn.IFS(
 AND(K1718&gt;=89,K1718&lt;=92),"3개월",
 AND(K1718&gt;=58,K1718&lt;=62),"2개월",
 AND(K1718&gt;=28,K1718&lt;=32),"1개월",
 AND(K1718=0),"당월",
 TRUE,"그외"
)</f>
        <v>그외</v>
      </c>
    </row>
    <row r="1719" spans="1:12" ht="17.649999999999999" customHeight="1" x14ac:dyDescent="0.3">
      <c r="A1719" s="5">
        <v>46174</v>
      </c>
      <c r="B1719" s="6" t="s">
        <v>84</v>
      </c>
      <c r="C1719" s="6" t="s">
        <v>86</v>
      </c>
      <c r="D1719" s="5">
        <v>46054</v>
      </c>
      <c r="E1719" s="6" t="s">
        <v>15</v>
      </c>
      <c r="F1719" s="7">
        <v>1267</v>
      </c>
      <c r="G1719" s="7">
        <v>738913.66219415946</v>
      </c>
      <c r="H1719" s="7">
        <v>936203610</v>
      </c>
      <c r="I1719" s="7">
        <v>91791238</v>
      </c>
      <c r="J1719" s="7">
        <v>0</v>
      </c>
      <c r="K1719">
        <f t="shared" si="26"/>
        <v>120</v>
      </c>
      <c r="L1719" s="8" t="str" cm="1">
        <f t="array" ref="L1719">_xlfn.IFS(
 AND(K1719&gt;=89,K1719&lt;=92),"3개월",
 AND(K1719&gt;=58,K1719&lt;=62),"2개월",
 AND(K1719&gt;=28,K1719&lt;=32),"1개월",
 AND(K1719=0),"당월",
 TRUE,"그외"
)</f>
        <v>그외</v>
      </c>
    </row>
    <row r="1720" spans="1:12" ht="17.649999999999999" customHeight="1" x14ac:dyDescent="0.3">
      <c r="A1720" s="5">
        <v>46174</v>
      </c>
      <c r="B1720" s="6" t="s">
        <v>84</v>
      </c>
      <c r="C1720" s="6" t="s">
        <v>86</v>
      </c>
      <c r="D1720" s="5">
        <v>46082</v>
      </c>
      <c r="E1720" s="6" t="s">
        <v>14</v>
      </c>
      <c r="F1720" s="7">
        <v>1466</v>
      </c>
      <c r="G1720" s="7">
        <v>499662.65688949521</v>
      </c>
      <c r="H1720" s="7">
        <v>732505455</v>
      </c>
      <c r="I1720" s="7">
        <v>99101600</v>
      </c>
      <c r="J1720" s="7">
        <v>0</v>
      </c>
      <c r="K1720">
        <f t="shared" si="26"/>
        <v>92</v>
      </c>
      <c r="L1720" s="8" t="str" cm="1">
        <f t="array" ref="L1720">_xlfn.IFS(
 AND(K1720&gt;=89,K1720&lt;=92),"3개월",
 AND(K1720&gt;=58,K1720&lt;=62),"2개월",
 AND(K1720&gt;=28,K1720&lt;=32),"1개월",
 AND(K1720=0),"당월",
 TRUE,"그외"
)</f>
        <v>3개월</v>
      </c>
    </row>
    <row r="1721" spans="1:12" ht="17.649999999999999" customHeight="1" x14ac:dyDescent="0.3">
      <c r="A1721" s="5">
        <v>46174</v>
      </c>
      <c r="B1721" s="6" t="s">
        <v>84</v>
      </c>
      <c r="C1721" s="6" t="s">
        <v>86</v>
      </c>
      <c r="D1721" s="5">
        <v>46082</v>
      </c>
      <c r="E1721" s="6" t="s">
        <v>15</v>
      </c>
      <c r="F1721" s="7">
        <v>3394</v>
      </c>
      <c r="G1721" s="7">
        <v>818306.41573364765</v>
      </c>
      <c r="H1721" s="7">
        <v>2777331975</v>
      </c>
      <c r="I1721" s="7">
        <v>274417466</v>
      </c>
      <c r="J1721" s="7">
        <v>0</v>
      </c>
      <c r="K1721">
        <f t="shared" si="26"/>
        <v>92</v>
      </c>
      <c r="L1721" s="8" t="str" cm="1">
        <f t="array" ref="L1721">_xlfn.IFS(
 AND(K1721&gt;=89,K1721&lt;=92),"3개월",
 AND(K1721&gt;=58,K1721&lt;=62),"2개월",
 AND(K1721&gt;=28,K1721&lt;=32),"1개월",
 AND(K1721=0),"당월",
 TRUE,"그외"
)</f>
        <v>3개월</v>
      </c>
    </row>
    <row r="1722" spans="1:12" ht="17.649999999999999" customHeight="1" x14ac:dyDescent="0.3">
      <c r="A1722" s="5">
        <v>46174</v>
      </c>
      <c r="B1722" s="6" t="s">
        <v>84</v>
      </c>
      <c r="C1722" s="6" t="s">
        <v>86</v>
      </c>
      <c r="D1722" s="5">
        <v>46113</v>
      </c>
      <c r="E1722" s="6" t="s">
        <v>14</v>
      </c>
      <c r="F1722" s="7">
        <v>958</v>
      </c>
      <c r="G1722" s="7">
        <v>633365.89979123173</v>
      </c>
      <c r="H1722" s="7">
        <v>606764532</v>
      </c>
      <c r="I1722" s="7">
        <v>203970800</v>
      </c>
      <c r="J1722" s="7">
        <v>0</v>
      </c>
      <c r="K1722">
        <f t="shared" si="26"/>
        <v>61</v>
      </c>
      <c r="L1722" s="8" t="str" cm="1">
        <f t="array" ref="L1722">_xlfn.IFS(
 AND(K1722&gt;=89,K1722&lt;=92),"3개월",
 AND(K1722&gt;=58,K1722&lt;=62),"2개월",
 AND(K1722&gt;=28,K1722&lt;=32),"1개월",
 AND(K1722=0),"당월",
 TRUE,"그외"
)</f>
        <v>2개월</v>
      </c>
    </row>
    <row r="1723" spans="1:12" ht="17.649999999999999" customHeight="1" x14ac:dyDescent="0.3">
      <c r="A1723" s="5">
        <v>46174</v>
      </c>
      <c r="B1723" s="6" t="s">
        <v>84</v>
      </c>
      <c r="C1723" s="6" t="s">
        <v>86</v>
      </c>
      <c r="D1723" s="5">
        <v>46113</v>
      </c>
      <c r="E1723" s="6" t="s">
        <v>15</v>
      </c>
      <c r="F1723" s="7">
        <v>1030</v>
      </c>
      <c r="G1723" s="7">
        <v>933526.00873786409</v>
      </c>
      <c r="H1723" s="7">
        <v>961531789</v>
      </c>
      <c r="I1723" s="7">
        <v>212637414</v>
      </c>
      <c r="J1723" s="7">
        <v>0</v>
      </c>
      <c r="K1723">
        <f t="shared" si="26"/>
        <v>61</v>
      </c>
      <c r="L1723" s="8" t="str" cm="1">
        <f t="array" ref="L1723">_xlfn.IFS(
 AND(K1723&gt;=89,K1723&lt;=92),"3개월",
 AND(K1723&gt;=58,K1723&lt;=62),"2개월",
 AND(K1723&gt;=28,K1723&lt;=32),"1개월",
 AND(K1723=0),"당월",
 TRUE,"그외"
)</f>
        <v>2개월</v>
      </c>
    </row>
    <row r="1724" spans="1:12" ht="17.649999999999999" customHeight="1" x14ac:dyDescent="0.3">
      <c r="A1724" s="5">
        <v>46174</v>
      </c>
      <c r="B1724" s="6" t="s">
        <v>84</v>
      </c>
      <c r="C1724" s="6" t="s">
        <v>86</v>
      </c>
      <c r="D1724" s="5">
        <v>46143</v>
      </c>
      <c r="E1724" s="6" t="s">
        <v>14</v>
      </c>
      <c r="F1724" s="7">
        <v>13</v>
      </c>
      <c r="G1724" s="7">
        <v>5986738.461538462</v>
      </c>
      <c r="H1724" s="7">
        <v>77827600</v>
      </c>
      <c r="I1724" s="7">
        <v>1627600</v>
      </c>
      <c r="J1724" s="7">
        <v>0</v>
      </c>
      <c r="K1724">
        <f t="shared" si="26"/>
        <v>31</v>
      </c>
      <c r="L1724" s="8" t="str" cm="1">
        <f t="array" ref="L1724">_xlfn.IFS(
 AND(K1724&gt;=89,K1724&lt;=92),"3개월",
 AND(K1724&gt;=58,K1724&lt;=62),"2개월",
 AND(K1724&gt;=28,K1724&lt;=32),"1개월",
 AND(K1724=0),"당월",
 TRUE,"그외"
)</f>
        <v>1개월</v>
      </c>
    </row>
    <row r="1725" spans="1:12" ht="17.649999999999999" customHeight="1" x14ac:dyDescent="0.3">
      <c r="A1725" s="5">
        <v>46174</v>
      </c>
      <c r="B1725" s="6" t="s">
        <v>84</v>
      </c>
      <c r="C1725" s="6" t="s">
        <v>86</v>
      </c>
      <c r="D1725" s="5">
        <v>46143</v>
      </c>
      <c r="E1725" s="6" t="s">
        <v>15</v>
      </c>
      <c r="F1725" s="7">
        <v>280</v>
      </c>
      <c r="G1725" s="7">
        <v>664626.79642857146</v>
      </c>
      <c r="H1725" s="7">
        <v>186095503</v>
      </c>
      <c r="I1725" s="7">
        <v>61095788</v>
      </c>
      <c r="J1725" s="7">
        <v>0</v>
      </c>
      <c r="K1725">
        <f t="shared" si="26"/>
        <v>31</v>
      </c>
      <c r="L1725" s="8" t="str" cm="1">
        <f t="array" ref="L1725">_xlfn.IFS(
 AND(K1725&gt;=89,K1725&lt;=92),"3개월",
 AND(K1725&gt;=58,K1725&lt;=62),"2개월",
 AND(K1725&gt;=28,K1725&lt;=32),"1개월",
 AND(K1725=0),"당월",
 TRUE,"그외"
)</f>
        <v>1개월</v>
      </c>
    </row>
    <row r="1726" spans="1:12" ht="17.649999999999999" customHeight="1" x14ac:dyDescent="0.3">
      <c r="A1726" s="5">
        <v>46174</v>
      </c>
      <c r="B1726" s="6" t="s">
        <v>84</v>
      </c>
      <c r="C1726" s="6" t="s">
        <v>87</v>
      </c>
      <c r="D1726" s="5">
        <v>45931</v>
      </c>
      <c r="E1726" s="6" t="s">
        <v>15</v>
      </c>
      <c r="F1726" s="7">
        <v>119</v>
      </c>
      <c r="G1726" s="7">
        <v>453661.42016806721</v>
      </c>
      <c r="H1726" s="7">
        <v>53985709</v>
      </c>
      <c r="I1726" s="7">
        <v>12220650</v>
      </c>
      <c r="J1726" s="7">
        <v>0</v>
      </c>
      <c r="K1726">
        <f t="shared" si="26"/>
        <v>243</v>
      </c>
      <c r="L1726" s="8" t="str" cm="1">
        <f t="array" ref="L1726">_xlfn.IFS(
 AND(K1726&gt;=89,K1726&lt;=92),"3개월",
 AND(K1726&gt;=58,K1726&lt;=62),"2개월",
 AND(K1726&gt;=28,K1726&lt;=32),"1개월",
 AND(K1726=0),"당월",
 TRUE,"그외"
)</f>
        <v>그외</v>
      </c>
    </row>
    <row r="1727" spans="1:12" ht="17.649999999999999" customHeight="1" x14ac:dyDescent="0.3">
      <c r="A1727" s="5">
        <v>46174</v>
      </c>
      <c r="B1727" s="6" t="s">
        <v>84</v>
      </c>
      <c r="C1727" s="6" t="s">
        <v>87</v>
      </c>
      <c r="D1727" s="5">
        <v>45962</v>
      </c>
      <c r="E1727" s="6" t="s">
        <v>15</v>
      </c>
      <c r="F1727" s="7">
        <v>272</v>
      </c>
      <c r="G1727" s="7">
        <v>426774.45220588229</v>
      </c>
      <c r="H1727" s="7">
        <v>116082651</v>
      </c>
      <c r="I1727" s="7">
        <v>23198253</v>
      </c>
      <c r="J1727" s="7">
        <v>0</v>
      </c>
      <c r="K1727">
        <f t="shared" si="26"/>
        <v>212</v>
      </c>
      <c r="L1727" s="8" t="str" cm="1">
        <f t="array" ref="L1727">_xlfn.IFS(
 AND(K1727&gt;=89,K1727&lt;=92),"3개월",
 AND(K1727&gt;=58,K1727&lt;=62),"2개월",
 AND(K1727&gt;=28,K1727&lt;=32),"1개월",
 AND(K1727=0),"당월",
 TRUE,"그외"
)</f>
        <v>그외</v>
      </c>
    </row>
    <row r="1728" spans="1:12" ht="17.649999999999999" customHeight="1" x14ac:dyDescent="0.3">
      <c r="A1728" s="5">
        <v>46174</v>
      </c>
      <c r="B1728" s="6" t="s">
        <v>84</v>
      </c>
      <c r="C1728" s="6" t="s">
        <v>87</v>
      </c>
      <c r="D1728" s="5">
        <v>45992</v>
      </c>
      <c r="E1728" s="6" t="s">
        <v>15</v>
      </c>
      <c r="F1728" s="7">
        <v>254</v>
      </c>
      <c r="G1728" s="7">
        <v>532257.40157480317</v>
      </c>
      <c r="H1728" s="7">
        <v>135193380</v>
      </c>
      <c r="I1728" s="7">
        <v>25492757</v>
      </c>
      <c r="J1728" s="7">
        <v>0</v>
      </c>
      <c r="K1728">
        <f t="shared" si="26"/>
        <v>182</v>
      </c>
      <c r="L1728" s="8" t="str" cm="1">
        <f t="array" ref="L1728">_xlfn.IFS(
 AND(K1728&gt;=89,K1728&lt;=92),"3개월",
 AND(K1728&gt;=58,K1728&lt;=62),"2개월",
 AND(K1728&gt;=28,K1728&lt;=32),"1개월",
 AND(K1728=0),"당월",
 TRUE,"그외"
)</f>
        <v>그외</v>
      </c>
    </row>
    <row r="1729" spans="1:12" ht="17.649999999999999" customHeight="1" x14ac:dyDescent="0.3">
      <c r="A1729" s="5">
        <v>46174</v>
      </c>
      <c r="B1729" s="6" t="s">
        <v>84</v>
      </c>
      <c r="C1729" s="6" t="s">
        <v>87</v>
      </c>
      <c r="D1729" s="5">
        <v>46023</v>
      </c>
      <c r="E1729" s="6" t="s">
        <v>14</v>
      </c>
      <c r="F1729" s="7">
        <v>19</v>
      </c>
      <c r="G1729" s="7">
        <v>379400</v>
      </c>
      <c r="H1729" s="7">
        <v>7208600</v>
      </c>
      <c r="I1729" s="7">
        <v>1508600</v>
      </c>
      <c r="J1729" s="7">
        <v>0</v>
      </c>
      <c r="K1729">
        <f t="shared" si="26"/>
        <v>151</v>
      </c>
      <c r="L1729" s="8" t="str" cm="1">
        <f t="array" ref="L1729">_xlfn.IFS(
 AND(K1729&gt;=89,K1729&lt;=92),"3개월",
 AND(K1729&gt;=58,K1729&lt;=62),"2개월",
 AND(K1729&gt;=28,K1729&lt;=32),"1개월",
 AND(K1729=0),"당월",
 TRUE,"그외"
)</f>
        <v>그외</v>
      </c>
    </row>
    <row r="1730" spans="1:12" ht="17.649999999999999" customHeight="1" x14ac:dyDescent="0.3">
      <c r="A1730" s="5">
        <v>46174</v>
      </c>
      <c r="B1730" s="6" t="s">
        <v>84</v>
      </c>
      <c r="C1730" s="6" t="s">
        <v>87</v>
      </c>
      <c r="D1730" s="5">
        <v>46023</v>
      </c>
      <c r="E1730" s="6" t="s">
        <v>15</v>
      </c>
      <c r="F1730" s="7">
        <v>578</v>
      </c>
      <c r="G1730" s="7">
        <v>495593.94809688581</v>
      </c>
      <c r="H1730" s="7">
        <v>286453302</v>
      </c>
      <c r="I1730" s="7">
        <v>55433327</v>
      </c>
      <c r="J1730" s="7">
        <v>0</v>
      </c>
      <c r="K1730">
        <f t="shared" si="26"/>
        <v>151</v>
      </c>
      <c r="L1730" s="8" t="str" cm="1">
        <f t="array" ref="L1730">_xlfn.IFS(
 AND(K1730&gt;=89,K1730&lt;=92),"3개월",
 AND(K1730&gt;=58,K1730&lt;=62),"2개월",
 AND(K1730&gt;=28,K1730&lt;=32),"1개월",
 AND(K1730=0),"당월",
 TRUE,"그외"
)</f>
        <v>그외</v>
      </c>
    </row>
    <row r="1731" spans="1:12" ht="17.649999999999999" customHeight="1" x14ac:dyDescent="0.3">
      <c r="A1731" s="5">
        <v>46174</v>
      </c>
      <c r="B1731" s="6" t="s">
        <v>84</v>
      </c>
      <c r="C1731" s="6" t="s">
        <v>87</v>
      </c>
      <c r="D1731" s="5">
        <v>46054</v>
      </c>
      <c r="E1731" s="6" t="s">
        <v>15</v>
      </c>
      <c r="F1731" s="7">
        <v>642</v>
      </c>
      <c r="G1731" s="7">
        <v>493701.62305295951</v>
      </c>
      <c r="H1731" s="7">
        <v>316956442</v>
      </c>
      <c r="I1731" s="7">
        <v>50162870</v>
      </c>
      <c r="J1731" s="7">
        <v>0</v>
      </c>
      <c r="K1731">
        <f t="shared" si="26"/>
        <v>120</v>
      </c>
      <c r="L1731" s="8" t="str" cm="1">
        <f t="array" ref="L1731">_xlfn.IFS(
 AND(K1731&gt;=89,K1731&lt;=92),"3개월",
 AND(K1731&gt;=58,K1731&lt;=62),"2개월",
 AND(K1731&gt;=28,K1731&lt;=32),"1개월",
 AND(K1731=0),"당월",
 TRUE,"그외"
)</f>
        <v>그외</v>
      </c>
    </row>
    <row r="1732" spans="1:12" ht="17.649999999999999" customHeight="1" x14ac:dyDescent="0.3">
      <c r="A1732" s="5">
        <v>46174</v>
      </c>
      <c r="B1732" s="6" t="s">
        <v>84</v>
      </c>
      <c r="C1732" s="6" t="s">
        <v>87</v>
      </c>
      <c r="D1732" s="5">
        <v>46082</v>
      </c>
      <c r="E1732" s="6" t="s">
        <v>14</v>
      </c>
      <c r="F1732" s="7">
        <v>522</v>
      </c>
      <c r="G1732" s="7">
        <v>367334.98850574711</v>
      </c>
      <c r="H1732" s="7">
        <v>191748864</v>
      </c>
      <c r="I1732" s="7">
        <v>35287200</v>
      </c>
      <c r="J1732" s="7">
        <v>0</v>
      </c>
      <c r="K1732">
        <f t="shared" si="26"/>
        <v>92</v>
      </c>
      <c r="L1732" s="8" t="str" cm="1">
        <f t="array" ref="L1732">_xlfn.IFS(
 AND(K1732&gt;=89,K1732&lt;=92),"3개월",
 AND(K1732&gt;=58,K1732&lt;=62),"2개월",
 AND(K1732&gt;=28,K1732&lt;=32),"1개월",
 AND(K1732=0),"당월",
 TRUE,"그외"
)</f>
        <v>3개월</v>
      </c>
    </row>
    <row r="1733" spans="1:12" ht="17.649999999999999" customHeight="1" x14ac:dyDescent="0.3">
      <c r="A1733" s="5">
        <v>46174</v>
      </c>
      <c r="B1733" s="6" t="s">
        <v>84</v>
      </c>
      <c r="C1733" s="6" t="s">
        <v>87</v>
      </c>
      <c r="D1733" s="5">
        <v>46082</v>
      </c>
      <c r="E1733" s="6" t="s">
        <v>15</v>
      </c>
      <c r="F1733" s="7">
        <v>1888</v>
      </c>
      <c r="G1733" s="7">
        <v>569775.58527542371</v>
      </c>
      <c r="H1733" s="7">
        <v>1075736305</v>
      </c>
      <c r="I1733" s="7">
        <v>175183782</v>
      </c>
      <c r="J1733" s="7">
        <v>0</v>
      </c>
      <c r="K1733">
        <f t="shared" si="26"/>
        <v>92</v>
      </c>
      <c r="L1733" s="8" t="str" cm="1">
        <f t="array" ref="L1733">_xlfn.IFS(
 AND(K1733&gt;=89,K1733&lt;=92),"3개월",
 AND(K1733&gt;=58,K1733&lt;=62),"2개월",
 AND(K1733&gt;=28,K1733&lt;=32),"1개월",
 AND(K1733=0),"당월",
 TRUE,"그외"
)</f>
        <v>3개월</v>
      </c>
    </row>
    <row r="1734" spans="1:12" ht="17.649999999999999" customHeight="1" x14ac:dyDescent="0.3">
      <c r="A1734" s="5">
        <v>46174</v>
      </c>
      <c r="B1734" s="6" t="s">
        <v>84</v>
      </c>
      <c r="C1734" s="6" t="s">
        <v>87</v>
      </c>
      <c r="D1734" s="5">
        <v>46113</v>
      </c>
      <c r="E1734" s="6" t="s">
        <v>14</v>
      </c>
      <c r="F1734" s="7">
        <v>353</v>
      </c>
      <c r="G1734" s="7">
        <v>548198.15297450428</v>
      </c>
      <c r="H1734" s="7">
        <v>193513948</v>
      </c>
      <c r="I1734" s="7">
        <v>75214100</v>
      </c>
      <c r="J1734" s="7">
        <v>0</v>
      </c>
      <c r="K1734">
        <f t="shared" si="26"/>
        <v>61</v>
      </c>
      <c r="L1734" s="8" t="str" cm="1">
        <f t="array" ref="L1734">_xlfn.IFS(
 AND(K1734&gt;=89,K1734&lt;=92),"3개월",
 AND(K1734&gt;=58,K1734&lt;=62),"2개월",
 AND(K1734&gt;=28,K1734&lt;=32),"1개월",
 AND(K1734=0),"당월",
 TRUE,"그외"
)</f>
        <v>2개월</v>
      </c>
    </row>
    <row r="1735" spans="1:12" ht="17.649999999999999" customHeight="1" x14ac:dyDescent="0.3">
      <c r="A1735" s="5">
        <v>46174</v>
      </c>
      <c r="B1735" s="6" t="s">
        <v>84</v>
      </c>
      <c r="C1735" s="6" t="s">
        <v>87</v>
      </c>
      <c r="D1735" s="5">
        <v>46113</v>
      </c>
      <c r="E1735" s="6" t="s">
        <v>15</v>
      </c>
      <c r="F1735" s="7">
        <v>744</v>
      </c>
      <c r="G1735" s="7">
        <v>791604.625</v>
      </c>
      <c r="H1735" s="7">
        <v>588953841</v>
      </c>
      <c r="I1735" s="7">
        <v>159326424</v>
      </c>
      <c r="J1735" s="7">
        <v>0</v>
      </c>
      <c r="K1735">
        <f t="shared" si="26"/>
        <v>61</v>
      </c>
      <c r="L1735" s="8" t="str" cm="1">
        <f t="array" ref="L1735">_xlfn.IFS(
 AND(K1735&gt;=89,K1735&lt;=92),"3개월",
 AND(K1735&gt;=58,K1735&lt;=62),"2개월",
 AND(K1735&gt;=28,K1735&lt;=32),"1개월",
 AND(K1735=0),"당월",
 TRUE,"그외"
)</f>
        <v>2개월</v>
      </c>
    </row>
    <row r="1736" spans="1:12" ht="17.649999999999999" customHeight="1" x14ac:dyDescent="0.3">
      <c r="A1736" s="5">
        <v>46174</v>
      </c>
      <c r="B1736" s="6" t="s">
        <v>84</v>
      </c>
      <c r="C1736" s="6" t="s">
        <v>87</v>
      </c>
      <c r="D1736" s="5">
        <v>46143</v>
      </c>
      <c r="E1736" s="6" t="s">
        <v>15</v>
      </c>
      <c r="F1736" s="7">
        <v>111</v>
      </c>
      <c r="G1736" s="7">
        <v>704294.67567567562</v>
      </c>
      <c r="H1736" s="7">
        <v>78176709</v>
      </c>
      <c r="I1736" s="7">
        <v>29826049</v>
      </c>
      <c r="J1736" s="7">
        <v>0</v>
      </c>
      <c r="K1736">
        <f t="shared" si="26"/>
        <v>31</v>
      </c>
      <c r="L1736" s="8" t="str" cm="1">
        <f t="array" ref="L1736">_xlfn.IFS(
 AND(K1736&gt;=89,K1736&lt;=92),"3개월",
 AND(K1736&gt;=58,K1736&lt;=62),"2개월",
 AND(K1736&gt;=28,K1736&lt;=32),"1개월",
 AND(K1736=0),"당월",
 TRUE,"그외"
)</f>
        <v>1개월</v>
      </c>
    </row>
    <row r="1737" spans="1:12" ht="17.649999999999999" customHeight="1" x14ac:dyDescent="0.3">
      <c r="A1737" s="5">
        <v>46174</v>
      </c>
      <c r="B1737" s="6" t="s">
        <v>84</v>
      </c>
      <c r="C1737" s="6" t="s">
        <v>88</v>
      </c>
      <c r="D1737" s="5">
        <v>45931</v>
      </c>
      <c r="E1737" s="6" t="s">
        <v>15</v>
      </c>
      <c r="F1737" s="7">
        <v>91</v>
      </c>
      <c r="G1737" s="7">
        <v>872661.21978021984</v>
      </c>
      <c r="H1737" s="7">
        <v>79412171</v>
      </c>
      <c r="I1737" s="7">
        <v>7673826</v>
      </c>
      <c r="J1737" s="7">
        <v>0</v>
      </c>
      <c r="K1737">
        <f t="shared" si="26"/>
        <v>243</v>
      </c>
      <c r="L1737" s="8" t="str" cm="1">
        <f t="array" ref="L1737">_xlfn.IFS(
 AND(K1737&gt;=89,K1737&lt;=92),"3개월",
 AND(K1737&gt;=58,K1737&lt;=62),"2개월",
 AND(K1737&gt;=28,K1737&lt;=32),"1개월",
 AND(K1737=0),"당월",
 TRUE,"그외"
)</f>
        <v>그외</v>
      </c>
    </row>
    <row r="1738" spans="1:12" ht="17.649999999999999" customHeight="1" x14ac:dyDescent="0.3">
      <c r="A1738" s="5">
        <v>46174</v>
      </c>
      <c r="B1738" s="6" t="s">
        <v>84</v>
      </c>
      <c r="C1738" s="6" t="s">
        <v>88</v>
      </c>
      <c r="D1738" s="5">
        <v>45962</v>
      </c>
      <c r="E1738" s="6" t="s">
        <v>15</v>
      </c>
      <c r="F1738" s="7">
        <v>175</v>
      </c>
      <c r="G1738" s="7">
        <v>675307.97142857139</v>
      </c>
      <c r="H1738" s="7">
        <v>118178895</v>
      </c>
      <c r="I1738" s="7">
        <v>14325469</v>
      </c>
      <c r="J1738" s="7">
        <v>0</v>
      </c>
      <c r="K1738">
        <f t="shared" ref="K1738:K1801" si="27">A1738-D1738</f>
        <v>212</v>
      </c>
      <c r="L1738" s="8" t="str" cm="1">
        <f t="array" ref="L1738">_xlfn.IFS(
 AND(K1738&gt;=89,K1738&lt;=92),"3개월",
 AND(K1738&gt;=58,K1738&lt;=62),"2개월",
 AND(K1738&gt;=28,K1738&lt;=32),"1개월",
 AND(K1738=0),"당월",
 TRUE,"그외"
)</f>
        <v>그외</v>
      </c>
    </row>
    <row r="1739" spans="1:12" ht="17.649999999999999" customHeight="1" x14ac:dyDescent="0.3">
      <c r="A1739" s="5">
        <v>46174</v>
      </c>
      <c r="B1739" s="6" t="s">
        <v>84</v>
      </c>
      <c r="C1739" s="6" t="s">
        <v>88</v>
      </c>
      <c r="D1739" s="5">
        <v>45992</v>
      </c>
      <c r="E1739" s="6" t="s">
        <v>15</v>
      </c>
      <c r="F1739" s="7">
        <v>244</v>
      </c>
      <c r="G1739" s="7">
        <v>705085.60245901637</v>
      </c>
      <c r="H1739" s="7">
        <v>172040887</v>
      </c>
      <c r="I1739" s="7">
        <v>23295762</v>
      </c>
      <c r="J1739" s="7">
        <v>0</v>
      </c>
      <c r="K1739">
        <f t="shared" si="27"/>
        <v>182</v>
      </c>
      <c r="L1739" s="8" t="str" cm="1">
        <f t="array" ref="L1739">_xlfn.IFS(
 AND(K1739&gt;=89,K1739&lt;=92),"3개월",
 AND(K1739&gt;=58,K1739&lt;=62),"2개월",
 AND(K1739&gt;=28,K1739&lt;=32),"1개월",
 AND(K1739=0),"당월",
 TRUE,"그외"
)</f>
        <v>그외</v>
      </c>
    </row>
    <row r="1740" spans="1:12" ht="17.649999999999999" customHeight="1" x14ac:dyDescent="0.3">
      <c r="A1740" s="5">
        <v>46174</v>
      </c>
      <c r="B1740" s="6" t="s">
        <v>84</v>
      </c>
      <c r="C1740" s="6" t="s">
        <v>88</v>
      </c>
      <c r="D1740" s="5">
        <v>46023</v>
      </c>
      <c r="E1740" s="6" t="s">
        <v>15</v>
      </c>
      <c r="F1740" s="7">
        <v>475</v>
      </c>
      <c r="G1740" s="7">
        <v>729488.16631578945</v>
      </c>
      <c r="H1740" s="7">
        <v>346506879</v>
      </c>
      <c r="I1740" s="7">
        <v>45517793</v>
      </c>
      <c r="J1740" s="7">
        <v>0</v>
      </c>
      <c r="K1740">
        <f t="shared" si="27"/>
        <v>151</v>
      </c>
      <c r="L1740" s="8" t="str" cm="1">
        <f t="array" ref="L1740">_xlfn.IFS(
 AND(K1740&gt;=89,K1740&lt;=92),"3개월",
 AND(K1740&gt;=58,K1740&lt;=62),"2개월",
 AND(K1740&gt;=28,K1740&lt;=32),"1개월",
 AND(K1740=0),"당월",
 TRUE,"그외"
)</f>
        <v>그외</v>
      </c>
    </row>
    <row r="1741" spans="1:12" ht="17.649999999999999" customHeight="1" x14ac:dyDescent="0.3">
      <c r="A1741" s="5">
        <v>46174</v>
      </c>
      <c r="B1741" s="6" t="s">
        <v>84</v>
      </c>
      <c r="C1741" s="6" t="s">
        <v>88</v>
      </c>
      <c r="D1741" s="5">
        <v>46054</v>
      </c>
      <c r="E1741" s="6" t="s">
        <v>15</v>
      </c>
      <c r="F1741" s="7">
        <v>478</v>
      </c>
      <c r="G1741" s="7">
        <v>701734.59832635988</v>
      </c>
      <c r="H1741" s="7">
        <v>335429138</v>
      </c>
      <c r="I1741" s="7">
        <v>39673704</v>
      </c>
      <c r="J1741" s="7">
        <v>0</v>
      </c>
      <c r="K1741">
        <f t="shared" si="27"/>
        <v>120</v>
      </c>
      <c r="L1741" s="8" t="str" cm="1">
        <f t="array" ref="L1741">_xlfn.IFS(
 AND(K1741&gt;=89,K1741&lt;=92),"3개월",
 AND(K1741&gt;=58,K1741&lt;=62),"2개월",
 AND(K1741&gt;=28,K1741&lt;=32),"1개월",
 AND(K1741=0),"당월",
 TRUE,"그외"
)</f>
        <v>그외</v>
      </c>
    </row>
    <row r="1742" spans="1:12" ht="17.649999999999999" customHeight="1" x14ac:dyDescent="0.3">
      <c r="A1742" s="5">
        <v>46174</v>
      </c>
      <c r="B1742" s="6" t="s">
        <v>84</v>
      </c>
      <c r="C1742" s="6" t="s">
        <v>88</v>
      </c>
      <c r="D1742" s="5">
        <v>46082</v>
      </c>
      <c r="E1742" s="6" t="s">
        <v>14</v>
      </c>
      <c r="F1742" s="7">
        <v>255</v>
      </c>
      <c r="G1742" s="7">
        <v>561374.93333333335</v>
      </c>
      <c r="H1742" s="7">
        <v>143150608</v>
      </c>
      <c r="I1742" s="7">
        <v>17238000</v>
      </c>
      <c r="J1742" s="7">
        <v>0</v>
      </c>
      <c r="K1742">
        <f t="shared" si="27"/>
        <v>92</v>
      </c>
      <c r="L1742" s="8" t="str" cm="1">
        <f t="array" ref="L1742">_xlfn.IFS(
 AND(K1742&gt;=89,K1742&lt;=92),"3개월",
 AND(K1742&gt;=58,K1742&lt;=62),"2개월",
 AND(K1742&gt;=28,K1742&lt;=32),"1개월",
 AND(K1742=0),"당월",
 TRUE,"그외"
)</f>
        <v>3개월</v>
      </c>
    </row>
    <row r="1743" spans="1:12" ht="17.649999999999999" customHeight="1" x14ac:dyDescent="0.3">
      <c r="A1743" s="5">
        <v>46174</v>
      </c>
      <c r="B1743" s="6" t="s">
        <v>84</v>
      </c>
      <c r="C1743" s="6" t="s">
        <v>88</v>
      </c>
      <c r="D1743" s="5">
        <v>46082</v>
      </c>
      <c r="E1743" s="6" t="s">
        <v>15</v>
      </c>
      <c r="F1743" s="7">
        <v>1595</v>
      </c>
      <c r="G1743" s="7">
        <v>763336.91849529778</v>
      </c>
      <c r="H1743" s="7">
        <v>1217522385</v>
      </c>
      <c r="I1743" s="7">
        <v>148948921</v>
      </c>
      <c r="J1743" s="7">
        <v>0</v>
      </c>
      <c r="K1743">
        <f t="shared" si="27"/>
        <v>92</v>
      </c>
      <c r="L1743" s="8" t="str" cm="1">
        <f t="array" ref="L1743">_xlfn.IFS(
 AND(K1743&gt;=89,K1743&lt;=92),"3개월",
 AND(K1743&gt;=58,K1743&lt;=62),"2개월",
 AND(K1743&gt;=28,K1743&lt;=32),"1개월",
 AND(K1743=0),"당월",
 TRUE,"그외"
)</f>
        <v>3개월</v>
      </c>
    </row>
    <row r="1744" spans="1:12" ht="17.649999999999999" customHeight="1" x14ac:dyDescent="0.3">
      <c r="A1744" s="5">
        <v>46174</v>
      </c>
      <c r="B1744" s="6" t="s">
        <v>84</v>
      </c>
      <c r="C1744" s="6" t="s">
        <v>88</v>
      </c>
      <c r="D1744" s="5">
        <v>46113</v>
      </c>
      <c r="E1744" s="6" t="s">
        <v>14</v>
      </c>
      <c r="F1744" s="7">
        <v>194</v>
      </c>
      <c r="G1744" s="7">
        <v>691450.31958762882</v>
      </c>
      <c r="H1744" s="7">
        <v>134141362</v>
      </c>
      <c r="I1744" s="7">
        <v>41350300</v>
      </c>
      <c r="J1744" s="7">
        <v>0</v>
      </c>
      <c r="K1744">
        <f t="shared" si="27"/>
        <v>61</v>
      </c>
      <c r="L1744" s="8" t="str" cm="1">
        <f t="array" ref="L1744">_xlfn.IFS(
 AND(K1744&gt;=89,K1744&lt;=92),"3개월",
 AND(K1744&gt;=58,K1744&lt;=62),"2개월",
 AND(K1744&gt;=28,K1744&lt;=32),"1개월",
 AND(K1744=0),"당월",
 TRUE,"그외"
)</f>
        <v>2개월</v>
      </c>
    </row>
    <row r="1745" spans="1:12" ht="17.649999999999999" customHeight="1" x14ac:dyDescent="0.3">
      <c r="A1745" s="5">
        <v>46174</v>
      </c>
      <c r="B1745" s="6" t="s">
        <v>84</v>
      </c>
      <c r="C1745" s="6" t="s">
        <v>88</v>
      </c>
      <c r="D1745" s="5">
        <v>46113</v>
      </c>
      <c r="E1745" s="6" t="s">
        <v>15</v>
      </c>
      <c r="F1745" s="7">
        <v>993</v>
      </c>
      <c r="G1745" s="7">
        <v>1042237.744209466</v>
      </c>
      <c r="H1745" s="7">
        <v>1034942080</v>
      </c>
      <c r="I1745" s="7">
        <v>214717978</v>
      </c>
      <c r="J1745" s="7">
        <v>0</v>
      </c>
      <c r="K1745">
        <f t="shared" si="27"/>
        <v>61</v>
      </c>
      <c r="L1745" s="8" t="str" cm="1">
        <f t="array" ref="L1745">_xlfn.IFS(
 AND(K1745&gt;=89,K1745&lt;=92),"3개월",
 AND(K1745&gt;=58,K1745&lt;=62),"2개월",
 AND(K1745&gt;=28,K1745&lt;=32),"1개월",
 AND(K1745=0),"당월",
 TRUE,"그외"
)</f>
        <v>2개월</v>
      </c>
    </row>
    <row r="1746" spans="1:12" ht="17.649999999999999" customHeight="1" x14ac:dyDescent="0.3">
      <c r="A1746" s="5">
        <v>46174</v>
      </c>
      <c r="B1746" s="6" t="s">
        <v>84</v>
      </c>
      <c r="C1746" s="6" t="s">
        <v>88</v>
      </c>
      <c r="D1746" s="5">
        <v>46143</v>
      </c>
      <c r="E1746" s="6" t="s">
        <v>15</v>
      </c>
      <c r="F1746" s="7">
        <v>550</v>
      </c>
      <c r="G1746" s="7">
        <v>553120.1145454545</v>
      </c>
      <c r="H1746" s="7">
        <v>304216063</v>
      </c>
      <c r="I1746" s="7">
        <v>68023226</v>
      </c>
      <c r="J1746" s="7">
        <v>0</v>
      </c>
      <c r="K1746">
        <f t="shared" si="27"/>
        <v>31</v>
      </c>
      <c r="L1746" s="8" t="str" cm="1">
        <f t="array" ref="L1746">_xlfn.IFS(
 AND(K1746&gt;=89,K1746&lt;=92),"3개월",
 AND(K1746&gt;=58,K1746&lt;=62),"2개월",
 AND(K1746&gt;=28,K1746&lt;=32),"1개월",
 AND(K1746=0),"당월",
 TRUE,"그외"
)</f>
        <v>1개월</v>
      </c>
    </row>
    <row r="1747" spans="1:12" ht="17.649999999999999" customHeight="1" x14ac:dyDescent="0.3">
      <c r="A1747" s="5">
        <v>46174</v>
      </c>
      <c r="B1747" s="6" t="s">
        <v>89</v>
      </c>
      <c r="C1747" s="6" t="s">
        <v>90</v>
      </c>
      <c r="D1747" s="5">
        <v>45962</v>
      </c>
      <c r="E1747" s="6" t="s">
        <v>15</v>
      </c>
      <c r="F1747" s="7">
        <v>192</v>
      </c>
      <c r="G1747" s="7">
        <v>438502.296875</v>
      </c>
      <c r="H1747" s="7">
        <v>84192441</v>
      </c>
      <c r="I1747" s="7">
        <v>21771671</v>
      </c>
      <c r="J1747" s="7">
        <v>0</v>
      </c>
      <c r="K1747">
        <f t="shared" si="27"/>
        <v>212</v>
      </c>
      <c r="L1747" s="8" t="str" cm="1">
        <f t="array" ref="L1747">_xlfn.IFS(
 AND(K1747&gt;=89,K1747&lt;=92),"3개월",
 AND(K1747&gt;=58,K1747&lt;=62),"2개월",
 AND(K1747&gt;=28,K1747&lt;=32),"1개월",
 AND(K1747=0),"당월",
 TRUE,"그외"
)</f>
        <v>그외</v>
      </c>
    </row>
    <row r="1748" spans="1:12" ht="17.649999999999999" customHeight="1" x14ac:dyDescent="0.3">
      <c r="A1748" s="5">
        <v>46174</v>
      </c>
      <c r="B1748" s="6" t="s">
        <v>89</v>
      </c>
      <c r="C1748" s="6" t="s">
        <v>90</v>
      </c>
      <c r="D1748" s="5">
        <v>45992</v>
      </c>
      <c r="E1748" s="6" t="s">
        <v>15</v>
      </c>
      <c r="F1748" s="7">
        <v>248</v>
      </c>
      <c r="G1748" s="7">
        <v>494228.90725806449</v>
      </c>
      <c r="H1748" s="7">
        <v>122568769</v>
      </c>
      <c r="I1748" s="7">
        <v>32477709</v>
      </c>
      <c r="J1748" s="7">
        <v>0</v>
      </c>
      <c r="K1748">
        <f t="shared" si="27"/>
        <v>182</v>
      </c>
      <c r="L1748" s="8" t="str" cm="1">
        <f t="array" ref="L1748">_xlfn.IFS(
 AND(K1748&gt;=89,K1748&lt;=92),"3개월",
 AND(K1748&gt;=58,K1748&lt;=62),"2개월",
 AND(K1748&gt;=28,K1748&lt;=32),"1개월",
 AND(K1748=0),"당월",
 TRUE,"그외"
)</f>
        <v>그외</v>
      </c>
    </row>
    <row r="1749" spans="1:12" ht="17.649999999999999" customHeight="1" x14ac:dyDescent="0.3">
      <c r="A1749" s="5">
        <v>46174</v>
      </c>
      <c r="B1749" s="6" t="s">
        <v>89</v>
      </c>
      <c r="C1749" s="6" t="s">
        <v>90</v>
      </c>
      <c r="D1749" s="5">
        <v>46023</v>
      </c>
      <c r="E1749" s="6" t="s">
        <v>15</v>
      </c>
      <c r="F1749" s="7">
        <v>498</v>
      </c>
      <c r="G1749" s="7">
        <v>534026.17469879519</v>
      </c>
      <c r="H1749" s="7">
        <v>265945035</v>
      </c>
      <c r="I1749" s="7">
        <v>63627807</v>
      </c>
      <c r="J1749" s="7">
        <v>0</v>
      </c>
      <c r="K1749">
        <f t="shared" si="27"/>
        <v>151</v>
      </c>
      <c r="L1749" s="8" t="str" cm="1">
        <f t="array" ref="L1749">_xlfn.IFS(
 AND(K1749&gt;=89,K1749&lt;=92),"3개월",
 AND(K1749&gt;=58,K1749&lt;=62),"2개월",
 AND(K1749&gt;=28,K1749&lt;=32),"1개월",
 AND(K1749=0),"당월",
 TRUE,"그외"
)</f>
        <v>그외</v>
      </c>
    </row>
    <row r="1750" spans="1:12" ht="17.649999999999999" customHeight="1" x14ac:dyDescent="0.3">
      <c r="A1750" s="5">
        <v>46174</v>
      </c>
      <c r="B1750" s="6" t="s">
        <v>89</v>
      </c>
      <c r="C1750" s="6" t="s">
        <v>90</v>
      </c>
      <c r="D1750" s="5">
        <v>46054</v>
      </c>
      <c r="E1750" s="6" t="s">
        <v>14</v>
      </c>
      <c r="F1750" s="7">
        <v>31</v>
      </c>
      <c r="G1750" s="7">
        <v>331819.3548387097</v>
      </c>
      <c r="H1750" s="7">
        <v>10286400</v>
      </c>
      <c r="I1750" s="7">
        <v>1686400</v>
      </c>
      <c r="J1750" s="7">
        <v>0</v>
      </c>
      <c r="K1750">
        <f t="shared" si="27"/>
        <v>120</v>
      </c>
      <c r="L1750" s="8" t="str" cm="1">
        <f t="array" ref="L1750">_xlfn.IFS(
 AND(K1750&gt;=89,K1750&lt;=92),"3개월",
 AND(K1750&gt;=58,K1750&lt;=62),"2개월",
 AND(K1750&gt;=28,K1750&lt;=32),"1개월",
 AND(K1750=0),"당월",
 TRUE,"그외"
)</f>
        <v>그외</v>
      </c>
    </row>
    <row r="1751" spans="1:12" ht="17.649999999999999" customHeight="1" x14ac:dyDescent="0.3">
      <c r="A1751" s="5">
        <v>46174</v>
      </c>
      <c r="B1751" s="6" t="s">
        <v>89</v>
      </c>
      <c r="C1751" s="6" t="s">
        <v>90</v>
      </c>
      <c r="D1751" s="5">
        <v>46054</v>
      </c>
      <c r="E1751" s="6" t="s">
        <v>15</v>
      </c>
      <c r="F1751" s="7">
        <v>583</v>
      </c>
      <c r="G1751" s="7">
        <v>549746.31046312174</v>
      </c>
      <c r="H1751" s="7">
        <v>320502099</v>
      </c>
      <c r="I1751" s="7">
        <v>60538899</v>
      </c>
      <c r="J1751" s="7">
        <v>0</v>
      </c>
      <c r="K1751">
        <f t="shared" si="27"/>
        <v>120</v>
      </c>
      <c r="L1751" s="8" t="str" cm="1">
        <f t="array" ref="L1751">_xlfn.IFS(
 AND(K1751&gt;=89,K1751&lt;=92),"3개월",
 AND(K1751&gt;=58,K1751&lt;=62),"2개월",
 AND(K1751&gt;=28,K1751&lt;=32),"1개월",
 AND(K1751=0),"당월",
 TRUE,"그외"
)</f>
        <v>그외</v>
      </c>
    </row>
    <row r="1752" spans="1:12" ht="17.649999999999999" customHeight="1" x14ac:dyDescent="0.3">
      <c r="A1752" s="5">
        <v>46174</v>
      </c>
      <c r="B1752" s="6" t="s">
        <v>89</v>
      </c>
      <c r="C1752" s="6" t="s">
        <v>90</v>
      </c>
      <c r="D1752" s="5">
        <v>46082</v>
      </c>
      <c r="E1752" s="6" t="s">
        <v>14</v>
      </c>
      <c r="F1752" s="7">
        <v>201</v>
      </c>
      <c r="G1752" s="7">
        <v>397492.79601990047</v>
      </c>
      <c r="H1752" s="7">
        <v>79896052</v>
      </c>
      <c r="I1752" s="7">
        <v>14487536</v>
      </c>
      <c r="J1752" s="7">
        <v>0</v>
      </c>
      <c r="K1752">
        <f t="shared" si="27"/>
        <v>92</v>
      </c>
      <c r="L1752" s="8" t="str" cm="1">
        <f t="array" ref="L1752">_xlfn.IFS(
 AND(K1752&gt;=89,K1752&lt;=92),"3개월",
 AND(K1752&gt;=58,K1752&lt;=62),"2개월",
 AND(K1752&gt;=28,K1752&lt;=32),"1개월",
 AND(K1752=0),"당월",
 TRUE,"그외"
)</f>
        <v>3개월</v>
      </c>
    </row>
    <row r="1753" spans="1:12" ht="17.649999999999999" customHeight="1" x14ac:dyDescent="0.3">
      <c r="A1753" s="5">
        <v>46174</v>
      </c>
      <c r="B1753" s="6" t="s">
        <v>89</v>
      </c>
      <c r="C1753" s="6" t="s">
        <v>90</v>
      </c>
      <c r="D1753" s="5">
        <v>46082</v>
      </c>
      <c r="E1753" s="6" t="s">
        <v>15</v>
      </c>
      <c r="F1753" s="7">
        <v>1711</v>
      </c>
      <c r="G1753" s="7">
        <v>578095.07364114549</v>
      </c>
      <c r="H1753" s="7">
        <v>989120671</v>
      </c>
      <c r="I1753" s="7">
        <v>172071469</v>
      </c>
      <c r="J1753" s="7">
        <v>0</v>
      </c>
      <c r="K1753">
        <f t="shared" si="27"/>
        <v>92</v>
      </c>
      <c r="L1753" s="8" t="str" cm="1">
        <f t="array" ref="L1753">_xlfn.IFS(
 AND(K1753&gt;=89,K1753&lt;=92),"3개월",
 AND(K1753&gt;=58,K1753&lt;=62),"2개월",
 AND(K1753&gt;=28,K1753&lt;=32),"1개월",
 AND(K1753=0),"당월",
 TRUE,"그외"
)</f>
        <v>3개월</v>
      </c>
    </row>
    <row r="1754" spans="1:12" ht="17.649999999999999" customHeight="1" x14ac:dyDescent="0.3">
      <c r="A1754" s="5">
        <v>46174</v>
      </c>
      <c r="B1754" s="6" t="s">
        <v>89</v>
      </c>
      <c r="C1754" s="6" t="s">
        <v>90</v>
      </c>
      <c r="D1754" s="5">
        <v>46113</v>
      </c>
      <c r="E1754" s="6" t="s">
        <v>14</v>
      </c>
      <c r="F1754" s="7">
        <v>84</v>
      </c>
      <c r="G1754" s="7">
        <v>655983.16666666663</v>
      </c>
      <c r="H1754" s="7">
        <v>55102586</v>
      </c>
      <c r="I1754" s="7">
        <v>18078132</v>
      </c>
      <c r="J1754" s="7">
        <v>0</v>
      </c>
      <c r="K1754">
        <f t="shared" si="27"/>
        <v>61</v>
      </c>
      <c r="L1754" s="8" t="str" cm="1">
        <f t="array" ref="L1754">_xlfn.IFS(
 AND(K1754&gt;=89,K1754&lt;=92),"3개월",
 AND(K1754&gt;=58,K1754&lt;=62),"2개월",
 AND(K1754&gt;=28,K1754&lt;=32),"1개월",
 AND(K1754=0),"당월",
 TRUE,"그외"
)</f>
        <v>2개월</v>
      </c>
    </row>
    <row r="1755" spans="1:12" ht="17.649999999999999" customHeight="1" x14ac:dyDescent="0.3">
      <c r="A1755" s="5">
        <v>46174</v>
      </c>
      <c r="B1755" s="6" t="s">
        <v>89</v>
      </c>
      <c r="C1755" s="6" t="s">
        <v>90</v>
      </c>
      <c r="D1755" s="5">
        <v>46113</v>
      </c>
      <c r="E1755" s="6" t="s">
        <v>15</v>
      </c>
      <c r="F1755" s="7">
        <v>843</v>
      </c>
      <c r="G1755" s="7">
        <v>766155.78766310797</v>
      </c>
      <c r="H1755" s="7">
        <v>645869329</v>
      </c>
      <c r="I1755" s="7">
        <v>169838552</v>
      </c>
      <c r="J1755" s="7">
        <v>0</v>
      </c>
      <c r="K1755">
        <f t="shared" si="27"/>
        <v>61</v>
      </c>
      <c r="L1755" s="8" t="str" cm="1">
        <f t="array" ref="L1755">_xlfn.IFS(
 AND(K1755&gt;=89,K1755&lt;=92),"3개월",
 AND(K1755&gt;=58,K1755&lt;=62),"2개월",
 AND(K1755&gt;=28,K1755&lt;=32),"1개월",
 AND(K1755=0),"당월",
 TRUE,"그외"
)</f>
        <v>2개월</v>
      </c>
    </row>
    <row r="1756" spans="1:12" ht="17.649999999999999" customHeight="1" x14ac:dyDescent="0.3">
      <c r="A1756" s="5">
        <v>46174</v>
      </c>
      <c r="B1756" s="6" t="s">
        <v>89</v>
      </c>
      <c r="C1756" s="6" t="s">
        <v>90</v>
      </c>
      <c r="D1756" s="5">
        <v>46143</v>
      </c>
      <c r="E1756" s="6" t="s">
        <v>14</v>
      </c>
      <c r="F1756" s="7">
        <v>4</v>
      </c>
      <c r="G1756" s="7">
        <v>662885.25</v>
      </c>
      <c r="H1756" s="7">
        <v>2651541</v>
      </c>
      <c r="I1756" s="7">
        <v>869100</v>
      </c>
      <c r="J1756" s="7">
        <v>0</v>
      </c>
      <c r="K1756">
        <f t="shared" si="27"/>
        <v>31</v>
      </c>
      <c r="L1756" s="8" t="str" cm="1">
        <f t="array" ref="L1756">_xlfn.IFS(
 AND(K1756&gt;=89,K1756&lt;=92),"3개월",
 AND(K1756&gt;=58,K1756&lt;=62),"2개월",
 AND(K1756&gt;=28,K1756&lt;=32),"1개월",
 AND(K1756=0),"당월",
 TRUE,"그외"
)</f>
        <v>1개월</v>
      </c>
    </row>
    <row r="1757" spans="1:12" ht="17.649999999999999" customHeight="1" x14ac:dyDescent="0.3">
      <c r="A1757" s="5">
        <v>46174</v>
      </c>
      <c r="B1757" s="6" t="s">
        <v>89</v>
      </c>
      <c r="C1757" s="6" t="s">
        <v>90</v>
      </c>
      <c r="D1757" s="5">
        <v>46143</v>
      </c>
      <c r="E1757" s="6" t="s">
        <v>15</v>
      </c>
      <c r="F1757" s="7">
        <v>211</v>
      </c>
      <c r="G1757" s="7">
        <v>641001.43127962085</v>
      </c>
      <c r="H1757" s="7">
        <v>135251302</v>
      </c>
      <c r="I1757" s="7">
        <v>48426785</v>
      </c>
      <c r="J1757" s="7">
        <v>0</v>
      </c>
      <c r="K1757">
        <f t="shared" si="27"/>
        <v>31</v>
      </c>
      <c r="L1757" s="8" t="str" cm="1">
        <f t="array" ref="L1757">_xlfn.IFS(
 AND(K1757&gt;=89,K1757&lt;=92),"3개월",
 AND(K1757&gt;=58,K1757&lt;=62),"2개월",
 AND(K1757&gt;=28,K1757&lt;=32),"1개월",
 AND(K1757=0),"당월",
 TRUE,"그외"
)</f>
        <v>1개월</v>
      </c>
    </row>
    <row r="1758" spans="1:12" x14ac:dyDescent="0.3">
      <c r="A1758" s="5">
        <v>46023</v>
      </c>
      <c r="B1758" s="6" t="s">
        <v>12</v>
      </c>
      <c r="C1758" s="6" t="s">
        <v>13</v>
      </c>
      <c r="D1758" s="5">
        <v>45839</v>
      </c>
      <c r="E1758" s="6" t="s">
        <v>15</v>
      </c>
      <c r="F1758" s="7">
        <v>22</v>
      </c>
      <c r="G1758" s="7">
        <v>97611.954545454544</v>
      </c>
      <c r="H1758" s="7">
        <v>2147463</v>
      </c>
      <c r="I1758" s="7">
        <v>145200</v>
      </c>
      <c r="J1758" s="7">
        <v>13200</v>
      </c>
      <c r="K1758">
        <f t="shared" si="27"/>
        <v>184</v>
      </c>
      <c r="L1758" s="8" t="str" cm="1">
        <f t="array" ref="L1758">_xlfn.IFS(
 AND(K1758&gt;=89,K1758&lt;=92),"3개월",
 AND(K1758&gt;=58,K1758&lt;=62),"2개월",
 AND(K1758&gt;=28,K1758&lt;=32),"1개월",
 AND(K1758=0),"당월",
 TRUE,"그외"
)</f>
        <v>그외</v>
      </c>
    </row>
    <row r="1759" spans="1:12" x14ac:dyDescent="0.3">
      <c r="A1759" s="5">
        <v>46023</v>
      </c>
      <c r="B1759" s="6" t="s">
        <v>12</v>
      </c>
      <c r="C1759" s="6" t="s">
        <v>13</v>
      </c>
      <c r="D1759" s="5">
        <v>45870</v>
      </c>
      <c r="E1759" s="6" t="s">
        <v>15</v>
      </c>
      <c r="F1759" s="7">
        <v>50</v>
      </c>
      <c r="G1759" s="7">
        <v>51655</v>
      </c>
      <c r="H1759" s="7">
        <v>2582750</v>
      </c>
      <c r="I1759" s="7">
        <v>440000</v>
      </c>
      <c r="J1759" s="7">
        <v>40000</v>
      </c>
      <c r="K1759">
        <f t="shared" si="27"/>
        <v>153</v>
      </c>
      <c r="L1759" s="8" t="str" cm="1">
        <f t="array" ref="L1759">_xlfn.IFS(
 AND(K1759&gt;=89,K1759&lt;=92),"3개월",
 AND(K1759&gt;=58,K1759&lt;=62),"2개월",
 AND(K1759&gt;=28,K1759&lt;=32),"1개월",
 AND(K1759=0),"당월",
 TRUE,"그외"
)</f>
        <v>그외</v>
      </c>
    </row>
    <row r="1760" spans="1:12" x14ac:dyDescent="0.3">
      <c r="A1760" s="5">
        <v>46023</v>
      </c>
      <c r="B1760" s="6" t="s">
        <v>12</v>
      </c>
      <c r="C1760" s="6" t="s">
        <v>13</v>
      </c>
      <c r="D1760" s="5">
        <v>45901</v>
      </c>
      <c r="E1760" s="6" t="s">
        <v>15</v>
      </c>
      <c r="F1760" s="7">
        <v>106</v>
      </c>
      <c r="G1760" s="7">
        <v>90378.566037735844</v>
      </c>
      <c r="H1760" s="7">
        <v>9580128</v>
      </c>
      <c r="I1760" s="7">
        <v>932800</v>
      </c>
      <c r="J1760" s="7">
        <v>84800</v>
      </c>
      <c r="K1760">
        <f t="shared" si="27"/>
        <v>122</v>
      </c>
      <c r="L1760" s="8" t="str" cm="1">
        <f t="array" ref="L1760">_xlfn.IFS(
 AND(K1760&gt;=89,K1760&lt;=92),"3개월",
 AND(K1760&gt;=58,K1760&lt;=62),"2개월",
 AND(K1760&gt;=28,K1760&lt;=32),"1개월",
 AND(K1760=0),"당월",
 TRUE,"그외"
)</f>
        <v>그외</v>
      </c>
    </row>
    <row r="1761" spans="1:12" x14ac:dyDescent="0.3">
      <c r="A1761" s="5">
        <v>46023</v>
      </c>
      <c r="B1761" s="6" t="s">
        <v>12</v>
      </c>
      <c r="C1761" s="6" t="s">
        <v>13</v>
      </c>
      <c r="D1761" s="5">
        <v>45931</v>
      </c>
      <c r="E1761" s="6" t="s">
        <v>15</v>
      </c>
      <c r="F1761" s="7">
        <v>1000</v>
      </c>
      <c r="G1761" s="7">
        <v>61787.09</v>
      </c>
      <c r="H1761" s="7">
        <v>61787090</v>
      </c>
      <c r="I1761" s="7">
        <v>8677389</v>
      </c>
      <c r="J1761" s="7">
        <v>784000</v>
      </c>
      <c r="K1761">
        <f t="shared" si="27"/>
        <v>92</v>
      </c>
      <c r="L1761" s="8" t="str" cm="1">
        <f t="array" ref="L1761">_xlfn.IFS(
 AND(K1761&gt;=89,K1761&lt;=92),"3개월",
 AND(K1761&gt;=58,K1761&lt;=62),"2개월",
 AND(K1761&gt;=28,K1761&lt;=32),"1개월",
 AND(K1761=0),"당월",
 TRUE,"그외"
)</f>
        <v>3개월</v>
      </c>
    </row>
    <row r="1762" spans="1:12" x14ac:dyDescent="0.3">
      <c r="A1762" s="5">
        <v>46023</v>
      </c>
      <c r="B1762" s="6" t="s">
        <v>12</v>
      </c>
      <c r="C1762" s="6" t="s">
        <v>13</v>
      </c>
      <c r="D1762" s="5">
        <v>45962</v>
      </c>
      <c r="E1762" s="6" t="s">
        <v>14</v>
      </c>
      <c r="F1762" s="7">
        <v>4</v>
      </c>
      <c r="G1762" s="7">
        <v>69364</v>
      </c>
      <c r="H1762" s="7">
        <v>277456</v>
      </c>
      <c r="I1762" s="7">
        <v>35200</v>
      </c>
      <c r="J1762" s="7">
        <v>3200</v>
      </c>
      <c r="K1762">
        <f t="shared" si="27"/>
        <v>61</v>
      </c>
      <c r="L1762" s="8" t="str" cm="1">
        <f t="array" ref="L1762">_xlfn.IFS(
 AND(K1762&gt;=89,K1762&lt;=92),"3개월",
 AND(K1762&gt;=58,K1762&lt;=62),"2개월",
 AND(K1762&gt;=28,K1762&lt;=32),"1개월",
 AND(K1762=0),"당월",
 TRUE,"그외"
)</f>
        <v>2개월</v>
      </c>
    </row>
    <row r="1763" spans="1:12" x14ac:dyDescent="0.3">
      <c r="A1763" s="5">
        <v>46023</v>
      </c>
      <c r="B1763" s="6" t="s">
        <v>12</v>
      </c>
      <c r="C1763" s="6" t="s">
        <v>13</v>
      </c>
      <c r="D1763" s="5">
        <v>45962</v>
      </c>
      <c r="E1763" s="6" t="s">
        <v>15</v>
      </c>
      <c r="F1763" s="7">
        <v>5494</v>
      </c>
      <c r="G1763" s="7">
        <v>54459.968147069529</v>
      </c>
      <c r="H1763" s="7">
        <v>299203065</v>
      </c>
      <c r="I1763" s="7">
        <v>45095832</v>
      </c>
      <c r="J1763" s="7">
        <v>4089800</v>
      </c>
      <c r="K1763">
        <f t="shared" si="27"/>
        <v>61</v>
      </c>
      <c r="L1763" s="8" t="str" cm="1">
        <f t="array" ref="L1763">_xlfn.IFS(
 AND(K1763&gt;=89,K1763&lt;=92),"3개월",
 AND(K1763&gt;=58,K1763&lt;=62),"2개월",
 AND(K1763&gt;=28,K1763&lt;=32),"1개월",
 AND(K1763=0),"당월",
 TRUE,"그외"
)</f>
        <v>2개월</v>
      </c>
    </row>
    <row r="1764" spans="1:12" x14ac:dyDescent="0.3">
      <c r="A1764" s="5">
        <v>46023</v>
      </c>
      <c r="B1764" s="6" t="s">
        <v>12</v>
      </c>
      <c r="C1764" s="6" t="s">
        <v>13</v>
      </c>
      <c r="D1764" s="5">
        <v>45992</v>
      </c>
      <c r="E1764" s="6" t="s">
        <v>14</v>
      </c>
      <c r="F1764" s="7">
        <v>349</v>
      </c>
      <c r="G1764" s="7">
        <v>43947.389684813752</v>
      </c>
      <c r="H1764" s="7">
        <v>15337639</v>
      </c>
      <c r="I1764" s="7">
        <v>3071200</v>
      </c>
      <c r="J1764" s="7">
        <v>279200</v>
      </c>
      <c r="K1764">
        <f t="shared" si="27"/>
        <v>31</v>
      </c>
      <c r="L1764" s="8" t="str" cm="1">
        <f t="array" ref="L1764">_xlfn.IFS(
 AND(K1764&gt;=89,K1764&lt;=92),"3개월",
 AND(K1764&gt;=58,K1764&lt;=62),"2개월",
 AND(K1764&gt;=28,K1764&lt;=32),"1개월",
 AND(K1764=0),"당월",
 TRUE,"그외"
)</f>
        <v>1개월</v>
      </c>
    </row>
    <row r="1765" spans="1:12" x14ac:dyDescent="0.3">
      <c r="A1765" s="5">
        <v>46023</v>
      </c>
      <c r="B1765" s="6" t="s">
        <v>12</v>
      </c>
      <c r="C1765" s="6" t="s">
        <v>13</v>
      </c>
      <c r="D1765" s="5">
        <v>45992</v>
      </c>
      <c r="E1765" s="6" t="s">
        <v>15</v>
      </c>
      <c r="F1765" s="7">
        <v>49352</v>
      </c>
      <c r="G1765" s="7">
        <v>39845.459677419363</v>
      </c>
      <c r="H1765" s="7">
        <v>1966453126</v>
      </c>
      <c r="I1765" s="7">
        <v>424935259</v>
      </c>
      <c r="J1765" s="7">
        <v>38611854</v>
      </c>
      <c r="K1765">
        <f t="shared" si="27"/>
        <v>31</v>
      </c>
      <c r="L1765" s="8" t="str" cm="1">
        <f t="array" ref="L1765">_xlfn.IFS(
 AND(K1765&gt;=89,K1765&lt;=92),"3개월",
 AND(K1765&gt;=58,K1765&lt;=62),"2개월",
 AND(K1765&gt;=28,K1765&lt;=32),"1개월",
 AND(K1765=0),"당월",
 TRUE,"그외"
)</f>
        <v>1개월</v>
      </c>
    </row>
    <row r="1766" spans="1:12" x14ac:dyDescent="0.3">
      <c r="A1766" s="5">
        <v>46023</v>
      </c>
      <c r="B1766" s="6" t="s">
        <v>12</v>
      </c>
      <c r="C1766" s="6" t="s">
        <v>13</v>
      </c>
      <c r="D1766" s="5">
        <v>46023</v>
      </c>
      <c r="E1766" s="6" t="s">
        <v>14</v>
      </c>
      <c r="F1766" s="7">
        <v>459</v>
      </c>
      <c r="G1766" s="7">
        <v>45795.176470588238</v>
      </c>
      <c r="H1766" s="7">
        <v>21019986</v>
      </c>
      <c r="I1766" s="7">
        <v>5049000</v>
      </c>
      <c r="J1766" s="7">
        <v>459000</v>
      </c>
      <c r="K1766">
        <f t="shared" si="27"/>
        <v>0</v>
      </c>
      <c r="L1766" s="8" t="str" cm="1">
        <f t="array" ref="L1766">_xlfn.IFS(
 AND(K1766&gt;=89,K1766&lt;=92),"3개월",
 AND(K1766&gt;=58,K1766&lt;=62),"2개월",
 AND(K1766&gt;=28,K1766&lt;=32),"1개월",
 AND(K1766=0),"당월",
 TRUE,"그외"
)</f>
        <v>당월</v>
      </c>
    </row>
    <row r="1767" spans="1:12" x14ac:dyDescent="0.3">
      <c r="A1767" s="5">
        <v>46023</v>
      </c>
      <c r="B1767" s="6" t="s">
        <v>12</v>
      </c>
      <c r="C1767" s="6" t="s">
        <v>13</v>
      </c>
      <c r="D1767" s="5">
        <v>46023</v>
      </c>
      <c r="E1767" s="6" t="s">
        <v>15</v>
      </c>
      <c r="F1767" s="7">
        <v>72726</v>
      </c>
      <c r="G1767" s="7">
        <v>46875.517834062099</v>
      </c>
      <c r="H1767" s="7">
        <v>3409068910</v>
      </c>
      <c r="I1767" s="7">
        <v>786462900</v>
      </c>
      <c r="J1767" s="7">
        <v>71481000</v>
      </c>
      <c r="K1767">
        <f t="shared" si="27"/>
        <v>0</v>
      </c>
      <c r="L1767" s="8" t="str" cm="1">
        <f t="array" ref="L1767">_xlfn.IFS(
 AND(K1767&gt;=89,K1767&lt;=92),"3개월",
 AND(K1767&gt;=58,K1767&lt;=62),"2개월",
 AND(K1767&gt;=28,K1767&lt;=32),"1개월",
 AND(K1767=0),"당월",
 TRUE,"그외"
)</f>
        <v>당월</v>
      </c>
    </row>
    <row r="1768" spans="1:12" x14ac:dyDescent="0.3">
      <c r="A1768" s="5">
        <v>46023</v>
      </c>
      <c r="B1768" s="6" t="s">
        <v>12</v>
      </c>
      <c r="C1768" s="6" t="s">
        <v>16</v>
      </c>
      <c r="D1768" s="5">
        <v>45839</v>
      </c>
      <c r="E1768" s="6" t="s">
        <v>15</v>
      </c>
      <c r="F1768" s="7">
        <v>25</v>
      </c>
      <c r="G1768" s="7">
        <v>80153.600000000006</v>
      </c>
      <c r="H1768" s="7">
        <v>2003840</v>
      </c>
      <c r="I1768" s="7">
        <v>165000</v>
      </c>
      <c r="J1768" s="7">
        <v>15000</v>
      </c>
      <c r="K1768">
        <f t="shared" si="27"/>
        <v>184</v>
      </c>
      <c r="L1768" s="8" t="str" cm="1">
        <f t="array" ref="L1768">_xlfn.IFS(
 AND(K1768&gt;=89,K1768&lt;=92),"3개월",
 AND(K1768&gt;=58,K1768&lt;=62),"2개월",
 AND(K1768&gt;=28,K1768&lt;=32),"1개월",
 AND(K1768=0),"당월",
 TRUE,"그외"
)</f>
        <v>그외</v>
      </c>
    </row>
    <row r="1769" spans="1:12" x14ac:dyDescent="0.3">
      <c r="A1769" s="5">
        <v>46023</v>
      </c>
      <c r="B1769" s="6" t="s">
        <v>12</v>
      </c>
      <c r="C1769" s="6" t="s">
        <v>16</v>
      </c>
      <c r="D1769" s="5">
        <v>45870</v>
      </c>
      <c r="E1769" s="6" t="s">
        <v>15</v>
      </c>
      <c r="F1769" s="7">
        <v>323</v>
      </c>
      <c r="G1769" s="7">
        <v>52749.699690402478</v>
      </c>
      <c r="H1769" s="7">
        <v>17038153</v>
      </c>
      <c r="I1769" s="7">
        <v>2842400</v>
      </c>
      <c r="J1769" s="7">
        <v>258400</v>
      </c>
      <c r="K1769">
        <f t="shared" si="27"/>
        <v>153</v>
      </c>
      <c r="L1769" s="8" t="str" cm="1">
        <f t="array" ref="L1769">_xlfn.IFS(
 AND(K1769&gt;=89,K1769&lt;=92),"3개월",
 AND(K1769&gt;=58,K1769&lt;=62),"2개월",
 AND(K1769&gt;=28,K1769&lt;=32),"1개월",
 AND(K1769=0),"당월",
 TRUE,"그외"
)</f>
        <v>그외</v>
      </c>
    </row>
    <row r="1770" spans="1:12" x14ac:dyDescent="0.3">
      <c r="A1770" s="5">
        <v>46023</v>
      </c>
      <c r="B1770" s="6" t="s">
        <v>12</v>
      </c>
      <c r="C1770" s="6" t="s">
        <v>16</v>
      </c>
      <c r="D1770" s="5">
        <v>45901</v>
      </c>
      <c r="E1770" s="6" t="s">
        <v>15</v>
      </c>
      <c r="F1770" s="7">
        <v>629</v>
      </c>
      <c r="G1770" s="7">
        <v>62175.543720190777</v>
      </c>
      <c r="H1770" s="7">
        <v>39108417</v>
      </c>
      <c r="I1770" s="7">
        <v>5535200</v>
      </c>
      <c r="J1770" s="7">
        <v>503200</v>
      </c>
      <c r="K1770">
        <f t="shared" si="27"/>
        <v>122</v>
      </c>
      <c r="L1770" s="8" t="str" cm="1">
        <f t="array" ref="L1770">_xlfn.IFS(
 AND(K1770&gt;=89,K1770&lt;=92),"3개월",
 AND(K1770&gt;=58,K1770&lt;=62),"2개월",
 AND(K1770&gt;=28,K1770&lt;=32),"1개월",
 AND(K1770=0),"당월",
 TRUE,"그외"
)</f>
        <v>그외</v>
      </c>
    </row>
    <row r="1771" spans="1:12" x14ac:dyDescent="0.3">
      <c r="A1771" s="5">
        <v>46023</v>
      </c>
      <c r="B1771" s="6" t="s">
        <v>12</v>
      </c>
      <c r="C1771" s="6" t="s">
        <v>16</v>
      </c>
      <c r="D1771" s="5">
        <v>45931</v>
      </c>
      <c r="E1771" s="6" t="s">
        <v>15</v>
      </c>
      <c r="F1771" s="7">
        <v>1738</v>
      </c>
      <c r="G1771" s="7">
        <v>61000.472957422317</v>
      </c>
      <c r="H1771" s="7">
        <v>106018822</v>
      </c>
      <c r="I1771" s="7">
        <v>15277448</v>
      </c>
      <c r="J1771" s="7">
        <v>1387200</v>
      </c>
      <c r="K1771">
        <f t="shared" si="27"/>
        <v>92</v>
      </c>
      <c r="L1771" s="8" t="str" cm="1">
        <f t="array" ref="L1771">_xlfn.IFS(
 AND(K1771&gt;=89,K1771&lt;=92),"3개월",
 AND(K1771&gt;=58,K1771&lt;=62),"2개월",
 AND(K1771&gt;=28,K1771&lt;=32),"1개월",
 AND(K1771=0),"당월",
 TRUE,"그외"
)</f>
        <v>3개월</v>
      </c>
    </row>
    <row r="1772" spans="1:12" x14ac:dyDescent="0.3">
      <c r="A1772" s="5">
        <v>46023</v>
      </c>
      <c r="B1772" s="6" t="s">
        <v>12</v>
      </c>
      <c r="C1772" s="6" t="s">
        <v>16</v>
      </c>
      <c r="D1772" s="5">
        <v>45962</v>
      </c>
      <c r="E1772" s="6" t="s">
        <v>14</v>
      </c>
      <c r="F1772" s="7">
        <v>66</v>
      </c>
      <c r="G1772" s="7">
        <v>89819</v>
      </c>
      <c r="H1772" s="7">
        <v>5928054</v>
      </c>
      <c r="I1772" s="7">
        <v>580800</v>
      </c>
      <c r="J1772" s="7">
        <v>52800</v>
      </c>
      <c r="K1772">
        <f t="shared" si="27"/>
        <v>61</v>
      </c>
      <c r="L1772" s="8" t="str" cm="1">
        <f t="array" ref="L1772">_xlfn.IFS(
 AND(K1772&gt;=89,K1772&lt;=92),"3개월",
 AND(K1772&gt;=58,K1772&lt;=62),"2개월",
 AND(K1772&gt;=28,K1772&lt;=32),"1개월",
 AND(K1772=0),"당월",
 TRUE,"그외"
)</f>
        <v>2개월</v>
      </c>
    </row>
    <row r="1773" spans="1:12" x14ac:dyDescent="0.3">
      <c r="A1773" s="5">
        <v>46023</v>
      </c>
      <c r="B1773" s="6" t="s">
        <v>12</v>
      </c>
      <c r="C1773" s="6" t="s">
        <v>16</v>
      </c>
      <c r="D1773" s="5">
        <v>45962</v>
      </c>
      <c r="E1773" s="6" t="s">
        <v>15</v>
      </c>
      <c r="F1773" s="7">
        <v>4813</v>
      </c>
      <c r="G1773" s="7">
        <v>64325.061915645128</v>
      </c>
      <c r="H1773" s="7">
        <v>309596523</v>
      </c>
      <c r="I1773" s="7">
        <v>42276994</v>
      </c>
      <c r="J1773" s="7">
        <v>3840000</v>
      </c>
      <c r="K1773">
        <f t="shared" si="27"/>
        <v>61</v>
      </c>
      <c r="L1773" s="8" t="str" cm="1">
        <f t="array" ref="L1773">_xlfn.IFS(
 AND(K1773&gt;=89,K1773&lt;=92),"3개월",
 AND(K1773&gt;=58,K1773&lt;=62),"2개월",
 AND(K1773&gt;=28,K1773&lt;=32),"1개월",
 AND(K1773=0),"당월",
 TRUE,"그외"
)</f>
        <v>2개월</v>
      </c>
    </row>
    <row r="1774" spans="1:12" x14ac:dyDescent="0.3">
      <c r="A1774" s="5">
        <v>46023</v>
      </c>
      <c r="B1774" s="6" t="s">
        <v>12</v>
      </c>
      <c r="C1774" s="6" t="s">
        <v>16</v>
      </c>
      <c r="D1774" s="5">
        <v>45992</v>
      </c>
      <c r="E1774" s="6" t="s">
        <v>14</v>
      </c>
      <c r="F1774" s="7">
        <v>181</v>
      </c>
      <c r="G1774" s="7">
        <v>73093.325966850825</v>
      </c>
      <c r="H1774" s="7">
        <v>13229892</v>
      </c>
      <c r="I1774" s="7">
        <v>1592800</v>
      </c>
      <c r="J1774" s="7">
        <v>144800</v>
      </c>
      <c r="K1774">
        <f t="shared" si="27"/>
        <v>31</v>
      </c>
      <c r="L1774" s="8" t="str" cm="1">
        <f t="array" ref="L1774">_xlfn.IFS(
 AND(K1774&gt;=89,K1774&lt;=92),"3개월",
 AND(K1774&gt;=58,K1774&lt;=62),"2개월",
 AND(K1774&gt;=28,K1774&lt;=32),"1개월",
 AND(K1774=0),"당월",
 TRUE,"그외"
)</f>
        <v>1개월</v>
      </c>
    </row>
    <row r="1775" spans="1:12" x14ac:dyDescent="0.3">
      <c r="A1775" s="5">
        <v>46023</v>
      </c>
      <c r="B1775" s="6" t="s">
        <v>12</v>
      </c>
      <c r="C1775" s="6" t="s">
        <v>16</v>
      </c>
      <c r="D1775" s="5">
        <v>45992</v>
      </c>
      <c r="E1775" s="6" t="s">
        <v>15</v>
      </c>
      <c r="F1775" s="7">
        <v>24736</v>
      </c>
      <c r="G1775" s="7">
        <v>53255.941057567907</v>
      </c>
      <c r="H1775" s="7">
        <v>1317338958</v>
      </c>
      <c r="I1775" s="7">
        <v>216427008</v>
      </c>
      <c r="J1775" s="7">
        <v>19672600</v>
      </c>
      <c r="K1775">
        <f t="shared" si="27"/>
        <v>31</v>
      </c>
      <c r="L1775" s="8" t="str" cm="1">
        <f t="array" ref="L1775">_xlfn.IFS(
 AND(K1775&gt;=89,K1775&lt;=92),"3개월",
 AND(K1775&gt;=58,K1775&lt;=62),"2개월",
 AND(K1775&gt;=28,K1775&lt;=32),"1개월",
 AND(K1775=0),"당월",
 TRUE,"그외"
)</f>
        <v>1개월</v>
      </c>
    </row>
    <row r="1776" spans="1:12" x14ac:dyDescent="0.3">
      <c r="A1776" s="5">
        <v>46023</v>
      </c>
      <c r="B1776" s="6" t="s">
        <v>12</v>
      </c>
      <c r="C1776" s="6" t="s">
        <v>16</v>
      </c>
      <c r="D1776" s="5">
        <v>46023</v>
      </c>
      <c r="E1776" s="6" t="s">
        <v>14</v>
      </c>
      <c r="F1776" s="7">
        <v>97</v>
      </c>
      <c r="G1776" s="7">
        <v>54622.9793814433</v>
      </c>
      <c r="H1776" s="7">
        <v>5298429</v>
      </c>
      <c r="I1776" s="7">
        <v>1058200</v>
      </c>
      <c r="J1776" s="7">
        <v>96200</v>
      </c>
      <c r="K1776">
        <f t="shared" si="27"/>
        <v>0</v>
      </c>
      <c r="L1776" s="8" t="str" cm="1">
        <f t="array" ref="L1776">_xlfn.IFS(
 AND(K1776&gt;=89,K1776&lt;=92),"3개월",
 AND(K1776&gt;=58,K1776&lt;=62),"2개월",
 AND(K1776&gt;=28,K1776&lt;=32),"1개월",
 AND(K1776=0),"당월",
 TRUE,"그외"
)</f>
        <v>당월</v>
      </c>
    </row>
    <row r="1777" spans="1:12" x14ac:dyDescent="0.3">
      <c r="A1777" s="5">
        <v>46023</v>
      </c>
      <c r="B1777" s="6" t="s">
        <v>12</v>
      </c>
      <c r="C1777" s="6" t="s">
        <v>16</v>
      </c>
      <c r="D1777" s="5">
        <v>46023</v>
      </c>
      <c r="E1777" s="6" t="s">
        <v>15</v>
      </c>
      <c r="F1777" s="7">
        <v>32891</v>
      </c>
      <c r="G1777" s="7">
        <v>44687.039220455437</v>
      </c>
      <c r="H1777" s="7">
        <v>1469801407</v>
      </c>
      <c r="I1777" s="7">
        <v>357081921</v>
      </c>
      <c r="J1777" s="7">
        <v>32453800</v>
      </c>
      <c r="K1777">
        <f t="shared" si="27"/>
        <v>0</v>
      </c>
      <c r="L1777" s="8" t="str" cm="1">
        <f t="array" ref="L1777">_xlfn.IFS(
 AND(K1777&gt;=89,K1777&lt;=92),"3개월",
 AND(K1777&gt;=58,K1777&lt;=62),"2개월",
 AND(K1777&gt;=28,K1777&lt;=32),"1개월",
 AND(K1777=0),"당월",
 TRUE,"그외"
)</f>
        <v>당월</v>
      </c>
    </row>
    <row r="1778" spans="1:12" x14ac:dyDescent="0.3">
      <c r="A1778" s="5">
        <v>46023</v>
      </c>
      <c r="B1778" s="6" t="s">
        <v>12</v>
      </c>
      <c r="C1778" s="6" t="s">
        <v>17</v>
      </c>
      <c r="D1778" s="5">
        <v>45839</v>
      </c>
      <c r="E1778" s="6" t="s">
        <v>15</v>
      </c>
      <c r="F1778" s="7">
        <v>4</v>
      </c>
      <c r="G1778" s="7">
        <v>70546</v>
      </c>
      <c r="H1778" s="7">
        <v>282184</v>
      </c>
      <c r="I1778" s="7">
        <v>26400</v>
      </c>
      <c r="J1778" s="7">
        <v>2400</v>
      </c>
      <c r="K1778">
        <f t="shared" si="27"/>
        <v>184</v>
      </c>
      <c r="L1778" s="8" t="str" cm="1">
        <f t="array" ref="L1778">_xlfn.IFS(
 AND(K1778&gt;=89,K1778&lt;=92),"3개월",
 AND(K1778&gt;=58,K1778&lt;=62),"2개월",
 AND(K1778&gt;=28,K1778&lt;=32),"1개월",
 AND(K1778=0),"당월",
 TRUE,"그외"
)</f>
        <v>그외</v>
      </c>
    </row>
    <row r="1779" spans="1:12" x14ac:dyDescent="0.3">
      <c r="A1779" s="5">
        <v>46023</v>
      </c>
      <c r="B1779" s="6" t="s">
        <v>12</v>
      </c>
      <c r="C1779" s="6" t="s">
        <v>17</v>
      </c>
      <c r="D1779" s="5">
        <v>45870</v>
      </c>
      <c r="E1779" s="6" t="s">
        <v>15</v>
      </c>
      <c r="F1779" s="7">
        <v>64</v>
      </c>
      <c r="G1779" s="7">
        <v>59523.140625</v>
      </c>
      <c r="H1779" s="7">
        <v>3809481</v>
      </c>
      <c r="I1779" s="7">
        <v>563200</v>
      </c>
      <c r="J1779" s="7">
        <v>51200</v>
      </c>
      <c r="K1779">
        <f t="shared" si="27"/>
        <v>153</v>
      </c>
      <c r="L1779" s="8" t="str" cm="1">
        <f t="array" ref="L1779">_xlfn.IFS(
 AND(K1779&gt;=89,K1779&lt;=92),"3개월",
 AND(K1779&gt;=58,K1779&lt;=62),"2개월",
 AND(K1779&gt;=28,K1779&lt;=32),"1개월",
 AND(K1779=0),"당월",
 TRUE,"그외"
)</f>
        <v>그외</v>
      </c>
    </row>
    <row r="1780" spans="1:12" x14ac:dyDescent="0.3">
      <c r="A1780" s="5">
        <v>46023</v>
      </c>
      <c r="B1780" s="6" t="s">
        <v>12</v>
      </c>
      <c r="C1780" s="6" t="s">
        <v>17</v>
      </c>
      <c r="D1780" s="5">
        <v>45901</v>
      </c>
      <c r="E1780" s="6" t="s">
        <v>14</v>
      </c>
      <c r="F1780" s="7">
        <v>62</v>
      </c>
      <c r="G1780" s="7">
        <v>74364</v>
      </c>
      <c r="H1780" s="7">
        <v>4610568</v>
      </c>
      <c r="I1780" s="7">
        <v>545600</v>
      </c>
      <c r="J1780" s="7">
        <v>49600</v>
      </c>
      <c r="K1780">
        <f t="shared" si="27"/>
        <v>122</v>
      </c>
      <c r="L1780" s="8" t="str" cm="1">
        <f t="array" ref="L1780">_xlfn.IFS(
 AND(K1780&gt;=89,K1780&lt;=92),"3개월",
 AND(K1780&gt;=58,K1780&lt;=62),"2개월",
 AND(K1780&gt;=28,K1780&lt;=32),"1개월",
 AND(K1780=0),"당월",
 TRUE,"그외"
)</f>
        <v>그외</v>
      </c>
    </row>
    <row r="1781" spans="1:12" x14ac:dyDescent="0.3">
      <c r="A1781" s="5">
        <v>46023</v>
      </c>
      <c r="B1781" s="6" t="s">
        <v>12</v>
      </c>
      <c r="C1781" s="6" t="s">
        <v>17</v>
      </c>
      <c r="D1781" s="5">
        <v>45901</v>
      </c>
      <c r="E1781" s="6" t="s">
        <v>15</v>
      </c>
      <c r="F1781" s="7">
        <v>151</v>
      </c>
      <c r="G1781" s="7">
        <v>54903.741721854312</v>
      </c>
      <c r="H1781" s="7">
        <v>8290465</v>
      </c>
      <c r="I1781" s="7">
        <v>1318278</v>
      </c>
      <c r="J1781" s="7">
        <v>119200</v>
      </c>
      <c r="K1781">
        <f t="shared" si="27"/>
        <v>122</v>
      </c>
      <c r="L1781" s="8" t="str" cm="1">
        <f t="array" ref="L1781">_xlfn.IFS(
 AND(K1781&gt;=89,K1781&lt;=92),"3개월",
 AND(K1781&gt;=58,K1781&lt;=62),"2개월",
 AND(K1781&gt;=28,K1781&lt;=32),"1개월",
 AND(K1781=0),"당월",
 TRUE,"그외"
)</f>
        <v>그외</v>
      </c>
    </row>
    <row r="1782" spans="1:12" x14ac:dyDescent="0.3">
      <c r="A1782" s="5">
        <v>46023</v>
      </c>
      <c r="B1782" s="6" t="s">
        <v>12</v>
      </c>
      <c r="C1782" s="6" t="s">
        <v>17</v>
      </c>
      <c r="D1782" s="5">
        <v>45931</v>
      </c>
      <c r="E1782" s="6" t="s">
        <v>14</v>
      </c>
      <c r="F1782" s="7">
        <v>14</v>
      </c>
      <c r="G1782" s="7">
        <v>67091</v>
      </c>
      <c r="H1782" s="7">
        <v>939274</v>
      </c>
      <c r="I1782" s="7">
        <v>123200</v>
      </c>
      <c r="J1782" s="7">
        <v>11200</v>
      </c>
      <c r="K1782">
        <f t="shared" si="27"/>
        <v>92</v>
      </c>
      <c r="L1782" s="8" t="str" cm="1">
        <f t="array" ref="L1782">_xlfn.IFS(
 AND(K1782&gt;=89,K1782&lt;=92),"3개월",
 AND(K1782&gt;=58,K1782&lt;=62),"2개월",
 AND(K1782&gt;=28,K1782&lt;=32),"1개월",
 AND(K1782=0),"당월",
 TRUE,"그외"
)</f>
        <v>3개월</v>
      </c>
    </row>
    <row r="1783" spans="1:12" x14ac:dyDescent="0.3">
      <c r="A1783" s="5">
        <v>46023</v>
      </c>
      <c r="B1783" s="6" t="s">
        <v>12</v>
      </c>
      <c r="C1783" s="6" t="s">
        <v>17</v>
      </c>
      <c r="D1783" s="5">
        <v>45931</v>
      </c>
      <c r="E1783" s="6" t="s">
        <v>15</v>
      </c>
      <c r="F1783" s="7">
        <v>629</v>
      </c>
      <c r="G1783" s="7">
        <v>55915.853736089033</v>
      </c>
      <c r="H1783" s="7">
        <v>35171072</v>
      </c>
      <c r="I1783" s="7">
        <v>5535200</v>
      </c>
      <c r="J1783" s="7">
        <v>503200</v>
      </c>
      <c r="K1783">
        <f t="shared" si="27"/>
        <v>92</v>
      </c>
      <c r="L1783" s="8" t="str" cm="1">
        <f t="array" ref="L1783">_xlfn.IFS(
 AND(K1783&gt;=89,K1783&lt;=92),"3개월",
 AND(K1783&gt;=58,K1783&lt;=62),"2개월",
 AND(K1783&gt;=28,K1783&lt;=32),"1개월",
 AND(K1783=0),"당월",
 TRUE,"그외"
)</f>
        <v>3개월</v>
      </c>
    </row>
    <row r="1784" spans="1:12" x14ac:dyDescent="0.3">
      <c r="A1784" s="5">
        <v>46023</v>
      </c>
      <c r="B1784" s="6" t="s">
        <v>12</v>
      </c>
      <c r="C1784" s="6" t="s">
        <v>17</v>
      </c>
      <c r="D1784" s="5">
        <v>45962</v>
      </c>
      <c r="E1784" s="6" t="s">
        <v>14</v>
      </c>
      <c r="F1784" s="7">
        <v>10</v>
      </c>
      <c r="G1784" s="7">
        <v>64818.5</v>
      </c>
      <c r="H1784" s="7">
        <v>648185</v>
      </c>
      <c r="I1784" s="7">
        <v>88000</v>
      </c>
      <c r="J1784" s="7">
        <v>8000</v>
      </c>
      <c r="K1784">
        <f t="shared" si="27"/>
        <v>61</v>
      </c>
      <c r="L1784" s="8" t="str" cm="1">
        <f t="array" ref="L1784">_xlfn.IFS(
 AND(K1784&gt;=89,K1784&lt;=92),"3개월",
 AND(K1784&gt;=58,K1784&lt;=62),"2개월",
 AND(K1784&gt;=28,K1784&lt;=32),"1개월",
 AND(K1784=0),"당월",
 TRUE,"그외"
)</f>
        <v>2개월</v>
      </c>
    </row>
    <row r="1785" spans="1:12" x14ac:dyDescent="0.3">
      <c r="A1785" s="5">
        <v>46023</v>
      </c>
      <c r="B1785" s="6" t="s">
        <v>12</v>
      </c>
      <c r="C1785" s="6" t="s">
        <v>17</v>
      </c>
      <c r="D1785" s="5">
        <v>45962</v>
      </c>
      <c r="E1785" s="6" t="s">
        <v>15</v>
      </c>
      <c r="F1785" s="7">
        <v>4221</v>
      </c>
      <c r="G1785" s="7">
        <v>46553.850035536598</v>
      </c>
      <c r="H1785" s="7">
        <v>196503801</v>
      </c>
      <c r="I1785" s="7">
        <v>37078418</v>
      </c>
      <c r="J1785" s="7">
        <v>3368800</v>
      </c>
      <c r="K1785">
        <f t="shared" si="27"/>
        <v>61</v>
      </c>
      <c r="L1785" s="8" t="str" cm="1">
        <f t="array" ref="L1785">_xlfn.IFS(
 AND(K1785&gt;=89,K1785&lt;=92),"3개월",
 AND(K1785&gt;=58,K1785&lt;=62),"2개월",
 AND(K1785&gt;=28,K1785&lt;=32),"1개월",
 AND(K1785=0),"당월",
 TRUE,"그외"
)</f>
        <v>2개월</v>
      </c>
    </row>
    <row r="1786" spans="1:12" x14ac:dyDescent="0.3">
      <c r="A1786" s="5">
        <v>46023</v>
      </c>
      <c r="B1786" s="6" t="s">
        <v>12</v>
      </c>
      <c r="C1786" s="6" t="s">
        <v>17</v>
      </c>
      <c r="D1786" s="5">
        <v>45992</v>
      </c>
      <c r="E1786" s="6" t="s">
        <v>14</v>
      </c>
      <c r="F1786" s="7">
        <v>134</v>
      </c>
      <c r="G1786" s="7">
        <v>62695.014925373143</v>
      </c>
      <c r="H1786" s="7">
        <v>8401132</v>
      </c>
      <c r="I1786" s="7">
        <v>1179200</v>
      </c>
      <c r="J1786" s="7">
        <v>107200</v>
      </c>
      <c r="K1786">
        <f t="shared" si="27"/>
        <v>31</v>
      </c>
      <c r="L1786" s="8" t="str" cm="1">
        <f t="array" ref="L1786">_xlfn.IFS(
 AND(K1786&gt;=89,K1786&lt;=92),"3개월",
 AND(K1786&gt;=58,K1786&lt;=62),"2개월",
 AND(K1786&gt;=28,K1786&lt;=32),"1개월",
 AND(K1786=0),"당월",
 TRUE,"그외"
)</f>
        <v>1개월</v>
      </c>
    </row>
    <row r="1787" spans="1:12" x14ac:dyDescent="0.3">
      <c r="A1787" s="5">
        <v>46023</v>
      </c>
      <c r="B1787" s="6" t="s">
        <v>12</v>
      </c>
      <c r="C1787" s="6" t="s">
        <v>17</v>
      </c>
      <c r="D1787" s="5">
        <v>45992</v>
      </c>
      <c r="E1787" s="6" t="s">
        <v>15</v>
      </c>
      <c r="F1787" s="7">
        <v>17984</v>
      </c>
      <c r="G1787" s="7">
        <v>40632.168649911029</v>
      </c>
      <c r="H1787" s="7">
        <v>730728921</v>
      </c>
      <c r="I1787" s="7">
        <v>158049024</v>
      </c>
      <c r="J1787" s="7">
        <v>14363200</v>
      </c>
      <c r="K1787">
        <f t="shared" si="27"/>
        <v>31</v>
      </c>
      <c r="L1787" s="8" t="str" cm="1">
        <f t="array" ref="L1787">_xlfn.IFS(
 AND(K1787&gt;=89,K1787&lt;=92),"3개월",
 AND(K1787&gt;=58,K1787&lt;=62),"2개월",
 AND(K1787&gt;=28,K1787&lt;=32),"1개월",
 AND(K1787=0),"당월",
 TRUE,"그외"
)</f>
        <v>1개월</v>
      </c>
    </row>
    <row r="1788" spans="1:12" x14ac:dyDescent="0.3">
      <c r="A1788" s="5">
        <v>46023</v>
      </c>
      <c r="B1788" s="6" t="s">
        <v>12</v>
      </c>
      <c r="C1788" s="6" t="s">
        <v>17</v>
      </c>
      <c r="D1788" s="5">
        <v>46023</v>
      </c>
      <c r="E1788" s="6" t="s">
        <v>14</v>
      </c>
      <c r="F1788" s="7">
        <v>37</v>
      </c>
      <c r="G1788" s="7">
        <v>48904.54054054054</v>
      </c>
      <c r="H1788" s="7">
        <v>1809468</v>
      </c>
      <c r="I1788" s="7">
        <v>400400</v>
      </c>
      <c r="J1788" s="7">
        <v>36400</v>
      </c>
      <c r="K1788">
        <f t="shared" si="27"/>
        <v>0</v>
      </c>
      <c r="L1788" s="8" t="str" cm="1">
        <f t="array" ref="L1788">_xlfn.IFS(
 AND(K1788&gt;=89,K1788&lt;=92),"3개월",
 AND(K1788&gt;=58,K1788&lt;=62),"2개월",
 AND(K1788&gt;=28,K1788&lt;=32),"1개월",
 AND(K1788=0),"당월",
 TRUE,"그외"
)</f>
        <v>당월</v>
      </c>
    </row>
    <row r="1789" spans="1:12" x14ac:dyDescent="0.3">
      <c r="A1789" s="5">
        <v>46023</v>
      </c>
      <c r="B1789" s="6" t="s">
        <v>12</v>
      </c>
      <c r="C1789" s="6" t="s">
        <v>17</v>
      </c>
      <c r="D1789" s="5">
        <v>46023</v>
      </c>
      <c r="E1789" s="6" t="s">
        <v>15</v>
      </c>
      <c r="F1789" s="7">
        <v>20959</v>
      </c>
      <c r="G1789" s="7">
        <v>42415.076291807818</v>
      </c>
      <c r="H1789" s="7">
        <v>888977584</v>
      </c>
      <c r="I1789" s="7">
        <v>229334773</v>
      </c>
      <c r="J1789" s="7">
        <v>20844708</v>
      </c>
      <c r="K1789">
        <f t="shared" si="27"/>
        <v>0</v>
      </c>
      <c r="L1789" s="8" t="str" cm="1">
        <f t="array" ref="L1789">_xlfn.IFS(
 AND(K1789&gt;=89,K1789&lt;=92),"3개월",
 AND(K1789&gt;=58,K1789&lt;=62),"2개월",
 AND(K1789&gt;=28,K1789&lt;=32),"1개월",
 AND(K1789=0),"당월",
 TRUE,"그외"
)</f>
        <v>당월</v>
      </c>
    </row>
    <row r="1790" spans="1:12" x14ac:dyDescent="0.3">
      <c r="A1790" s="5">
        <v>46023</v>
      </c>
      <c r="B1790" s="6" t="s">
        <v>12</v>
      </c>
      <c r="C1790" s="6" t="s">
        <v>18</v>
      </c>
      <c r="D1790" s="5">
        <v>45839</v>
      </c>
      <c r="E1790" s="6" t="s">
        <v>15</v>
      </c>
      <c r="F1790" s="7">
        <v>38</v>
      </c>
      <c r="G1790" s="7">
        <v>76072.263157894733</v>
      </c>
      <c r="H1790" s="7">
        <v>2890746</v>
      </c>
      <c r="I1790" s="7">
        <v>250800</v>
      </c>
      <c r="J1790" s="7">
        <v>22800</v>
      </c>
      <c r="K1790">
        <f t="shared" si="27"/>
        <v>184</v>
      </c>
      <c r="L1790" s="8" t="str" cm="1">
        <f t="array" ref="L1790">_xlfn.IFS(
 AND(K1790&gt;=89,K1790&lt;=92),"3개월",
 AND(K1790&gt;=58,K1790&lt;=62),"2개월",
 AND(K1790&gt;=28,K1790&lt;=32),"1개월",
 AND(K1790=0),"당월",
 TRUE,"그외"
)</f>
        <v>그외</v>
      </c>
    </row>
    <row r="1791" spans="1:12" x14ac:dyDescent="0.3">
      <c r="A1791" s="5">
        <v>46023</v>
      </c>
      <c r="B1791" s="6" t="s">
        <v>12</v>
      </c>
      <c r="C1791" s="6" t="s">
        <v>18</v>
      </c>
      <c r="D1791" s="5">
        <v>45870</v>
      </c>
      <c r="E1791" s="6" t="s">
        <v>15</v>
      </c>
      <c r="F1791" s="7">
        <v>217</v>
      </c>
      <c r="G1791" s="7">
        <v>55592.751152073732</v>
      </c>
      <c r="H1791" s="7">
        <v>12063627</v>
      </c>
      <c r="I1791" s="7">
        <v>1909600</v>
      </c>
      <c r="J1791" s="7">
        <v>173600</v>
      </c>
      <c r="K1791">
        <f t="shared" si="27"/>
        <v>153</v>
      </c>
      <c r="L1791" s="8" t="str" cm="1">
        <f t="array" ref="L1791">_xlfn.IFS(
 AND(K1791&gt;=89,K1791&lt;=92),"3개월",
 AND(K1791&gt;=58,K1791&lt;=62),"2개월",
 AND(K1791&gt;=28,K1791&lt;=32),"1개월",
 AND(K1791=0),"당월",
 TRUE,"그외"
)</f>
        <v>그외</v>
      </c>
    </row>
    <row r="1792" spans="1:12" x14ac:dyDescent="0.3">
      <c r="A1792" s="5">
        <v>46023</v>
      </c>
      <c r="B1792" s="6" t="s">
        <v>12</v>
      </c>
      <c r="C1792" s="6" t="s">
        <v>18</v>
      </c>
      <c r="D1792" s="5">
        <v>45901</v>
      </c>
      <c r="E1792" s="6" t="s">
        <v>15</v>
      </c>
      <c r="F1792" s="7">
        <v>585</v>
      </c>
      <c r="G1792" s="7">
        <v>61628.75384615385</v>
      </c>
      <c r="H1792" s="7">
        <v>36052821</v>
      </c>
      <c r="I1792" s="7">
        <v>5148000</v>
      </c>
      <c r="J1792" s="7">
        <v>468000</v>
      </c>
      <c r="K1792">
        <f t="shared" si="27"/>
        <v>122</v>
      </c>
      <c r="L1792" s="8" t="str" cm="1">
        <f t="array" ref="L1792">_xlfn.IFS(
 AND(K1792&gt;=89,K1792&lt;=92),"3개월",
 AND(K1792&gt;=58,K1792&lt;=62),"2개월",
 AND(K1792&gt;=28,K1792&lt;=32),"1개월",
 AND(K1792=0),"당월",
 TRUE,"그외"
)</f>
        <v>그외</v>
      </c>
    </row>
    <row r="1793" spans="1:12" x14ac:dyDescent="0.3">
      <c r="A1793" s="5">
        <v>46023</v>
      </c>
      <c r="B1793" s="6" t="s">
        <v>12</v>
      </c>
      <c r="C1793" s="6" t="s">
        <v>18</v>
      </c>
      <c r="D1793" s="5">
        <v>45931</v>
      </c>
      <c r="E1793" s="6" t="s">
        <v>15</v>
      </c>
      <c r="F1793" s="7">
        <v>1637</v>
      </c>
      <c r="G1793" s="7">
        <v>61518.396456933413</v>
      </c>
      <c r="H1793" s="7">
        <v>100705615</v>
      </c>
      <c r="I1793" s="7">
        <v>14381910</v>
      </c>
      <c r="J1793" s="7">
        <v>1300000</v>
      </c>
      <c r="K1793">
        <f t="shared" si="27"/>
        <v>92</v>
      </c>
      <c r="L1793" s="8" t="str" cm="1">
        <f t="array" ref="L1793">_xlfn.IFS(
 AND(K1793&gt;=89,K1793&lt;=92),"3개월",
 AND(K1793&gt;=58,K1793&lt;=62),"2개월",
 AND(K1793&gt;=28,K1793&lt;=32),"1개월",
 AND(K1793=0),"당월",
 TRUE,"그외"
)</f>
        <v>3개월</v>
      </c>
    </row>
    <row r="1794" spans="1:12" x14ac:dyDescent="0.3">
      <c r="A1794" s="5">
        <v>46023</v>
      </c>
      <c r="B1794" s="6" t="s">
        <v>12</v>
      </c>
      <c r="C1794" s="6" t="s">
        <v>18</v>
      </c>
      <c r="D1794" s="5">
        <v>45962</v>
      </c>
      <c r="E1794" s="6" t="s">
        <v>14</v>
      </c>
      <c r="F1794" s="7">
        <v>43</v>
      </c>
      <c r="G1794" s="7">
        <v>74088.953488372092</v>
      </c>
      <c r="H1794" s="7">
        <v>3185825</v>
      </c>
      <c r="I1794" s="7">
        <v>378400</v>
      </c>
      <c r="J1794" s="7">
        <v>34400</v>
      </c>
      <c r="K1794">
        <f t="shared" si="27"/>
        <v>61</v>
      </c>
      <c r="L1794" s="8" t="str" cm="1">
        <f t="array" ref="L1794">_xlfn.IFS(
 AND(K1794&gt;=89,K1794&lt;=92),"3개월",
 AND(K1794&gt;=58,K1794&lt;=62),"2개월",
 AND(K1794&gt;=28,K1794&lt;=32),"1개월",
 AND(K1794=0),"당월",
 TRUE,"그외"
)</f>
        <v>2개월</v>
      </c>
    </row>
    <row r="1795" spans="1:12" x14ac:dyDescent="0.3">
      <c r="A1795" s="5">
        <v>46023</v>
      </c>
      <c r="B1795" s="6" t="s">
        <v>12</v>
      </c>
      <c r="C1795" s="6" t="s">
        <v>18</v>
      </c>
      <c r="D1795" s="5">
        <v>45962</v>
      </c>
      <c r="E1795" s="6" t="s">
        <v>15</v>
      </c>
      <c r="F1795" s="7">
        <v>7391</v>
      </c>
      <c r="G1795" s="7">
        <v>59902.060208361523</v>
      </c>
      <c r="H1795" s="7">
        <v>442736127</v>
      </c>
      <c r="I1795" s="7">
        <v>65006321</v>
      </c>
      <c r="J1795" s="7">
        <v>5907200</v>
      </c>
      <c r="K1795">
        <f t="shared" si="27"/>
        <v>61</v>
      </c>
      <c r="L1795" s="8" t="str" cm="1">
        <f t="array" ref="L1795">_xlfn.IFS(
 AND(K1795&gt;=89,K1795&lt;=92),"3개월",
 AND(K1795&gt;=58,K1795&lt;=62),"2개월",
 AND(K1795&gt;=28,K1795&lt;=32),"1개월",
 AND(K1795=0),"당월",
 TRUE,"그외"
)</f>
        <v>2개월</v>
      </c>
    </row>
    <row r="1796" spans="1:12" x14ac:dyDescent="0.3">
      <c r="A1796" s="5">
        <v>46023</v>
      </c>
      <c r="B1796" s="6" t="s">
        <v>12</v>
      </c>
      <c r="C1796" s="6" t="s">
        <v>18</v>
      </c>
      <c r="D1796" s="5">
        <v>45992</v>
      </c>
      <c r="E1796" s="6" t="s">
        <v>14</v>
      </c>
      <c r="F1796" s="7">
        <v>390</v>
      </c>
      <c r="G1796" s="7">
        <v>64576.158974358972</v>
      </c>
      <c r="H1796" s="7">
        <v>25184702</v>
      </c>
      <c r="I1796" s="7">
        <v>3432000</v>
      </c>
      <c r="J1796" s="7">
        <v>312000</v>
      </c>
      <c r="K1796">
        <f t="shared" si="27"/>
        <v>31</v>
      </c>
      <c r="L1796" s="8" t="str" cm="1">
        <f t="array" ref="L1796">_xlfn.IFS(
 AND(K1796&gt;=89,K1796&lt;=92),"3개월",
 AND(K1796&gt;=58,K1796&lt;=62),"2개월",
 AND(K1796&gt;=28,K1796&lt;=32),"1개월",
 AND(K1796=0),"당월",
 TRUE,"그외"
)</f>
        <v>1개월</v>
      </c>
    </row>
    <row r="1797" spans="1:12" x14ac:dyDescent="0.3">
      <c r="A1797" s="5">
        <v>46023</v>
      </c>
      <c r="B1797" s="6" t="s">
        <v>12</v>
      </c>
      <c r="C1797" s="6" t="s">
        <v>18</v>
      </c>
      <c r="D1797" s="5">
        <v>45992</v>
      </c>
      <c r="E1797" s="6" t="s">
        <v>15</v>
      </c>
      <c r="F1797" s="7">
        <v>29138</v>
      </c>
      <c r="G1797" s="7">
        <v>51340.815532980989</v>
      </c>
      <c r="H1797" s="7">
        <v>1495968683</v>
      </c>
      <c r="I1797" s="7">
        <v>256106836</v>
      </c>
      <c r="J1797" s="7">
        <v>23268981</v>
      </c>
      <c r="K1797">
        <f t="shared" si="27"/>
        <v>31</v>
      </c>
      <c r="L1797" s="8" t="str" cm="1">
        <f t="array" ref="L1797">_xlfn.IFS(
 AND(K1797&gt;=89,K1797&lt;=92),"3개월",
 AND(K1797&gt;=58,K1797&lt;=62),"2개월",
 AND(K1797&gt;=28,K1797&lt;=32),"1개월",
 AND(K1797=0),"당월",
 TRUE,"그외"
)</f>
        <v>1개월</v>
      </c>
    </row>
    <row r="1798" spans="1:12" x14ac:dyDescent="0.3">
      <c r="A1798" s="5">
        <v>46023</v>
      </c>
      <c r="B1798" s="6" t="s">
        <v>12</v>
      </c>
      <c r="C1798" s="6" t="s">
        <v>18</v>
      </c>
      <c r="D1798" s="5">
        <v>46023</v>
      </c>
      <c r="E1798" s="6" t="s">
        <v>14</v>
      </c>
      <c r="F1798" s="7">
        <v>7</v>
      </c>
      <c r="G1798" s="7">
        <v>65792.71428571429</v>
      </c>
      <c r="H1798" s="7">
        <v>460549</v>
      </c>
      <c r="I1798" s="7">
        <v>61600</v>
      </c>
      <c r="J1798" s="7">
        <v>5600</v>
      </c>
      <c r="K1798">
        <f t="shared" si="27"/>
        <v>0</v>
      </c>
      <c r="L1798" s="8" t="str" cm="1">
        <f t="array" ref="L1798">_xlfn.IFS(
 AND(K1798&gt;=89,K1798&lt;=92),"3개월",
 AND(K1798&gt;=58,K1798&lt;=62),"2개월",
 AND(K1798&gt;=28,K1798&lt;=32),"1개월",
 AND(K1798=0),"당월",
 TRUE,"그외"
)</f>
        <v>당월</v>
      </c>
    </row>
    <row r="1799" spans="1:12" x14ac:dyDescent="0.3">
      <c r="A1799" s="5">
        <v>46023</v>
      </c>
      <c r="B1799" s="6" t="s">
        <v>12</v>
      </c>
      <c r="C1799" s="6" t="s">
        <v>18</v>
      </c>
      <c r="D1799" s="5">
        <v>46023</v>
      </c>
      <c r="E1799" s="6" t="s">
        <v>15</v>
      </c>
      <c r="F1799" s="7">
        <v>33506</v>
      </c>
      <c r="G1799" s="7">
        <v>51316.821226049069</v>
      </c>
      <c r="H1799" s="7">
        <v>1719421412</v>
      </c>
      <c r="I1799" s="7">
        <v>365772496</v>
      </c>
      <c r="J1799" s="7">
        <v>33250400</v>
      </c>
      <c r="K1799">
        <f t="shared" si="27"/>
        <v>0</v>
      </c>
      <c r="L1799" s="8" t="str" cm="1">
        <f t="array" ref="L1799">_xlfn.IFS(
 AND(K1799&gt;=89,K1799&lt;=92),"3개월",
 AND(K1799&gt;=58,K1799&lt;=62),"2개월",
 AND(K1799&gt;=28,K1799&lt;=32),"1개월",
 AND(K1799=0),"당월",
 TRUE,"그외"
)</f>
        <v>당월</v>
      </c>
    </row>
    <row r="1800" spans="1:12" x14ac:dyDescent="0.3">
      <c r="A1800" s="5">
        <v>46023</v>
      </c>
      <c r="B1800" s="6" t="s">
        <v>12</v>
      </c>
      <c r="C1800" s="6" t="s">
        <v>19</v>
      </c>
      <c r="D1800" s="5">
        <v>45839</v>
      </c>
      <c r="E1800" s="6" t="s">
        <v>15</v>
      </c>
      <c r="F1800" s="7">
        <v>9</v>
      </c>
      <c r="G1800" s="7">
        <v>72970.333333333328</v>
      </c>
      <c r="H1800" s="7">
        <v>656733</v>
      </c>
      <c r="I1800" s="7">
        <v>59400</v>
      </c>
      <c r="J1800" s="7">
        <v>5400</v>
      </c>
      <c r="K1800">
        <f t="shared" si="27"/>
        <v>184</v>
      </c>
      <c r="L1800" s="8" t="str" cm="1">
        <f t="array" ref="L1800">_xlfn.IFS(
 AND(K1800&gt;=89,K1800&lt;=92),"3개월",
 AND(K1800&gt;=58,K1800&lt;=62),"2개월",
 AND(K1800&gt;=28,K1800&lt;=32),"1개월",
 AND(K1800=0),"당월",
 TRUE,"그외"
)</f>
        <v>그외</v>
      </c>
    </row>
    <row r="1801" spans="1:12" x14ac:dyDescent="0.3">
      <c r="A1801" s="5">
        <v>46023</v>
      </c>
      <c r="B1801" s="6" t="s">
        <v>12</v>
      </c>
      <c r="C1801" s="6" t="s">
        <v>19</v>
      </c>
      <c r="D1801" s="5">
        <v>45870</v>
      </c>
      <c r="E1801" s="6" t="s">
        <v>15</v>
      </c>
      <c r="F1801" s="7">
        <v>8</v>
      </c>
      <c r="G1801" s="7">
        <v>47352.5</v>
      </c>
      <c r="H1801" s="7">
        <v>378820</v>
      </c>
      <c r="I1801" s="7">
        <v>70400</v>
      </c>
      <c r="J1801" s="7">
        <v>6400</v>
      </c>
      <c r="K1801">
        <f t="shared" si="27"/>
        <v>153</v>
      </c>
      <c r="L1801" s="8" t="str" cm="1">
        <f t="array" ref="L1801">_xlfn.IFS(
 AND(K1801&gt;=89,K1801&lt;=92),"3개월",
 AND(K1801&gt;=58,K1801&lt;=62),"2개월",
 AND(K1801&gt;=28,K1801&lt;=32),"1개월",
 AND(K1801=0),"당월",
 TRUE,"그외"
)</f>
        <v>그외</v>
      </c>
    </row>
    <row r="1802" spans="1:12" x14ac:dyDescent="0.3">
      <c r="A1802" s="5">
        <v>46023</v>
      </c>
      <c r="B1802" s="6" t="s">
        <v>12</v>
      </c>
      <c r="C1802" s="6" t="s">
        <v>19</v>
      </c>
      <c r="D1802" s="5">
        <v>45901</v>
      </c>
      <c r="E1802" s="6" t="s">
        <v>15</v>
      </c>
      <c r="F1802" s="7">
        <v>15</v>
      </c>
      <c r="G1802" s="7">
        <v>61000.4</v>
      </c>
      <c r="H1802" s="7">
        <v>915006</v>
      </c>
      <c r="I1802" s="7">
        <v>132000</v>
      </c>
      <c r="J1802" s="7">
        <v>12000</v>
      </c>
      <c r="K1802">
        <f t="shared" ref="K1802:K1865" si="28">A1802-D1802</f>
        <v>122</v>
      </c>
      <c r="L1802" s="8" t="str" cm="1">
        <f t="array" ref="L1802">_xlfn.IFS(
 AND(K1802&gt;=89,K1802&lt;=92),"3개월",
 AND(K1802&gt;=58,K1802&lt;=62),"2개월",
 AND(K1802&gt;=28,K1802&lt;=32),"1개월",
 AND(K1802=0),"당월",
 TRUE,"그외"
)</f>
        <v>그외</v>
      </c>
    </row>
    <row r="1803" spans="1:12" x14ac:dyDescent="0.3">
      <c r="A1803" s="5">
        <v>46023</v>
      </c>
      <c r="B1803" s="6" t="s">
        <v>12</v>
      </c>
      <c r="C1803" s="6" t="s">
        <v>19</v>
      </c>
      <c r="D1803" s="5">
        <v>45931</v>
      </c>
      <c r="E1803" s="6" t="s">
        <v>15</v>
      </c>
      <c r="F1803" s="7">
        <v>28</v>
      </c>
      <c r="G1803" s="7">
        <v>50672.428571428572</v>
      </c>
      <c r="H1803" s="7">
        <v>1418828</v>
      </c>
      <c r="I1803" s="7">
        <v>193600</v>
      </c>
      <c r="J1803" s="7">
        <v>17600</v>
      </c>
      <c r="K1803">
        <f t="shared" si="28"/>
        <v>92</v>
      </c>
      <c r="L1803" s="8" t="str" cm="1">
        <f t="array" ref="L1803">_xlfn.IFS(
 AND(K1803&gt;=89,K1803&lt;=92),"3개월",
 AND(K1803&gt;=58,K1803&lt;=62),"2개월",
 AND(K1803&gt;=28,K1803&lt;=32),"1개월",
 AND(K1803=0),"당월",
 TRUE,"그외"
)</f>
        <v>3개월</v>
      </c>
    </row>
    <row r="1804" spans="1:12" x14ac:dyDescent="0.3">
      <c r="A1804" s="5">
        <v>46023</v>
      </c>
      <c r="B1804" s="6" t="s">
        <v>12</v>
      </c>
      <c r="C1804" s="6" t="s">
        <v>19</v>
      </c>
      <c r="D1804" s="5">
        <v>45962</v>
      </c>
      <c r="E1804" s="6" t="s">
        <v>15</v>
      </c>
      <c r="F1804" s="7">
        <v>147</v>
      </c>
      <c r="G1804" s="7">
        <v>30050.170068027212</v>
      </c>
      <c r="H1804" s="7">
        <v>4417375</v>
      </c>
      <c r="I1804" s="7">
        <v>633600</v>
      </c>
      <c r="J1804" s="7">
        <v>57600</v>
      </c>
      <c r="K1804">
        <f t="shared" si="28"/>
        <v>61</v>
      </c>
      <c r="L1804" s="8" t="str" cm="1">
        <f t="array" ref="L1804">_xlfn.IFS(
 AND(K1804&gt;=89,K1804&lt;=92),"3개월",
 AND(K1804&gt;=58,K1804&lt;=62),"2개월",
 AND(K1804&gt;=28,K1804&lt;=32),"1개월",
 AND(K1804=0),"당월",
 TRUE,"그외"
)</f>
        <v>2개월</v>
      </c>
    </row>
    <row r="1805" spans="1:12" x14ac:dyDescent="0.3">
      <c r="A1805" s="5">
        <v>46023</v>
      </c>
      <c r="B1805" s="6" t="s">
        <v>12</v>
      </c>
      <c r="C1805" s="6" t="s">
        <v>19</v>
      </c>
      <c r="D1805" s="5">
        <v>45992</v>
      </c>
      <c r="E1805" s="6" t="s">
        <v>15</v>
      </c>
      <c r="F1805" s="7">
        <v>4185</v>
      </c>
      <c r="G1805" s="7">
        <v>38287.893428912786</v>
      </c>
      <c r="H1805" s="7">
        <v>160234834</v>
      </c>
      <c r="I1805" s="7">
        <v>32771200</v>
      </c>
      <c r="J1805" s="7">
        <v>2979200</v>
      </c>
      <c r="K1805">
        <f t="shared" si="28"/>
        <v>31</v>
      </c>
      <c r="L1805" s="8" t="str" cm="1">
        <f t="array" ref="L1805">_xlfn.IFS(
 AND(K1805&gt;=89,K1805&lt;=92),"3개월",
 AND(K1805&gt;=58,K1805&lt;=62),"2개월",
 AND(K1805&gt;=28,K1805&lt;=32),"1개월",
 AND(K1805=0),"당월",
 TRUE,"그외"
)</f>
        <v>1개월</v>
      </c>
    </row>
    <row r="1806" spans="1:12" x14ac:dyDescent="0.3">
      <c r="A1806" s="5">
        <v>46023</v>
      </c>
      <c r="B1806" s="6" t="s">
        <v>12</v>
      </c>
      <c r="C1806" s="6" t="s">
        <v>19</v>
      </c>
      <c r="D1806" s="5">
        <v>46023</v>
      </c>
      <c r="E1806" s="6" t="s">
        <v>15</v>
      </c>
      <c r="F1806" s="7">
        <v>16387</v>
      </c>
      <c r="G1806" s="7">
        <v>44075.382986513701</v>
      </c>
      <c r="H1806" s="7">
        <v>722263301</v>
      </c>
      <c r="I1806" s="7">
        <v>175739300</v>
      </c>
      <c r="J1806" s="7">
        <v>15976300</v>
      </c>
      <c r="K1806">
        <f t="shared" si="28"/>
        <v>0</v>
      </c>
      <c r="L1806" s="8" t="str" cm="1">
        <f t="array" ref="L1806">_xlfn.IFS(
 AND(K1806&gt;=89,K1806&lt;=92),"3개월",
 AND(K1806&gt;=58,K1806&lt;=62),"2개월",
 AND(K1806&gt;=28,K1806&lt;=32),"1개월",
 AND(K1806=0),"당월",
 TRUE,"그외"
)</f>
        <v>당월</v>
      </c>
    </row>
    <row r="1807" spans="1:12" x14ac:dyDescent="0.3">
      <c r="A1807" s="5">
        <v>46023</v>
      </c>
      <c r="B1807" s="6" t="s">
        <v>20</v>
      </c>
      <c r="C1807" s="6" t="s">
        <v>22</v>
      </c>
      <c r="D1807" s="5">
        <v>45839</v>
      </c>
      <c r="E1807" s="6" t="s">
        <v>15</v>
      </c>
      <c r="F1807" s="7">
        <v>238</v>
      </c>
      <c r="G1807" s="7">
        <v>133282.2478991597</v>
      </c>
      <c r="H1807" s="7">
        <v>31721175</v>
      </c>
      <c r="I1807" s="7">
        <v>1718822</v>
      </c>
      <c r="J1807" s="7">
        <v>0</v>
      </c>
      <c r="K1807">
        <f t="shared" si="28"/>
        <v>184</v>
      </c>
      <c r="L1807" s="8" t="str" cm="1">
        <f t="array" ref="L1807">_xlfn.IFS(
 AND(K1807&gt;=89,K1807&lt;=92),"3개월",
 AND(K1807&gt;=58,K1807&lt;=62),"2개월",
 AND(K1807&gt;=28,K1807&lt;=32),"1개월",
 AND(K1807=0),"당월",
 TRUE,"그외"
)</f>
        <v>그외</v>
      </c>
    </row>
    <row r="1808" spans="1:12" x14ac:dyDescent="0.3">
      <c r="A1808" s="5">
        <v>46023</v>
      </c>
      <c r="B1808" s="6" t="s">
        <v>20</v>
      </c>
      <c r="C1808" s="6" t="s">
        <v>22</v>
      </c>
      <c r="D1808" s="5">
        <v>45870</v>
      </c>
      <c r="E1808" s="6" t="s">
        <v>15</v>
      </c>
      <c r="F1808" s="7">
        <v>472</v>
      </c>
      <c r="G1808" s="7">
        <v>144701.10381355931</v>
      </c>
      <c r="H1808" s="7">
        <v>68298921</v>
      </c>
      <c r="I1808" s="7">
        <v>5664900</v>
      </c>
      <c r="J1808" s="7">
        <v>0</v>
      </c>
      <c r="K1808">
        <f t="shared" si="28"/>
        <v>153</v>
      </c>
      <c r="L1808" s="8" t="str" cm="1">
        <f t="array" ref="L1808">_xlfn.IFS(
 AND(K1808&gt;=89,K1808&lt;=92),"3개월",
 AND(K1808&gt;=58,K1808&lt;=62),"2개월",
 AND(K1808&gt;=28,K1808&lt;=32),"1개월",
 AND(K1808=0),"당월",
 TRUE,"그외"
)</f>
        <v>그외</v>
      </c>
    </row>
    <row r="1809" spans="1:12" x14ac:dyDescent="0.3">
      <c r="A1809" s="5">
        <v>46023</v>
      </c>
      <c r="B1809" s="6" t="s">
        <v>20</v>
      </c>
      <c r="C1809" s="6" t="s">
        <v>22</v>
      </c>
      <c r="D1809" s="5">
        <v>45901</v>
      </c>
      <c r="E1809" s="6" t="s">
        <v>14</v>
      </c>
      <c r="F1809" s="7">
        <v>5</v>
      </c>
      <c r="G1809" s="7">
        <v>96944.6</v>
      </c>
      <c r="H1809" s="7">
        <v>484723</v>
      </c>
      <c r="I1809" s="7">
        <v>108243</v>
      </c>
      <c r="J1809" s="7">
        <v>0</v>
      </c>
      <c r="K1809">
        <f t="shared" si="28"/>
        <v>122</v>
      </c>
      <c r="L1809" s="8" t="str" cm="1">
        <f t="array" ref="L1809">_xlfn.IFS(
 AND(K1809&gt;=89,K1809&lt;=92),"3개월",
 AND(K1809&gt;=58,K1809&lt;=62),"2개월",
 AND(K1809&gt;=28,K1809&lt;=32),"1개월",
 AND(K1809=0),"당월",
 TRUE,"그외"
)</f>
        <v>그외</v>
      </c>
    </row>
    <row r="1810" spans="1:12" x14ac:dyDescent="0.3">
      <c r="A1810" s="5">
        <v>46023</v>
      </c>
      <c r="B1810" s="6" t="s">
        <v>20</v>
      </c>
      <c r="C1810" s="6" t="s">
        <v>22</v>
      </c>
      <c r="D1810" s="5">
        <v>45901</v>
      </c>
      <c r="E1810" s="6" t="s">
        <v>15</v>
      </c>
      <c r="F1810" s="7">
        <v>1368</v>
      </c>
      <c r="G1810" s="7">
        <v>160250.76754385969</v>
      </c>
      <c r="H1810" s="7">
        <v>219223050</v>
      </c>
      <c r="I1810" s="7">
        <v>16366899</v>
      </c>
      <c r="J1810" s="7">
        <v>0</v>
      </c>
      <c r="K1810">
        <f t="shared" si="28"/>
        <v>122</v>
      </c>
      <c r="L1810" s="8" t="str" cm="1">
        <f t="array" ref="L1810">_xlfn.IFS(
 AND(K1810&gt;=89,K1810&lt;=92),"3개월",
 AND(K1810&gt;=58,K1810&lt;=62),"2개월",
 AND(K1810&gt;=28,K1810&lt;=32),"1개월",
 AND(K1810=0),"당월",
 TRUE,"그외"
)</f>
        <v>그외</v>
      </c>
    </row>
    <row r="1811" spans="1:12" x14ac:dyDescent="0.3">
      <c r="A1811" s="5">
        <v>46023</v>
      </c>
      <c r="B1811" s="6" t="s">
        <v>20</v>
      </c>
      <c r="C1811" s="6" t="s">
        <v>22</v>
      </c>
      <c r="D1811" s="5">
        <v>45931</v>
      </c>
      <c r="E1811" s="6" t="s">
        <v>14</v>
      </c>
      <c r="F1811" s="7">
        <v>10</v>
      </c>
      <c r="G1811" s="7">
        <v>105104.4</v>
      </c>
      <c r="H1811" s="7">
        <v>1051044</v>
      </c>
      <c r="I1811" s="7">
        <v>293556</v>
      </c>
      <c r="J1811" s="7">
        <v>0</v>
      </c>
      <c r="K1811">
        <f t="shared" si="28"/>
        <v>92</v>
      </c>
      <c r="L1811" s="8" t="str" cm="1">
        <f t="array" ref="L1811">_xlfn.IFS(
 AND(K1811&gt;=89,K1811&lt;=92),"3개월",
 AND(K1811&gt;=58,K1811&lt;=62),"2개월",
 AND(K1811&gt;=28,K1811&lt;=32),"1개월",
 AND(K1811=0),"당월",
 TRUE,"그외"
)</f>
        <v>3개월</v>
      </c>
    </row>
    <row r="1812" spans="1:12" x14ac:dyDescent="0.3">
      <c r="A1812" s="5">
        <v>46023</v>
      </c>
      <c r="B1812" s="6" t="s">
        <v>20</v>
      </c>
      <c r="C1812" s="6" t="s">
        <v>22</v>
      </c>
      <c r="D1812" s="5">
        <v>45931</v>
      </c>
      <c r="E1812" s="6" t="s">
        <v>15</v>
      </c>
      <c r="F1812" s="7">
        <v>2300</v>
      </c>
      <c r="G1812" s="7">
        <v>160965.26608695649</v>
      </c>
      <c r="H1812" s="7">
        <v>370220112</v>
      </c>
      <c r="I1812" s="7">
        <v>31259135</v>
      </c>
      <c r="J1812" s="7">
        <v>0</v>
      </c>
      <c r="K1812">
        <f t="shared" si="28"/>
        <v>92</v>
      </c>
      <c r="L1812" s="8" t="str" cm="1">
        <f t="array" ref="L1812">_xlfn.IFS(
 AND(K1812&gt;=89,K1812&lt;=92),"3개월",
 AND(K1812&gt;=58,K1812&lt;=62),"2개월",
 AND(K1812&gt;=28,K1812&lt;=32),"1개월",
 AND(K1812=0),"당월",
 TRUE,"그외"
)</f>
        <v>3개월</v>
      </c>
    </row>
    <row r="1813" spans="1:12" x14ac:dyDescent="0.3">
      <c r="A1813" s="5">
        <v>46023</v>
      </c>
      <c r="B1813" s="6" t="s">
        <v>20</v>
      </c>
      <c r="C1813" s="6" t="s">
        <v>22</v>
      </c>
      <c r="D1813" s="5">
        <v>45962</v>
      </c>
      <c r="E1813" s="6" t="s">
        <v>14</v>
      </c>
      <c r="F1813" s="7">
        <v>1299</v>
      </c>
      <c r="G1813" s="7">
        <v>130315.15165511931</v>
      </c>
      <c r="H1813" s="7">
        <v>169279382</v>
      </c>
      <c r="I1813" s="7">
        <v>16432396</v>
      </c>
      <c r="J1813" s="7">
        <v>0</v>
      </c>
      <c r="K1813">
        <f t="shared" si="28"/>
        <v>61</v>
      </c>
      <c r="L1813" s="8" t="str" cm="1">
        <f t="array" ref="L1813">_xlfn.IFS(
 AND(K1813&gt;=89,K1813&lt;=92),"3개월",
 AND(K1813&gt;=58,K1813&lt;=62),"2개월",
 AND(K1813&gt;=28,K1813&lt;=32),"1개월",
 AND(K1813=0),"당월",
 TRUE,"그외"
)</f>
        <v>2개월</v>
      </c>
    </row>
    <row r="1814" spans="1:12" x14ac:dyDescent="0.3">
      <c r="A1814" s="5">
        <v>46023</v>
      </c>
      <c r="B1814" s="6" t="s">
        <v>20</v>
      </c>
      <c r="C1814" s="6" t="s">
        <v>22</v>
      </c>
      <c r="D1814" s="5">
        <v>45962</v>
      </c>
      <c r="E1814" s="6" t="s">
        <v>15</v>
      </c>
      <c r="F1814" s="7">
        <v>6999</v>
      </c>
      <c r="G1814" s="7">
        <v>165190.0320045721</v>
      </c>
      <c r="H1814" s="7">
        <v>1156165034</v>
      </c>
      <c r="I1814" s="7">
        <v>89199934</v>
      </c>
      <c r="J1814" s="7">
        <v>0</v>
      </c>
      <c r="K1814">
        <f t="shared" si="28"/>
        <v>61</v>
      </c>
      <c r="L1814" s="8" t="str" cm="1">
        <f t="array" ref="L1814">_xlfn.IFS(
 AND(K1814&gt;=89,K1814&lt;=92),"3개월",
 AND(K1814&gt;=58,K1814&lt;=62),"2개월",
 AND(K1814&gt;=28,K1814&lt;=32),"1개월",
 AND(K1814=0),"당월",
 TRUE,"그외"
)</f>
        <v>2개월</v>
      </c>
    </row>
    <row r="1815" spans="1:12" x14ac:dyDescent="0.3">
      <c r="A1815" s="5">
        <v>46023</v>
      </c>
      <c r="B1815" s="6" t="s">
        <v>20</v>
      </c>
      <c r="C1815" s="6" t="s">
        <v>22</v>
      </c>
      <c r="D1815" s="5">
        <v>45992</v>
      </c>
      <c r="E1815" s="6" t="s">
        <v>14</v>
      </c>
      <c r="F1815" s="7">
        <v>5116</v>
      </c>
      <c r="G1815" s="7">
        <v>130339.8618060985</v>
      </c>
      <c r="H1815" s="7">
        <v>666818733</v>
      </c>
      <c r="I1815" s="7">
        <v>81060505</v>
      </c>
      <c r="J1815" s="7">
        <v>0</v>
      </c>
      <c r="K1815">
        <f t="shared" si="28"/>
        <v>31</v>
      </c>
      <c r="L1815" s="8" t="str" cm="1">
        <f t="array" ref="L1815">_xlfn.IFS(
 AND(K1815&gt;=89,K1815&lt;=92),"3개월",
 AND(K1815&gt;=58,K1815&lt;=62),"2개월",
 AND(K1815&gt;=28,K1815&lt;=32),"1개월",
 AND(K1815=0),"당월",
 TRUE,"그외"
)</f>
        <v>1개월</v>
      </c>
    </row>
    <row r="1816" spans="1:12" x14ac:dyDescent="0.3">
      <c r="A1816" s="5">
        <v>46023</v>
      </c>
      <c r="B1816" s="6" t="s">
        <v>20</v>
      </c>
      <c r="C1816" s="6" t="s">
        <v>22</v>
      </c>
      <c r="D1816" s="5">
        <v>45992</v>
      </c>
      <c r="E1816" s="6" t="s">
        <v>15</v>
      </c>
      <c r="F1816" s="7">
        <v>20348</v>
      </c>
      <c r="G1816" s="7">
        <v>167233.06890112051</v>
      </c>
      <c r="H1816" s="7">
        <v>3402858486</v>
      </c>
      <c r="I1816" s="7">
        <v>305255050</v>
      </c>
      <c r="J1816" s="7">
        <v>0</v>
      </c>
      <c r="K1816">
        <f t="shared" si="28"/>
        <v>31</v>
      </c>
      <c r="L1816" s="8" t="str" cm="1">
        <f t="array" ref="L1816">_xlfn.IFS(
 AND(K1816&gt;=89,K1816&lt;=92),"3개월",
 AND(K1816&gt;=58,K1816&lt;=62),"2개월",
 AND(K1816&gt;=28,K1816&lt;=32),"1개월",
 AND(K1816=0),"당월",
 TRUE,"그외"
)</f>
        <v>1개월</v>
      </c>
    </row>
    <row r="1817" spans="1:12" x14ac:dyDescent="0.3">
      <c r="A1817" s="5">
        <v>46023</v>
      </c>
      <c r="B1817" s="6" t="s">
        <v>20</v>
      </c>
      <c r="C1817" s="6" t="s">
        <v>22</v>
      </c>
      <c r="D1817" s="5">
        <v>46023</v>
      </c>
      <c r="E1817" s="6" t="s">
        <v>14</v>
      </c>
      <c r="F1817" s="7">
        <v>4995</v>
      </c>
      <c r="G1817" s="7">
        <v>135980.48508508509</v>
      </c>
      <c r="H1817" s="7">
        <v>679222523</v>
      </c>
      <c r="I1817" s="7">
        <v>71209649</v>
      </c>
      <c r="J1817" s="7">
        <v>0</v>
      </c>
      <c r="K1817">
        <f t="shared" si="28"/>
        <v>0</v>
      </c>
      <c r="L1817" s="8" t="str" cm="1">
        <f t="array" ref="L1817">_xlfn.IFS(
 AND(K1817&gt;=89,K1817&lt;=92),"3개월",
 AND(K1817&gt;=58,K1817&lt;=62),"2개월",
 AND(K1817&gt;=28,K1817&lt;=32),"1개월",
 AND(K1817=0),"당월",
 TRUE,"그외"
)</f>
        <v>당월</v>
      </c>
    </row>
    <row r="1818" spans="1:12" x14ac:dyDescent="0.3">
      <c r="A1818" s="5">
        <v>46023</v>
      </c>
      <c r="B1818" s="6" t="s">
        <v>20</v>
      </c>
      <c r="C1818" s="6" t="s">
        <v>22</v>
      </c>
      <c r="D1818" s="5">
        <v>46023</v>
      </c>
      <c r="E1818" s="6" t="s">
        <v>15</v>
      </c>
      <c r="F1818" s="7">
        <v>15452</v>
      </c>
      <c r="G1818" s="7">
        <v>175763.89244110789</v>
      </c>
      <c r="H1818" s="7">
        <v>2715903666</v>
      </c>
      <c r="I1818" s="7">
        <v>234270231</v>
      </c>
      <c r="J1818" s="7">
        <v>0</v>
      </c>
      <c r="K1818">
        <f t="shared" si="28"/>
        <v>0</v>
      </c>
      <c r="L1818" s="8" t="str" cm="1">
        <f t="array" ref="L1818">_xlfn.IFS(
 AND(K1818&gt;=89,K1818&lt;=92),"3개월",
 AND(K1818&gt;=58,K1818&lt;=62),"2개월",
 AND(K1818&gt;=28,K1818&lt;=32),"1개월",
 AND(K1818=0),"당월",
 TRUE,"그외"
)</f>
        <v>당월</v>
      </c>
    </row>
    <row r="1819" spans="1:12" x14ac:dyDescent="0.3">
      <c r="A1819" s="5">
        <v>46023</v>
      </c>
      <c r="B1819" s="6" t="s">
        <v>20</v>
      </c>
      <c r="C1819" s="6" t="s">
        <v>23</v>
      </c>
      <c r="D1819" s="5">
        <v>45839</v>
      </c>
      <c r="E1819" s="6" t="s">
        <v>15</v>
      </c>
      <c r="F1819" s="7">
        <v>46</v>
      </c>
      <c r="G1819" s="7">
        <v>155660.60869565219</v>
      </c>
      <c r="H1819" s="7">
        <v>7160388</v>
      </c>
      <c r="I1819" s="7">
        <v>340468</v>
      </c>
      <c r="J1819" s="7">
        <v>0</v>
      </c>
      <c r="K1819">
        <f t="shared" si="28"/>
        <v>184</v>
      </c>
      <c r="L1819" s="8" t="str" cm="1">
        <f t="array" ref="L1819">_xlfn.IFS(
 AND(K1819&gt;=89,K1819&lt;=92),"3개월",
 AND(K1819&gt;=58,K1819&lt;=62),"2개월",
 AND(K1819&gt;=28,K1819&lt;=32),"1개월",
 AND(K1819=0),"당월",
 TRUE,"그외"
)</f>
        <v>그외</v>
      </c>
    </row>
    <row r="1820" spans="1:12" x14ac:dyDescent="0.3">
      <c r="A1820" s="5">
        <v>46023</v>
      </c>
      <c r="B1820" s="6" t="s">
        <v>20</v>
      </c>
      <c r="C1820" s="6" t="s">
        <v>23</v>
      </c>
      <c r="D1820" s="5">
        <v>45870</v>
      </c>
      <c r="E1820" s="6" t="s">
        <v>15</v>
      </c>
      <c r="F1820" s="7">
        <v>170</v>
      </c>
      <c r="G1820" s="7">
        <v>139782.54705882349</v>
      </c>
      <c r="H1820" s="7">
        <v>23763033</v>
      </c>
      <c r="I1820" s="7">
        <v>1711802</v>
      </c>
      <c r="J1820" s="7">
        <v>0</v>
      </c>
      <c r="K1820">
        <f t="shared" si="28"/>
        <v>153</v>
      </c>
      <c r="L1820" s="8" t="str" cm="1">
        <f t="array" ref="L1820">_xlfn.IFS(
 AND(K1820&gt;=89,K1820&lt;=92),"3개월",
 AND(K1820&gt;=58,K1820&lt;=62),"2개월",
 AND(K1820&gt;=28,K1820&lt;=32),"1개월",
 AND(K1820=0),"당월",
 TRUE,"그외"
)</f>
        <v>그외</v>
      </c>
    </row>
    <row r="1821" spans="1:12" x14ac:dyDescent="0.3">
      <c r="A1821" s="5">
        <v>46023</v>
      </c>
      <c r="B1821" s="6" t="s">
        <v>20</v>
      </c>
      <c r="C1821" s="6" t="s">
        <v>23</v>
      </c>
      <c r="D1821" s="5">
        <v>45901</v>
      </c>
      <c r="E1821" s="6" t="s">
        <v>15</v>
      </c>
      <c r="F1821" s="7">
        <v>383</v>
      </c>
      <c r="G1821" s="7">
        <v>154058.65274151441</v>
      </c>
      <c r="H1821" s="7">
        <v>59004464</v>
      </c>
      <c r="I1821" s="7">
        <v>3857963</v>
      </c>
      <c r="J1821" s="7">
        <v>0</v>
      </c>
      <c r="K1821">
        <f t="shared" si="28"/>
        <v>122</v>
      </c>
      <c r="L1821" s="8" t="str" cm="1">
        <f t="array" ref="L1821">_xlfn.IFS(
 AND(K1821&gt;=89,K1821&lt;=92),"3개월",
 AND(K1821&gt;=58,K1821&lt;=62),"2개월",
 AND(K1821&gt;=28,K1821&lt;=32),"1개월",
 AND(K1821=0),"당월",
 TRUE,"그외"
)</f>
        <v>그외</v>
      </c>
    </row>
    <row r="1822" spans="1:12" x14ac:dyDescent="0.3">
      <c r="A1822" s="5">
        <v>46023</v>
      </c>
      <c r="B1822" s="6" t="s">
        <v>20</v>
      </c>
      <c r="C1822" s="6" t="s">
        <v>23</v>
      </c>
      <c r="D1822" s="5">
        <v>45931</v>
      </c>
      <c r="E1822" s="6" t="s">
        <v>14</v>
      </c>
      <c r="F1822" s="7">
        <v>54</v>
      </c>
      <c r="G1822" s="7">
        <v>144700</v>
      </c>
      <c r="H1822" s="7">
        <v>7813800</v>
      </c>
      <c r="I1822" s="7">
        <v>523800</v>
      </c>
      <c r="J1822" s="7">
        <v>0</v>
      </c>
      <c r="K1822">
        <f t="shared" si="28"/>
        <v>92</v>
      </c>
      <c r="L1822" s="8" t="str" cm="1">
        <f t="array" ref="L1822">_xlfn.IFS(
 AND(K1822&gt;=89,K1822&lt;=92),"3개월",
 AND(K1822&gt;=58,K1822&lt;=62),"2개월",
 AND(K1822&gt;=28,K1822&lt;=32),"1개월",
 AND(K1822=0),"당월",
 TRUE,"그외"
)</f>
        <v>3개월</v>
      </c>
    </row>
    <row r="1823" spans="1:12" x14ac:dyDescent="0.3">
      <c r="A1823" s="5">
        <v>46023</v>
      </c>
      <c r="B1823" s="6" t="s">
        <v>20</v>
      </c>
      <c r="C1823" s="6" t="s">
        <v>23</v>
      </c>
      <c r="D1823" s="5">
        <v>45931</v>
      </c>
      <c r="E1823" s="6" t="s">
        <v>15</v>
      </c>
      <c r="F1823" s="7">
        <v>1528</v>
      </c>
      <c r="G1823" s="7">
        <v>156687.08115183239</v>
      </c>
      <c r="H1823" s="7">
        <v>239417860</v>
      </c>
      <c r="I1823" s="7">
        <v>17116693</v>
      </c>
      <c r="J1823" s="7">
        <v>0</v>
      </c>
      <c r="K1823">
        <f t="shared" si="28"/>
        <v>92</v>
      </c>
      <c r="L1823" s="8" t="str" cm="1">
        <f t="array" ref="L1823">_xlfn.IFS(
 AND(K1823&gt;=89,K1823&lt;=92),"3개월",
 AND(K1823&gt;=58,K1823&lt;=62),"2개월",
 AND(K1823&gt;=28,K1823&lt;=32),"1개월",
 AND(K1823=0),"당월",
 TRUE,"그외"
)</f>
        <v>3개월</v>
      </c>
    </row>
    <row r="1824" spans="1:12" x14ac:dyDescent="0.3">
      <c r="A1824" s="5">
        <v>46023</v>
      </c>
      <c r="B1824" s="6" t="s">
        <v>20</v>
      </c>
      <c r="C1824" s="6" t="s">
        <v>23</v>
      </c>
      <c r="D1824" s="5">
        <v>45962</v>
      </c>
      <c r="E1824" s="6" t="s">
        <v>14</v>
      </c>
      <c r="F1824" s="7">
        <v>791</v>
      </c>
      <c r="G1824" s="7">
        <v>128990.89759797719</v>
      </c>
      <c r="H1824" s="7">
        <v>102031800</v>
      </c>
      <c r="I1824" s="7">
        <v>7751800</v>
      </c>
      <c r="J1824" s="7">
        <v>0</v>
      </c>
      <c r="K1824">
        <f t="shared" si="28"/>
        <v>61</v>
      </c>
      <c r="L1824" s="8" t="str" cm="1">
        <f t="array" ref="L1824">_xlfn.IFS(
 AND(K1824&gt;=89,K1824&lt;=92),"3개월",
 AND(K1824&gt;=58,K1824&lt;=62),"2개월",
 AND(K1824&gt;=28,K1824&lt;=32),"1개월",
 AND(K1824=0),"당월",
 TRUE,"그외"
)</f>
        <v>2개월</v>
      </c>
    </row>
    <row r="1825" spans="1:12" x14ac:dyDescent="0.3">
      <c r="A1825" s="5">
        <v>46023</v>
      </c>
      <c r="B1825" s="6" t="s">
        <v>20</v>
      </c>
      <c r="C1825" s="6" t="s">
        <v>23</v>
      </c>
      <c r="D1825" s="5">
        <v>45962</v>
      </c>
      <c r="E1825" s="6" t="s">
        <v>15</v>
      </c>
      <c r="F1825" s="7">
        <v>3472</v>
      </c>
      <c r="G1825" s="7">
        <v>168939.75979262669</v>
      </c>
      <c r="H1825" s="7">
        <v>586558846</v>
      </c>
      <c r="I1825" s="7">
        <v>40766648</v>
      </c>
      <c r="J1825" s="7">
        <v>0</v>
      </c>
      <c r="K1825">
        <f t="shared" si="28"/>
        <v>61</v>
      </c>
      <c r="L1825" s="8" t="str" cm="1">
        <f t="array" ref="L1825">_xlfn.IFS(
 AND(K1825&gt;=89,K1825&lt;=92),"3개월",
 AND(K1825&gt;=58,K1825&lt;=62),"2개월",
 AND(K1825&gt;=28,K1825&lt;=32),"1개월",
 AND(K1825=0),"당월",
 TRUE,"그외"
)</f>
        <v>2개월</v>
      </c>
    </row>
    <row r="1826" spans="1:12" x14ac:dyDescent="0.3">
      <c r="A1826" s="5">
        <v>46023</v>
      </c>
      <c r="B1826" s="6" t="s">
        <v>20</v>
      </c>
      <c r="C1826" s="6" t="s">
        <v>23</v>
      </c>
      <c r="D1826" s="5">
        <v>45992</v>
      </c>
      <c r="E1826" s="6" t="s">
        <v>14</v>
      </c>
      <c r="F1826" s="7">
        <v>717</v>
      </c>
      <c r="G1826" s="7">
        <v>138717.57322175731</v>
      </c>
      <c r="H1826" s="7">
        <v>99460500</v>
      </c>
      <c r="I1826" s="7">
        <v>8245500</v>
      </c>
      <c r="J1826" s="7">
        <v>0</v>
      </c>
      <c r="K1826">
        <f t="shared" si="28"/>
        <v>31</v>
      </c>
      <c r="L1826" s="8" t="str" cm="1">
        <f t="array" ref="L1826">_xlfn.IFS(
 AND(K1826&gt;=89,K1826&lt;=92),"3개월",
 AND(K1826&gt;=58,K1826&lt;=62),"2개월",
 AND(K1826&gt;=28,K1826&lt;=32),"1개월",
 AND(K1826=0),"당월",
 TRUE,"그외"
)</f>
        <v>1개월</v>
      </c>
    </row>
    <row r="1827" spans="1:12" x14ac:dyDescent="0.3">
      <c r="A1827" s="5">
        <v>46023</v>
      </c>
      <c r="B1827" s="6" t="s">
        <v>20</v>
      </c>
      <c r="C1827" s="6" t="s">
        <v>23</v>
      </c>
      <c r="D1827" s="5">
        <v>45992</v>
      </c>
      <c r="E1827" s="6" t="s">
        <v>15</v>
      </c>
      <c r="F1827" s="7">
        <v>2661</v>
      </c>
      <c r="G1827" s="7">
        <v>188417.98083427281</v>
      </c>
      <c r="H1827" s="7">
        <v>501380247</v>
      </c>
      <c r="I1827" s="7">
        <v>37174121</v>
      </c>
      <c r="J1827" s="7">
        <v>0</v>
      </c>
      <c r="K1827">
        <f t="shared" si="28"/>
        <v>31</v>
      </c>
      <c r="L1827" s="8" t="str" cm="1">
        <f t="array" ref="L1827">_xlfn.IFS(
 AND(K1827&gt;=89,K1827&lt;=92),"3개월",
 AND(K1827&gt;=58,K1827&lt;=62),"2개월",
 AND(K1827&gt;=28,K1827&lt;=32),"1개월",
 AND(K1827=0),"당월",
 TRUE,"그외"
)</f>
        <v>1개월</v>
      </c>
    </row>
    <row r="1828" spans="1:12" x14ac:dyDescent="0.3">
      <c r="A1828" s="5">
        <v>46023</v>
      </c>
      <c r="B1828" s="6" t="s">
        <v>20</v>
      </c>
      <c r="C1828" s="6" t="s">
        <v>23</v>
      </c>
      <c r="D1828" s="5">
        <v>46023</v>
      </c>
      <c r="E1828" s="6" t="s">
        <v>14</v>
      </c>
      <c r="F1828" s="7">
        <v>969</v>
      </c>
      <c r="G1828" s="7">
        <v>139243.9628482972</v>
      </c>
      <c r="H1828" s="7">
        <v>134927400</v>
      </c>
      <c r="I1828" s="7">
        <v>11432400</v>
      </c>
      <c r="J1828" s="7">
        <v>0</v>
      </c>
      <c r="K1828">
        <f t="shared" si="28"/>
        <v>0</v>
      </c>
      <c r="L1828" s="8" t="str" cm="1">
        <f t="array" ref="L1828">_xlfn.IFS(
 AND(K1828&gt;=89,K1828&lt;=92),"3개월",
 AND(K1828&gt;=58,K1828&lt;=62),"2개월",
 AND(K1828&gt;=28,K1828&lt;=32),"1개월",
 AND(K1828=0),"당월",
 TRUE,"그외"
)</f>
        <v>당월</v>
      </c>
    </row>
    <row r="1829" spans="1:12" x14ac:dyDescent="0.3">
      <c r="A1829" s="5">
        <v>46023</v>
      </c>
      <c r="B1829" s="6" t="s">
        <v>20</v>
      </c>
      <c r="C1829" s="6" t="s">
        <v>23</v>
      </c>
      <c r="D1829" s="5">
        <v>46023</v>
      </c>
      <c r="E1829" s="6" t="s">
        <v>15</v>
      </c>
      <c r="F1829" s="7">
        <v>598</v>
      </c>
      <c r="G1829" s="7">
        <v>188880.0602006689</v>
      </c>
      <c r="H1829" s="7">
        <v>112950276</v>
      </c>
      <c r="I1829" s="7">
        <v>8599981</v>
      </c>
      <c r="J1829" s="7">
        <v>0</v>
      </c>
      <c r="K1829">
        <f t="shared" si="28"/>
        <v>0</v>
      </c>
      <c r="L1829" s="8" t="str" cm="1">
        <f t="array" ref="L1829">_xlfn.IFS(
 AND(K1829&gt;=89,K1829&lt;=92),"3개월",
 AND(K1829&gt;=58,K1829&lt;=62),"2개월",
 AND(K1829&gt;=28,K1829&lt;=32),"1개월",
 AND(K1829=0),"당월",
 TRUE,"그외"
)</f>
        <v>당월</v>
      </c>
    </row>
    <row r="1830" spans="1:12" x14ac:dyDescent="0.3">
      <c r="A1830" s="5">
        <v>46023</v>
      </c>
      <c r="B1830" s="6" t="s">
        <v>20</v>
      </c>
      <c r="C1830" s="6" t="s">
        <v>24</v>
      </c>
      <c r="D1830" s="5">
        <v>45839</v>
      </c>
      <c r="E1830" s="6" t="s">
        <v>15</v>
      </c>
      <c r="F1830" s="7">
        <v>170</v>
      </c>
      <c r="G1830" s="7">
        <v>115514.62352941179</v>
      </c>
      <c r="H1830" s="7">
        <v>19637486</v>
      </c>
      <c r="I1830" s="7">
        <v>1284103</v>
      </c>
      <c r="J1830" s="7">
        <v>0</v>
      </c>
      <c r="K1830">
        <f t="shared" si="28"/>
        <v>184</v>
      </c>
      <c r="L1830" s="8" t="str" cm="1">
        <f t="array" ref="L1830">_xlfn.IFS(
 AND(K1830&gt;=89,K1830&lt;=92),"3개월",
 AND(K1830&gt;=58,K1830&lt;=62),"2개월",
 AND(K1830&gt;=28,K1830&lt;=32),"1개월",
 AND(K1830=0),"당월",
 TRUE,"그외"
)</f>
        <v>그외</v>
      </c>
    </row>
    <row r="1831" spans="1:12" x14ac:dyDescent="0.3">
      <c r="A1831" s="5">
        <v>46023</v>
      </c>
      <c r="B1831" s="6" t="s">
        <v>20</v>
      </c>
      <c r="C1831" s="6" t="s">
        <v>24</v>
      </c>
      <c r="D1831" s="5">
        <v>45870</v>
      </c>
      <c r="E1831" s="6" t="s">
        <v>15</v>
      </c>
      <c r="F1831" s="7">
        <v>688</v>
      </c>
      <c r="G1831" s="7">
        <v>108532.789244186</v>
      </c>
      <c r="H1831" s="7">
        <v>74670559</v>
      </c>
      <c r="I1831" s="7">
        <v>7025989</v>
      </c>
      <c r="J1831" s="7">
        <v>0</v>
      </c>
      <c r="K1831">
        <f t="shared" si="28"/>
        <v>153</v>
      </c>
      <c r="L1831" s="8" t="str" cm="1">
        <f t="array" ref="L1831">_xlfn.IFS(
 AND(K1831&gt;=89,K1831&lt;=92),"3개월",
 AND(K1831&gt;=58,K1831&lt;=62),"2개월",
 AND(K1831&gt;=28,K1831&lt;=32),"1개월",
 AND(K1831=0),"당월",
 TRUE,"그외"
)</f>
        <v>그외</v>
      </c>
    </row>
    <row r="1832" spans="1:12" x14ac:dyDescent="0.3">
      <c r="A1832" s="5">
        <v>46023</v>
      </c>
      <c r="B1832" s="6" t="s">
        <v>20</v>
      </c>
      <c r="C1832" s="6" t="s">
        <v>24</v>
      </c>
      <c r="D1832" s="5">
        <v>45901</v>
      </c>
      <c r="E1832" s="6" t="s">
        <v>15</v>
      </c>
      <c r="F1832" s="7">
        <v>1141</v>
      </c>
      <c r="G1832" s="7">
        <v>111870.17791411041</v>
      </c>
      <c r="H1832" s="7">
        <v>127643873</v>
      </c>
      <c r="I1832" s="7">
        <v>12147857</v>
      </c>
      <c r="J1832" s="7">
        <v>0</v>
      </c>
      <c r="K1832">
        <f t="shared" si="28"/>
        <v>122</v>
      </c>
      <c r="L1832" s="8" t="str" cm="1">
        <f t="array" ref="L1832">_xlfn.IFS(
 AND(K1832&gt;=89,K1832&lt;=92),"3개월",
 AND(K1832&gt;=58,K1832&lt;=62),"2개월",
 AND(K1832&gt;=28,K1832&lt;=32),"1개월",
 AND(K1832=0),"당월",
 TRUE,"그외"
)</f>
        <v>그외</v>
      </c>
    </row>
    <row r="1833" spans="1:12" x14ac:dyDescent="0.3">
      <c r="A1833" s="5">
        <v>46023</v>
      </c>
      <c r="B1833" s="6" t="s">
        <v>20</v>
      </c>
      <c r="C1833" s="6" t="s">
        <v>24</v>
      </c>
      <c r="D1833" s="5">
        <v>45931</v>
      </c>
      <c r="E1833" s="6" t="s">
        <v>15</v>
      </c>
      <c r="F1833" s="7">
        <v>2123</v>
      </c>
      <c r="G1833" s="7">
        <v>132581.11964201601</v>
      </c>
      <c r="H1833" s="7">
        <v>281469717</v>
      </c>
      <c r="I1833" s="7">
        <v>24364460</v>
      </c>
      <c r="J1833" s="7">
        <v>0</v>
      </c>
      <c r="K1833">
        <f t="shared" si="28"/>
        <v>92</v>
      </c>
      <c r="L1833" s="8" t="str" cm="1">
        <f t="array" ref="L1833">_xlfn.IFS(
 AND(K1833&gt;=89,K1833&lt;=92),"3개월",
 AND(K1833&gt;=58,K1833&lt;=62),"2개월",
 AND(K1833&gt;=28,K1833&lt;=32),"1개월",
 AND(K1833=0),"당월",
 TRUE,"그외"
)</f>
        <v>3개월</v>
      </c>
    </row>
    <row r="1834" spans="1:12" x14ac:dyDescent="0.3">
      <c r="A1834" s="5">
        <v>46023</v>
      </c>
      <c r="B1834" s="6" t="s">
        <v>20</v>
      </c>
      <c r="C1834" s="6" t="s">
        <v>24</v>
      </c>
      <c r="D1834" s="5">
        <v>45962</v>
      </c>
      <c r="E1834" s="6" t="s">
        <v>14</v>
      </c>
      <c r="F1834" s="7">
        <v>22</v>
      </c>
      <c r="G1834" s="7">
        <v>150800</v>
      </c>
      <c r="H1834" s="7">
        <v>3317600</v>
      </c>
      <c r="I1834" s="7">
        <v>215600</v>
      </c>
      <c r="J1834" s="7">
        <v>0</v>
      </c>
      <c r="K1834">
        <f t="shared" si="28"/>
        <v>61</v>
      </c>
      <c r="L1834" s="8" t="str" cm="1">
        <f t="array" ref="L1834">_xlfn.IFS(
 AND(K1834&gt;=89,K1834&lt;=92),"3개월",
 AND(K1834&gt;=58,K1834&lt;=62),"2개월",
 AND(K1834&gt;=28,K1834&lt;=32),"1개월",
 AND(K1834=0),"당월",
 TRUE,"그외"
)</f>
        <v>2개월</v>
      </c>
    </row>
    <row r="1835" spans="1:12" x14ac:dyDescent="0.3">
      <c r="A1835" s="5">
        <v>46023</v>
      </c>
      <c r="B1835" s="6" t="s">
        <v>20</v>
      </c>
      <c r="C1835" s="6" t="s">
        <v>24</v>
      </c>
      <c r="D1835" s="5">
        <v>45962</v>
      </c>
      <c r="E1835" s="6" t="s">
        <v>15</v>
      </c>
      <c r="F1835" s="7">
        <v>5444</v>
      </c>
      <c r="G1835" s="7">
        <v>152377.55988243941</v>
      </c>
      <c r="H1835" s="7">
        <v>829543436</v>
      </c>
      <c r="I1835" s="7">
        <v>58059251</v>
      </c>
      <c r="J1835" s="7">
        <v>0</v>
      </c>
      <c r="K1835">
        <f t="shared" si="28"/>
        <v>61</v>
      </c>
      <c r="L1835" s="8" t="str" cm="1">
        <f t="array" ref="L1835">_xlfn.IFS(
 AND(K1835&gt;=89,K1835&lt;=92),"3개월",
 AND(K1835&gt;=58,K1835&lt;=62),"2개월",
 AND(K1835&gt;=28,K1835&lt;=32),"1개월",
 AND(K1835=0),"당월",
 TRUE,"그외"
)</f>
        <v>2개월</v>
      </c>
    </row>
    <row r="1836" spans="1:12" x14ac:dyDescent="0.3">
      <c r="A1836" s="5">
        <v>46023</v>
      </c>
      <c r="B1836" s="6" t="s">
        <v>20</v>
      </c>
      <c r="C1836" s="6" t="s">
        <v>24</v>
      </c>
      <c r="D1836" s="5">
        <v>45992</v>
      </c>
      <c r="E1836" s="6" t="s">
        <v>14</v>
      </c>
      <c r="F1836" s="7">
        <v>621</v>
      </c>
      <c r="G1836" s="7">
        <v>157534.2544283414</v>
      </c>
      <c r="H1836" s="7">
        <v>97828772</v>
      </c>
      <c r="I1836" s="7">
        <v>7248846</v>
      </c>
      <c r="J1836" s="7">
        <v>0</v>
      </c>
      <c r="K1836">
        <f t="shared" si="28"/>
        <v>31</v>
      </c>
      <c r="L1836" s="8" t="str" cm="1">
        <f t="array" ref="L1836">_xlfn.IFS(
 AND(K1836&gt;=89,K1836&lt;=92),"3개월",
 AND(K1836&gt;=58,K1836&lt;=62),"2개월",
 AND(K1836&gt;=28,K1836&lt;=32),"1개월",
 AND(K1836=0),"당월",
 TRUE,"그외"
)</f>
        <v>1개월</v>
      </c>
    </row>
    <row r="1837" spans="1:12" x14ac:dyDescent="0.3">
      <c r="A1837" s="5">
        <v>46023</v>
      </c>
      <c r="B1837" s="6" t="s">
        <v>20</v>
      </c>
      <c r="C1837" s="6" t="s">
        <v>24</v>
      </c>
      <c r="D1837" s="5">
        <v>45992</v>
      </c>
      <c r="E1837" s="6" t="s">
        <v>15</v>
      </c>
      <c r="F1837" s="7">
        <v>7895</v>
      </c>
      <c r="G1837" s="7">
        <v>159121.206839772</v>
      </c>
      <c r="H1837" s="7">
        <v>1256261928</v>
      </c>
      <c r="I1837" s="7">
        <v>96267943</v>
      </c>
      <c r="J1837" s="7">
        <v>0</v>
      </c>
      <c r="K1837">
        <f t="shared" si="28"/>
        <v>31</v>
      </c>
      <c r="L1837" s="8" t="str" cm="1">
        <f t="array" ref="L1837">_xlfn.IFS(
 AND(K1837&gt;=89,K1837&lt;=92),"3개월",
 AND(K1837&gt;=58,K1837&lt;=62),"2개월",
 AND(K1837&gt;=28,K1837&lt;=32),"1개월",
 AND(K1837=0),"당월",
 TRUE,"그외"
)</f>
        <v>1개월</v>
      </c>
    </row>
    <row r="1838" spans="1:12" x14ac:dyDescent="0.3">
      <c r="A1838" s="5">
        <v>46023</v>
      </c>
      <c r="B1838" s="6" t="s">
        <v>20</v>
      </c>
      <c r="C1838" s="6" t="s">
        <v>24</v>
      </c>
      <c r="D1838" s="5">
        <v>46023</v>
      </c>
      <c r="E1838" s="6" t="s">
        <v>14</v>
      </c>
      <c r="F1838" s="7">
        <v>1407</v>
      </c>
      <c r="G1838" s="7">
        <v>162925.53873489701</v>
      </c>
      <c r="H1838" s="7">
        <v>229236233</v>
      </c>
      <c r="I1838" s="7">
        <v>16619351</v>
      </c>
      <c r="J1838" s="7">
        <v>0</v>
      </c>
      <c r="K1838">
        <f t="shared" si="28"/>
        <v>0</v>
      </c>
      <c r="L1838" s="8" t="str" cm="1">
        <f t="array" ref="L1838">_xlfn.IFS(
 AND(K1838&gt;=89,K1838&lt;=92),"3개월",
 AND(K1838&gt;=58,K1838&lt;=62),"2개월",
 AND(K1838&gt;=28,K1838&lt;=32),"1개월",
 AND(K1838=0),"당월",
 TRUE,"그외"
)</f>
        <v>당월</v>
      </c>
    </row>
    <row r="1839" spans="1:12" x14ac:dyDescent="0.3">
      <c r="A1839" s="5">
        <v>46023</v>
      </c>
      <c r="B1839" s="6" t="s">
        <v>20</v>
      </c>
      <c r="C1839" s="6" t="s">
        <v>24</v>
      </c>
      <c r="D1839" s="5">
        <v>46023</v>
      </c>
      <c r="E1839" s="6" t="s">
        <v>15</v>
      </c>
      <c r="F1839" s="7">
        <v>3226</v>
      </c>
      <c r="G1839" s="7">
        <v>176068.87321760689</v>
      </c>
      <c r="H1839" s="7">
        <v>567998185</v>
      </c>
      <c r="I1839" s="7">
        <v>42033267</v>
      </c>
      <c r="J1839" s="7">
        <v>0</v>
      </c>
      <c r="K1839">
        <f t="shared" si="28"/>
        <v>0</v>
      </c>
      <c r="L1839" s="8" t="str" cm="1">
        <f t="array" ref="L1839">_xlfn.IFS(
 AND(K1839&gt;=89,K1839&lt;=92),"3개월",
 AND(K1839&gt;=58,K1839&lt;=62),"2개월",
 AND(K1839&gt;=28,K1839&lt;=32),"1개월",
 AND(K1839=0),"당월",
 TRUE,"그외"
)</f>
        <v>당월</v>
      </c>
    </row>
    <row r="1840" spans="1:12" x14ac:dyDescent="0.3">
      <c r="A1840" s="5">
        <v>46023</v>
      </c>
      <c r="B1840" s="6" t="s">
        <v>20</v>
      </c>
      <c r="C1840" s="6" t="s">
        <v>25</v>
      </c>
      <c r="D1840" s="5">
        <v>45901</v>
      </c>
      <c r="E1840" s="6" t="s">
        <v>15</v>
      </c>
      <c r="F1840" s="7">
        <v>1763</v>
      </c>
      <c r="G1840" s="7">
        <v>104158.2745320476</v>
      </c>
      <c r="H1840" s="7">
        <v>183631038</v>
      </c>
      <c r="I1840" s="7">
        <v>19811175</v>
      </c>
      <c r="J1840" s="7">
        <v>0</v>
      </c>
      <c r="K1840">
        <f t="shared" si="28"/>
        <v>122</v>
      </c>
      <c r="L1840" s="8" t="str" cm="1">
        <f t="array" ref="L1840">_xlfn.IFS(
 AND(K1840&gt;=89,K1840&lt;=92),"3개월",
 AND(K1840&gt;=58,K1840&lt;=62),"2개월",
 AND(K1840&gt;=28,K1840&lt;=32),"1개월",
 AND(K1840=0),"당월",
 TRUE,"그외"
)</f>
        <v>그외</v>
      </c>
    </row>
    <row r="1841" spans="1:12" x14ac:dyDescent="0.3">
      <c r="A1841" s="5">
        <v>46023</v>
      </c>
      <c r="B1841" s="6" t="s">
        <v>20</v>
      </c>
      <c r="C1841" s="6" t="s">
        <v>25</v>
      </c>
      <c r="D1841" s="5">
        <v>45931</v>
      </c>
      <c r="E1841" s="6" t="s">
        <v>14</v>
      </c>
      <c r="F1841" s="7">
        <v>1</v>
      </c>
      <c r="G1841" s="7">
        <v>66782</v>
      </c>
      <c r="H1841" s="7">
        <v>66782</v>
      </c>
      <c r="I1841" s="7">
        <v>29160</v>
      </c>
      <c r="J1841" s="7">
        <v>0</v>
      </c>
      <c r="K1841">
        <f t="shared" si="28"/>
        <v>92</v>
      </c>
      <c r="L1841" s="8" t="str" cm="1">
        <f t="array" ref="L1841">_xlfn.IFS(
 AND(K1841&gt;=89,K1841&lt;=92),"3개월",
 AND(K1841&gt;=58,K1841&lt;=62),"2개월",
 AND(K1841&gt;=28,K1841&lt;=32),"1개월",
 AND(K1841=0),"당월",
 TRUE,"그외"
)</f>
        <v>3개월</v>
      </c>
    </row>
    <row r="1842" spans="1:12" x14ac:dyDescent="0.3">
      <c r="A1842" s="5">
        <v>46023</v>
      </c>
      <c r="B1842" s="6" t="s">
        <v>20</v>
      </c>
      <c r="C1842" s="6" t="s">
        <v>25</v>
      </c>
      <c r="D1842" s="5">
        <v>45931</v>
      </c>
      <c r="E1842" s="6" t="s">
        <v>15</v>
      </c>
      <c r="F1842" s="7">
        <v>3743</v>
      </c>
      <c r="G1842" s="7">
        <v>119579.1520170986</v>
      </c>
      <c r="H1842" s="7">
        <v>447584766</v>
      </c>
      <c r="I1842" s="7">
        <v>45860420</v>
      </c>
      <c r="J1842" s="7">
        <v>0</v>
      </c>
      <c r="K1842">
        <f t="shared" si="28"/>
        <v>92</v>
      </c>
      <c r="L1842" s="8" t="str" cm="1">
        <f t="array" ref="L1842">_xlfn.IFS(
 AND(K1842&gt;=89,K1842&lt;=92),"3개월",
 AND(K1842&gt;=58,K1842&lt;=62),"2개월",
 AND(K1842&gt;=28,K1842&lt;=32),"1개월",
 AND(K1842=0),"당월",
 TRUE,"그외"
)</f>
        <v>3개월</v>
      </c>
    </row>
    <row r="1843" spans="1:12" x14ac:dyDescent="0.3">
      <c r="A1843" s="5">
        <v>46023</v>
      </c>
      <c r="B1843" s="6" t="s">
        <v>20</v>
      </c>
      <c r="C1843" s="6" t="s">
        <v>25</v>
      </c>
      <c r="D1843" s="5">
        <v>45962</v>
      </c>
      <c r="E1843" s="6" t="s">
        <v>14</v>
      </c>
      <c r="F1843" s="7">
        <v>150</v>
      </c>
      <c r="G1843" s="7">
        <v>107986.6066666667</v>
      </c>
      <c r="H1843" s="7">
        <v>16197991</v>
      </c>
      <c r="I1843" s="7">
        <v>3078771</v>
      </c>
      <c r="J1843" s="7">
        <v>0</v>
      </c>
      <c r="K1843">
        <f t="shared" si="28"/>
        <v>61</v>
      </c>
      <c r="L1843" s="8" t="str" cm="1">
        <f t="array" ref="L1843">_xlfn.IFS(
 AND(K1843&gt;=89,K1843&lt;=92),"3개월",
 AND(K1843&gt;=58,K1843&lt;=62),"2개월",
 AND(K1843&gt;=28,K1843&lt;=32),"1개월",
 AND(K1843=0),"당월",
 TRUE,"그외"
)</f>
        <v>2개월</v>
      </c>
    </row>
    <row r="1844" spans="1:12" x14ac:dyDescent="0.3">
      <c r="A1844" s="5">
        <v>46023</v>
      </c>
      <c r="B1844" s="6" t="s">
        <v>20</v>
      </c>
      <c r="C1844" s="6" t="s">
        <v>25</v>
      </c>
      <c r="D1844" s="5">
        <v>45962</v>
      </c>
      <c r="E1844" s="6" t="s">
        <v>15</v>
      </c>
      <c r="F1844" s="7">
        <v>6075</v>
      </c>
      <c r="G1844" s="7">
        <v>140971.86008230451</v>
      </c>
      <c r="H1844" s="7">
        <v>856404050</v>
      </c>
      <c r="I1844" s="7">
        <v>78046883</v>
      </c>
      <c r="J1844" s="7">
        <v>0</v>
      </c>
      <c r="K1844">
        <f t="shared" si="28"/>
        <v>61</v>
      </c>
      <c r="L1844" s="8" t="str" cm="1">
        <f t="array" ref="L1844">_xlfn.IFS(
 AND(K1844&gt;=89,K1844&lt;=92),"3개월",
 AND(K1844&gt;=58,K1844&lt;=62),"2개월",
 AND(K1844&gt;=28,K1844&lt;=32),"1개월",
 AND(K1844=0),"당월",
 TRUE,"그외"
)</f>
        <v>2개월</v>
      </c>
    </row>
    <row r="1845" spans="1:12" x14ac:dyDescent="0.3">
      <c r="A1845" s="5">
        <v>46023</v>
      </c>
      <c r="B1845" s="6" t="s">
        <v>20</v>
      </c>
      <c r="C1845" s="6" t="s">
        <v>25</v>
      </c>
      <c r="D1845" s="5">
        <v>45992</v>
      </c>
      <c r="E1845" s="6" t="s">
        <v>14</v>
      </c>
      <c r="F1845" s="7">
        <v>615</v>
      </c>
      <c r="G1845" s="7">
        <v>111050.4731707317</v>
      </c>
      <c r="H1845" s="7">
        <v>68296041</v>
      </c>
      <c r="I1845" s="7">
        <v>13051525</v>
      </c>
      <c r="J1845" s="7">
        <v>0</v>
      </c>
      <c r="K1845">
        <f t="shared" si="28"/>
        <v>31</v>
      </c>
      <c r="L1845" s="8" t="str" cm="1">
        <f t="array" ref="L1845">_xlfn.IFS(
 AND(K1845&gt;=89,K1845&lt;=92),"3개월",
 AND(K1845&gt;=58,K1845&lt;=62),"2개월",
 AND(K1845&gt;=28,K1845&lt;=32),"1개월",
 AND(K1845=0),"당월",
 TRUE,"그외"
)</f>
        <v>1개월</v>
      </c>
    </row>
    <row r="1846" spans="1:12" x14ac:dyDescent="0.3">
      <c r="A1846" s="5">
        <v>46023</v>
      </c>
      <c r="B1846" s="6" t="s">
        <v>20</v>
      </c>
      <c r="C1846" s="6" t="s">
        <v>25</v>
      </c>
      <c r="D1846" s="5">
        <v>45992</v>
      </c>
      <c r="E1846" s="6" t="s">
        <v>15</v>
      </c>
      <c r="F1846" s="7">
        <v>5620</v>
      </c>
      <c r="G1846" s="7">
        <v>151661.49145907469</v>
      </c>
      <c r="H1846" s="7">
        <v>852337582</v>
      </c>
      <c r="I1846" s="7">
        <v>95099611</v>
      </c>
      <c r="J1846" s="7">
        <v>0</v>
      </c>
      <c r="K1846">
        <f t="shared" si="28"/>
        <v>31</v>
      </c>
      <c r="L1846" s="8" t="str" cm="1">
        <f t="array" ref="L1846">_xlfn.IFS(
 AND(K1846&gt;=89,K1846&lt;=92),"3개월",
 AND(K1846&gt;=58,K1846&lt;=62),"2개월",
 AND(K1846&gt;=28,K1846&lt;=32),"1개월",
 AND(K1846=0),"당월",
 TRUE,"그외"
)</f>
        <v>1개월</v>
      </c>
    </row>
    <row r="1847" spans="1:12" x14ac:dyDescent="0.3">
      <c r="A1847" s="5">
        <v>46023</v>
      </c>
      <c r="B1847" s="6" t="s">
        <v>20</v>
      </c>
      <c r="C1847" s="6" t="s">
        <v>25</v>
      </c>
      <c r="D1847" s="5">
        <v>46023</v>
      </c>
      <c r="E1847" s="6" t="s">
        <v>14</v>
      </c>
      <c r="F1847" s="7">
        <v>1010</v>
      </c>
      <c r="G1847" s="7">
        <v>127623.0544554455</v>
      </c>
      <c r="H1847" s="7">
        <v>128899285</v>
      </c>
      <c r="I1847" s="7">
        <v>12939631</v>
      </c>
      <c r="J1847" s="7">
        <v>0</v>
      </c>
      <c r="K1847">
        <f t="shared" si="28"/>
        <v>0</v>
      </c>
      <c r="L1847" s="8" t="str" cm="1">
        <f t="array" ref="L1847">_xlfn.IFS(
 AND(K1847&gt;=89,K1847&lt;=92),"3개월",
 AND(K1847&gt;=58,K1847&lt;=62),"2개월",
 AND(K1847&gt;=28,K1847&lt;=32),"1개월",
 AND(K1847=0),"당월",
 TRUE,"그외"
)</f>
        <v>당월</v>
      </c>
    </row>
    <row r="1848" spans="1:12" x14ac:dyDescent="0.3">
      <c r="A1848" s="5">
        <v>46023</v>
      </c>
      <c r="B1848" s="6" t="s">
        <v>20</v>
      </c>
      <c r="C1848" s="6" t="s">
        <v>25</v>
      </c>
      <c r="D1848" s="5">
        <v>46023</v>
      </c>
      <c r="E1848" s="6" t="s">
        <v>15</v>
      </c>
      <c r="F1848" s="7">
        <v>3361</v>
      </c>
      <c r="G1848" s="7">
        <v>168325.56560547449</v>
      </c>
      <c r="H1848" s="7">
        <v>565742226</v>
      </c>
      <c r="I1848" s="7">
        <v>56686045</v>
      </c>
      <c r="J1848" s="7">
        <v>0</v>
      </c>
      <c r="K1848">
        <f t="shared" si="28"/>
        <v>0</v>
      </c>
      <c r="L1848" s="8" t="str" cm="1">
        <f t="array" ref="L1848">_xlfn.IFS(
 AND(K1848&gt;=89,K1848&lt;=92),"3개월",
 AND(K1848&gt;=58,K1848&lt;=62),"2개월",
 AND(K1848&gt;=28,K1848&lt;=32),"1개월",
 AND(K1848=0),"당월",
 TRUE,"그외"
)</f>
        <v>당월</v>
      </c>
    </row>
    <row r="1849" spans="1:12" x14ac:dyDescent="0.3">
      <c r="A1849" s="5">
        <v>46023</v>
      </c>
      <c r="B1849" s="6" t="s">
        <v>20</v>
      </c>
      <c r="C1849" s="6" t="s">
        <v>26</v>
      </c>
      <c r="D1849" s="5">
        <v>45962</v>
      </c>
      <c r="E1849" s="6" t="s">
        <v>14</v>
      </c>
      <c r="F1849" s="7">
        <v>18</v>
      </c>
      <c r="G1849" s="7">
        <v>129800</v>
      </c>
      <c r="H1849" s="7">
        <v>2336400</v>
      </c>
      <c r="I1849" s="7">
        <v>176400</v>
      </c>
      <c r="J1849" s="7">
        <v>0</v>
      </c>
      <c r="K1849">
        <f t="shared" si="28"/>
        <v>61</v>
      </c>
      <c r="L1849" s="8" t="str" cm="1">
        <f t="array" ref="L1849">_xlfn.IFS(
 AND(K1849&gt;=89,K1849&lt;=92),"3개월",
 AND(K1849&gt;=58,K1849&lt;=62),"2개월",
 AND(K1849&gt;=28,K1849&lt;=32),"1개월",
 AND(K1849=0),"당월",
 TRUE,"그외"
)</f>
        <v>2개월</v>
      </c>
    </row>
    <row r="1850" spans="1:12" x14ac:dyDescent="0.3">
      <c r="A1850" s="5">
        <v>46023</v>
      </c>
      <c r="B1850" s="6" t="s">
        <v>20</v>
      </c>
      <c r="C1850" s="6" t="s">
        <v>26</v>
      </c>
      <c r="D1850" s="5">
        <v>45962</v>
      </c>
      <c r="E1850" s="6" t="s">
        <v>15</v>
      </c>
      <c r="F1850" s="7">
        <v>2491</v>
      </c>
      <c r="G1850" s="7">
        <v>129029.6214371738</v>
      </c>
      <c r="H1850" s="7">
        <v>321412787</v>
      </c>
      <c r="I1850" s="7">
        <v>27073797</v>
      </c>
      <c r="J1850" s="7">
        <v>0</v>
      </c>
      <c r="K1850">
        <f t="shared" si="28"/>
        <v>61</v>
      </c>
      <c r="L1850" s="8" t="str" cm="1">
        <f t="array" ref="L1850">_xlfn.IFS(
 AND(K1850&gt;=89,K1850&lt;=92),"3개월",
 AND(K1850&gt;=58,K1850&lt;=62),"2개월",
 AND(K1850&gt;=28,K1850&lt;=32),"1개월",
 AND(K1850=0),"당월",
 TRUE,"그외"
)</f>
        <v>2개월</v>
      </c>
    </row>
    <row r="1851" spans="1:12" x14ac:dyDescent="0.3">
      <c r="A1851" s="5">
        <v>46023</v>
      </c>
      <c r="B1851" s="6" t="s">
        <v>20</v>
      </c>
      <c r="C1851" s="6" t="s">
        <v>26</v>
      </c>
      <c r="D1851" s="5">
        <v>45992</v>
      </c>
      <c r="E1851" s="6" t="s">
        <v>14</v>
      </c>
      <c r="F1851" s="7">
        <v>392</v>
      </c>
      <c r="G1851" s="7">
        <v>137169.33928571429</v>
      </c>
      <c r="H1851" s="7">
        <v>53770381</v>
      </c>
      <c r="I1851" s="7">
        <v>6096086</v>
      </c>
      <c r="J1851" s="7">
        <v>0</v>
      </c>
      <c r="K1851">
        <f t="shared" si="28"/>
        <v>31</v>
      </c>
      <c r="L1851" s="8" t="str" cm="1">
        <f t="array" ref="L1851">_xlfn.IFS(
 AND(K1851&gt;=89,K1851&lt;=92),"3개월",
 AND(K1851&gt;=58,K1851&lt;=62),"2개월",
 AND(K1851&gt;=28,K1851&lt;=32),"1개월",
 AND(K1851=0),"당월",
 TRUE,"그외"
)</f>
        <v>1개월</v>
      </c>
    </row>
    <row r="1852" spans="1:12" x14ac:dyDescent="0.3">
      <c r="A1852" s="5">
        <v>46023</v>
      </c>
      <c r="B1852" s="6" t="s">
        <v>20</v>
      </c>
      <c r="C1852" s="6" t="s">
        <v>26</v>
      </c>
      <c r="D1852" s="5">
        <v>45992</v>
      </c>
      <c r="E1852" s="6" t="s">
        <v>15</v>
      </c>
      <c r="F1852" s="7">
        <v>3180</v>
      </c>
      <c r="G1852" s="7">
        <v>148582.12924528299</v>
      </c>
      <c r="H1852" s="7">
        <v>472491171</v>
      </c>
      <c r="I1852" s="7">
        <v>43324306</v>
      </c>
      <c r="J1852" s="7">
        <v>0</v>
      </c>
      <c r="K1852">
        <f t="shared" si="28"/>
        <v>31</v>
      </c>
      <c r="L1852" s="8" t="str" cm="1">
        <f t="array" ref="L1852">_xlfn.IFS(
 AND(K1852&gt;=89,K1852&lt;=92),"3개월",
 AND(K1852&gt;=58,K1852&lt;=62),"2개월",
 AND(K1852&gt;=28,K1852&lt;=32),"1개월",
 AND(K1852=0),"당월",
 TRUE,"그외"
)</f>
        <v>1개월</v>
      </c>
    </row>
    <row r="1853" spans="1:12" x14ac:dyDescent="0.3">
      <c r="A1853" s="5">
        <v>46023</v>
      </c>
      <c r="B1853" s="6" t="s">
        <v>20</v>
      </c>
      <c r="C1853" s="6" t="s">
        <v>26</v>
      </c>
      <c r="D1853" s="5">
        <v>46023</v>
      </c>
      <c r="E1853" s="6" t="s">
        <v>14</v>
      </c>
      <c r="F1853" s="7">
        <v>453</v>
      </c>
      <c r="G1853" s="7">
        <v>137190.3730684327</v>
      </c>
      <c r="H1853" s="7">
        <v>62147239</v>
      </c>
      <c r="I1853" s="7">
        <v>5946316</v>
      </c>
      <c r="J1853" s="7">
        <v>0</v>
      </c>
      <c r="K1853">
        <f t="shared" si="28"/>
        <v>0</v>
      </c>
      <c r="L1853" s="8" t="str" cm="1">
        <f t="array" ref="L1853">_xlfn.IFS(
 AND(K1853&gt;=89,K1853&lt;=92),"3개월",
 AND(K1853&gt;=58,K1853&lt;=62),"2개월",
 AND(K1853&gt;=28,K1853&lt;=32),"1개월",
 AND(K1853=0),"당월",
 TRUE,"그외"
)</f>
        <v>당월</v>
      </c>
    </row>
    <row r="1854" spans="1:12" x14ac:dyDescent="0.3">
      <c r="A1854" s="5">
        <v>46023</v>
      </c>
      <c r="B1854" s="6" t="s">
        <v>20</v>
      </c>
      <c r="C1854" s="6" t="s">
        <v>26</v>
      </c>
      <c r="D1854" s="5">
        <v>46023</v>
      </c>
      <c r="E1854" s="6" t="s">
        <v>15</v>
      </c>
      <c r="F1854" s="7">
        <v>2181</v>
      </c>
      <c r="G1854" s="7">
        <v>145235.39339752411</v>
      </c>
      <c r="H1854" s="7">
        <v>316758393</v>
      </c>
      <c r="I1854" s="7">
        <v>30651883</v>
      </c>
      <c r="J1854" s="7">
        <v>0</v>
      </c>
      <c r="K1854">
        <f t="shared" si="28"/>
        <v>0</v>
      </c>
      <c r="L1854" s="8" t="str" cm="1">
        <f t="array" ref="L1854">_xlfn.IFS(
 AND(K1854&gt;=89,K1854&lt;=92),"3개월",
 AND(K1854&gt;=58,K1854&lt;=62),"2개월",
 AND(K1854&gt;=28,K1854&lt;=32),"1개월",
 AND(K1854=0),"당월",
 TRUE,"그외"
)</f>
        <v>당월</v>
      </c>
    </row>
    <row r="1855" spans="1:12" x14ac:dyDescent="0.3">
      <c r="A1855" s="5">
        <v>46023</v>
      </c>
      <c r="B1855" s="6" t="s">
        <v>20</v>
      </c>
      <c r="C1855" s="6" t="s">
        <v>27</v>
      </c>
      <c r="D1855" s="5">
        <v>45839</v>
      </c>
      <c r="E1855" s="6" t="s">
        <v>15</v>
      </c>
      <c r="F1855" s="7">
        <v>61</v>
      </c>
      <c r="G1855" s="7">
        <v>158620.86885245901</v>
      </c>
      <c r="H1855" s="7">
        <v>9675873</v>
      </c>
      <c r="I1855" s="7">
        <v>659981</v>
      </c>
      <c r="J1855" s="7">
        <v>0</v>
      </c>
      <c r="K1855">
        <f t="shared" si="28"/>
        <v>184</v>
      </c>
      <c r="L1855" s="8" t="str" cm="1">
        <f t="array" ref="L1855">_xlfn.IFS(
 AND(K1855&gt;=89,K1855&lt;=92),"3개월",
 AND(K1855&gt;=58,K1855&lt;=62),"2개월",
 AND(K1855&gt;=28,K1855&lt;=32),"1개월",
 AND(K1855=0),"당월",
 TRUE,"그외"
)</f>
        <v>그외</v>
      </c>
    </row>
    <row r="1856" spans="1:12" x14ac:dyDescent="0.3">
      <c r="A1856" s="5">
        <v>46023</v>
      </c>
      <c r="B1856" s="6" t="s">
        <v>20</v>
      </c>
      <c r="C1856" s="6" t="s">
        <v>27</v>
      </c>
      <c r="D1856" s="5">
        <v>45870</v>
      </c>
      <c r="E1856" s="6" t="s">
        <v>15</v>
      </c>
      <c r="F1856" s="7">
        <v>163</v>
      </c>
      <c r="G1856" s="7">
        <v>159699.58282208591</v>
      </c>
      <c r="H1856" s="7">
        <v>26031032</v>
      </c>
      <c r="I1856" s="7">
        <v>1928314</v>
      </c>
      <c r="J1856" s="7">
        <v>0</v>
      </c>
      <c r="K1856">
        <f t="shared" si="28"/>
        <v>153</v>
      </c>
      <c r="L1856" s="8" t="str" cm="1">
        <f t="array" ref="L1856">_xlfn.IFS(
 AND(K1856&gt;=89,K1856&lt;=92),"3개월",
 AND(K1856&gt;=58,K1856&lt;=62),"2개월",
 AND(K1856&gt;=28,K1856&lt;=32),"1개월",
 AND(K1856=0),"당월",
 TRUE,"그외"
)</f>
        <v>그외</v>
      </c>
    </row>
    <row r="1857" spans="1:12" x14ac:dyDescent="0.3">
      <c r="A1857" s="5">
        <v>46023</v>
      </c>
      <c r="B1857" s="6" t="s">
        <v>20</v>
      </c>
      <c r="C1857" s="6" t="s">
        <v>27</v>
      </c>
      <c r="D1857" s="5">
        <v>45901</v>
      </c>
      <c r="E1857" s="6" t="s">
        <v>15</v>
      </c>
      <c r="F1857" s="7">
        <v>220</v>
      </c>
      <c r="G1857" s="7">
        <v>150706.62272727271</v>
      </c>
      <c r="H1857" s="7">
        <v>33155457</v>
      </c>
      <c r="I1857" s="7">
        <v>3449420</v>
      </c>
      <c r="J1857" s="7">
        <v>0</v>
      </c>
      <c r="K1857">
        <f t="shared" si="28"/>
        <v>122</v>
      </c>
      <c r="L1857" s="8" t="str" cm="1">
        <f t="array" ref="L1857">_xlfn.IFS(
 AND(K1857&gt;=89,K1857&lt;=92),"3개월",
 AND(K1857&gt;=58,K1857&lt;=62),"2개월",
 AND(K1857&gt;=28,K1857&lt;=32),"1개월",
 AND(K1857=0),"당월",
 TRUE,"그외"
)</f>
        <v>그외</v>
      </c>
    </row>
    <row r="1858" spans="1:12" x14ac:dyDescent="0.3">
      <c r="A1858" s="5">
        <v>46023</v>
      </c>
      <c r="B1858" s="6" t="s">
        <v>20</v>
      </c>
      <c r="C1858" s="6" t="s">
        <v>27</v>
      </c>
      <c r="D1858" s="5">
        <v>45931</v>
      </c>
      <c r="E1858" s="6" t="s">
        <v>14</v>
      </c>
      <c r="F1858" s="7">
        <v>8</v>
      </c>
      <c r="G1858" s="7">
        <v>104675.5</v>
      </c>
      <c r="H1858" s="7">
        <v>837404</v>
      </c>
      <c r="I1858" s="7">
        <v>233887</v>
      </c>
      <c r="J1858" s="7">
        <v>0</v>
      </c>
      <c r="K1858">
        <f t="shared" si="28"/>
        <v>92</v>
      </c>
      <c r="L1858" s="8" t="str" cm="1">
        <f t="array" ref="L1858">_xlfn.IFS(
 AND(K1858&gt;=89,K1858&lt;=92),"3개월",
 AND(K1858&gt;=58,K1858&lt;=62),"2개월",
 AND(K1858&gt;=28,K1858&lt;=32),"1개월",
 AND(K1858=0),"당월",
 TRUE,"그외"
)</f>
        <v>3개월</v>
      </c>
    </row>
    <row r="1859" spans="1:12" x14ac:dyDescent="0.3">
      <c r="A1859" s="5">
        <v>46023</v>
      </c>
      <c r="B1859" s="6" t="s">
        <v>20</v>
      </c>
      <c r="C1859" s="6" t="s">
        <v>27</v>
      </c>
      <c r="D1859" s="5">
        <v>45931</v>
      </c>
      <c r="E1859" s="6" t="s">
        <v>15</v>
      </c>
      <c r="F1859" s="7">
        <v>2024</v>
      </c>
      <c r="G1859" s="7">
        <v>156575.00988142291</v>
      </c>
      <c r="H1859" s="7">
        <v>316907820</v>
      </c>
      <c r="I1859" s="7">
        <v>29456682</v>
      </c>
      <c r="J1859" s="7">
        <v>0</v>
      </c>
      <c r="K1859">
        <f t="shared" si="28"/>
        <v>92</v>
      </c>
      <c r="L1859" s="8" t="str" cm="1">
        <f t="array" ref="L1859">_xlfn.IFS(
 AND(K1859&gt;=89,K1859&lt;=92),"3개월",
 AND(K1859&gt;=58,K1859&lt;=62),"2개월",
 AND(K1859&gt;=28,K1859&lt;=32),"1개월",
 AND(K1859=0),"당월",
 TRUE,"그외"
)</f>
        <v>3개월</v>
      </c>
    </row>
    <row r="1860" spans="1:12" x14ac:dyDescent="0.3">
      <c r="A1860" s="5">
        <v>46023</v>
      </c>
      <c r="B1860" s="6" t="s">
        <v>20</v>
      </c>
      <c r="C1860" s="6" t="s">
        <v>27</v>
      </c>
      <c r="D1860" s="5">
        <v>45962</v>
      </c>
      <c r="E1860" s="6" t="s">
        <v>14</v>
      </c>
      <c r="F1860" s="7">
        <v>594</v>
      </c>
      <c r="G1860" s="7">
        <v>113495.5437710438</v>
      </c>
      <c r="H1860" s="7">
        <v>67416353</v>
      </c>
      <c r="I1860" s="7">
        <v>11900540</v>
      </c>
      <c r="J1860" s="7">
        <v>0</v>
      </c>
      <c r="K1860">
        <f t="shared" si="28"/>
        <v>61</v>
      </c>
      <c r="L1860" s="8" t="str" cm="1">
        <f t="array" ref="L1860">_xlfn.IFS(
 AND(K1860&gt;=89,K1860&lt;=92),"3개월",
 AND(K1860&gt;=58,K1860&lt;=62),"2개월",
 AND(K1860&gt;=28,K1860&lt;=32),"1개월",
 AND(K1860=0),"당월",
 TRUE,"그외"
)</f>
        <v>2개월</v>
      </c>
    </row>
    <row r="1861" spans="1:12" x14ac:dyDescent="0.3">
      <c r="A1861" s="5">
        <v>46023</v>
      </c>
      <c r="B1861" s="6" t="s">
        <v>20</v>
      </c>
      <c r="C1861" s="6" t="s">
        <v>27</v>
      </c>
      <c r="D1861" s="5">
        <v>45962</v>
      </c>
      <c r="E1861" s="6" t="s">
        <v>15</v>
      </c>
      <c r="F1861" s="7">
        <v>8958</v>
      </c>
      <c r="G1861" s="7">
        <v>161087.26066086179</v>
      </c>
      <c r="H1861" s="7">
        <v>1443019681</v>
      </c>
      <c r="I1861" s="7">
        <v>118926641</v>
      </c>
      <c r="J1861" s="7">
        <v>0</v>
      </c>
      <c r="K1861">
        <f t="shared" si="28"/>
        <v>61</v>
      </c>
      <c r="L1861" s="8" t="str" cm="1">
        <f t="array" ref="L1861">_xlfn.IFS(
 AND(K1861&gt;=89,K1861&lt;=92),"3개월",
 AND(K1861&gt;=58,K1861&lt;=62),"2개월",
 AND(K1861&gt;=28,K1861&lt;=32),"1개월",
 AND(K1861=0),"당월",
 TRUE,"그외"
)</f>
        <v>2개월</v>
      </c>
    </row>
    <row r="1862" spans="1:12" x14ac:dyDescent="0.3">
      <c r="A1862" s="5">
        <v>46023</v>
      </c>
      <c r="B1862" s="6" t="s">
        <v>20</v>
      </c>
      <c r="C1862" s="6" t="s">
        <v>27</v>
      </c>
      <c r="D1862" s="5">
        <v>45992</v>
      </c>
      <c r="E1862" s="6" t="s">
        <v>14</v>
      </c>
      <c r="F1862" s="7">
        <v>3769</v>
      </c>
      <c r="G1862" s="7">
        <v>131810.15096842661</v>
      </c>
      <c r="H1862" s="7">
        <v>496792459</v>
      </c>
      <c r="I1862" s="7">
        <v>68111118</v>
      </c>
      <c r="J1862" s="7">
        <v>0</v>
      </c>
      <c r="K1862">
        <f t="shared" si="28"/>
        <v>31</v>
      </c>
      <c r="L1862" s="8" t="str" cm="1">
        <f t="array" ref="L1862">_xlfn.IFS(
 AND(K1862&gt;=89,K1862&lt;=92),"3개월",
 AND(K1862&gt;=58,K1862&lt;=62),"2개월",
 AND(K1862&gt;=28,K1862&lt;=32),"1개월",
 AND(K1862=0),"당월",
 TRUE,"그외"
)</f>
        <v>1개월</v>
      </c>
    </row>
    <row r="1863" spans="1:12" x14ac:dyDescent="0.3">
      <c r="A1863" s="5">
        <v>46023</v>
      </c>
      <c r="B1863" s="6" t="s">
        <v>20</v>
      </c>
      <c r="C1863" s="6" t="s">
        <v>27</v>
      </c>
      <c r="D1863" s="5">
        <v>45992</v>
      </c>
      <c r="E1863" s="6" t="s">
        <v>15</v>
      </c>
      <c r="F1863" s="7">
        <v>22315</v>
      </c>
      <c r="G1863" s="7">
        <v>167262.84391664801</v>
      </c>
      <c r="H1863" s="7">
        <v>3732470362</v>
      </c>
      <c r="I1863" s="7">
        <v>335122237</v>
      </c>
      <c r="J1863" s="7">
        <v>0</v>
      </c>
      <c r="K1863">
        <f t="shared" si="28"/>
        <v>31</v>
      </c>
      <c r="L1863" s="8" t="str" cm="1">
        <f t="array" ref="L1863">_xlfn.IFS(
 AND(K1863&gt;=89,K1863&lt;=92),"3개월",
 AND(K1863&gt;=58,K1863&lt;=62),"2개월",
 AND(K1863&gt;=28,K1863&lt;=32),"1개월",
 AND(K1863=0),"당월",
 TRUE,"그외"
)</f>
        <v>1개월</v>
      </c>
    </row>
    <row r="1864" spans="1:12" x14ac:dyDescent="0.3">
      <c r="A1864" s="5">
        <v>46023</v>
      </c>
      <c r="B1864" s="6" t="s">
        <v>20</v>
      </c>
      <c r="C1864" s="6" t="s">
        <v>27</v>
      </c>
      <c r="D1864" s="5">
        <v>46023</v>
      </c>
      <c r="E1864" s="6" t="s">
        <v>14</v>
      </c>
      <c r="F1864" s="7">
        <v>7572</v>
      </c>
      <c r="G1864" s="7">
        <v>107170.5274696249</v>
      </c>
      <c r="H1864" s="7">
        <v>811495234</v>
      </c>
      <c r="I1864" s="7">
        <v>64007356</v>
      </c>
      <c r="J1864" s="7">
        <v>0</v>
      </c>
      <c r="K1864">
        <f t="shared" si="28"/>
        <v>0</v>
      </c>
      <c r="L1864" s="8" t="str" cm="1">
        <f t="array" ref="L1864">_xlfn.IFS(
 AND(K1864&gt;=89,K1864&lt;=92),"3개월",
 AND(K1864&gt;=58,K1864&lt;=62),"2개월",
 AND(K1864&gt;=28,K1864&lt;=32),"1개월",
 AND(K1864=0),"당월",
 TRUE,"그외"
)</f>
        <v>당월</v>
      </c>
    </row>
    <row r="1865" spans="1:12" x14ac:dyDescent="0.3">
      <c r="A1865" s="5">
        <v>46023</v>
      </c>
      <c r="B1865" s="6" t="s">
        <v>20</v>
      </c>
      <c r="C1865" s="6" t="s">
        <v>27</v>
      </c>
      <c r="D1865" s="5">
        <v>46023</v>
      </c>
      <c r="E1865" s="6" t="s">
        <v>15</v>
      </c>
      <c r="F1865" s="7">
        <v>9341</v>
      </c>
      <c r="G1865" s="7">
        <v>194785.04967348251</v>
      </c>
      <c r="H1865" s="7">
        <v>1819487149</v>
      </c>
      <c r="I1865" s="7">
        <v>149329119</v>
      </c>
      <c r="J1865" s="7">
        <v>0</v>
      </c>
      <c r="K1865">
        <f t="shared" si="28"/>
        <v>0</v>
      </c>
      <c r="L1865" s="8" t="str" cm="1">
        <f t="array" ref="L1865">_xlfn.IFS(
 AND(K1865&gt;=89,K1865&lt;=92),"3개월",
 AND(K1865&gt;=58,K1865&lt;=62),"2개월",
 AND(K1865&gt;=28,K1865&lt;=32),"1개월",
 AND(K1865=0),"당월",
 TRUE,"그외"
)</f>
        <v>당월</v>
      </c>
    </row>
    <row r="1866" spans="1:12" x14ac:dyDescent="0.3">
      <c r="A1866" s="5">
        <v>46023</v>
      </c>
      <c r="B1866" s="6" t="s">
        <v>20</v>
      </c>
      <c r="C1866" s="6" t="s">
        <v>28</v>
      </c>
      <c r="D1866" s="5">
        <v>45839</v>
      </c>
      <c r="E1866" s="6" t="s">
        <v>15</v>
      </c>
      <c r="F1866" s="7">
        <v>8</v>
      </c>
      <c r="G1866" s="7">
        <v>199806.5</v>
      </c>
      <c r="H1866" s="7">
        <v>1598452</v>
      </c>
      <c r="I1866" s="7">
        <v>72990</v>
      </c>
      <c r="J1866" s="7">
        <v>0</v>
      </c>
      <c r="K1866">
        <f t="shared" ref="K1866:K1929" si="29">A1866-D1866</f>
        <v>184</v>
      </c>
      <c r="L1866" s="8" t="str" cm="1">
        <f t="array" ref="L1866">_xlfn.IFS(
 AND(K1866&gt;=89,K1866&lt;=92),"3개월",
 AND(K1866&gt;=58,K1866&lt;=62),"2개월",
 AND(K1866&gt;=28,K1866&lt;=32),"1개월",
 AND(K1866=0),"당월",
 TRUE,"그외"
)</f>
        <v>그외</v>
      </c>
    </row>
    <row r="1867" spans="1:12" x14ac:dyDescent="0.3">
      <c r="A1867" s="5">
        <v>46023</v>
      </c>
      <c r="B1867" s="6" t="s">
        <v>20</v>
      </c>
      <c r="C1867" s="6" t="s">
        <v>28</v>
      </c>
      <c r="D1867" s="5">
        <v>45870</v>
      </c>
      <c r="E1867" s="6" t="s">
        <v>15</v>
      </c>
      <c r="F1867" s="7">
        <v>41</v>
      </c>
      <c r="G1867" s="7">
        <v>152723.3658536585</v>
      </c>
      <c r="H1867" s="7">
        <v>6261658</v>
      </c>
      <c r="I1867" s="7">
        <v>393600</v>
      </c>
      <c r="J1867" s="7">
        <v>0</v>
      </c>
      <c r="K1867">
        <f t="shared" si="29"/>
        <v>153</v>
      </c>
      <c r="L1867" s="8" t="str" cm="1">
        <f t="array" ref="L1867">_xlfn.IFS(
 AND(K1867&gt;=89,K1867&lt;=92),"3개월",
 AND(K1867&gt;=58,K1867&lt;=62),"2개월",
 AND(K1867&gt;=28,K1867&lt;=32),"1개월",
 AND(K1867=0),"당월",
 TRUE,"그외"
)</f>
        <v>그외</v>
      </c>
    </row>
    <row r="1868" spans="1:12" x14ac:dyDescent="0.3">
      <c r="A1868" s="5">
        <v>46023</v>
      </c>
      <c r="B1868" s="6" t="s">
        <v>20</v>
      </c>
      <c r="C1868" s="6" t="s">
        <v>28</v>
      </c>
      <c r="D1868" s="5">
        <v>45901</v>
      </c>
      <c r="E1868" s="6" t="s">
        <v>15</v>
      </c>
      <c r="F1868" s="7">
        <v>181</v>
      </c>
      <c r="G1868" s="7">
        <v>145556.53038674031</v>
      </c>
      <c r="H1868" s="7">
        <v>26345732</v>
      </c>
      <c r="I1868" s="7">
        <v>2006315</v>
      </c>
      <c r="J1868" s="7">
        <v>0</v>
      </c>
      <c r="K1868">
        <f t="shared" si="29"/>
        <v>122</v>
      </c>
      <c r="L1868" s="8" t="str" cm="1">
        <f t="array" ref="L1868">_xlfn.IFS(
 AND(K1868&gt;=89,K1868&lt;=92),"3개월",
 AND(K1868&gt;=58,K1868&lt;=62),"2개월",
 AND(K1868&gt;=28,K1868&lt;=32),"1개월",
 AND(K1868=0),"당월",
 TRUE,"그외"
)</f>
        <v>그외</v>
      </c>
    </row>
    <row r="1869" spans="1:12" x14ac:dyDescent="0.3">
      <c r="A1869" s="5">
        <v>46023</v>
      </c>
      <c r="B1869" s="6" t="s">
        <v>20</v>
      </c>
      <c r="C1869" s="6" t="s">
        <v>28</v>
      </c>
      <c r="D1869" s="5">
        <v>45931</v>
      </c>
      <c r="E1869" s="6" t="s">
        <v>14</v>
      </c>
      <c r="F1869" s="7">
        <v>83</v>
      </c>
      <c r="G1869" s="7">
        <v>136446.98795180721</v>
      </c>
      <c r="H1869" s="7">
        <v>11325100</v>
      </c>
      <c r="I1869" s="7">
        <v>805100</v>
      </c>
      <c r="J1869" s="7">
        <v>0</v>
      </c>
      <c r="K1869">
        <f t="shared" si="29"/>
        <v>92</v>
      </c>
      <c r="L1869" s="8" t="str" cm="1">
        <f t="array" ref="L1869">_xlfn.IFS(
 AND(K1869&gt;=89,K1869&lt;=92),"3개월",
 AND(K1869&gt;=58,K1869&lt;=62),"2개월",
 AND(K1869&gt;=28,K1869&lt;=32),"1개월",
 AND(K1869=0),"당월",
 TRUE,"그외"
)</f>
        <v>3개월</v>
      </c>
    </row>
    <row r="1870" spans="1:12" x14ac:dyDescent="0.3">
      <c r="A1870" s="5">
        <v>46023</v>
      </c>
      <c r="B1870" s="6" t="s">
        <v>20</v>
      </c>
      <c r="C1870" s="6" t="s">
        <v>28</v>
      </c>
      <c r="D1870" s="5">
        <v>45931</v>
      </c>
      <c r="E1870" s="6" t="s">
        <v>15</v>
      </c>
      <c r="F1870" s="7">
        <v>1383</v>
      </c>
      <c r="G1870" s="7">
        <v>148833.7932031815</v>
      </c>
      <c r="H1870" s="7">
        <v>205837136</v>
      </c>
      <c r="I1870" s="7">
        <v>15847790</v>
      </c>
      <c r="J1870" s="7">
        <v>0</v>
      </c>
      <c r="K1870">
        <f t="shared" si="29"/>
        <v>92</v>
      </c>
      <c r="L1870" s="8" t="str" cm="1">
        <f t="array" ref="L1870">_xlfn.IFS(
 AND(K1870&gt;=89,K1870&lt;=92),"3개월",
 AND(K1870&gt;=58,K1870&lt;=62),"2개월",
 AND(K1870&gt;=28,K1870&lt;=32),"1개월",
 AND(K1870=0),"당월",
 TRUE,"그외"
)</f>
        <v>3개월</v>
      </c>
    </row>
    <row r="1871" spans="1:12" x14ac:dyDescent="0.3">
      <c r="A1871" s="5">
        <v>46023</v>
      </c>
      <c r="B1871" s="6" t="s">
        <v>20</v>
      </c>
      <c r="C1871" s="6" t="s">
        <v>28</v>
      </c>
      <c r="D1871" s="5">
        <v>45962</v>
      </c>
      <c r="E1871" s="6" t="s">
        <v>14</v>
      </c>
      <c r="F1871" s="7">
        <v>192</v>
      </c>
      <c r="G1871" s="7">
        <v>136258.33333333331</v>
      </c>
      <c r="H1871" s="7">
        <v>26161600</v>
      </c>
      <c r="I1871" s="7">
        <v>1881600</v>
      </c>
      <c r="J1871" s="7">
        <v>0</v>
      </c>
      <c r="K1871">
        <f t="shared" si="29"/>
        <v>61</v>
      </c>
      <c r="L1871" s="8" t="str" cm="1">
        <f t="array" ref="L1871">_xlfn.IFS(
 AND(K1871&gt;=89,K1871&lt;=92),"3개월",
 AND(K1871&gt;=58,K1871&lt;=62),"2개월",
 AND(K1871&gt;=28,K1871&lt;=32),"1개월",
 AND(K1871=0),"당월",
 TRUE,"그외"
)</f>
        <v>2개월</v>
      </c>
    </row>
    <row r="1872" spans="1:12" x14ac:dyDescent="0.3">
      <c r="A1872" s="5">
        <v>46023</v>
      </c>
      <c r="B1872" s="6" t="s">
        <v>20</v>
      </c>
      <c r="C1872" s="6" t="s">
        <v>28</v>
      </c>
      <c r="D1872" s="5">
        <v>45962</v>
      </c>
      <c r="E1872" s="6" t="s">
        <v>15</v>
      </c>
      <c r="F1872" s="7">
        <v>2901</v>
      </c>
      <c r="G1872" s="7">
        <v>177834.0954843158</v>
      </c>
      <c r="H1872" s="7">
        <v>515896711</v>
      </c>
      <c r="I1872" s="7">
        <v>35349867</v>
      </c>
      <c r="J1872" s="7">
        <v>0</v>
      </c>
      <c r="K1872">
        <f t="shared" si="29"/>
        <v>61</v>
      </c>
      <c r="L1872" s="8" t="str" cm="1">
        <f t="array" ref="L1872">_xlfn.IFS(
 AND(K1872&gt;=89,K1872&lt;=92),"3개월",
 AND(K1872&gt;=58,K1872&lt;=62),"2개월",
 AND(K1872&gt;=28,K1872&lt;=32),"1개월",
 AND(K1872=0),"당월",
 TRUE,"그외"
)</f>
        <v>2개월</v>
      </c>
    </row>
    <row r="1873" spans="1:12" x14ac:dyDescent="0.3">
      <c r="A1873" s="5">
        <v>46023</v>
      </c>
      <c r="B1873" s="6" t="s">
        <v>20</v>
      </c>
      <c r="C1873" s="6" t="s">
        <v>28</v>
      </c>
      <c r="D1873" s="5">
        <v>45992</v>
      </c>
      <c r="E1873" s="6" t="s">
        <v>14</v>
      </c>
      <c r="F1873" s="7">
        <v>686</v>
      </c>
      <c r="G1873" s="7">
        <v>159153.06122448979</v>
      </c>
      <c r="H1873" s="7">
        <v>109179000</v>
      </c>
      <c r="I1873" s="7">
        <v>7889000</v>
      </c>
      <c r="J1873" s="7">
        <v>0</v>
      </c>
      <c r="K1873">
        <f t="shared" si="29"/>
        <v>31</v>
      </c>
      <c r="L1873" s="8" t="str" cm="1">
        <f t="array" ref="L1873">_xlfn.IFS(
 AND(K1873&gt;=89,K1873&lt;=92),"3개월",
 AND(K1873&gt;=58,K1873&lt;=62),"2개월",
 AND(K1873&gt;=28,K1873&lt;=32),"1개월",
 AND(K1873=0),"당월",
 TRUE,"그외"
)</f>
        <v>1개월</v>
      </c>
    </row>
    <row r="1874" spans="1:12" x14ac:dyDescent="0.3">
      <c r="A1874" s="5">
        <v>46023</v>
      </c>
      <c r="B1874" s="6" t="s">
        <v>20</v>
      </c>
      <c r="C1874" s="6" t="s">
        <v>28</v>
      </c>
      <c r="D1874" s="5">
        <v>45992</v>
      </c>
      <c r="E1874" s="6" t="s">
        <v>15</v>
      </c>
      <c r="F1874" s="7">
        <v>3392</v>
      </c>
      <c r="G1874" s="7">
        <v>204851.9622641509</v>
      </c>
      <c r="H1874" s="7">
        <v>694857856</v>
      </c>
      <c r="I1874" s="7">
        <v>47243079</v>
      </c>
      <c r="J1874" s="7">
        <v>0</v>
      </c>
      <c r="K1874">
        <f t="shared" si="29"/>
        <v>31</v>
      </c>
      <c r="L1874" s="8" t="str" cm="1">
        <f t="array" ref="L1874">_xlfn.IFS(
 AND(K1874&gt;=89,K1874&lt;=92),"3개월",
 AND(K1874&gt;=58,K1874&lt;=62),"2개월",
 AND(K1874&gt;=28,K1874&lt;=32),"1개월",
 AND(K1874=0),"당월",
 TRUE,"그외"
)</f>
        <v>1개월</v>
      </c>
    </row>
    <row r="1875" spans="1:12" x14ac:dyDescent="0.3">
      <c r="A1875" s="5">
        <v>46023</v>
      </c>
      <c r="B1875" s="6" t="s">
        <v>20</v>
      </c>
      <c r="C1875" s="6" t="s">
        <v>28</v>
      </c>
      <c r="D1875" s="5">
        <v>46023</v>
      </c>
      <c r="E1875" s="6" t="s">
        <v>14</v>
      </c>
      <c r="F1875" s="7">
        <v>1476</v>
      </c>
      <c r="G1875" s="7">
        <v>164495.39295392949</v>
      </c>
      <c r="H1875" s="7">
        <v>242795200</v>
      </c>
      <c r="I1875" s="7">
        <v>17410200</v>
      </c>
      <c r="J1875" s="7">
        <v>0</v>
      </c>
      <c r="K1875">
        <f t="shared" si="29"/>
        <v>0</v>
      </c>
      <c r="L1875" s="8" t="str" cm="1">
        <f t="array" ref="L1875">_xlfn.IFS(
 AND(K1875&gt;=89,K1875&lt;=92),"3개월",
 AND(K1875&gt;=58,K1875&lt;=62),"2개월",
 AND(K1875&gt;=28,K1875&lt;=32),"1개월",
 AND(K1875=0),"당월",
 TRUE,"그외"
)</f>
        <v>당월</v>
      </c>
    </row>
    <row r="1876" spans="1:12" x14ac:dyDescent="0.3">
      <c r="A1876" s="5">
        <v>46023</v>
      </c>
      <c r="B1876" s="6" t="s">
        <v>20</v>
      </c>
      <c r="C1876" s="6" t="s">
        <v>28</v>
      </c>
      <c r="D1876" s="5">
        <v>46023</v>
      </c>
      <c r="E1876" s="6" t="s">
        <v>15</v>
      </c>
      <c r="F1876" s="7">
        <v>912</v>
      </c>
      <c r="G1876" s="7">
        <v>236718.68092105261</v>
      </c>
      <c r="H1876" s="7">
        <v>215887437</v>
      </c>
      <c r="I1876" s="7">
        <v>16429453</v>
      </c>
      <c r="J1876" s="7">
        <v>0</v>
      </c>
      <c r="K1876">
        <f t="shared" si="29"/>
        <v>0</v>
      </c>
      <c r="L1876" s="8" t="str" cm="1">
        <f t="array" ref="L1876">_xlfn.IFS(
 AND(K1876&gt;=89,K1876&lt;=92),"3개월",
 AND(K1876&gt;=58,K1876&lt;=62),"2개월",
 AND(K1876&gt;=28,K1876&lt;=32),"1개월",
 AND(K1876=0),"당월",
 TRUE,"그외"
)</f>
        <v>당월</v>
      </c>
    </row>
    <row r="1877" spans="1:12" x14ac:dyDescent="0.3">
      <c r="A1877" s="5">
        <v>46023</v>
      </c>
      <c r="B1877" s="6" t="s">
        <v>20</v>
      </c>
      <c r="C1877" s="6" t="s">
        <v>29</v>
      </c>
      <c r="D1877" s="5">
        <v>45839</v>
      </c>
      <c r="E1877" s="6" t="s">
        <v>15</v>
      </c>
      <c r="F1877" s="7">
        <v>144</v>
      </c>
      <c r="G1877" s="7">
        <v>135024.30555555559</v>
      </c>
      <c r="H1877" s="7">
        <v>19443500</v>
      </c>
      <c r="I1877" s="7">
        <v>1036016</v>
      </c>
      <c r="J1877" s="7">
        <v>0</v>
      </c>
      <c r="K1877">
        <f t="shared" si="29"/>
        <v>184</v>
      </c>
      <c r="L1877" s="8" t="str" cm="1">
        <f t="array" ref="L1877">_xlfn.IFS(
 AND(K1877&gt;=89,K1877&lt;=92),"3개월",
 AND(K1877&gt;=58,K1877&lt;=62),"2개월",
 AND(K1877&gt;=28,K1877&lt;=32),"1개월",
 AND(K1877=0),"당월",
 TRUE,"그외"
)</f>
        <v>그외</v>
      </c>
    </row>
    <row r="1878" spans="1:12" x14ac:dyDescent="0.3">
      <c r="A1878" s="5">
        <v>46023</v>
      </c>
      <c r="B1878" s="6" t="s">
        <v>20</v>
      </c>
      <c r="C1878" s="6" t="s">
        <v>29</v>
      </c>
      <c r="D1878" s="5">
        <v>45870</v>
      </c>
      <c r="E1878" s="6" t="s">
        <v>15</v>
      </c>
      <c r="F1878" s="7">
        <v>669</v>
      </c>
      <c r="G1878" s="7">
        <v>145145.28998505231</v>
      </c>
      <c r="H1878" s="7">
        <v>97102199</v>
      </c>
      <c r="I1878" s="7">
        <v>6813340</v>
      </c>
      <c r="J1878" s="7">
        <v>0</v>
      </c>
      <c r="K1878">
        <f t="shared" si="29"/>
        <v>153</v>
      </c>
      <c r="L1878" s="8" t="str" cm="1">
        <f t="array" ref="L1878">_xlfn.IFS(
 AND(K1878&gt;=89,K1878&lt;=92),"3개월",
 AND(K1878&gt;=58,K1878&lt;=62),"2개월",
 AND(K1878&gt;=28,K1878&lt;=32),"1개월",
 AND(K1878=0),"당월",
 TRUE,"그외"
)</f>
        <v>그외</v>
      </c>
    </row>
    <row r="1879" spans="1:12" x14ac:dyDescent="0.3">
      <c r="A1879" s="5">
        <v>46023</v>
      </c>
      <c r="B1879" s="6" t="s">
        <v>20</v>
      </c>
      <c r="C1879" s="6" t="s">
        <v>29</v>
      </c>
      <c r="D1879" s="5">
        <v>45901</v>
      </c>
      <c r="E1879" s="6" t="s">
        <v>15</v>
      </c>
      <c r="F1879" s="7">
        <v>1173</v>
      </c>
      <c r="G1879" s="7">
        <v>155010.57715260019</v>
      </c>
      <c r="H1879" s="7">
        <v>181827407</v>
      </c>
      <c r="I1879" s="7">
        <v>12048116</v>
      </c>
      <c r="J1879" s="7">
        <v>0</v>
      </c>
      <c r="K1879">
        <f t="shared" si="29"/>
        <v>122</v>
      </c>
      <c r="L1879" s="8" t="str" cm="1">
        <f t="array" ref="L1879">_xlfn.IFS(
 AND(K1879&gt;=89,K1879&lt;=92),"3개월",
 AND(K1879&gt;=58,K1879&lt;=62),"2개월",
 AND(K1879&gt;=28,K1879&lt;=32),"1개월",
 AND(K1879=0),"당월",
 TRUE,"그외"
)</f>
        <v>그외</v>
      </c>
    </row>
    <row r="1880" spans="1:12" x14ac:dyDescent="0.3">
      <c r="A1880" s="5">
        <v>46023</v>
      </c>
      <c r="B1880" s="6" t="s">
        <v>20</v>
      </c>
      <c r="C1880" s="6" t="s">
        <v>29</v>
      </c>
      <c r="D1880" s="5">
        <v>45931</v>
      </c>
      <c r="E1880" s="6" t="s">
        <v>15</v>
      </c>
      <c r="F1880" s="7">
        <v>2748</v>
      </c>
      <c r="G1880" s="7">
        <v>176695.635371179</v>
      </c>
      <c r="H1880" s="7">
        <v>485559606</v>
      </c>
      <c r="I1880" s="7">
        <v>29304962</v>
      </c>
      <c r="J1880" s="7">
        <v>0</v>
      </c>
      <c r="K1880">
        <f t="shared" si="29"/>
        <v>92</v>
      </c>
      <c r="L1880" s="8" t="str" cm="1">
        <f t="array" ref="L1880">_xlfn.IFS(
 AND(K1880&gt;=89,K1880&lt;=92),"3개월",
 AND(K1880&gt;=58,K1880&lt;=62),"2개월",
 AND(K1880&gt;=28,K1880&lt;=32),"1개월",
 AND(K1880=0),"당월",
 TRUE,"그외"
)</f>
        <v>3개월</v>
      </c>
    </row>
    <row r="1881" spans="1:12" x14ac:dyDescent="0.3">
      <c r="A1881" s="5">
        <v>46023</v>
      </c>
      <c r="B1881" s="6" t="s">
        <v>20</v>
      </c>
      <c r="C1881" s="6" t="s">
        <v>29</v>
      </c>
      <c r="D1881" s="5">
        <v>45962</v>
      </c>
      <c r="E1881" s="6" t="s">
        <v>14</v>
      </c>
      <c r="F1881" s="7">
        <v>226</v>
      </c>
      <c r="G1881" s="7">
        <v>205897.34513274339</v>
      </c>
      <c r="H1881" s="7">
        <v>46532800</v>
      </c>
      <c r="I1881" s="7">
        <v>2214800</v>
      </c>
      <c r="J1881" s="7">
        <v>0</v>
      </c>
      <c r="K1881">
        <f t="shared" si="29"/>
        <v>61</v>
      </c>
      <c r="L1881" s="8" t="str" cm="1">
        <f t="array" ref="L1881">_xlfn.IFS(
 AND(K1881&gt;=89,K1881&lt;=92),"3개월",
 AND(K1881&gt;=58,K1881&lt;=62),"2개월",
 AND(K1881&gt;=28,K1881&lt;=32),"1개월",
 AND(K1881=0),"당월",
 TRUE,"그외"
)</f>
        <v>2개월</v>
      </c>
    </row>
    <row r="1882" spans="1:12" x14ac:dyDescent="0.3">
      <c r="A1882" s="5">
        <v>46023</v>
      </c>
      <c r="B1882" s="6" t="s">
        <v>20</v>
      </c>
      <c r="C1882" s="6" t="s">
        <v>29</v>
      </c>
      <c r="D1882" s="5">
        <v>45962</v>
      </c>
      <c r="E1882" s="6" t="s">
        <v>15</v>
      </c>
      <c r="F1882" s="7">
        <v>4084</v>
      </c>
      <c r="G1882" s="7">
        <v>201805.8964250735</v>
      </c>
      <c r="H1882" s="7">
        <v>824175281</v>
      </c>
      <c r="I1882" s="7">
        <v>44868168</v>
      </c>
      <c r="J1882" s="7">
        <v>0</v>
      </c>
      <c r="K1882">
        <f t="shared" si="29"/>
        <v>61</v>
      </c>
      <c r="L1882" s="8" t="str" cm="1">
        <f t="array" ref="L1882">_xlfn.IFS(
 AND(K1882&gt;=89,K1882&lt;=92),"3개월",
 AND(K1882&gt;=58,K1882&lt;=62),"2개월",
 AND(K1882&gt;=28,K1882&lt;=32),"1개월",
 AND(K1882=0),"당월",
 TRUE,"그외"
)</f>
        <v>2개월</v>
      </c>
    </row>
    <row r="1883" spans="1:12" x14ac:dyDescent="0.3">
      <c r="A1883" s="5">
        <v>46023</v>
      </c>
      <c r="B1883" s="6" t="s">
        <v>20</v>
      </c>
      <c r="C1883" s="6" t="s">
        <v>29</v>
      </c>
      <c r="D1883" s="5">
        <v>45992</v>
      </c>
      <c r="E1883" s="6" t="s">
        <v>14</v>
      </c>
      <c r="F1883" s="7">
        <v>1623</v>
      </c>
      <c r="G1883" s="7">
        <v>213052.41404805909</v>
      </c>
      <c r="H1883" s="7">
        <v>345784068</v>
      </c>
      <c r="I1883" s="7">
        <v>19086204</v>
      </c>
      <c r="J1883" s="7">
        <v>0</v>
      </c>
      <c r="K1883">
        <f t="shared" si="29"/>
        <v>31</v>
      </c>
      <c r="L1883" s="8" t="str" cm="1">
        <f t="array" ref="L1883">_xlfn.IFS(
 AND(K1883&gt;=89,K1883&lt;=92),"3개월",
 AND(K1883&gt;=58,K1883&lt;=62),"2개월",
 AND(K1883&gt;=28,K1883&lt;=32),"1개월",
 AND(K1883=0),"당월",
 TRUE,"그외"
)</f>
        <v>1개월</v>
      </c>
    </row>
    <row r="1884" spans="1:12" x14ac:dyDescent="0.3">
      <c r="A1884" s="5">
        <v>46023</v>
      </c>
      <c r="B1884" s="6" t="s">
        <v>20</v>
      </c>
      <c r="C1884" s="6" t="s">
        <v>29</v>
      </c>
      <c r="D1884" s="5">
        <v>45992</v>
      </c>
      <c r="E1884" s="6" t="s">
        <v>15</v>
      </c>
      <c r="F1884" s="7">
        <v>6470</v>
      </c>
      <c r="G1884" s="7">
        <v>216354.1607418856</v>
      </c>
      <c r="H1884" s="7">
        <v>1399811420</v>
      </c>
      <c r="I1884" s="7">
        <v>83358469</v>
      </c>
      <c r="J1884" s="7">
        <v>0</v>
      </c>
      <c r="K1884">
        <f t="shared" si="29"/>
        <v>31</v>
      </c>
      <c r="L1884" s="8" t="str" cm="1">
        <f t="array" ref="L1884">_xlfn.IFS(
 AND(K1884&gt;=89,K1884&lt;=92),"3개월",
 AND(K1884&gt;=58,K1884&lt;=62),"2개월",
 AND(K1884&gt;=28,K1884&lt;=32),"1개월",
 AND(K1884=0),"당월",
 TRUE,"그외"
)</f>
        <v>1개월</v>
      </c>
    </row>
    <row r="1885" spans="1:12" x14ac:dyDescent="0.3">
      <c r="A1885" s="5">
        <v>46023</v>
      </c>
      <c r="B1885" s="6" t="s">
        <v>20</v>
      </c>
      <c r="C1885" s="6" t="s">
        <v>29</v>
      </c>
      <c r="D1885" s="5">
        <v>46023</v>
      </c>
      <c r="E1885" s="6" t="s">
        <v>14</v>
      </c>
      <c r="F1885" s="7">
        <v>3404</v>
      </c>
      <c r="G1885" s="7">
        <v>205045.7109283196</v>
      </c>
      <c r="H1885" s="7">
        <v>697975600</v>
      </c>
      <c r="I1885" s="7">
        <v>40166600</v>
      </c>
      <c r="J1885" s="7">
        <v>0</v>
      </c>
      <c r="K1885">
        <f t="shared" si="29"/>
        <v>0</v>
      </c>
      <c r="L1885" s="8" t="str" cm="1">
        <f t="array" ref="L1885">_xlfn.IFS(
 AND(K1885&gt;=89,K1885&lt;=92),"3개월",
 AND(K1885&gt;=58,K1885&lt;=62),"2개월",
 AND(K1885&gt;=28,K1885&lt;=32),"1개월",
 AND(K1885=0),"당월",
 TRUE,"그외"
)</f>
        <v>당월</v>
      </c>
    </row>
    <row r="1886" spans="1:12" x14ac:dyDescent="0.3">
      <c r="A1886" s="5">
        <v>46023</v>
      </c>
      <c r="B1886" s="6" t="s">
        <v>20</v>
      </c>
      <c r="C1886" s="6" t="s">
        <v>29</v>
      </c>
      <c r="D1886" s="5">
        <v>46023</v>
      </c>
      <c r="E1886" s="6" t="s">
        <v>15</v>
      </c>
      <c r="F1886" s="7">
        <v>2327</v>
      </c>
      <c r="G1886" s="7">
        <v>253552.66996132361</v>
      </c>
      <c r="H1886" s="7">
        <v>590017063</v>
      </c>
      <c r="I1886" s="7">
        <v>35629105</v>
      </c>
      <c r="J1886" s="7">
        <v>0</v>
      </c>
      <c r="K1886">
        <f t="shared" si="29"/>
        <v>0</v>
      </c>
      <c r="L1886" s="8" t="str" cm="1">
        <f t="array" ref="L1886">_xlfn.IFS(
 AND(K1886&gt;=89,K1886&lt;=92),"3개월",
 AND(K1886&gt;=58,K1886&lt;=62),"2개월",
 AND(K1886&gt;=28,K1886&lt;=32),"1개월",
 AND(K1886=0),"당월",
 TRUE,"그외"
)</f>
        <v>당월</v>
      </c>
    </row>
    <row r="1887" spans="1:12" x14ac:dyDescent="0.3">
      <c r="A1887" s="5">
        <v>46023</v>
      </c>
      <c r="B1887" s="6" t="s">
        <v>20</v>
      </c>
      <c r="C1887" s="6" t="s">
        <v>30</v>
      </c>
      <c r="D1887" s="5">
        <v>45839</v>
      </c>
      <c r="E1887" s="6" t="s">
        <v>15</v>
      </c>
      <c r="F1887" s="7">
        <v>90</v>
      </c>
      <c r="G1887" s="7">
        <v>154561.14444444439</v>
      </c>
      <c r="H1887" s="7">
        <v>13910503</v>
      </c>
      <c r="I1887" s="7">
        <v>582136</v>
      </c>
      <c r="J1887" s="7">
        <v>0</v>
      </c>
      <c r="K1887">
        <f t="shared" si="29"/>
        <v>184</v>
      </c>
      <c r="L1887" s="8" t="str" cm="1">
        <f t="array" ref="L1887">_xlfn.IFS(
 AND(K1887&gt;=89,K1887&lt;=92),"3개월",
 AND(K1887&gt;=58,K1887&lt;=62),"2개월",
 AND(K1887&gt;=28,K1887&lt;=32),"1개월",
 AND(K1887=0),"당월",
 TRUE,"그외"
)</f>
        <v>그외</v>
      </c>
    </row>
    <row r="1888" spans="1:12" x14ac:dyDescent="0.3">
      <c r="A1888" s="5">
        <v>46023</v>
      </c>
      <c r="B1888" s="6" t="s">
        <v>20</v>
      </c>
      <c r="C1888" s="6" t="s">
        <v>30</v>
      </c>
      <c r="D1888" s="5">
        <v>45870</v>
      </c>
      <c r="E1888" s="6" t="s">
        <v>15</v>
      </c>
      <c r="F1888" s="7">
        <v>440</v>
      </c>
      <c r="G1888" s="7">
        <v>161025.27045454539</v>
      </c>
      <c r="H1888" s="7">
        <v>70851119</v>
      </c>
      <c r="I1888" s="7">
        <v>4839016</v>
      </c>
      <c r="J1888" s="7">
        <v>0</v>
      </c>
      <c r="K1888">
        <f t="shared" si="29"/>
        <v>153</v>
      </c>
      <c r="L1888" s="8" t="str" cm="1">
        <f t="array" ref="L1888">_xlfn.IFS(
 AND(K1888&gt;=89,K1888&lt;=92),"3개월",
 AND(K1888&gt;=58,K1888&lt;=62),"2개월",
 AND(K1888&gt;=28,K1888&lt;=32),"1개월",
 AND(K1888=0),"당월",
 TRUE,"그외"
)</f>
        <v>그외</v>
      </c>
    </row>
    <row r="1889" spans="1:12" x14ac:dyDescent="0.3">
      <c r="A1889" s="5">
        <v>46023</v>
      </c>
      <c r="B1889" s="6" t="s">
        <v>20</v>
      </c>
      <c r="C1889" s="6" t="s">
        <v>30</v>
      </c>
      <c r="D1889" s="5">
        <v>45901</v>
      </c>
      <c r="E1889" s="6" t="s">
        <v>15</v>
      </c>
      <c r="F1889" s="7">
        <v>1019</v>
      </c>
      <c r="G1889" s="7">
        <v>157148.73797841021</v>
      </c>
      <c r="H1889" s="7">
        <v>160134564</v>
      </c>
      <c r="I1889" s="7">
        <v>11401493</v>
      </c>
      <c r="J1889" s="7">
        <v>0</v>
      </c>
      <c r="K1889">
        <f t="shared" si="29"/>
        <v>122</v>
      </c>
      <c r="L1889" s="8" t="str" cm="1">
        <f t="array" ref="L1889">_xlfn.IFS(
 AND(K1889&gt;=89,K1889&lt;=92),"3개월",
 AND(K1889&gt;=58,K1889&lt;=62),"2개월",
 AND(K1889&gt;=28,K1889&lt;=32),"1개월",
 AND(K1889=0),"당월",
 TRUE,"그외"
)</f>
        <v>그외</v>
      </c>
    </row>
    <row r="1890" spans="1:12" x14ac:dyDescent="0.3">
      <c r="A1890" s="5">
        <v>46023</v>
      </c>
      <c r="B1890" s="6" t="s">
        <v>20</v>
      </c>
      <c r="C1890" s="6" t="s">
        <v>30</v>
      </c>
      <c r="D1890" s="5">
        <v>45931</v>
      </c>
      <c r="E1890" s="6" t="s">
        <v>15</v>
      </c>
      <c r="F1890" s="7">
        <v>1133</v>
      </c>
      <c r="G1890" s="7">
        <v>169031.1120917917</v>
      </c>
      <c r="H1890" s="7">
        <v>191512250</v>
      </c>
      <c r="I1890" s="7">
        <v>14288361</v>
      </c>
      <c r="J1890" s="7">
        <v>0</v>
      </c>
      <c r="K1890">
        <f t="shared" si="29"/>
        <v>92</v>
      </c>
      <c r="L1890" s="8" t="str" cm="1">
        <f t="array" ref="L1890">_xlfn.IFS(
 AND(K1890&gt;=89,K1890&lt;=92),"3개월",
 AND(K1890&gt;=58,K1890&lt;=62),"2개월",
 AND(K1890&gt;=28,K1890&lt;=32),"1개월",
 AND(K1890=0),"당월",
 TRUE,"그외"
)</f>
        <v>3개월</v>
      </c>
    </row>
    <row r="1891" spans="1:12" x14ac:dyDescent="0.3">
      <c r="A1891" s="5">
        <v>46023</v>
      </c>
      <c r="B1891" s="6" t="s">
        <v>20</v>
      </c>
      <c r="C1891" s="6" t="s">
        <v>30</v>
      </c>
      <c r="D1891" s="5">
        <v>45962</v>
      </c>
      <c r="E1891" s="6" t="s">
        <v>14</v>
      </c>
      <c r="F1891" s="7">
        <v>28</v>
      </c>
      <c r="G1891" s="7">
        <v>98501.428571428565</v>
      </c>
      <c r="H1891" s="7">
        <v>2758040</v>
      </c>
      <c r="I1891" s="7">
        <v>815007</v>
      </c>
      <c r="J1891" s="7">
        <v>0</v>
      </c>
      <c r="K1891">
        <f t="shared" si="29"/>
        <v>61</v>
      </c>
      <c r="L1891" s="8" t="str" cm="1">
        <f t="array" ref="L1891">_xlfn.IFS(
 AND(K1891&gt;=89,K1891&lt;=92),"3개월",
 AND(K1891&gt;=58,K1891&lt;=62),"2개월",
 AND(K1891&gt;=28,K1891&lt;=32),"1개월",
 AND(K1891=0),"당월",
 TRUE,"그외"
)</f>
        <v>2개월</v>
      </c>
    </row>
    <row r="1892" spans="1:12" x14ac:dyDescent="0.3">
      <c r="A1892" s="5">
        <v>46023</v>
      </c>
      <c r="B1892" s="6" t="s">
        <v>20</v>
      </c>
      <c r="C1892" s="6" t="s">
        <v>30</v>
      </c>
      <c r="D1892" s="5">
        <v>45962</v>
      </c>
      <c r="E1892" s="6" t="s">
        <v>15</v>
      </c>
      <c r="F1892" s="7">
        <v>5270</v>
      </c>
      <c r="G1892" s="7">
        <v>160586.40740037951</v>
      </c>
      <c r="H1892" s="7">
        <v>846290367</v>
      </c>
      <c r="I1892" s="7">
        <v>64281512</v>
      </c>
      <c r="J1892" s="7">
        <v>0</v>
      </c>
      <c r="K1892">
        <f t="shared" si="29"/>
        <v>61</v>
      </c>
      <c r="L1892" s="8" t="str" cm="1">
        <f t="array" ref="L1892">_xlfn.IFS(
 AND(K1892&gt;=89,K1892&lt;=92),"3개월",
 AND(K1892&gt;=58,K1892&lt;=62),"2개월",
 AND(K1892&gt;=28,K1892&lt;=32),"1개월",
 AND(K1892=0),"당월",
 TRUE,"그외"
)</f>
        <v>2개월</v>
      </c>
    </row>
    <row r="1893" spans="1:12" x14ac:dyDescent="0.3">
      <c r="A1893" s="5">
        <v>46023</v>
      </c>
      <c r="B1893" s="6" t="s">
        <v>20</v>
      </c>
      <c r="C1893" s="6" t="s">
        <v>30</v>
      </c>
      <c r="D1893" s="5">
        <v>45992</v>
      </c>
      <c r="E1893" s="6" t="s">
        <v>14</v>
      </c>
      <c r="F1893" s="7">
        <v>1455</v>
      </c>
      <c r="G1893" s="7">
        <v>141377.08384879731</v>
      </c>
      <c r="H1893" s="7">
        <v>205703657</v>
      </c>
      <c r="I1893" s="7">
        <v>18641406</v>
      </c>
      <c r="J1893" s="7">
        <v>0</v>
      </c>
      <c r="K1893">
        <f t="shared" si="29"/>
        <v>31</v>
      </c>
      <c r="L1893" s="8" t="str" cm="1">
        <f t="array" ref="L1893">_xlfn.IFS(
 AND(K1893&gt;=89,K1893&lt;=92),"3개월",
 AND(K1893&gt;=58,K1893&lt;=62),"2개월",
 AND(K1893&gt;=28,K1893&lt;=32),"1개월",
 AND(K1893=0),"당월",
 TRUE,"그외"
)</f>
        <v>1개월</v>
      </c>
    </row>
    <row r="1894" spans="1:12" x14ac:dyDescent="0.3">
      <c r="A1894" s="5">
        <v>46023</v>
      </c>
      <c r="B1894" s="6" t="s">
        <v>20</v>
      </c>
      <c r="C1894" s="6" t="s">
        <v>30</v>
      </c>
      <c r="D1894" s="5">
        <v>45992</v>
      </c>
      <c r="E1894" s="6" t="s">
        <v>15</v>
      </c>
      <c r="F1894" s="7">
        <v>7416</v>
      </c>
      <c r="G1894" s="7">
        <v>176947.07483818769</v>
      </c>
      <c r="H1894" s="7">
        <v>1312239507</v>
      </c>
      <c r="I1894" s="7">
        <v>105193406</v>
      </c>
      <c r="J1894" s="7">
        <v>0</v>
      </c>
      <c r="K1894">
        <f t="shared" si="29"/>
        <v>31</v>
      </c>
      <c r="L1894" s="8" t="str" cm="1">
        <f t="array" ref="L1894">_xlfn.IFS(
 AND(K1894&gt;=89,K1894&lt;=92),"3개월",
 AND(K1894&gt;=58,K1894&lt;=62),"2개월",
 AND(K1894&gt;=28,K1894&lt;=32),"1개월",
 AND(K1894=0),"당월",
 TRUE,"그외"
)</f>
        <v>1개월</v>
      </c>
    </row>
    <row r="1895" spans="1:12" x14ac:dyDescent="0.3">
      <c r="A1895" s="5">
        <v>46023</v>
      </c>
      <c r="B1895" s="6" t="s">
        <v>20</v>
      </c>
      <c r="C1895" s="6" t="s">
        <v>30</v>
      </c>
      <c r="D1895" s="5">
        <v>46023</v>
      </c>
      <c r="E1895" s="6" t="s">
        <v>14</v>
      </c>
      <c r="F1895" s="7">
        <v>1821</v>
      </c>
      <c r="G1895" s="7">
        <v>147386.38769906649</v>
      </c>
      <c r="H1895" s="7">
        <v>268390612</v>
      </c>
      <c r="I1895" s="7">
        <v>21519550</v>
      </c>
      <c r="J1895" s="7">
        <v>0</v>
      </c>
      <c r="K1895">
        <f t="shared" si="29"/>
        <v>0</v>
      </c>
      <c r="L1895" s="8" t="str" cm="1">
        <f t="array" ref="L1895">_xlfn.IFS(
 AND(K1895&gt;=89,K1895&lt;=92),"3개월",
 AND(K1895&gt;=58,K1895&lt;=62),"2개월",
 AND(K1895&gt;=28,K1895&lt;=32),"1개월",
 AND(K1895=0),"당월",
 TRUE,"그외"
)</f>
        <v>당월</v>
      </c>
    </row>
    <row r="1896" spans="1:12" x14ac:dyDescent="0.3">
      <c r="A1896" s="5">
        <v>46023</v>
      </c>
      <c r="B1896" s="6" t="s">
        <v>20</v>
      </c>
      <c r="C1896" s="6" t="s">
        <v>30</v>
      </c>
      <c r="D1896" s="5">
        <v>46023</v>
      </c>
      <c r="E1896" s="6" t="s">
        <v>15</v>
      </c>
      <c r="F1896" s="7">
        <v>3262</v>
      </c>
      <c r="G1896" s="7">
        <v>201288.69037400369</v>
      </c>
      <c r="H1896" s="7">
        <v>656603708</v>
      </c>
      <c r="I1896" s="7">
        <v>50909427</v>
      </c>
      <c r="J1896" s="7">
        <v>0</v>
      </c>
      <c r="K1896">
        <f t="shared" si="29"/>
        <v>0</v>
      </c>
      <c r="L1896" s="8" t="str" cm="1">
        <f t="array" ref="L1896">_xlfn.IFS(
 AND(K1896&gt;=89,K1896&lt;=92),"3개월",
 AND(K1896&gt;=58,K1896&lt;=62),"2개월",
 AND(K1896&gt;=28,K1896&lt;=32),"1개월",
 AND(K1896=0),"당월",
 TRUE,"그외"
)</f>
        <v>당월</v>
      </c>
    </row>
    <row r="1897" spans="1:12" x14ac:dyDescent="0.3">
      <c r="A1897" s="5">
        <v>46023</v>
      </c>
      <c r="B1897" s="6" t="s">
        <v>20</v>
      </c>
      <c r="C1897" s="6" t="s">
        <v>31</v>
      </c>
      <c r="D1897" s="5">
        <v>45839</v>
      </c>
      <c r="E1897" s="6" t="s">
        <v>15</v>
      </c>
      <c r="F1897" s="7">
        <v>22</v>
      </c>
      <c r="G1897" s="7">
        <v>220310</v>
      </c>
      <c r="H1897" s="7">
        <v>4846820</v>
      </c>
      <c r="I1897" s="7">
        <v>353549</v>
      </c>
      <c r="J1897" s="7">
        <v>0</v>
      </c>
      <c r="K1897">
        <f t="shared" si="29"/>
        <v>184</v>
      </c>
      <c r="L1897" s="8" t="str" cm="1">
        <f t="array" ref="L1897">_xlfn.IFS(
 AND(K1897&gt;=89,K1897&lt;=92),"3개월",
 AND(K1897&gt;=58,K1897&lt;=62),"2개월",
 AND(K1897&gt;=28,K1897&lt;=32),"1개월",
 AND(K1897=0),"당월",
 TRUE,"그외"
)</f>
        <v>그외</v>
      </c>
    </row>
    <row r="1898" spans="1:12" x14ac:dyDescent="0.3">
      <c r="A1898" s="5">
        <v>46023</v>
      </c>
      <c r="B1898" s="6" t="s">
        <v>20</v>
      </c>
      <c r="C1898" s="6" t="s">
        <v>31</v>
      </c>
      <c r="D1898" s="5">
        <v>45870</v>
      </c>
      <c r="E1898" s="6" t="s">
        <v>14</v>
      </c>
      <c r="F1898" s="7">
        <v>7</v>
      </c>
      <c r="G1898" s="7">
        <v>125387.2857142857</v>
      </c>
      <c r="H1898" s="7">
        <v>877711</v>
      </c>
      <c r="I1898" s="7">
        <v>151801</v>
      </c>
      <c r="J1898" s="7">
        <v>0</v>
      </c>
      <c r="K1898">
        <f t="shared" si="29"/>
        <v>153</v>
      </c>
      <c r="L1898" s="8" t="str" cm="1">
        <f t="array" ref="L1898">_xlfn.IFS(
 AND(K1898&gt;=89,K1898&lt;=92),"3개월",
 AND(K1898&gt;=58,K1898&lt;=62),"2개월",
 AND(K1898&gt;=28,K1898&lt;=32),"1개월",
 AND(K1898=0),"당월",
 TRUE,"그외"
)</f>
        <v>그외</v>
      </c>
    </row>
    <row r="1899" spans="1:12" x14ac:dyDescent="0.3">
      <c r="A1899" s="5">
        <v>46023</v>
      </c>
      <c r="B1899" s="6" t="s">
        <v>20</v>
      </c>
      <c r="C1899" s="6" t="s">
        <v>31</v>
      </c>
      <c r="D1899" s="5">
        <v>45870</v>
      </c>
      <c r="E1899" s="6" t="s">
        <v>15</v>
      </c>
      <c r="F1899" s="7">
        <v>160</v>
      </c>
      <c r="G1899" s="7">
        <v>188820.78750000001</v>
      </c>
      <c r="H1899" s="7">
        <v>30211326</v>
      </c>
      <c r="I1899" s="7">
        <v>2560816</v>
      </c>
      <c r="J1899" s="7">
        <v>0</v>
      </c>
      <c r="K1899">
        <f t="shared" si="29"/>
        <v>153</v>
      </c>
      <c r="L1899" s="8" t="str" cm="1">
        <f t="array" ref="L1899">_xlfn.IFS(
 AND(K1899&gt;=89,K1899&lt;=92),"3개월",
 AND(K1899&gt;=58,K1899&lt;=62),"2개월",
 AND(K1899&gt;=28,K1899&lt;=32),"1개월",
 AND(K1899=0),"당월",
 TRUE,"그외"
)</f>
        <v>그외</v>
      </c>
    </row>
    <row r="1900" spans="1:12" x14ac:dyDescent="0.3">
      <c r="A1900" s="5">
        <v>46023</v>
      </c>
      <c r="B1900" s="6" t="s">
        <v>20</v>
      </c>
      <c r="C1900" s="6" t="s">
        <v>31</v>
      </c>
      <c r="D1900" s="5">
        <v>45901</v>
      </c>
      <c r="E1900" s="6" t="s">
        <v>14</v>
      </c>
      <c r="F1900" s="7">
        <v>8</v>
      </c>
      <c r="G1900" s="7">
        <v>168716</v>
      </c>
      <c r="H1900" s="7">
        <v>1349728</v>
      </c>
      <c r="I1900" s="7">
        <v>173066</v>
      </c>
      <c r="J1900" s="7">
        <v>0</v>
      </c>
      <c r="K1900">
        <f t="shared" si="29"/>
        <v>122</v>
      </c>
      <c r="L1900" s="8" t="str" cm="1">
        <f t="array" ref="L1900">_xlfn.IFS(
 AND(K1900&gt;=89,K1900&lt;=92),"3개월",
 AND(K1900&gt;=58,K1900&lt;=62),"2개월",
 AND(K1900&gt;=28,K1900&lt;=32),"1개월",
 AND(K1900=0),"당월",
 TRUE,"그외"
)</f>
        <v>그외</v>
      </c>
    </row>
    <row r="1901" spans="1:12" x14ac:dyDescent="0.3">
      <c r="A1901" s="5">
        <v>46023</v>
      </c>
      <c r="B1901" s="6" t="s">
        <v>20</v>
      </c>
      <c r="C1901" s="6" t="s">
        <v>31</v>
      </c>
      <c r="D1901" s="5">
        <v>45901</v>
      </c>
      <c r="E1901" s="6" t="s">
        <v>15</v>
      </c>
      <c r="F1901" s="7">
        <v>413</v>
      </c>
      <c r="G1901" s="7">
        <v>169017.35351089589</v>
      </c>
      <c r="H1901" s="7">
        <v>69804167</v>
      </c>
      <c r="I1901" s="7">
        <v>5822362</v>
      </c>
      <c r="J1901" s="7">
        <v>0</v>
      </c>
      <c r="K1901">
        <f t="shared" si="29"/>
        <v>122</v>
      </c>
      <c r="L1901" s="8" t="str" cm="1">
        <f t="array" ref="L1901">_xlfn.IFS(
 AND(K1901&gt;=89,K1901&lt;=92),"3개월",
 AND(K1901&gt;=58,K1901&lt;=62),"2개월",
 AND(K1901&gt;=28,K1901&lt;=32),"1개월",
 AND(K1901=0),"당월",
 TRUE,"그외"
)</f>
        <v>그외</v>
      </c>
    </row>
    <row r="1902" spans="1:12" x14ac:dyDescent="0.3">
      <c r="A1902" s="5">
        <v>46023</v>
      </c>
      <c r="B1902" s="6" t="s">
        <v>20</v>
      </c>
      <c r="C1902" s="6" t="s">
        <v>31</v>
      </c>
      <c r="D1902" s="5">
        <v>45931</v>
      </c>
      <c r="E1902" s="6" t="s">
        <v>14</v>
      </c>
      <c r="F1902" s="7">
        <v>16</v>
      </c>
      <c r="G1902" s="7">
        <v>178181.1875</v>
      </c>
      <c r="H1902" s="7">
        <v>2850899</v>
      </c>
      <c r="I1902" s="7">
        <v>467315</v>
      </c>
      <c r="J1902" s="7">
        <v>0</v>
      </c>
      <c r="K1902">
        <f t="shared" si="29"/>
        <v>92</v>
      </c>
      <c r="L1902" s="8" t="str" cm="1">
        <f t="array" ref="L1902">_xlfn.IFS(
 AND(K1902&gt;=89,K1902&lt;=92),"3개월",
 AND(K1902&gt;=58,K1902&lt;=62),"2개월",
 AND(K1902&gt;=28,K1902&lt;=32),"1개월",
 AND(K1902=0),"당월",
 TRUE,"그외"
)</f>
        <v>3개월</v>
      </c>
    </row>
    <row r="1903" spans="1:12" x14ac:dyDescent="0.3">
      <c r="A1903" s="5">
        <v>46023</v>
      </c>
      <c r="B1903" s="6" t="s">
        <v>20</v>
      </c>
      <c r="C1903" s="6" t="s">
        <v>31</v>
      </c>
      <c r="D1903" s="5">
        <v>45931</v>
      </c>
      <c r="E1903" s="6" t="s">
        <v>15</v>
      </c>
      <c r="F1903" s="7">
        <v>1035</v>
      </c>
      <c r="G1903" s="7">
        <v>163315.70821256039</v>
      </c>
      <c r="H1903" s="7">
        <v>169031758</v>
      </c>
      <c r="I1903" s="7">
        <v>15095274</v>
      </c>
      <c r="J1903" s="7">
        <v>0</v>
      </c>
      <c r="K1903">
        <f t="shared" si="29"/>
        <v>92</v>
      </c>
      <c r="L1903" s="8" t="str" cm="1">
        <f t="array" ref="L1903">_xlfn.IFS(
 AND(K1903&gt;=89,K1903&lt;=92),"3개월",
 AND(K1903&gt;=58,K1903&lt;=62),"2개월",
 AND(K1903&gt;=28,K1903&lt;=32),"1개월",
 AND(K1903=0),"당월",
 TRUE,"그외"
)</f>
        <v>3개월</v>
      </c>
    </row>
    <row r="1904" spans="1:12" x14ac:dyDescent="0.3">
      <c r="A1904" s="5">
        <v>46023</v>
      </c>
      <c r="B1904" s="6" t="s">
        <v>20</v>
      </c>
      <c r="C1904" s="6" t="s">
        <v>31</v>
      </c>
      <c r="D1904" s="5">
        <v>45962</v>
      </c>
      <c r="E1904" s="6" t="s">
        <v>14</v>
      </c>
      <c r="F1904" s="7">
        <v>227</v>
      </c>
      <c r="G1904" s="7">
        <v>141154.7973568282</v>
      </c>
      <c r="H1904" s="7">
        <v>32042139</v>
      </c>
      <c r="I1904" s="7">
        <v>4412411</v>
      </c>
      <c r="J1904" s="7">
        <v>0</v>
      </c>
      <c r="K1904">
        <f t="shared" si="29"/>
        <v>61</v>
      </c>
      <c r="L1904" s="8" t="str" cm="1">
        <f t="array" ref="L1904">_xlfn.IFS(
 AND(K1904&gt;=89,K1904&lt;=92),"3개월",
 AND(K1904&gt;=58,K1904&lt;=62),"2개월",
 AND(K1904&gt;=28,K1904&lt;=32),"1개월",
 AND(K1904=0),"당월",
 TRUE,"그외"
)</f>
        <v>2개월</v>
      </c>
    </row>
    <row r="1905" spans="1:12" x14ac:dyDescent="0.3">
      <c r="A1905" s="5">
        <v>46023</v>
      </c>
      <c r="B1905" s="6" t="s">
        <v>20</v>
      </c>
      <c r="C1905" s="6" t="s">
        <v>31</v>
      </c>
      <c r="D1905" s="5">
        <v>45962</v>
      </c>
      <c r="E1905" s="6" t="s">
        <v>15</v>
      </c>
      <c r="F1905" s="7">
        <v>1795</v>
      </c>
      <c r="G1905" s="7">
        <v>175072.65013927579</v>
      </c>
      <c r="H1905" s="7">
        <v>314255407</v>
      </c>
      <c r="I1905" s="7">
        <v>25029168</v>
      </c>
      <c r="J1905" s="7">
        <v>0</v>
      </c>
      <c r="K1905">
        <f t="shared" si="29"/>
        <v>61</v>
      </c>
      <c r="L1905" s="8" t="str" cm="1">
        <f t="array" ref="L1905">_xlfn.IFS(
 AND(K1905&gt;=89,K1905&lt;=92),"3개월",
 AND(K1905&gt;=58,K1905&lt;=62),"2개월",
 AND(K1905&gt;=28,K1905&lt;=32),"1개월",
 AND(K1905=0),"당월",
 TRUE,"그외"
)</f>
        <v>2개월</v>
      </c>
    </row>
    <row r="1906" spans="1:12" x14ac:dyDescent="0.3">
      <c r="A1906" s="5">
        <v>46023</v>
      </c>
      <c r="B1906" s="6" t="s">
        <v>20</v>
      </c>
      <c r="C1906" s="6" t="s">
        <v>31</v>
      </c>
      <c r="D1906" s="5">
        <v>45992</v>
      </c>
      <c r="E1906" s="6" t="s">
        <v>14</v>
      </c>
      <c r="F1906" s="7">
        <v>1057</v>
      </c>
      <c r="G1906" s="7">
        <v>150918.04635761591</v>
      </c>
      <c r="H1906" s="7">
        <v>159520375</v>
      </c>
      <c r="I1906" s="7">
        <v>20442606</v>
      </c>
      <c r="J1906" s="7">
        <v>0</v>
      </c>
      <c r="K1906">
        <f t="shared" si="29"/>
        <v>31</v>
      </c>
      <c r="L1906" s="8" t="str" cm="1">
        <f t="array" ref="L1906">_xlfn.IFS(
 AND(K1906&gt;=89,K1906&lt;=92),"3개월",
 AND(K1906&gt;=58,K1906&lt;=62),"2개월",
 AND(K1906&gt;=28,K1906&lt;=32),"1개월",
 AND(K1906=0),"당월",
 TRUE,"그외"
)</f>
        <v>1개월</v>
      </c>
    </row>
    <row r="1907" spans="1:12" x14ac:dyDescent="0.3">
      <c r="A1907" s="5">
        <v>46023</v>
      </c>
      <c r="B1907" s="6" t="s">
        <v>20</v>
      </c>
      <c r="C1907" s="6" t="s">
        <v>31</v>
      </c>
      <c r="D1907" s="5">
        <v>45992</v>
      </c>
      <c r="E1907" s="6" t="s">
        <v>15</v>
      </c>
      <c r="F1907" s="7">
        <v>3124</v>
      </c>
      <c r="G1907" s="7">
        <v>187243.0627400768</v>
      </c>
      <c r="H1907" s="7">
        <v>584947328</v>
      </c>
      <c r="I1907" s="7">
        <v>49387851</v>
      </c>
      <c r="J1907" s="7">
        <v>0</v>
      </c>
      <c r="K1907">
        <f t="shared" si="29"/>
        <v>31</v>
      </c>
      <c r="L1907" s="8" t="str" cm="1">
        <f t="array" ref="L1907">_xlfn.IFS(
 AND(K1907&gt;=89,K1907&lt;=92),"3개월",
 AND(K1907&gt;=58,K1907&lt;=62),"2개월",
 AND(K1907&gt;=28,K1907&lt;=32),"1개월",
 AND(K1907=0),"당월",
 TRUE,"그외"
)</f>
        <v>1개월</v>
      </c>
    </row>
    <row r="1908" spans="1:12" x14ac:dyDescent="0.3">
      <c r="A1908" s="5">
        <v>46023</v>
      </c>
      <c r="B1908" s="6" t="s">
        <v>20</v>
      </c>
      <c r="C1908" s="6" t="s">
        <v>31</v>
      </c>
      <c r="D1908" s="5">
        <v>46023</v>
      </c>
      <c r="E1908" s="6" t="s">
        <v>14</v>
      </c>
      <c r="F1908" s="7">
        <v>656</v>
      </c>
      <c r="G1908" s="7">
        <v>133369.08841463411</v>
      </c>
      <c r="H1908" s="7">
        <v>87490122</v>
      </c>
      <c r="I1908" s="7">
        <v>9999876</v>
      </c>
      <c r="J1908" s="7">
        <v>0</v>
      </c>
      <c r="K1908">
        <f t="shared" si="29"/>
        <v>0</v>
      </c>
      <c r="L1908" s="8" t="str" cm="1">
        <f t="array" ref="L1908">_xlfn.IFS(
 AND(K1908&gt;=89,K1908&lt;=92),"3개월",
 AND(K1908&gt;=58,K1908&lt;=62),"2개월",
 AND(K1908&gt;=28,K1908&lt;=32),"1개월",
 AND(K1908=0),"당월",
 TRUE,"그외"
)</f>
        <v>당월</v>
      </c>
    </row>
    <row r="1909" spans="1:12" x14ac:dyDescent="0.3">
      <c r="A1909" s="5">
        <v>46023</v>
      </c>
      <c r="B1909" s="6" t="s">
        <v>20</v>
      </c>
      <c r="C1909" s="6" t="s">
        <v>31</v>
      </c>
      <c r="D1909" s="5">
        <v>46023</v>
      </c>
      <c r="E1909" s="6" t="s">
        <v>15</v>
      </c>
      <c r="F1909" s="7">
        <v>1952</v>
      </c>
      <c r="G1909" s="7">
        <v>177118.86014344261</v>
      </c>
      <c r="H1909" s="7">
        <v>345736015</v>
      </c>
      <c r="I1909" s="7">
        <v>31831018</v>
      </c>
      <c r="J1909" s="7">
        <v>0</v>
      </c>
      <c r="K1909">
        <f t="shared" si="29"/>
        <v>0</v>
      </c>
      <c r="L1909" s="8" t="str" cm="1">
        <f t="array" ref="L1909">_xlfn.IFS(
 AND(K1909&gt;=89,K1909&lt;=92),"3개월",
 AND(K1909&gt;=58,K1909&lt;=62),"2개월",
 AND(K1909&gt;=28,K1909&lt;=32),"1개월",
 AND(K1909=0),"당월",
 TRUE,"그외"
)</f>
        <v>당월</v>
      </c>
    </row>
    <row r="1910" spans="1:12" x14ac:dyDescent="0.3">
      <c r="A1910" s="5">
        <v>46023</v>
      </c>
      <c r="B1910" s="6" t="s">
        <v>20</v>
      </c>
      <c r="C1910" s="6" t="s">
        <v>32</v>
      </c>
      <c r="D1910" s="5">
        <v>45839</v>
      </c>
      <c r="E1910" s="6" t="s">
        <v>15</v>
      </c>
      <c r="F1910" s="7">
        <v>214</v>
      </c>
      <c r="G1910" s="7">
        <v>151206.81775700941</v>
      </c>
      <c r="H1910" s="7">
        <v>32358259</v>
      </c>
      <c r="I1910" s="7">
        <v>2848923</v>
      </c>
      <c r="J1910" s="7">
        <v>0</v>
      </c>
      <c r="K1910">
        <f t="shared" si="29"/>
        <v>184</v>
      </c>
      <c r="L1910" s="8" t="str" cm="1">
        <f t="array" ref="L1910">_xlfn.IFS(
 AND(K1910&gt;=89,K1910&lt;=92),"3개월",
 AND(K1910&gt;=58,K1910&lt;=62),"2개월",
 AND(K1910&gt;=28,K1910&lt;=32),"1개월",
 AND(K1910=0),"당월",
 TRUE,"그외"
)</f>
        <v>그외</v>
      </c>
    </row>
    <row r="1911" spans="1:12" x14ac:dyDescent="0.3">
      <c r="A1911" s="5">
        <v>46023</v>
      </c>
      <c r="B1911" s="6" t="s">
        <v>20</v>
      </c>
      <c r="C1911" s="6" t="s">
        <v>32</v>
      </c>
      <c r="D1911" s="5">
        <v>45870</v>
      </c>
      <c r="E1911" s="6" t="s">
        <v>14</v>
      </c>
      <c r="F1911" s="7">
        <v>2</v>
      </c>
      <c r="G1911" s="7">
        <v>225761</v>
      </c>
      <c r="H1911" s="7">
        <v>451522</v>
      </c>
      <c r="I1911" s="7">
        <v>43638</v>
      </c>
      <c r="J1911" s="7">
        <v>0</v>
      </c>
      <c r="K1911">
        <f t="shared" si="29"/>
        <v>153</v>
      </c>
      <c r="L1911" s="8" t="str" cm="1">
        <f t="array" ref="L1911">_xlfn.IFS(
 AND(K1911&gt;=89,K1911&lt;=92),"3개월",
 AND(K1911&gt;=58,K1911&lt;=62),"2개월",
 AND(K1911&gt;=28,K1911&lt;=32),"1개월",
 AND(K1911=0),"당월",
 TRUE,"그외"
)</f>
        <v>그외</v>
      </c>
    </row>
    <row r="1912" spans="1:12" x14ac:dyDescent="0.3">
      <c r="A1912" s="5">
        <v>46023</v>
      </c>
      <c r="B1912" s="6" t="s">
        <v>20</v>
      </c>
      <c r="C1912" s="6" t="s">
        <v>32</v>
      </c>
      <c r="D1912" s="5">
        <v>45870</v>
      </c>
      <c r="E1912" s="6" t="s">
        <v>15</v>
      </c>
      <c r="F1912" s="7">
        <v>939</v>
      </c>
      <c r="G1912" s="7">
        <v>154790.94462193819</v>
      </c>
      <c r="H1912" s="7">
        <v>145348697</v>
      </c>
      <c r="I1912" s="7">
        <v>17306882</v>
      </c>
      <c r="J1912" s="7">
        <v>0</v>
      </c>
      <c r="K1912">
        <f t="shared" si="29"/>
        <v>153</v>
      </c>
      <c r="L1912" s="8" t="str" cm="1">
        <f t="array" ref="L1912">_xlfn.IFS(
 AND(K1912&gt;=89,K1912&lt;=92),"3개월",
 AND(K1912&gt;=58,K1912&lt;=62),"2개월",
 AND(K1912&gt;=28,K1912&lt;=32),"1개월",
 AND(K1912=0),"당월",
 TRUE,"그외"
)</f>
        <v>그외</v>
      </c>
    </row>
    <row r="1913" spans="1:12" x14ac:dyDescent="0.3">
      <c r="A1913" s="5">
        <v>46023</v>
      </c>
      <c r="B1913" s="6" t="s">
        <v>20</v>
      </c>
      <c r="C1913" s="6" t="s">
        <v>32</v>
      </c>
      <c r="D1913" s="5">
        <v>45901</v>
      </c>
      <c r="E1913" s="6" t="s">
        <v>14</v>
      </c>
      <c r="F1913" s="7">
        <v>39</v>
      </c>
      <c r="G1913" s="7">
        <v>181934.56410256409</v>
      </c>
      <c r="H1913" s="7">
        <v>7095448</v>
      </c>
      <c r="I1913" s="7">
        <v>844430</v>
      </c>
      <c r="J1913" s="7">
        <v>0</v>
      </c>
      <c r="K1913">
        <f t="shared" si="29"/>
        <v>122</v>
      </c>
      <c r="L1913" s="8" t="str" cm="1">
        <f t="array" ref="L1913">_xlfn.IFS(
 AND(K1913&gt;=89,K1913&lt;=92),"3개월",
 AND(K1913&gt;=58,K1913&lt;=62),"2개월",
 AND(K1913&gt;=28,K1913&lt;=32),"1개월",
 AND(K1913=0),"당월",
 TRUE,"그외"
)</f>
        <v>그외</v>
      </c>
    </row>
    <row r="1914" spans="1:12" x14ac:dyDescent="0.3">
      <c r="A1914" s="5">
        <v>46023</v>
      </c>
      <c r="B1914" s="6" t="s">
        <v>20</v>
      </c>
      <c r="C1914" s="6" t="s">
        <v>32</v>
      </c>
      <c r="D1914" s="5">
        <v>45901</v>
      </c>
      <c r="E1914" s="6" t="s">
        <v>15</v>
      </c>
      <c r="F1914" s="7">
        <v>2786</v>
      </c>
      <c r="G1914" s="7">
        <v>150498.8104809763</v>
      </c>
      <c r="H1914" s="7">
        <v>419289686</v>
      </c>
      <c r="I1914" s="7">
        <v>50902069</v>
      </c>
      <c r="J1914" s="7">
        <v>0</v>
      </c>
      <c r="K1914">
        <f t="shared" si="29"/>
        <v>122</v>
      </c>
      <c r="L1914" s="8" t="str" cm="1">
        <f t="array" ref="L1914">_xlfn.IFS(
 AND(K1914&gt;=89,K1914&lt;=92),"3개월",
 AND(K1914&gt;=58,K1914&lt;=62),"2개월",
 AND(K1914&gt;=28,K1914&lt;=32),"1개월",
 AND(K1914=0),"당월",
 TRUE,"그외"
)</f>
        <v>그외</v>
      </c>
    </row>
    <row r="1915" spans="1:12" x14ac:dyDescent="0.3">
      <c r="A1915" s="5">
        <v>46023</v>
      </c>
      <c r="B1915" s="6" t="s">
        <v>20</v>
      </c>
      <c r="C1915" s="6" t="s">
        <v>32</v>
      </c>
      <c r="D1915" s="5">
        <v>45931</v>
      </c>
      <c r="E1915" s="6" t="s">
        <v>14</v>
      </c>
      <c r="F1915" s="7">
        <v>154</v>
      </c>
      <c r="G1915" s="7">
        <v>188478.9675324675</v>
      </c>
      <c r="H1915" s="7">
        <v>29025761</v>
      </c>
      <c r="I1915" s="7">
        <v>4502246</v>
      </c>
      <c r="J1915" s="7">
        <v>0</v>
      </c>
      <c r="K1915">
        <f t="shared" si="29"/>
        <v>92</v>
      </c>
      <c r="L1915" s="8" t="str" cm="1">
        <f t="array" ref="L1915">_xlfn.IFS(
 AND(K1915&gt;=89,K1915&lt;=92),"3개월",
 AND(K1915&gt;=58,K1915&lt;=62),"2개월",
 AND(K1915&gt;=28,K1915&lt;=32),"1개월",
 AND(K1915=0),"당월",
 TRUE,"그외"
)</f>
        <v>3개월</v>
      </c>
    </row>
    <row r="1916" spans="1:12" x14ac:dyDescent="0.3">
      <c r="A1916" s="5">
        <v>46023</v>
      </c>
      <c r="B1916" s="6" t="s">
        <v>20</v>
      </c>
      <c r="C1916" s="6" t="s">
        <v>32</v>
      </c>
      <c r="D1916" s="5">
        <v>45931</v>
      </c>
      <c r="E1916" s="6" t="s">
        <v>15</v>
      </c>
      <c r="F1916" s="7">
        <v>7414</v>
      </c>
      <c r="G1916" s="7">
        <v>171031.63353115731</v>
      </c>
      <c r="H1916" s="7">
        <v>1268028531</v>
      </c>
      <c r="I1916" s="7">
        <v>147994154</v>
      </c>
      <c r="J1916" s="7">
        <v>0</v>
      </c>
      <c r="K1916">
        <f t="shared" si="29"/>
        <v>92</v>
      </c>
      <c r="L1916" s="8" t="str" cm="1">
        <f t="array" ref="L1916">_xlfn.IFS(
 AND(K1916&gt;=89,K1916&lt;=92),"3개월",
 AND(K1916&gt;=58,K1916&lt;=62),"2개월",
 AND(K1916&gt;=28,K1916&lt;=32),"1개월",
 AND(K1916=0),"당월",
 TRUE,"그외"
)</f>
        <v>3개월</v>
      </c>
    </row>
    <row r="1917" spans="1:12" x14ac:dyDescent="0.3">
      <c r="A1917" s="5">
        <v>46023</v>
      </c>
      <c r="B1917" s="6" t="s">
        <v>20</v>
      </c>
      <c r="C1917" s="6" t="s">
        <v>32</v>
      </c>
      <c r="D1917" s="5">
        <v>45962</v>
      </c>
      <c r="E1917" s="6" t="s">
        <v>14</v>
      </c>
      <c r="F1917" s="7">
        <v>353</v>
      </c>
      <c r="G1917" s="7">
        <v>142860.64022662889</v>
      </c>
      <c r="H1917" s="7">
        <v>50429806</v>
      </c>
      <c r="I1917" s="7">
        <v>8393214</v>
      </c>
      <c r="J1917" s="7">
        <v>0</v>
      </c>
      <c r="K1917">
        <f t="shared" si="29"/>
        <v>61</v>
      </c>
      <c r="L1917" s="8" t="str" cm="1">
        <f t="array" ref="L1917">_xlfn.IFS(
 AND(K1917&gt;=89,K1917&lt;=92),"3개월",
 AND(K1917&gt;=58,K1917&lt;=62),"2개월",
 AND(K1917&gt;=28,K1917&lt;=32),"1개월",
 AND(K1917=0),"당월",
 TRUE,"그외"
)</f>
        <v>2개월</v>
      </c>
    </row>
    <row r="1918" spans="1:12" x14ac:dyDescent="0.3">
      <c r="A1918" s="5">
        <v>46023</v>
      </c>
      <c r="B1918" s="6" t="s">
        <v>20</v>
      </c>
      <c r="C1918" s="6" t="s">
        <v>32</v>
      </c>
      <c r="D1918" s="5">
        <v>45962</v>
      </c>
      <c r="E1918" s="6" t="s">
        <v>15</v>
      </c>
      <c r="F1918" s="7">
        <v>6722</v>
      </c>
      <c r="G1918" s="7">
        <v>187795.33725081821</v>
      </c>
      <c r="H1918" s="7">
        <v>1262360257</v>
      </c>
      <c r="I1918" s="7">
        <v>139741530</v>
      </c>
      <c r="J1918" s="7">
        <v>0</v>
      </c>
      <c r="K1918">
        <f t="shared" si="29"/>
        <v>61</v>
      </c>
      <c r="L1918" s="8" t="str" cm="1">
        <f t="array" ref="L1918">_xlfn.IFS(
 AND(K1918&gt;=89,K1918&lt;=92),"3개월",
 AND(K1918&gt;=58,K1918&lt;=62),"2개월",
 AND(K1918&gt;=28,K1918&lt;=32),"1개월",
 AND(K1918=0),"당월",
 TRUE,"그외"
)</f>
        <v>2개월</v>
      </c>
    </row>
    <row r="1919" spans="1:12" x14ac:dyDescent="0.3">
      <c r="A1919" s="5">
        <v>46023</v>
      </c>
      <c r="B1919" s="6" t="s">
        <v>20</v>
      </c>
      <c r="C1919" s="6" t="s">
        <v>32</v>
      </c>
      <c r="D1919" s="5">
        <v>45992</v>
      </c>
      <c r="E1919" s="6" t="s">
        <v>14</v>
      </c>
      <c r="F1919" s="7">
        <v>2373</v>
      </c>
      <c r="G1919" s="7">
        <v>197129.35946059841</v>
      </c>
      <c r="H1919" s="7">
        <v>467787970</v>
      </c>
      <c r="I1919" s="7">
        <v>36978951</v>
      </c>
      <c r="J1919" s="7">
        <v>0</v>
      </c>
      <c r="K1919">
        <f t="shared" si="29"/>
        <v>31</v>
      </c>
      <c r="L1919" s="8" t="str" cm="1">
        <f t="array" ref="L1919">_xlfn.IFS(
 AND(K1919&gt;=89,K1919&lt;=92),"3개월",
 AND(K1919&gt;=58,K1919&lt;=62),"2개월",
 AND(K1919&gt;=28,K1919&lt;=32),"1개월",
 AND(K1919=0),"당월",
 TRUE,"그외"
)</f>
        <v>1개월</v>
      </c>
    </row>
    <row r="1920" spans="1:12" x14ac:dyDescent="0.3">
      <c r="A1920" s="5">
        <v>46023</v>
      </c>
      <c r="B1920" s="6" t="s">
        <v>20</v>
      </c>
      <c r="C1920" s="6" t="s">
        <v>32</v>
      </c>
      <c r="D1920" s="5">
        <v>45992</v>
      </c>
      <c r="E1920" s="6" t="s">
        <v>15</v>
      </c>
      <c r="F1920" s="7">
        <v>14977</v>
      </c>
      <c r="G1920" s="7">
        <v>181198.40488749419</v>
      </c>
      <c r="H1920" s="7">
        <v>2713808510</v>
      </c>
      <c r="I1920" s="7">
        <v>342999707</v>
      </c>
      <c r="J1920" s="7">
        <v>0</v>
      </c>
      <c r="K1920">
        <f t="shared" si="29"/>
        <v>31</v>
      </c>
      <c r="L1920" s="8" t="str" cm="1">
        <f t="array" ref="L1920">_xlfn.IFS(
 AND(K1920&gt;=89,K1920&lt;=92),"3개월",
 AND(K1920&gt;=58,K1920&lt;=62),"2개월",
 AND(K1920&gt;=28,K1920&lt;=32),"1개월",
 AND(K1920=0),"당월",
 TRUE,"그외"
)</f>
        <v>1개월</v>
      </c>
    </row>
    <row r="1921" spans="1:12" x14ac:dyDescent="0.3">
      <c r="A1921" s="5">
        <v>46023</v>
      </c>
      <c r="B1921" s="6" t="s">
        <v>20</v>
      </c>
      <c r="C1921" s="6" t="s">
        <v>32</v>
      </c>
      <c r="D1921" s="5">
        <v>46023</v>
      </c>
      <c r="E1921" s="6" t="s">
        <v>14</v>
      </c>
      <c r="F1921" s="7">
        <v>4937</v>
      </c>
      <c r="G1921" s="7">
        <v>109061.0710958072</v>
      </c>
      <c r="H1921" s="7">
        <v>538434508</v>
      </c>
      <c r="I1921" s="7">
        <v>44019304</v>
      </c>
      <c r="J1921" s="7">
        <v>0</v>
      </c>
      <c r="K1921">
        <f t="shared" si="29"/>
        <v>0</v>
      </c>
      <c r="L1921" s="8" t="str" cm="1">
        <f t="array" ref="L1921">_xlfn.IFS(
 AND(K1921&gt;=89,K1921&lt;=92),"3개월",
 AND(K1921&gt;=58,K1921&lt;=62),"2개월",
 AND(K1921&gt;=28,K1921&lt;=32),"1개월",
 AND(K1921=0),"당월",
 TRUE,"그외"
)</f>
        <v>당월</v>
      </c>
    </row>
    <row r="1922" spans="1:12" x14ac:dyDescent="0.3">
      <c r="A1922" s="5">
        <v>46023</v>
      </c>
      <c r="B1922" s="6" t="s">
        <v>20</v>
      </c>
      <c r="C1922" s="6" t="s">
        <v>32</v>
      </c>
      <c r="D1922" s="5">
        <v>46023</v>
      </c>
      <c r="E1922" s="6" t="s">
        <v>15</v>
      </c>
      <c r="F1922" s="7">
        <v>12221</v>
      </c>
      <c r="G1922" s="7">
        <v>194453.42525161611</v>
      </c>
      <c r="H1922" s="7">
        <v>2376415310</v>
      </c>
      <c r="I1922" s="7">
        <v>280493919</v>
      </c>
      <c r="J1922" s="7">
        <v>0</v>
      </c>
      <c r="K1922">
        <f t="shared" si="29"/>
        <v>0</v>
      </c>
      <c r="L1922" s="8" t="str" cm="1">
        <f t="array" ref="L1922">_xlfn.IFS(
 AND(K1922&gt;=89,K1922&lt;=92),"3개월",
 AND(K1922&gt;=58,K1922&lt;=62),"2개월",
 AND(K1922&gt;=28,K1922&lt;=32),"1개월",
 AND(K1922=0),"당월",
 TRUE,"그외"
)</f>
        <v>당월</v>
      </c>
    </row>
    <row r="1923" spans="1:12" x14ac:dyDescent="0.3">
      <c r="A1923" s="5">
        <v>46023</v>
      </c>
      <c r="B1923" s="6" t="s">
        <v>20</v>
      </c>
      <c r="C1923" s="6" t="s">
        <v>33</v>
      </c>
      <c r="D1923" s="5">
        <v>45839</v>
      </c>
      <c r="E1923" s="6" t="s">
        <v>15</v>
      </c>
      <c r="F1923" s="7">
        <v>304</v>
      </c>
      <c r="G1923" s="7">
        <v>157820.1085526316</v>
      </c>
      <c r="H1923" s="7">
        <v>47977313</v>
      </c>
      <c r="I1923" s="7">
        <v>3875608</v>
      </c>
      <c r="J1923" s="7">
        <v>0</v>
      </c>
      <c r="K1923">
        <f t="shared" si="29"/>
        <v>184</v>
      </c>
      <c r="L1923" s="8" t="str" cm="1">
        <f t="array" ref="L1923">_xlfn.IFS(
 AND(K1923&gt;=89,K1923&lt;=92),"3개월",
 AND(K1923&gt;=58,K1923&lt;=62),"2개월",
 AND(K1923&gt;=28,K1923&lt;=32),"1개월",
 AND(K1923=0),"당월",
 TRUE,"그외"
)</f>
        <v>그외</v>
      </c>
    </row>
    <row r="1924" spans="1:12" x14ac:dyDescent="0.3">
      <c r="A1924" s="5">
        <v>46023</v>
      </c>
      <c r="B1924" s="6" t="s">
        <v>20</v>
      </c>
      <c r="C1924" s="6" t="s">
        <v>33</v>
      </c>
      <c r="D1924" s="5">
        <v>45870</v>
      </c>
      <c r="E1924" s="6" t="s">
        <v>15</v>
      </c>
      <c r="F1924" s="7">
        <v>579</v>
      </c>
      <c r="G1924" s="7">
        <v>160990.61139896369</v>
      </c>
      <c r="H1924" s="7">
        <v>93213564</v>
      </c>
      <c r="I1924" s="7">
        <v>10151353</v>
      </c>
      <c r="J1924" s="7">
        <v>0</v>
      </c>
      <c r="K1924">
        <f t="shared" si="29"/>
        <v>153</v>
      </c>
      <c r="L1924" s="8" t="str" cm="1">
        <f t="array" ref="L1924">_xlfn.IFS(
 AND(K1924&gt;=89,K1924&lt;=92),"3개월",
 AND(K1924&gt;=58,K1924&lt;=62),"2개월",
 AND(K1924&gt;=28,K1924&lt;=32),"1개월",
 AND(K1924=0),"당월",
 TRUE,"그외"
)</f>
        <v>그외</v>
      </c>
    </row>
    <row r="1925" spans="1:12" x14ac:dyDescent="0.3">
      <c r="A1925" s="5">
        <v>46023</v>
      </c>
      <c r="B1925" s="6" t="s">
        <v>20</v>
      </c>
      <c r="C1925" s="6" t="s">
        <v>33</v>
      </c>
      <c r="D1925" s="5">
        <v>45901</v>
      </c>
      <c r="E1925" s="6" t="s">
        <v>15</v>
      </c>
      <c r="F1925" s="7">
        <v>818</v>
      </c>
      <c r="G1925" s="7">
        <v>169561.3215158924</v>
      </c>
      <c r="H1925" s="7">
        <v>138701161</v>
      </c>
      <c r="I1925" s="7">
        <v>14439481</v>
      </c>
      <c r="J1925" s="7">
        <v>0</v>
      </c>
      <c r="K1925">
        <f t="shared" si="29"/>
        <v>122</v>
      </c>
      <c r="L1925" s="8" t="str" cm="1">
        <f t="array" ref="L1925">_xlfn.IFS(
 AND(K1925&gt;=89,K1925&lt;=92),"3개월",
 AND(K1925&gt;=58,K1925&lt;=62),"2개월",
 AND(K1925&gt;=28,K1925&lt;=32),"1개월",
 AND(K1925=0),"당월",
 TRUE,"그외"
)</f>
        <v>그외</v>
      </c>
    </row>
    <row r="1926" spans="1:12" x14ac:dyDescent="0.3">
      <c r="A1926" s="5">
        <v>46023</v>
      </c>
      <c r="B1926" s="6" t="s">
        <v>20</v>
      </c>
      <c r="C1926" s="6" t="s">
        <v>33</v>
      </c>
      <c r="D1926" s="5">
        <v>45931</v>
      </c>
      <c r="E1926" s="6" t="s">
        <v>15</v>
      </c>
      <c r="F1926" s="7">
        <v>2060</v>
      </c>
      <c r="G1926" s="7">
        <v>194879.72427184469</v>
      </c>
      <c r="H1926" s="7">
        <v>401452232</v>
      </c>
      <c r="I1926" s="7">
        <v>37901058</v>
      </c>
      <c r="J1926" s="7">
        <v>0</v>
      </c>
      <c r="K1926">
        <f t="shared" si="29"/>
        <v>92</v>
      </c>
      <c r="L1926" s="8" t="str" cm="1">
        <f t="array" ref="L1926">_xlfn.IFS(
 AND(K1926&gt;=89,K1926&lt;=92),"3개월",
 AND(K1926&gt;=58,K1926&lt;=62),"2개월",
 AND(K1926&gt;=28,K1926&lt;=32),"1개월",
 AND(K1926=0),"당월",
 TRUE,"그외"
)</f>
        <v>3개월</v>
      </c>
    </row>
    <row r="1927" spans="1:12" x14ac:dyDescent="0.3">
      <c r="A1927" s="5">
        <v>46023</v>
      </c>
      <c r="B1927" s="6" t="s">
        <v>20</v>
      </c>
      <c r="C1927" s="6" t="s">
        <v>33</v>
      </c>
      <c r="D1927" s="5">
        <v>45962</v>
      </c>
      <c r="E1927" s="6" t="s">
        <v>14</v>
      </c>
      <c r="F1927" s="7">
        <v>200</v>
      </c>
      <c r="G1927" s="7">
        <v>204733.66</v>
      </c>
      <c r="H1927" s="7">
        <v>40946732</v>
      </c>
      <c r="I1927" s="7">
        <v>4094388</v>
      </c>
      <c r="J1927" s="7">
        <v>0</v>
      </c>
      <c r="K1927">
        <f t="shared" si="29"/>
        <v>61</v>
      </c>
      <c r="L1927" s="8" t="str" cm="1">
        <f t="array" ref="L1927">_xlfn.IFS(
 AND(K1927&gt;=89,K1927&lt;=92),"3개월",
 AND(K1927&gt;=58,K1927&lt;=62),"2개월",
 AND(K1927&gt;=28,K1927&lt;=32),"1개월",
 AND(K1927=0),"당월",
 TRUE,"그외"
)</f>
        <v>2개월</v>
      </c>
    </row>
    <row r="1928" spans="1:12" x14ac:dyDescent="0.3">
      <c r="A1928" s="5">
        <v>46023</v>
      </c>
      <c r="B1928" s="6" t="s">
        <v>20</v>
      </c>
      <c r="C1928" s="6" t="s">
        <v>33</v>
      </c>
      <c r="D1928" s="5">
        <v>45962</v>
      </c>
      <c r="E1928" s="6" t="s">
        <v>15</v>
      </c>
      <c r="F1928" s="7">
        <v>3269</v>
      </c>
      <c r="G1928" s="7">
        <v>222973.99877638419</v>
      </c>
      <c r="H1928" s="7">
        <v>728902002</v>
      </c>
      <c r="I1928" s="7">
        <v>60927336</v>
      </c>
      <c r="J1928" s="7">
        <v>0</v>
      </c>
      <c r="K1928">
        <f t="shared" si="29"/>
        <v>61</v>
      </c>
      <c r="L1928" s="8" t="str" cm="1">
        <f t="array" ref="L1928">_xlfn.IFS(
 AND(K1928&gt;=89,K1928&lt;=92),"3개월",
 AND(K1928&gt;=58,K1928&lt;=62),"2개월",
 AND(K1928&gt;=28,K1928&lt;=32),"1개월",
 AND(K1928=0),"당월",
 TRUE,"그외"
)</f>
        <v>2개월</v>
      </c>
    </row>
    <row r="1929" spans="1:12" x14ac:dyDescent="0.3">
      <c r="A1929" s="5">
        <v>46023</v>
      </c>
      <c r="B1929" s="6" t="s">
        <v>20</v>
      </c>
      <c r="C1929" s="6" t="s">
        <v>33</v>
      </c>
      <c r="D1929" s="5">
        <v>45992</v>
      </c>
      <c r="E1929" s="6" t="s">
        <v>14</v>
      </c>
      <c r="F1929" s="7">
        <v>468</v>
      </c>
      <c r="G1929" s="7">
        <v>218311.97008547009</v>
      </c>
      <c r="H1929" s="7">
        <v>102170002</v>
      </c>
      <c r="I1929" s="7">
        <v>10908769</v>
      </c>
      <c r="J1929" s="7">
        <v>0</v>
      </c>
      <c r="K1929">
        <f t="shared" si="29"/>
        <v>31</v>
      </c>
      <c r="L1929" s="8" t="str" cm="1">
        <f t="array" ref="L1929">_xlfn.IFS(
 AND(K1929&gt;=89,K1929&lt;=92),"3개월",
 AND(K1929&gt;=58,K1929&lt;=62),"2개월",
 AND(K1929&gt;=28,K1929&lt;=32),"1개월",
 AND(K1929=0),"당월",
 TRUE,"그외"
)</f>
        <v>1개월</v>
      </c>
    </row>
    <row r="1930" spans="1:12" x14ac:dyDescent="0.3">
      <c r="A1930" s="5">
        <v>46023</v>
      </c>
      <c r="B1930" s="6" t="s">
        <v>20</v>
      </c>
      <c r="C1930" s="6" t="s">
        <v>33</v>
      </c>
      <c r="D1930" s="5">
        <v>45992</v>
      </c>
      <c r="E1930" s="6" t="s">
        <v>15</v>
      </c>
      <c r="F1930" s="7">
        <v>5070</v>
      </c>
      <c r="G1930" s="7">
        <v>221550.16646942799</v>
      </c>
      <c r="H1930" s="7">
        <v>1123259344</v>
      </c>
      <c r="I1930" s="7">
        <v>110092745</v>
      </c>
      <c r="J1930" s="7">
        <v>0</v>
      </c>
      <c r="K1930">
        <f t="shared" ref="K1930:K1993" si="30">A1930-D1930</f>
        <v>31</v>
      </c>
      <c r="L1930" s="8" t="str" cm="1">
        <f t="array" ref="L1930">_xlfn.IFS(
 AND(K1930&gt;=89,K1930&lt;=92),"3개월",
 AND(K1930&gt;=58,K1930&lt;=62),"2개월",
 AND(K1930&gt;=28,K1930&lt;=32),"1개월",
 AND(K1930=0),"당월",
 TRUE,"그외"
)</f>
        <v>1개월</v>
      </c>
    </row>
    <row r="1931" spans="1:12" x14ac:dyDescent="0.3">
      <c r="A1931" s="5">
        <v>46023</v>
      </c>
      <c r="B1931" s="6" t="s">
        <v>20</v>
      </c>
      <c r="C1931" s="6" t="s">
        <v>33</v>
      </c>
      <c r="D1931" s="5">
        <v>46023</v>
      </c>
      <c r="E1931" s="6" t="s">
        <v>14</v>
      </c>
      <c r="F1931" s="7">
        <v>786</v>
      </c>
      <c r="G1931" s="7">
        <v>219156.00890585239</v>
      </c>
      <c r="H1931" s="7">
        <v>172256623</v>
      </c>
      <c r="I1931" s="7">
        <v>16908874</v>
      </c>
      <c r="J1931" s="7">
        <v>0</v>
      </c>
      <c r="K1931">
        <f t="shared" si="30"/>
        <v>0</v>
      </c>
      <c r="L1931" s="8" t="str" cm="1">
        <f t="array" ref="L1931">_xlfn.IFS(
 AND(K1931&gt;=89,K1931&lt;=92),"3개월",
 AND(K1931&gt;=58,K1931&lt;=62),"2개월",
 AND(K1931&gt;=28,K1931&lt;=32),"1개월",
 AND(K1931=0),"당월",
 TRUE,"그외"
)</f>
        <v>당월</v>
      </c>
    </row>
    <row r="1932" spans="1:12" x14ac:dyDescent="0.3">
      <c r="A1932" s="5">
        <v>46023</v>
      </c>
      <c r="B1932" s="6" t="s">
        <v>20</v>
      </c>
      <c r="C1932" s="6" t="s">
        <v>33</v>
      </c>
      <c r="D1932" s="5">
        <v>46023</v>
      </c>
      <c r="E1932" s="6" t="s">
        <v>15</v>
      </c>
      <c r="F1932" s="7">
        <v>3392</v>
      </c>
      <c r="G1932" s="7">
        <v>219736.57104952831</v>
      </c>
      <c r="H1932" s="7">
        <v>745346449</v>
      </c>
      <c r="I1932" s="7">
        <v>75453340</v>
      </c>
      <c r="J1932" s="7">
        <v>0</v>
      </c>
      <c r="K1932">
        <f t="shared" si="30"/>
        <v>0</v>
      </c>
      <c r="L1932" s="8" t="str" cm="1">
        <f t="array" ref="L1932">_xlfn.IFS(
 AND(K1932&gt;=89,K1932&lt;=92),"3개월",
 AND(K1932&gt;=58,K1932&lt;=62),"2개월",
 AND(K1932&gt;=28,K1932&lt;=32),"1개월",
 AND(K1932=0),"당월",
 TRUE,"그외"
)</f>
        <v>당월</v>
      </c>
    </row>
    <row r="1933" spans="1:12" x14ac:dyDescent="0.3">
      <c r="A1933" s="5">
        <v>46023</v>
      </c>
      <c r="B1933" s="6" t="s">
        <v>20</v>
      </c>
      <c r="C1933" s="6" t="s">
        <v>35</v>
      </c>
      <c r="D1933" s="5">
        <v>45839</v>
      </c>
      <c r="E1933" s="6" t="s">
        <v>15</v>
      </c>
      <c r="F1933" s="7">
        <v>102</v>
      </c>
      <c r="G1933" s="7">
        <v>255618.06862745099</v>
      </c>
      <c r="H1933" s="7">
        <v>26073043</v>
      </c>
      <c r="I1933" s="7">
        <v>1790680</v>
      </c>
      <c r="J1933" s="7">
        <v>0</v>
      </c>
      <c r="K1933">
        <f t="shared" si="30"/>
        <v>184</v>
      </c>
      <c r="L1933" s="8" t="str" cm="1">
        <f t="array" ref="L1933">_xlfn.IFS(
 AND(K1933&gt;=89,K1933&lt;=92),"3개월",
 AND(K1933&gt;=58,K1933&lt;=62),"2개월",
 AND(K1933&gt;=28,K1933&lt;=32),"1개월",
 AND(K1933=0),"당월",
 TRUE,"그외"
)</f>
        <v>그외</v>
      </c>
    </row>
    <row r="1934" spans="1:12" x14ac:dyDescent="0.3">
      <c r="A1934" s="5">
        <v>46023</v>
      </c>
      <c r="B1934" s="6" t="s">
        <v>20</v>
      </c>
      <c r="C1934" s="6" t="s">
        <v>35</v>
      </c>
      <c r="D1934" s="5">
        <v>45870</v>
      </c>
      <c r="E1934" s="6" t="s">
        <v>14</v>
      </c>
      <c r="F1934" s="7">
        <v>26</v>
      </c>
      <c r="G1934" s="7">
        <v>140403.57692307691</v>
      </c>
      <c r="H1934" s="7">
        <v>3650493</v>
      </c>
      <c r="I1934" s="7">
        <v>564426</v>
      </c>
      <c r="J1934" s="7">
        <v>0</v>
      </c>
      <c r="K1934">
        <f t="shared" si="30"/>
        <v>153</v>
      </c>
      <c r="L1934" s="8" t="str" cm="1">
        <f t="array" ref="L1934">_xlfn.IFS(
 AND(K1934&gt;=89,K1934&lt;=92),"3개월",
 AND(K1934&gt;=58,K1934&lt;=62),"2개월",
 AND(K1934&gt;=28,K1934&lt;=32),"1개월",
 AND(K1934=0),"당월",
 TRUE,"그외"
)</f>
        <v>그외</v>
      </c>
    </row>
    <row r="1935" spans="1:12" x14ac:dyDescent="0.3">
      <c r="A1935" s="5">
        <v>46023</v>
      </c>
      <c r="B1935" s="6" t="s">
        <v>20</v>
      </c>
      <c r="C1935" s="6" t="s">
        <v>35</v>
      </c>
      <c r="D1935" s="5">
        <v>45870</v>
      </c>
      <c r="E1935" s="6" t="s">
        <v>15</v>
      </c>
      <c r="F1935" s="7">
        <v>176</v>
      </c>
      <c r="G1935" s="7">
        <v>256990.75</v>
      </c>
      <c r="H1935" s="7">
        <v>45230372</v>
      </c>
      <c r="I1935" s="7">
        <v>3201801</v>
      </c>
      <c r="J1935" s="7">
        <v>0</v>
      </c>
      <c r="K1935">
        <f t="shared" si="30"/>
        <v>153</v>
      </c>
      <c r="L1935" s="8" t="str" cm="1">
        <f t="array" ref="L1935">_xlfn.IFS(
 AND(K1935&gt;=89,K1935&lt;=92),"3개월",
 AND(K1935&gt;=58,K1935&lt;=62),"2개월",
 AND(K1935&gt;=28,K1935&lt;=32),"1개월",
 AND(K1935=0),"당월",
 TRUE,"그외"
)</f>
        <v>그외</v>
      </c>
    </row>
    <row r="1936" spans="1:12" x14ac:dyDescent="0.3">
      <c r="A1936" s="5">
        <v>46023</v>
      </c>
      <c r="B1936" s="6" t="s">
        <v>20</v>
      </c>
      <c r="C1936" s="6" t="s">
        <v>35</v>
      </c>
      <c r="D1936" s="5">
        <v>45901</v>
      </c>
      <c r="E1936" s="6" t="s">
        <v>14</v>
      </c>
      <c r="F1936" s="7">
        <v>37</v>
      </c>
      <c r="G1936" s="7">
        <v>142286.97297297299</v>
      </c>
      <c r="H1936" s="7">
        <v>5264618</v>
      </c>
      <c r="I1936" s="7">
        <v>801380</v>
      </c>
      <c r="J1936" s="7">
        <v>0</v>
      </c>
      <c r="K1936">
        <f t="shared" si="30"/>
        <v>122</v>
      </c>
      <c r="L1936" s="8" t="str" cm="1">
        <f t="array" ref="L1936">_xlfn.IFS(
 AND(K1936&gt;=89,K1936&lt;=92),"3개월",
 AND(K1936&gt;=58,K1936&lt;=62),"2개월",
 AND(K1936&gt;=28,K1936&lt;=32),"1개월",
 AND(K1936=0),"당월",
 TRUE,"그외"
)</f>
        <v>그외</v>
      </c>
    </row>
    <row r="1937" spans="1:12" x14ac:dyDescent="0.3">
      <c r="A1937" s="5">
        <v>46023</v>
      </c>
      <c r="B1937" s="6" t="s">
        <v>20</v>
      </c>
      <c r="C1937" s="6" t="s">
        <v>35</v>
      </c>
      <c r="D1937" s="5">
        <v>45901</v>
      </c>
      <c r="E1937" s="6" t="s">
        <v>15</v>
      </c>
      <c r="F1937" s="7">
        <v>765</v>
      </c>
      <c r="G1937" s="7">
        <v>259202.49411764709</v>
      </c>
      <c r="H1937" s="7">
        <v>198289908</v>
      </c>
      <c r="I1937" s="7">
        <v>13546126</v>
      </c>
      <c r="J1937" s="7">
        <v>0</v>
      </c>
      <c r="K1937">
        <f t="shared" si="30"/>
        <v>122</v>
      </c>
      <c r="L1937" s="8" t="str" cm="1">
        <f t="array" ref="L1937">_xlfn.IFS(
 AND(K1937&gt;=89,K1937&lt;=92),"3개월",
 AND(K1937&gt;=58,K1937&lt;=62),"2개월",
 AND(K1937&gt;=28,K1937&lt;=32),"1개월",
 AND(K1937=0),"당월",
 TRUE,"그외"
)</f>
        <v>그외</v>
      </c>
    </row>
    <row r="1938" spans="1:12" x14ac:dyDescent="0.3">
      <c r="A1938" s="5">
        <v>46023</v>
      </c>
      <c r="B1938" s="6" t="s">
        <v>20</v>
      </c>
      <c r="C1938" s="6" t="s">
        <v>35</v>
      </c>
      <c r="D1938" s="5">
        <v>45931</v>
      </c>
      <c r="E1938" s="6" t="s">
        <v>14</v>
      </c>
      <c r="F1938" s="7">
        <v>89</v>
      </c>
      <c r="G1938" s="7">
        <v>189207.57303370789</v>
      </c>
      <c r="H1938" s="7">
        <v>16839474</v>
      </c>
      <c r="I1938" s="7">
        <v>1885870</v>
      </c>
      <c r="J1938" s="7">
        <v>0</v>
      </c>
      <c r="K1938">
        <f t="shared" si="30"/>
        <v>92</v>
      </c>
      <c r="L1938" s="8" t="str" cm="1">
        <f t="array" ref="L1938">_xlfn.IFS(
 AND(K1938&gt;=89,K1938&lt;=92),"3개월",
 AND(K1938&gt;=58,K1938&lt;=62),"2개월",
 AND(K1938&gt;=28,K1938&lt;=32),"1개월",
 AND(K1938=0),"당월",
 TRUE,"그외"
)</f>
        <v>3개월</v>
      </c>
    </row>
    <row r="1939" spans="1:12" x14ac:dyDescent="0.3">
      <c r="A1939" s="5">
        <v>46023</v>
      </c>
      <c r="B1939" s="6" t="s">
        <v>20</v>
      </c>
      <c r="C1939" s="6" t="s">
        <v>35</v>
      </c>
      <c r="D1939" s="5">
        <v>45931</v>
      </c>
      <c r="E1939" s="6" t="s">
        <v>15</v>
      </c>
      <c r="F1939" s="7">
        <v>2375</v>
      </c>
      <c r="G1939" s="7">
        <v>276844.07747368421</v>
      </c>
      <c r="H1939" s="7">
        <v>657504684</v>
      </c>
      <c r="I1939" s="7">
        <v>44631190</v>
      </c>
      <c r="J1939" s="7">
        <v>0</v>
      </c>
      <c r="K1939">
        <f t="shared" si="30"/>
        <v>92</v>
      </c>
      <c r="L1939" s="8" t="str" cm="1">
        <f t="array" ref="L1939">_xlfn.IFS(
 AND(K1939&gt;=89,K1939&lt;=92),"3개월",
 AND(K1939&gt;=58,K1939&lt;=62),"2개월",
 AND(K1939&gt;=28,K1939&lt;=32),"1개월",
 AND(K1939=0),"당월",
 TRUE,"그외"
)</f>
        <v>3개월</v>
      </c>
    </row>
    <row r="1940" spans="1:12" x14ac:dyDescent="0.3">
      <c r="A1940" s="5">
        <v>46023</v>
      </c>
      <c r="B1940" s="6" t="s">
        <v>20</v>
      </c>
      <c r="C1940" s="6" t="s">
        <v>35</v>
      </c>
      <c r="D1940" s="5">
        <v>45962</v>
      </c>
      <c r="E1940" s="6" t="s">
        <v>14</v>
      </c>
      <c r="F1940" s="7">
        <v>1135</v>
      </c>
      <c r="G1940" s="7">
        <v>235264.6757709251</v>
      </c>
      <c r="H1940" s="7">
        <v>267025407</v>
      </c>
      <c r="I1940" s="7">
        <v>19845937</v>
      </c>
      <c r="J1940" s="7">
        <v>0</v>
      </c>
      <c r="K1940">
        <f t="shared" si="30"/>
        <v>61</v>
      </c>
      <c r="L1940" s="8" t="str" cm="1">
        <f t="array" ref="L1940">_xlfn.IFS(
 AND(K1940&gt;=89,K1940&lt;=92),"3개월",
 AND(K1940&gt;=58,K1940&lt;=62),"2개월",
 AND(K1940&gt;=28,K1940&lt;=32),"1개월",
 AND(K1940=0),"당월",
 TRUE,"그외"
)</f>
        <v>2개월</v>
      </c>
    </row>
    <row r="1941" spans="1:12" x14ac:dyDescent="0.3">
      <c r="A1941" s="5">
        <v>46023</v>
      </c>
      <c r="B1941" s="6" t="s">
        <v>20</v>
      </c>
      <c r="C1941" s="6" t="s">
        <v>35</v>
      </c>
      <c r="D1941" s="5">
        <v>45962</v>
      </c>
      <c r="E1941" s="6" t="s">
        <v>15</v>
      </c>
      <c r="F1941" s="7">
        <v>2110</v>
      </c>
      <c r="G1941" s="7">
        <v>311324.17582938389</v>
      </c>
      <c r="H1941" s="7">
        <v>656894011</v>
      </c>
      <c r="I1941" s="7">
        <v>42263697</v>
      </c>
      <c r="J1941" s="7">
        <v>0</v>
      </c>
      <c r="K1941">
        <f t="shared" si="30"/>
        <v>61</v>
      </c>
      <c r="L1941" s="8" t="str" cm="1">
        <f t="array" ref="L1941">_xlfn.IFS(
 AND(K1941&gt;=89,K1941&lt;=92),"3개월",
 AND(K1941&gt;=58,K1941&lt;=62),"2개월",
 AND(K1941&gt;=28,K1941&lt;=32),"1개월",
 AND(K1941=0),"당월",
 TRUE,"그외"
)</f>
        <v>2개월</v>
      </c>
    </row>
    <row r="1942" spans="1:12" x14ac:dyDescent="0.3">
      <c r="A1942" s="5">
        <v>46023</v>
      </c>
      <c r="B1942" s="6" t="s">
        <v>20</v>
      </c>
      <c r="C1942" s="6" t="s">
        <v>35</v>
      </c>
      <c r="D1942" s="5">
        <v>45992</v>
      </c>
      <c r="E1942" s="6" t="s">
        <v>14</v>
      </c>
      <c r="F1942" s="7">
        <v>3787</v>
      </c>
      <c r="G1942" s="7">
        <v>254163.71719038821</v>
      </c>
      <c r="H1942" s="7">
        <v>962517997</v>
      </c>
      <c r="I1942" s="7">
        <v>77071712</v>
      </c>
      <c r="J1942" s="7">
        <v>0</v>
      </c>
      <c r="K1942">
        <f t="shared" si="30"/>
        <v>31</v>
      </c>
      <c r="L1942" s="8" t="str" cm="1">
        <f t="array" ref="L1942">_xlfn.IFS(
 AND(K1942&gt;=89,K1942&lt;=92),"3개월",
 AND(K1942&gt;=58,K1942&lt;=62),"2개월",
 AND(K1942&gt;=28,K1942&lt;=32),"1개월",
 AND(K1942=0),"당월",
 TRUE,"그외"
)</f>
        <v>1개월</v>
      </c>
    </row>
    <row r="1943" spans="1:12" x14ac:dyDescent="0.3">
      <c r="A1943" s="5">
        <v>46023</v>
      </c>
      <c r="B1943" s="6" t="s">
        <v>20</v>
      </c>
      <c r="C1943" s="6" t="s">
        <v>35</v>
      </c>
      <c r="D1943" s="5">
        <v>45992</v>
      </c>
      <c r="E1943" s="6" t="s">
        <v>15</v>
      </c>
      <c r="F1943" s="7">
        <v>2372</v>
      </c>
      <c r="G1943" s="7">
        <v>297804.95910623937</v>
      </c>
      <c r="H1943" s="7">
        <v>706393363</v>
      </c>
      <c r="I1943" s="7">
        <v>52720765</v>
      </c>
      <c r="J1943" s="7">
        <v>0</v>
      </c>
      <c r="K1943">
        <f t="shared" si="30"/>
        <v>31</v>
      </c>
      <c r="L1943" s="8" t="str" cm="1">
        <f t="array" ref="L1943">_xlfn.IFS(
 AND(K1943&gt;=89,K1943&lt;=92),"3개월",
 AND(K1943&gt;=58,K1943&lt;=62),"2개월",
 AND(K1943&gt;=28,K1943&lt;=32),"1개월",
 AND(K1943=0),"당월",
 TRUE,"그외"
)</f>
        <v>1개월</v>
      </c>
    </row>
    <row r="1944" spans="1:12" x14ac:dyDescent="0.3">
      <c r="A1944" s="5">
        <v>46023</v>
      </c>
      <c r="B1944" s="6" t="s">
        <v>20</v>
      </c>
      <c r="C1944" s="6" t="s">
        <v>35</v>
      </c>
      <c r="D1944" s="5">
        <v>46023</v>
      </c>
      <c r="E1944" s="6" t="s">
        <v>14</v>
      </c>
      <c r="F1944" s="7">
        <v>2199</v>
      </c>
      <c r="G1944" s="7">
        <v>265258.56753069581</v>
      </c>
      <c r="H1944" s="7">
        <v>583303590</v>
      </c>
      <c r="I1944" s="7">
        <v>45257707</v>
      </c>
      <c r="J1944" s="7">
        <v>0</v>
      </c>
      <c r="K1944">
        <f t="shared" si="30"/>
        <v>0</v>
      </c>
      <c r="L1944" s="8" t="str" cm="1">
        <f t="array" ref="L1944">_xlfn.IFS(
 AND(K1944&gt;=89,K1944&lt;=92),"3개월",
 AND(K1944&gt;=58,K1944&lt;=62),"2개월",
 AND(K1944&gt;=28,K1944&lt;=32),"1개월",
 AND(K1944=0),"당월",
 TRUE,"그외"
)</f>
        <v>당월</v>
      </c>
    </row>
    <row r="1945" spans="1:12" x14ac:dyDescent="0.3">
      <c r="A1945" s="5">
        <v>46023</v>
      </c>
      <c r="B1945" s="6" t="s">
        <v>20</v>
      </c>
      <c r="C1945" s="6" t="s">
        <v>35</v>
      </c>
      <c r="D1945" s="5">
        <v>46023</v>
      </c>
      <c r="E1945" s="6" t="s">
        <v>15</v>
      </c>
      <c r="F1945" s="7">
        <v>2117</v>
      </c>
      <c r="G1945" s="7">
        <v>257173.20878601799</v>
      </c>
      <c r="H1945" s="7">
        <v>544435683</v>
      </c>
      <c r="I1945" s="7">
        <v>47658064</v>
      </c>
      <c r="J1945" s="7">
        <v>0</v>
      </c>
      <c r="K1945">
        <f t="shared" si="30"/>
        <v>0</v>
      </c>
      <c r="L1945" s="8" t="str" cm="1">
        <f t="array" ref="L1945">_xlfn.IFS(
 AND(K1945&gt;=89,K1945&lt;=92),"3개월",
 AND(K1945&gt;=58,K1945&lt;=62),"2개월",
 AND(K1945&gt;=28,K1945&lt;=32),"1개월",
 AND(K1945=0),"당월",
 TRUE,"그외"
)</f>
        <v>당월</v>
      </c>
    </row>
    <row r="1946" spans="1:12" x14ac:dyDescent="0.3">
      <c r="A1946" s="5">
        <v>46023</v>
      </c>
      <c r="B1946" s="6" t="s">
        <v>20</v>
      </c>
      <c r="C1946" s="6" t="s">
        <v>98</v>
      </c>
      <c r="D1946" s="5">
        <v>45962</v>
      </c>
      <c r="E1946" s="6" t="s">
        <v>15</v>
      </c>
      <c r="F1946" s="7">
        <v>397</v>
      </c>
      <c r="G1946" s="7">
        <v>317679.02015113347</v>
      </c>
      <c r="H1946" s="7">
        <v>126118571</v>
      </c>
      <c r="I1946" s="7">
        <v>7024995</v>
      </c>
      <c r="J1946" s="7">
        <v>0</v>
      </c>
      <c r="K1946">
        <f t="shared" si="30"/>
        <v>61</v>
      </c>
      <c r="L1946" s="8" t="str" cm="1">
        <f t="array" ref="L1946">_xlfn.IFS(
 AND(K1946&gt;=89,K1946&lt;=92),"3개월",
 AND(K1946&gt;=58,K1946&lt;=62),"2개월",
 AND(K1946&gt;=28,K1946&lt;=32),"1개월",
 AND(K1946=0),"당월",
 TRUE,"그외"
)</f>
        <v>2개월</v>
      </c>
    </row>
    <row r="1947" spans="1:12" x14ac:dyDescent="0.3">
      <c r="A1947" s="5">
        <v>46023</v>
      </c>
      <c r="B1947" s="6" t="s">
        <v>20</v>
      </c>
      <c r="C1947" s="6" t="s">
        <v>98</v>
      </c>
      <c r="D1947" s="5">
        <v>45992</v>
      </c>
      <c r="E1947" s="6" t="s">
        <v>14</v>
      </c>
      <c r="F1947" s="7">
        <v>852</v>
      </c>
      <c r="G1947" s="7">
        <v>2175130.9859154932</v>
      </c>
      <c r="H1947" s="7">
        <v>1853211600</v>
      </c>
      <c r="I1947" s="7">
        <v>161600</v>
      </c>
      <c r="J1947" s="7">
        <v>0</v>
      </c>
      <c r="K1947">
        <f t="shared" si="30"/>
        <v>31</v>
      </c>
      <c r="L1947" s="8" t="str" cm="1">
        <f t="array" ref="L1947">_xlfn.IFS(
 AND(K1947&gt;=89,K1947&lt;=92),"3개월",
 AND(K1947&gt;=58,K1947&lt;=62),"2개월",
 AND(K1947&gt;=28,K1947&lt;=32),"1개월",
 AND(K1947=0),"당월",
 TRUE,"그외"
)</f>
        <v>1개월</v>
      </c>
    </row>
    <row r="1948" spans="1:12" x14ac:dyDescent="0.3">
      <c r="A1948" s="5">
        <v>46023</v>
      </c>
      <c r="B1948" s="6" t="s">
        <v>20</v>
      </c>
      <c r="C1948" s="6" t="s">
        <v>98</v>
      </c>
      <c r="D1948" s="5">
        <v>45992</v>
      </c>
      <c r="E1948" s="6" t="s">
        <v>15</v>
      </c>
      <c r="F1948" s="7">
        <v>409</v>
      </c>
      <c r="G1948" s="7">
        <v>349148.92909535451</v>
      </c>
      <c r="H1948" s="7">
        <v>142801912</v>
      </c>
      <c r="I1948" s="7">
        <v>8331272</v>
      </c>
      <c r="J1948" s="7">
        <v>0</v>
      </c>
      <c r="K1948">
        <f t="shared" si="30"/>
        <v>31</v>
      </c>
      <c r="L1948" s="8" t="str" cm="1">
        <f t="array" ref="L1948">_xlfn.IFS(
 AND(K1948&gt;=89,K1948&lt;=92),"3개월",
 AND(K1948&gt;=58,K1948&lt;=62),"2개월",
 AND(K1948&gt;=28,K1948&lt;=32),"1개월",
 AND(K1948=0),"당월",
 TRUE,"그외"
)</f>
        <v>1개월</v>
      </c>
    </row>
    <row r="1949" spans="1:12" x14ac:dyDescent="0.3">
      <c r="A1949" s="5">
        <v>46023</v>
      </c>
      <c r="B1949" s="6" t="s">
        <v>20</v>
      </c>
      <c r="C1949" s="6" t="s">
        <v>98</v>
      </c>
      <c r="D1949" s="5">
        <v>46023</v>
      </c>
      <c r="E1949" s="6" t="s">
        <v>14</v>
      </c>
      <c r="F1949" s="7">
        <v>6287</v>
      </c>
      <c r="G1949" s="7">
        <v>101.9882296802927</v>
      </c>
      <c r="H1949" s="7">
        <v>641200</v>
      </c>
      <c r="I1949" s="7">
        <v>41200</v>
      </c>
      <c r="J1949" s="7">
        <v>0</v>
      </c>
      <c r="K1949">
        <f t="shared" si="30"/>
        <v>0</v>
      </c>
      <c r="L1949" s="8" t="str" cm="1">
        <f t="array" ref="L1949">_xlfn.IFS(
 AND(K1949&gt;=89,K1949&lt;=92),"3개월",
 AND(K1949&gt;=58,K1949&lt;=62),"2개월",
 AND(K1949&gt;=28,K1949&lt;=32),"1개월",
 AND(K1949=0),"당월",
 TRUE,"그외"
)</f>
        <v>당월</v>
      </c>
    </row>
    <row r="1950" spans="1:12" x14ac:dyDescent="0.3">
      <c r="A1950" s="5">
        <v>46023</v>
      </c>
      <c r="B1950" s="6" t="s">
        <v>20</v>
      </c>
      <c r="C1950" s="6" t="s">
        <v>98</v>
      </c>
      <c r="D1950" s="5">
        <v>46023</v>
      </c>
      <c r="E1950" s="6" t="s">
        <v>15</v>
      </c>
      <c r="F1950" s="7">
        <v>278</v>
      </c>
      <c r="G1950" s="7">
        <v>331431.66187050362</v>
      </c>
      <c r="H1950" s="7">
        <v>92138002</v>
      </c>
      <c r="I1950" s="7">
        <v>6598104</v>
      </c>
      <c r="J1950" s="7">
        <v>0</v>
      </c>
      <c r="K1950">
        <f t="shared" si="30"/>
        <v>0</v>
      </c>
      <c r="L1950" s="8" t="str" cm="1">
        <f t="array" ref="L1950">_xlfn.IFS(
 AND(K1950&gt;=89,K1950&lt;=92),"3개월",
 AND(K1950&gt;=58,K1950&lt;=62),"2개월",
 AND(K1950&gt;=28,K1950&lt;=32),"1개월",
 AND(K1950=0),"당월",
 TRUE,"그외"
)</f>
        <v>당월</v>
      </c>
    </row>
    <row r="1951" spans="1:12" x14ac:dyDescent="0.3">
      <c r="A1951" s="5">
        <v>46023</v>
      </c>
      <c r="B1951" s="6" t="s">
        <v>20</v>
      </c>
      <c r="C1951" s="6" t="s">
        <v>95</v>
      </c>
      <c r="D1951" s="5">
        <v>45901</v>
      </c>
      <c r="E1951" s="6" t="s">
        <v>14</v>
      </c>
      <c r="F1951" s="7">
        <v>6</v>
      </c>
      <c r="G1951" s="7">
        <v>162871.66666666669</v>
      </c>
      <c r="H1951" s="7">
        <v>977230</v>
      </c>
      <c r="I1951" s="7">
        <v>129930</v>
      </c>
      <c r="J1951" s="7">
        <v>0</v>
      </c>
      <c r="K1951">
        <f t="shared" si="30"/>
        <v>122</v>
      </c>
      <c r="L1951" s="8" t="str" cm="1">
        <f t="array" ref="L1951">_xlfn.IFS(
 AND(K1951&gt;=89,K1951&lt;=92),"3개월",
 AND(K1951&gt;=58,K1951&lt;=62),"2개월",
 AND(K1951&gt;=28,K1951&lt;=32),"1개월",
 AND(K1951=0),"당월",
 TRUE,"그외"
)</f>
        <v>그외</v>
      </c>
    </row>
    <row r="1952" spans="1:12" x14ac:dyDescent="0.3">
      <c r="A1952" s="5">
        <v>46023</v>
      </c>
      <c r="B1952" s="6" t="s">
        <v>20</v>
      </c>
      <c r="C1952" s="6" t="s">
        <v>95</v>
      </c>
      <c r="D1952" s="5">
        <v>45901</v>
      </c>
      <c r="E1952" s="6" t="s">
        <v>15</v>
      </c>
      <c r="F1952" s="7">
        <v>488</v>
      </c>
      <c r="G1952" s="7">
        <v>293383.38524590159</v>
      </c>
      <c r="H1952" s="7">
        <v>143171092</v>
      </c>
      <c r="I1952" s="7">
        <v>8564542</v>
      </c>
      <c r="J1952" s="7">
        <v>0</v>
      </c>
      <c r="K1952">
        <f t="shared" si="30"/>
        <v>122</v>
      </c>
      <c r="L1952" s="8" t="str" cm="1">
        <f t="array" ref="L1952">_xlfn.IFS(
 AND(K1952&gt;=89,K1952&lt;=92),"3개월",
 AND(K1952&gt;=58,K1952&lt;=62),"2개월",
 AND(K1952&gt;=28,K1952&lt;=32),"1개월",
 AND(K1952=0),"당월",
 TRUE,"그외"
)</f>
        <v>그외</v>
      </c>
    </row>
    <row r="1953" spans="1:12" x14ac:dyDescent="0.3">
      <c r="A1953" s="5">
        <v>46023</v>
      </c>
      <c r="B1953" s="6" t="s">
        <v>20</v>
      </c>
      <c r="C1953" s="6" t="s">
        <v>95</v>
      </c>
      <c r="D1953" s="5">
        <v>45931</v>
      </c>
      <c r="E1953" s="6" t="s">
        <v>14</v>
      </c>
      <c r="F1953" s="7">
        <v>6</v>
      </c>
      <c r="G1953" s="7">
        <v>132003.33333333331</v>
      </c>
      <c r="H1953" s="7">
        <v>792020</v>
      </c>
      <c r="I1953" s="7">
        <v>174142</v>
      </c>
      <c r="J1953" s="7">
        <v>0</v>
      </c>
      <c r="K1953">
        <f t="shared" si="30"/>
        <v>92</v>
      </c>
      <c r="L1953" s="8" t="str" cm="1">
        <f t="array" ref="L1953">_xlfn.IFS(
 AND(K1953&gt;=89,K1953&lt;=92),"3개월",
 AND(K1953&gt;=58,K1953&lt;=62),"2개월",
 AND(K1953&gt;=28,K1953&lt;=32),"1개월",
 AND(K1953=0),"당월",
 TRUE,"그외"
)</f>
        <v>3개월</v>
      </c>
    </row>
    <row r="1954" spans="1:12" x14ac:dyDescent="0.3">
      <c r="A1954" s="5">
        <v>46023</v>
      </c>
      <c r="B1954" s="6" t="s">
        <v>20</v>
      </c>
      <c r="C1954" s="6" t="s">
        <v>95</v>
      </c>
      <c r="D1954" s="5">
        <v>45931</v>
      </c>
      <c r="E1954" s="6" t="s">
        <v>15</v>
      </c>
      <c r="F1954" s="7">
        <v>1521</v>
      </c>
      <c r="G1954" s="7">
        <v>289810.93293885601</v>
      </c>
      <c r="H1954" s="7">
        <v>440802429</v>
      </c>
      <c r="I1954" s="7">
        <v>28759889</v>
      </c>
      <c r="J1954" s="7">
        <v>0</v>
      </c>
      <c r="K1954">
        <f t="shared" si="30"/>
        <v>92</v>
      </c>
      <c r="L1954" s="8" t="str" cm="1">
        <f t="array" ref="L1954">_xlfn.IFS(
 AND(K1954&gt;=89,K1954&lt;=92),"3개월",
 AND(K1954&gt;=58,K1954&lt;=62),"2개월",
 AND(K1954&gt;=28,K1954&lt;=32),"1개월",
 AND(K1954=0),"당월",
 TRUE,"그외"
)</f>
        <v>3개월</v>
      </c>
    </row>
    <row r="1955" spans="1:12" x14ac:dyDescent="0.3">
      <c r="A1955" s="5">
        <v>46023</v>
      </c>
      <c r="B1955" s="6" t="s">
        <v>20</v>
      </c>
      <c r="C1955" s="6" t="s">
        <v>95</v>
      </c>
      <c r="D1955" s="5">
        <v>45962</v>
      </c>
      <c r="E1955" s="6" t="s">
        <v>14</v>
      </c>
      <c r="F1955" s="7">
        <v>1254</v>
      </c>
      <c r="G1955" s="7">
        <v>275691.6523125997</v>
      </c>
      <c r="H1955" s="7">
        <v>345717332</v>
      </c>
      <c r="I1955" s="7">
        <v>21512394</v>
      </c>
      <c r="J1955" s="7">
        <v>0</v>
      </c>
      <c r="K1955">
        <f t="shared" si="30"/>
        <v>61</v>
      </c>
      <c r="L1955" s="8" t="str" cm="1">
        <f t="array" ref="L1955">_xlfn.IFS(
 AND(K1955&gt;=89,K1955&lt;=92),"3개월",
 AND(K1955&gt;=58,K1955&lt;=62),"2개월",
 AND(K1955&gt;=28,K1955&lt;=32),"1개월",
 AND(K1955=0),"당월",
 TRUE,"그외"
)</f>
        <v>2개월</v>
      </c>
    </row>
    <row r="1956" spans="1:12" x14ac:dyDescent="0.3">
      <c r="A1956" s="5">
        <v>46023</v>
      </c>
      <c r="B1956" s="6" t="s">
        <v>20</v>
      </c>
      <c r="C1956" s="6" t="s">
        <v>95</v>
      </c>
      <c r="D1956" s="5">
        <v>45962</v>
      </c>
      <c r="E1956" s="6" t="s">
        <v>15</v>
      </c>
      <c r="F1956" s="7">
        <v>1477</v>
      </c>
      <c r="G1956" s="7">
        <v>326256.28909952613</v>
      </c>
      <c r="H1956" s="7">
        <v>481880539</v>
      </c>
      <c r="I1956" s="7">
        <v>29294164</v>
      </c>
      <c r="J1956" s="7">
        <v>0</v>
      </c>
      <c r="K1956">
        <f t="shared" si="30"/>
        <v>61</v>
      </c>
      <c r="L1956" s="8" t="str" cm="1">
        <f t="array" ref="L1956">_xlfn.IFS(
 AND(K1956&gt;=89,K1956&lt;=92),"3개월",
 AND(K1956&gt;=58,K1956&lt;=62),"2개월",
 AND(K1956&gt;=28,K1956&lt;=32),"1개월",
 AND(K1956=0),"당월",
 TRUE,"그외"
)</f>
        <v>2개월</v>
      </c>
    </row>
    <row r="1957" spans="1:12" x14ac:dyDescent="0.3">
      <c r="A1957" s="5">
        <v>46023</v>
      </c>
      <c r="B1957" s="6" t="s">
        <v>20</v>
      </c>
      <c r="C1957" s="6" t="s">
        <v>95</v>
      </c>
      <c r="D1957" s="5">
        <v>45992</v>
      </c>
      <c r="E1957" s="6" t="s">
        <v>14</v>
      </c>
      <c r="F1957" s="7">
        <v>675</v>
      </c>
      <c r="G1957" s="7">
        <v>268010.00296296302</v>
      </c>
      <c r="H1957" s="7">
        <v>180906752</v>
      </c>
      <c r="I1957" s="7">
        <v>13902334</v>
      </c>
      <c r="J1957" s="7">
        <v>0</v>
      </c>
      <c r="K1957">
        <f t="shared" si="30"/>
        <v>31</v>
      </c>
      <c r="L1957" s="8" t="str" cm="1">
        <f t="array" ref="L1957">_xlfn.IFS(
 AND(K1957&gt;=89,K1957&lt;=92),"3개월",
 AND(K1957&gt;=58,K1957&lt;=62),"2개월",
 AND(K1957&gt;=28,K1957&lt;=32),"1개월",
 AND(K1957=0),"당월",
 TRUE,"그외"
)</f>
        <v>1개월</v>
      </c>
    </row>
    <row r="1958" spans="1:12" x14ac:dyDescent="0.3">
      <c r="A1958" s="5">
        <v>46023</v>
      </c>
      <c r="B1958" s="6" t="s">
        <v>20</v>
      </c>
      <c r="C1958" s="6" t="s">
        <v>95</v>
      </c>
      <c r="D1958" s="5">
        <v>45992</v>
      </c>
      <c r="E1958" s="6" t="s">
        <v>15</v>
      </c>
      <c r="F1958" s="7">
        <v>2121</v>
      </c>
      <c r="G1958" s="7">
        <v>272097.31211692601</v>
      </c>
      <c r="H1958" s="7">
        <v>577118399</v>
      </c>
      <c r="I1958" s="7">
        <v>49258493</v>
      </c>
      <c r="J1958" s="7">
        <v>0</v>
      </c>
      <c r="K1958">
        <f t="shared" si="30"/>
        <v>31</v>
      </c>
      <c r="L1958" s="8" t="str" cm="1">
        <f t="array" ref="L1958">_xlfn.IFS(
 AND(K1958&gt;=89,K1958&lt;=92),"3개월",
 AND(K1958&gt;=58,K1958&lt;=62),"2개월",
 AND(K1958&gt;=28,K1958&lt;=32),"1개월",
 AND(K1958=0),"당월",
 TRUE,"그외"
)</f>
        <v>1개월</v>
      </c>
    </row>
    <row r="1959" spans="1:12" x14ac:dyDescent="0.3">
      <c r="A1959" s="5">
        <v>46023</v>
      </c>
      <c r="B1959" s="6" t="s">
        <v>20</v>
      </c>
      <c r="C1959" s="6" t="s">
        <v>95</v>
      </c>
      <c r="D1959" s="5">
        <v>46023</v>
      </c>
      <c r="E1959" s="6" t="s">
        <v>14</v>
      </c>
      <c r="F1959" s="7">
        <v>1941</v>
      </c>
      <c r="G1959" s="7">
        <v>275476.89026275108</v>
      </c>
      <c r="H1959" s="7">
        <v>534700644</v>
      </c>
      <c r="I1959" s="7">
        <v>40192306</v>
      </c>
      <c r="J1959" s="7">
        <v>0</v>
      </c>
      <c r="K1959">
        <f t="shared" si="30"/>
        <v>0</v>
      </c>
      <c r="L1959" s="8" t="str" cm="1">
        <f t="array" ref="L1959">_xlfn.IFS(
 AND(K1959&gt;=89,K1959&lt;=92),"3개월",
 AND(K1959&gt;=58,K1959&lt;=62),"2개월",
 AND(K1959&gt;=28,K1959&lt;=32),"1개월",
 AND(K1959=0),"당월",
 TRUE,"그외"
)</f>
        <v>당월</v>
      </c>
    </row>
    <row r="1960" spans="1:12" x14ac:dyDescent="0.3">
      <c r="A1960" s="5">
        <v>46023</v>
      </c>
      <c r="B1960" s="6" t="s">
        <v>20</v>
      </c>
      <c r="C1960" s="6" t="s">
        <v>95</v>
      </c>
      <c r="D1960" s="5">
        <v>46023</v>
      </c>
      <c r="E1960" s="6" t="s">
        <v>15</v>
      </c>
      <c r="F1960" s="7">
        <v>937</v>
      </c>
      <c r="G1960" s="7">
        <v>257482.303094984</v>
      </c>
      <c r="H1960" s="7">
        <v>241260918</v>
      </c>
      <c r="I1960" s="7">
        <v>22806184</v>
      </c>
      <c r="J1960" s="7">
        <v>0</v>
      </c>
      <c r="K1960">
        <f t="shared" si="30"/>
        <v>0</v>
      </c>
      <c r="L1960" s="8" t="str" cm="1">
        <f t="array" ref="L1960">_xlfn.IFS(
 AND(K1960&gt;=89,K1960&lt;=92),"3개월",
 AND(K1960&gt;=58,K1960&lt;=62),"2개월",
 AND(K1960&gt;=28,K1960&lt;=32),"1개월",
 AND(K1960=0),"당월",
 TRUE,"그외"
)</f>
        <v>당월</v>
      </c>
    </row>
    <row r="1961" spans="1:12" x14ac:dyDescent="0.3">
      <c r="A1961" s="5">
        <v>46023</v>
      </c>
      <c r="B1961" s="6" t="s">
        <v>20</v>
      </c>
      <c r="C1961" s="6" t="s">
        <v>36</v>
      </c>
      <c r="D1961" s="5">
        <v>45839</v>
      </c>
      <c r="E1961" s="6" t="s">
        <v>15</v>
      </c>
      <c r="F1961" s="7">
        <v>140</v>
      </c>
      <c r="G1961" s="7">
        <v>195964.8357142857</v>
      </c>
      <c r="H1961" s="7">
        <v>27435077</v>
      </c>
      <c r="I1961" s="7">
        <v>1969787</v>
      </c>
      <c r="J1961" s="7">
        <v>0</v>
      </c>
      <c r="K1961">
        <f t="shared" si="30"/>
        <v>184</v>
      </c>
      <c r="L1961" s="8" t="str" cm="1">
        <f t="array" ref="L1961">_xlfn.IFS(
 AND(K1961&gt;=89,K1961&lt;=92),"3개월",
 AND(K1961&gt;=58,K1961&lt;=62),"2개월",
 AND(K1961&gt;=28,K1961&lt;=32),"1개월",
 AND(K1961=0),"당월",
 TRUE,"그외"
)</f>
        <v>그외</v>
      </c>
    </row>
    <row r="1962" spans="1:12" x14ac:dyDescent="0.3">
      <c r="A1962" s="5">
        <v>46023</v>
      </c>
      <c r="B1962" s="6" t="s">
        <v>20</v>
      </c>
      <c r="C1962" s="6" t="s">
        <v>36</v>
      </c>
      <c r="D1962" s="5">
        <v>45870</v>
      </c>
      <c r="E1962" s="6" t="s">
        <v>14</v>
      </c>
      <c r="F1962" s="7">
        <v>44</v>
      </c>
      <c r="G1962" s="7">
        <v>166400</v>
      </c>
      <c r="H1962" s="7">
        <v>7321600</v>
      </c>
      <c r="I1962" s="7">
        <v>721600</v>
      </c>
      <c r="J1962" s="7">
        <v>0</v>
      </c>
      <c r="K1962">
        <f t="shared" si="30"/>
        <v>153</v>
      </c>
      <c r="L1962" s="8" t="str" cm="1">
        <f t="array" ref="L1962">_xlfn.IFS(
 AND(K1962&gt;=89,K1962&lt;=92),"3개월",
 AND(K1962&gt;=58,K1962&lt;=62),"2개월",
 AND(K1962&gt;=28,K1962&lt;=32),"1개월",
 AND(K1962=0),"당월",
 TRUE,"그외"
)</f>
        <v>그외</v>
      </c>
    </row>
    <row r="1963" spans="1:12" x14ac:dyDescent="0.3">
      <c r="A1963" s="5">
        <v>46023</v>
      </c>
      <c r="B1963" s="6" t="s">
        <v>20</v>
      </c>
      <c r="C1963" s="6" t="s">
        <v>36</v>
      </c>
      <c r="D1963" s="5">
        <v>45870</v>
      </c>
      <c r="E1963" s="6" t="s">
        <v>15</v>
      </c>
      <c r="F1963" s="7">
        <v>285</v>
      </c>
      <c r="G1963" s="7">
        <v>197603.56491228071</v>
      </c>
      <c r="H1963" s="7">
        <v>56317016</v>
      </c>
      <c r="I1963" s="7">
        <v>5371318</v>
      </c>
      <c r="J1963" s="7">
        <v>0</v>
      </c>
      <c r="K1963">
        <f t="shared" si="30"/>
        <v>153</v>
      </c>
      <c r="L1963" s="8" t="str" cm="1">
        <f t="array" ref="L1963">_xlfn.IFS(
 AND(K1963&gt;=89,K1963&lt;=92),"3개월",
 AND(K1963&gt;=58,K1963&lt;=62),"2개월",
 AND(K1963&gt;=28,K1963&lt;=32),"1개월",
 AND(K1963=0),"당월",
 TRUE,"그외"
)</f>
        <v>그외</v>
      </c>
    </row>
    <row r="1964" spans="1:12" x14ac:dyDescent="0.3">
      <c r="A1964" s="5">
        <v>46023</v>
      </c>
      <c r="B1964" s="6" t="s">
        <v>20</v>
      </c>
      <c r="C1964" s="6" t="s">
        <v>36</v>
      </c>
      <c r="D1964" s="5">
        <v>45901</v>
      </c>
      <c r="E1964" s="6" t="s">
        <v>14</v>
      </c>
      <c r="F1964" s="7">
        <v>16</v>
      </c>
      <c r="G1964" s="7">
        <v>125015.5</v>
      </c>
      <c r="H1964" s="7">
        <v>2000248</v>
      </c>
      <c r="I1964" s="7">
        <v>345924</v>
      </c>
      <c r="J1964" s="7">
        <v>0</v>
      </c>
      <c r="K1964">
        <f t="shared" si="30"/>
        <v>122</v>
      </c>
      <c r="L1964" s="8" t="str" cm="1">
        <f t="array" ref="L1964">_xlfn.IFS(
 AND(K1964&gt;=89,K1964&lt;=92),"3개월",
 AND(K1964&gt;=58,K1964&lt;=62),"2개월",
 AND(K1964&gt;=28,K1964&lt;=32),"1개월",
 AND(K1964=0),"당월",
 TRUE,"그외"
)</f>
        <v>그외</v>
      </c>
    </row>
    <row r="1965" spans="1:12" x14ac:dyDescent="0.3">
      <c r="A1965" s="5">
        <v>46023</v>
      </c>
      <c r="B1965" s="6" t="s">
        <v>20</v>
      </c>
      <c r="C1965" s="6" t="s">
        <v>36</v>
      </c>
      <c r="D1965" s="5">
        <v>45901</v>
      </c>
      <c r="E1965" s="6" t="s">
        <v>15</v>
      </c>
      <c r="F1965" s="7">
        <v>627</v>
      </c>
      <c r="G1965" s="7">
        <v>192342.69377990431</v>
      </c>
      <c r="H1965" s="7">
        <v>120598869</v>
      </c>
      <c r="I1965" s="7">
        <v>10848311</v>
      </c>
      <c r="J1965" s="7">
        <v>0</v>
      </c>
      <c r="K1965">
        <f t="shared" si="30"/>
        <v>122</v>
      </c>
      <c r="L1965" s="8" t="str" cm="1">
        <f t="array" ref="L1965">_xlfn.IFS(
 AND(K1965&gt;=89,K1965&lt;=92),"3개월",
 AND(K1965&gt;=58,K1965&lt;=62),"2개월",
 AND(K1965&gt;=28,K1965&lt;=32),"1개월",
 AND(K1965=0),"당월",
 TRUE,"그외"
)</f>
        <v>그외</v>
      </c>
    </row>
    <row r="1966" spans="1:12" x14ac:dyDescent="0.3">
      <c r="A1966" s="5">
        <v>46023</v>
      </c>
      <c r="B1966" s="6" t="s">
        <v>20</v>
      </c>
      <c r="C1966" s="6" t="s">
        <v>36</v>
      </c>
      <c r="D1966" s="5">
        <v>45931</v>
      </c>
      <c r="E1966" s="6" t="s">
        <v>14</v>
      </c>
      <c r="F1966" s="7">
        <v>65</v>
      </c>
      <c r="G1966" s="7">
        <v>167508.3692307692</v>
      </c>
      <c r="H1966" s="7">
        <v>10888044</v>
      </c>
      <c r="I1966" s="7">
        <v>1603978</v>
      </c>
      <c r="J1966" s="7">
        <v>0</v>
      </c>
      <c r="K1966">
        <f t="shared" si="30"/>
        <v>92</v>
      </c>
      <c r="L1966" s="8" t="str" cm="1">
        <f t="array" ref="L1966">_xlfn.IFS(
 AND(K1966&gt;=89,K1966&lt;=92),"3개월",
 AND(K1966&gt;=58,K1966&lt;=62),"2개월",
 AND(K1966&gt;=28,K1966&lt;=32),"1개월",
 AND(K1966=0),"당월",
 TRUE,"그외"
)</f>
        <v>3개월</v>
      </c>
    </row>
    <row r="1967" spans="1:12" x14ac:dyDescent="0.3">
      <c r="A1967" s="5">
        <v>46023</v>
      </c>
      <c r="B1967" s="6" t="s">
        <v>20</v>
      </c>
      <c r="C1967" s="6" t="s">
        <v>36</v>
      </c>
      <c r="D1967" s="5">
        <v>45931</v>
      </c>
      <c r="E1967" s="6" t="s">
        <v>15</v>
      </c>
      <c r="F1967" s="7">
        <v>1505</v>
      </c>
      <c r="G1967" s="7">
        <v>203727.58205980071</v>
      </c>
      <c r="H1967" s="7">
        <v>306610011</v>
      </c>
      <c r="I1967" s="7">
        <v>28669347</v>
      </c>
      <c r="J1967" s="7">
        <v>0</v>
      </c>
      <c r="K1967">
        <f t="shared" si="30"/>
        <v>92</v>
      </c>
      <c r="L1967" s="8" t="str" cm="1">
        <f t="array" ref="L1967">_xlfn.IFS(
 AND(K1967&gt;=89,K1967&lt;=92),"3개월",
 AND(K1967&gt;=58,K1967&lt;=62),"2개월",
 AND(K1967&gt;=28,K1967&lt;=32),"1개월",
 AND(K1967=0),"당월",
 TRUE,"그외"
)</f>
        <v>3개월</v>
      </c>
    </row>
    <row r="1968" spans="1:12" x14ac:dyDescent="0.3">
      <c r="A1968" s="5">
        <v>46023</v>
      </c>
      <c r="B1968" s="6" t="s">
        <v>20</v>
      </c>
      <c r="C1968" s="6" t="s">
        <v>36</v>
      </c>
      <c r="D1968" s="5">
        <v>45962</v>
      </c>
      <c r="E1968" s="6" t="s">
        <v>14</v>
      </c>
      <c r="F1968" s="7">
        <v>711</v>
      </c>
      <c r="G1968" s="7">
        <v>176901.22784810129</v>
      </c>
      <c r="H1968" s="7">
        <v>125776773</v>
      </c>
      <c r="I1968" s="7">
        <v>13202289</v>
      </c>
      <c r="J1968" s="7">
        <v>0</v>
      </c>
      <c r="K1968">
        <f t="shared" si="30"/>
        <v>61</v>
      </c>
      <c r="L1968" s="8" t="str" cm="1">
        <f t="array" ref="L1968">_xlfn.IFS(
 AND(K1968&gt;=89,K1968&lt;=92),"3개월",
 AND(K1968&gt;=58,K1968&lt;=62),"2개월",
 AND(K1968&gt;=28,K1968&lt;=32),"1개월",
 AND(K1968=0),"당월",
 TRUE,"그외"
)</f>
        <v>2개월</v>
      </c>
    </row>
    <row r="1969" spans="1:12" x14ac:dyDescent="0.3">
      <c r="A1969" s="5">
        <v>46023</v>
      </c>
      <c r="B1969" s="6" t="s">
        <v>20</v>
      </c>
      <c r="C1969" s="6" t="s">
        <v>36</v>
      </c>
      <c r="D1969" s="5">
        <v>45962</v>
      </c>
      <c r="E1969" s="6" t="s">
        <v>15</v>
      </c>
      <c r="F1969" s="7">
        <v>2959</v>
      </c>
      <c r="G1969" s="7">
        <v>207879.37614058811</v>
      </c>
      <c r="H1969" s="7">
        <v>615115074</v>
      </c>
      <c r="I1969" s="7">
        <v>55098209</v>
      </c>
      <c r="J1969" s="7">
        <v>0</v>
      </c>
      <c r="K1969">
        <f t="shared" si="30"/>
        <v>61</v>
      </c>
      <c r="L1969" s="8" t="str" cm="1">
        <f t="array" ref="L1969">_xlfn.IFS(
 AND(K1969&gt;=89,K1969&lt;=92),"3개월",
 AND(K1969&gt;=58,K1969&lt;=62),"2개월",
 AND(K1969&gt;=28,K1969&lt;=32),"1개월",
 AND(K1969=0),"당월",
 TRUE,"그외"
)</f>
        <v>2개월</v>
      </c>
    </row>
    <row r="1970" spans="1:12" x14ac:dyDescent="0.3">
      <c r="A1970" s="5">
        <v>46023</v>
      </c>
      <c r="B1970" s="6" t="s">
        <v>20</v>
      </c>
      <c r="C1970" s="6" t="s">
        <v>36</v>
      </c>
      <c r="D1970" s="5">
        <v>45992</v>
      </c>
      <c r="E1970" s="6" t="s">
        <v>14</v>
      </c>
      <c r="F1970" s="7">
        <v>2615</v>
      </c>
      <c r="G1970" s="7">
        <v>184751.7495219885</v>
      </c>
      <c r="H1970" s="7">
        <v>483125825</v>
      </c>
      <c r="I1970" s="7">
        <v>54281055</v>
      </c>
      <c r="J1970" s="7">
        <v>0</v>
      </c>
      <c r="K1970">
        <f t="shared" si="30"/>
        <v>31</v>
      </c>
      <c r="L1970" s="8" t="str" cm="1">
        <f t="array" ref="L1970">_xlfn.IFS(
 AND(K1970&gt;=89,K1970&lt;=92),"3개월",
 AND(K1970&gt;=58,K1970&lt;=62),"2개월",
 AND(K1970&gt;=28,K1970&lt;=32),"1개월",
 AND(K1970=0),"당월",
 TRUE,"그외"
)</f>
        <v>1개월</v>
      </c>
    </row>
    <row r="1971" spans="1:12" x14ac:dyDescent="0.3">
      <c r="A1971" s="5">
        <v>46023</v>
      </c>
      <c r="B1971" s="6" t="s">
        <v>20</v>
      </c>
      <c r="C1971" s="6" t="s">
        <v>36</v>
      </c>
      <c r="D1971" s="5">
        <v>45992</v>
      </c>
      <c r="E1971" s="6" t="s">
        <v>15</v>
      </c>
      <c r="F1971" s="7">
        <v>5508</v>
      </c>
      <c r="G1971" s="7">
        <v>229389.8073710966</v>
      </c>
      <c r="H1971" s="7">
        <v>1263479059</v>
      </c>
      <c r="I1971" s="7">
        <v>121065197</v>
      </c>
      <c r="J1971" s="7">
        <v>0</v>
      </c>
      <c r="K1971">
        <f t="shared" si="30"/>
        <v>31</v>
      </c>
      <c r="L1971" s="8" t="str" cm="1">
        <f t="array" ref="L1971">_xlfn.IFS(
 AND(K1971&gt;=89,K1971&lt;=92),"3개월",
 AND(K1971&gt;=58,K1971&lt;=62),"2개월",
 AND(K1971&gt;=28,K1971&lt;=32),"1개월",
 AND(K1971=0),"당월",
 TRUE,"그외"
)</f>
        <v>1개월</v>
      </c>
    </row>
    <row r="1972" spans="1:12" x14ac:dyDescent="0.3">
      <c r="A1972" s="5">
        <v>46023</v>
      </c>
      <c r="B1972" s="6" t="s">
        <v>20</v>
      </c>
      <c r="C1972" s="6" t="s">
        <v>36</v>
      </c>
      <c r="D1972" s="5">
        <v>46023</v>
      </c>
      <c r="E1972" s="6" t="s">
        <v>14</v>
      </c>
      <c r="F1972" s="7">
        <v>762</v>
      </c>
      <c r="G1972" s="7">
        <v>187454.64304461941</v>
      </c>
      <c r="H1972" s="7">
        <v>142840438</v>
      </c>
      <c r="I1972" s="7">
        <v>15753453</v>
      </c>
      <c r="J1972" s="7">
        <v>0</v>
      </c>
      <c r="K1972">
        <f t="shared" si="30"/>
        <v>0</v>
      </c>
      <c r="L1972" s="8" t="str" cm="1">
        <f t="array" ref="L1972">_xlfn.IFS(
 AND(K1972&gt;=89,K1972&lt;=92),"3개월",
 AND(K1972&gt;=58,K1972&lt;=62),"2개월",
 AND(K1972&gt;=28,K1972&lt;=32),"1개월",
 AND(K1972=0),"당월",
 TRUE,"그외"
)</f>
        <v>당월</v>
      </c>
    </row>
    <row r="1973" spans="1:12" x14ac:dyDescent="0.3">
      <c r="A1973" s="5">
        <v>46023</v>
      </c>
      <c r="B1973" s="6" t="s">
        <v>20</v>
      </c>
      <c r="C1973" s="6" t="s">
        <v>36</v>
      </c>
      <c r="D1973" s="5">
        <v>46023</v>
      </c>
      <c r="E1973" s="6" t="s">
        <v>15</v>
      </c>
      <c r="F1973" s="7">
        <v>1961</v>
      </c>
      <c r="G1973" s="7">
        <v>264081.73227944918</v>
      </c>
      <c r="H1973" s="7">
        <v>517864277</v>
      </c>
      <c r="I1973" s="7">
        <v>43734330</v>
      </c>
      <c r="J1973" s="7">
        <v>0</v>
      </c>
      <c r="K1973">
        <f t="shared" si="30"/>
        <v>0</v>
      </c>
      <c r="L1973" s="8" t="str" cm="1">
        <f t="array" ref="L1973">_xlfn.IFS(
 AND(K1973&gt;=89,K1973&lt;=92),"3개월",
 AND(K1973&gt;=58,K1973&lt;=62),"2개월",
 AND(K1973&gt;=28,K1973&lt;=32),"1개월",
 AND(K1973=0),"당월",
 TRUE,"그외"
)</f>
        <v>당월</v>
      </c>
    </row>
    <row r="1974" spans="1:12" x14ac:dyDescent="0.3">
      <c r="A1974" s="5">
        <v>46023</v>
      </c>
      <c r="B1974" s="6" t="s">
        <v>20</v>
      </c>
      <c r="C1974" s="6" t="s">
        <v>37</v>
      </c>
      <c r="D1974" s="5">
        <v>45839</v>
      </c>
      <c r="E1974" s="6" t="s">
        <v>15</v>
      </c>
      <c r="F1974" s="7">
        <v>41</v>
      </c>
      <c r="G1974" s="7">
        <v>110126.3414634146</v>
      </c>
      <c r="H1974" s="7">
        <v>4515180</v>
      </c>
      <c r="I1974" s="7">
        <v>452418</v>
      </c>
      <c r="J1974" s="7">
        <v>0</v>
      </c>
      <c r="K1974">
        <f t="shared" si="30"/>
        <v>184</v>
      </c>
      <c r="L1974" s="8" t="str" cm="1">
        <f t="array" ref="L1974">_xlfn.IFS(
 AND(K1974&gt;=89,K1974&lt;=92),"3개월",
 AND(K1974&gt;=58,K1974&lt;=62),"2개월",
 AND(K1974&gt;=28,K1974&lt;=32),"1개월",
 AND(K1974=0),"당월",
 TRUE,"그외"
)</f>
        <v>그외</v>
      </c>
    </row>
    <row r="1975" spans="1:12" x14ac:dyDescent="0.3">
      <c r="A1975" s="5">
        <v>46023</v>
      </c>
      <c r="B1975" s="6" t="s">
        <v>20</v>
      </c>
      <c r="C1975" s="6" t="s">
        <v>37</v>
      </c>
      <c r="D1975" s="5">
        <v>45870</v>
      </c>
      <c r="E1975" s="6" t="s">
        <v>15</v>
      </c>
      <c r="F1975" s="7">
        <v>144</v>
      </c>
      <c r="G1975" s="7">
        <v>100415.36805555561</v>
      </c>
      <c r="H1975" s="7">
        <v>14459813</v>
      </c>
      <c r="I1975" s="7">
        <v>1688347</v>
      </c>
      <c r="J1975" s="7">
        <v>0</v>
      </c>
      <c r="K1975">
        <f t="shared" si="30"/>
        <v>153</v>
      </c>
      <c r="L1975" s="8" t="str" cm="1">
        <f t="array" ref="L1975">_xlfn.IFS(
 AND(K1975&gt;=89,K1975&lt;=92),"3개월",
 AND(K1975&gt;=58,K1975&lt;=62),"2개월",
 AND(K1975&gt;=28,K1975&lt;=32),"1개월",
 AND(K1975=0),"당월",
 TRUE,"그외"
)</f>
        <v>그외</v>
      </c>
    </row>
    <row r="1976" spans="1:12" x14ac:dyDescent="0.3">
      <c r="A1976" s="5">
        <v>46023</v>
      </c>
      <c r="B1976" s="6" t="s">
        <v>20</v>
      </c>
      <c r="C1976" s="6" t="s">
        <v>37</v>
      </c>
      <c r="D1976" s="5">
        <v>45901</v>
      </c>
      <c r="E1976" s="6" t="s">
        <v>15</v>
      </c>
      <c r="F1976" s="7">
        <v>382</v>
      </c>
      <c r="G1976" s="7">
        <v>101130.87958115181</v>
      </c>
      <c r="H1976" s="7">
        <v>38631996</v>
      </c>
      <c r="I1976" s="7">
        <v>4778839</v>
      </c>
      <c r="J1976" s="7">
        <v>0</v>
      </c>
      <c r="K1976">
        <f t="shared" si="30"/>
        <v>122</v>
      </c>
      <c r="L1976" s="8" t="str" cm="1">
        <f t="array" ref="L1976">_xlfn.IFS(
 AND(K1976&gt;=89,K1976&lt;=92),"3개월",
 AND(K1976&gt;=58,K1976&lt;=62),"2개월",
 AND(K1976&gt;=28,K1976&lt;=32),"1개월",
 AND(K1976=0),"당월",
 TRUE,"그외"
)</f>
        <v>그외</v>
      </c>
    </row>
    <row r="1977" spans="1:12" x14ac:dyDescent="0.3">
      <c r="A1977" s="5">
        <v>46023</v>
      </c>
      <c r="B1977" s="6" t="s">
        <v>20</v>
      </c>
      <c r="C1977" s="6" t="s">
        <v>37</v>
      </c>
      <c r="D1977" s="5">
        <v>45931</v>
      </c>
      <c r="E1977" s="6" t="s">
        <v>15</v>
      </c>
      <c r="F1977" s="7">
        <v>1113</v>
      </c>
      <c r="G1977" s="7">
        <v>110701.828391734</v>
      </c>
      <c r="H1977" s="7">
        <v>123211135</v>
      </c>
      <c r="I1977" s="7">
        <v>14131023</v>
      </c>
      <c r="J1977" s="7">
        <v>0</v>
      </c>
      <c r="K1977">
        <f t="shared" si="30"/>
        <v>92</v>
      </c>
      <c r="L1977" s="8" t="str" cm="1">
        <f t="array" ref="L1977">_xlfn.IFS(
 AND(K1977&gt;=89,K1977&lt;=92),"3개월",
 AND(K1977&gt;=58,K1977&lt;=62),"2개월",
 AND(K1977&gt;=28,K1977&lt;=32),"1개월",
 AND(K1977=0),"당월",
 TRUE,"그외"
)</f>
        <v>3개월</v>
      </c>
    </row>
    <row r="1978" spans="1:12" x14ac:dyDescent="0.3">
      <c r="A1978" s="5">
        <v>46023</v>
      </c>
      <c r="B1978" s="6" t="s">
        <v>20</v>
      </c>
      <c r="C1978" s="6" t="s">
        <v>37</v>
      </c>
      <c r="D1978" s="5">
        <v>45962</v>
      </c>
      <c r="E1978" s="6" t="s">
        <v>14</v>
      </c>
      <c r="F1978" s="7">
        <v>175</v>
      </c>
      <c r="G1978" s="7">
        <v>135899.58857142861</v>
      </c>
      <c r="H1978" s="7">
        <v>23782428</v>
      </c>
      <c r="I1978" s="7">
        <v>2161766</v>
      </c>
      <c r="J1978" s="7">
        <v>0</v>
      </c>
      <c r="K1978">
        <f t="shared" si="30"/>
        <v>61</v>
      </c>
      <c r="L1978" s="8" t="str" cm="1">
        <f t="array" ref="L1978">_xlfn.IFS(
 AND(K1978&gt;=89,K1978&lt;=92),"3개월",
 AND(K1978&gt;=58,K1978&lt;=62),"2개월",
 AND(K1978&gt;=28,K1978&lt;=32),"1개월",
 AND(K1978=0),"당월",
 TRUE,"그외"
)</f>
        <v>2개월</v>
      </c>
    </row>
    <row r="1979" spans="1:12" x14ac:dyDescent="0.3">
      <c r="A1979" s="5">
        <v>46023</v>
      </c>
      <c r="B1979" s="6" t="s">
        <v>20</v>
      </c>
      <c r="C1979" s="6" t="s">
        <v>37</v>
      </c>
      <c r="D1979" s="5">
        <v>45962</v>
      </c>
      <c r="E1979" s="6" t="s">
        <v>15</v>
      </c>
      <c r="F1979" s="7">
        <v>1992</v>
      </c>
      <c r="G1979" s="7">
        <v>123483.0702811245</v>
      </c>
      <c r="H1979" s="7">
        <v>245978276</v>
      </c>
      <c r="I1979" s="7">
        <v>25680708</v>
      </c>
      <c r="J1979" s="7">
        <v>0</v>
      </c>
      <c r="K1979">
        <f t="shared" si="30"/>
        <v>61</v>
      </c>
      <c r="L1979" s="8" t="str" cm="1">
        <f t="array" ref="L1979">_xlfn.IFS(
 AND(K1979&gt;=89,K1979&lt;=92),"3개월",
 AND(K1979&gt;=58,K1979&lt;=62),"2개월",
 AND(K1979&gt;=28,K1979&lt;=32),"1개월",
 AND(K1979=0),"당월",
 TRUE,"그외"
)</f>
        <v>2개월</v>
      </c>
    </row>
    <row r="1980" spans="1:12" x14ac:dyDescent="0.3">
      <c r="A1980" s="5">
        <v>46023</v>
      </c>
      <c r="B1980" s="6" t="s">
        <v>20</v>
      </c>
      <c r="C1980" s="6" t="s">
        <v>37</v>
      </c>
      <c r="D1980" s="5">
        <v>45992</v>
      </c>
      <c r="E1980" s="6" t="s">
        <v>14</v>
      </c>
      <c r="F1980" s="7">
        <v>1064</v>
      </c>
      <c r="G1980" s="7">
        <v>114676.8270676692</v>
      </c>
      <c r="H1980" s="7">
        <v>122016144</v>
      </c>
      <c r="I1980" s="7">
        <v>14180516</v>
      </c>
      <c r="J1980" s="7">
        <v>0</v>
      </c>
      <c r="K1980">
        <f t="shared" si="30"/>
        <v>31</v>
      </c>
      <c r="L1980" s="8" t="str" cm="1">
        <f t="array" ref="L1980">_xlfn.IFS(
 AND(K1980&gt;=89,K1980&lt;=92),"3개월",
 AND(K1980&gt;=58,K1980&lt;=62),"2개월",
 AND(K1980&gt;=28,K1980&lt;=32),"1개월",
 AND(K1980=0),"당월",
 TRUE,"그외"
)</f>
        <v>1개월</v>
      </c>
    </row>
    <row r="1981" spans="1:12" x14ac:dyDescent="0.3">
      <c r="A1981" s="5">
        <v>46023</v>
      </c>
      <c r="B1981" s="6" t="s">
        <v>20</v>
      </c>
      <c r="C1981" s="6" t="s">
        <v>37</v>
      </c>
      <c r="D1981" s="5">
        <v>45992</v>
      </c>
      <c r="E1981" s="6" t="s">
        <v>15</v>
      </c>
      <c r="F1981" s="7">
        <v>2264</v>
      </c>
      <c r="G1981" s="7">
        <v>166345.52738515899</v>
      </c>
      <c r="H1981" s="7">
        <v>376606274</v>
      </c>
      <c r="I1981" s="7">
        <v>32863388</v>
      </c>
      <c r="J1981" s="7">
        <v>0</v>
      </c>
      <c r="K1981">
        <f t="shared" si="30"/>
        <v>31</v>
      </c>
      <c r="L1981" s="8" t="str" cm="1">
        <f t="array" ref="L1981">_xlfn.IFS(
 AND(K1981&gt;=89,K1981&lt;=92),"3개월",
 AND(K1981&gt;=58,K1981&lt;=62),"2개월",
 AND(K1981&gt;=28,K1981&lt;=32),"1개월",
 AND(K1981=0),"당월",
 TRUE,"그외"
)</f>
        <v>1개월</v>
      </c>
    </row>
    <row r="1982" spans="1:12" x14ac:dyDescent="0.3">
      <c r="A1982" s="5">
        <v>46023</v>
      </c>
      <c r="B1982" s="6" t="s">
        <v>20</v>
      </c>
      <c r="C1982" s="6" t="s">
        <v>37</v>
      </c>
      <c r="D1982" s="5">
        <v>46023</v>
      </c>
      <c r="E1982" s="6" t="s">
        <v>14</v>
      </c>
      <c r="F1982" s="7">
        <v>1396</v>
      </c>
      <c r="G1982" s="7">
        <v>123838.8037249284</v>
      </c>
      <c r="H1982" s="7">
        <v>172878970</v>
      </c>
      <c r="I1982" s="7">
        <v>16621717</v>
      </c>
      <c r="J1982" s="7">
        <v>0</v>
      </c>
      <c r="K1982">
        <f t="shared" si="30"/>
        <v>0</v>
      </c>
      <c r="L1982" s="8" t="str" cm="1">
        <f t="array" ref="L1982">_xlfn.IFS(
 AND(K1982&gt;=89,K1982&lt;=92),"3개월",
 AND(K1982&gt;=58,K1982&lt;=62),"2개월",
 AND(K1982&gt;=28,K1982&lt;=32),"1개월",
 AND(K1982=0),"당월",
 TRUE,"그외"
)</f>
        <v>당월</v>
      </c>
    </row>
    <row r="1983" spans="1:12" x14ac:dyDescent="0.3">
      <c r="A1983" s="5">
        <v>46023</v>
      </c>
      <c r="B1983" s="6" t="s">
        <v>20</v>
      </c>
      <c r="C1983" s="6" t="s">
        <v>37</v>
      </c>
      <c r="D1983" s="5">
        <v>46023</v>
      </c>
      <c r="E1983" s="6" t="s">
        <v>15</v>
      </c>
      <c r="F1983" s="7">
        <v>1450</v>
      </c>
      <c r="G1983" s="7">
        <v>174455.28758620689</v>
      </c>
      <c r="H1983" s="7">
        <v>252960167</v>
      </c>
      <c r="I1983" s="7">
        <v>24560714</v>
      </c>
      <c r="J1983" s="7">
        <v>0</v>
      </c>
      <c r="K1983">
        <f t="shared" si="30"/>
        <v>0</v>
      </c>
      <c r="L1983" s="8" t="str" cm="1">
        <f t="array" ref="L1983">_xlfn.IFS(
 AND(K1983&gt;=89,K1983&lt;=92),"3개월",
 AND(K1983&gt;=58,K1983&lt;=62),"2개월",
 AND(K1983&gt;=28,K1983&lt;=32),"1개월",
 AND(K1983=0),"당월",
 TRUE,"그외"
)</f>
        <v>당월</v>
      </c>
    </row>
    <row r="1984" spans="1:12" x14ac:dyDescent="0.3">
      <c r="A1984" s="5">
        <v>46023</v>
      </c>
      <c r="B1984" s="6" t="s">
        <v>20</v>
      </c>
      <c r="C1984" s="6" t="s">
        <v>38</v>
      </c>
      <c r="D1984" s="5">
        <v>45839</v>
      </c>
      <c r="E1984" s="6" t="s">
        <v>15</v>
      </c>
      <c r="F1984" s="7">
        <v>13</v>
      </c>
      <c r="G1984" s="7">
        <v>110174.07692307689</v>
      </c>
      <c r="H1984" s="7">
        <v>1432263</v>
      </c>
      <c r="I1984" s="7">
        <v>129611</v>
      </c>
      <c r="J1984" s="7">
        <v>0</v>
      </c>
      <c r="K1984">
        <f t="shared" si="30"/>
        <v>184</v>
      </c>
      <c r="L1984" s="8" t="str" cm="1">
        <f t="array" ref="L1984">_xlfn.IFS(
 AND(K1984&gt;=89,K1984&lt;=92),"3개월",
 AND(K1984&gt;=58,K1984&lt;=62),"2개월",
 AND(K1984&gt;=28,K1984&lt;=32),"1개월",
 AND(K1984=0),"당월",
 TRUE,"그외"
)</f>
        <v>그외</v>
      </c>
    </row>
    <row r="1985" spans="1:12" x14ac:dyDescent="0.3">
      <c r="A1985" s="5">
        <v>46023</v>
      </c>
      <c r="B1985" s="6" t="s">
        <v>20</v>
      </c>
      <c r="C1985" s="6" t="s">
        <v>38</v>
      </c>
      <c r="D1985" s="5">
        <v>45870</v>
      </c>
      <c r="E1985" s="6" t="s">
        <v>15</v>
      </c>
      <c r="F1985" s="7">
        <v>48</v>
      </c>
      <c r="G1985" s="7">
        <v>107519.9583333333</v>
      </c>
      <c r="H1985" s="7">
        <v>5160958</v>
      </c>
      <c r="I1985" s="7">
        <v>588557</v>
      </c>
      <c r="J1985" s="7">
        <v>0</v>
      </c>
      <c r="K1985">
        <f t="shared" si="30"/>
        <v>153</v>
      </c>
      <c r="L1985" s="8" t="str" cm="1">
        <f t="array" ref="L1985">_xlfn.IFS(
 AND(K1985&gt;=89,K1985&lt;=92),"3개월",
 AND(K1985&gt;=58,K1985&lt;=62),"2개월",
 AND(K1985&gt;=28,K1985&lt;=32),"1개월",
 AND(K1985=0),"당월",
 TRUE,"그외"
)</f>
        <v>그외</v>
      </c>
    </row>
    <row r="1986" spans="1:12" x14ac:dyDescent="0.3">
      <c r="A1986" s="5">
        <v>46023</v>
      </c>
      <c r="B1986" s="6" t="s">
        <v>20</v>
      </c>
      <c r="C1986" s="6" t="s">
        <v>38</v>
      </c>
      <c r="D1986" s="5">
        <v>45901</v>
      </c>
      <c r="E1986" s="6" t="s">
        <v>15</v>
      </c>
      <c r="F1986" s="7">
        <v>55</v>
      </c>
      <c r="G1986" s="7">
        <v>106048.1272727273</v>
      </c>
      <c r="H1986" s="7">
        <v>5832647</v>
      </c>
      <c r="I1986" s="7">
        <v>738304</v>
      </c>
      <c r="J1986" s="7">
        <v>0</v>
      </c>
      <c r="K1986">
        <f t="shared" si="30"/>
        <v>122</v>
      </c>
      <c r="L1986" s="8" t="str" cm="1">
        <f t="array" ref="L1986">_xlfn.IFS(
 AND(K1986&gt;=89,K1986&lt;=92),"3개월",
 AND(K1986&gt;=58,K1986&lt;=62),"2개월",
 AND(K1986&gt;=28,K1986&lt;=32),"1개월",
 AND(K1986=0),"당월",
 TRUE,"그외"
)</f>
        <v>그외</v>
      </c>
    </row>
    <row r="1987" spans="1:12" x14ac:dyDescent="0.3">
      <c r="A1987" s="5">
        <v>46023</v>
      </c>
      <c r="B1987" s="6" t="s">
        <v>20</v>
      </c>
      <c r="C1987" s="6" t="s">
        <v>38</v>
      </c>
      <c r="D1987" s="5">
        <v>45931</v>
      </c>
      <c r="E1987" s="6" t="s">
        <v>15</v>
      </c>
      <c r="F1987" s="7">
        <v>376</v>
      </c>
      <c r="G1987" s="7">
        <v>111631.31648936171</v>
      </c>
      <c r="H1987" s="7">
        <v>41973375</v>
      </c>
      <c r="I1987" s="7">
        <v>4501821</v>
      </c>
      <c r="J1987" s="7">
        <v>0</v>
      </c>
      <c r="K1987">
        <f t="shared" si="30"/>
        <v>92</v>
      </c>
      <c r="L1987" s="8" t="str" cm="1">
        <f t="array" ref="L1987">_xlfn.IFS(
 AND(K1987&gt;=89,K1987&lt;=92),"3개월",
 AND(K1987&gt;=58,K1987&lt;=62),"2개월",
 AND(K1987&gt;=28,K1987&lt;=32),"1개월",
 AND(K1987=0),"당월",
 TRUE,"그외"
)</f>
        <v>3개월</v>
      </c>
    </row>
    <row r="1988" spans="1:12" x14ac:dyDescent="0.3">
      <c r="A1988" s="5">
        <v>46023</v>
      </c>
      <c r="B1988" s="6" t="s">
        <v>20</v>
      </c>
      <c r="C1988" s="6" t="s">
        <v>38</v>
      </c>
      <c r="D1988" s="5">
        <v>45962</v>
      </c>
      <c r="E1988" s="6" t="s">
        <v>14</v>
      </c>
      <c r="F1988" s="7">
        <v>146</v>
      </c>
      <c r="G1988" s="7">
        <v>107056.5068493151</v>
      </c>
      <c r="H1988" s="7">
        <v>15630250</v>
      </c>
      <c r="I1988" s="7">
        <v>1663630</v>
      </c>
      <c r="J1988" s="7">
        <v>0</v>
      </c>
      <c r="K1988">
        <f t="shared" si="30"/>
        <v>61</v>
      </c>
      <c r="L1988" s="8" t="str" cm="1">
        <f t="array" ref="L1988">_xlfn.IFS(
 AND(K1988&gt;=89,K1988&lt;=92),"3개월",
 AND(K1988&gt;=58,K1988&lt;=62),"2개월",
 AND(K1988&gt;=28,K1988&lt;=32),"1개월",
 AND(K1988=0),"당월",
 TRUE,"그외"
)</f>
        <v>2개월</v>
      </c>
    </row>
    <row r="1989" spans="1:12" x14ac:dyDescent="0.3">
      <c r="A1989" s="5">
        <v>46023</v>
      </c>
      <c r="B1989" s="6" t="s">
        <v>20</v>
      </c>
      <c r="C1989" s="6" t="s">
        <v>38</v>
      </c>
      <c r="D1989" s="5">
        <v>45962</v>
      </c>
      <c r="E1989" s="6" t="s">
        <v>15</v>
      </c>
      <c r="F1989" s="7">
        <v>821</v>
      </c>
      <c r="G1989" s="7">
        <v>118001.1522533496</v>
      </c>
      <c r="H1989" s="7">
        <v>96878946</v>
      </c>
      <c r="I1989" s="7">
        <v>9414829</v>
      </c>
      <c r="J1989" s="7">
        <v>0</v>
      </c>
      <c r="K1989">
        <f t="shared" si="30"/>
        <v>61</v>
      </c>
      <c r="L1989" s="8" t="str" cm="1">
        <f t="array" ref="L1989">_xlfn.IFS(
 AND(K1989&gt;=89,K1989&lt;=92),"3개월",
 AND(K1989&gt;=58,K1989&lt;=62),"2개월",
 AND(K1989&gt;=28,K1989&lt;=32),"1개월",
 AND(K1989=0),"당월",
 TRUE,"그외"
)</f>
        <v>2개월</v>
      </c>
    </row>
    <row r="1990" spans="1:12" x14ac:dyDescent="0.3">
      <c r="A1990" s="5">
        <v>46023</v>
      </c>
      <c r="B1990" s="6" t="s">
        <v>20</v>
      </c>
      <c r="C1990" s="6" t="s">
        <v>38</v>
      </c>
      <c r="D1990" s="5">
        <v>45992</v>
      </c>
      <c r="E1990" s="6" t="s">
        <v>14</v>
      </c>
      <c r="F1990" s="7">
        <v>3551</v>
      </c>
      <c r="G1990" s="7">
        <v>111342.5770205576</v>
      </c>
      <c r="H1990" s="7">
        <v>395377491</v>
      </c>
      <c r="I1990" s="7">
        <v>41699501</v>
      </c>
      <c r="J1990" s="7">
        <v>0</v>
      </c>
      <c r="K1990">
        <f t="shared" si="30"/>
        <v>31</v>
      </c>
      <c r="L1990" s="8" t="str" cm="1">
        <f t="array" ref="L1990">_xlfn.IFS(
 AND(K1990&gt;=89,K1990&lt;=92),"3개월",
 AND(K1990&gt;=58,K1990&lt;=62),"2개월",
 AND(K1990&gt;=28,K1990&lt;=32),"1개월",
 AND(K1990=0),"당월",
 TRUE,"그외"
)</f>
        <v>1개월</v>
      </c>
    </row>
    <row r="1991" spans="1:12" x14ac:dyDescent="0.3">
      <c r="A1991" s="5">
        <v>46023</v>
      </c>
      <c r="B1991" s="6" t="s">
        <v>20</v>
      </c>
      <c r="C1991" s="6" t="s">
        <v>38</v>
      </c>
      <c r="D1991" s="5">
        <v>45992</v>
      </c>
      <c r="E1991" s="6" t="s">
        <v>15</v>
      </c>
      <c r="F1991" s="7">
        <v>2083</v>
      </c>
      <c r="G1991" s="7">
        <v>122604.6509841575</v>
      </c>
      <c r="H1991" s="7">
        <v>255385488</v>
      </c>
      <c r="I1991" s="7">
        <v>27285077</v>
      </c>
      <c r="J1991" s="7">
        <v>0</v>
      </c>
      <c r="K1991">
        <f t="shared" si="30"/>
        <v>31</v>
      </c>
      <c r="L1991" s="8" t="str" cm="1">
        <f t="array" ref="L1991">_xlfn.IFS(
 AND(K1991&gt;=89,K1991&lt;=92),"3개월",
 AND(K1991&gt;=58,K1991&lt;=62),"2개월",
 AND(K1991&gt;=28,K1991&lt;=32),"1개월",
 AND(K1991=0),"당월",
 TRUE,"그외"
)</f>
        <v>1개월</v>
      </c>
    </row>
    <row r="1992" spans="1:12" x14ac:dyDescent="0.3">
      <c r="A1992" s="5">
        <v>46023</v>
      </c>
      <c r="B1992" s="6" t="s">
        <v>20</v>
      </c>
      <c r="C1992" s="6" t="s">
        <v>38</v>
      </c>
      <c r="D1992" s="5">
        <v>46023</v>
      </c>
      <c r="E1992" s="6" t="s">
        <v>14</v>
      </c>
      <c r="F1992" s="7">
        <v>2130</v>
      </c>
      <c r="G1992" s="7">
        <v>134896.47652582161</v>
      </c>
      <c r="H1992" s="7">
        <v>287329495</v>
      </c>
      <c r="I1992" s="7">
        <v>25400557</v>
      </c>
      <c r="J1992" s="7">
        <v>0</v>
      </c>
      <c r="K1992">
        <f t="shared" si="30"/>
        <v>0</v>
      </c>
      <c r="L1992" s="8" t="str" cm="1">
        <f t="array" ref="L1992">_xlfn.IFS(
 AND(K1992&gt;=89,K1992&lt;=92),"3개월",
 AND(K1992&gt;=58,K1992&lt;=62),"2개월",
 AND(K1992&gt;=28,K1992&lt;=32),"1개월",
 AND(K1992=0),"당월",
 TRUE,"그외"
)</f>
        <v>당월</v>
      </c>
    </row>
    <row r="1993" spans="1:12" x14ac:dyDescent="0.3">
      <c r="A1993" s="5">
        <v>46023</v>
      </c>
      <c r="B1993" s="6" t="s">
        <v>20</v>
      </c>
      <c r="C1993" s="6" t="s">
        <v>38</v>
      </c>
      <c r="D1993" s="5">
        <v>46023</v>
      </c>
      <c r="E1993" s="6" t="s">
        <v>15</v>
      </c>
      <c r="F1993" s="7">
        <v>938</v>
      </c>
      <c r="G1993" s="7">
        <v>141691.75479744139</v>
      </c>
      <c r="H1993" s="7">
        <v>132906866</v>
      </c>
      <c r="I1993" s="7">
        <v>12434657</v>
      </c>
      <c r="J1993" s="7">
        <v>0</v>
      </c>
      <c r="K1993">
        <f t="shared" si="30"/>
        <v>0</v>
      </c>
      <c r="L1993" s="8" t="str" cm="1">
        <f t="array" ref="L1993">_xlfn.IFS(
 AND(K1993&gt;=89,K1993&lt;=92),"3개월",
 AND(K1993&gt;=58,K1993&lt;=62),"2개월",
 AND(K1993&gt;=28,K1993&lt;=32),"1개월",
 AND(K1993=0),"당월",
 TRUE,"그외"
)</f>
        <v>당월</v>
      </c>
    </row>
    <row r="1994" spans="1:12" x14ac:dyDescent="0.3">
      <c r="A1994" s="5">
        <v>46023</v>
      </c>
      <c r="B1994" s="6" t="s">
        <v>40</v>
      </c>
      <c r="C1994" s="6" t="s">
        <v>99</v>
      </c>
      <c r="D1994" s="5">
        <v>45992</v>
      </c>
      <c r="E1994" s="6" t="s">
        <v>14</v>
      </c>
      <c r="F1994" s="7">
        <v>466</v>
      </c>
      <c r="G1994" s="7">
        <v>88574.508583690986</v>
      </c>
      <c r="H1994" s="7">
        <v>41275721</v>
      </c>
      <c r="I1994" s="7">
        <v>7610431</v>
      </c>
      <c r="J1994" s="7">
        <v>0</v>
      </c>
      <c r="K1994">
        <f t="shared" ref="K1994:K2057" si="31">A1994-D1994</f>
        <v>31</v>
      </c>
      <c r="L1994" s="8" t="str" cm="1">
        <f t="array" ref="L1994">_xlfn.IFS(
 AND(K1994&gt;=89,K1994&lt;=92),"3개월",
 AND(K1994&gt;=58,K1994&lt;=62),"2개월",
 AND(K1994&gt;=28,K1994&lt;=32),"1개월",
 AND(K1994=0),"당월",
 TRUE,"그외"
)</f>
        <v>1개월</v>
      </c>
    </row>
    <row r="1995" spans="1:12" x14ac:dyDescent="0.3">
      <c r="A1995" s="5">
        <v>46023</v>
      </c>
      <c r="B1995" s="6" t="s">
        <v>40</v>
      </c>
      <c r="C1995" s="6" t="s">
        <v>99</v>
      </c>
      <c r="D1995" s="5">
        <v>45992</v>
      </c>
      <c r="E1995" s="6" t="s">
        <v>15</v>
      </c>
      <c r="F1995" s="7">
        <v>330</v>
      </c>
      <c r="G1995" s="7">
        <v>134623.4212121212</v>
      </c>
      <c r="H1995" s="7">
        <v>44425729</v>
      </c>
      <c r="I1995" s="7">
        <v>5435465</v>
      </c>
      <c r="J1995" s="7">
        <v>0</v>
      </c>
      <c r="K1995">
        <f t="shared" si="31"/>
        <v>31</v>
      </c>
      <c r="L1995" s="8" t="str" cm="1">
        <f t="array" ref="L1995">_xlfn.IFS(
 AND(K1995&gt;=89,K1995&lt;=92),"3개월",
 AND(K1995&gt;=58,K1995&lt;=62),"2개월",
 AND(K1995&gt;=28,K1995&lt;=32),"1개월",
 AND(K1995=0),"당월",
 TRUE,"그외"
)</f>
        <v>1개월</v>
      </c>
    </row>
    <row r="1996" spans="1:12" x14ac:dyDescent="0.3">
      <c r="A1996" s="5">
        <v>46023</v>
      </c>
      <c r="B1996" s="6" t="s">
        <v>40</v>
      </c>
      <c r="C1996" s="6" t="s">
        <v>99</v>
      </c>
      <c r="D1996" s="5">
        <v>46023</v>
      </c>
      <c r="E1996" s="6" t="s">
        <v>14</v>
      </c>
      <c r="F1996" s="7">
        <v>4802</v>
      </c>
      <c r="G1996" s="7">
        <v>86191.569762598912</v>
      </c>
      <c r="H1996" s="7">
        <v>413891918</v>
      </c>
      <c r="I1996" s="7">
        <v>112226486</v>
      </c>
      <c r="J1996" s="7">
        <v>0</v>
      </c>
      <c r="K1996">
        <f t="shared" si="31"/>
        <v>0</v>
      </c>
      <c r="L1996" s="8" t="str" cm="1">
        <f t="array" ref="L1996">_xlfn.IFS(
 AND(K1996&gt;=89,K1996&lt;=92),"3개월",
 AND(K1996&gt;=58,K1996&lt;=62),"2개월",
 AND(K1996&gt;=28,K1996&lt;=32),"1개월",
 AND(K1996=0),"당월",
 TRUE,"그외"
)</f>
        <v>당월</v>
      </c>
    </row>
    <row r="1997" spans="1:12" x14ac:dyDescent="0.3">
      <c r="A1997" s="5">
        <v>46023</v>
      </c>
      <c r="B1997" s="6" t="s">
        <v>40</v>
      </c>
      <c r="C1997" s="6" t="s">
        <v>99</v>
      </c>
      <c r="D1997" s="5">
        <v>46023</v>
      </c>
      <c r="E1997" s="6" t="s">
        <v>15</v>
      </c>
      <c r="F1997" s="7">
        <v>4254</v>
      </c>
      <c r="G1997" s="7">
        <v>110725.10625293841</v>
      </c>
      <c r="H1997" s="7">
        <v>471024602</v>
      </c>
      <c r="I1997" s="7">
        <v>78181747</v>
      </c>
      <c r="J1997" s="7">
        <v>0</v>
      </c>
      <c r="K1997">
        <f t="shared" si="31"/>
        <v>0</v>
      </c>
      <c r="L1997" s="8" t="str" cm="1">
        <f t="array" ref="L1997">_xlfn.IFS(
 AND(K1997&gt;=89,K1997&lt;=92),"3개월",
 AND(K1997&gt;=58,K1997&lt;=62),"2개월",
 AND(K1997&gt;=28,K1997&lt;=32),"1개월",
 AND(K1997=0),"당월",
 TRUE,"그외"
)</f>
        <v>당월</v>
      </c>
    </row>
    <row r="1998" spans="1:12" x14ac:dyDescent="0.3">
      <c r="A1998" s="5">
        <v>46023</v>
      </c>
      <c r="B1998" s="6" t="s">
        <v>40</v>
      </c>
      <c r="C1998" s="6" t="s">
        <v>100</v>
      </c>
      <c r="D1998" s="5">
        <v>45962</v>
      </c>
      <c r="E1998" s="6" t="s">
        <v>15</v>
      </c>
      <c r="F1998" s="7">
        <v>108</v>
      </c>
      <c r="G1998" s="7">
        <v>0</v>
      </c>
      <c r="H1998" s="7">
        <v>0</v>
      </c>
      <c r="I1998" s="7">
        <v>0</v>
      </c>
      <c r="J1998" s="7">
        <v>0</v>
      </c>
      <c r="K1998">
        <f t="shared" si="31"/>
        <v>61</v>
      </c>
      <c r="L1998" s="8" t="str" cm="1">
        <f t="array" ref="L1998">_xlfn.IFS(
 AND(K1998&gt;=89,K1998&lt;=92),"3개월",
 AND(K1998&gt;=58,K1998&lt;=62),"2개월",
 AND(K1998&gt;=28,K1998&lt;=32),"1개월",
 AND(K1998=0),"당월",
 TRUE,"그외"
)</f>
        <v>2개월</v>
      </c>
    </row>
    <row r="1999" spans="1:12" x14ac:dyDescent="0.3">
      <c r="A1999" s="5">
        <v>46023</v>
      </c>
      <c r="B1999" s="6" t="s">
        <v>40</v>
      </c>
      <c r="C1999" s="6" t="s">
        <v>100</v>
      </c>
      <c r="D1999" s="5">
        <v>45992</v>
      </c>
      <c r="E1999" s="6" t="s">
        <v>14</v>
      </c>
      <c r="F1999" s="7">
        <v>321</v>
      </c>
      <c r="G1999" s="7">
        <v>0</v>
      </c>
      <c r="H1999" s="7">
        <v>0</v>
      </c>
      <c r="I1999" s="7">
        <v>0</v>
      </c>
      <c r="J1999" s="7">
        <v>0</v>
      </c>
      <c r="K1999">
        <f t="shared" si="31"/>
        <v>31</v>
      </c>
      <c r="L1999" s="8" t="str" cm="1">
        <f t="array" ref="L1999">_xlfn.IFS(
 AND(K1999&gt;=89,K1999&lt;=92),"3개월",
 AND(K1999&gt;=58,K1999&lt;=62),"2개월",
 AND(K1999&gt;=28,K1999&lt;=32),"1개월",
 AND(K1999=0),"당월",
 TRUE,"그외"
)</f>
        <v>1개월</v>
      </c>
    </row>
    <row r="2000" spans="1:12" x14ac:dyDescent="0.3">
      <c r="A2000" s="5">
        <v>46023</v>
      </c>
      <c r="B2000" s="6" t="s">
        <v>40</v>
      </c>
      <c r="C2000" s="6" t="s">
        <v>100</v>
      </c>
      <c r="D2000" s="5">
        <v>46023</v>
      </c>
      <c r="E2000" s="6" t="s">
        <v>14</v>
      </c>
      <c r="F2000" s="7">
        <v>1854</v>
      </c>
      <c r="G2000" s="7">
        <v>399765.99244875938</v>
      </c>
      <c r="H2000" s="7">
        <v>741166150</v>
      </c>
      <c r="I2000" s="7">
        <v>0</v>
      </c>
      <c r="J2000" s="7">
        <v>0</v>
      </c>
      <c r="K2000">
        <f t="shared" si="31"/>
        <v>0</v>
      </c>
      <c r="L2000" s="8" t="str" cm="1">
        <f t="array" ref="L2000">_xlfn.IFS(
 AND(K2000&gt;=89,K2000&lt;=92),"3개월",
 AND(K2000&gt;=58,K2000&lt;=62),"2개월",
 AND(K2000&gt;=28,K2000&lt;=32),"1개월",
 AND(K2000=0),"당월",
 TRUE,"그외"
)</f>
        <v>당월</v>
      </c>
    </row>
    <row r="2001" spans="1:12" x14ac:dyDescent="0.3">
      <c r="A2001" s="5">
        <v>46023</v>
      </c>
      <c r="B2001" s="6" t="s">
        <v>40</v>
      </c>
      <c r="C2001" s="6" t="s">
        <v>101</v>
      </c>
      <c r="D2001" s="5">
        <v>45992</v>
      </c>
      <c r="E2001" s="6" t="s">
        <v>14</v>
      </c>
      <c r="F2001" s="7">
        <v>409</v>
      </c>
      <c r="G2001" s="7">
        <v>83608.23960880196</v>
      </c>
      <c r="H2001" s="7">
        <v>34195770</v>
      </c>
      <c r="I2001" s="7">
        <v>0</v>
      </c>
      <c r="J2001" s="7">
        <v>0</v>
      </c>
      <c r="K2001">
        <f t="shared" si="31"/>
        <v>31</v>
      </c>
      <c r="L2001" s="8" t="str" cm="1">
        <f t="array" ref="L2001">_xlfn.IFS(
 AND(K2001&gt;=89,K2001&lt;=92),"3개월",
 AND(K2001&gt;=58,K2001&lt;=62),"2개월",
 AND(K2001&gt;=28,K2001&lt;=32),"1개월",
 AND(K2001=0),"당월",
 TRUE,"그외"
)</f>
        <v>1개월</v>
      </c>
    </row>
    <row r="2002" spans="1:12" x14ac:dyDescent="0.3">
      <c r="A2002" s="5">
        <v>46023</v>
      </c>
      <c r="B2002" s="6" t="s">
        <v>40</v>
      </c>
      <c r="C2002" s="6" t="s">
        <v>101</v>
      </c>
      <c r="D2002" s="5">
        <v>46023</v>
      </c>
      <c r="E2002" s="6" t="s">
        <v>14</v>
      </c>
      <c r="F2002" s="7">
        <v>1685</v>
      </c>
      <c r="G2002" s="7">
        <v>415913.90207715129</v>
      </c>
      <c r="H2002" s="7">
        <v>700814925</v>
      </c>
      <c r="I2002" s="7">
        <v>0</v>
      </c>
      <c r="J2002" s="7">
        <v>0</v>
      </c>
      <c r="K2002">
        <f t="shared" si="31"/>
        <v>0</v>
      </c>
      <c r="L2002" s="8" t="str" cm="1">
        <f t="array" ref="L2002">_xlfn.IFS(
 AND(K2002&gt;=89,K2002&lt;=92),"3개월",
 AND(K2002&gt;=58,K2002&lt;=62),"2개월",
 AND(K2002&gt;=28,K2002&lt;=32),"1개월",
 AND(K2002=0),"당월",
 TRUE,"그외"
)</f>
        <v>당월</v>
      </c>
    </row>
    <row r="2003" spans="1:12" x14ac:dyDescent="0.3">
      <c r="A2003" s="5">
        <v>46023</v>
      </c>
      <c r="B2003" s="6" t="s">
        <v>40</v>
      </c>
      <c r="C2003" s="6" t="s">
        <v>101</v>
      </c>
      <c r="D2003" s="5">
        <v>46023</v>
      </c>
      <c r="E2003" s="6" t="s">
        <v>15</v>
      </c>
      <c r="F2003" s="7">
        <v>4</v>
      </c>
      <c r="G2003" s="7">
        <v>28320</v>
      </c>
      <c r="H2003" s="7">
        <v>113280</v>
      </c>
      <c r="I2003" s="7">
        <v>0</v>
      </c>
      <c r="J2003" s="7">
        <v>0</v>
      </c>
      <c r="K2003">
        <f t="shared" si="31"/>
        <v>0</v>
      </c>
      <c r="L2003" s="8" t="str" cm="1">
        <f t="array" ref="L2003">_xlfn.IFS(
 AND(K2003&gt;=89,K2003&lt;=92),"3개월",
 AND(K2003&gt;=58,K2003&lt;=62),"2개월",
 AND(K2003&gt;=28,K2003&lt;=32),"1개월",
 AND(K2003=0),"당월",
 TRUE,"그외"
)</f>
        <v>당월</v>
      </c>
    </row>
    <row r="2004" spans="1:12" x14ac:dyDescent="0.3">
      <c r="A2004" s="5">
        <v>46023</v>
      </c>
      <c r="B2004" s="6" t="s">
        <v>40</v>
      </c>
      <c r="C2004" s="6" t="s">
        <v>102</v>
      </c>
      <c r="D2004" s="5">
        <v>45992</v>
      </c>
      <c r="E2004" s="6" t="s">
        <v>14</v>
      </c>
      <c r="F2004" s="7">
        <v>315</v>
      </c>
      <c r="G2004" s="7">
        <v>0</v>
      </c>
      <c r="H2004" s="7">
        <v>0</v>
      </c>
      <c r="I2004" s="7">
        <v>0</v>
      </c>
      <c r="J2004" s="7">
        <v>0</v>
      </c>
      <c r="K2004">
        <f t="shared" si="31"/>
        <v>31</v>
      </c>
      <c r="L2004" s="8" t="str" cm="1">
        <f t="array" ref="L2004">_xlfn.IFS(
 AND(K2004&gt;=89,K2004&lt;=92),"3개월",
 AND(K2004&gt;=58,K2004&lt;=62),"2개월",
 AND(K2004&gt;=28,K2004&lt;=32),"1개월",
 AND(K2004=0),"당월",
 TRUE,"그외"
)</f>
        <v>1개월</v>
      </c>
    </row>
    <row r="2005" spans="1:12" x14ac:dyDescent="0.3">
      <c r="A2005" s="5">
        <v>46023</v>
      </c>
      <c r="B2005" s="6" t="s">
        <v>40</v>
      </c>
      <c r="C2005" s="6" t="s">
        <v>102</v>
      </c>
      <c r="D2005" s="5">
        <v>46023</v>
      </c>
      <c r="E2005" s="6" t="s">
        <v>14</v>
      </c>
      <c r="F2005" s="7">
        <v>2129</v>
      </c>
      <c r="G2005" s="7">
        <v>347998.8961953969</v>
      </c>
      <c r="H2005" s="7">
        <v>740889650</v>
      </c>
      <c r="I2005" s="7">
        <v>0</v>
      </c>
      <c r="J2005" s="7">
        <v>0</v>
      </c>
      <c r="K2005">
        <f t="shared" si="31"/>
        <v>0</v>
      </c>
      <c r="L2005" s="8" t="str" cm="1">
        <f t="array" ref="L2005">_xlfn.IFS(
 AND(K2005&gt;=89,K2005&lt;=92),"3개월",
 AND(K2005&gt;=58,K2005&lt;=62),"2개월",
 AND(K2005&gt;=28,K2005&lt;=32),"1개월",
 AND(K2005=0),"당월",
 TRUE,"그외"
)</f>
        <v>당월</v>
      </c>
    </row>
    <row r="2006" spans="1:12" x14ac:dyDescent="0.3">
      <c r="A2006" s="5">
        <v>46023</v>
      </c>
      <c r="B2006" s="6" t="s">
        <v>40</v>
      </c>
      <c r="C2006" s="6" t="s">
        <v>103</v>
      </c>
      <c r="D2006" s="5">
        <v>45992</v>
      </c>
      <c r="E2006" s="6" t="s">
        <v>14</v>
      </c>
      <c r="F2006" s="7">
        <v>285</v>
      </c>
      <c r="G2006" s="7">
        <v>10047.36842105263</v>
      </c>
      <c r="H2006" s="7">
        <v>2863500</v>
      </c>
      <c r="I2006" s="7">
        <v>563500</v>
      </c>
      <c r="J2006" s="7">
        <v>0</v>
      </c>
      <c r="K2006">
        <f t="shared" si="31"/>
        <v>31</v>
      </c>
      <c r="L2006" s="8" t="str" cm="1">
        <f t="array" ref="L2006">_xlfn.IFS(
 AND(K2006&gt;=89,K2006&lt;=92),"3개월",
 AND(K2006&gt;=58,K2006&lt;=62),"2개월",
 AND(K2006&gt;=28,K2006&lt;=32),"1개월",
 AND(K2006=0),"당월",
 TRUE,"그외"
)</f>
        <v>1개월</v>
      </c>
    </row>
    <row r="2007" spans="1:12" x14ac:dyDescent="0.3">
      <c r="A2007" s="5">
        <v>46023</v>
      </c>
      <c r="B2007" s="6" t="s">
        <v>40</v>
      </c>
      <c r="C2007" s="6" t="s">
        <v>103</v>
      </c>
      <c r="D2007" s="5">
        <v>46023</v>
      </c>
      <c r="E2007" s="6" t="s">
        <v>14</v>
      </c>
      <c r="F2007" s="7">
        <v>1931</v>
      </c>
      <c r="G2007" s="7">
        <v>375911.0771620922</v>
      </c>
      <c r="H2007" s="7">
        <v>725884290</v>
      </c>
      <c r="I2007" s="7">
        <v>0</v>
      </c>
      <c r="J2007" s="7">
        <v>0</v>
      </c>
      <c r="K2007">
        <f t="shared" si="31"/>
        <v>0</v>
      </c>
      <c r="L2007" s="8" t="str" cm="1">
        <f t="array" ref="L2007">_xlfn.IFS(
 AND(K2007&gt;=89,K2007&lt;=92),"3개월",
 AND(K2007&gt;=58,K2007&lt;=62),"2개월",
 AND(K2007&gt;=28,K2007&lt;=32),"1개월",
 AND(K2007=0),"당월",
 TRUE,"그외"
)</f>
        <v>당월</v>
      </c>
    </row>
    <row r="2008" spans="1:12" x14ac:dyDescent="0.3">
      <c r="A2008" s="5">
        <v>46023</v>
      </c>
      <c r="B2008" s="6" t="s">
        <v>40</v>
      </c>
      <c r="C2008" s="6" t="s">
        <v>91</v>
      </c>
      <c r="D2008" s="5">
        <v>45901</v>
      </c>
      <c r="E2008" s="6" t="s">
        <v>15</v>
      </c>
      <c r="F2008" s="7">
        <v>8</v>
      </c>
      <c r="G2008" s="7">
        <v>116662</v>
      </c>
      <c r="H2008" s="7">
        <v>933296</v>
      </c>
      <c r="I2008" s="7">
        <v>410628</v>
      </c>
      <c r="J2008" s="7">
        <v>0</v>
      </c>
      <c r="K2008">
        <f t="shared" si="31"/>
        <v>122</v>
      </c>
      <c r="L2008" s="8" t="str" cm="1">
        <f t="array" ref="L2008">_xlfn.IFS(
 AND(K2008&gt;=89,K2008&lt;=92),"3개월",
 AND(K2008&gt;=58,K2008&lt;=62),"2개월",
 AND(K2008&gt;=28,K2008&lt;=32),"1개월",
 AND(K2008=0),"당월",
 TRUE,"그외"
)</f>
        <v>그외</v>
      </c>
    </row>
    <row r="2009" spans="1:12" x14ac:dyDescent="0.3">
      <c r="A2009" s="5">
        <v>46023</v>
      </c>
      <c r="B2009" s="6" t="s">
        <v>40</v>
      </c>
      <c r="C2009" s="6" t="s">
        <v>91</v>
      </c>
      <c r="D2009" s="5">
        <v>45931</v>
      </c>
      <c r="E2009" s="6" t="s">
        <v>15</v>
      </c>
      <c r="F2009" s="7">
        <v>34</v>
      </c>
      <c r="G2009" s="7">
        <v>107098.20588235289</v>
      </c>
      <c r="H2009" s="7">
        <v>3641339</v>
      </c>
      <c r="I2009" s="7">
        <v>1011518</v>
      </c>
      <c r="J2009" s="7">
        <v>0</v>
      </c>
      <c r="K2009">
        <f t="shared" si="31"/>
        <v>92</v>
      </c>
      <c r="L2009" s="8" t="str" cm="1">
        <f t="array" ref="L2009">_xlfn.IFS(
 AND(K2009&gt;=89,K2009&lt;=92),"3개월",
 AND(K2009&gt;=58,K2009&lt;=62),"2개월",
 AND(K2009&gt;=28,K2009&lt;=32),"1개월",
 AND(K2009=0),"당월",
 TRUE,"그외"
)</f>
        <v>3개월</v>
      </c>
    </row>
    <row r="2010" spans="1:12" x14ac:dyDescent="0.3">
      <c r="A2010" s="5">
        <v>46023</v>
      </c>
      <c r="B2010" s="6" t="s">
        <v>40</v>
      </c>
      <c r="C2010" s="6" t="s">
        <v>91</v>
      </c>
      <c r="D2010" s="5">
        <v>45962</v>
      </c>
      <c r="E2010" s="6" t="s">
        <v>15</v>
      </c>
      <c r="F2010" s="7">
        <v>110</v>
      </c>
      <c r="G2010" s="7">
        <v>97167.954545454544</v>
      </c>
      <c r="H2010" s="7">
        <v>10688475</v>
      </c>
      <c r="I2010" s="7">
        <v>2696724</v>
      </c>
      <c r="J2010" s="7">
        <v>0</v>
      </c>
      <c r="K2010">
        <f t="shared" si="31"/>
        <v>61</v>
      </c>
      <c r="L2010" s="8" t="str" cm="1">
        <f t="array" ref="L2010">_xlfn.IFS(
 AND(K2010&gt;=89,K2010&lt;=92),"3개월",
 AND(K2010&gt;=58,K2010&lt;=62),"2개월",
 AND(K2010&gt;=28,K2010&lt;=32),"1개월",
 AND(K2010=0),"당월",
 TRUE,"그외"
)</f>
        <v>2개월</v>
      </c>
    </row>
    <row r="2011" spans="1:12" x14ac:dyDescent="0.3">
      <c r="A2011" s="5">
        <v>46023</v>
      </c>
      <c r="B2011" s="6" t="s">
        <v>40</v>
      </c>
      <c r="C2011" s="6" t="s">
        <v>91</v>
      </c>
      <c r="D2011" s="5">
        <v>45992</v>
      </c>
      <c r="E2011" s="6" t="s">
        <v>14</v>
      </c>
      <c r="F2011" s="7">
        <v>509</v>
      </c>
      <c r="G2011" s="7">
        <v>94176.60117878193</v>
      </c>
      <c r="H2011" s="7">
        <v>47935890</v>
      </c>
      <c r="I2011" s="7">
        <v>27807041</v>
      </c>
      <c r="J2011" s="7">
        <v>0</v>
      </c>
      <c r="K2011">
        <f t="shared" si="31"/>
        <v>31</v>
      </c>
      <c r="L2011" s="8" t="str" cm="1">
        <f t="array" ref="L2011">_xlfn.IFS(
 AND(K2011&gt;=89,K2011&lt;=92),"3개월",
 AND(K2011&gt;=58,K2011&lt;=62),"2개월",
 AND(K2011&gt;=28,K2011&lt;=32),"1개월",
 AND(K2011=0),"당월",
 TRUE,"그외"
)</f>
        <v>1개월</v>
      </c>
    </row>
    <row r="2012" spans="1:12" x14ac:dyDescent="0.3">
      <c r="A2012" s="5">
        <v>46023</v>
      </c>
      <c r="B2012" s="6" t="s">
        <v>40</v>
      </c>
      <c r="C2012" s="6" t="s">
        <v>91</v>
      </c>
      <c r="D2012" s="5">
        <v>45992</v>
      </c>
      <c r="E2012" s="6" t="s">
        <v>15</v>
      </c>
      <c r="F2012" s="7">
        <v>375</v>
      </c>
      <c r="G2012" s="7">
        <v>101761.4853333333</v>
      </c>
      <c r="H2012" s="7">
        <v>38160557</v>
      </c>
      <c r="I2012" s="7">
        <v>7208647</v>
      </c>
      <c r="J2012" s="7">
        <v>0</v>
      </c>
      <c r="K2012">
        <f t="shared" si="31"/>
        <v>31</v>
      </c>
      <c r="L2012" s="8" t="str" cm="1">
        <f t="array" ref="L2012">_xlfn.IFS(
 AND(K2012&gt;=89,K2012&lt;=92),"3개월",
 AND(K2012&gt;=58,K2012&lt;=62),"2개월",
 AND(K2012&gt;=28,K2012&lt;=32),"1개월",
 AND(K2012=0),"당월",
 TRUE,"그외"
)</f>
        <v>1개월</v>
      </c>
    </row>
    <row r="2013" spans="1:12" x14ac:dyDescent="0.3">
      <c r="A2013" s="5">
        <v>46023</v>
      </c>
      <c r="B2013" s="6" t="s">
        <v>40</v>
      </c>
      <c r="C2013" s="6" t="s">
        <v>91</v>
      </c>
      <c r="D2013" s="5">
        <v>46023</v>
      </c>
      <c r="E2013" s="6" t="s">
        <v>14</v>
      </c>
      <c r="F2013" s="7">
        <v>1080</v>
      </c>
      <c r="G2013" s="7">
        <v>87745.238888888882</v>
      </c>
      <c r="H2013" s="7">
        <v>94764858</v>
      </c>
      <c r="I2013" s="7">
        <v>51598173</v>
      </c>
      <c r="J2013" s="7">
        <v>0</v>
      </c>
      <c r="K2013">
        <f t="shared" si="31"/>
        <v>0</v>
      </c>
      <c r="L2013" s="8" t="str" cm="1">
        <f t="array" ref="L2013">_xlfn.IFS(
 AND(K2013&gt;=89,K2013&lt;=92),"3개월",
 AND(K2013&gt;=58,K2013&lt;=62),"2개월",
 AND(K2013&gt;=28,K2013&lt;=32),"1개월",
 AND(K2013=0),"당월",
 TRUE,"그외"
)</f>
        <v>당월</v>
      </c>
    </row>
    <row r="2014" spans="1:12" x14ac:dyDescent="0.3">
      <c r="A2014" s="5">
        <v>46023</v>
      </c>
      <c r="B2014" s="6" t="s">
        <v>40</v>
      </c>
      <c r="C2014" s="6" t="s">
        <v>91</v>
      </c>
      <c r="D2014" s="5">
        <v>46023</v>
      </c>
      <c r="E2014" s="6" t="s">
        <v>15</v>
      </c>
      <c r="F2014" s="7">
        <v>361</v>
      </c>
      <c r="G2014" s="7">
        <v>124341.4792243767</v>
      </c>
      <c r="H2014" s="7">
        <v>44887274</v>
      </c>
      <c r="I2014" s="7">
        <v>10422929</v>
      </c>
      <c r="J2014" s="7">
        <v>0</v>
      </c>
      <c r="K2014">
        <f t="shared" si="31"/>
        <v>0</v>
      </c>
      <c r="L2014" s="8" t="str" cm="1">
        <f t="array" ref="L2014">_xlfn.IFS(
 AND(K2014&gt;=89,K2014&lt;=92),"3개월",
 AND(K2014&gt;=58,K2014&lt;=62),"2개월",
 AND(K2014&gt;=28,K2014&lt;=32),"1개월",
 AND(K2014=0),"당월",
 TRUE,"그외"
)</f>
        <v>당월</v>
      </c>
    </row>
    <row r="2015" spans="1:12" x14ac:dyDescent="0.3">
      <c r="A2015" s="5">
        <v>46023</v>
      </c>
      <c r="B2015" s="6" t="s">
        <v>40</v>
      </c>
      <c r="C2015" s="6" t="s">
        <v>42</v>
      </c>
      <c r="D2015" s="5">
        <v>45962</v>
      </c>
      <c r="E2015" s="6" t="s">
        <v>14</v>
      </c>
      <c r="F2015" s="7">
        <v>96</v>
      </c>
      <c r="G2015" s="7">
        <v>136045.83333333331</v>
      </c>
      <c r="H2015" s="7">
        <v>13060400</v>
      </c>
      <c r="I2015" s="7">
        <v>1622400</v>
      </c>
      <c r="J2015" s="7">
        <v>0</v>
      </c>
      <c r="K2015">
        <f t="shared" si="31"/>
        <v>61</v>
      </c>
      <c r="L2015" s="8" t="str" cm="1">
        <f t="array" ref="L2015">_xlfn.IFS(
 AND(K2015&gt;=89,K2015&lt;=92),"3개월",
 AND(K2015&gt;=58,K2015&lt;=62),"2개월",
 AND(K2015&gt;=28,K2015&lt;=32),"1개월",
 AND(K2015=0),"당월",
 TRUE,"그외"
)</f>
        <v>2개월</v>
      </c>
    </row>
    <row r="2016" spans="1:12" x14ac:dyDescent="0.3">
      <c r="A2016" s="5">
        <v>46023</v>
      </c>
      <c r="B2016" s="6" t="s">
        <v>40</v>
      </c>
      <c r="C2016" s="6" t="s">
        <v>42</v>
      </c>
      <c r="D2016" s="5">
        <v>45992</v>
      </c>
      <c r="E2016" s="6" t="s">
        <v>14</v>
      </c>
      <c r="F2016" s="7">
        <v>781</v>
      </c>
      <c r="G2016" s="7">
        <v>127756.97823303461</v>
      </c>
      <c r="H2016" s="7">
        <v>99778200</v>
      </c>
      <c r="I2016" s="7">
        <v>15776200</v>
      </c>
      <c r="J2016" s="7">
        <v>0</v>
      </c>
      <c r="K2016">
        <f t="shared" si="31"/>
        <v>31</v>
      </c>
      <c r="L2016" s="8" t="str" cm="1">
        <f t="array" ref="L2016">_xlfn.IFS(
 AND(K2016&gt;=89,K2016&lt;=92),"3개월",
 AND(K2016&gt;=58,K2016&lt;=62),"2개월",
 AND(K2016&gt;=28,K2016&lt;=32),"1개월",
 AND(K2016=0),"당월",
 TRUE,"그외"
)</f>
        <v>1개월</v>
      </c>
    </row>
    <row r="2017" spans="1:12" x14ac:dyDescent="0.3">
      <c r="A2017" s="5">
        <v>46023</v>
      </c>
      <c r="B2017" s="6" t="s">
        <v>40</v>
      </c>
      <c r="C2017" s="6" t="s">
        <v>42</v>
      </c>
      <c r="D2017" s="5">
        <v>45992</v>
      </c>
      <c r="E2017" s="6" t="s">
        <v>15</v>
      </c>
      <c r="F2017" s="7">
        <v>20</v>
      </c>
      <c r="G2017" s="7">
        <v>1566.4</v>
      </c>
      <c r="H2017" s="7">
        <v>31328</v>
      </c>
      <c r="I2017" s="7">
        <v>0</v>
      </c>
      <c r="J2017" s="7">
        <v>0</v>
      </c>
      <c r="K2017">
        <f t="shared" si="31"/>
        <v>31</v>
      </c>
      <c r="L2017" s="8" t="str" cm="1">
        <f t="array" ref="L2017">_xlfn.IFS(
 AND(K2017&gt;=89,K2017&lt;=92),"3개월",
 AND(K2017&gt;=58,K2017&lt;=62),"2개월",
 AND(K2017&gt;=28,K2017&lt;=32),"1개월",
 AND(K2017=0),"당월",
 TRUE,"그외"
)</f>
        <v>1개월</v>
      </c>
    </row>
    <row r="2018" spans="1:12" x14ac:dyDescent="0.3">
      <c r="A2018" s="5">
        <v>46023</v>
      </c>
      <c r="B2018" s="6" t="s">
        <v>40</v>
      </c>
      <c r="C2018" s="6" t="s">
        <v>42</v>
      </c>
      <c r="D2018" s="5">
        <v>46023</v>
      </c>
      <c r="E2018" s="6" t="s">
        <v>14</v>
      </c>
      <c r="F2018" s="7">
        <v>1954</v>
      </c>
      <c r="G2018" s="7">
        <v>126451.5864892528</v>
      </c>
      <c r="H2018" s="7">
        <v>247086400</v>
      </c>
      <c r="I2018" s="7">
        <v>40252400</v>
      </c>
      <c r="J2018" s="7">
        <v>0</v>
      </c>
      <c r="K2018">
        <f t="shared" si="31"/>
        <v>0</v>
      </c>
      <c r="L2018" s="8" t="str" cm="1">
        <f t="array" ref="L2018">_xlfn.IFS(
 AND(K2018&gt;=89,K2018&lt;=92),"3개월",
 AND(K2018&gt;=58,K2018&lt;=62),"2개월",
 AND(K2018&gt;=28,K2018&lt;=32),"1개월",
 AND(K2018=0),"당월",
 TRUE,"그외"
)</f>
        <v>당월</v>
      </c>
    </row>
    <row r="2019" spans="1:12" x14ac:dyDescent="0.3">
      <c r="A2019" s="5">
        <v>46023</v>
      </c>
      <c r="B2019" s="6" t="s">
        <v>40</v>
      </c>
      <c r="C2019" s="6" t="s">
        <v>42</v>
      </c>
      <c r="D2019" s="5">
        <v>46023</v>
      </c>
      <c r="E2019" s="6" t="s">
        <v>15</v>
      </c>
      <c r="F2019" s="7">
        <v>3</v>
      </c>
      <c r="G2019" s="7">
        <v>353431.66666666669</v>
      </c>
      <c r="H2019" s="7">
        <v>1060295</v>
      </c>
      <c r="I2019" s="7">
        <v>101299</v>
      </c>
      <c r="J2019" s="7">
        <v>0</v>
      </c>
      <c r="K2019">
        <f t="shared" si="31"/>
        <v>0</v>
      </c>
      <c r="L2019" s="8" t="str" cm="1">
        <f t="array" ref="L2019">_xlfn.IFS(
 AND(K2019&gt;=89,K2019&lt;=92),"3개월",
 AND(K2019&gt;=58,K2019&lt;=62),"2개월",
 AND(K2019&gt;=28,K2019&lt;=32),"1개월",
 AND(K2019=0),"당월",
 TRUE,"그외"
)</f>
        <v>당월</v>
      </c>
    </row>
    <row r="2020" spans="1:12" x14ac:dyDescent="0.3">
      <c r="A2020" s="5">
        <v>46023</v>
      </c>
      <c r="B2020" s="6" t="s">
        <v>40</v>
      </c>
      <c r="C2020" s="6" t="s">
        <v>47</v>
      </c>
      <c r="D2020" s="5">
        <v>45839</v>
      </c>
      <c r="E2020" s="6" t="s">
        <v>15</v>
      </c>
      <c r="F2020" s="7">
        <v>215</v>
      </c>
      <c r="G2020" s="7">
        <v>134105.4093023256</v>
      </c>
      <c r="H2020" s="7">
        <v>28832663</v>
      </c>
      <c r="I2020" s="7">
        <v>3588460</v>
      </c>
      <c r="J2020" s="7">
        <v>0</v>
      </c>
      <c r="K2020">
        <f t="shared" si="31"/>
        <v>184</v>
      </c>
      <c r="L2020" s="8" t="str" cm="1">
        <f t="array" ref="L2020">_xlfn.IFS(
 AND(K2020&gt;=89,K2020&lt;=92),"3개월",
 AND(K2020&gt;=58,K2020&lt;=62),"2개월",
 AND(K2020&gt;=28,K2020&lt;=32),"1개월",
 AND(K2020=0),"당월",
 TRUE,"그외"
)</f>
        <v>그외</v>
      </c>
    </row>
    <row r="2021" spans="1:12" x14ac:dyDescent="0.3">
      <c r="A2021" s="5">
        <v>46023</v>
      </c>
      <c r="B2021" s="6" t="s">
        <v>40</v>
      </c>
      <c r="C2021" s="6" t="s">
        <v>47</v>
      </c>
      <c r="D2021" s="5">
        <v>45870</v>
      </c>
      <c r="E2021" s="6" t="s">
        <v>15</v>
      </c>
      <c r="F2021" s="7">
        <v>368</v>
      </c>
      <c r="G2021" s="7">
        <v>156899.86684782611</v>
      </c>
      <c r="H2021" s="7">
        <v>57739151</v>
      </c>
      <c r="I2021" s="7">
        <v>8119959</v>
      </c>
      <c r="J2021" s="7">
        <v>0</v>
      </c>
      <c r="K2021">
        <f t="shared" si="31"/>
        <v>153</v>
      </c>
      <c r="L2021" s="8" t="str" cm="1">
        <f t="array" ref="L2021">_xlfn.IFS(
 AND(K2021&gt;=89,K2021&lt;=92),"3개월",
 AND(K2021&gt;=58,K2021&lt;=62),"2개월",
 AND(K2021&gt;=28,K2021&lt;=32),"1개월",
 AND(K2021=0),"당월",
 TRUE,"그외"
)</f>
        <v>그외</v>
      </c>
    </row>
    <row r="2022" spans="1:12" x14ac:dyDescent="0.3">
      <c r="A2022" s="5">
        <v>46023</v>
      </c>
      <c r="B2022" s="6" t="s">
        <v>40</v>
      </c>
      <c r="C2022" s="6" t="s">
        <v>47</v>
      </c>
      <c r="D2022" s="5">
        <v>45901</v>
      </c>
      <c r="E2022" s="6" t="s">
        <v>15</v>
      </c>
      <c r="F2022" s="7">
        <v>505</v>
      </c>
      <c r="G2022" s="7">
        <v>162119.95445544549</v>
      </c>
      <c r="H2022" s="7">
        <v>81870577</v>
      </c>
      <c r="I2022" s="7">
        <v>11278123</v>
      </c>
      <c r="J2022" s="7">
        <v>0</v>
      </c>
      <c r="K2022">
        <f t="shared" si="31"/>
        <v>122</v>
      </c>
      <c r="L2022" s="8" t="str" cm="1">
        <f t="array" ref="L2022">_xlfn.IFS(
 AND(K2022&gt;=89,K2022&lt;=92),"3개월",
 AND(K2022&gt;=58,K2022&lt;=62),"2개월",
 AND(K2022&gt;=28,K2022&lt;=32),"1개월",
 AND(K2022=0),"당월",
 TRUE,"그외"
)</f>
        <v>그외</v>
      </c>
    </row>
    <row r="2023" spans="1:12" x14ac:dyDescent="0.3">
      <c r="A2023" s="5">
        <v>46023</v>
      </c>
      <c r="B2023" s="6" t="s">
        <v>40</v>
      </c>
      <c r="C2023" s="6" t="s">
        <v>47</v>
      </c>
      <c r="D2023" s="5">
        <v>45931</v>
      </c>
      <c r="E2023" s="6" t="s">
        <v>15</v>
      </c>
      <c r="F2023" s="7">
        <v>740</v>
      </c>
      <c r="G2023" s="7">
        <v>171688.92162162159</v>
      </c>
      <c r="H2023" s="7">
        <v>127049802</v>
      </c>
      <c r="I2023" s="7">
        <v>16430502</v>
      </c>
      <c r="J2023" s="7">
        <v>0</v>
      </c>
      <c r="K2023">
        <f t="shared" si="31"/>
        <v>92</v>
      </c>
      <c r="L2023" s="8" t="str" cm="1">
        <f t="array" ref="L2023">_xlfn.IFS(
 AND(K2023&gt;=89,K2023&lt;=92),"3개월",
 AND(K2023&gt;=58,K2023&lt;=62),"2개월",
 AND(K2023&gt;=28,K2023&lt;=32),"1개월",
 AND(K2023=0),"당월",
 TRUE,"그외"
)</f>
        <v>3개월</v>
      </c>
    </row>
    <row r="2024" spans="1:12" x14ac:dyDescent="0.3">
      <c r="A2024" s="5">
        <v>46023</v>
      </c>
      <c r="B2024" s="6" t="s">
        <v>40</v>
      </c>
      <c r="C2024" s="6" t="s">
        <v>47</v>
      </c>
      <c r="D2024" s="5">
        <v>45962</v>
      </c>
      <c r="E2024" s="6" t="s">
        <v>14</v>
      </c>
      <c r="F2024" s="7">
        <v>138</v>
      </c>
      <c r="G2024" s="7">
        <v>125955.0724637681</v>
      </c>
      <c r="H2024" s="7">
        <v>17381800</v>
      </c>
      <c r="I2024" s="7">
        <v>2911800</v>
      </c>
      <c r="J2024" s="7">
        <v>0</v>
      </c>
      <c r="K2024">
        <f t="shared" si="31"/>
        <v>61</v>
      </c>
      <c r="L2024" s="8" t="str" cm="1">
        <f t="array" ref="L2024">_xlfn.IFS(
 AND(K2024&gt;=89,K2024&lt;=92),"3개월",
 AND(K2024&gt;=58,K2024&lt;=62),"2개월",
 AND(K2024&gt;=28,K2024&lt;=32),"1개월",
 AND(K2024=0),"당월",
 TRUE,"그외"
)</f>
        <v>2개월</v>
      </c>
    </row>
    <row r="2025" spans="1:12" x14ac:dyDescent="0.3">
      <c r="A2025" s="5">
        <v>46023</v>
      </c>
      <c r="B2025" s="6" t="s">
        <v>40</v>
      </c>
      <c r="C2025" s="6" t="s">
        <v>47</v>
      </c>
      <c r="D2025" s="5">
        <v>45962</v>
      </c>
      <c r="E2025" s="6" t="s">
        <v>15</v>
      </c>
      <c r="F2025" s="7">
        <v>2041</v>
      </c>
      <c r="G2025" s="7">
        <v>165151.34149926511</v>
      </c>
      <c r="H2025" s="7">
        <v>337073888</v>
      </c>
      <c r="I2025" s="7">
        <v>46209934</v>
      </c>
      <c r="J2025" s="7">
        <v>0</v>
      </c>
      <c r="K2025">
        <f t="shared" si="31"/>
        <v>61</v>
      </c>
      <c r="L2025" s="8" t="str" cm="1">
        <f t="array" ref="L2025">_xlfn.IFS(
 AND(K2025&gt;=89,K2025&lt;=92),"3개월",
 AND(K2025&gt;=58,K2025&lt;=62),"2개월",
 AND(K2025&gt;=28,K2025&lt;=32),"1개월",
 AND(K2025=0),"당월",
 TRUE,"그외"
)</f>
        <v>2개월</v>
      </c>
    </row>
    <row r="2026" spans="1:12" x14ac:dyDescent="0.3">
      <c r="A2026" s="5">
        <v>46023</v>
      </c>
      <c r="B2026" s="6" t="s">
        <v>40</v>
      </c>
      <c r="C2026" s="6" t="s">
        <v>47</v>
      </c>
      <c r="D2026" s="5">
        <v>45992</v>
      </c>
      <c r="E2026" s="6" t="s">
        <v>14</v>
      </c>
      <c r="F2026" s="7">
        <v>2997</v>
      </c>
      <c r="G2026" s="7">
        <v>122089.31498164831</v>
      </c>
      <c r="H2026" s="7">
        <v>365901677</v>
      </c>
      <c r="I2026" s="7">
        <v>75881479</v>
      </c>
      <c r="J2026" s="7">
        <v>0</v>
      </c>
      <c r="K2026">
        <f t="shared" si="31"/>
        <v>31</v>
      </c>
      <c r="L2026" s="8" t="str" cm="1">
        <f t="array" ref="L2026">_xlfn.IFS(
 AND(K2026&gt;=89,K2026&lt;=92),"3개월",
 AND(K2026&gt;=58,K2026&lt;=62),"2개월",
 AND(K2026&gt;=28,K2026&lt;=32),"1개월",
 AND(K2026=0),"당월",
 TRUE,"그외"
)</f>
        <v>1개월</v>
      </c>
    </row>
    <row r="2027" spans="1:12" x14ac:dyDescent="0.3">
      <c r="A2027" s="5">
        <v>46023</v>
      </c>
      <c r="B2027" s="6" t="s">
        <v>40</v>
      </c>
      <c r="C2027" s="6" t="s">
        <v>47</v>
      </c>
      <c r="D2027" s="5">
        <v>45992</v>
      </c>
      <c r="E2027" s="6" t="s">
        <v>15</v>
      </c>
      <c r="F2027" s="7">
        <v>5998</v>
      </c>
      <c r="G2027" s="7">
        <v>142468.95531843949</v>
      </c>
      <c r="H2027" s="7">
        <v>854528794</v>
      </c>
      <c r="I2027" s="7">
        <v>151359119</v>
      </c>
      <c r="J2027" s="7">
        <v>0</v>
      </c>
      <c r="K2027">
        <f t="shared" si="31"/>
        <v>31</v>
      </c>
      <c r="L2027" s="8" t="str" cm="1">
        <f t="array" ref="L2027">_xlfn.IFS(
 AND(K2027&gt;=89,K2027&lt;=92),"3개월",
 AND(K2027&gt;=58,K2027&lt;=62),"2개월",
 AND(K2027&gt;=28,K2027&lt;=32),"1개월",
 AND(K2027=0),"당월",
 TRUE,"그외"
)</f>
        <v>1개월</v>
      </c>
    </row>
    <row r="2028" spans="1:12" x14ac:dyDescent="0.3">
      <c r="A2028" s="5">
        <v>46023</v>
      </c>
      <c r="B2028" s="6" t="s">
        <v>40</v>
      </c>
      <c r="C2028" s="6" t="s">
        <v>47</v>
      </c>
      <c r="D2028" s="5">
        <v>46023</v>
      </c>
      <c r="E2028" s="6" t="s">
        <v>14</v>
      </c>
      <c r="F2028" s="7">
        <v>4035</v>
      </c>
      <c r="G2028" s="7">
        <v>117052.1529120198</v>
      </c>
      <c r="H2028" s="7">
        <v>472305437</v>
      </c>
      <c r="I2028" s="7">
        <v>124042358</v>
      </c>
      <c r="J2028" s="7">
        <v>0</v>
      </c>
      <c r="K2028">
        <f t="shared" si="31"/>
        <v>0</v>
      </c>
      <c r="L2028" s="8" t="str" cm="1">
        <f t="array" ref="L2028">_xlfn.IFS(
 AND(K2028&gt;=89,K2028&lt;=92),"3개월",
 AND(K2028&gt;=58,K2028&lt;=62),"2개월",
 AND(K2028&gt;=28,K2028&lt;=32),"1개월",
 AND(K2028=0),"당월",
 TRUE,"그외"
)</f>
        <v>당월</v>
      </c>
    </row>
    <row r="2029" spans="1:12" x14ac:dyDescent="0.3">
      <c r="A2029" s="5">
        <v>46023</v>
      </c>
      <c r="B2029" s="6" t="s">
        <v>40</v>
      </c>
      <c r="C2029" s="6" t="s">
        <v>47</v>
      </c>
      <c r="D2029" s="5">
        <v>46023</v>
      </c>
      <c r="E2029" s="6" t="s">
        <v>15</v>
      </c>
      <c r="F2029" s="7">
        <v>3109</v>
      </c>
      <c r="G2029" s="7">
        <v>166556.08169829531</v>
      </c>
      <c r="H2029" s="7">
        <v>517822858</v>
      </c>
      <c r="I2029" s="7">
        <v>90375230</v>
      </c>
      <c r="J2029" s="7">
        <v>0</v>
      </c>
      <c r="K2029">
        <f t="shared" si="31"/>
        <v>0</v>
      </c>
      <c r="L2029" s="8" t="str" cm="1">
        <f t="array" ref="L2029">_xlfn.IFS(
 AND(K2029&gt;=89,K2029&lt;=92),"3개월",
 AND(K2029&gt;=58,K2029&lt;=62),"2개월",
 AND(K2029&gt;=28,K2029&lt;=32),"1개월",
 AND(K2029=0),"당월",
 TRUE,"그외"
)</f>
        <v>당월</v>
      </c>
    </row>
    <row r="2030" spans="1:12" x14ac:dyDescent="0.3">
      <c r="A2030" s="5">
        <v>46023</v>
      </c>
      <c r="B2030" s="6" t="s">
        <v>40</v>
      </c>
      <c r="C2030" s="6" t="s">
        <v>49</v>
      </c>
      <c r="D2030" s="5">
        <v>45992</v>
      </c>
      <c r="E2030" s="6" t="s">
        <v>15</v>
      </c>
      <c r="F2030" s="7">
        <v>15</v>
      </c>
      <c r="G2030" s="7">
        <v>0</v>
      </c>
      <c r="H2030" s="7">
        <v>0</v>
      </c>
      <c r="I2030" s="7">
        <v>0</v>
      </c>
      <c r="J2030" s="7">
        <v>0</v>
      </c>
      <c r="K2030">
        <f t="shared" si="31"/>
        <v>31</v>
      </c>
      <c r="L2030" s="8" t="str" cm="1">
        <f t="array" ref="L2030">_xlfn.IFS(
 AND(K2030&gt;=89,K2030&lt;=92),"3개월",
 AND(K2030&gt;=58,K2030&lt;=62),"2개월",
 AND(K2030&gt;=28,K2030&lt;=32),"1개월",
 AND(K2030=0),"당월",
 TRUE,"그외"
)</f>
        <v>1개월</v>
      </c>
    </row>
    <row r="2031" spans="1:12" x14ac:dyDescent="0.3">
      <c r="A2031" s="5">
        <v>46023</v>
      </c>
      <c r="B2031" s="6" t="s">
        <v>40</v>
      </c>
      <c r="C2031" s="6" t="s">
        <v>49</v>
      </c>
      <c r="D2031" s="5">
        <v>46023</v>
      </c>
      <c r="E2031" s="6" t="s">
        <v>14</v>
      </c>
      <c r="F2031" s="7">
        <v>472</v>
      </c>
      <c r="G2031" s="7">
        <v>260548.78177966099</v>
      </c>
      <c r="H2031" s="7">
        <v>122979025</v>
      </c>
      <c r="I2031" s="7">
        <v>0</v>
      </c>
      <c r="J2031" s="7">
        <v>0</v>
      </c>
      <c r="K2031">
        <f t="shared" si="31"/>
        <v>0</v>
      </c>
      <c r="L2031" s="8" t="str" cm="1">
        <f t="array" ref="L2031">_xlfn.IFS(
 AND(K2031&gt;=89,K2031&lt;=92),"3개월",
 AND(K2031&gt;=58,K2031&lt;=62),"2개월",
 AND(K2031&gt;=28,K2031&lt;=32),"1개월",
 AND(K2031=0),"당월",
 TRUE,"그외"
)</f>
        <v>당월</v>
      </c>
    </row>
    <row r="2032" spans="1:12" x14ac:dyDescent="0.3">
      <c r="A2032" s="5">
        <v>46023</v>
      </c>
      <c r="B2032" s="6" t="s">
        <v>50</v>
      </c>
      <c r="C2032" s="6" t="s">
        <v>51</v>
      </c>
      <c r="D2032" s="5">
        <v>45839</v>
      </c>
      <c r="E2032" s="6" t="s">
        <v>15</v>
      </c>
      <c r="F2032" s="7">
        <v>48</v>
      </c>
      <c r="G2032" s="7">
        <v>192078.75</v>
      </c>
      <c r="H2032" s="7">
        <v>9219780</v>
      </c>
      <c r="I2032" s="7">
        <v>592860</v>
      </c>
      <c r="J2032" s="7">
        <v>0</v>
      </c>
      <c r="K2032">
        <f t="shared" si="31"/>
        <v>184</v>
      </c>
      <c r="L2032" s="8" t="str" cm="1">
        <f t="array" ref="L2032">_xlfn.IFS(
 AND(K2032&gt;=89,K2032&lt;=92),"3개월",
 AND(K2032&gt;=58,K2032&lt;=62),"2개월",
 AND(K2032&gt;=28,K2032&lt;=32),"1개월",
 AND(K2032=0),"당월",
 TRUE,"그외"
)</f>
        <v>그외</v>
      </c>
    </row>
    <row r="2033" spans="1:12" x14ac:dyDescent="0.3">
      <c r="A2033" s="5">
        <v>46023</v>
      </c>
      <c r="B2033" s="6" t="s">
        <v>50</v>
      </c>
      <c r="C2033" s="6" t="s">
        <v>51</v>
      </c>
      <c r="D2033" s="5">
        <v>45870</v>
      </c>
      <c r="E2033" s="6" t="s">
        <v>15</v>
      </c>
      <c r="F2033" s="7">
        <v>123</v>
      </c>
      <c r="G2033" s="7">
        <v>211568.75609756101</v>
      </c>
      <c r="H2033" s="7">
        <v>26022957</v>
      </c>
      <c r="I2033" s="7">
        <v>2750732</v>
      </c>
      <c r="J2033" s="7">
        <v>0</v>
      </c>
      <c r="K2033">
        <f t="shared" si="31"/>
        <v>153</v>
      </c>
      <c r="L2033" s="8" t="str" cm="1">
        <f t="array" ref="L2033">_xlfn.IFS(
 AND(K2033&gt;=89,K2033&lt;=92),"3개월",
 AND(K2033&gt;=58,K2033&lt;=62),"2개월",
 AND(K2033&gt;=28,K2033&lt;=32),"1개월",
 AND(K2033=0),"당월",
 TRUE,"그외"
)</f>
        <v>그외</v>
      </c>
    </row>
    <row r="2034" spans="1:12" x14ac:dyDescent="0.3">
      <c r="A2034" s="5">
        <v>46023</v>
      </c>
      <c r="B2034" s="6" t="s">
        <v>50</v>
      </c>
      <c r="C2034" s="6" t="s">
        <v>51</v>
      </c>
      <c r="D2034" s="5">
        <v>45901</v>
      </c>
      <c r="E2034" s="6" t="s">
        <v>15</v>
      </c>
      <c r="F2034" s="7">
        <v>156</v>
      </c>
      <c r="G2034" s="7">
        <v>228844.24358974359</v>
      </c>
      <c r="H2034" s="7">
        <v>35699702</v>
      </c>
      <c r="I2034" s="7">
        <v>3425597</v>
      </c>
      <c r="J2034" s="7">
        <v>0</v>
      </c>
      <c r="K2034">
        <f t="shared" si="31"/>
        <v>122</v>
      </c>
      <c r="L2034" s="8" t="str" cm="1">
        <f t="array" ref="L2034">_xlfn.IFS(
 AND(K2034&gt;=89,K2034&lt;=92),"3개월",
 AND(K2034&gt;=58,K2034&lt;=62),"2개월",
 AND(K2034&gt;=28,K2034&lt;=32),"1개월",
 AND(K2034=0),"당월",
 TRUE,"그외"
)</f>
        <v>그외</v>
      </c>
    </row>
    <row r="2035" spans="1:12" x14ac:dyDescent="0.3">
      <c r="A2035" s="5">
        <v>46023</v>
      </c>
      <c r="B2035" s="6" t="s">
        <v>50</v>
      </c>
      <c r="C2035" s="6" t="s">
        <v>51</v>
      </c>
      <c r="D2035" s="5">
        <v>45931</v>
      </c>
      <c r="E2035" s="6" t="s">
        <v>15</v>
      </c>
      <c r="F2035" s="7">
        <v>258</v>
      </c>
      <c r="G2035" s="7">
        <v>231575.72093023261</v>
      </c>
      <c r="H2035" s="7">
        <v>59746536</v>
      </c>
      <c r="I2035" s="7">
        <v>4706713</v>
      </c>
      <c r="J2035" s="7">
        <v>0</v>
      </c>
      <c r="K2035">
        <f t="shared" si="31"/>
        <v>92</v>
      </c>
      <c r="L2035" s="8" t="str" cm="1">
        <f t="array" ref="L2035">_xlfn.IFS(
 AND(K2035&gt;=89,K2035&lt;=92),"3개월",
 AND(K2035&gt;=58,K2035&lt;=62),"2개월",
 AND(K2035&gt;=28,K2035&lt;=32),"1개월",
 AND(K2035=0),"당월",
 TRUE,"그외"
)</f>
        <v>3개월</v>
      </c>
    </row>
    <row r="2036" spans="1:12" x14ac:dyDescent="0.3">
      <c r="A2036" s="5">
        <v>46023</v>
      </c>
      <c r="B2036" s="6" t="s">
        <v>50</v>
      </c>
      <c r="C2036" s="6" t="s">
        <v>51</v>
      </c>
      <c r="D2036" s="5">
        <v>45962</v>
      </c>
      <c r="E2036" s="6" t="s">
        <v>14</v>
      </c>
      <c r="F2036" s="7">
        <v>64</v>
      </c>
      <c r="G2036" s="7">
        <v>212056.25</v>
      </c>
      <c r="H2036" s="7">
        <v>13571600</v>
      </c>
      <c r="I2036" s="7">
        <v>1081600</v>
      </c>
      <c r="J2036" s="7">
        <v>0</v>
      </c>
      <c r="K2036">
        <f t="shared" si="31"/>
        <v>61</v>
      </c>
      <c r="L2036" s="8" t="str" cm="1">
        <f t="array" ref="L2036">_xlfn.IFS(
 AND(K2036&gt;=89,K2036&lt;=92),"3개월",
 AND(K2036&gt;=58,K2036&lt;=62),"2개월",
 AND(K2036&gt;=28,K2036&lt;=32),"1개월",
 AND(K2036=0),"당월",
 TRUE,"그외"
)</f>
        <v>2개월</v>
      </c>
    </row>
    <row r="2037" spans="1:12" x14ac:dyDescent="0.3">
      <c r="A2037" s="5">
        <v>46023</v>
      </c>
      <c r="B2037" s="6" t="s">
        <v>50</v>
      </c>
      <c r="C2037" s="6" t="s">
        <v>51</v>
      </c>
      <c r="D2037" s="5">
        <v>45962</v>
      </c>
      <c r="E2037" s="6" t="s">
        <v>15</v>
      </c>
      <c r="F2037" s="7">
        <v>636</v>
      </c>
      <c r="G2037" s="7">
        <v>257657.0031446541</v>
      </c>
      <c r="H2037" s="7">
        <v>163869854</v>
      </c>
      <c r="I2037" s="7">
        <v>14810452</v>
      </c>
      <c r="J2037" s="7">
        <v>0</v>
      </c>
      <c r="K2037">
        <f t="shared" si="31"/>
        <v>61</v>
      </c>
      <c r="L2037" s="8" t="str" cm="1">
        <f t="array" ref="L2037">_xlfn.IFS(
 AND(K2037&gt;=89,K2037&lt;=92),"3개월",
 AND(K2037&gt;=58,K2037&lt;=62),"2개월",
 AND(K2037&gt;=28,K2037&lt;=32),"1개월",
 AND(K2037=0),"당월",
 TRUE,"그외"
)</f>
        <v>2개월</v>
      </c>
    </row>
    <row r="2038" spans="1:12" x14ac:dyDescent="0.3">
      <c r="A2038" s="5">
        <v>46023</v>
      </c>
      <c r="B2038" s="6" t="s">
        <v>50</v>
      </c>
      <c r="C2038" s="6" t="s">
        <v>51</v>
      </c>
      <c r="D2038" s="5">
        <v>45992</v>
      </c>
      <c r="E2038" s="6" t="s">
        <v>14</v>
      </c>
      <c r="F2038" s="7">
        <v>616</v>
      </c>
      <c r="G2038" s="7">
        <v>219209.72077922081</v>
      </c>
      <c r="H2038" s="7">
        <v>135033188</v>
      </c>
      <c r="I2038" s="7">
        <v>19720784</v>
      </c>
      <c r="J2038" s="7">
        <v>0</v>
      </c>
      <c r="K2038">
        <f t="shared" si="31"/>
        <v>31</v>
      </c>
      <c r="L2038" s="8" t="str" cm="1">
        <f t="array" ref="L2038">_xlfn.IFS(
 AND(K2038&gt;=89,K2038&lt;=92),"3개월",
 AND(K2038&gt;=58,K2038&lt;=62),"2개월",
 AND(K2038&gt;=28,K2038&lt;=32),"1개월",
 AND(K2038=0),"당월",
 TRUE,"그외"
)</f>
        <v>1개월</v>
      </c>
    </row>
    <row r="2039" spans="1:12" x14ac:dyDescent="0.3">
      <c r="A2039" s="5">
        <v>46023</v>
      </c>
      <c r="B2039" s="6" t="s">
        <v>50</v>
      </c>
      <c r="C2039" s="6" t="s">
        <v>51</v>
      </c>
      <c r="D2039" s="5">
        <v>45992</v>
      </c>
      <c r="E2039" s="6" t="s">
        <v>15</v>
      </c>
      <c r="F2039" s="7">
        <v>2530</v>
      </c>
      <c r="G2039" s="7">
        <v>274903.2071146245</v>
      </c>
      <c r="H2039" s="7">
        <v>695505114</v>
      </c>
      <c r="I2039" s="7">
        <v>71618452</v>
      </c>
      <c r="J2039" s="7">
        <v>0</v>
      </c>
      <c r="K2039">
        <f t="shared" si="31"/>
        <v>31</v>
      </c>
      <c r="L2039" s="8" t="str" cm="1">
        <f t="array" ref="L2039">_xlfn.IFS(
 AND(K2039&gt;=89,K2039&lt;=92),"3개월",
 AND(K2039&gt;=58,K2039&lt;=62),"2개월",
 AND(K2039&gt;=28,K2039&lt;=32),"1개월",
 AND(K2039=0),"당월",
 TRUE,"그외"
)</f>
        <v>1개월</v>
      </c>
    </row>
    <row r="2040" spans="1:12" x14ac:dyDescent="0.3">
      <c r="A2040" s="5">
        <v>46023</v>
      </c>
      <c r="B2040" s="6" t="s">
        <v>50</v>
      </c>
      <c r="C2040" s="6" t="s">
        <v>51</v>
      </c>
      <c r="D2040" s="5">
        <v>46023</v>
      </c>
      <c r="E2040" s="6" t="s">
        <v>14</v>
      </c>
      <c r="F2040" s="7">
        <v>496</v>
      </c>
      <c r="G2040" s="7">
        <v>203113.185483871</v>
      </c>
      <c r="H2040" s="7">
        <v>100744140</v>
      </c>
      <c r="I2040" s="7">
        <v>14748688</v>
      </c>
      <c r="J2040" s="7">
        <v>0</v>
      </c>
      <c r="K2040">
        <f t="shared" si="31"/>
        <v>0</v>
      </c>
      <c r="L2040" s="8" t="str" cm="1">
        <f t="array" ref="L2040">_xlfn.IFS(
 AND(K2040&gt;=89,K2040&lt;=92),"3개월",
 AND(K2040&gt;=58,K2040&lt;=62),"2개월",
 AND(K2040&gt;=28,K2040&lt;=32),"1개월",
 AND(K2040=0),"당월",
 TRUE,"그외"
)</f>
        <v>당월</v>
      </c>
    </row>
    <row r="2041" spans="1:12" x14ac:dyDescent="0.3">
      <c r="A2041" s="5">
        <v>46023</v>
      </c>
      <c r="B2041" s="6" t="s">
        <v>50</v>
      </c>
      <c r="C2041" s="6" t="s">
        <v>51</v>
      </c>
      <c r="D2041" s="5">
        <v>46023</v>
      </c>
      <c r="E2041" s="6" t="s">
        <v>15</v>
      </c>
      <c r="F2041" s="7">
        <v>1185</v>
      </c>
      <c r="G2041" s="7">
        <v>291175.06160337548</v>
      </c>
      <c r="H2041" s="7">
        <v>345042448</v>
      </c>
      <c r="I2041" s="7">
        <v>32328832</v>
      </c>
      <c r="J2041" s="7">
        <v>0</v>
      </c>
      <c r="K2041">
        <f t="shared" si="31"/>
        <v>0</v>
      </c>
      <c r="L2041" s="8" t="str" cm="1">
        <f t="array" ref="L2041">_xlfn.IFS(
 AND(K2041&gt;=89,K2041&lt;=92),"3개월",
 AND(K2041&gt;=58,K2041&lt;=62),"2개월",
 AND(K2041&gt;=28,K2041&lt;=32),"1개월",
 AND(K2041=0),"당월",
 TRUE,"그외"
)</f>
        <v>당월</v>
      </c>
    </row>
    <row r="2042" spans="1:12" x14ac:dyDescent="0.3">
      <c r="A2042" s="5">
        <v>46023</v>
      </c>
      <c r="B2042" s="6" t="s">
        <v>50</v>
      </c>
      <c r="C2042" s="6" t="s">
        <v>52</v>
      </c>
      <c r="D2042" s="5">
        <v>45839</v>
      </c>
      <c r="E2042" s="6" t="s">
        <v>15</v>
      </c>
      <c r="F2042" s="7">
        <v>296</v>
      </c>
      <c r="G2042" s="7">
        <v>96464.91891891892</v>
      </c>
      <c r="H2042" s="7">
        <v>28553616</v>
      </c>
      <c r="I2042" s="7">
        <v>4580234</v>
      </c>
      <c r="J2042" s="7">
        <v>0</v>
      </c>
      <c r="K2042">
        <f t="shared" si="31"/>
        <v>184</v>
      </c>
      <c r="L2042" s="8" t="str" cm="1">
        <f t="array" ref="L2042">_xlfn.IFS(
 AND(K2042&gt;=89,K2042&lt;=92),"3개월",
 AND(K2042&gt;=58,K2042&lt;=62),"2개월",
 AND(K2042&gt;=28,K2042&lt;=32),"1개월",
 AND(K2042=0),"당월",
 TRUE,"그외"
)</f>
        <v>그외</v>
      </c>
    </row>
    <row r="2043" spans="1:12" x14ac:dyDescent="0.3">
      <c r="A2043" s="5">
        <v>46023</v>
      </c>
      <c r="B2043" s="6" t="s">
        <v>50</v>
      </c>
      <c r="C2043" s="6" t="s">
        <v>52</v>
      </c>
      <c r="D2043" s="5">
        <v>45870</v>
      </c>
      <c r="E2043" s="6" t="s">
        <v>15</v>
      </c>
      <c r="F2043" s="7">
        <v>963</v>
      </c>
      <c r="G2043" s="7">
        <v>111348.63343717549</v>
      </c>
      <c r="H2043" s="7">
        <v>107228734</v>
      </c>
      <c r="I2043" s="7">
        <v>20061011</v>
      </c>
      <c r="J2043" s="7">
        <v>0</v>
      </c>
      <c r="K2043">
        <f t="shared" si="31"/>
        <v>153</v>
      </c>
      <c r="L2043" s="8" t="str" cm="1">
        <f t="array" ref="L2043">_xlfn.IFS(
 AND(K2043&gt;=89,K2043&lt;=92),"3개월",
 AND(K2043&gt;=58,K2043&lt;=62),"2개월",
 AND(K2043&gt;=28,K2043&lt;=32),"1개월",
 AND(K2043=0),"당월",
 TRUE,"그외"
)</f>
        <v>그외</v>
      </c>
    </row>
    <row r="2044" spans="1:12" x14ac:dyDescent="0.3">
      <c r="A2044" s="5">
        <v>46023</v>
      </c>
      <c r="B2044" s="6" t="s">
        <v>50</v>
      </c>
      <c r="C2044" s="6" t="s">
        <v>52</v>
      </c>
      <c r="D2044" s="5">
        <v>45901</v>
      </c>
      <c r="E2044" s="6" t="s">
        <v>15</v>
      </c>
      <c r="F2044" s="7">
        <v>692</v>
      </c>
      <c r="G2044" s="7">
        <v>133995.01878612721</v>
      </c>
      <c r="H2044" s="7">
        <v>92724553</v>
      </c>
      <c r="I2044" s="7">
        <v>15184291</v>
      </c>
      <c r="J2044" s="7">
        <v>0</v>
      </c>
      <c r="K2044">
        <f t="shared" si="31"/>
        <v>122</v>
      </c>
      <c r="L2044" s="8" t="str" cm="1">
        <f t="array" ref="L2044">_xlfn.IFS(
 AND(K2044&gt;=89,K2044&lt;=92),"3개월",
 AND(K2044&gt;=58,K2044&lt;=62),"2개월",
 AND(K2044&gt;=28,K2044&lt;=32),"1개월",
 AND(K2044=0),"당월",
 TRUE,"그외"
)</f>
        <v>그외</v>
      </c>
    </row>
    <row r="2045" spans="1:12" x14ac:dyDescent="0.3">
      <c r="A2045" s="5">
        <v>46023</v>
      </c>
      <c r="B2045" s="6" t="s">
        <v>50</v>
      </c>
      <c r="C2045" s="6" t="s">
        <v>52</v>
      </c>
      <c r="D2045" s="5">
        <v>45931</v>
      </c>
      <c r="E2045" s="6" t="s">
        <v>14</v>
      </c>
      <c r="F2045" s="7">
        <v>38</v>
      </c>
      <c r="G2045" s="7">
        <v>176410.73684210531</v>
      </c>
      <c r="H2045" s="7">
        <v>6703608</v>
      </c>
      <c r="I2045" s="7">
        <v>932728</v>
      </c>
      <c r="J2045" s="7">
        <v>0</v>
      </c>
      <c r="K2045">
        <f t="shared" si="31"/>
        <v>92</v>
      </c>
      <c r="L2045" s="8" t="str" cm="1">
        <f t="array" ref="L2045">_xlfn.IFS(
 AND(K2045&gt;=89,K2045&lt;=92),"3개월",
 AND(K2045&gt;=58,K2045&lt;=62),"2개월",
 AND(K2045&gt;=28,K2045&lt;=32),"1개월",
 AND(K2045=0),"당월",
 TRUE,"그외"
)</f>
        <v>3개월</v>
      </c>
    </row>
    <row r="2046" spans="1:12" x14ac:dyDescent="0.3">
      <c r="A2046" s="5">
        <v>46023</v>
      </c>
      <c r="B2046" s="6" t="s">
        <v>50</v>
      </c>
      <c r="C2046" s="6" t="s">
        <v>52</v>
      </c>
      <c r="D2046" s="5">
        <v>45931</v>
      </c>
      <c r="E2046" s="6" t="s">
        <v>15</v>
      </c>
      <c r="F2046" s="7">
        <v>512</v>
      </c>
      <c r="G2046" s="7">
        <v>158841.052734375</v>
      </c>
      <c r="H2046" s="7">
        <v>81326619</v>
      </c>
      <c r="I2046" s="7">
        <v>11548508</v>
      </c>
      <c r="J2046" s="7">
        <v>0</v>
      </c>
      <c r="K2046">
        <f t="shared" si="31"/>
        <v>92</v>
      </c>
      <c r="L2046" s="8" t="str" cm="1">
        <f t="array" ref="L2046">_xlfn.IFS(
 AND(K2046&gt;=89,K2046&lt;=92),"3개월",
 AND(K2046&gt;=58,K2046&lt;=62),"2개월",
 AND(K2046&gt;=28,K2046&lt;=32),"1개월",
 AND(K2046=0),"당월",
 TRUE,"그외"
)</f>
        <v>3개월</v>
      </c>
    </row>
    <row r="2047" spans="1:12" x14ac:dyDescent="0.3">
      <c r="A2047" s="5">
        <v>46023</v>
      </c>
      <c r="B2047" s="6" t="s">
        <v>50</v>
      </c>
      <c r="C2047" s="6" t="s">
        <v>52</v>
      </c>
      <c r="D2047" s="5">
        <v>45962</v>
      </c>
      <c r="E2047" s="6" t="s">
        <v>14</v>
      </c>
      <c r="F2047" s="7">
        <v>599</v>
      </c>
      <c r="G2047" s="7">
        <v>200003.50584307179</v>
      </c>
      <c r="H2047" s="7">
        <v>119802100</v>
      </c>
      <c r="I2047" s="7">
        <v>10123100</v>
      </c>
      <c r="J2047" s="7">
        <v>0</v>
      </c>
      <c r="K2047">
        <f t="shared" si="31"/>
        <v>61</v>
      </c>
      <c r="L2047" s="8" t="str" cm="1">
        <f t="array" ref="L2047">_xlfn.IFS(
 AND(K2047&gt;=89,K2047&lt;=92),"3개월",
 AND(K2047&gt;=58,K2047&lt;=62),"2개월",
 AND(K2047&gt;=28,K2047&lt;=32),"1개월",
 AND(K2047=0),"당월",
 TRUE,"그외"
)</f>
        <v>2개월</v>
      </c>
    </row>
    <row r="2048" spans="1:12" x14ac:dyDescent="0.3">
      <c r="A2048" s="5">
        <v>46023</v>
      </c>
      <c r="B2048" s="6" t="s">
        <v>50</v>
      </c>
      <c r="C2048" s="6" t="s">
        <v>52</v>
      </c>
      <c r="D2048" s="5">
        <v>45962</v>
      </c>
      <c r="E2048" s="6" t="s">
        <v>15</v>
      </c>
      <c r="F2048" s="7">
        <v>575</v>
      </c>
      <c r="G2048" s="7">
        <v>190853.56</v>
      </c>
      <c r="H2048" s="7">
        <v>109740797</v>
      </c>
      <c r="I2048" s="7">
        <v>12931895</v>
      </c>
      <c r="J2048" s="7">
        <v>0</v>
      </c>
      <c r="K2048">
        <f t="shared" si="31"/>
        <v>61</v>
      </c>
      <c r="L2048" s="8" t="str" cm="1">
        <f t="array" ref="L2048">_xlfn.IFS(
 AND(K2048&gt;=89,K2048&lt;=92),"3개월",
 AND(K2048&gt;=58,K2048&lt;=62),"2개월",
 AND(K2048&gt;=28,K2048&lt;=32),"1개월",
 AND(K2048=0),"당월",
 TRUE,"그외"
)</f>
        <v>2개월</v>
      </c>
    </row>
    <row r="2049" spans="1:12" x14ac:dyDescent="0.3">
      <c r="A2049" s="5">
        <v>46023</v>
      </c>
      <c r="B2049" s="6" t="s">
        <v>50</v>
      </c>
      <c r="C2049" s="6" t="s">
        <v>52</v>
      </c>
      <c r="D2049" s="5">
        <v>45992</v>
      </c>
      <c r="E2049" s="6" t="s">
        <v>14</v>
      </c>
      <c r="F2049" s="7">
        <v>2676</v>
      </c>
      <c r="G2049" s="7">
        <v>167614.11322869951</v>
      </c>
      <c r="H2049" s="7">
        <v>448535367</v>
      </c>
      <c r="I2049" s="7">
        <v>84012959</v>
      </c>
      <c r="J2049" s="7">
        <v>0</v>
      </c>
      <c r="K2049">
        <f t="shared" si="31"/>
        <v>31</v>
      </c>
      <c r="L2049" s="8" t="str" cm="1">
        <f t="array" ref="L2049">_xlfn.IFS(
 AND(K2049&gt;=89,K2049&lt;=92),"3개월",
 AND(K2049&gt;=58,K2049&lt;=62),"2개월",
 AND(K2049&gt;=28,K2049&lt;=32),"1개월",
 AND(K2049=0),"당월",
 TRUE,"그외"
)</f>
        <v>1개월</v>
      </c>
    </row>
    <row r="2050" spans="1:12" x14ac:dyDescent="0.3">
      <c r="A2050" s="5">
        <v>46023</v>
      </c>
      <c r="B2050" s="6" t="s">
        <v>50</v>
      </c>
      <c r="C2050" s="6" t="s">
        <v>52</v>
      </c>
      <c r="D2050" s="5">
        <v>45992</v>
      </c>
      <c r="E2050" s="6" t="s">
        <v>15</v>
      </c>
      <c r="F2050" s="7">
        <v>1072</v>
      </c>
      <c r="G2050" s="7">
        <v>182420.69216417911</v>
      </c>
      <c r="H2050" s="7">
        <v>195554982</v>
      </c>
      <c r="I2050" s="7">
        <v>27082713</v>
      </c>
      <c r="J2050" s="7">
        <v>0</v>
      </c>
      <c r="K2050">
        <f t="shared" si="31"/>
        <v>31</v>
      </c>
      <c r="L2050" s="8" t="str" cm="1">
        <f t="array" ref="L2050">_xlfn.IFS(
 AND(K2050&gt;=89,K2050&lt;=92),"3개월",
 AND(K2050&gt;=58,K2050&lt;=62),"2개월",
 AND(K2050&gt;=28,K2050&lt;=32),"1개월",
 AND(K2050=0),"당월",
 TRUE,"그외"
)</f>
        <v>1개월</v>
      </c>
    </row>
    <row r="2051" spans="1:12" x14ac:dyDescent="0.3">
      <c r="A2051" s="5">
        <v>46023</v>
      </c>
      <c r="B2051" s="6" t="s">
        <v>50</v>
      </c>
      <c r="C2051" s="6" t="s">
        <v>52</v>
      </c>
      <c r="D2051" s="5">
        <v>46023</v>
      </c>
      <c r="E2051" s="6" t="s">
        <v>14</v>
      </c>
      <c r="F2051" s="7">
        <v>2216</v>
      </c>
      <c r="G2051" s="7">
        <v>185740.55234657039</v>
      </c>
      <c r="H2051" s="7">
        <v>411601064</v>
      </c>
      <c r="I2051" s="7">
        <v>67881400</v>
      </c>
      <c r="J2051" s="7">
        <v>0</v>
      </c>
      <c r="K2051">
        <f t="shared" si="31"/>
        <v>0</v>
      </c>
      <c r="L2051" s="8" t="str" cm="1">
        <f t="array" ref="L2051">_xlfn.IFS(
 AND(K2051&gt;=89,K2051&lt;=92),"3개월",
 AND(K2051&gt;=58,K2051&lt;=62),"2개월",
 AND(K2051&gt;=28,K2051&lt;=32),"1개월",
 AND(K2051=0),"당월",
 TRUE,"그외"
)</f>
        <v>당월</v>
      </c>
    </row>
    <row r="2052" spans="1:12" x14ac:dyDescent="0.3">
      <c r="A2052" s="5">
        <v>46023</v>
      </c>
      <c r="B2052" s="6" t="s">
        <v>50</v>
      </c>
      <c r="C2052" s="6" t="s">
        <v>52</v>
      </c>
      <c r="D2052" s="5">
        <v>46023</v>
      </c>
      <c r="E2052" s="6" t="s">
        <v>15</v>
      </c>
      <c r="F2052" s="7">
        <v>764</v>
      </c>
      <c r="G2052" s="7">
        <v>187405.85471204191</v>
      </c>
      <c r="H2052" s="7">
        <v>143178073</v>
      </c>
      <c r="I2052" s="7">
        <v>19766706</v>
      </c>
      <c r="J2052" s="7">
        <v>0</v>
      </c>
      <c r="K2052">
        <f t="shared" si="31"/>
        <v>0</v>
      </c>
      <c r="L2052" s="8" t="str" cm="1">
        <f t="array" ref="L2052">_xlfn.IFS(
 AND(K2052&gt;=89,K2052&lt;=92),"3개월",
 AND(K2052&gt;=58,K2052&lt;=62),"2개월",
 AND(K2052&gt;=28,K2052&lt;=32),"1개월",
 AND(K2052=0),"당월",
 TRUE,"그외"
)</f>
        <v>당월</v>
      </c>
    </row>
    <row r="2053" spans="1:12" x14ac:dyDescent="0.3">
      <c r="A2053" s="5">
        <v>46023</v>
      </c>
      <c r="B2053" s="6" t="s">
        <v>50</v>
      </c>
      <c r="C2053" s="6" t="s">
        <v>53</v>
      </c>
      <c r="D2053" s="5">
        <v>45839</v>
      </c>
      <c r="E2053" s="6" t="s">
        <v>15</v>
      </c>
      <c r="F2053" s="7">
        <v>35</v>
      </c>
      <c r="G2053" s="7">
        <v>158456.0857142857</v>
      </c>
      <c r="H2053" s="7">
        <v>5545963</v>
      </c>
      <c r="I2053" s="7">
        <v>760893</v>
      </c>
      <c r="J2053" s="7">
        <v>0</v>
      </c>
      <c r="K2053">
        <f t="shared" si="31"/>
        <v>184</v>
      </c>
      <c r="L2053" s="8" t="str" cm="1">
        <f t="array" ref="L2053">_xlfn.IFS(
 AND(K2053&gt;=89,K2053&lt;=92),"3개월",
 AND(K2053&gt;=58,K2053&lt;=62),"2개월",
 AND(K2053&gt;=28,K2053&lt;=32),"1개월",
 AND(K2053=0),"당월",
 TRUE,"그외"
)</f>
        <v>그외</v>
      </c>
    </row>
    <row r="2054" spans="1:12" x14ac:dyDescent="0.3">
      <c r="A2054" s="5">
        <v>46023</v>
      </c>
      <c r="B2054" s="6" t="s">
        <v>50</v>
      </c>
      <c r="C2054" s="6" t="s">
        <v>53</v>
      </c>
      <c r="D2054" s="5">
        <v>45870</v>
      </c>
      <c r="E2054" s="6" t="s">
        <v>15</v>
      </c>
      <c r="F2054" s="7">
        <v>179</v>
      </c>
      <c r="G2054" s="7">
        <v>183083.251396648</v>
      </c>
      <c r="H2054" s="7">
        <v>32771902</v>
      </c>
      <c r="I2054" s="7">
        <v>5409720</v>
      </c>
      <c r="J2054" s="7">
        <v>0</v>
      </c>
      <c r="K2054">
        <f t="shared" si="31"/>
        <v>153</v>
      </c>
      <c r="L2054" s="8" t="str" cm="1">
        <f t="array" ref="L2054">_xlfn.IFS(
 AND(K2054&gt;=89,K2054&lt;=92),"3개월",
 AND(K2054&gt;=58,K2054&lt;=62),"2개월",
 AND(K2054&gt;=28,K2054&lt;=32),"1개월",
 AND(K2054=0),"당월",
 TRUE,"그외"
)</f>
        <v>그외</v>
      </c>
    </row>
    <row r="2055" spans="1:12" x14ac:dyDescent="0.3">
      <c r="A2055" s="5">
        <v>46023</v>
      </c>
      <c r="B2055" s="6" t="s">
        <v>50</v>
      </c>
      <c r="C2055" s="6" t="s">
        <v>53</v>
      </c>
      <c r="D2055" s="5">
        <v>45901</v>
      </c>
      <c r="E2055" s="6" t="s">
        <v>14</v>
      </c>
      <c r="F2055" s="7">
        <v>8</v>
      </c>
      <c r="G2055" s="7">
        <v>111216</v>
      </c>
      <c r="H2055" s="7">
        <v>889728</v>
      </c>
      <c r="I2055" s="7">
        <v>333648</v>
      </c>
      <c r="J2055" s="7">
        <v>0</v>
      </c>
      <c r="K2055">
        <f t="shared" si="31"/>
        <v>122</v>
      </c>
      <c r="L2055" s="8" t="str" cm="1">
        <f t="array" ref="L2055">_xlfn.IFS(
 AND(K2055&gt;=89,K2055&lt;=92),"3개월",
 AND(K2055&gt;=58,K2055&lt;=62),"2개월",
 AND(K2055&gt;=28,K2055&lt;=32),"1개월",
 AND(K2055=0),"당월",
 TRUE,"그외"
)</f>
        <v>그외</v>
      </c>
    </row>
    <row r="2056" spans="1:12" x14ac:dyDescent="0.3">
      <c r="A2056" s="5">
        <v>46023</v>
      </c>
      <c r="B2056" s="6" t="s">
        <v>50</v>
      </c>
      <c r="C2056" s="6" t="s">
        <v>53</v>
      </c>
      <c r="D2056" s="5">
        <v>45901</v>
      </c>
      <c r="E2056" s="6" t="s">
        <v>15</v>
      </c>
      <c r="F2056" s="7">
        <v>161</v>
      </c>
      <c r="G2056" s="7">
        <v>186040.18633540371</v>
      </c>
      <c r="H2056" s="7">
        <v>29952470</v>
      </c>
      <c r="I2056" s="7">
        <v>3524189</v>
      </c>
      <c r="J2056" s="7">
        <v>0</v>
      </c>
      <c r="K2056">
        <f t="shared" si="31"/>
        <v>122</v>
      </c>
      <c r="L2056" s="8" t="str" cm="1">
        <f t="array" ref="L2056">_xlfn.IFS(
 AND(K2056&gt;=89,K2056&lt;=92),"3개월",
 AND(K2056&gt;=58,K2056&lt;=62),"2개월",
 AND(K2056&gt;=28,K2056&lt;=32),"1개월",
 AND(K2056=0),"당월",
 TRUE,"그외"
)</f>
        <v>그외</v>
      </c>
    </row>
    <row r="2057" spans="1:12" x14ac:dyDescent="0.3">
      <c r="A2057" s="5">
        <v>46023</v>
      </c>
      <c r="B2057" s="6" t="s">
        <v>50</v>
      </c>
      <c r="C2057" s="6" t="s">
        <v>53</v>
      </c>
      <c r="D2057" s="5">
        <v>45931</v>
      </c>
      <c r="E2057" s="6" t="s">
        <v>14</v>
      </c>
      <c r="F2057" s="7">
        <v>8</v>
      </c>
      <c r="G2057" s="7">
        <v>156700</v>
      </c>
      <c r="H2057" s="7">
        <v>1253600</v>
      </c>
      <c r="I2057" s="7">
        <v>133600</v>
      </c>
      <c r="J2057" s="7">
        <v>0</v>
      </c>
      <c r="K2057">
        <f t="shared" si="31"/>
        <v>92</v>
      </c>
      <c r="L2057" s="8" t="str" cm="1">
        <f t="array" ref="L2057">_xlfn.IFS(
 AND(K2057&gt;=89,K2057&lt;=92),"3개월",
 AND(K2057&gt;=58,K2057&lt;=62),"2개월",
 AND(K2057&gt;=28,K2057&lt;=32),"1개월",
 AND(K2057=0),"당월",
 TRUE,"그외"
)</f>
        <v>3개월</v>
      </c>
    </row>
    <row r="2058" spans="1:12" x14ac:dyDescent="0.3">
      <c r="A2058" s="5">
        <v>46023</v>
      </c>
      <c r="B2058" s="6" t="s">
        <v>50</v>
      </c>
      <c r="C2058" s="6" t="s">
        <v>53</v>
      </c>
      <c r="D2058" s="5">
        <v>45931</v>
      </c>
      <c r="E2058" s="6" t="s">
        <v>15</v>
      </c>
      <c r="F2058" s="7">
        <v>289</v>
      </c>
      <c r="G2058" s="7">
        <v>190517.32179930789</v>
      </c>
      <c r="H2058" s="7">
        <v>55059506</v>
      </c>
      <c r="I2058" s="7">
        <v>7069098</v>
      </c>
      <c r="J2058" s="7">
        <v>0</v>
      </c>
      <c r="K2058">
        <f t="shared" ref="K2058:K2121" si="32">A2058-D2058</f>
        <v>92</v>
      </c>
      <c r="L2058" s="8" t="str" cm="1">
        <f t="array" ref="L2058">_xlfn.IFS(
 AND(K2058&gt;=89,K2058&lt;=92),"3개월",
 AND(K2058&gt;=58,K2058&lt;=62),"2개월",
 AND(K2058&gt;=28,K2058&lt;=32),"1개월",
 AND(K2058=0),"당월",
 TRUE,"그외"
)</f>
        <v>3개월</v>
      </c>
    </row>
    <row r="2059" spans="1:12" x14ac:dyDescent="0.3">
      <c r="A2059" s="5">
        <v>46023</v>
      </c>
      <c r="B2059" s="6" t="s">
        <v>50</v>
      </c>
      <c r="C2059" s="6" t="s">
        <v>53</v>
      </c>
      <c r="D2059" s="5">
        <v>45962</v>
      </c>
      <c r="E2059" s="6" t="s">
        <v>14</v>
      </c>
      <c r="F2059" s="7">
        <v>225</v>
      </c>
      <c r="G2059" s="7">
        <v>156593.68888888889</v>
      </c>
      <c r="H2059" s="7">
        <v>35233580</v>
      </c>
      <c r="I2059" s="7">
        <v>4715280</v>
      </c>
      <c r="J2059" s="7">
        <v>0</v>
      </c>
      <c r="K2059">
        <f t="shared" si="32"/>
        <v>61</v>
      </c>
      <c r="L2059" s="8" t="str" cm="1">
        <f t="array" ref="L2059">_xlfn.IFS(
 AND(K2059&gt;=89,K2059&lt;=92),"3개월",
 AND(K2059&gt;=58,K2059&lt;=62),"2개월",
 AND(K2059&gt;=28,K2059&lt;=32),"1개월",
 AND(K2059=0),"당월",
 TRUE,"그외"
)</f>
        <v>2개월</v>
      </c>
    </row>
    <row r="2060" spans="1:12" x14ac:dyDescent="0.3">
      <c r="A2060" s="5">
        <v>46023</v>
      </c>
      <c r="B2060" s="6" t="s">
        <v>50</v>
      </c>
      <c r="C2060" s="6" t="s">
        <v>53</v>
      </c>
      <c r="D2060" s="5">
        <v>45962</v>
      </c>
      <c r="E2060" s="6" t="s">
        <v>15</v>
      </c>
      <c r="F2060" s="7">
        <v>646</v>
      </c>
      <c r="G2060" s="7">
        <v>168192.0216718266</v>
      </c>
      <c r="H2060" s="7">
        <v>108652046</v>
      </c>
      <c r="I2060" s="7">
        <v>17667146</v>
      </c>
      <c r="J2060" s="7">
        <v>0</v>
      </c>
      <c r="K2060">
        <f t="shared" si="32"/>
        <v>61</v>
      </c>
      <c r="L2060" s="8" t="str" cm="1">
        <f t="array" ref="L2060">_xlfn.IFS(
 AND(K2060&gt;=89,K2060&lt;=92),"3개월",
 AND(K2060&gt;=58,K2060&lt;=62),"2개월",
 AND(K2060&gt;=28,K2060&lt;=32),"1개월",
 AND(K2060=0),"당월",
 TRUE,"그외"
)</f>
        <v>2개월</v>
      </c>
    </row>
    <row r="2061" spans="1:12" x14ac:dyDescent="0.3">
      <c r="A2061" s="5">
        <v>46023</v>
      </c>
      <c r="B2061" s="6" t="s">
        <v>50</v>
      </c>
      <c r="C2061" s="6" t="s">
        <v>53</v>
      </c>
      <c r="D2061" s="5">
        <v>45992</v>
      </c>
      <c r="E2061" s="6" t="s">
        <v>14</v>
      </c>
      <c r="F2061" s="7">
        <v>3632</v>
      </c>
      <c r="G2061" s="7">
        <v>117601.0988436123</v>
      </c>
      <c r="H2061" s="7">
        <v>427127191</v>
      </c>
      <c r="I2061" s="7">
        <v>143833876</v>
      </c>
      <c r="J2061" s="7">
        <v>0</v>
      </c>
      <c r="K2061">
        <f t="shared" si="32"/>
        <v>31</v>
      </c>
      <c r="L2061" s="8" t="str" cm="1">
        <f t="array" ref="L2061">_xlfn.IFS(
 AND(K2061&gt;=89,K2061&lt;=92),"3개월",
 AND(K2061&gt;=58,K2061&lt;=62),"2개월",
 AND(K2061&gt;=28,K2061&lt;=32),"1개월",
 AND(K2061=0),"당월",
 TRUE,"그외"
)</f>
        <v>1개월</v>
      </c>
    </row>
    <row r="2062" spans="1:12" x14ac:dyDescent="0.3">
      <c r="A2062" s="5">
        <v>46023</v>
      </c>
      <c r="B2062" s="6" t="s">
        <v>50</v>
      </c>
      <c r="C2062" s="6" t="s">
        <v>53</v>
      </c>
      <c r="D2062" s="5">
        <v>45992</v>
      </c>
      <c r="E2062" s="6" t="s">
        <v>15</v>
      </c>
      <c r="F2062" s="7">
        <v>2822</v>
      </c>
      <c r="G2062" s="7">
        <v>141705.29836995041</v>
      </c>
      <c r="H2062" s="7">
        <v>399892352</v>
      </c>
      <c r="I2062" s="7">
        <v>79708793</v>
      </c>
      <c r="J2062" s="7">
        <v>0</v>
      </c>
      <c r="K2062">
        <f t="shared" si="32"/>
        <v>31</v>
      </c>
      <c r="L2062" s="8" t="str" cm="1">
        <f t="array" ref="L2062">_xlfn.IFS(
 AND(K2062&gt;=89,K2062&lt;=92),"3개월",
 AND(K2062&gt;=58,K2062&lt;=62),"2개월",
 AND(K2062&gt;=28,K2062&lt;=32),"1개월",
 AND(K2062=0),"당월",
 TRUE,"그외"
)</f>
        <v>1개월</v>
      </c>
    </row>
    <row r="2063" spans="1:12" x14ac:dyDescent="0.3">
      <c r="A2063" s="5">
        <v>46023</v>
      </c>
      <c r="B2063" s="6" t="s">
        <v>50</v>
      </c>
      <c r="C2063" s="6" t="s">
        <v>53</v>
      </c>
      <c r="D2063" s="5">
        <v>46023</v>
      </c>
      <c r="E2063" s="6" t="s">
        <v>14</v>
      </c>
      <c r="F2063" s="7">
        <v>1528</v>
      </c>
      <c r="G2063" s="7">
        <v>131854.9535340314</v>
      </c>
      <c r="H2063" s="7">
        <v>201474369</v>
      </c>
      <c r="I2063" s="7">
        <v>56104287</v>
      </c>
      <c r="J2063" s="7">
        <v>0</v>
      </c>
      <c r="K2063">
        <f t="shared" si="32"/>
        <v>0</v>
      </c>
      <c r="L2063" s="8" t="str" cm="1">
        <f t="array" ref="L2063">_xlfn.IFS(
 AND(K2063&gt;=89,K2063&lt;=92),"3개월",
 AND(K2063&gt;=58,K2063&lt;=62),"2개월",
 AND(K2063&gt;=28,K2063&lt;=32),"1개월",
 AND(K2063=0),"당월",
 TRUE,"그외"
)</f>
        <v>당월</v>
      </c>
    </row>
    <row r="2064" spans="1:12" x14ac:dyDescent="0.3">
      <c r="A2064" s="5">
        <v>46023</v>
      </c>
      <c r="B2064" s="6" t="s">
        <v>50</v>
      </c>
      <c r="C2064" s="6" t="s">
        <v>53</v>
      </c>
      <c r="D2064" s="5">
        <v>46023</v>
      </c>
      <c r="E2064" s="6" t="s">
        <v>15</v>
      </c>
      <c r="F2064" s="7">
        <v>1242</v>
      </c>
      <c r="G2064" s="7">
        <v>196027.31884057971</v>
      </c>
      <c r="H2064" s="7">
        <v>243465930</v>
      </c>
      <c r="I2064" s="7">
        <v>38495770</v>
      </c>
      <c r="J2064" s="7">
        <v>0</v>
      </c>
      <c r="K2064">
        <f t="shared" si="32"/>
        <v>0</v>
      </c>
      <c r="L2064" s="8" t="str" cm="1">
        <f t="array" ref="L2064">_xlfn.IFS(
 AND(K2064&gt;=89,K2064&lt;=92),"3개월",
 AND(K2064&gt;=58,K2064&lt;=62),"2개월",
 AND(K2064&gt;=28,K2064&lt;=32),"1개월",
 AND(K2064=0),"당월",
 TRUE,"그외"
)</f>
        <v>당월</v>
      </c>
    </row>
    <row r="2065" spans="1:12" x14ac:dyDescent="0.3">
      <c r="A2065" s="5">
        <v>46023</v>
      </c>
      <c r="B2065" s="6" t="s">
        <v>50</v>
      </c>
      <c r="C2065" s="6" t="s">
        <v>54</v>
      </c>
      <c r="D2065" s="5">
        <v>45839</v>
      </c>
      <c r="E2065" s="6" t="s">
        <v>15</v>
      </c>
      <c r="F2065" s="7">
        <v>62</v>
      </c>
      <c r="G2065" s="7">
        <v>144309.96774193551</v>
      </c>
      <c r="H2065" s="7">
        <v>8947218</v>
      </c>
      <c r="I2065" s="7">
        <v>857502</v>
      </c>
      <c r="J2065" s="7">
        <v>0</v>
      </c>
      <c r="K2065">
        <f t="shared" si="32"/>
        <v>184</v>
      </c>
      <c r="L2065" s="8" t="str" cm="1">
        <f t="array" ref="L2065">_xlfn.IFS(
 AND(K2065&gt;=89,K2065&lt;=92),"3개월",
 AND(K2065&gt;=58,K2065&lt;=62),"2개월",
 AND(K2065&gt;=28,K2065&lt;=32),"1개월",
 AND(K2065=0),"당월",
 TRUE,"그외"
)</f>
        <v>그외</v>
      </c>
    </row>
    <row r="2066" spans="1:12" x14ac:dyDescent="0.3">
      <c r="A2066" s="5">
        <v>46023</v>
      </c>
      <c r="B2066" s="6" t="s">
        <v>50</v>
      </c>
      <c r="C2066" s="6" t="s">
        <v>54</v>
      </c>
      <c r="D2066" s="5">
        <v>45870</v>
      </c>
      <c r="E2066" s="6" t="s">
        <v>15</v>
      </c>
      <c r="F2066" s="7">
        <v>201</v>
      </c>
      <c r="G2066" s="7">
        <v>149710.60199004979</v>
      </c>
      <c r="H2066" s="7">
        <v>30091831</v>
      </c>
      <c r="I2066" s="7">
        <v>4571787</v>
      </c>
      <c r="J2066" s="7">
        <v>0</v>
      </c>
      <c r="K2066">
        <f t="shared" si="32"/>
        <v>153</v>
      </c>
      <c r="L2066" s="8" t="str" cm="1">
        <f t="array" ref="L2066">_xlfn.IFS(
 AND(K2066&gt;=89,K2066&lt;=92),"3개월",
 AND(K2066&gt;=58,K2066&lt;=62),"2개월",
 AND(K2066&gt;=28,K2066&lt;=32),"1개월",
 AND(K2066=0),"당월",
 TRUE,"그외"
)</f>
        <v>그외</v>
      </c>
    </row>
    <row r="2067" spans="1:12" x14ac:dyDescent="0.3">
      <c r="A2067" s="5">
        <v>46023</v>
      </c>
      <c r="B2067" s="6" t="s">
        <v>50</v>
      </c>
      <c r="C2067" s="6" t="s">
        <v>54</v>
      </c>
      <c r="D2067" s="5">
        <v>45901</v>
      </c>
      <c r="E2067" s="6" t="s">
        <v>14</v>
      </c>
      <c r="F2067" s="7">
        <v>16</v>
      </c>
      <c r="G2067" s="7">
        <v>99631</v>
      </c>
      <c r="H2067" s="7">
        <v>1594096</v>
      </c>
      <c r="I2067" s="7">
        <v>667296</v>
      </c>
      <c r="J2067" s="7">
        <v>0</v>
      </c>
      <c r="K2067">
        <f t="shared" si="32"/>
        <v>122</v>
      </c>
      <c r="L2067" s="8" t="str" cm="1">
        <f t="array" ref="L2067">_xlfn.IFS(
 AND(K2067&gt;=89,K2067&lt;=92),"3개월",
 AND(K2067&gt;=58,K2067&lt;=62),"2개월",
 AND(K2067&gt;=28,K2067&lt;=32),"1개월",
 AND(K2067=0),"당월",
 TRUE,"그외"
)</f>
        <v>그외</v>
      </c>
    </row>
    <row r="2068" spans="1:12" x14ac:dyDescent="0.3">
      <c r="A2068" s="5">
        <v>46023</v>
      </c>
      <c r="B2068" s="6" t="s">
        <v>50</v>
      </c>
      <c r="C2068" s="6" t="s">
        <v>54</v>
      </c>
      <c r="D2068" s="5">
        <v>45901</v>
      </c>
      <c r="E2068" s="6" t="s">
        <v>15</v>
      </c>
      <c r="F2068" s="7">
        <v>267</v>
      </c>
      <c r="G2068" s="7">
        <v>166729.51310861419</v>
      </c>
      <c r="H2068" s="7">
        <v>44516780</v>
      </c>
      <c r="I2068" s="7">
        <v>7492501</v>
      </c>
      <c r="J2068" s="7">
        <v>0</v>
      </c>
      <c r="K2068">
        <f t="shared" si="32"/>
        <v>122</v>
      </c>
      <c r="L2068" s="8" t="str" cm="1">
        <f t="array" ref="L2068">_xlfn.IFS(
 AND(K2068&gt;=89,K2068&lt;=92),"3개월",
 AND(K2068&gt;=58,K2068&lt;=62),"2개월",
 AND(K2068&gt;=28,K2068&lt;=32),"1개월",
 AND(K2068=0),"당월",
 TRUE,"그외"
)</f>
        <v>그외</v>
      </c>
    </row>
    <row r="2069" spans="1:12" x14ac:dyDescent="0.3">
      <c r="A2069" s="5">
        <v>46023</v>
      </c>
      <c r="B2069" s="6" t="s">
        <v>50</v>
      </c>
      <c r="C2069" s="6" t="s">
        <v>54</v>
      </c>
      <c r="D2069" s="5">
        <v>45931</v>
      </c>
      <c r="E2069" s="6" t="s">
        <v>14</v>
      </c>
      <c r="F2069" s="7">
        <v>74</v>
      </c>
      <c r="G2069" s="7">
        <v>101472.8378378378</v>
      </c>
      <c r="H2069" s="7">
        <v>7508990</v>
      </c>
      <c r="I2069" s="7">
        <v>3084840</v>
      </c>
      <c r="J2069" s="7">
        <v>0</v>
      </c>
      <c r="K2069">
        <f t="shared" si="32"/>
        <v>92</v>
      </c>
      <c r="L2069" s="8" t="str" cm="1">
        <f t="array" ref="L2069">_xlfn.IFS(
 AND(K2069&gt;=89,K2069&lt;=92),"3개월",
 AND(K2069&gt;=58,K2069&lt;=62),"2개월",
 AND(K2069&gt;=28,K2069&lt;=32),"1개월",
 AND(K2069=0),"당월",
 TRUE,"그외"
)</f>
        <v>3개월</v>
      </c>
    </row>
    <row r="2070" spans="1:12" x14ac:dyDescent="0.3">
      <c r="A2070" s="5">
        <v>46023</v>
      </c>
      <c r="B2070" s="6" t="s">
        <v>50</v>
      </c>
      <c r="C2070" s="6" t="s">
        <v>54</v>
      </c>
      <c r="D2070" s="5">
        <v>45931</v>
      </c>
      <c r="E2070" s="6" t="s">
        <v>15</v>
      </c>
      <c r="F2070" s="7">
        <v>540</v>
      </c>
      <c r="G2070" s="7">
        <v>167119.66851851851</v>
      </c>
      <c r="H2070" s="7">
        <v>90244621</v>
      </c>
      <c r="I2070" s="7">
        <v>14743892</v>
      </c>
      <c r="J2070" s="7">
        <v>0</v>
      </c>
      <c r="K2070">
        <f t="shared" si="32"/>
        <v>92</v>
      </c>
      <c r="L2070" s="8" t="str" cm="1">
        <f t="array" ref="L2070">_xlfn.IFS(
 AND(K2070&gt;=89,K2070&lt;=92),"3개월",
 AND(K2070&gt;=58,K2070&lt;=62),"2개월",
 AND(K2070&gt;=28,K2070&lt;=32),"1개월",
 AND(K2070=0),"당월",
 TRUE,"그외"
)</f>
        <v>3개월</v>
      </c>
    </row>
    <row r="2071" spans="1:12" x14ac:dyDescent="0.3">
      <c r="A2071" s="5">
        <v>46023</v>
      </c>
      <c r="B2071" s="6" t="s">
        <v>50</v>
      </c>
      <c r="C2071" s="6" t="s">
        <v>54</v>
      </c>
      <c r="D2071" s="5">
        <v>45962</v>
      </c>
      <c r="E2071" s="6" t="s">
        <v>14</v>
      </c>
      <c r="F2071" s="7">
        <v>100</v>
      </c>
      <c r="G2071" s="7">
        <v>117844.1</v>
      </c>
      <c r="H2071" s="7">
        <v>11784410</v>
      </c>
      <c r="I2071" s="7">
        <v>3724250</v>
      </c>
      <c r="J2071" s="7">
        <v>0</v>
      </c>
      <c r="K2071">
        <f t="shared" si="32"/>
        <v>61</v>
      </c>
      <c r="L2071" s="8" t="str" cm="1">
        <f t="array" ref="L2071">_xlfn.IFS(
 AND(K2071&gt;=89,K2071&lt;=92),"3개월",
 AND(K2071&gt;=58,K2071&lt;=62),"2개월",
 AND(K2071&gt;=28,K2071&lt;=32),"1개월",
 AND(K2071=0),"당월",
 TRUE,"그외"
)</f>
        <v>2개월</v>
      </c>
    </row>
    <row r="2072" spans="1:12" x14ac:dyDescent="0.3">
      <c r="A2072" s="5">
        <v>46023</v>
      </c>
      <c r="B2072" s="6" t="s">
        <v>50</v>
      </c>
      <c r="C2072" s="6" t="s">
        <v>54</v>
      </c>
      <c r="D2072" s="5">
        <v>45962</v>
      </c>
      <c r="E2072" s="6" t="s">
        <v>15</v>
      </c>
      <c r="F2072" s="7">
        <v>961</v>
      </c>
      <c r="G2072" s="7">
        <v>175263.2278876171</v>
      </c>
      <c r="H2072" s="7">
        <v>168427962</v>
      </c>
      <c r="I2072" s="7">
        <v>27286028</v>
      </c>
      <c r="J2072" s="7">
        <v>0</v>
      </c>
      <c r="K2072">
        <f t="shared" si="32"/>
        <v>61</v>
      </c>
      <c r="L2072" s="8" t="str" cm="1">
        <f t="array" ref="L2072">_xlfn.IFS(
 AND(K2072&gt;=89,K2072&lt;=92),"3개월",
 AND(K2072&gt;=58,K2072&lt;=62),"2개월",
 AND(K2072&gt;=28,K2072&lt;=32),"1개월",
 AND(K2072=0),"당월",
 TRUE,"그외"
)</f>
        <v>2개월</v>
      </c>
    </row>
    <row r="2073" spans="1:12" x14ac:dyDescent="0.3">
      <c r="A2073" s="5">
        <v>46023</v>
      </c>
      <c r="B2073" s="6" t="s">
        <v>50</v>
      </c>
      <c r="C2073" s="6" t="s">
        <v>54</v>
      </c>
      <c r="D2073" s="5">
        <v>45992</v>
      </c>
      <c r="E2073" s="6" t="s">
        <v>14</v>
      </c>
      <c r="F2073" s="7">
        <v>3207</v>
      </c>
      <c r="G2073" s="7">
        <v>130749.6551294044</v>
      </c>
      <c r="H2073" s="7">
        <v>419314144</v>
      </c>
      <c r="I2073" s="7">
        <v>122232027</v>
      </c>
      <c r="J2073" s="7">
        <v>0</v>
      </c>
      <c r="K2073">
        <f t="shared" si="32"/>
        <v>31</v>
      </c>
      <c r="L2073" s="8" t="str" cm="1">
        <f t="array" ref="L2073">_xlfn.IFS(
 AND(K2073&gt;=89,K2073&lt;=92),"3개월",
 AND(K2073&gt;=58,K2073&lt;=62),"2개월",
 AND(K2073&gt;=28,K2073&lt;=32),"1개월",
 AND(K2073=0),"당월",
 TRUE,"그외"
)</f>
        <v>1개월</v>
      </c>
    </row>
    <row r="2074" spans="1:12" x14ac:dyDescent="0.3">
      <c r="A2074" s="5">
        <v>46023</v>
      </c>
      <c r="B2074" s="6" t="s">
        <v>50</v>
      </c>
      <c r="C2074" s="6" t="s">
        <v>54</v>
      </c>
      <c r="D2074" s="5">
        <v>45992</v>
      </c>
      <c r="E2074" s="6" t="s">
        <v>15</v>
      </c>
      <c r="F2074" s="7">
        <v>1936</v>
      </c>
      <c r="G2074" s="7">
        <v>181819.95144628099</v>
      </c>
      <c r="H2074" s="7">
        <v>352003426</v>
      </c>
      <c r="I2074" s="7">
        <v>53923251</v>
      </c>
      <c r="J2074" s="7">
        <v>0</v>
      </c>
      <c r="K2074">
        <f t="shared" si="32"/>
        <v>31</v>
      </c>
      <c r="L2074" s="8" t="str" cm="1">
        <f t="array" ref="L2074">_xlfn.IFS(
 AND(K2074&gt;=89,K2074&lt;=92),"3개월",
 AND(K2074&gt;=58,K2074&lt;=62),"2개월",
 AND(K2074&gt;=28,K2074&lt;=32),"1개월",
 AND(K2074=0),"당월",
 TRUE,"그외"
)</f>
        <v>1개월</v>
      </c>
    </row>
    <row r="2075" spans="1:12" x14ac:dyDescent="0.3">
      <c r="A2075" s="5">
        <v>46023</v>
      </c>
      <c r="B2075" s="6" t="s">
        <v>50</v>
      </c>
      <c r="C2075" s="6" t="s">
        <v>54</v>
      </c>
      <c r="D2075" s="5">
        <v>46023</v>
      </c>
      <c r="E2075" s="6" t="s">
        <v>14</v>
      </c>
      <c r="F2075" s="7">
        <v>1917</v>
      </c>
      <c r="G2075" s="7">
        <v>161496.3594157538</v>
      </c>
      <c r="H2075" s="7">
        <v>309588521</v>
      </c>
      <c r="I2075" s="7">
        <v>71231587</v>
      </c>
      <c r="J2075" s="7">
        <v>0</v>
      </c>
      <c r="K2075">
        <f t="shared" si="32"/>
        <v>0</v>
      </c>
      <c r="L2075" s="8" t="str" cm="1">
        <f t="array" ref="L2075">_xlfn.IFS(
 AND(K2075&gt;=89,K2075&lt;=92),"3개월",
 AND(K2075&gt;=58,K2075&lt;=62),"2개월",
 AND(K2075&gt;=28,K2075&lt;=32),"1개월",
 AND(K2075=0),"당월",
 TRUE,"그외"
)</f>
        <v>당월</v>
      </c>
    </row>
    <row r="2076" spans="1:12" x14ac:dyDescent="0.3">
      <c r="A2076" s="5">
        <v>46023</v>
      </c>
      <c r="B2076" s="6" t="s">
        <v>50</v>
      </c>
      <c r="C2076" s="6" t="s">
        <v>54</v>
      </c>
      <c r="D2076" s="5">
        <v>46023</v>
      </c>
      <c r="E2076" s="6" t="s">
        <v>15</v>
      </c>
      <c r="F2076" s="7">
        <v>1215</v>
      </c>
      <c r="G2076" s="7">
        <v>196501.1358024691</v>
      </c>
      <c r="H2076" s="7">
        <v>238748880</v>
      </c>
      <c r="I2076" s="7">
        <v>36509753</v>
      </c>
      <c r="J2076" s="7">
        <v>0</v>
      </c>
      <c r="K2076">
        <f t="shared" si="32"/>
        <v>0</v>
      </c>
      <c r="L2076" s="8" t="str" cm="1">
        <f t="array" ref="L2076">_xlfn.IFS(
 AND(K2076&gt;=89,K2076&lt;=92),"3개월",
 AND(K2076&gt;=58,K2076&lt;=62),"2개월",
 AND(K2076&gt;=28,K2076&lt;=32),"1개월",
 AND(K2076=0),"당월",
 TRUE,"그외"
)</f>
        <v>당월</v>
      </c>
    </row>
    <row r="2077" spans="1:12" x14ac:dyDescent="0.3">
      <c r="A2077" s="5">
        <v>46023</v>
      </c>
      <c r="B2077" s="6" t="s">
        <v>50</v>
      </c>
      <c r="C2077" s="6" t="s">
        <v>56</v>
      </c>
      <c r="D2077" s="5">
        <v>45839</v>
      </c>
      <c r="E2077" s="6" t="s">
        <v>15</v>
      </c>
      <c r="F2077" s="7">
        <v>74</v>
      </c>
      <c r="G2077" s="7">
        <v>147207.85135135139</v>
      </c>
      <c r="H2077" s="7">
        <v>10893381</v>
      </c>
      <c r="I2077" s="7">
        <v>841380</v>
      </c>
      <c r="J2077" s="7">
        <v>0</v>
      </c>
      <c r="K2077">
        <f t="shared" si="32"/>
        <v>184</v>
      </c>
      <c r="L2077" s="8" t="str" cm="1">
        <f t="array" ref="L2077">_xlfn.IFS(
 AND(K2077&gt;=89,K2077&lt;=92),"3개월",
 AND(K2077&gt;=58,K2077&lt;=62),"2개월",
 AND(K2077&gt;=28,K2077&lt;=32),"1개월",
 AND(K2077=0),"당월",
 TRUE,"그외"
)</f>
        <v>그외</v>
      </c>
    </row>
    <row r="2078" spans="1:12" x14ac:dyDescent="0.3">
      <c r="A2078" s="5">
        <v>46023</v>
      </c>
      <c r="B2078" s="6" t="s">
        <v>50</v>
      </c>
      <c r="C2078" s="6" t="s">
        <v>56</v>
      </c>
      <c r="D2078" s="5">
        <v>45870</v>
      </c>
      <c r="E2078" s="6" t="s">
        <v>15</v>
      </c>
      <c r="F2078" s="7">
        <v>248</v>
      </c>
      <c r="G2078" s="7">
        <v>165243.95967741939</v>
      </c>
      <c r="H2078" s="7">
        <v>40980502</v>
      </c>
      <c r="I2078" s="7">
        <v>4546583</v>
      </c>
      <c r="J2078" s="7">
        <v>0</v>
      </c>
      <c r="K2078">
        <f t="shared" si="32"/>
        <v>153</v>
      </c>
      <c r="L2078" s="8" t="str" cm="1">
        <f t="array" ref="L2078">_xlfn.IFS(
 AND(K2078&gt;=89,K2078&lt;=92),"3개월",
 AND(K2078&gt;=58,K2078&lt;=62),"2개월",
 AND(K2078&gt;=28,K2078&lt;=32),"1개월",
 AND(K2078=0),"당월",
 TRUE,"그외"
)</f>
        <v>그외</v>
      </c>
    </row>
    <row r="2079" spans="1:12" x14ac:dyDescent="0.3">
      <c r="A2079" s="5">
        <v>46023</v>
      </c>
      <c r="B2079" s="6" t="s">
        <v>50</v>
      </c>
      <c r="C2079" s="6" t="s">
        <v>56</v>
      </c>
      <c r="D2079" s="5">
        <v>45901</v>
      </c>
      <c r="E2079" s="6" t="s">
        <v>15</v>
      </c>
      <c r="F2079" s="7">
        <v>198</v>
      </c>
      <c r="G2079" s="7">
        <v>184653.3282828283</v>
      </c>
      <c r="H2079" s="7">
        <v>36561359</v>
      </c>
      <c r="I2079" s="7">
        <v>4079518</v>
      </c>
      <c r="J2079" s="7">
        <v>0</v>
      </c>
      <c r="K2079">
        <f t="shared" si="32"/>
        <v>122</v>
      </c>
      <c r="L2079" s="8" t="str" cm="1">
        <f t="array" ref="L2079">_xlfn.IFS(
 AND(K2079&gt;=89,K2079&lt;=92),"3개월",
 AND(K2079&gt;=58,K2079&lt;=62),"2개월",
 AND(K2079&gt;=28,K2079&lt;=32),"1개월",
 AND(K2079=0),"당월",
 TRUE,"그외"
)</f>
        <v>그외</v>
      </c>
    </row>
    <row r="2080" spans="1:12" x14ac:dyDescent="0.3">
      <c r="A2080" s="5">
        <v>46023</v>
      </c>
      <c r="B2080" s="6" t="s">
        <v>50</v>
      </c>
      <c r="C2080" s="6" t="s">
        <v>56</v>
      </c>
      <c r="D2080" s="5">
        <v>45931</v>
      </c>
      <c r="E2080" s="6" t="s">
        <v>14</v>
      </c>
      <c r="F2080" s="7">
        <v>4</v>
      </c>
      <c r="G2080" s="7">
        <v>157420</v>
      </c>
      <c r="H2080" s="7">
        <v>629680</v>
      </c>
      <c r="I2080" s="7">
        <v>166680</v>
      </c>
      <c r="J2080" s="7">
        <v>0</v>
      </c>
      <c r="K2080">
        <f t="shared" si="32"/>
        <v>92</v>
      </c>
      <c r="L2080" s="8" t="str" cm="1">
        <f t="array" ref="L2080">_xlfn.IFS(
 AND(K2080&gt;=89,K2080&lt;=92),"3개월",
 AND(K2080&gt;=58,K2080&lt;=62),"2개월",
 AND(K2080&gt;=28,K2080&lt;=32),"1개월",
 AND(K2080=0),"당월",
 TRUE,"그외"
)</f>
        <v>3개월</v>
      </c>
    </row>
    <row r="2081" spans="1:12" x14ac:dyDescent="0.3">
      <c r="A2081" s="5">
        <v>46023</v>
      </c>
      <c r="B2081" s="6" t="s">
        <v>50</v>
      </c>
      <c r="C2081" s="6" t="s">
        <v>56</v>
      </c>
      <c r="D2081" s="5">
        <v>45931</v>
      </c>
      <c r="E2081" s="6" t="s">
        <v>15</v>
      </c>
      <c r="F2081" s="7">
        <v>412</v>
      </c>
      <c r="G2081" s="7">
        <v>211457.47815533981</v>
      </c>
      <c r="H2081" s="7">
        <v>87120481</v>
      </c>
      <c r="I2081" s="7">
        <v>9002108</v>
      </c>
      <c r="J2081" s="7">
        <v>0</v>
      </c>
      <c r="K2081">
        <f t="shared" si="32"/>
        <v>92</v>
      </c>
      <c r="L2081" s="8" t="str" cm="1">
        <f t="array" ref="L2081">_xlfn.IFS(
 AND(K2081&gt;=89,K2081&lt;=92),"3개월",
 AND(K2081&gt;=58,K2081&lt;=62),"2개월",
 AND(K2081&gt;=28,K2081&lt;=32),"1개월",
 AND(K2081=0),"당월",
 TRUE,"그외"
)</f>
        <v>3개월</v>
      </c>
    </row>
    <row r="2082" spans="1:12" x14ac:dyDescent="0.3">
      <c r="A2082" s="5">
        <v>46023</v>
      </c>
      <c r="B2082" s="6" t="s">
        <v>50</v>
      </c>
      <c r="C2082" s="6" t="s">
        <v>56</v>
      </c>
      <c r="D2082" s="5">
        <v>45962</v>
      </c>
      <c r="E2082" s="6" t="s">
        <v>14</v>
      </c>
      <c r="F2082" s="7">
        <v>42</v>
      </c>
      <c r="G2082" s="7">
        <v>191743.8095238095</v>
      </c>
      <c r="H2082" s="7">
        <v>8053240</v>
      </c>
      <c r="I2082" s="7">
        <v>865440</v>
      </c>
      <c r="J2082" s="7">
        <v>0</v>
      </c>
      <c r="K2082">
        <f t="shared" si="32"/>
        <v>61</v>
      </c>
      <c r="L2082" s="8" t="str" cm="1">
        <f t="array" ref="L2082">_xlfn.IFS(
 AND(K2082&gt;=89,K2082&lt;=92),"3개월",
 AND(K2082&gt;=58,K2082&lt;=62),"2개월",
 AND(K2082&gt;=28,K2082&lt;=32),"1개월",
 AND(K2082=0),"당월",
 TRUE,"그외"
)</f>
        <v>2개월</v>
      </c>
    </row>
    <row r="2083" spans="1:12" x14ac:dyDescent="0.3">
      <c r="A2083" s="5">
        <v>46023</v>
      </c>
      <c r="B2083" s="6" t="s">
        <v>50</v>
      </c>
      <c r="C2083" s="6" t="s">
        <v>56</v>
      </c>
      <c r="D2083" s="5">
        <v>45962</v>
      </c>
      <c r="E2083" s="6" t="s">
        <v>15</v>
      </c>
      <c r="F2083" s="7">
        <v>649</v>
      </c>
      <c r="G2083" s="7">
        <v>237813.30046224961</v>
      </c>
      <c r="H2083" s="7">
        <v>154340832</v>
      </c>
      <c r="I2083" s="7">
        <v>14779069</v>
      </c>
      <c r="J2083" s="7">
        <v>0</v>
      </c>
      <c r="K2083">
        <f t="shared" si="32"/>
        <v>61</v>
      </c>
      <c r="L2083" s="8" t="str" cm="1">
        <f t="array" ref="L2083">_xlfn.IFS(
 AND(K2083&gt;=89,K2083&lt;=92),"3개월",
 AND(K2083&gt;=58,K2083&lt;=62),"2개월",
 AND(K2083&gt;=28,K2083&lt;=32),"1개월",
 AND(K2083=0),"당월",
 TRUE,"그외"
)</f>
        <v>2개월</v>
      </c>
    </row>
    <row r="2084" spans="1:12" x14ac:dyDescent="0.3">
      <c r="A2084" s="5">
        <v>46023</v>
      </c>
      <c r="B2084" s="6" t="s">
        <v>50</v>
      </c>
      <c r="C2084" s="6" t="s">
        <v>56</v>
      </c>
      <c r="D2084" s="5">
        <v>45992</v>
      </c>
      <c r="E2084" s="6" t="s">
        <v>14</v>
      </c>
      <c r="F2084" s="7">
        <v>754</v>
      </c>
      <c r="G2084" s="7">
        <v>165416.4535809019</v>
      </c>
      <c r="H2084" s="7">
        <v>124724006</v>
      </c>
      <c r="I2084" s="7">
        <v>25725330</v>
      </c>
      <c r="J2084" s="7">
        <v>0</v>
      </c>
      <c r="K2084">
        <f t="shared" si="32"/>
        <v>31</v>
      </c>
      <c r="L2084" s="8" t="str" cm="1">
        <f t="array" ref="L2084">_xlfn.IFS(
 AND(K2084&gt;=89,K2084&lt;=92),"3개월",
 AND(K2084&gt;=58,K2084&lt;=62),"2개월",
 AND(K2084&gt;=28,K2084&lt;=32),"1개월",
 AND(K2084=0),"당월",
 TRUE,"그외"
)</f>
        <v>1개월</v>
      </c>
    </row>
    <row r="2085" spans="1:12" x14ac:dyDescent="0.3">
      <c r="A2085" s="5">
        <v>46023</v>
      </c>
      <c r="B2085" s="6" t="s">
        <v>50</v>
      </c>
      <c r="C2085" s="6" t="s">
        <v>56</v>
      </c>
      <c r="D2085" s="5">
        <v>45992</v>
      </c>
      <c r="E2085" s="6" t="s">
        <v>15</v>
      </c>
      <c r="F2085" s="7">
        <v>2102</v>
      </c>
      <c r="G2085" s="7">
        <v>220276.73977164601</v>
      </c>
      <c r="H2085" s="7">
        <v>463021707</v>
      </c>
      <c r="I2085" s="7">
        <v>59802998</v>
      </c>
      <c r="J2085" s="7">
        <v>0</v>
      </c>
      <c r="K2085">
        <f t="shared" si="32"/>
        <v>31</v>
      </c>
      <c r="L2085" s="8" t="str" cm="1">
        <f t="array" ref="L2085">_xlfn.IFS(
 AND(K2085&gt;=89,K2085&lt;=92),"3개월",
 AND(K2085&gt;=58,K2085&lt;=62),"2개월",
 AND(K2085&gt;=28,K2085&lt;=32),"1개월",
 AND(K2085=0),"당월",
 TRUE,"그외"
)</f>
        <v>1개월</v>
      </c>
    </row>
    <row r="2086" spans="1:12" x14ac:dyDescent="0.3">
      <c r="A2086" s="5">
        <v>46023</v>
      </c>
      <c r="B2086" s="6" t="s">
        <v>50</v>
      </c>
      <c r="C2086" s="6" t="s">
        <v>56</v>
      </c>
      <c r="D2086" s="5">
        <v>46023</v>
      </c>
      <c r="E2086" s="6" t="s">
        <v>14</v>
      </c>
      <c r="F2086" s="7">
        <v>790</v>
      </c>
      <c r="G2086" s="7">
        <v>174265.95443037979</v>
      </c>
      <c r="H2086" s="7">
        <v>137670104</v>
      </c>
      <c r="I2086" s="7">
        <v>32453157</v>
      </c>
      <c r="J2086" s="7">
        <v>0</v>
      </c>
      <c r="K2086">
        <f t="shared" si="32"/>
        <v>0</v>
      </c>
      <c r="L2086" s="8" t="str" cm="1">
        <f t="array" ref="L2086">_xlfn.IFS(
 AND(K2086&gt;=89,K2086&lt;=92),"3개월",
 AND(K2086&gt;=58,K2086&lt;=62),"2개월",
 AND(K2086&gt;=28,K2086&lt;=32),"1개월",
 AND(K2086=0),"당월",
 TRUE,"그외"
)</f>
        <v>당월</v>
      </c>
    </row>
    <row r="2087" spans="1:12" x14ac:dyDescent="0.3">
      <c r="A2087" s="5">
        <v>46023</v>
      </c>
      <c r="B2087" s="6" t="s">
        <v>50</v>
      </c>
      <c r="C2087" s="6" t="s">
        <v>56</v>
      </c>
      <c r="D2087" s="5">
        <v>46023</v>
      </c>
      <c r="E2087" s="6" t="s">
        <v>15</v>
      </c>
      <c r="F2087" s="7">
        <v>752</v>
      </c>
      <c r="G2087" s="7">
        <v>255637.9242021277</v>
      </c>
      <c r="H2087" s="7">
        <v>192239719</v>
      </c>
      <c r="I2087" s="7">
        <v>21650019</v>
      </c>
      <c r="J2087" s="7">
        <v>0</v>
      </c>
      <c r="K2087">
        <f t="shared" si="32"/>
        <v>0</v>
      </c>
      <c r="L2087" s="8" t="str" cm="1">
        <f t="array" ref="L2087">_xlfn.IFS(
 AND(K2087&gt;=89,K2087&lt;=92),"3개월",
 AND(K2087&gt;=58,K2087&lt;=62),"2개월",
 AND(K2087&gt;=28,K2087&lt;=32),"1개월",
 AND(K2087=0),"당월",
 TRUE,"그외"
)</f>
        <v>당월</v>
      </c>
    </row>
    <row r="2088" spans="1:12" x14ac:dyDescent="0.3">
      <c r="A2088" s="5">
        <v>46023</v>
      </c>
      <c r="B2088" s="6" t="s">
        <v>50</v>
      </c>
      <c r="C2088" s="6" t="s">
        <v>57</v>
      </c>
      <c r="D2088" s="5">
        <v>45839</v>
      </c>
      <c r="E2088" s="6" t="s">
        <v>15</v>
      </c>
      <c r="F2088" s="7">
        <v>211</v>
      </c>
      <c r="G2088" s="7">
        <v>143548.05687203791</v>
      </c>
      <c r="H2088" s="7">
        <v>30288640</v>
      </c>
      <c r="I2088" s="7">
        <v>2223690</v>
      </c>
      <c r="J2088" s="7">
        <v>0</v>
      </c>
      <c r="K2088">
        <f t="shared" si="32"/>
        <v>184</v>
      </c>
      <c r="L2088" s="8" t="str" cm="1">
        <f t="array" ref="L2088">_xlfn.IFS(
 AND(K2088&gt;=89,K2088&lt;=92),"3개월",
 AND(K2088&gt;=58,K2088&lt;=62),"2개월",
 AND(K2088&gt;=28,K2088&lt;=32),"1개월",
 AND(K2088=0),"당월",
 TRUE,"그외"
)</f>
        <v>그외</v>
      </c>
    </row>
    <row r="2089" spans="1:12" x14ac:dyDescent="0.3">
      <c r="A2089" s="5">
        <v>46023</v>
      </c>
      <c r="B2089" s="6" t="s">
        <v>50</v>
      </c>
      <c r="C2089" s="6" t="s">
        <v>57</v>
      </c>
      <c r="D2089" s="5">
        <v>45870</v>
      </c>
      <c r="E2089" s="6" t="s">
        <v>15</v>
      </c>
      <c r="F2089" s="7">
        <v>427</v>
      </c>
      <c r="G2089" s="7">
        <v>164438.96721311481</v>
      </c>
      <c r="H2089" s="7">
        <v>70215439</v>
      </c>
      <c r="I2089" s="7">
        <v>8070890</v>
      </c>
      <c r="J2089" s="7">
        <v>0</v>
      </c>
      <c r="K2089">
        <f t="shared" si="32"/>
        <v>153</v>
      </c>
      <c r="L2089" s="8" t="str" cm="1">
        <f t="array" ref="L2089">_xlfn.IFS(
 AND(K2089&gt;=89,K2089&lt;=92),"3개월",
 AND(K2089&gt;=58,K2089&lt;=62),"2개월",
 AND(K2089&gt;=28,K2089&lt;=32),"1개월",
 AND(K2089=0),"당월",
 TRUE,"그외"
)</f>
        <v>그외</v>
      </c>
    </row>
    <row r="2090" spans="1:12" x14ac:dyDescent="0.3">
      <c r="A2090" s="5">
        <v>46023</v>
      </c>
      <c r="B2090" s="6" t="s">
        <v>50</v>
      </c>
      <c r="C2090" s="6" t="s">
        <v>57</v>
      </c>
      <c r="D2090" s="5">
        <v>45901</v>
      </c>
      <c r="E2090" s="6" t="s">
        <v>14</v>
      </c>
      <c r="F2090" s="7">
        <v>6</v>
      </c>
      <c r="G2090" s="7">
        <v>177996</v>
      </c>
      <c r="H2090" s="7">
        <v>1067976</v>
      </c>
      <c r="I2090" s="7">
        <v>246456</v>
      </c>
      <c r="J2090" s="7">
        <v>0</v>
      </c>
      <c r="K2090">
        <f t="shared" si="32"/>
        <v>122</v>
      </c>
      <c r="L2090" s="8" t="str" cm="1">
        <f t="array" ref="L2090">_xlfn.IFS(
 AND(K2090&gt;=89,K2090&lt;=92),"3개월",
 AND(K2090&gt;=58,K2090&lt;=62),"2개월",
 AND(K2090&gt;=28,K2090&lt;=32),"1개월",
 AND(K2090=0),"당월",
 TRUE,"그외"
)</f>
        <v>그외</v>
      </c>
    </row>
    <row r="2091" spans="1:12" x14ac:dyDescent="0.3">
      <c r="A2091" s="5">
        <v>46023</v>
      </c>
      <c r="B2091" s="6" t="s">
        <v>50</v>
      </c>
      <c r="C2091" s="6" t="s">
        <v>57</v>
      </c>
      <c r="D2091" s="5">
        <v>45901</v>
      </c>
      <c r="E2091" s="6" t="s">
        <v>15</v>
      </c>
      <c r="F2091" s="7">
        <v>552</v>
      </c>
      <c r="G2091" s="7">
        <v>190015.24818840579</v>
      </c>
      <c r="H2091" s="7">
        <v>104888417</v>
      </c>
      <c r="I2091" s="7">
        <v>10611007</v>
      </c>
      <c r="J2091" s="7">
        <v>0</v>
      </c>
      <c r="K2091">
        <f t="shared" si="32"/>
        <v>122</v>
      </c>
      <c r="L2091" s="8" t="str" cm="1">
        <f t="array" ref="L2091">_xlfn.IFS(
 AND(K2091&gt;=89,K2091&lt;=92),"3개월",
 AND(K2091&gt;=58,K2091&lt;=62),"2개월",
 AND(K2091&gt;=28,K2091&lt;=32),"1개월",
 AND(K2091=0),"당월",
 TRUE,"그외"
)</f>
        <v>그외</v>
      </c>
    </row>
    <row r="2092" spans="1:12" x14ac:dyDescent="0.3">
      <c r="A2092" s="5">
        <v>46023</v>
      </c>
      <c r="B2092" s="6" t="s">
        <v>50</v>
      </c>
      <c r="C2092" s="6" t="s">
        <v>57</v>
      </c>
      <c r="D2092" s="5">
        <v>45931</v>
      </c>
      <c r="E2092" s="6" t="s">
        <v>14</v>
      </c>
      <c r="F2092" s="7">
        <v>61</v>
      </c>
      <c r="G2092" s="7">
        <v>189172.86885245901</v>
      </c>
      <c r="H2092" s="7">
        <v>11539545</v>
      </c>
      <c r="I2092" s="7">
        <v>1043895</v>
      </c>
      <c r="J2092" s="7">
        <v>0</v>
      </c>
      <c r="K2092">
        <f t="shared" si="32"/>
        <v>92</v>
      </c>
      <c r="L2092" s="8" t="str" cm="1">
        <f t="array" ref="L2092">_xlfn.IFS(
 AND(K2092&gt;=89,K2092&lt;=92),"3개월",
 AND(K2092&gt;=58,K2092&lt;=62),"2개월",
 AND(K2092&gt;=28,K2092&lt;=32),"1개월",
 AND(K2092=0),"당월",
 TRUE,"그외"
)</f>
        <v>3개월</v>
      </c>
    </row>
    <row r="2093" spans="1:12" x14ac:dyDescent="0.3">
      <c r="A2093" s="5">
        <v>46023</v>
      </c>
      <c r="B2093" s="6" t="s">
        <v>50</v>
      </c>
      <c r="C2093" s="6" t="s">
        <v>57</v>
      </c>
      <c r="D2093" s="5">
        <v>45931</v>
      </c>
      <c r="E2093" s="6" t="s">
        <v>15</v>
      </c>
      <c r="F2093" s="7">
        <v>604</v>
      </c>
      <c r="G2093" s="7">
        <v>209468.78807947019</v>
      </c>
      <c r="H2093" s="7">
        <v>126519148</v>
      </c>
      <c r="I2093" s="7">
        <v>11596638</v>
      </c>
      <c r="J2093" s="7">
        <v>0</v>
      </c>
      <c r="K2093">
        <f t="shared" si="32"/>
        <v>92</v>
      </c>
      <c r="L2093" s="8" t="str" cm="1">
        <f t="array" ref="L2093">_xlfn.IFS(
 AND(K2093&gt;=89,K2093&lt;=92),"3개월",
 AND(K2093&gt;=58,K2093&lt;=62),"2개월",
 AND(K2093&gt;=28,K2093&lt;=32),"1개월",
 AND(K2093=0),"당월",
 TRUE,"그외"
)</f>
        <v>3개월</v>
      </c>
    </row>
    <row r="2094" spans="1:12" x14ac:dyDescent="0.3">
      <c r="A2094" s="5">
        <v>46023</v>
      </c>
      <c r="B2094" s="6" t="s">
        <v>50</v>
      </c>
      <c r="C2094" s="6" t="s">
        <v>57</v>
      </c>
      <c r="D2094" s="5">
        <v>45962</v>
      </c>
      <c r="E2094" s="6" t="s">
        <v>14</v>
      </c>
      <c r="F2094" s="7">
        <v>785</v>
      </c>
      <c r="G2094" s="7">
        <v>178843.57961783439</v>
      </c>
      <c r="H2094" s="7">
        <v>140392210</v>
      </c>
      <c r="I2094" s="7">
        <v>26449854</v>
      </c>
      <c r="J2094" s="7">
        <v>0</v>
      </c>
      <c r="K2094">
        <f t="shared" si="32"/>
        <v>61</v>
      </c>
      <c r="L2094" s="8" t="str" cm="1">
        <f t="array" ref="L2094">_xlfn.IFS(
 AND(K2094&gt;=89,K2094&lt;=92),"3개월",
 AND(K2094&gt;=58,K2094&lt;=62),"2개월",
 AND(K2094&gt;=28,K2094&lt;=32),"1개월",
 AND(K2094=0),"당월",
 TRUE,"그외"
)</f>
        <v>2개월</v>
      </c>
    </row>
    <row r="2095" spans="1:12" x14ac:dyDescent="0.3">
      <c r="A2095" s="5">
        <v>46023</v>
      </c>
      <c r="B2095" s="6" t="s">
        <v>50</v>
      </c>
      <c r="C2095" s="6" t="s">
        <v>57</v>
      </c>
      <c r="D2095" s="5">
        <v>45962</v>
      </c>
      <c r="E2095" s="6" t="s">
        <v>15</v>
      </c>
      <c r="F2095" s="7">
        <v>737</v>
      </c>
      <c r="G2095" s="7">
        <v>266543.72320217098</v>
      </c>
      <c r="H2095" s="7">
        <v>196442724</v>
      </c>
      <c r="I2095" s="7">
        <v>14549563</v>
      </c>
      <c r="J2095" s="7">
        <v>0</v>
      </c>
      <c r="K2095">
        <f t="shared" si="32"/>
        <v>61</v>
      </c>
      <c r="L2095" s="8" t="str" cm="1">
        <f t="array" ref="L2095">_xlfn.IFS(
 AND(K2095&gt;=89,K2095&lt;=92),"3개월",
 AND(K2095&gt;=58,K2095&lt;=62),"2개월",
 AND(K2095&gt;=28,K2095&lt;=32),"1개월",
 AND(K2095=0),"당월",
 TRUE,"그외"
)</f>
        <v>2개월</v>
      </c>
    </row>
    <row r="2096" spans="1:12" x14ac:dyDescent="0.3">
      <c r="A2096" s="5">
        <v>46023</v>
      </c>
      <c r="B2096" s="6" t="s">
        <v>50</v>
      </c>
      <c r="C2096" s="6" t="s">
        <v>57</v>
      </c>
      <c r="D2096" s="5">
        <v>45992</v>
      </c>
      <c r="E2096" s="6" t="s">
        <v>14</v>
      </c>
      <c r="F2096" s="7">
        <v>2581</v>
      </c>
      <c r="G2096" s="7">
        <v>165221.1193335916</v>
      </c>
      <c r="H2096" s="7">
        <v>426435709</v>
      </c>
      <c r="I2096" s="7">
        <v>92372965</v>
      </c>
      <c r="J2096" s="7">
        <v>0</v>
      </c>
      <c r="K2096">
        <f t="shared" si="32"/>
        <v>31</v>
      </c>
      <c r="L2096" s="8" t="str" cm="1">
        <f t="array" ref="L2096">_xlfn.IFS(
 AND(K2096&gt;=89,K2096&lt;=92),"3개월",
 AND(K2096&gt;=58,K2096&lt;=62),"2개월",
 AND(K2096&gt;=28,K2096&lt;=32),"1개월",
 AND(K2096=0),"당월",
 TRUE,"그외"
)</f>
        <v>1개월</v>
      </c>
    </row>
    <row r="2097" spans="1:12" x14ac:dyDescent="0.3">
      <c r="A2097" s="5">
        <v>46023</v>
      </c>
      <c r="B2097" s="6" t="s">
        <v>50</v>
      </c>
      <c r="C2097" s="6" t="s">
        <v>57</v>
      </c>
      <c r="D2097" s="5">
        <v>45992</v>
      </c>
      <c r="E2097" s="6" t="s">
        <v>15</v>
      </c>
      <c r="F2097" s="7">
        <v>2252</v>
      </c>
      <c r="G2097" s="7">
        <v>225206.81483126109</v>
      </c>
      <c r="H2097" s="7">
        <v>507165747</v>
      </c>
      <c r="I2097" s="7">
        <v>53346741</v>
      </c>
      <c r="J2097" s="7">
        <v>0</v>
      </c>
      <c r="K2097">
        <f t="shared" si="32"/>
        <v>31</v>
      </c>
      <c r="L2097" s="8" t="str" cm="1">
        <f t="array" ref="L2097">_xlfn.IFS(
 AND(K2097&gt;=89,K2097&lt;=92),"3개월",
 AND(K2097&gt;=58,K2097&lt;=62),"2개월",
 AND(K2097&gt;=28,K2097&lt;=32),"1개월",
 AND(K2097=0),"당월",
 TRUE,"그외"
)</f>
        <v>1개월</v>
      </c>
    </row>
    <row r="2098" spans="1:12" x14ac:dyDescent="0.3">
      <c r="A2098" s="5">
        <v>46023</v>
      </c>
      <c r="B2098" s="6" t="s">
        <v>50</v>
      </c>
      <c r="C2098" s="6" t="s">
        <v>57</v>
      </c>
      <c r="D2098" s="5">
        <v>46023</v>
      </c>
      <c r="E2098" s="6" t="s">
        <v>14</v>
      </c>
      <c r="F2098" s="7">
        <v>1084</v>
      </c>
      <c r="G2098" s="7">
        <v>176943.34686346861</v>
      </c>
      <c r="H2098" s="7">
        <v>191806588</v>
      </c>
      <c r="I2098" s="7">
        <v>35300268</v>
      </c>
      <c r="J2098" s="7">
        <v>0</v>
      </c>
      <c r="K2098">
        <f t="shared" si="32"/>
        <v>0</v>
      </c>
      <c r="L2098" s="8" t="str" cm="1">
        <f t="array" ref="L2098">_xlfn.IFS(
 AND(K2098&gt;=89,K2098&lt;=92),"3개월",
 AND(K2098&gt;=58,K2098&lt;=62),"2개월",
 AND(K2098&gt;=28,K2098&lt;=32),"1개월",
 AND(K2098=0),"당월",
 TRUE,"그외"
)</f>
        <v>당월</v>
      </c>
    </row>
    <row r="2099" spans="1:12" x14ac:dyDescent="0.3">
      <c r="A2099" s="5">
        <v>46023</v>
      </c>
      <c r="B2099" s="6" t="s">
        <v>50</v>
      </c>
      <c r="C2099" s="6" t="s">
        <v>57</v>
      </c>
      <c r="D2099" s="5">
        <v>46023</v>
      </c>
      <c r="E2099" s="6" t="s">
        <v>15</v>
      </c>
      <c r="F2099" s="7">
        <v>1479</v>
      </c>
      <c r="G2099" s="7">
        <v>234749.81271129139</v>
      </c>
      <c r="H2099" s="7">
        <v>347194973</v>
      </c>
      <c r="I2099" s="7">
        <v>37749046</v>
      </c>
      <c r="J2099" s="7">
        <v>0</v>
      </c>
      <c r="K2099">
        <f t="shared" si="32"/>
        <v>0</v>
      </c>
      <c r="L2099" s="8" t="str" cm="1">
        <f t="array" ref="L2099">_xlfn.IFS(
 AND(K2099&gt;=89,K2099&lt;=92),"3개월",
 AND(K2099&gt;=58,K2099&lt;=62),"2개월",
 AND(K2099&gt;=28,K2099&lt;=32),"1개월",
 AND(K2099=0),"당월",
 TRUE,"그외"
)</f>
        <v>당월</v>
      </c>
    </row>
    <row r="2100" spans="1:12" x14ac:dyDescent="0.3">
      <c r="A2100" s="5">
        <v>46023</v>
      </c>
      <c r="B2100" s="6" t="s">
        <v>50</v>
      </c>
      <c r="C2100" s="6" t="s">
        <v>59</v>
      </c>
      <c r="D2100" s="5">
        <v>45839</v>
      </c>
      <c r="E2100" s="6" t="s">
        <v>15</v>
      </c>
      <c r="F2100" s="7">
        <v>45</v>
      </c>
      <c r="G2100" s="7">
        <v>141379.6</v>
      </c>
      <c r="H2100" s="7">
        <v>6362082</v>
      </c>
      <c r="I2100" s="7">
        <v>760134</v>
      </c>
      <c r="J2100" s="7">
        <v>0</v>
      </c>
      <c r="K2100">
        <f t="shared" si="32"/>
        <v>184</v>
      </c>
      <c r="L2100" s="8" t="str" cm="1">
        <f t="array" ref="L2100">_xlfn.IFS(
 AND(K2100&gt;=89,K2100&lt;=92),"3개월",
 AND(K2100&gt;=58,K2100&lt;=62),"2개월",
 AND(K2100&gt;=28,K2100&lt;=32),"1개월",
 AND(K2100=0),"당월",
 TRUE,"그외"
)</f>
        <v>그외</v>
      </c>
    </row>
    <row r="2101" spans="1:12" x14ac:dyDescent="0.3">
      <c r="A2101" s="5">
        <v>46023</v>
      </c>
      <c r="B2101" s="6" t="s">
        <v>50</v>
      </c>
      <c r="C2101" s="6" t="s">
        <v>59</v>
      </c>
      <c r="D2101" s="5">
        <v>45870</v>
      </c>
      <c r="E2101" s="6" t="s">
        <v>15</v>
      </c>
      <c r="F2101" s="7">
        <v>96</v>
      </c>
      <c r="G2101" s="7">
        <v>157575.79166666669</v>
      </c>
      <c r="H2101" s="7">
        <v>15127276</v>
      </c>
      <c r="I2101" s="7">
        <v>1953063</v>
      </c>
      <c r="J2101" s="7">
        <v>0</v>
      </c>
      <c r="K2101">
        <f t="shared" si="32"/>
        <v>153</v>
      </c>
      <c r="L2101" s="8" t="str" cm="1">
        <f t="array" ref="L2101">_xlfn.IFS(
 AND(K2101&gt;=89,K2101&lt;=92),"3개월",
 AND(K2101&gt;=58,K2101&lt;=62),"2개월",
 AND(K2101&gt;=28,K2101&lt;=32),"1개월",
 AND(K2101=0),"당월",
 TRUE,"그외"
)</f>
        <v>그외</v>
      </c>
    </row>
    <row r="2102" spans="1:12" x14ac:dyDescent="0.3">
      <c r="A2102" s="5">
        <v>46023</v>
      </c>
      <c r="B2102" s="6" t="s">
        <v>50</v>
      </c>
      <c r="C2102" s="6" t="s">
        <v>59</v>
      </c>
      <c r="D2102" s="5">
        <v>45901</v>
      </c>
      <c r="E2102" s="6" t="s">
        <v>14</v>
      </c>
      <c r="F2102" s="7">
        <v>14</v>
      </c>
      <c r="G2102" s="7">
        <v>150411.1428571429</v>
      </c>
      <c r="H2102" s="7">
        <v>2105756</v>
      </c>
      <c r="I2102" s="7">
        <v>579321</v>
      </c>
      <c r="J2102" s="7">
        <v>0</v>
      </c>
      <c r="K2102">
        <f t="shared" si="32"/>
        <v>122</v>
      </c>
      <c r="L2102" s="8" t="str" cm="1">
        <f t="array" ref="L2102">_xlfn.IFS(
 AND(K2102&gt;=89,K2102&lt;=92),"3개월",
 AND(K2102&gt;=58,K2102&lt;=62),"2개월",
 AND(K2102&gt;=28,K2102&lt;=32),"1개월",
 AND(K2102=0),"당월",
 TRUE,"그외"
)</f>
        <v>그외</v>
      </c>
    </row>
    <row r="2103" spans="1:12" x14ac:dyDescent="0.3">
      <c r="A2103" s="5">
        <v>46023</v>
      </c>
      <c r="B2103" s="6" t="s">
        <v>50</v>
      </c>
      <c r="C2103" s="6" t="s">
        <v>59</v>
      </c>
      <c r="D2103" s="5">
        <v>45901</v>
      </c>
      <c r="E2103" s="6" t="s">
        <v>15</v>
      </c>
      <c r="F2103" s="7">
        <v>111</v>
      </c>
      <c r="G2103" s="7">
        <v>174321.17117117121</v>
      </c>
      <c r="H2103" s="7">
        <v>19349650</v>
      </c>
      <c r="I2103" s="7">
        <v>2596141</v>
      </c>
      <c r="J2103" s="7">
        <v>0</v>
      </c>
      <c r="K2103">
        <f t="shared" si="32"/>
        <v>122</v>
      </c>
      <c r="L2103" s="8" t="str" cm="1">
        <f t="array" ref="L2103">_xlfn.IFS(
 AND(K2103&gt;=89,K2103&lt;=92),"3개월",
 AND(K2103&gt;=58,K2103&lt;=62),"2개월",
 AND(K2103&gt;=28,K2103&lt;=32),"1개월",
 AND(K2103=0),"당월",
 TRUE,"그외"
)</f>
        <v>그외</v>
      </c>
    </row>
    <row r="2104" spans="1:12" x14ac:dyDescent="0.3">
      <c r="A2104" s="5">
        <v>46023</v>
      </c>
      <c r="B2104" s="6" t="s">
        <v>50</v>
      </c>
      <c r="C2104" s="6" t="s">
        <v>59</v>
      </c>
      <c r="D2104" s="5">
        <v>45931</v>
      </c>
      <c r="E2104" s="6" t="s">
        <v>14</v>
      </c>
      <c r="F2104" s="7">
        <v>2</v>
      </c>
      <c r="G2104" s="7">
        <v>99631</v>
      </c>
      <c r="H2104" s="7">
        <v>199262</v>
      </c>
      <c r="I2104" s="7">
        <v>83412</v>
      </c>
      <c r="J2104" s="7">
        <v>0</v>
      </c>
      <c r="K2104">
        <f t="shared" si="32"/>
        <v>92</v>
      </c>
      <c r="L2104" s="8" t="str" cm="1">
        <f t="array" ref="L2104">_xlfn.IFS(
 AND(K2104&gt;=89,K2104&lt;=92),"3개월",
 AND(K2104&gt;=58,K2104&lt;=62),"2개월",
 AND(K2104&gt;=28,K2104&lt;=32),"1개월",
 AND(K2104=0),"당월",
 TRUE,"그외"
)</f>
        <v>3개월</v>
      </c>
    </row>
    <row r="2105" spans="1:12" x14ac:dyDescent="0.3">
      <c r="A2105" s="5">
        <v>46023</v>
      </c>
      <c r="B2105" s="6" t="s">
        <v>50</v>
      </c>
      <c r="C2105" s="6" t="s">
        <v>59</v>
      </c>
      <c r="D2105" s="5">
        <v>45931</v>
      </c>
      <c r="E2105" s="6" t="s">
        <v>15</v>
      </c>
      <c r="F2105" s="7">
        <v>630</v>
      </c>
      <c r="G2105" s="7">
        <v>144063.86031746029</v>
      </c>
      <c r="H2105" s="7">
        <v>90760232</v>
      </c>
      <c r="I2105" s="7">
        <v>18228694</v>
      </c>
      <c r="J2105" s="7">
        <v>0</v>
      </c>
      <c r="K2105">
        <f t="shared" si="32"/>
        <v>92</v>
      </c>
      <c r="L2105" s="8" t="str" cm="1">
        <f t="array" ref="L2105">_xlfn.IFS(
 AND(K2105&gt;=89,K2105&lt;=92),"3개월",
 AND(K2105&gt;=58,K2105&lt;=62),"2개월",
 AND(K2105&gt;=28,K2105&lt;=32),"1개월",
 AND(K2105=0),"당월",
 TRUE,"그외"
)</f>
        <v>3개월</v>
      </c>
    </row>
    <row r="2106" spans="1:12" x14ac:dyDescent="0.3">
      <c r="A2106" s="5">
        <v>46023</v>
      </c>
      <c r="B2106" s="6" t="s">
        <v>50</v>
      </c>
      <c r="C2106" s="6" t="s">
        <v>59</v>
      </c>
      <c r="D2106" s="5">
        <v>45962</v>
      </c>
      <c r="E2106" s="6" t="s">
        <v>14</v>
      </c>
      <c r="F2106" s="7">
        <v>192</v>
      </c>
      <c r="G2106" s="7">
        <v>130629.3125</v>
      </c>
      <c r="H2106" s="7">
        <v>25080828</v>
      </c>
      <c r="I2106" s="7">
        <v>8195328</v>
      </c>
      <c r="J2106" s="7">
        <v>0</v>
      </c>
      <c r="K2106">
        <f t="shared" si="32"/>
        <v>61</v>
      </c>
      <c r="L2106" s="8" t="str" cm="1">
        <f t="array" ref="L2106">_xlfn.IFS(
 AND(K2106&gt;=89,K2106&lt;=92),"3개월",
 AND(K2106&gt;=58,K2106&lt;=62),"2개월",
 AND(K2106&gt;=28,K2106&lt;=32),"1개월",
 AND(K2106=0),"당월",
 TRUE,"그외"
)</f>
        <v>2개월</v>
      </c>
    </row>
    <row r="2107" spans="1:12" x14ac:dyDescent="0.3">
      <c r="A2107" s="5">
        <v>46023</v>
      </c>
      <c r="B2107" s="6" t="s">
        <v>50</v>
      </c>
      <c r="C2107" s="6" t="s">
        <v>59</v>
      </c>
      <c r="D2107" s="5">
        <v>45962</v>
      </c>
      <c r="E2107" s="6" t="s">
        <v>15</v>
      </c>
      <c r="F2107" s="7">
        <v>1066</v>
      </c>
      <c r="G2107" s="7">
        <v>118685.36491557219</v>
      </c>
      <c r="H2107" s="7">
        <v>126518599</v>
      </c>
      <c r="I2107" s="7">
        <v>29923607</v>
      </c>
      <c r="J2107" s="7">
        <v>0</v>
      </c>
      <c r="K2107">
        <f t="shared" si="32"/>
        <v>61</v>
      </c>
      <c r="L2107" s="8" t="str" cm="1">
        <f t="array" ref="L2107">_xlfn.IFS(
 AND(K2107&gt;=89,K2107&lt;=92),"3개월",
 AND(K2107&gt;=58,K2107&lt;=62),"2개월",
 AND(K2107&gt;=28,K2107&lt;=32),"1개월",
 AND(K2107=0),"당월",
 TRUE,"그외"
)</f>
        <v>2개월</v>
      </c>
    </row>
    <row r="2108" spans="1:12" x14ac:dyDescent="0.3">
      <c r="A2108" s="5">
        <v>46023</v>
      </c>
      <c r="B2108" s="6" t="s">
        <v>50</v>
      </c>
      <c r="C2108" s="6" t="s">
        <v>59</v>
      </c>
      <c r="D2108" s="5">
        <v>45992</v>
      </c>
      <c r="E2108" s="6" t="s">
        <v>14</v>
      </c>
      <c r="F2108" s="7">
        <v>1143</v>
      </c>
      <c r="G2108" s="7">
        <v>116256.7471566054</v>
      </c>
      <c r="H2108" s="7">
        <v>132881462</v>
      </c>
      <c r="I2108" s="7">
        <v>46734641</v>
      </c>
      <c r="J2108" s="7">
        <v>0</v>
      </c>
      <c r="K2108">
        <f t="shared" si="32"/>
        <v>31</v>
      </c>
      <c r="L2108" s="8" t="str" cm="1">
        <f t="array" ref="L2108">_xlfn.IFS(
 AND(K2108&gt;=89,K2108&lt;=92),"3개월",
 AND(K2108&gt;=58,K2108&lt;=62),"2개월",
 AND(K2108&gt;=28,K2108&lt;=32),"1개월",
 AND(K2108=0),"당월",
 TRUE,"그외"
)</f>
        <v>1개월</v>
      </c>
    </row>
    <row r="2109" spans="1:12" x14ac:dyDescent="0.3">
      <c r="A2109" s="5">
        <v>46023</v>
      </c>
      <c r="B2109" s="6" t="s">
        <v>50</v>
      </c>
      <c r="C2109" s="6" t="s">
        <v>59</v>
      </c>
      <c r="D2109" s="5">
        <v>45992</v>
      </c>
      <c r="E2109" s="6" t="s">
        <v>15</v>
      </c>
      <c r="F2109" s="7">
        <v>1136</v>
      </c>
      <c r="G2109" s="7">
        <v>139044.6188380282</v>
      </c>
      <c r="H2109" s="7">
        <v>157954687</v>
      </c>
      <c r="I2109" s="7">
        <v>33738507</v>
      </c>
      <c r="J2109" s="7">
        <v>0</v>
      </c>
      <c r="K2109">
        <f t="shared" si="32"/>
        <v>31</v>
      </c>
      <c r="L2109" s="8" t="str" cm="1">
        <f t="array" ref="L2109">_xlfn.IFS(
 AND(K2109&gt;=89,K2109&lt;=92),"3개월",
 AND(K2109&gt;=58,K2109&lt;=62),"2개월",
 AND(K2109&gt;=28,K2109&lt;=32),"1개월",
 AND(K2109=0),"당월",
 TRUE,"그외"
)</f>
        <v>1개월</v>
      </c>
    </row>
    <row r="2110" spans="1:12" x14ac:dyDescent="0.3">
      <c r="A2110" s="5">
        <v>46023</v>
      </c>
      <c r="B2110" s="6" t="s">
        <v>50</v>
      </c>
      <c r="C2110" s="6" t="s">
        <v>59</v>
      </c>
      <c r="D2110" s="5">
        <v>46023</v>
      </c>
      <c r="E2110" s="6" t="s">
        <v>14</v>
      </c>
      <c r="F2110" s="7">
        <v>1102</v>
      </c>
      <c r="G2110" s="7">
        <v>154426.8711433757</v>
      </c>
      <c r="H2110" s="7">
        <v>170178412</v>
      </c>
      <c r="I2110" s="7">
        <v>43528040</v>
      </c>
      <c r="J2110" s="7">
        <v>0</v>
      </c>
      <c r="K2110">
        <f t="shared" si="32"/>
        <v>0</v>
      </c>
      <c r="L2110" s="8" t="str" cm="1">
        <f t="array" ref="L2110">_xlfn.IFS(
 AND(K2110&gt;=89,K2110&lt;=92),"3개월",
 AND(K2110&gt;=58,K2110&lt;=62),"2개월",
 AND(K2110&gt;=28,K2110&lt;=32),"1개월",
 AND(K2110=0),"당월",
 TRUE,"그외"
)</f>
        <v>당월</v>
      </c>
    </row>
    <row r="2111" spans="1:12" x14ac:dyDescent="0.3">
      <c r="A2111" s="5">
        <v>46023</v>
      </c>
      <c r="B2111" s="6" t="s">
        <v>50</v>
      </c>
      <c r="C2111" s="6" t="s">
        <v>59</v>
      </c>
      <c r="D2111" s="5">
        <v>46023</v>
      </c>
      <c r="E2111" s="6" t="s">
        <v>15</v>
      </c>
      <c r="F2111" s="7">
        <v>453</v>
      </c>
      <c r="G2111" s="7">
        <v>170474.36865342161</v>
      </c>
      <c r="H2111" s="7">
        <v>77224889</v>
      </c>
      <c r="I2111" s="7">
        <v>14289109</v>
      </c>
      <c r="J2111" s="7">
        <v>0</v>
      </c>
      <c r="K2111">
        <f t="shared" si="32"/>
        <v>0</v>
      </c>
      <c r="L2111" s="8" t="str" cm="1">
        <f t="array" ref="L2111">_xlfn.IFS(
 AND(K2111&gt;=89,K2111&lt;=92),"3개월",
 AND(K2111&gt;=58,K2111&lt;=62),"2개월",
 AND(K2111&gt;=28,K2111&lt;=32),"1개월",
 AND(K2111=0),"당월",
 TRUE,"그외"
)</f>
        <v>당월</v>
      </c>
    </row>
    <row r="2112" spans="1:12" x14ac:dyDescent="0.3">
      <c r="A2112" s="5">
        <v>46023</v>
      </c>
      <c r="B2112" s="6" t="s">
        <v>60</v>
      </c>
      <c r="C2112" s="6" t="s">
        <v>61</v>
      </c>
      <c r="D2112" s="5">
        <v>45839</v>
      </c>
      <c r="E2112" s="6" t="s">
        <v>15</v>
      </c>
      <c r="F2112" s="7">
        <v>234</v>
      </c>
      <c r="G2112" s="7">
        <v>241246.49572649569</v>
      </c>
      <c r="H2112" s="7">
        <v>56451680</v>
      </c>
      <c r="I2112" s="7">
        <v>4248768</v>
      </c>
      <c r="J2112" s="7">
        <v>0</v>
      </c>
      <c r="K2112">
        <f t="shared" si="32"/>
        <v>184</v>
      </c>
      <c r="L2112" s="8" t="str" cm="1">
        <f t="array" ref="L2112">_xlfn.IFS(
 AND(K2112&gt;=89,K2112&lt;=92),"3개월",
 AND(K2112&gt;=58,K2112&lt;=62),"2개월",
 AND(K2112&gt;=28,K2112&lt;=32),"1개월",
 AND(K2112=0),"당월",
 TRUE,"그외"
)</f>
        <v>그외</v>
      </c>
    </row>
    <row r="2113" spans="1:12" x14ac:dyDescent="0.3">
      <c r="A2113" s="5">
        <v>46023</v>
      </c>
      <c r="B2113" s="6" t="s">
        <v>60</v>
      </c>
      <c r="C2113" s="6" t="s">
        <v>61</v>
      </c>
      <c r="D2113" s="5">
        <v>45870</v>
      </c>
      <c r="E2113" s="6" t="s">
        <v>14</v>
      </c>
      <c r="F2113" s="7">
        <v>36</v>
      </c>
      <c r="G2113" s="7">
        <v>276000</v>
      </c>
      <c r="H2113" s="7">
        <v>9936000</v>
      </c>
      <c r="I2113" s="7">
        <v>936000</v>
      </c>
      <c r="J2113" s="7">
        <v>0</v>
      </c>
      <c r="K2113">
        <f t="shared" si="32"/>
        <v>153</v>
      </c>
      <c r="L2113" s="8" t="str" cm="1">
        <f t="array" ref="L2113">_xlfn.IFS(
 AND(K2113&gt;=89,K2113&lt;=92),"3개월",
 AND(K2113&gt;=58,K2113&lt;=62),"2개월",
 AND(K2113&gt;=28,K2113&lt;=32),"1개월",
 AND(K2113=0),"당월",
 TRUE,"그외"
)</f>
        <v>그외</v>
      </c>
    </row>
    <row r="2114" spans="1:12" x14ac:dyDescent="0.3">
      <c r="A2114" s="5">
        <v>46023</v>
      </c>
      <c r="B2114" s="6" t="s">
        <v>60</v>
      </c>
      <c r="C2114" s="6" t="s">
        <v>61</v>
      </c>
      <c r="D2114" s="5">
        <v>45870</v>
      </c>
      <c r="E2114" s="6" t="s">
        <v>15</v>
      </c>
      <c r="F2114" s="7">
        <v>289</v>
      </c>
      <c r="G2114" s="7">
        <v>286284.65397923882</v>
      </c>
      <c r="H2114" s="7">
        <v>82736265</v>
      </c>
      <c r="I2114" s="7">
        <v>7870313</v>
      </c>
      <c r="J2114" s="7">
        <v>0</v>
      </c>
      <c r="K2114">
        <f t="shared" si="32"/>
        <v>153</v>
      </c>
      <c r="L2114" s="8" t="str" cm="1">
        <f t="array" ref="L2114">_xlfn.IFS(
 AND(K2114&gt;=89,K2114&lt;=92),"3개월",
 AND(K2114&gt;=58,K2114&lt;=62),"2개월",
 AND(K2114&gt;=28,K2114&lt;=32),"1개월",
 AND(K2114=0),"당월",
 TRUE,"그외"
)</f>
        <v>그외</v>
      </c>
    </row>
    <row r="2115" spans="1:12" x14ac:dyDescent="0.3">
      <c r="A2115" s="5">
        <v>46023</v>
      </c>
      <c r="B2115" s="6" t="s">
        <v>60</v>
      </c>
      <c r="C2115" s="6" t="s">
        <v>61</v>
      </c>
      <c r="D2115" s="5">
        <v>45901</v>
      </c>
      <c r="E2115" s="6" t="s">
        <v>14</v>
      </c>
      <c r="F2115" s="7">
        <v>18</v>
      </c>
      <c r="G2115" s="7">
        <v>248411.11111111109</v>
      </c>
      <c r="H2115" s="7">
        <v>4471400</v>
      </c>
      <c r="I2115" s="7">
        <v>473400</v>
      </c>
      <c r="J2115" s="7">
        <v>0</v>
      </c>
      <c r="K2115">
        <f t="shared" si="32"/>
        <v>122</v>
      </c>
      <c r="L2115" s="8" t="str" cm="1">
        <f t="array" ref="L2115">_xlfn.IFS(
 AND(K2115&gt;=89,K2115&lt;=92),"3개월",
 AND(K2115&gt;=58,K2115&lt;=62),"2개월",
 AND(K2115&gt;=28,K2115&lt;=32),"1개월",
 AND(K2115=0),"당월",
 TRUE,"그외"
)</f>
        <v>그외</v>
      </c>
    </row>
    <row r="2116" spans="1:12" x14ac:dyDescent="0.3">
      <c r="A2116" s="5">
        <v>46023</v>
      </c>
      <c r="B2116" s="6" t="s">
        <v>60</v>
      </c>
      <c r="C2116" s="6" t="s">
        <v>61</v>
      </c>
      <c r="D2116" s="5">
        <v>45901</v>
      </c>
      <c r="E2116" s="6" t="s">
        <v>15</v>
      </c>
      <c r="F2116" s="7">
        <v>390</v>
      </c>
      <c r="G2116" s="7">
        <v>289443.01025641029</v>
      </c>
      <c r="H2116" s="7">
        <v>112882774</v>
      </c>
      <c r="I2116" s="7">
        <v>11384536</v>
      </c>
      <c r="J2116" s="7">
        <v>0</v>
      </c>
      <c r="K2116">
        <f t="shared" si="32"/>
        <v>122</v>
      </c>
      <c r="L2116" s="8" t="str" cm="1">
        <f t="array" ref="L2116">_xlfn.IFS(
 AND(K2116&gt;=89,K2116&lt;=92),"3개월",
 AND(K2116&gt;=58,K2116&lt;=62),"2개월",
 AND(K2116&gt;=28,K2116&lt;=32),"1개월",
 AND(K2116=0),"당월",
 TRUE,"그외"
)</f>
        <v>그외</v>
      </c>
    </row>
    <row r="2117" spans="1:12" x14ac:dyDescent="0.3">
      <c r="A2117" s="5">
        <v>46023</v>
      </c>
      <c r="B2117" s="6" t="s">
        <v>60</v>
      </c>
      <c r="C2117" s="6" t="s">
        <v>61</v>
      </c>
      <c r="D2117" s="5">
        <v>45931</v>
      </c>
      <c r="E2117" s="6" t="s">
        <v>14</v>
      </c>
      <c r="F2117" s="7">
        <v>54</v>
      </c>
      <c r="G2117" s="7">
        <v>246411.11111111109</v>
      </c>
      <c r="H2117" s="7">
        <v>13306200</v>
      </c>
      <c r="I2117" s="7">
        <v>1399200</v>
      </c>
      <c r="J2117" s="7">
        <v>0</v>
      </c>
      <c r="K2117">
        <f t="shared" si="32"/>
        <v>92</v>
      </c>
      <c r="L2117" s="8" t="str" cm="1">
        <f t="array" ref="L2117">_xlfn.IFS(
 AND(K2117&gt;=89,K2117&lt;=92),"3개월",
 AND(K2117&gt;=58,K2117&lt;=62),"2개월",
 AND(K2117&gt;=28,K2117&lt;=32),"1개월",
 AND(K2117=0),"당월",
 TRUE,"그외"
)</f>
        <v>3개월</v>
      </c>
    </row>
    <row r="2118" spans="1:12" x14ac:dyDescent="0.3">
      <c r="A2118" s="5">
        <v>46023</v>
      </c>
      <c r="B2118" s="6" t="s">
        <v>60</v>
      </c>
      <c r="C2118" s="6" t="s">
        <v>61</v>
      </c>
      <c r="D2118" s="5">
        <v>45931</v>
      </c>
      <c r="E2118" s="6" t="s">
        <v>15</v>
      </c>
      <c r="F2118" s="7">
        <v>619</v>
      </c>
      <c r="G2118" s="7">
        <v>275492.19870759291</v>
      </c>
      <c r="H2118" s="7">
        <v>170529671</v>
      </c>
      <c r="I2118" s="7">
        <v>17145501</v>
      </c>
      <c r="J2118" s="7">
        <v>0</v>
      </c>
      <c r="K2118">
        <f t="shared" si="32"/>
        <v>92</v>
      </c>
      <c r="L2118" s="8" t="str" cm="1">
        <f t="array" ref="L2118">_xlfn.IFS(
 AND(K2118&gt;=89,K2118&lt;=92),"3개월",
 AND(K2118&gt;=58,K2118&lt;=62),"2개월",
 AND(K2118&gt;=28,K2118&lt;=32),"1개월",
 AND(K2118=0),"당월",
 TRUE,"그외"
)</f>
        <v>3개월</v>
      </c>
    </row>
    <row r="2119" spans="1:12" x14ac:dyDescent="0.3">
      <c r="A2119" s="5">
        <v>46023</v>
      </c>
      <c r="B2119" s="6" t="s">
        <v>60</v>
      </c>
      <c r="C2119" s="6" t="s">
        <v>61</v>
      </c>
      <c r="D2119" s="5">
        <v>45962</v>
      </c>
      <c r="E2119" s="6" t="s">
        <v>14</v>
      </c>
      <c r="F2119" s="7">
        <v>260</v>
      </c>
      <c r="G2119" s="7">
        <v>245050</v>
      </c>
      <c r="H2119" s="7">
        <v>63713000</v>
      </c>
      <c r="I2119" s="7">
        <v>6942000</v>
      </c>
      <c r="J2119" s="7">
        <v>0</v>
      </c>
      <c r="K2119">
        <f t="shared" si="32"/>
        <v>61</v>
      </c>
      <c r="L2119" s="8" t="str" cm="1">
        <f t="array" ref="L2119">_xlfn.IFS(
 AND(K2119&gt;=89,K2119&lt;=92),"3개월",
 AND(K2119&gt;=58,K2119&lt;=62),"2개월",
 AND(K2119&gt;=28,K2119&lt;=32),"1개월",
 AND(K2119=0),"당월",
 TRUE,"그외"
)</f>
        <v>2개월</v>
      </c>
    </row>
    <row r="2120" spans="1:12" x14ac:dyDescent="0.3">
      <c r="A2120" s="5">
        <v>46023</v>
      </c>
      <c r="B2120" s="6" t="s">
        <v>60</v>
      </c>
      <c r="C2120" s="6" t="s">
        <v>61</v>
      </c>
      <c r="D2120" s="5">
        <v>45962</v>
      </c>
      <c r="E2120" s="6" t="s">
        <v>15</v>
      </c>
      <c r="F2120" s="7">
        <v>2537</v>
      </c>
      <c r="G2120" s="7">
        <v>248613.34528971219</v>
      </c>
      <c r="H2120" s="7">
        <v>630732057</v>
      </c>
      <c r="I2120" s="7">
        <v>74464787</v>
      </c>
      <c r="J2120" s="7">
        <v>0</v>
      </c>
      <c r="K2120">
        <f t="shared" si="32"/>
        <v>61</v>
      </c>
      <c r="L2120" s="8" t="str" cm="1">
        <f t="array" ref="L2120">_xlfn.IFS(
 AND(K2120&gt;=89,K2120&lt;=92),"3개월",
 AND(K2120&gt;=58,K2120&lt;=62),"2개월",
 AND(K2120&gt;=28,K2120&lt;=32),"1개월",
 AND(K2120=0),"당월",
 TRUE,"그외"
)</f>
        <v>2개월</v>
      </c>
    </row>
    <row r="2121" spans="1:12" x14ac:dyDescent="0.3">
      <c r="A2121" s="5">
        <v>46023</v>
      </c>
      <c r="B2121" s="6" t="s">
        <v>60</v>
      </c>
      <c r="C2121" s="6" t="s">
        <v>61</v>
      </c>
      <c r="D2121" s="5">
        <v>45992</v>
      </c>
      <c r="E2121" s="6" t="s">
        <v>14</v>
      </c>
      <c r="F2121" s="7">
        <v>1377</v>
      </c>
      <c r="G2121" s="7">
        <v>237256.67610747999</v>
      </c>
      <c r="H2121" s="7">
        <v>326702443</v>
      </c>
      <c r="I2121" s="7">
        <v>42748935</v>
      </c>
      <c r="J2121" s="7">
        <v>0</v>
      </c>
      <c r="K2121">
        <f t="shared" si="32"/>
        <v>31</v>
      </c>
      <c r="L2121" s="8" t="str" cm="1">
        <f t="array" ref="L2121">_xlfn.IFS(
 AND(K2121&gt;=89,K2121&lt;=92),"3개월",
 AND(K2121&gt;=58,K2121&lt;=62),"2개월",
 AND(K2121&gt;=28,K2121&lt;=32),"1개월",
 AND(K2121=0),"당월",
 TRUE,"그외"
)</f>
        <v>1개월</v>
      </c>
    </row>
    <row r="2122" spans="1:12" x14ac:dyDescent="0.3">
      <c r="A2122" s="5">
        <v>46023</v>
      </c>
      <c r="B2122" s="6" t="s">
        <v>60</v>
      </c>
      <c r="C2122" s="6" t="s">
        <v>61</v>
      </c>
      <c r="D2122" s="5">
        <v>45992</v>
      </c>
      <c r="E2122" s="6" t="s">
        <v>15</v>
      </c>
      <c r="F2122" s="7">
        <v>3930</v>
      </c>
      <c r="G2122" s="7">
        <v>234861.0821882952</v>
      </c>
      <c r="H2122" s="7">
        <v>923004053</v>
      </c>
      <c r="I2122" s="7">
        <v>153367584</v>
      </c>
      <c r="J2122" s="7">
        <v>0</v>
      </c>
      <c r="K2122">
        <f t="shared" ref="K2122:K2185" si="33">A2122-D2122</f>
        <v>31</v>
      </c>
      <c r="L2122" s="8" t="str" cm="1">
        <f t="array" ref="L2122">_xlfn.IFS(
 AND(K2122&gt;=89,K2122&lt;=92),"3개월",
 AND(K2122&gt;=58,K2122&lt;=62),"2개월",
 AND(K2122&gt;=28,K2122&lt;=32),"1개월",
 AND(K2122=0),"당월",
 TRUE,"그외"
)</f>
        <v>1개월</v>
      </c>
    </row>
    <row r="2123" spans="1:12" x14ac:dyDescent="0.3">
      <c r="A2123" s="5">
        <v>46023</v>
      </c>
      <c r="B2123" s="6" t="s">
        <v>60</v>
      </c>
      <c r="C2123" s="6" t="s">
        <v>61</v>
      </c>
      <c r="D2123" s="5">
        <v>46023</v>
      </c>
      <c r="E2123" s="6" t="s">
        <v>14</v>
      </c>
      <c r="F2123" s="7">
        <v>1489</v>
      </c>
      <c r="G2123" s="7">
        <v>141373.19476158489</v>
      </c>
      <c r="H2123" s="7">
        <v>210504687</v>
      </c>
      <c r="I2123" s="7">
        <v>15848239</v>
      </c>
      <c r="J2123" s="7">
        <v>0</v>
      </c>
      <c r="K2123">
        <f t="shared" si="33"/>
        <v>0</v>
      </c>
      <c r="L2123" s="8" t="str" cm="1">
        <f t="array" ref="L2123">_xlfn.IFS(
 AND(K2123&gt;=89,K2123&lt;=92),"3개월",
 AND(K2123&gt;=58,K2123&lt;=62),"2개월",
 AND(K2123&gt;=28,K2123&lt;=32),"1개월",
 AND(K2123=0),"당월",
 TRUE,"그외"
)</f>
        <v>당월</v>
      </c>
    </row>
    <row r="2124" spans="1:12" x14ac:dyDescent="0.3">
      <c r="A2124" s="5">
        <v>46023</v>
      </c>
      <c r="B2124" s="6" t="s">
        <v>60</v>
      </c>
      <c r="C2124" s="6" t="s">
        <v>61</v>
      </c>
      <c r="D2124" s="5">
        <v>46023</v>
      </c>
      <c r="E2124" s="6" t="s">
        <v>15</v>
      </c>
      <c r="F2124" s="7">
        <v>2113</v>
      </c>
      <c r="G2124" s="7">
        <v>202695.53573118791</v>
      </c>
      <c r="H2124" s="7">
        <v>428295667</v>
      </c>
      <c r="I2124" s="7">
        <v>91012124</v>
      </c>
      <c r="J2124" s="7">
        <v>0</v>
      </c>
      <c r="K2124">
        <f t="shared" si="33"/>
        <v>0</v>
      </c>
      <c r="L2124" s="8" t="str" cm="1">
        <f t="array" ref="L2124">_xlfn.IFS(
 AND(K2124&gt;=89,K2124&lt;=92),"3개월",
 AND(K2124&gt;=58,K2124&lt;=62),"2개월",
 AND(K2124&gt;=28,K2124&lt;=32),"1개월",
 AND(K2124=0),"당월",
 TRUE,"그외"
)</f>
        <v>당월</v>
      </c>
    </row>
    <row r="2125" spans="1:12" x14ac:dyDescent="0.3">
      <c r="A2125" s="5">
        <v>46023</v>
      </c>
      <c r="B2125" s="6" t="s">
        <v>60</v>
      </c>
      <c r="C2125" s="6" t="s">
        <v>104</v>
      </c>
      <c r="D2125" s="5">
        <v>45839</v>
      </c>
      <c r="E2125" s="6" t="s">
        <v>15</v>
      </c>
      <c r="F2125" s="7">
        <v>16</v>
      </c>
      <c r="G2125" s="7">
        <v>489000</v>
      </c>
      <c r="H2125" s="7">
        <v>7824000</v>
      </c>
      <c r="I2125" s="7">
        <v>264000</v>
      </c>
      <c r="J2125" s="7">
        <v>0</v>
      </c>
      <c r="K2125">
        <f t="shared" si="33"/>
        <v>184</v>
      </c>
      <c r="L2125" s="8" t="str" cm="1">
        <f t="array" ref="L2125">_xlfn.IFS(
 AND(K2125&gt;=89,K2125&lt;=92),"3개월",
 AND(K2125&gt;=58,K2125&lt;=62),"2개월",
 AND(K2125&gt;=28,K2125&lt;=32),"1개월",
 AND(K2125=0),"당월",
 TRUE,"그외"
)</f>
        <v>그외</v>
      </c>
    </row>
    <row r="2126" spans="1:12" x14ac:dyDescent="0.3">
      <c r="A2126" s="5">
        <v>46023</v>
      </c>
      <c r="B2126" s="6" t="s">
        <v>60</v>
      </c>
      <c r="C2126" s="6" t="s">
        <v>104</v>
      </c>
      <c r="D2126" s="5">
        <v>45870</v>
      </c>
      <c r="E2126" s="6" t="s">
        <v>14</v>
      </c>
      <c r="F2126" s="7">
        <v>16</v>
      </c>
      <c r="G2126" s="7">
        <v>346000</v>
      </c>
      <c r="H2126" s="7">
        <v>5536000</v>
      </c>
      <c r="I2126" s="7">
        <v>416000</v>
      </c>
      <c r="J2126" s="7">
        <v>0</v>
      </c>
      <c r="K2126">
        <f t="shared" si="33"/>
        <v>153</v>
      </c>
      <c r="L2126" s="8" t="str" cm="1">
        <f t="array" ref="L2126">_xlfn.IFS(
 AND(K2126&gt;=89,K2126&lt;=92),"3개월",
 AND(K2126&gt;=58,K2126&lt;=62),"2개월",
 AND(K2126&gt;=28,K2126&lt;=32),"1개월",
 AND(K2126=0),"당월",
 TRUE,"그외"
)</f>
        <v>그외</v>
      </c>
    </row>
    <row r="2127" spans="1:12" x14ac:dyDescent="0.3">
      <c r="A2127" s="5">
        <v>46023</v>
      </c>
      <c r="B2127" s="6" t="s">
        <v>60</v>
      </c>
      <c r="C2127" s="6" t="s">
        <v>104</v>
      </c>
      <c r="D2127" s="5">
        <v>45870</v>
      </c>
      <c r="E2127" s="6" t="s">
        <v>15</v>
      </c>
      <c r="F2127" s="7">
        <v>348</v>
      </c>
      <c r="G2127" s="7">
        <v>288059.82183908048</v>
      </c>
      <c r="H2127" s="7">
        <v>100244818</v>
      </c>
      <c r="I2127" s="7">
        <v>9048000</v>
      </c>
      <c r="J2127" s="7">
        <v>0</v>
      </c>
      <c r="K2127">
        <f t="shared" si="33"/>
        <v>153</v>
      </c>
      <c r="L2127" s="8" t="str" cm="1">
        <f t="array" ref="L2127">_xlfn.IFS(
 AND(K2127&gt;=89,K2127&lt;=92),"3개월",
 AND(K2127&gt;=58,K2127&lt;=62),"2개월",
 AND(K2127&gt;=28,K2127&lt;=32),"1개월",
 AND(K2127=0),"당월",
 TRUE,"그외"
)</f>
        <v>그외</v>
      </c>
    </row>
    <row r="2128" spans="1:12" x14ac:dyDescent="0.3">
      <c r="A2128" s="5">
        <v>46023</v>
      </c>
      <c r="B2128" s="6" t="s">
        <v>60</v>
      </c>
      <c r="C2128" s="6" t="s">
        <v>104</v>
      </c>
      <c r="D2128" s="5">
        <v>45901</v>
      </c>
      <c r="E2128" s="6" t="s">
        <v>15</v>
      </c>
      <c r="F2128" s="7">
        <v>748</v>
      </c>
      <c r="G2128" s="7">
        <v>293746.61631016037</v>
      </c>
      <c r="H2128" s="7">
        <v>219722469</v>
      </c>
      <c r="I2128" s="7">
        <v>19898595</v>
      </c>
      <c r="J2128" s="7">
        <v>0</v>
      </c>
      <c r="K2128">
        <f t="shared" si="33"/>
        <v>122</v>
      </c>
      <c r="L2128" s="8" t="str" cm="1">
        <f t="array" ref="L2128">_xlfn.IFS(
 AND(K2128&gt;=89,K2128&lt;=92),"3개월",
 AND(K2128&gt;=58,K2128&lt;=62),"2개월",
 AND(K2128&gt;=28,K2128&lt;=32),"1개월",
 AND(K2128=0),"당월",
 TRUE,"그외"
)</f>
        <v>그외</v>
      </c>
    </row>
    <row r="2129" spans="1:12" x14ac:dyDescent="0.3">
      <c r="A2129" s="5">
        <v>46023</v>
      </c>
      <c r="B2129" s="6" t="s">
        <v>60</v>
      </c>
      <c r="C2129" s="6" t="s">
        <v>104</v>
      </c>
      <c r="D2129" s="5">
        <v>45931</v>
      </c>
      <c r="E2129" s="6" t="s">
        <v>14</v>
      </c>
      <c r="F2129" s="7">
        <v>16</v>
      </c>
      <c r="G2129" s="7">
        <v>261400</v>
      </c>
      <c r="H2129" s="7">
        <v>4182400</v>
      </c>
      <c r="I2129" s="7">
        <v>422400</v>
      </c>
      <c r="J2129" s="7">
        <v>0</v>
      </c>
      <c r="K2129">
        <f t="shared" si="33"/>
        <v>92</v>
      </c>
      <c r="L2129" s="8" t="str" cm="1">
        <f t="array" ref="L2129">_xlfn.IFS(
 AND(K2129&gt;=89,K2129&lt;=92),"3개월",
 AND(K2129&gt;=58,K2129&lt;=62),"2개월",
 AND(K2129&gt;=28,K2129&lt;=32),"1개월",
 AND(K2129=0),"당월",
 TRUE,"그외"
)</f>
        <v>3개월</v>
      </c>
    </row>
    <row r="2130" spans="1:12" x14ac:dyDescent="0.3">
      <c r="A2130" s="5">
        <v>46023</v>
      </c>
      <c r="B2130" s="6" t="s">
        <v>60</v>
      </c>
      <c r="C2130" s="6" t="s">
        <v>104</v>
      </c>
      <c r="D2130" s="5">
        <v>45931</v>
      </c>
      <c r="E2130" s="6" t="s">
        <v>15</v>
      </c>
      <c r="F2130" s="7">
        <v>867</v>
      </c>
      <c r="G2130" s="7">
        <v>281893</v>
      </c>
      <c r="H2130" s="7">
        <v>244401231</v>
      </c>
      <c r="I2130" s="7">
        <v>23591695</v>
      </c>
      <c r="J2130" s="7">
        <v>0</v>
      </c>
      <c r="K2130">
        <f t="shared" si="33"/>
        <v>92</v>
      </c>
      <c r="L2130" s="8" t="str" cm="1">
        <f t="array" ref="L2130">_xlfn.IFS(
 AND(K2130&gt;=89,K2130&lt;=92),"3개월",
 AND(K2130&gt;=58,K2130&lt;=62),"2개월",
 AND(K2130&gt;=28,K2130&lt;=32),"1개월",
 AND(K2130=0),"당월",
 TRUE,"그외"
)</f>
        <v>3개월</v>
      </c>
    </row>
    <row r="2131" spans="1:12" x14ac:dyDescent="0.3">
      <c r="A2131" s="5">
        <v>46023</v>
      </c>
      <c r="B2131" s="6" t="s">
        <v>60</v>
      </c>
      <c r="C2131" s="6" t="s">
        <v>104</v>
      </c>
      <c r="D2131" s="5">
        <v>45962</v>
      </c>
      <c r="E2131" s="6" t="s">
        <v>14</v>
      </c>
      <c r="F2131" s="7">
        <v>1013</v>
      </c>
      <c r="G2131" s="7">
        <v>272548.96347482718</v>
      </c>
      <c r="H2131" s="7">
        <v>276092100</v>
      </c>
      <c r="I2131" s="7">
        <v>27047100</v>
      </c>
      <c r="J2131" s="7">
        <v>0</v>
      </c>
      <c r="K2131">
        <f t="shared" si="33"/>
        <v>61</v>
      </c>
      <c r="L2131" s="8" t="str" cm="1">
        <f t="array" ref="L2131">_xlfn.IFS(
 AND(K2131&gt;=89,K2131&lt;=92),"3개월",
 AND(K2131&gt;=58,K2131&lt;=62),"2개월",
 AND(K2131&gt;=28,K2131&lt;=32),"1개월",
 AND(K2131=0),"당월",
 TRUE,"그외"
)</f>
        <v>2개월</v>
      </c>
    </row>
    <row r="2132" spans="1:12" x14ac:dyDescent="0.3">
      <c r="A2132" s="5">
        <v>46023</v>
      </c>
      <c r="B2132" s="6" t="s">
        <v>60</v>
      </c>
      <c r="C2132" s="6" t="s">
        <v>104</v>
      </c>
      <c r="D2132" s="5">
        <v>45962</v>
      </c>
      <c r="E2132" s="6" t="s">
        <v>15</v>
      </c>
      <c r="F2132" s="7">
        <v>1133</v>
      </c>
      <c r="G2132" s="7">
        <v>277995.05560458958</v>
      </c>
      <c r="H2132" s="7">
        <v>314968398</v>
      </c>
      <c r="I2132" s="7">
        <v>32074463</v>
      </c>
      <c r="J2132" s="7">
        <v>0</v>
      </c>
      <c r="K2132">
        <f t="shared" si="33"/>
        <v>61</v>
      </c>
      <c r="L2132" s="8" t="str" cm="1">
        <f t="array" ref="L2132">_xlfn.IFS(
 AND(K2132&gt;=89,K2132&lt;=92),"3개월",
 AND(K2132&gt;=58,K2132&lt;=62),"2개월",
 AND(K2132&gt;=28,K2132&lt;=32),"1개월",
 AND(K2132=0),"당월",
 TRUE,"그외"
)</f>
        <v>2개월</v>
      </c>
    </row>
    <row r="2133" spans="1:12" x14ac:dyDescent="0.3">
      <c r="A2133" s="5">
        <v>46023</v>
      </c>
      <c r="B2133" s="6" t="s">
        <v>60</v>
      </c>
      <c r="C2133" s="6" t="s">
        <v>104</v>
      </c>
      <c r="D2133" s="5">
        <v>45992</v>
      </c>
      <c r="E2133" s="6" t="s">
        <v>14</v>
      </c>
      <c r="F2133" s="7">
        <v>686</v>
      </c>
      <c r="G2133" s="7">
        <v>238071.72011661809</v>
      </c>
      <c r="H2133" s="7">
        <v>163317200</v>
      </c>
      <c r="I2133" s="7">
        <v>21746200</v>
      </c>
      <c r="J2133" s="7">
        <v>0</v>
      </c>
      <c r="K2133">
        <f t="shared" si="33"/>
        <v>31</v>
      </c>
      <c r="L2133" s="8" t="str" cm="1">
        <f t="array" ref="L2133">_xlfn.IFS(
 AND(K2133&gt;=89,K2133&lt;=92),"3개월",
 AND(K2133&gt;=58,K2133&lt;=62),"2개월",
 AND(K2133&gt;=28,K2133&lt;=32),"1개월",
 AND(K2133=0),"당월",
 TRUE,"그외"
)</f>
        <v>1개월</v>
      </c>
    </row>
    <row r="2134" spans="1:12" x14ac:dyDescent="0.3">
      <c r="A2134" s="5">
        <v>46023</v>
      </c>
      <c r="B2134" s="6" t="s">
        <v>60</v>
      </c>
      <c r="C2134" s="6" t="s">
        <v>104</v>
      </c>
      <c r="D2134" s="5">
        <v>45992</v>
      </c>
      <c r="E2134" s="6" t="s">
        <v>15</v>
      </c>
      <c r="F2134" s="7">
        <v>2548</v>
      </c>
      <c r="G2134" s="7">
        <v>229127.35164835161</v>
      </c>
      <c r="H2134" s="7">
        <v>583816492</v>
      </c>
      <c r="I2134" s="7">
        <v>88535603</v>
      </c>
      <c r="J2134" s="7">
        <v>0</v>
      </c>
      <c r="K2134">
        <f t="shared" si="33"/>
        <v>31</v>
      </c>
      <c r="L2134" s="8" t="str" cm="1">
        <f t="array" ref="L2134">_xlfn.IFS(
 AND(K2134&gt;=89,K2134&lt;=92),"3개월",
 AND(K2134&gt;=58,K2134&lt;=62),"2개월",
 AND(K2134&gt;=28,K2134&lt;=32),"1개월",
 AND(K2134=0),"당월",
 TRUE,"그외"
)</f>
        <v>1개월</v>
      </c>
    </row>
    <row r="2135" spans="1:12" x14ac:dyDescent="0.3">
      <c r="A2135" s="5">
        <v>46023</v>
      </c>
      <c r="B2135" s="6" t="s">
        <v>60</v>
      </c>
      <c r="C2135" s="6" t="s">
        <v>104</v>
      </c>
      <c r="D2135" s="5">
        <v>46023</v>
      </c>
      <c r="E2135" s="6" t="s">
        <v>14</v>
      </c>
      <c r="F2135" s="7">
        <v>1082</v>
      </c>
      <c r="G2135" s="7">
        <v>192263.23475046211</v>
      </c>
      <c r="H2135" s="7">
        <v>208028820</v>
      </c>
      <c r="I2135" s="7">
        <v>34903800</v>
      </c>
      <c r="J2135" s="7">
        <v>0</v>
      </c>
      <c r="K2135">
        <f t="shared" si="33"/>
        <v>0</v>
      </c>
      <c r="L2135" s="8" t="str" cm="1">
        <f t="array" ref="L2135">_xlfn.IFS(
 AND(K2135&gt;=89,K2135&lt;=92),"3개월",
 AND(K2135&gt;=58,K2135&lt;=62),"2개월",
 AND(K2135&gt;=28,K2135&lt;=32),"1개월",
 AND(K2135=0),"당월",
 TRUE,"그외"
)</f>
        <v>당월</v>
      </c>
    </row>
    <row r="2136" spans="1:12" x14ac:dyDescent="0.3">
      <c r="A2136" s="5">
        <v>46023</v>
      </c>
      <c r="B2136" s="6" t="s">
        <v>60</v>
      </c>
      <c r="C2136" s="6" t="s">
        <v>104</v>
      </c>
      <c r="D2136" s="5">
        <v>46023</v>
      </c>
      <c r="E2136" s="6" t="s">
        <v>15</v>
      </c>
      <c r="F2136" s="7">
        <v>1968</v>
      </c>
      <c r="G2136" s="7">
        <v>206716.74542682929</v>
      </c>
      <c r="H2136" s="7">
        <v>406818555</v>
      </c>
      <c r="I2136" s="7">
        <v>79058906</v>
      </c>
      <c r="J2136" s="7">
        <v>0</v>
      </c>
      <c r="K2136">
        <f t="shared" si="33"/>
        <v>0</v>
      </c>
      <c r="L2136" s="8" t="str" cm="1">
        <f t="array" ref="L2136">_xlfn.IFS(
 AND(K2136&gt;=89,K2136&lt;=92),"3개월",
 AND(K2136&gt;=58,K2136&lt;=62),"2개월",
 AND(K2136&gt;=28,K2136&lt;=32),"1개월",
 AND(K2136=0),"당월",
 TRUE,"그외"
)</f>
        <v>당월</v>
      </c>
    </row>
    <row r="2137" spans="1:12" x14ac:dyDescent="0.3">
      <c r="A2137" s="5">
        <v>46023</v>
      </c>
      <c r="B2137" s="6" t="s">
        <v>60</v>
      </c>
      <c r="C2137" s="6" t="s">
        <v>105</v>
      </c>
      <c r="D2137" s="5">
        <v>45992</v>
      </c>
      <c r="E2137" s="6" t="s">
        <v>14</v>
      </c>
      <c r="F2137" s="7">
        <v>429</v>
      </c>
      <c r="G2137" s="7">
        <v>928853.6503496503</v>
      </c>
      <c r="H2137" s="7">
        <v>398478216</v>
      </c>
      <c r="I2137" s="7">
        <v>0</v>
      </c>
      <c r="J2137" s="7">
        <v>0</v>
      </c>
      <c r="K2137">
        <f t="shared" si="33"/>
        <v>31</v>
      </c>
      <c r="L2137" s="8" t="str" cm="1">
        <f t="array" ref="L2137">_xlfn.IFS(
 AND(K2137&gt;=89,K2137&lt;=92),"3개월",
 AND(K2137&gt;=58,K2137&lt;=62),"2개월",
 AND(K2137&gt;=28,K2137&lt;=32),"1개월",
 AND(K2137=0),"당월",
 TRUE,"그외"
)</f>
        <v>1개월</v>
      </c>
    </row>
    <row r="2138" spans="1:12" x14ac:dyDescent="0.3">
      <c r="A2138" s="5">
        <v>46023</v>
      </c>
      <c r="B2138" s="6" t="s">
        <v>60</v>
      </c>
      <c r="C2138" s="6" t="s">
        <v>105</v>
      </c>
      <c r="D2138" s="5">
        <v>45992</v>
      </c>
      <c r="E2138" s="6" t="s">
        <v>106</v>
      </c>
      <c r="F2138" s="7">
        <v>6</v>
      </c>
      <c r="G2138" s="7">
        <v>0</v>
      </c>
      <c r="H2138" s="7">
        <v>0</v>
      </c>
      <c r="I2138" s="7">
        <v>0</v>
      </c>
      <c r="J2138" s="7">
        <v>0</v>
      </c>
      <c r="K2138">
        <f t="shared" si="33"/>
        <v>31</v>
      </c>
      <c r="L2138" s="8" t="str" cm="1">
        <f t="array" ref="L2138">_xlfn.IFS(
 AND(K2138&gt;=89,K2138&lt;=92),"3개월",
 AND(K2138&gt;=58,K2138&lt;=62),"2개월",
 AND(K2138&gt;=28,K2138&lt;=32),"1개월",
 AND(K2138=0),"당월",
 TRUE,"그외"
)</f>
        <v>1개월</v>
      </c>
    </row>
    <row r="2139" spans="1:12" x14ac:dyDescent="0.3">
      <c r="A2139" s="5">
        <v>46023</v>
      </c>
      <c r="B2139" s="6" t="s">
        <v>60</v>
      </c>
      <c r="C2139" s="6" t="s">
        <v>105</v>
      </c>
      <c r="D2139" s="5">
        <v>46023</v>
      </c>
      <c r="E2139" s="6" t="s">
        <v>14</v>
      </c>
      <c r="F2139" s="7">
        <v>2593</v>
      </c>
      <c r="G2139" s="7">
        <v>262518.93559583492</v>
      </c>
      <c r="H2139" s="7">
        <v>680711600</v>
      </c>
      <c r="I2139" s="7">
        <v>0</v>
      </c>
      <c r="J2139" s="7">
        <v>0</v>
      </c>
      <c r="K2139">
        <f t="shared" si="33"/>
        <v>0</v>
      </c>
      <c r="L2139" s="8" t="str" cm="1">
        <f t="array" ref="L2139">_xlfn.IFS(
 AND(K2139&gt;=89,K2139&lt;=92),"3개월",
 AND(K2139&gt;=58,K2139&lt;=62),"2개월",
 AND(K2139&gt;=28,K2139&lt;=32),"1개월",
 AND(K2139=0),"당월",
 TRUE,"그외"
)</f>
        <v>당월</v>
      </c>
    </row>
    <row r="2140" spans="1:12" x14ac:dyDescent="0.3">
      <c r="A2140" s="5">
        <v>46023</v>
      </c>
      <c r="B2140" s="6" t="s">
        <v>60</v>
      </c>
      <c r="C2140" s="6" t="s">
        <v>105</v>
      </c>
      <c r="D2140" s="5">
        <v>46023</v>
      </c>
      <c r="E2140" s="6" t="s">
        <v>15</v>
      </c>
      <c r="F2140" s="7">
        <v>11</v>
      </c>
      <c r="G2140" s="7">
        <v>0</v>
      </c>
      <c r="H2140" s="7">
        <v>0</v>
      </c>
      <c r="I2140" s="7">
        <v>0</v>
      </c>
      <c r="J2140" s="7">
        <v>0</v>
      </c>
      <c r="K2140">
        <f t="shared" si="33"/>
        <v>0</v>
      </c>
      <c r="L2140" s="8" t="str" cm="1">
        <f t="array" ref="L2140">_xlfn.IFS(
 AND(K2140&gt;=89,K2140&lt;=92),"3개월",
 AND(K2140&gt;=58,K2140&lt;=62),"2개월",
 AND(K2140&gt;=28,K2140&lt;=32),"1개월",
 AND(K2140=0),"당월",
 TRUE,"그외"
)</f>
        <v>당월</v>
      </c>
    </row>
    <row r="2141" spans="1:12" x14ac:dyDescent="0.3">
      <c r="A2141" s="5">
        <v>46023</v>
      </c>
      <c r="B2141" s="6" t="s">
        <v>60</v>
      </c>
      <c r="C2141" s="6" t="s">
        <v>107</v>
      </c>
      <c r="D2141" s="5">
        <v>45901</v>
      </c>
      <c r="E2141" s="6" t="s">
        <v>15</v>
      </c>
      <c r="F2141" s="7">
        <v>131</v>
      </c>
      <c r="G2141" s="7">
        <v>318162.89312977099</v>
      </c>
      <c r="H2141" s="7">
        <v>41679339</v>
      </c>
      <c r="I2141" s="7">
        <v>3672676</v>
      </c>
      <c r="J2141" s="7">
        <v>0</v>
      </c>
      <c r="K2141">
        <f t="shared" si="33"/>
        <v>122</v>
      </c>
      <c r="L2141" s="8" t="str" cm="1">
        <f t="array" ref="L2141">_xlfn.IFS(
 AND(K2141&gt;=89,K2141&lt;=92),"3개월",
 AND(K2141&gt;=58,K2141&lt;=62),"2개월",
 AND(K2141&gt;=28,K2141&lt;=32),"1개월",
 AND(K2141=0),"당월",
 TRUE,"그외"
)</f>
        <v>그외</v>
      </c>
    </row>
    <row r="2142" spans="1:12" x14ac:dyDescent="0.3">
      <c r="A2142" s="5">
        <v>46023</v>
      </c>
      <c r="B2142" s="6" t="s">
        <v>60</v>
      </c>
      <c r="C2142" s="6" t="s">
        <v>107</v>
      </c>
      <c r="D2142" s="5">
        <v>45931</v>
      </c>
      <c r="E2142" s="6" t="s">
        <v>14</v>
      </c>
      <c r="F2142" s="7">
        <v>228</v>
      </c>
      <c r="G2142" s="7">
        <v>282978.94736842113</v>
      </c>
      <c r="H2142" s="7">
        <v>64519200</v>
      </c>
      <c r="I2142" s="7">
        <v>6019200</v>
      </c>
      <c r="J2142" s="7">
        <v>0</v>
      </c>
      <c r="K2142">
        <f t="shared" si="33"/>
        <v>92</v>
      </c>
      <c r="L2142" s="8" t="str" cm="1">
        <f t="array" ref="L2142">_xlfn.IFS(
 AND(K2142&gt;=89,K2142&lt;=92),"3개월",
 AND(K2142&gt;=58,K2142&lt;=62),"2개월",
 AND(K2142&gt;=28,K2142&lt;=32),"1개월",
 AND(K2142=0),"당월",
 TRUE,"그외"
)</f>
        <v>3개월</v>
      </c>
    </row>
    <row r="2143" spans="1:12" x14ac:dyDescent="0.3">
      <c r="A2143" s="5">
        <v>46023</v>
      </c>
      <c r="B2143" s="6" t="s">
        <v>60</v>
      </c>
      <c r="C2143" s="6" t="s">
        <v>107</v>
      </c>
      <c r="D2143" s="5">
        <v>45931</v>
      </c>
      <c r="E2143" s="6" t="s">
        <v>15</v>
      </c>
      <c r="F2143" s="7">
        <v>1355</v>
      </c>
      <c r="G2143" s="7">
        <v>319081.38966789673</v>
      </c>
      <c r="H2143" s="7">
        <v>432355283</v>
      </c>
      <c r="I2143" s="7">
        <v>37147625</v>
      </c>
      <c r="J2143" s="7">
        <v>0</v>
      </c>
      <c r="K2143">
        <f t="shared" si="33"/>
        <v>92</v>
      </c>
      <c r="L2143" s="8" t="str" cm="1">
        <f t="array" ref="L2143">_xlfn.IFS(
 AND(K2143&gt;=89,K2143&lt;=92),"3개월",
 AND(K2143&gt;=58,K2143&lt;=62),"2개월",
 AND(K2143&gt;=28,K2143&lt;=32),"1개월",
 AND(K2143=0),"당월",
 TRUE,"그외"
)</f>
        <v>3개월</v>
      </c>
    </row>
    <row r="2144" spans="1:12" x14ac:dyDescent="0.3">
      <c r="A2144" s="5">
        <v>46023</v>
      </c>
      <c r="B2144" s="6" t="s">
        <v>60</v>
      </c>
      <c r="C2144" s="6" t="s">
        <v>107</v>
      </c>
      <c r="D2144" s="5">
        <v>45962</v>
      </c>
      <c r="E2144" s="6" t="s">
        <v>14</v>
      </c>
      <c r="F2144" s="7">
        <v>802</v>
      </c>
      <c r="G2144" s="7">
        <v>265007.98004987527</v>
      </c>
      <c r="H2144" s="7">
        <v>212536400</v>
      </c>
      <c r="I2144" s="7">
        <v>21413400</v>
      </c>
      <c r="J2144" s="7">
        <v>0</v>
      </c>
      <c r="K2144">
        <f t="shared" si="33"/>
        <v>61</v>
      </c>
      <c r="L2144" s="8" t="str" cm="1">
        <f t="array" ref="L2144">_xlfn.IFS(
 AND(K2144&gt;=89,K2144&lt;=92),"3개월",
 AND(K2144&gt;=58,K2144&lt;=62),"2개월",
 AND(K2144&gt;=28,K2144&lt;=32),"1개월",
 AND(K2144=0),"당월",
 TRUE,"그외"
)</f>
        <v>2개월</v>
      </c>
    </row>
    <row r="2145" spans="1:12" x14ac:dyDescent="0.3">
      <c r="A2145" s="5">
        <v>46023</v>
      </c>
      <c r="B2145" s="6" t="s">
        <v>60</v>
      </c>
      <c r="C2145" s="6" t="s">
        <v>107</v>
      </c>
      <c r="D2145" s="5">
        <v>45962</v>
      </c>
      <c r="E2145" s="6" t="s">
        <v>15</v>
      </c>
      <c r="F2145" s="7">
        <v>2862</v>
      </c>
      <c r="G2145" s="7">
        <v>291609.82914046122</v>
      </c>
      <c r="H2145" s="7">
        <v>834587331</v>
      </c>
      <c r="I2145" s="7">
        <v>81015910</v>
      </c>
      <c r="J2145" s="7">
        <v>0</v>
      </c>
      <c r="K2145">
        <f t="shared" si="33"/>
        <v>61</v>
      </c>
      <c r="L2145" s="8" t="str" cm="1">
        <f t="array" ref="L2145">_xlfn.IFS(
 AND(K2145&gt;=89,K2145&lt;=92),"3개월",
 AND(K2145&gt;=58,K2145&lt;=62),"2개월",
 AND(K2145&gt;=28,K2145&lt;=32),"1개월",
 AND(K2145=0),"당월",
 TRUE,"그외"
)</f>
        <v>2개월</v>
      </c>
    </row>
    <row r="2146" spans="1:12" x14ac:dyDescent="0.3">
      <c r="A2146" s="5">
        <v>46023</v>
      </c>
      <c r="B2146" s="6" t="s">
        <v>60</v>
      </c>
      <c r="C2146" s="6" t="s">
        <v>107</v>
      </c>
      <c r="D2146" s="5">
        <v>45992</v>
      </c>
      <c r="E2146" s="6" t="s">
        <v>14</v>
      </c>
      <c r="F2146" s="7">
        <v>1240</v>
      </c>
      <c r="G2146" s="7">
        <v>272451.61290322582</v>
      </c>
      <c r="H2146" s="7">
        <v>337840000</v>
      </c>
      <c r="I2146" s="7">
        <v>39298000</v>
      </c>
      <c r="J2146" s="7">
        <v>0</v>
      </c>
      <c r="K2146">
        <f t="shared" si="33"/>
        <v>31</v>
      </c>
      <c r="L2146" s="8" t="str" cm="1">
        <f t="array" ref="L2146">_xlfn.IFS(
 AND(K2146&gt;=89,K2146&lt;=92),"3개월",
 AND(K2146&gt;=58,K2146&lt;=62),"2개월",
 AND(K2146&gt;=28,K2146&lt;=32),"1개월",
 AND(K2146=0),"당월",
 TRUE,"그외"
)</f>
        <v>1개월</v>
      </c>
    </row>
    <row r="2147" spans="1:12" x14ac:dyDescent="0.3">
      <c r="A2147" s="5">
        <v>46023</v>
      </c>
      <c r="B2147" s="6" t="s">
        <v>60</v>
      </c>
      <c r="C2147" s="6" t="s">
        <v>107</v>
      </c>
      <c r="D2147" s="5">
        <v>45992</v>
      </c>
      <c r="E2147" s="6" t="s">
        <v>15</v>
      </c>
      <c r="F2147" s="7">
        <v>2327</v>
      </c>
      <c r="G2147" s="7">
        <v>276487.48732273321</v>
      </c>
      <c r="H2147" s="7">
        <v>643386383</v>
      </c>
      <c r="I2147" s="7">
        <v>81473336</v>
      </c>
      <c r="J2147" s="7">
        <v>0</v>
      </c>
      <c r="K2147">
        <f t="shared" si="33"/>
        <v>31</v>
      </c>
      <c r="L2147" s="8" t="str" cm="1">
        <f t="array" ref="L2147">_xlfn.IFS(
 AND(K2147&gt;=89,K2147&lt;=92),"3개월",
 AND(K2147&gt;=58,K2147&lt;=62),"2개월",
 AND(K2147&gt;=28,K2147&lt;=32),"1개월",
 AND(K2147=0),"당월",
 TRUE,"그외"
)</f>
        <v>1개월</v>
      </c>
    </row>
    <row r="2148" spans="1:12" x14ac:dyDescent="0.3">
      <c r="A2148" s="5">
        <v>46023</v>
      </c>
      <c r="B2148" s="6" t="s">
        <v>60</v>
      </c>
      <c r="C2148" s="6" t="s">
        <v>107</v>
      </c>
      <c r="D2148" s="5">
        <v>46023</v>
      </c>
      <c r="E2148" s="6" t="s">
        <v>14</v>
      </c>
      <c r="F2148" s="7">
        <v>116</v>
      </c>
      <c r="G2148" s="7">
        <v>273191.37931034481</v>
      </c>
      <c r="H2148" s="7">
        <v>31690200</v>
      </c>
      <c r="I2148" s="7">
        <v>3743200</v>
      </c>
      <c r="J2148" s="7">
        <v>0</v>
      </c>
      <c r="K2148">
        <f t="shared" si="33"/>
        <v>0</v>
      </c>
      <c r="L2148" s="8" t="str" cm="1">
        <f t="array" ref="L2148">_xlfn.IFS(
 AND(K2148&gt;=89,K2148&lt;=92),"3개월",
 AND(K2148&gt;=58,K2148&lt;=62),"2개월",
 AND(K2148&gt;=28,K2148&lt;=32),"1개월",
 AND(K2148=0),"당월",
 TRUE,"그외"
)</f>
        <v>당월</v>
      </c>
    </row>
    <row r="2149" spans="1:12" x14ac:dyDescent="0.3">
      <c r="A2149" s="5">
        <v>46023</v>
      </c>
      <c r="B2149" s="6" t="s">
        <v>60</v>
      </c>
      <c r="C2149" s="6" t="s">
        <v>107</v>
      </c>
      <c r="D2149" s="5">
        <v>46023</v>
      </c>
      <c r="E2149" s="6" t="s">
        <v>15</v>
      </c>
      <c r="F2149" s="7">
        <v>1220</v>
      </c>
      <c r="G2149" s="7">
        <v>237466.23278688529</v>
      </c>
      <c r="H2149" s="7">
        <v>289708804</v>
      </c>
      <c r="I2149" s="7">
        <v>42730552</v>
      </c>
      <c r="J2149" s="7">
        <v>0</v>
      </c>
      <c r="K2149">
        <f t="shared" si="33"/>
        <v>0</v>
      </c>
      <c r="L2149" s="8" t="str" cm="1">
        <f t="array" ref="L2149">_xlfn.IFS(
 AND(K2149&gt;=89,K2149&lt;=92),"3개월",
 AND(K2149&gt;=58,K2149&lt;=62),"2개월",
 AND(K2149&gt;=28,K2149&lt;=32),"1개월",
 AND(K2149=0),"당월",
 TRUE,"그외"
)</f>
        <v>당월</v>
      </c>
    </row>
    <row r="2150" spans="1:12" x14ac:dyDescent="0.3">
      <c r="A2150" s="5">
        <v>46023</v>
      </c>
      <c r="B2150" s="6" t="s">
        <v>60</v>
      </c>
      <c r="C2150" s="6" t="s">
        <v>108</v>
      </c>
      <c r="D2150" s="5">
        <v>45992</v>
      </c>
      <c r="E2150" s="6" t="s">
        <v>14</v>
      </c>
      <c r="F2150" s="7">
        <v>323</v>
      </c>
      <c r="G2150" s="7">
        <v>678320.74303405569</v>
      </c>
      <c r="H2150" s="7">
        <v>219097600</v>
      </c>
      <c r="I2150" s="7">
        <v>5325600</v>
      </c>
      <c r="J2150" s="7">
        <v>0</v>
      </c>
      <c r="K2150">
        <f t="shared" si="33"/>
        <v>31</v>
      </c>
      <c r="L2150" s="8" t="str" cm="1">
        <f t="array" ref="L2150">_xlfn.IFS(
 AND(K2150&gt;=89,K2150&lt;=92),"3개월",
 AND(K2150&gt;=58,K2150&lt;=62),"2개월",
 AND(K2150&gt;=28,K2150&lt;=32),"1개월",
 AND(K2150=0),"당월",
 TRUE,"그외"
)</f>
        <v>1개월</v>
      </c>
    </row>
    <row r="2151" spans="1:12" x14ac:dyDescent="0.3">
      <c r="A2151" s="5">
        <v>46023</v>
      </c>
      <c r="B2151" s="6" t="s">
        <v>60</v>
      </c>
      <c r="C2151" s="6" t="s">
        <v>108</v>
      </c>
      <c r="D2151" s="5">
        <v>45992</v>
      </c>
      <c r="E2151" s="6" t="s">
        <v>15</v>
      </c>
      <c r="F2151" s="7">
        <v>176</v>
      </c>
      <c r="G2151" s="7">
        <v>249154.78977272729</v>
      </c>
      <c r="H2151" s="7">
        <v>43851243</v>
      </c>
      <c r="I2151" s="7">
        <v>5965378</v>
      </c>
      <c r="J2151" s="7">
        <v>0</v>
      </c>
      <c r="K2151">
        <f t="shared" si="33"/>
        <v>31</v>
      </c>
      <c r="L2151" s="8" t="str" cm="1">
        <f t="array" ref="L2151">_xlfn.IFS(
 AND(K2151&gt;=89,K2151&lt;=92),"3개월",
 AND(K2151&gt;=58,K2151&lt;=62),"2개월",
 AND(K2151&gt;=28,K2151&lt;=32),"1개월",
 AND(K2151=0),"당월",
 TRUE,"그외"
)</f>
        <v>1개월</v>
      </c>
    </row>
    <row r="2152" spans="1:12" x14ac:dyDescent="0.3">
      <c r="A2152" s="5">
        <v>46023</v>
      </c>
      <c r="B2152" s="6" t="s">
        <v>60</v>
      </c>
      <c r="C2152" s="6" t="s">
        <v>108</v>
      </c>
      <c r="D2152" s="5">
        <v>46023</v>
      </c>
      <c r="E2152" s="6" t="s">
        <v>14</v>
      </c>
      <c r="F2152" s="7">
        <v>1013</v>
      </c>
      <c r="G2152" s="7">
        <v>83962.58637709773</v>
      </c>
      <c r="H2152" s="7">
        <v>85054100</v>
      </c>
      <c r="I2152" s="7">
        <v>12232100</v>
      </c>
      <c r="J2152" s="7">
        <v>0</v>
      </c>
      <c r="K2152">
        <f t="shared" si="33"/>
        <v>0</v>
      </c>
      <c r="L2152" s="8" t="str" cm="1">
        <f t="array" ref="L2152">_xlfn.IFS(
 AND(K2152&gt;=89,K2152&lt;=92),"3개월",
 AND(K2152&gt;=58,K2152&lt;=62),"2개월",
 AND(K2152&gt;=28,K2152&lt;=32),"1개월",
 AND(K2152=0),"당월",
 TRUE,"그외"
)</f>
        <v>당월</v>
      </c>
    </row>
    <row r="2153" spans="1:12" x14ac:dyDescent="0.3">
      <c r="A2153" s="5">
        <v>46023</v>
      </c>
      <c r="B2153" s="6" t="s">
        <v>60</v>
      </c>
      <c r="C2153" s="6" t="s">
        <v>108</v>
      </c>
      <c r="D2153" s="5">
        <v>46023</v>
      </c>
      <c r="E2153" s="6" t="s">
        <v>15</v>
      </c>
      <c r="F2153" s="7">
        <v>301</v>
      </c>
      <c r="G2153" s="7">
        <v>198722.45514950159</v>
      </c>
      <c r="H2153" s="7">
        <v>59815459</v>
      </c>
      <c r="I2153" s="7">
        <v>12489229</v>
      </c>
      <c r="J2153" s="7">
        <v>0</v>
      </c>
      <c r="K2153">
        <f t="shared" si="33"/>
        <v>0</v>
      </c>
      <c r="L2153" s="8" t="str" cm="1">
        <f t="array" ref="L2153">_xlfn.IFS(
 AND(K2153&gt;=89,K2153&lt;=92),"3개월",
 AND(K2153&gt;=58,K2153&lt;=62),"2개월",
 AND(K2153&gt;=28,K2153&lt;=32),"1개월",
 AND(K2153=0),"당월",
 TRUE,"그외"
)</f>
        <v>당월</v>
      </c>
    </row>
    <row r="2154" spans="1:12" x14ac:dyDescent="0.3">
      <c r="A2154" s="5">
        <v>46023</v>
      </c>
      <c r="B2154" s="6" t="s">
        <v>60</v>
      </c>
      <c r="C2154" s="6" t="s">
        <v>62</v>
      </c>
      <c r="D2154" s="5">
        <v>45839</v>
      </c>
      <c r="E2154" s="6" t="s">
        <v>15</v>
      </c>
      <c r="F2154" s="7">
        <v>98</v>
      </c>
      <c r="G2154" s="7">
        <v>389679.1530612245</v>
      </c>
      <c r="H2154" s="7">
        <v>38188557</v>
      </c>
      <c r="I2154" s="7">
        <v>2111810</v>
      </c>
      <c r="J2154" s="7">
        <v>0</v>
      </c>
      <c r="K2154">
        <f t="shared" si="33"/>
        <v>184</v>
      </c>
      <c r="L2154" s="8" t="str" cm="1">
        <f t="array" ref="L2154">_xlfn.IFS(
 AND(K2154&gt;=89,K2154&lt;=92),"3개월",
 AND(K2154&gt;=58,K2154&lt;=62),"2개월",
 AND(K2154&gt;=28,K2154&lt;=32),"1개월",
 AND(K2154=0),"당월",
 TRUE,"그외"
)</f>
        <v>그외</v>
      </c>
    </row>
    <row r="2155" spans="1:12" x14ac:dyDescent="0.3">
      <c r="A2155" s="5">
        <v>46023</v>
      </c>
      <c r="B2155" s="6" t="s">
        <v>60</v>
      </c>
      <c r="C2155" s="6" t="s">
        <v>62</v>
      </c>
      <c r="D2155" s="5">
        <v>45870</v>
      </c>
      <c r="E2155" s="6" t="s">
        <v>15</v>
      </c>
      <c r="F2155" s="7">
        <v>210</v>
      </c>
      <c r="G2155" s="7">
        <v>411373</v>
      </c>
      <c r="H2155" s="7">
        <v>86388330</v>
      </c>
      <c r="I2155" s="7">
        <v>6189499</v>
      </c>
      <c r="J2155" s="7">
        <v>0</v>
      </c>
      <c r="K2155">
        <f t="shared" si="33"/>
        <v>153</v>
      </c>
      <c r="L2155" s="8" t="str" cm="1">
        <f t="array" ref="L2155">_xlfn.IFS(
 AND(K2155&gt;=89,K2155&lt;=92),"3개월",
 AND(K2155&gt;=58,K2155&lt;=62),"2개월",
 AND(K2155&gt;=28,K2155&lt;=32),"1개월",
 AND(K2155=0),"당월",
 TRUE,"그외"
)</f>
        <v>그외</v>
      </c>
    </row>
    <row r="2156" spans="1:12" x14ac:dyDescent="0.3">
      <c r="A2156" s="5">
        <v>46023</v>
      </c>
      <c r="B2156" s="6" t="s">
        <v>60</v>
      </c>
      <c r="C2156" s="6" t="s">
        <v>62</v>
      </c>
      <c r="D2156" s="5">
        <v>45901</v>
      </c>
      <c r="E2156" s="6" t="s">
        <v>15</v>
      </c>
      <c r="F2156" s="7">
        <v>669</v>
      </c>
      <c r="G2156" s="7">
        <v>348439.05231689091</v>
      </c>
      <c r="H2156" s="7">
        <v>233105726</v>
      </c>
      <c r="I2156" s="7">
        <v>20242705</v>
      </c>
      <c r="J2156" s="7">
        <v>0</v>
      </c>
      <c r="K2156">
        <f t="shared" si="33"/>
        <v>122</v>
      </c>
      <c r="L2156" s="8" t="str" cm="1">
        <f t="array" ref="L2156">_xlfn.IFS(
 AND(K2156&gt;=89,K2156&lt;=92),"3개월",
 AND(K2156&gt;=58,K2156&lt;=62),"2개월",
 AND(K2156&gt;=28,K2156&lt;=32),"1개월",
 AND(K2156=0),"당월",
 TRUE,"그외"
)</f>
        <v>그외</v>
      </c>
    </row>
    <row r="2157" spans="1:12" x14ac:dyDescent="0.3">
      <c r="A2157" s="5">
        <v>46023</v>
      </c>
      <c r="B2157" s="6" t="s">
        <v>60</v>
      </c>
      <c r="C2157" s="6" t="s">
        <v>62</v>
      </c>
      <c r="D2157" s="5">
        <v>45931</v>
      </c>
      <c r="E2157" s="6" t="s">
        <v>14</v>
      </c>
      <c r="F2157" s="7">
        <v>1</v>
      </c>
      <c r="G2157" s="7">
        <v>306650</v>
      </c>
      <c r="H2157" s="7">
        <v>306650</v>
      </c>
      <c r="I2157" s="7">
        <v>54759</v>
      </c>
      <c r="J2157" s="7">
        <v>0</v>
      </c>
      <c r="K2157">
        <f t="shared" si="33"/>
        <v>92</v>
      </c>
      <c r="L2157" s="8" t="str" cm="1">
        <f t="array" ref="L2157">_xlfn.IFS(
 AND(K2157&gt;=89,K2157&lt;=92),"3개월",
 AND(K2157&gt;=58,K2157&lt;=62),"2개월",
 AND(K2157&gt;=28,K2157&lt;=32),"1개월",
 AND(K2157=0),"당월",
 TRUE,"그외"
)</f>
        <v>3개월</v>
      </c>
    </row>
    <row r="2158" spans="1:12" x14ac:dyDescent="0.3">
      <c r="A2158" s="5">
        <v>46023</v>
      </c>
      <c r="B2158" s="6" t="s">
        <v>60</v>
      </c>
      <c r="C2158" s="6" t="s">
        <v>62</v>
      </c>
      <c r="D2158" s="5">
        <v>45931</v>
      </c>
      <c r="E2158" s="6" t="s">
        <v>15</v>
      </c>
      <c r="F2158" s="7">
        <v>1921</v>
      </c>
      <c r="G2158" s="7">
        <v>308267.39198334201</v>
      </c>
      <c r="H2158" s="7">
        <v>592181660</v>
      </c>
      <c r="I2158" s="7">
        <v>63365742</v>
      </c>
      <c r="J2158" s="7">
        <v>0</v>
      </c>
      <c r="K2158">
        <f t="shared" si="33"/>
        <v>92</v>
      </c>
      <c r="L2158" s="8" t="str" cm="1">
        <f t="array" ref="L2158">_xlfn.IFS(
 AND(K2158&gt;=89,K2158&lt;=92),"3개월",
 AND(K2158&gt;=58,K2158&lt;=62),"2개월",
 AND(K2158&gt;=28,K2158&lt;=32),"1개월",
 AND(K2158=0),"당월",
 TRUE,"그외"
)</f>
        <v>3개월</v>
      </c>
    </row>
    <row r="2159" spans="1:12" x14ac:dyDescent="0.3">
      <c r="A2159" s="5">
        <v>46023</v>
      </c>
      <c r="B2159" s="6" t="s">
        <v>60</v>
      </c>
      <c r="C2159" s="6" t="s">
        <v>62</v>
      </c>
      <c r="D2159" s="5">
        <v>45962</v>
      </c>
      <c r="E2159" s="6" t="s">
        <v>14</v>
      </c>
      <c r="F2159" s="7">
        <v>316</v>
      </c>
      <c r="G2159" s="7">
        <v>290817.80063291139</v>
      </c>
      <c r="H2159" s="7">
        <v>91898425</v>
      </c>
      <c r="I2159" s="7">
        <v>8851604</v>
      </c>
      <c r="J2159" s="7">
        <v>0</v>
      </c>
      <c r="K2159">
        <f t="shared" si="33"/>
        <v>61</v>
      </c>
      <c r="L2159" s="8" t="str" cm="1">
        <f t="array" ref="L2159">_xlfn.IFS(
 AND(K2159&gt;=89,K2159&lt;=92),"3개월",
 AND(K2159&gt;=58,K2159&lt;=62),"2개월",
 AND(K2159&gt;=28,K2159&lt;=32),"1개월",
 AND(K2159=0),"당월",
 TRUE,"그외"
)</f>
        <v>2개월</v>
      </c>
    </row>
    <row r="2160" spans="1:12" x14ac:dyDescent="0.3">
      <c r="A2160" s="5">
        <v>46023</v>
      </c>
      <c r="B2160" s="6" t="s">
        <v>60</v>
      </c>
      <c r="C2160" s="6" t="s">
        <v>62</v>
      </c>
      <c r="D2160" s="5">
        <v>45962</v>
      </c>
      <c r="E2160" s="6" t="s">
        <v>15</v>
      </c>
      <c r="F2160" s="7">
        <v>1963</v>
      </c>
      <c r="G2160" s="7">
        <v>363777.24095771782</v>
      </c>
      <c r="H2160" s="7">
        <v>714094724</v>
      </c>
      <c r="I2160" s="7">
        <v>72804540</v>
      </c>
      <c r="J2160" s="7">
        <v>0</v>
      </c>
      <c r="K2160">
        <f t="shared" si="33"/>
        <v>61</v>
      </c>
      <c r="L2160" s="8" t="str" cm="1">
        <f t="array" ref="L2160">_xlfn.IFS(
 AND(K2160&gt;=89,K2160&lt;=92),"3개월",
 AND(K2160&gt;=58,K2160&lt;=62),"2개월",
 AND(K2160&gt;=28,K2160&lt;=32),"1개월",
 AND(K2160=0),"당월",
 TRUE,"그외"
)</f>
        <v>2개월</v>
      </c>
    </row>
    <row r="2161" spans="1:12" x14ac:dyDescent="0.3">
      <c r="A2161" s="5">
        <v>46023</v>
      </c>
      <c r="B2161" s="6" t="s">
        <v>60</v>
      </c>
      <c r="C2161" s="6" t="s">
        <v>62</v>
      </c>
      <c r="D2161" s="5">
        <v>45992</v>
      </c>
      <c r="E2161" s="6" t="s">
        <v>14</v>
      </c>
      <c r="F2161" s="7">
        <v>3071</v>
      </c>
      <c r="G2161" s="7">
        <v>317210.09931618371</v>
      </c>
      <c r="H2161" s="7">
        <v>974152215</v>
      </c>
      <c r="I2161" s="7">
        <v>105419318</v>
      </c>
      <c r="J2161" s="7">
        <v>0</v>
      </c>
      <c r="K2161">
        <f t="shared" si="33"/>
        <v>31</v>
      </c>
      <c r="L2161" s="8" t="str" cm="1">
        <f t="array" ref="L2161">_xlfn.IFS(
 AND(K2161&gt;=89,K2161&lt;=92),"3개월",
 AND(K2161&gt;=58,K2161&lt;=62),"2개월",
 AND(K2161&gt;=28,K2161&lt;=32),"1개월",
 AND(K2161=0),"당월",
 TRUE,"그외"
)</f>
        <v>1개월</v>
      </c>
    </row>
    <row r="2162" spans="1:12" x14ac:dyDescent="0.3">
      <c r="A2162" s="5">
        <v>46023</v>
      </c>
      <c r="B2162" s="6" t="s">
        <v>60</v>
      </c>
      <c r="C2162" s="6" t="s">
        <v>62</v>
      </c>
      <c r="D2162" s="5">
        <v>45992</v>
      </c>
      <c r="E2162" s="6" t="s">
        <v>15</v>
      </c>
      <c r="F2162" s="7">
        <v>2661</v>
      </c>
      <c r="G2162" s="7">
        <v>356742.69146937242</v>
      </c>
      <c r="H2162" s="7">
        <v>949292302</v>
      </c>
      <c r="I2162" s="7">
        <v>122624184</v>
      </c>
      <c r="J2162" s="7">
        <v>0</v>
      </c>
      <c r="K2162">
        <f t="shared" si="33"/>
        <v>31</v>
      </c>
      <c r="L2162" s="8" t="str" cm="1">
        <f t="array" ref="L2162">_xlfn.IFS(
 AND(K2162&gt;=89,K2162&lt;=92),"3개월",
 AND(K2162&gt;=58,K2162&lt;=62),"2개월",
 AND(K2162&gt;=28,K2162&lt;=32),"1개월",
 AND(K2162=0),"당월",
 TRUE,"그외"
)</f>
        <v>1개월</v>
      </c>
    </row>
    <row r="2163" spans="1:12" x14ac:dyDescent="0.3">
      <c r="A2163" s="5">
        <v>46023</v>
      </c>
      <c r="B2163" s="6" t="s">
        <v>60</v>
      </c>
      <c r="C2163" s="6" t="s">
        <v>62</v>
      </c>
      <c r="D2163" s="5">
        <v>46023</v>
      </c>
      <c r="E2163" s="6" t="s">
        <v>14</v>
      </c>
      <c r="F2163" s="7">
        <v>1553</v>
      </c>
      <c r="G2163" s="7">
        <v>105737.14745653571</v>
      </c>
      <c r="H2163" s="7">
        <v>164209790</v>
      </c>
      <c r="I2163" s="7">
        <v>55560382</v>
      </c>
      <c r="J2163" s="7">
        <v>0</v>
      </c>
      <c r="K2163">
        <f t="shared" si="33"/>
        <v>0</v>
      </c>
      <c r="L2163" s="8" t="str" cm="1">
        <f t="array" ref="L2163">_xlfn.IFS(
 AND(K2163&gt;=89,K2163&lt;=92),"3개월",
 AND(K2163&gt;=58,K2163&lt;=62),"2개월",
 AND(K2163&gt;=28,K2163&lt;=32),"1개월",
 AND(K2163=0),"당월",
 TRUE,"그외"
)</f>
        <v>당월</v>
      </c>
    </row>
    <row r="2164" spans="1:12" x14ac:dyDescent="0.3">
      <c r="A2164" s="5">
        <v>46023</v>
      </c>
      <c r="B2164" s="6" t="s">
        <v>60</v>
      </c>
      <c r="C2164" s="6" t="s">
        <v>62</v>
      </c>
      <c r="D2164" s="5">
        <v>46023</v>
      </c>
      <c r="E2164" s="6" t="s">
        <v>15</v>
      </c>
      <c r="F2164" s="7">
        <v>1768</v>
      </c>
      <c r="G2164" s="7">
        <v>441185.01753393671</v>
      </c>
      <c r="H2164" s="7">
        <v>780015111</v>
      </c>
      <c r="I2164" s="7">
        <v>79748008</v>
      </c>
      <c r="J2164" s="7">
        <v>0</v>
      </c>
      <c r="K2164">
        <f t="shared" si="33"/>
        <v>0</v>
      </c>
      <c r="L2164" s="8" t="str" cm="1">
        <f t="array" ref="L2164">_xlfn.IFS(
 AND(K2164&gt;=89,K2164&lt;=92),"3개월",
 AND(K2164&gt;=58,K2164&lt;=62),"2개월",
 AND(K2164&gt;=28,K2164&lt;=32),"1개월",
 AND(K2164=0),"당월",
 TRUE,"그외"
)</f>
        <v>당월</v>
      </c>
    </row>
    <row r="2165" spans="1:12" x14ac:dyDescent="0.3">
      <c r="A2165" s="5">
        <v>46023</v>
      </c>
      <c r="B2165" s="6" t="s">
        <v>60</v>
      </c>
      <c r="C2165" s="6" t="s">
        <v>63</v>
      </c>
      <c r="D2165" s="5">
        <v>45839</v>
      </c>
      <c r="E2165" s="6" t="s">
        <v>15</v>
      </c>
      <c r="F2165" s="7">
        <v>40</v>
      </c>
      <c r="G2165" s="7">
        <v>315583.82500000001</v>
      </c>
      <c r="H2165" s="7">
        <v>12623353</v>
      </c>
      <c r="I2165" s="7">
        <v>1217944</v>
      </c>
      <c r="J2165" s="7">
        <v>0</v>
      </c>
      <c r="K2165">
        <f t="shared" si="33"/>
        <v>184</v>
      </c>
      <c r="L2165" s="8" t="str" cm="1">
        <f t="array" ref="L2165">_xlfn.IFS(
 AND(K2165&gt;=89,K2165&lt;=92),"3개월",
 AND(K2165&gt;=58,K2165&lt;=62),"2개월",
 AND(K2165&gt;=28,K2165&lt;=32),"1개월",
 AND(K2165=0),"당월",
 TRUE,"그외"
)</f>
        <v>그외</v>
      </c>
    </row>
    <row r="2166" spans="1:12" x14ac:dyDescent="0.3">
      <c r="A2166" s="5">
        <v>46023</v>
      </c>
      <c r="B2166" s="6" t="s">
        <v>60</v>
      </c>
      <c r="C2166" s="6" t="s">
        <v>63</v>
      </c>
      <c r="D2166" s="5">
        <v>45870</v>
      </c>
      <c r="E2166" s="6" t="s">
        <v>15</v>
      </c>
      <c r="F2166" s="7">
        <v>169</v>
      </c>
      <c r="G2166" s="7">
        <v>222975.08284023669</v>
      </c>
      <c r="H2166" s="7">
        <v>37682789</v>
      </c>
      <c r="I2166" s="7">
        <v>6139073</v>
      </c>
      <c r="J2166" s="7">
        <v>0</v>
      </c>
      <c r="K2166">
        <f t="shared" si="33"/>
        <v>153</v>
      </c>
      <c r="L2166" s="8" t="str" cm="1">
        <f t="array" ref="L2166">_xlfn.IFS(
 AND(K2166&gt;=89,K2166&lt;=92),"3개월",
 AND(K2166&gt;=58,K2166&lt;=62),"2개월",
 AND(K2166&gt;=28,K2166&lt;=32),"1개월",
 AND(K2166=0),"당월",
 TRUE,"그외"
)</f>
        <v>그외</v>
      </c>
    </row>
    <row r="2167" spans="1:12" x14ac:dyDescent="0.3">
      <c r="A2167" s="5">
        <v>46023</v>
      </c>
      <c r="B2167" s="6" t="s">
        <v>60</v>
      </c>
      <c r="C2167" s="6" t="s">
        <v>63</v>
      </c>
      <c r="D2167" s="5">
        <v>45901</v>
      </c>
      <c r="E2167" s="6" t="s">
        <v>14</v>
      </c>
      <c r="F2167" s="7">
        <v>10</v>
      </c>
      <c r="G2167" s="7">
        <v>217700</v>
      </c>
      <c r="H2167" s="7">
        <v>2177000</v>
      </c>
      <c r="I2167" s="7">
        <v>277000</v>
      </c>
      <c r="J2167" s="7">
        <v>0</v>
      </c>
      <c r="K2167">
        <f t="shared" si="33"/>
        <v>122</v>
      </c>
      <c r="L2167" s="8" t="str" cm="1">
        <f t="array" ref="L2167">_xlfn.IFS(
 AND(K2167&gt;=89,K2167&lt;=92),"3개월",
 AND(K2167&gt;=58,K2167&lt;=62),"2개월",
 AND(K2167&gt;=28,K2167&lt;=32),"1개월",
 AND(K2167=0),"당월",
 TRUE,"그외"
)</f>
        <v>그외</v>
      </c>
    </row>
    <row r="2168" spans="1:12" x14ac:dyDescent="0.3">
      <c r="A2168" s="5">
        <v>46023</v>
      </c>
      <c r="B2168" s="6" t="s">
        <v>60</v>
      </c>
      <c r="C2168" s="6" t="s">
        <v>63</v>
      </c>
      <c r="D2168" s="5">
        <v>45901</v>
      </c>
      <c r="E2168" s="6" t="s">
        <v>15</v>
      </c>
      <c r="F2168" s="7">
        <v>376</v>
      </c>
      <c r="G2168" s="7">
        <v>228991.77659574471</v>
      </c>
      <c r="H2168" s="7">
        <v>86100908</v>
      </c>
      <c r="I2168" s="7">
        <v>14063036</v>
      </c>
      <c r="J2168" s="7">
        <v>0</v>
      </c>
      <c r="K2168">
        <f t="shared" si="33"/>
        <v>122</v>
      </c>
      <c r="L2168" s="8" t="str" cm="1">
        <f t="array" ref="L2168">_xlfn.IFS(
 AND(K2168&gt;=89,K2168&lt;=92),"3개월",
 AND(K2168&gt;=58,K2168&lt;=62),"2개월",
 AND(K2168&gt;=28,K2168&lt;=32),"1개월",
 AND(K2168=0),"당월",
 TRUE,"그외"
)</f>
        <v>그외</v>
      </c>
    </row>
    <row r="2169" spans="1:12" x14ac:dyDescent="0.3">
      <c r="A2169" s="5">
        <v>46023</v>
      </c>
      <c r="B2169" s="6" t="s">
        <v>60</v>
      </c>
      <c r="C2169" s="6" t="s">
        <v>63</v>
      </c>
      <c r="D2169" s="5">
        <v>45931</v>
      </c>
      <c r="E2169" s="6" t="s">
        <v>14</v>
      </c>
      <c r="F2169" s="7">
        <v>28</v>
      </c>
      <c r="G2169" s="7">
        <v>218800</v>
      </c>
      <c r="H2169" s="7">
        <v>6126400</v>
      </c>
      <c r="I2169" s="7">
        <v>778400</v>
      </c>
      <c r="J2169" s="7">
        <v>0</v>
      </c>
      <c r="K2169">
        <f t="shared" si="33"/>
        <v>92</v>
      </c>
      <c r="L2169" s="8" t="str" cm="1">
        <f t="array" ref="L2169">_xlfn.IFS(
 AND(K2169&gt;=89,K2169&lt;=92),"3개월",
 AND(K2169&gt;=58,K2169&lt;=62),"2개월",
 AND(K2169&gt;=28,K2169&lt;=32),"1개월",
 AND(K2169=0),"당월",
 TRUE,"그외"
)</f>
        <v>3개월</v>
      </c>
    </row>
    <row r="2170" spans="1:12" x14ac:dyDescent="0.3">
      <c r="A2170" s="5">
        <v>46023</v>
      </c>
      <c r="B2170" s="6" t="s">
        <v>60</v>
      </c>
      <c r="C2170" s="6" t="s">
        <v>63</v>
      </c>
      <c r="D2170" s="5">
        <v>45931</v>
      </c>
      <c r="E2170" s="6" t="s">
        <v>15</v>
      </c>
      <c r="F2170" s="7">
        <v>722</v>
      </c>
      <c r="G2170" s="7">
        <v>212036.18421052629</v>
      </c>
      <c r="H2170" s="7">
        <v>153090125</v>
      </c>
      <c r="I2170" s="7">
        <v>27479121</v>
      </c>
      <c r="J2170" s="7">
        <v>0</v>
      </c>
      <c r="K2170">
        <f t="shared" si="33"/>
        <v>92</v>
      </c>
      <c r="L2170" s="8" t="str" cm="1">
        <f t="array" ref="L2170">_xlfn.IFS(
 AND(K2170&gt;=89,K2170&lt;=92),"3개월",
 AND(K2170&gt;=58,K2170&lt;=62),"2개월",
 AND(K2170&gt;=28,K2170&lt;=32),"1개월",
 AND(K2170=0),"당월",
 TRUE,"그외"
)</f>
        <v>3개월</v>
      </c>
    </row>
    <row r="2171" spans="1:12" x14ac:dyDescent="0.3">
      <c r="A2171" s="5">
        <v>46023</v>
      </c>
      <c r="B2171" s="6" t="s">
        <v>60</v>
      </c>
      <c r="C2171" s="6" t="s">
        <v>63</v>
      </c>
      <c r="D2171" s="5">
        <v>45962</v>
      </c>
      <c r="E2171" s="6" t="s">
        <v>14</v>
      </c>
      <c r="F2171" s="7">
        <v>68</v>
      </c>
      <c r="G2171" s="7">
        <v>218100</v>
      </c>
      <c r="H2171" s="7">
        <v>14830800</v>
      </c>
      <c r="I2171" s="7">
        <v>1910800</v>
      </c>
      <c r="J2171" s="7">
        <v>0</v>
      </c>
      <c r="K2171">
        <f t="shared" si="33"/>
        <v>61</v>
      </c>
      <c r="L2171" s="8" t="str" cm="1">
        <f t="array" ref="L2171">_xlfn.IFS(
 AND(K2171&gt;=89,K2171&lt;=92),"3개월",
 AND(K2171&gt;=58,K2171&lt;=62),"2개월",
 AND(K2171&gt;=28,K2171&lt;=32),"1개월",
 AND(K2171=0),"당월",
 TRUE,"그외"
)</f>
        <v>2개월</v>
      </c>
    </row>
    <row r="2172" spans="1:12" x14ac:dyDescent="0.3">
      <c r="A2172" s="5">
        <v>46023</v>
      </c>
      <c r="B2172" s="6" t="s">
        <v>60</v>
      </c>
      <c r="C2172" s="6" t="s">
        <v>63</v>
      </c>
      <c r="D2172" s="5">
        <v>45962</v>
      </c>
      <c r="E2172" s="6" t="s">
        <v>15</v>
      </c>
      <c r="F2172" s="7">
        <v>1566</v>
      </c>
      <c r="G2172" s="7">
        <v>203944.72222222219</v>
      </c>
      <c r="H2172" s="7">
        <v>319377435</v>
      </c>
      <c r="I2172" s="7">
        <v>61068754</v>
      </c>
      <c r="J2172" s="7">
        <v>0</v>
      </c>
      <c r="K2172">
        <f t="shared" si="33"/>
        <v>61</v>
      </c>
      <c r="L2172" s="8" t="str" cm="1">
        <f t="array" ref="L2172">_xlfn.IFS(
 AND(K2172&gt;=89,K2172&lt;=92),"3개월",
 AND(K2172&gt;=58,K2172&lt;=62),"2개월",
 AND(K2172&gt;=28,K2172&lt;=32),"1개월",
 AND(K2172=0),"당월",
 TRUE,"그외"
)</f>
        <v>2개월</v>
      </c>
    </row>
    <row r="2173" spans="1:12" x14ac:dyDescent="0.3">
      <c r="A2173" s="5">
        <v>46023</v>
      </c>
      <c r="B2173" s="6" t="s">
        <v>60</v>
      </c>
      <c r="C2173" s="6" t="s">
        <v>63</v>
      </c>
      <c r="D2173" s="5">
        <v>45992</v>
      </c>
      <c r="E2173" s="6" t="s">
        <v>14</v>
      </c>
      <c r="F2173" s="7">
        <v>172</v>
      </c>
      <c r="G2173" s="7">
        <v>168513.8720930233</v>
      </c>
      <c r="H2173" s="7">
        <v>28984386</v>
      </c>
      <c r="I2173" s="7">
        <v>6417316</v>
      </c>
      <c r="J2173" s="7">
        <v>0</v>
      </c>
      <c r="K2173">
        <f t="shared" si="33"/>
        <v>31</v>
      </c>
      <c r="L2173" s="8" t="str" cm="1">
        <f t="array" ref="L2173">_xlfn.IFS(
 AND(K2173&gt;=89,K2173&lt;=92),"3개월",
 AND(K2173&gt;=58,K2173&lt;=62),"2개월",
 AND(K2173&gt;=28,K2173&lt;=32),"1개월",
 AND(K2173=0),"당월",
 TRUE,"그외"
)</f>
        <v>1개월</v>
      </c>
    </row>
    <row r="2174" spans="1:12" x14ac:dyDescent="0.3">
      <c r="A2174" s="5">
        <v>46023</v>
      </c>
      <c r="B2174" s="6" t="s">
        <v>60</v>
      </c>
      <c r="C2174" s="6" t="s">
        <v>63</v>
      </c>
      <c r="D2174" s="5">
        <v>45992</v>
      </c>
      <c r="E2174" s="6" t="s">
        <v>15</v>
      </c>
      <c r="F2174" s="7">
        <v>2065</v>
      </c>
      <c r="G2174" s="7">
        <v>188049.4832929782</v>
      </c>
      <c r="H2174" s="7">
        <v>388322183</v>
      </c>
      <c r="I2174" s="7">
        <v>91665547</v>
      </c>
      <c r="J2174" s="7">
        <v>0</v>
      </c>
      <c r="K2174">
        <f t="shared" si="33"/>
        <v>31</v>
      </c>
      <c r="L2174" s="8" t="str" cm="1">
        <f t="array" ref="L2174">_xlfn.IFS(
 AND(K2174&gt;=89,K2174&lt;=92),"3개월",
 AND(K2174&gt;=58,K2174&lt;=62),"2개월",
 AND(K2174&gt;=28,K2174&lt;=32),"1개월",
 AND(K2174=0),"당월",
 TRUE,"그외"
)</f>
        <v>1개월</v>
      </c>
    </row>
    <row r="2175" spans="1:12" x14ac:dyDescent="0.3">
      <c r="A2175" s="5">
        <v>46023</v>
      </c>
      <c r="B2175" s="6" t="s">
        <v>60</v>
      </c>
      <c r="C2175" s="6" t="s">
        <v>63</v>
      </c>
      <c r="D2175" s="5">
        <v>46023</v>
      </c>
      <c r="E2175" s="6" t="s">
        <v>14</v>
      </c>
      <c r="F2175" s="7">
        <v>175</v>
      </c>
      <c r="G2175" s="7">
        <v>153255.81714285721</v>
      </c>
      <c r="H2175" s="7">
        <v>26819768</v>
      </c>
      <c r="I2175" s="7">
        <v>6426368</v>
      </c>
      <c r="J2175" s="7">
        <v>0</v>
      </c>
      <c r="K2175">
        <f t="shared" si="33"/>
        <v>0</v>
      </c>
      <c r="L2175" s="8" t="str" cm="1">
        <f t="array" ref="L2175">_xlfn.IFS(
 AND(K2175&gt;=89,K2175&lt;=92),"3개월",
 AND(K2175&gt;=58,K2175&lt;=62),"2개월",
 AND(K2175&gt;=28,K2175&lt;=32),"1개월",
 AND(K2175=0),"당월",
 TRUE,"그외"
)</f>
        <v>당월</v>
      </c>
    </row>
    <row r="2176" spans="1:12" x14ac:dyDescent="0.3">
      <c r="A2176" s="5">
        <v>46023</v>
      </c>
      <c r="B2176" s="6" t="s">
        <v>60</v>
      </c>
      <c r="C2176" s="6" t="s">
        <v>63</v>
      </c>
      <c r="D2176" s="5">
        <v>46023</v>
      </c>
      <c r="E2176" s="6" t="s">
        <v>15</v>
      </c>
      <c r="F2176" s="7">
        <v>1367</v>
      </c>
      <c r="G2176" s="7">
        <v>163575.22896854431</v>
      </c>
      <c r="H2176" s="7">
        <v>223607338</v>
      </c>
      <c r="I2176" s="7">
        <v>60881934</v>
      </c>
      <c r="J2176" s="7">
        <v>0</v>
      </c>
      <c r="K2176">
        <f t="shared" si="33"/>
        <v>0</v>
      </c>
      <c r="L2176" s="8" t="str" cm="1">
        <f t="array" ref="L2176">_xlfn.IFS(
 AND(K2176&gt;=89,K2176&lt;=92),"3개월",
 AND(K2176&gt;=58,K2176&lt;=62),"2개월",
 AND(K2176&gt;=28,K2176&lt;=32),"1개월",
 AND(K2176=0),"당월",
 TRUE,"그외"
)</f>
        <v>당월</v>
      </c>
    </row>
    <row r="2177" spans="1:12" x14ac:dyDescent="0.3">
      <c r="A2177" s="5">
        <v>46023</v>
      </c>
      <c r="B2177" s="6" t="s">
        <v>60</v>
      </c>
      <c r="C2177" s="6" t="s">
        <v>64</v>
      </c>
      <c r="D2177" s="5">
        <v>45839</v>
      </c>
      <c r="E2177" s="6" t="s">
        <v>15</v>
      </c>
      <c r="F2177" s="7">
        <v>310</v>
      </c>
      <c r="G2177" s="7">
        <v>263721.82903225807</v>
      </c>
      <c r="H2177" s="7">
        <v>81753767</v>
      </c>
      <c r="I2177" s="7">
        <v>5470569</v>
      </c>
      <c r="J2177" s="7">
        <v>0</v>
      </c>
      <c r="K2177">
        <f t="shared" si="33"/>
        <v>184</v>
      </c>
      <c r="L2177" s="8" t="str" cm="1">
        <f t="array" ref="L2177">_xlfn.IFS(
 AND(K2177&gt;=89,K2177&lt;=92),"3개월",
 AND(K2177&gt;=58,K2177&lt;=62),"2개월",
 AND(K2177&gt;=28,K2177&lt;=32),"1개월",
 AND(K2177=0),"당월",
 TRUE,"그외"
)</f>
        <v>그외</v>
      </c>
    </row>
    <row r="2178" spans="1:12" x14ac:dyDescent="0.3">
      <c r="A2178" s="5">
        <v>46023</v>
      </c>
      <c r="B2178" s="6" t="s">
        <v>60</v>
      </c>
      <c r="C2178" s="6" t="s">
        <v>64</v>
      </c>
      <c r="D2178" s="5">
        <v>45870</v>
      </c>
      <c r="E2178" s="6" t="s">
        <v>15</v>
      </c>
      <c r="F2178" s="7">
        <v>866</v>
      </c>
      <c r="G2178" s="7">
        <v>283280.56812933017</v>
      </c>
      <c r="H2178" s="7">
        <v>245320972</v>
      </c>
      <c r="I2178" s="7">
        <v>23076612</v>
      </c>
      <c r="J2178" s="7">
        <v>0</v>
      </c>
      <c r="K2178">
        <f t="shared" si="33"/>
        <v>153</v>
      </c>
      <c r="L2178" s="8" t="str" cm="1">
        <f t="array" ref="L2178">_xlfn.IFS(
 AND(K2178&gt;=89,K2178&lt;=92),"3개월",
 AND(K2178&gt;=58,K2178&lt;=62),"2개월",
 AND(K2178&gt;=28,K2178&lt;=32),"1개월",
 AND(K2178=0),"당월",
 TRUE,"그외"
)</f>
        <v>그외</v>
      </c>
    </row>
    <row r="2179" spans="1:12" x14ac:dyDescent="0.3">
      <c r="A2179" s="5">
        <v>46023</v>
      </c>
      <c r="B2179" s="6" t="s">
        <v>60</v>
      </c>
      <c r="C2179" s="6" t="s">
        <v>64</v>
      </c>
      <c r="D2179" s="5">
        <v>45901</v>
      </c>
      <c r="E2179" s="6" t="s">
        <v>15</v>
      </c>
      <c r="F2179" s="7">
        <v>1203</v>
      </c>
      <c r="G2179" s="7">
        <v>288541.24106400658</v>
      </c>
      <c r="H2179" s="7">
        <v>347115113</v>
      </c>
      <c r="I2179" s="7">
        <v>32618355</v>
      </c>
      <c r="J2179" s="7">
        <v>0</v>
      </c>
      <c r="K2179">
        <f t="shared" si="33"/>
        <v>122</v>
      </c>
      <c r="L2179" s="8" t="str" cm="1">
        <f t="array" ref="L2179">_xlfn.IFS(
 AND(K2179&gt;=89,K2179&lt;=92),"3개월",
 AND(K2179&gt;=58,K2179&lt;=62),"2개월",
 AND(K2179&gt;=28,K2179&lt;=32),"1개월",
 AND(K2179=0),"당월",
 TRUE,"그외"
)</f>
        <v>그외</v>
      </c>
    </row>
    <row r="2180" spans="1:12" x14ac:dyDescent="0.3">
      <c r="A2180" s="5">
        <v>46023</v>
      </c>
      <c r="B2180" s="6" t="s">
        <v>60</v>
      </c>
      <c r="C2180" s="6" t="s">
        <v>64</v>
      </c>
      <c r="D2180" s="5">
        <v>45931</v>
      </c>
      <c r="E2180" s="6" t="s">
        <v>14</v>
      </c>
      <c r="F2180" s="7">
        <v>290</v>
      </c>
      <c r="G2180" s="7">
        <v>248493.10344827591</v>
      </c>
      <c r="H2180" s="7">
        <v>72063000</v>
      </c>
      <c r="I2180" s="7">
        <v>7656000</v>
      </c>
      <c r="J2180" s="7">
        <v>0</v>
      </c>
      <c r="K2180">
        <f t="shared" si="33"/>
        <v>92</v>
      </c>
      <c r="L2180" s="8" t="str" cm="1">
        <f t="array" ref="L2180">_xlfn.IFS(
 AND(K2180&gt;=89,K2180&lt;=92),"3개월",
 AND(K2180&gt;=58,K2180&lt;=62),"2개월",
 AND(K2180&gt;=28,K2180&lt;=32),"1개월",
 AND(K2180=0),"당월",
 TRUE,"그외"
)</f>
        <v>3개월</v>
      </c>
    </row>
    <row r="2181" spans="1:12" x14ac:dyDescent="0.3">
      <c r="A2181" s="5">
        <v>46023</v>
      </c>
      <c r="B2181" s="6" t="s">
        <v>60</v>
      </c>
      <c r="C2181" s="6" t="s">
        <v>64</v>
      </c>
      <c r="D2181" s="5">
        <v>45931</v>
      </c>
      <c r="E2181" s="6" t="s">
        <v>15</v>
      </c>
      <c r="F2181" s="7">
        <v>1084</v>
      </c>
      <c r="G2181" s="7">
        <v>289589.67804428039</v>
      </c>
      <c r="H2181" s="7">
        <v>313915211</v>
      </c>
      <c r="I2181" s="7">
        <v>29026293</v>
      </c>
      <c r="J2181" s="7">
        <v>0</v>
      </c>
      <c r="K2181">
        <f t="shared" si="33"/>
        <v>92</v>
      </c>
      <c r="L2181" s="8" t="str" cm="1">
        <f t="array" ref="L2181">_xlfn.IFS(
 AND(K2181&gt;=89,K2181&lt;=92),"3개월",
 AND(K2181&gt;=58,K2181&lt;=62),"2개월",
 AND(K2181&gt;=28,K2181&lt;=32),"1개월",
 AND(K2181=0),"당월",
 TRUE,"그외"
)</f>
        <v>3개월</v>
      </c>
    </row>
    <row r="2182" spans="1:12" x14ac:dyDescent="0.3">
      <c r="A2182" s="5">
        <v>46023</v>
      </c>
      <c r="B2182" s="6" t="s">
        <v>60</v>
      </c>
      <c r="C2182" s="6" t="s">
        <v>64</v>
      </c>
      <c r="D2182" s="5">
        <v>45962</v>
      </c>
      <c r="E2182" s="6" t="s">
        <v>14</v>
      </c>
      <c r="F2182" s="7">
        <v>2382</v>
      </c>
      <c r="G2182" s="7">
        <v>229854.49202350969</v>
      </c>
      <c r="H2182" s="7">
        <v>547513400</v>
      </c>
      <c r="I2182" s="7">
        <v>63599400</v>
      </c>
      <c r="J2182" s="7">
        <v>0</v>
      </c>
      <c r="K2182">
        <f t="shared" si="33"/>
        <v>61</v>
      </c>
      <c r="L2182" s="8" t="str" cm="1">
        <f t="array" ref="L2182">_xlfn.IFS(
 AND(K2182&gt;=89,K2182&lt;=92),"3개월",
 AND(K2182&gt;=58,K2182&lt;=62),"2개월",
 AND(K2182&gt;=28,K2182&lt;=32),"1개월",
 AND(K2182=0),"당월",
 TRUE,"그외"
)</f>
        <v>2개월</v>
      </c>
    </row>
    <row r="2183" spans="1:12" x14ac:dyDescent="0.3">
      <c r="A2183" s="5">
        <v>46023</v>
      </c>
      <c r="B2183" s="6" t="s">
        <v>60</v>
      </c>
      <c r="C2183" s="6" t="s">
        <v>64</v>
      </c>
      <c r="D2183" s="5">
        <v>45962</v>
      </c>
      <c r="E2183" s="6" t="s">
        <v>15</v>
      </c>
      <c r="F2183" s="7">
        <v>4806</v>
      </c>
      <c r="G2183" s="7">
        <v>228672.50977944239</v>
      </c>
      <c r="H2183" s="7">
        <v>1099000082</v>
      </c>
      <c r="I2183" s="7">
        <v>128616842</v>
      </c>
      <c r="J2183" s="7">
        <v>0</v>
      </c>
      <c r="K2183">
        <f t="shared" si="33"/>
        <v>61</v>
      </c>
      <c r="L2183" s="8" t="str" cm="1">
        <f t="array" ref="L2183">_xlfn.IFS(
 AND(K2183&gt;=89,K2183&lt;=92),"3개월",
 AND(K2183&gt;=58,K2183&lt;=62),"2개월",
 AND(K2183&gt;=28,K2183&lt;=32),"1개월",
 AND(K2183=0),"당월",
 TRUE,"그외"
)</f>
        <v>2개월</v>
      </c>
    </row>
    <row r="2184" spans="1:12" x14ac:dyDescent="0.3">
      <c r="A2184" s="5">
        <v>46023</v>
      </c>
      <c r="B2184" s="6" t="s">
        <v>60</v>
      </c>
      <c r="C2184" s="6" t="s">
        <v>64</v>
      </c>
      <c r="D2184" s="5">
        <v>45992</v>
      </c>
      <c r="E2184" s="6" t="s">
        <v>14</v>
      </c>
      <c r="F2184" s="7">
        <v>6107</v>
      </c>
      <c r="G2184" s="7">
        <v>219491.55067954809</v>
      </c>
      <c r="H2184" s="7">
        <v>1340434900</v>
      </c>
      <c r="I2184" s="7">
        <v>193581900</v>
      </c>
      <c r="J2184" s="7">
        <v>0</v>
      </c>
      <c r="K2184">
        <f t="shared" si="33"/>
        <v>31</v>
      </c>
      <c r="L2184" s="8" t="str" cm="1">
        <f t="array" ref="L2184">_xlfn.IFS(
 AND(K2184&gt;=89,K2184&lt;=92),"3개월",
 AND(K2184&gt;=58,K2184&lt;=62),"2개월",
 AND(K2184&gt;=28,K2184&lt;=32),"1개월",
 AND(K2184=0),"당월",
 TRUE,"그외"
)</f>
        <v>1개월</v>
      </c>
    </row>
    <row r="2185" spans="1:12" x14ac:dyDescent="0.3">
      <c r="A2185" s="5">
        <v>46023</v>
      </c>
      <c r="B2185" s="6" t="s">
        <v>60</v>
      </c>
      <c r="C2185" s="6" t="s">
        <v>64</v>
      </c>
      <c r="D2185" s="5">
        <v>45992</v>
      </c>
      <c r="E2185" s="6" t="s">
        <v>15</v>
      </c>
      <c r="F2185" s="7">
        <v>10589</v>
      </c>
      <c r="G2185" s="7">
        <v>205071.69185003309</v>
      </c>
      <c r="H2185" s="7">
        <v>2171504145</v>
      </c>
      <c r="I2185" s="7">
        <v>337064601</v>
      </c>
      <c r="J2185" s="7">
        <v>0</v>
      </c>
      <c r="K2185">
        <f t="shared" si="33"/>
        <v>31</v>
      </c>
      <c r="L2185" s="8" t="str" cm="1">
        <f t="array" ref="L2185">_xlfn.IFS(
 AND(K2185&gt;=89,K2185&lt;=92),"3개월",
 AND(K2185&gt;=58,K2185&lt;=62),"2개월",
 AND(K2185&gt;=28,K2185&lt;=32),"1개월",
 AND(K2185=0),"당월",
 TRUE,"그외"
)</f>
        <v>1개월</v>
      </c>
    </row>
    <row r="2186" spans="1:12" x14ac:dyDescent="0.3">
      <c r="A2186" s="5">
        <v>46023</v>
      </c>
      <c r="B2186" s="6" t="s">
        <v>60</v>
      </c>
      <c r="C2186" s="6" t="s">
        <v>64</v>
      </c>
      <c r="D2186" s="5">
        <v>46023</v>
      </c>
      <c r="E2186" s="6" t="s">
        <v>14</v>
      </c>
      <c r="F2186" s="7">
        <v>1393</v>
      </c>
      <c r="G2186" s="7">
        <v>213849.74874371861</v>
      </c>
      <c r="H2186" s="7">
        <v>297892700</v>
      </c>
      <c r="I2186" s="7">
        <v>44881700</v>
      </c>
      <c r="J2186" s="7">
        <v>0</v>
      </c>
      <c r="K2186">
        <f t="shared" ref="K2186:K2249" si="34">A2186-D2186</f>
        <v>0</v>
      </c>
      <c r="L2186" s="8" t="str" cm="1">
        <f t="array" ref="L2186">_xlfn.IFS(
 AND(K2186&gt;=89,K2186&lt;=92),"3개월",
 AND(K2186&gt;=58,K2186&lt;=62),"2개월",
 AND(K2186&gt;=28,K2186&lt;=32),"1개월",
 AND(K2186=0),"당월",
 TRUE,"그외"
)</f>
        <v>당월</v>
      </c>
    </row>
    <row r="2187" spans="1:12" x14ac:dyDescent="0.3">
      <c r="A2187" s="5">
        <v>46023</v>
      </c>
      <c r="B2187" s="6" t="s">
        <v>60</v>
      </c>
      <c r="C2187" s="6" t="s">
        <v>64</v>
      </c>
      <c r="D2187" s="5">
        <v>46023</v>
      </c>
      <c r="E2187" s="6" t="s">
        <v>15</v>
      </c>
      <c r="F2187" s="7">
        <v>3744</v>
      </c>
      <c r="G2187" s="7">
        <v>210075.00614316241</v>
      </c>
      <c r="H2187" s="7">
        <v>786520823</v>
      </c>
      <c r="I2187" s="7">
        <v>121577687</v>
      </c>
      <c r="J2187" s="7">
        <v>0</v>
      </c>
      <c r="K2187">
        <f t="shared" si="34"/>
        <v>0</v>
      </c>
      <c r="L2187" s="8" t="str" cm="1">
        <f t="array" ref="L2187">_xlfn.IFS(
 AND(K2187&gt;=89,K2187&lt;=92),"3개월",
 AND(K2187&gt;=58,K2187&lt;=62),"2개월",
 AND(K2187&gt;=28,K2187&lt;=32),"1개월",
 AND(K2187=0),"당월",
 TRUE,"그외"
)</f>
        <v>당월</v>
      </c>
    </row>
    <row r="2188" spans="1:12" x14ac:dyDescent="0.3">
      <c r="A2188" s="5">
        <v>46023</v>
      </c>
      <c r="B2188" s="6" t="s">
        <v>60</v>
      </c>
      <c r="C2188" s="6" t="s">
        <v>65</v>
      </c>
      <c r="D2188" s="5">
        <v>45839</v>
      </c>
      <c r="E2188" s="6" t="s">
        <v>15</v>
      </c>
      <c r="F2188" s="7">
        <v>130</v>
      </c>
      <c r="G2188" s="7">
        <v>235749.23076923081</v>
      </c>
      <c r="H2188" s="7">
        <v>30647400</v>
      </c>
      <c r="I2188" s="7">
        <v>2145000</v>
      </c>
      <c r="J2188" s="7">
        <v>0</v>
      </c>
      <c r="K2188">
        <f t="shared" si="34"/>
        <v>184</v>
      </c>
      <c r="L2188" s="8" t="str" cm="1">
        <f t="array" ref="L2188">_xlfn.IFS(
 AND(K2188&gt;=89,K2188&lt;=92),"3개월",
 AND(K2188&gt;=58,K2188&lt;=62),"2개월",
 AND(K2188&gt;=28,K2188&lt;=32),"1개월",
 AND(K2188=0),"당월",
 TRUE,"그외"
)</f>
        <v>그외</v>
      </c>
    </row>
    <row r="2189" spans="1:12" x14ac:dyDescent="0.3">
      <c r="A2189" s="5">
        <v>46023</v>
      </c>
      <c r="B2189" s="6" t="s">
        <v>60</v>
      </c>
      <c r="C2189" s="6" t="s">
        <v>65</v>
      </c>
      <c r="D2189" s="5">
        <v>45870</v>
      </c>
      <c r="E2189" s="6" t="s">
        <v>14</v>
      </c>
      <c r="F2189" s="7">
        <v>132</v>
      </c>
      <c r="G2189" s="7">
        <v>232212.12121212119</v>
      </c>
      <c r="H2189" s="7">
        <v>30652000</v>
      </c>
      <c r="I2189" s="7">
        <v>3432000</v>
      </c>
      <c r="J2189" s="7">
        <v>0</v>
      </c>
      <c r="K2189">
        <f t="shared" si="34"/>
        <v>153</v>
      </c>
      <c r="L2189" s="8" t="str" cm="1">
        <f t="array" ref="L2189">_xlfn.IFS(
 AND(K2189&gt;=89,K2189&lt;=92),"3개월",
 AND(K2189&gt;=58,K2189&lt;=62),"2개월",
 AND(K2189&gt;=28,K2189&lt;=32),"1개월",
 AND(K2189=0),"당월",
 TRUE,"그외"
)</f>
        <v>그외</v>
      </c>
    </row>
    <row r="2190" spans="1:12" x14ac:dyDescent="0.3">
      <c r="A2190" s="5">
        <v>46023</v>
      </c>
      <c r="B2190" s="6" t="s">
        <v>60</v>
      </c>
      <c r="C2190" s="6" t="s">
        <v>65</v>
      </c>
      <c r="D2190" s="5">
        <v>45870</v>
      </c>
      <c r="E2190" s="6" t="s">
        <v>15</v>
      </c>
      <c r="F2190" s="7">
        <v>86</v>
      </c>
      <c r="G2190" s="7">
        <v>271250</v>
      </c>
      <c r="H2190" s="7">
        <v>23327500</v>
      </c>
      <c r="I2190" s="7">
        <v>2236000</v>
      </c>
      <c r="J2190" s="7">
        <v>0</v>
      </c>
      <c r="K2190">
        <f t="shared" si="34"/>
        <v>153</v>
      </c>
      <c r="L2190" s="8" t="str" cm="1">
        <f t="array" ref="L2190">_xlfn.IFS(
 AND(K2190&gt;=89,K2190&lt;=92),"3개월",
 AND(K2190&gt;=58,K2190&lt;=62),"2개월",
 AND(K2190&gt;=28,K2190&lt;=32),"1개월",
 AND(K2190=0),"당월",
 TRUE,"그외"
)</f>
        <v>그외</v>
      </c>
    </row>
    <row r="2191" spans="1:12" x14ac:dyDescent="0.3">
      <c r="A2191" s="5">
        <v>46023</v>
      </c>
      <c r="B2191" s="6" t="s">
        <v>60</v>
      </c>
      <c r="C2191" s="6" t="s">
        <v>65</v>
      </c>
      <c r="D2191" s="5">
        <v>45901</v>
      </c>
      <c r="E2191" s="6" t="s">
        <v>14</v>
      </c>
      <c r="F2191" s="7">
        <v>64</v>
      </c>
      <c r="G2191" s="7">
        <v>238831.25</v>
      </c>
      <c r="H2191" s="7">
        <v>15285200</v>
      </c>
      <c r="I2191" s="7">
        <v>1683200</v>
      </c>
      <c r="J2191" s="7">
        <v>0</v>
      </c>
      <c r="K2191">
        <f t="shared" si="34"/>
        <v>122</v>
      </c>
      <c r="L2191" s="8" t="str" cm="1">
        <f t="array" ref="L2191">_xlfn.IFS(
 AND(K2191&gt;=89,K2191&lt;=92),"3개월",
 AND(K2191&gt;=58,K2191&lt;=62),"2개월",
 AND(K2191&gt;=28,K2191&lt;=32),"1개월",
 AND(K2191=0),"당월",
 TRUE,"그외"
)</f>
        <v>그외</v>
      </c>
    </row>
    <row r="2192" spans="1:12" x14ac:dyDescent="0.3">
      <c r="A2192" s="5">
        <v>46023</v>
      </c>
      <c r="B2192" s="6" t="s">
        <v>60</v>
      </c>
      <c r="C2192" s="6" t="s">
        <v>65</v>
      </c>
      <c r="D2192" s="5">
        <v>45901</v>
      </c>
      <c r="E2192" s="6" t="s">
        <v>15</v>
      </c>
      <c r="F2192" s="7">
        <v>94</v>
      </c>
      <c r="G2192" s="7">
        <v>270496.04255319148</v>
      </c>
      <c r="H2192" s="7">
        <v>25426628</v>
      </c>
      <c r="I2192" s="7">
        <v>2518430</v>
      </c>
      <c r="J2192" s="7">
        <v>0</v>
      </c>
      <c r="K2192">
        <f t="shared" si="34"/>
        <v>122</v>
      </c>
      <c r="L2192" s="8" t="str" cm="1">
        <f t="array" ref="L2192">_xlfn.IFS(
 AND(K2192&gt;=89,K2192&lt;=92),"3개월",
 AND(K2192&gt;=58,K2192&lt;=62),"2개월",
 AND(K2192&gt;=28,K2192&lt;=32),"1개월",
 AND(K2192=0),"당월",
 TRUE,"그외"
)</f>
        <v>그외</v>
      </c>
    </row>
    <row r="2193" spans="1:12" x14ac:dyDescent="0.3">
      <c r="A2193" s="5">
        <v>46023</v>
      </c>
      <c r="B2193" s="6" t="s">
        <v>60</v>
      </c>
      <c r="C2193" s="6" t="s">
        <v>65</v>
      </c>
      <c r="D2193" s="5">
        <v>45931</v>
      </c>
      <c r="E2193" s="6" t="s">
        <v>14</v>
      </c>
      <c r="F2193" s="7">
        <v>240</v>
      </c>
      <c r="G2193" s="7">
        <v>258500</v>
      </c>
      <c r="H2193" s="7">
        <v>62040000</v>
      </c>
      <c r="I2193" s="7">
        <v>6336000</v>
      </c>
      <c r="J2193" s="7">
        <v>0</v>
      </c>
      <c r="K2193">
        <f t="shared" si="34"/>
        <v>92</v>
      </c>
      <c r="L2193" s="8" t="str" cm="1">
        <f t="array" ref="L2193">_xlfn.IFS(
 AND(K2193&gt;=89,K2193&lt;=92),"3개월",
 AND(K2193&gt;=58,K2193&lt;=62),"2개월",
 AND(K2193&gt;=28,K2193&lt;=32),"1개월",
 AND(K2193=0),"당월",
 TRUE,"그외"
)</f>
        <v>3개월</v>
      </c>
    </row>
    <row r="2194" spans="1:12" x14ac:dyDescent="0.3">
      <c r="A2194" s="5">
        <v>46023</v>
      </c>
      <c r="B2194" s="6" t="s">
        <v>60</v>
      </c>
      <c r="C2194" s="6" t="s">
        <v>65</v>
      </c>
      <c r="D2194" s="5">
        <v>45931</v>
      </c>
      <c r="E2194" s="6" t="s">
        <v>15</v>
      </c>
      <c r="F2194" s="7">
        <v>297</v>
      </c>
      <c r="G2194" s="7">
        <v>253657.1447811448</v>
      </c>
      <c r="H2194" s="7">
        <v>75336172</v>
      </c>
      <c r="I2194" s="7">
        <v>7931089</v>
      </c>
      <c r="J2194" s="7">
        <v>0</v>
      </c>
      <c r="K2194">
        <f t="shared" si="34"/>
        <v>92</v>
      </c>
      <c r="L2194" s="8" t="str" cm="1">
        <f t="array" ref="L2194">_xlfn.IFS(
 AND(K2194&gt;=89,K2194&lt;=92),"3개월",
 AND(K2194&gt;=58,K2194&lt;=62),"2개월",
 AND(K2194&gt;=28,K2194&lt;=32),"1개월",
 AND(K2194=0),"당월",
 TRUE,"그외"
)</f>
        <v>3개월</v>
      </c>
    </row>
    <row r="2195" spans="1:12" x14ac:dyDescent="0.3">
      <c r="A2195" s="5">
        <v>46023</v>
      </c>
      <c r="B2195" s="6" t="s">
        <v>60</v>
      </c>
      <c r="C2195" s="6" t="s">
        <v>65</v>
      </c>
      <c r="D2195" s="5">
        <v>45962</v>
      </c>
      <c r="E2195" s="6" t="s">
        <v>14</v>
      </c>
      <c r="F2195" s="7">
        <v>395</v>
      </c>
      <c r="G2195" s="7">
        <v>222102.5316455696</v>
      </c>
      <c r="H2195" s="7">
        <v>87730500</v>
      </c>
      <c r="I2195" s="7">
        <v>10546500</v>
      </c>
      <c r="J2195" s="7">
        <v>0</v>
      </c>
      <c r="K2195">
        <f t="shared" si="34"/>
        <v>61</v>
      </c>
      <c r="L2195" s="8" t="str" cm="1">
        <f t="array" ref="L2195">_xlfn.IFS(
 AND(K2195&gt;=89,K2195&lt;=92),"3개월",
 AND(K2195&gt;=58,K2195&lt;=62),"2개월",
 AND(K2195&gt;=28,K2195&lt;=32),"1개월",
 AND(K2195=0),"당월",
 TRUE,"그외"
)</f>
        <v>2개월</v>
      </c>
    </row>
    <row r="2196" spans="1:12" x14ac:dyDescent="0.3">
      <c r="A2196" s="5">
        <v>46023</v>
      </c>
      <c r="B2196" s="6" t="s">
        <v>60</v>
      </c>
      <c r="C2196" s="6" t="s">
        <v>65</v>
      </c>
      <c r="D2196" s="5">
        <v>45962</v>
      </c>
      <c r="E2196" s="6" t="s">
        <v>15</v>
      </c>
      <c r="F2196" s="7">
        <v>890</v>
      </c>
      <c r="G2196" s="7">
        <v>216086.19887640449</v>
      </c>
      <c r="H2196" s="7">
        <v>192316717</v>
      </c>
      <c r="I2196" s="7">
        <v>23267650</v>
      </c>
      <c r="J2196" s="7">
        <v>0</v>
      </c>
      <c r="K2196">
        <f t="shared" si="34"/>
        <v>61</v>
      </c>
      <c r="L2196" s="8" t="str" cm="1">
        <f t="array" ref="L2196">_xlfn.IFS(
 AND(K2196&gt;=89,K2196&lt;=92),"3개월",
 AND(K2196&gt;=58,K2196&lt;=62),"2개월",
 AND(K2196&gt;=28,K2196&lt;=32),"1개월",
 AND(K2196=0),"당월",
 TRUE,"그외"
)</f>
        <v>2개월</v>
      </c>
    </row>
    <row r="2197" spans="1:12" x14ac:dyDescent="0.3">
      <c r="A2197" s="5">
        <v>46023</v>
      </c>
      <c r="B2197" s="6" t="s">
        <v>60</v>
      </c>
      <c r="C2197" s="6" t="s">
        <v>65</v>
      </c>
      <c r="D2197" s="5">
        <v>45992</v>
      </c>
      <c r="E2197" s="6" t="s">
        <v>14</v>
      </c>
      <c r="F2197" s="7">
        <v>117</v>
      </c>
      <c r="G2197" s="7">
        <v>266614.52991452988</v>
      </c>
      <c r="H2197" s="7">
        <v>31193900</v>
      </c>
      <c r="I2197" s="7">
        <v>3708900</v>
      </c>
      <c r="J2197" s="7">
        <v>0</v>
      </c>
      <c r="K2197">
        <f t="shared" si="34"/>
        <v>31</v>
      </c>
      <c r="L2197" s="8" t="str" cm="1">
        <f t="array" ref="L2197">_xlfn.IFS(
 AND(K2197&gt;=89,K2197&lt;=92),"3개월",
 AND(K2197&gt;=58,K2197&lt;=62),"2개월",
 AND(K2197&gt;=28,K2197&lt;=32),"1개월",
 AND(K2197=0),"당월",
 TRUE,"그외"
)</f>
        <v>1개월</v>
      </c>
    </row>
    <row r="2198" spans="1:12" x14ac:dyDescent="0.3">
      <c r="A2198" s="5">
        <v>46023</v>
      </c>
      <c r="B2198" s="6" t="s">
        <v>60</v>
      </c>
      <c r="C2198" s="6" t="s">
        <v>65</v>
      </c>
      <c r="D2198" s="5">
        <v>45992</v>
      </c>
      <c r="E2198" s="6" t="s">
        <v>15</v>
      </c>
      <c r="F2198" s="7">
        <v>491</v>
      </c>
      <c r="G2198" s="7">
        <v>229321.91853360491</v>
      </c>
      <c r="H2198" s="7">
        <v>112597062</v>
      </c>
      <c r="I2198" s="7">
        <v>15404297</v>
      </c>
      <c r="J2198" s="7">
        <v>0</v>
      </c>
      <c r="K2198">
        <f t="shared" si="34"/>
        <v>31</v>
      </c>
      <c r="L2198" s="8" t="str" cm="1">
        <f t="array" ref="L2198">_xlfn.IFS(
 AND(K2198&gt;=89,K2198&lt;=92),"3개월",
 AND(K2198&gt;=58,K2198&lt;=62),"2개월",
 AND(K2198&gt;=28,K2198&lt;=32),"1개월",
 AND(K2198=0),"당월",
 TRUE,"그외"
)</f>
        <v>1개월</v>
      </c>
    </row>
    <row r="2199" spans="1:12" x14ac:dyDescent="0.3">
      <c r="A2199" s="5">
        <v>46023</v>
      </c>
      <c r="B2199" s="6" t="s">
        <v>60</v>
      </c>
      <c r="C2199" s="6" t="s">
        <v>65</v>
      </c>
      <c r="D2199" s="5">
        <v>46023</v>
      </c>
      <c r="E2199" s="6" t="s">
        <v>14</v>
      </c>
      <c r="F2199" s="7">
        <v>38</v>
      </c>
      <c r="G2199" s="7">
        <v>251194.73684210531</v>
      </c>
      <c r="H2199" s="7">
        <v>9545400</v>
      </c>
      <c r="I2199" s="7">
        <v>1199400</v>
      </c>
      <c r="J2199" s="7">
        <v>0</v>
      </c>
      <c r="K2199">
        <f t="shared" si="34"/>
        <v>0</v>
      </c>
      <c r="L2199" s="8" t="str" cm="1">
        <f t="array" ref="L2199">_xlfn.IFS(
 AND(K2199&gt;=89,K2199&lt;=92),"3개월",
 AND(K2199&gt;=58,K2199&lt;=62),"2개월",
 AND(K2199&gt;=28,K2199&lt;=32),"1개월",
 AND(K2199=0),"당월",
 TRUE,"그외"
)</f>
        <v>당월</v>
      </c>
    </row>
    <row r="2200" spans="1:12" x14ac:dyDescent="0.3">
      <c r="A2200" s="5">
        <v>46023</v>
      </c>
      <c r="B2200" s="6" t="s">
        <v>60</v>
      </c>
      <c r="C2200" s="6" t="s">
        <v>65</v>
      </c>
      <c r="D2200" s="5">
        <v>46023</v>
      </c>
      <c r="E2200" s="6" t="s">
        <v>15</v>
      </c>
      <c r="F2200" s="7">
        <v>209</v>
      </c>
      <c r="G2200" s="7">
        <v>259574.3014354067</v>
      </c>
      <c r="H2200" s="7">
        <v>54251029</v>
      </c>
      <c r="I2200" s="7">
        <v>6666894</v>
      </c>
      <c r="J2200" s="7">
        <v>0</v>
      </c>
      <c r="K2200">
        <f t="shared" si="34"/>
        <v>0</v>
      </c>
      <c r="L2200" s="8" t="str" cm="1">
        <f t="array" ref="L2200">_xlfn.IFS(
 AND(K2200&gt;=89,K2200&lt;=92),"3개월",
 AND(K2200&gt;=58,K2200&lt;=62),"2개월",
 AND(K2200&gt;=28,K2200&lt;=32),"1개월",
 AND(K2200=0),"당월",
 TRUE,"그외"
)</f>
        <v>당월</v>
      </c>
    </row>
    <row r="2201" spans="1:12" x14ac:dyDescent="0.3">
      <c r="A2201" s="5">
        <v>46023</v>
      </c>
      <c r="B2201" s="6" t="s">
        <v>60</v>
      </c>
      <c r="C2201" s="6" t="s">
        <v>66</v>
      </c>
      <c r="D2201" s="5">
        <v>45839</v>
      </c>
      <c r="E2201" s="6" t="s">
        <v>15</v>
      </c>
      <c r="F2201" s="7">
        <v>10</v>
      </c>
      <c r="G2201" s="7">
        <v>329780</v>
      </c>
      <c r="H2201" s="7">
        <v>3297800</v>
      </c>
      <c r="I2201" s="7">
        <v>165000</v>
      </c>
      <c r="J2201" s="7">
        <v>0</v>
      </c>
      <c r="K2201">
        <f t="shared" si="34"/>
        <v>184</v>
      </c>
      <c r="L2201" s="8" t="str" cm="1">
        <f t="array" ref="L2201">_xlfn.IFS(
 AND(K2201&gt;=89,K2201&lt;=92),"3개월",
 AND(K2201&gt;=58,K2201&lt;=62),"2개월",
 AND(K2201&gt;=28,K2201&lt;=32),"1개월",
 AND(K2201=0),"당월",
 TRUE,"그외"
)</f>
        <v>그외</v>
      </c>
    </row>
    <row r="2202" spans="1:12" x14ac:dyDescent="0.3">
      <c r="A2202" s="5">
        <v>46023</v>
      </c>
      <c r="B2202" s="6" t="s">
        <v>60</v>
      </c>
      <c r="C2202" s="6" t="s">
        <v>66</v>
      </c>
      <c r="D2202" s="5">
        <v>45870</v>
      </c>
      <c r="E2202" s="6" t="s">
        <v>15</v>
      </c>
      <c r="F2202" s="7">
        <v>148</v>
      </c>
      <c r="G2202" s="7">
        <v>290122.64864864858</v>
      </c>
      <c r="H2202" s="7">
        <v>42938152</v>
      </c>
      <c r="I2202" s="7">
        <v>3878932</v>
      </c>
      <c r="J2202" s="7">
        <v>0</v>
      </c>
      <c r="K2202">
        <f t="shared" si="34"/>
        <v>153</v>
      </c>
      <c r="L2202" s="8" t="str" cm="1">
        <f t="array" ref="L2202">_xlfn.IFS(
 AND(K2202&gt;=89,K2202&lt;=92),"3개월",
 AND(K2202&gt;=58,K2202&lt;=62),"2개월",
 AND(K2202&gt;=28,K2202&lt;=32),"1개월",
 AND(K2202=0),"당월",
 TRUE,"그외"
)</f>
        <v>그외</v>
      </c>
    </row>
    <row r="2203" spans="1:12" x14ac:dyDescent="0.3">
      <c r="A2203" s="5">
        <v>46023</v>
      </c>
      <c r="B2203" s="6" t="s">
        <v>60</v>
      </c>
      <c r="C2203" s="6" t="s">
        <v>66</v>
      </c>
      <c r="D2203" s="5">
        <v>45901</v>
      </c>
      <c r="E2203" s="6" t="s">
        <v>14</v>
      </c>
      <c r="F2203" s="7">
        <v>9</v>
      </c>
      <c r="G2203" s="7">
        <v>336300</v>
      </c>
      <c r="H2203" s="7">
        <v>3026700</v>
      </c>
      <c r="I2203" s="7">
        <v>236700</v>
      </c>
      <c r="J2203" s="7">
        <v>0</v>
      </c>
      <c r="K2203">
        <f t="shared" si="34"/>
        <v>122</v>
      </c>
      <c r="L2203" s="8" t="str" cm="1">
        <f t="array" ref="L2203">_xlfn.IFS(
 AND(K2203&gt;=89,K2203&lt;=92),"3개월",
 AND(K2203&gt;=58,K2203&lt;=62),"2개월",
 AND(K2203&gt;=28,K2203&lt;=32),"1개월",
 AND(K2203=0),"당월",
 TRUE,"그외"
)</f>
        <v>그외</v>
      </c>
    </row>
    <row r="2204" spans="1:12" x14ac:dyDescent="0.3">
      <c r="A2204" s="5">
        <v>46023</v>
      </c>
      <c r="B2204" s="6" t="s">
        <v>60</v>
      </c>
      <c r="C2204" s="6" t="s">
        <v>66</v>
      </c>
      <c r="D2204" s="5">
        <v>45901</v>
      </c>
      <c r="E2204" s="6" t="s">
        <v>15</v>
      </c>
      <c r="F2204" s="7">
        <v>385</v>
      </c>
      <c r="G2204" s="7">
        <v>285023.25194805203</v>
      </c>
      <c r="H2204" s="7">
        <v>109733952</v>
      </c>
      <c r="I2204" s="7">
        <v>10187238</v>
      </c>
      <c r="J2204" s="7">
        <v>0</v>
      </c>
      <c r="K2204">
        <f t="shared" si="34"/>
        <v>122</v>
      </c>
      <c r="L2204" s="8" t="str" cm="1">
        <f t="array" ref="L2204">_xlfn.IFS(
 AND(K2204&gt;=89,K2204&lt;=92),"3개월",
 AND(K2204&gt;=58,K2204&lt;=62),"2개월",
 AND(K2204&gt;=28,K2204&lt;=32),"1개월",
 AND(K2204=0),"당월",
 TRUE,"그외"
)</f>
        <v>그외</v>
      </c>
    </row>
    <row r="2205" spans="1:12" x14ac:dyDescent="0.3">
      <c r="A2205" s="5">
        <v>46023</v>
      </c>
      <c r="B2205" s="6" t="s">
        <v>60</v>
      </c>
      <c r="C2205" s="6" t="s">
        <v>66</v>
      </c>
      <c r="D2205" s="5">
        <v>45931</v>
      </c>
      <c r="E2205" s="6" t="s">
        <v>15</v>
      </c>
      <c r="F2205" s="7">
        <v>904</v>
      </c>
      <c r="G2205" s="7">
        <v>262435.69026548672</v>
      </c>
      <c r="H2205" s="7">
        <v>237241864</v>
      </c>
      <c r="I2205" s="7">
        <v>23995807</v>
      </c>
      <c r="J2205" s="7">
        <v>0</v>
      </c>
      <c r="K2205">
        <f t="shared" si="34"/>
        <v>92</v>
      </c>
      <c r="L2205" s="8" t="str" cm="1">
        <f t="array" ref="L2205">_xlfn.IFS(
 AND(K2205&gt;=89,K2205&lt;=92),"3개월",
 AND(K2205&gt;=58,K2205&lt;=62),"2개월",
 AND(K2205&gt;=28,K2205&lt;=32),"1개월",
 AND(K2205=0),"당월",
 TRUE,"그외"
)</f>
        <v>3개월</v>
      </c>
    </row>
    <row r="2206" spans="1:12" x14ac:dyDescent="0.3">
      <c r="A2206" s="5">
        <v>46023</v>
      </c>
      <c r="B2206" s="6" t="s">
        <v>60</v>
      </c>
      <c r="C2206" s="6" t="s">
        <v>66</v>
      </c>
      <c r="D2206" s="5">
        <v>45962</v>
      </c>
      <c r="E2206" s="6" t="s">
        <v>14</v>
      </c>
      <c r="F2206" s="7">
        <v>1831</v>
      </c>
      <c r="G2206" s="7">
        <v>250831.07591480069</v>
      </c>
      <c r="H2206" s="7">
        <v>459271700</v>
      </c>
      <c r="I2206" s="7">
        <v>48887700</v>
      </c>
      <c r="J2206" s="7">
        <v>0</v>
      </c>
      <c r="K2206">
        <f t="shared" si="34"/>
        <v>61</v>
      </c>
      <c r="L2206" s="8" t="str" cm="1">
        <f t="array" ref="L2206">_xlfn.IFS(
 AND(K2206&gt;=89,K2206&lt;=92),"3개월",
 AND(K2206&gt;=58,K2206&lt;=62),"2개월",
 AND(K2206&gt;=28,K2206&lt;=32),"1개월",
 AND(K2206=0),"당월",
 TRUE,"그외"
)</f>
        <v>2개월</v>
      </c>
    </row>
    <row r="2207" spans="1:12" x14ac:dyDescent="0.3">
      <c r="A2207" s="5">
        <v>46023</v>
      </c>
      <c r="B2207" s="6" t="s">
        <v>60</v>
      </c>
      <c r="C2207" s="6" t="s">
        <v>66</v>
      </c>
      <c r="D2207" s="5">
        <v>45962</v>
      </c>
      <c r="E2207" s="6" t="s">
        <v>15</v>
      </c>
      <c r="F2207" s="7">
        <v>1283</v>
      </c>
      <c r="G2207" s="7">
        <v>251414.86360093529</v>
      </c>
      <c r="H2207" s="7">
        <v>322565270</v>
      </c>
      <c r="I2207" s="7">
        <v>34593322</v>
      </c>
      <c r="J2207" s="7">
        <v>0</v>
      </c>
      <c r="K2207">
        <f t="shared" si="34"/>
        <v>61</v>
      </c>
      <c r="L2207" s="8" t="str" cm="1">
        <f t="array" ref="L2207">_xlfn.IFS(
 AND(K2207&gt;=89,K2207&lt;=92),"3개월",
 AND(K2207&gt;=58,K2207&lt;=62),"2개월",
 AND(K2207&gt;=28,K2207&lt;=32),"1개월",
 AND(K2207=0),"당월",
 TRUE,"그외"
)</f>
        <v>2개월</v>
      </c>
    </row>
    <row r="2208" spans="1:12" x14ac:dyDescent="0.3">
      <c r="A2208" s="5">
        <v>46023</v>
      </c>
      <c r="B2208" s="6" t="s">
        <v>60</v>
      </c>
      <c r="C2208" s="6" t="s">
        <v>66</v>
      </c>
      <c r="D2208" s="5">
        <v>45992</v>
      </c>
      <c r="E2208" s="6" t="s">
        <v>14</v>
      </c>
      <c r="F2208" s="7">
        <v>1308</v>
      </c>
      <c r="G2208" s="7">
        <v>243985.1681957187</v>
      </c>
      <c r="H2208" s="7">
        <v>319132600</v>
      </c>
      <c r="I2208" s="7">
        <v>41428600</v>
      </c>
      <c r="J2208" s="7">
        <v>0</v>
      </c>
      <c r="K2208">
        <f t="shared" si="34"/>
        <v>31</v>
      </c>
      <c r="L2208" s="8" t="str" cm="1">
        <f t="array" ref="L2208">_xlfn.IFS(
 AND(K2208&gt;=89,K2208&lt;=92),"3개월",
 AND(K2208&gt;=58,K2208&lt;=62),"2개월",
 AND(K2208&gt;=28,K2208&lt;=32),"1개월",
 AND(K2208=0),"당월",
 TRUE,"그외"
)</f>
        <v>1개월</v>
      </c>
    </row>
    <row r="2209" spans="1:12" x14ac:dyDescent="0.3">
      <c r="A2209" s="5">
        <v>46023</v>
      </c>
      <c r="B2209" s="6" t="s">
        <v>60</v>
      </c>
      <c r="C2209" s="6" t="s">
        <v>66</v>
      </c>
      <c r="D2209" s="5">
        <v>45992</v>
      </c>
      <c r="E2209" s="6" t="s">
        <v>15</v>
      </c>
      <c r="F2209" s="7">
        <v>1990</v>
      </c>
      <c r="G2209" s="7">
        <v>235800.93065326629</v>
      </c>
      <c r="H2209" s="7">
        <v>469243852</v>
      </c>
      <c r="I2209" s="7">
        <v>63274098</v>
      </c>
      <c r="J2209" s="7">
        <v>0</v>
      </c>
      <c r="K2209">
        <f t="shared" si="34"/>
        <v>31</v>
      </c>
      <c r="L2209" s="8" t="str" cm="1">
        <f t="array" ref="L2209">_xlfn.IFS(
 AND(K2209&gt;=89,K2209&lt;=92),"3개월",
 AND(K2209&gt;=58,K2209&lt;=62),"2개월",
 AND(K2209&gt;=28,K2209&lt;=32),"1개월",
 AND(K2209=0),"당월",
 TRUE,"그외"
)</f>
        <v>1개월</v>
      </c>
    </row>
    <row r="2210" spans="1:12" x14ac:dyDescent="0.3">
      <c r="A2210" s="5">
        <v>46023</v>
      </c>
      <c r="B2210" s="6" t="s">
        <v>60</v>
      </c>
      <c r="C2210" s="6" t="s">
        <v>66</v>
      </c>
      <c r="D2210" s="5">
        <v>46023</v>
      </c>
      <c r="E2210" s="6" t="s">
        <v>14</v>
      </c>
      <c r="F2210" s="7">
        <v>1690</v>
      </c>
      <c r="G2210" s="7">
        <v>244459.1715976331</v>
      </c>
      <c r="H2210" s="7">
        <v>413136000</v>
      </c>
      <c r="I2210" s="7">
        <v>54467000</v>
      </c>
      <c r="J2210" s="7">
        <v>0</v>
      </c>
      <c r="K2210">
        <f t="shared" si="34"/>
        <v>0</v>
      </c>
      <c r="L2210" s="8" t="str" cm="1">
        <f t="array" ref="L2210">_xlfn.IFS(
 AND(K2210&gt;=89,K2210&lt;=92),"3개월",
 AND(K2210&gt;=58,K2210&lt;=62),"2개월",
 AND(K2210&gt;=28,K2210&lt;=32),"1개월",
 AND(K2210=0),"당월",
 TRUE,"그외"
)</f>
        <v>당월</v>
      </c>
    </row>
    <row r="2211" spans="1:12" x14ac:dyDescent="0.3">
      <c r="A2211" s="5">
        <v>46023</v>
      </c>
      <c r="B2211" s="6" t="s">
        <v>60</v>
      </c>
      <c r="C2211" s="6" t="s">
        <v>66</v>
      </c>
      <c r="D2211" s="5">
        <v>46023</v>
      </c>
      <c r="E2211" s="6" t="s">
        <v>15</v>
      </c>
      <c r="F2211" s="7">
        <v>1050</v>
      </c>
      <c r="G2211" s="7">
        <v>241472.51904761899</v>
      </c>
      <c r="H2211" s="7">
        <v>253546145</v>
      </c>
      <c r="I2211" s="7">
        <v>34383729</v>
      </c>
      <c r="J2211" s="7">
        <v>0</v>
      </c>
      <c r="K2211">
        <f t="shared" si="34"/>
        <v>0</v>
      </c>
      <c r="L2211" s="8" t="str" cm="1">
        <f t="array" ref="L2211">_xlfn.IFS(
 AND(K2211&gt;=89,K2211&lt;=92),"3개월",
 AND(K2211&gt;=58,K2211&lt;=62),"2개월",
 AND(K2211&gt;=28,K2211&lt;=32),"1개월",
 AND(K2211=0),"당월",
 TRUE,"그외"
)</f>
        <v>당월</v>
      </c>
    </row>
    <row r="2212" spans="1:12" x14ac:dyDescent="0.3">
      <c r="A2212" s="5">
        <v>46023</v>
      </c>
      <c r="B2212" s="6" t="s">
        <v>60</v>
      </c>
      <c r="C2212" s="6" t="s">
        <v>109</v>
      </c>
      <c r="D2212" s="5">
        <v>45962</v>
      </c>
      <c r="E2212" s="6" t="s">
        <v>14</v>
      </c>
      <c r="F2212" s="7">
        <v>55</v>
      </c>
      <c r="G2212" s="7">
        <v>164718.18181818179</v>
      </c>
      <c r="H2212" s="7">
        <v>9059500</v>
      </c>
      <c r="I2212" s="7">
        <v>1160500</v>
      </c>
      <c r="J2212" s="7">
        <v>0</v>
      </c>
      <c r="K2212">
        <f t="shared" si="34"/>
        <v>61</v>
      </c>
      <c r="L2212" s="8" t="str" cm="1">
        <f t="array" ref="L2212">_xlfn.IFS(
 AND(K2212&gt;=89,K2212&lt;=92),"3개월",
 AND(K2212&gt;=58,K2212&lt;=62),"2개월",
 AND(K2212&gt;=28,K2212&lt;=32),"1개월",
 AND(K2212=0),"당월",
 TRUE,"그외"
)</f>
        <v>2개월</v>
      </c>
    </row>
    <row r="2213" spans="1:12" x14ac:dyDescent="0.3">
      <c r="A2213" s="5">
        <v>46023</v>
      </c>
      <c r="B2213" s="6" t="s">
        <v>60</v>
      </c>
      <c r="C2213" s="6" t="s">
        <v>109</v>
      </c>
      <c r="D2213" s="5">
        <v>45962</v>
      </c>
      <c r="E2213" s="6" t="s">
        <v>15</v>
      </c>
      <c r="F2213" s="7">
        <v>1989</v>
      </c>
      <c r="G2213" s="7">
        <v>186095.37807943689</v>
      </c>
      <c r="H2213" s="7">
        <v>370143707</v>
      </c>
      <c r="I2213" s="7">
        <v>43922790</v>
      </c>
      <c r="J2213" s="7">
        <v>0</v>
      </c>
      <c r="K2213">
        <f t="shared" si="34"/>
        <v>61</v>
      </c>
      <c r="L2213" s="8" t="str" cm="1">
        <f t="array" ref="L2213">_xlfn.IFS(
 AND(K2213&gt;=89,K2213&lt;=92),"3개월",
 AND(K2213&gt;=58,K2213&lt;=62),"2개월",
 AND(K2213&gt;=28,K2213&lt;=32),"1개월",
 AND(K2213=0),"당월",
 TRUE,"그외"
)</f>
        <v>2개월</v>
      </c>
    </row>
    <row r="2214" spans="1:12" x14ac:dyDescent="0.3">
      <c r="A2214" s="5">
        <v>46023</v>
      </c>
      <c r="B2214" s="6" t="s">
        <v>60</v>
      </c>
      <c r="C2214" s="6" t="s">
        <v>109</v>
      </c>
      <c r="D2214" s="5">
        <v>45992</v>
      </c>
      <c r="E2214" s="6" t="s">
        <v>14</v>
      </c>
      <c r="F2214" s="7">
        <v>1177</v>
      </c>
      <c r="G2214" s="7">
        <v>892216.78504672903</v>
      </c>
      <c r="H2214" s="7">
        <v>1050139156</v>
      </c>
      <c r="I2214" s="7">
        <v>27343212</v>
      </c>
      <c r="J2214" s="7">
        <v>0</v>
      </c>
      <c r="K2214">
        <f t="shared" si="34"/>
        <v>31</v>
      </c>
      <c r="L2214" s="8" t="str" cm="1">
        <f t="array" ref="L2214">_xlfn.IFS(
 AND(K2214&gt;=89,K2214&lt;=92),"3개월",
 AND(K2214&gt;=58,K2214&lt;=62),"2개월",
 AND(K2214&gt;=28,K2214&lt;=32),"1개월",
 AND(K2214=0),"당월",
 TRUE,"그외"
)</f>
        <v>1개월</v>
      </c>
    </row>
    <row r="2215" spans="1:12" x14ac:dyDescent="0.3">
      <c r="A2215" s="5">
        <v>46023</v>
      </c>
      <c r="B2215" s="6" t="s">
        <v>60</v>
      </c>
      <c r="C2215" s="6" t="s">
        <v>109</v>
      </c>
      <c r="D2215" s="5">
        <v>45992</v>
      </c>
      <c r="E2215" s="6" t="s">
        <v>15</v>
      </c>
      <c r="F2215" s="7">
        <v>2287</v>
      </c>
      <c r="G2215" s="7">
        <v>225940.3165719283</v>
      </c>
      <c r="H2215" s="7">
        <v>516725504</v>
      </c>
      <c r="I2215" s="7">
        <v>59153716</v>
      </c>
      <c r="J2215" s="7">
        <v>0</v>
      </c>
      <c r="K2215">
        <f t="shared" si="34"/>
        <v>31</v>
      </c>
      <c r="L2215" s="8" t="str" cm="1">
        <f t="array" ref="L2215">_xlfn.IFS(
 AND(K2215&gt;=89,K2215&lt;=92),"3개월",
 AND(K2215&gt;=58,K2215&lt;=62),"2개월",
 AND(K2215&gt;=28,K2215&lt;=32),"1개월",
 AND(K2215=0),"당월",
 TRUE,"그외"
)</f>
        <v>1개월</v>
      </c>
    </row>
    <row r="2216" spans="1:12" x14ac:dyDescent="0.3">
      <c r="A2216" s="5">
        <v>46023</v>
      </c>
      <c r="B2216" s="6" t="s">
        <v>60</v>
      </c>
      <c r="C2216" s="6" t="s">
        <v>109</v>
      </c>
      <c r="D2216" s="5">
        <v>46023</v>
      </c>
      <c r="E2216" s="6" t="s">
        <v>14</v>
      </c>
      <c r="F2216" s="7">
        <v>4039</v>
      </c>
      <c r="G2216" s="7">
        <v>31185.19435503838</v>
      </c>
      <c r="H2216" s="7">
        <v>125957000</v>
      </c>
      <c r="I2216" s="7">
        <v>100974000</v>
      </c>
      <c r="J2216" s="7">
        <v>0</v>
      </c>
      <c r="K2216">
        <f t="shared" si="34"/>
        <v>0</v>
      </c>
      <c r="L2216" s="8" t="str" cm="1">
        <f t="array" ref="L2216">_xlfn.IFS(
 AND(K2216&gt;=89,K2216&lt;=92),"3개월",
 AND(K2216&gt;=58,K2216&lt;=62),"2개월",
 AND(K2216&gt;=28,K2216&lt;=32),"1개월",
 AND(K2216=0),"당월",
 TRUE,"그외"
)</f>
        <v>당월</v>
      </c>
    </row>
    <row r="2217" spans="1:12" x14ac:dyDescent="0.3">
      <c r="A2217" s="5">
        <v>46023</v>
      </c>
      <c r="B2217" s="6" t="s">
        <v>60</v>
      </c>
      <c r="C2217" s="6" t="s">
        <v>109</v>
      </c>
      <c r="D2217" s="5">
        <v>46023</v>
      </c>
      <c r="E2217" s="6" t="s">
        <v>15</v>
      </c>
      <c r="F2217" s="7">
        <v>1418</v>
      </c>
      <c r="G2217" s="7">
        <v>222046.20944992951</v>
      </c>
      <c r="H2217" s="7">
        <v>314861525</v>
      </c>
      <c r="I2217" s="7">
        <v>41753751</v>
      </c>
      <c r="J2217" s="7">
        <v>0</v>
      </c>
      <c r="K2217">
        <f t="shared" si="34"/>
        <v>0</v>
      </c>
      <c r="L2217" s="8" t="str" cm="1">
        <f t="array" ref="L2217">_xlfn.IFS(
 AND(K2217&gt;=89,K2217&lt;=92),"3개월",
 AND(K2217&gt;=58,K2217&lt;=62),"2개월",
 AND(K2217&gt;=28,K2217&lt;=32),"1개월",
 AND(K2217=0),"당월",
 TRUE,"그외"
)</f>
        <v>당월</v>
      </c>
    </row>
    <row r="2218" spans="1:12" x14ac:dyDescent="0.3">
      <c r="A2218" s="5">
        <v>46023</v>
      </c>
      <c r="B2218" s="6" t="s">
        <v>60</v>
      </c>
      <c r="C2218" s="6" t="s">
        <v>110</v>
      </c>
      <c r="D2218" s="5">
        <v>45962</v>
      </c>
      <c r="E2218" s="6" t="s">
        <v>15</v>
      </c>
      <c r="F2218" s="7">
        <v>33</v>
      </c>
      <c r="G2218" s="7">
        <v>245918.18181818179</v>
      </c>
      <c r="H2218" s="7">
        <v>8115300</v>
      </c>
      <c r="I2218" s="7">
        <v>696300</v>
      </c>
      <c r="J2218" s="7">
        <v>0</v>
      </c>
      <c r="K2218">
        <f t="shared" si="34"/>
        <v>61</v>
      </c>
      <c r="L2218" s="8" t="str" cm="1">
        <f t="array" ref="L2218">_xlfn.IFS(
 AND(K2218&gt;=89,K2218&lt;=92),"3개월",
 AND(K2218&gt;=58,K2218&lt;=62),"2개월",
 AND(K2218&gt;=28,K2218&lt;=32),"1개월",
 AND(K2218=0),"당월",
 TRUE,"그외"
)</f>
        <v>2개월</v>
      </c>
    </row>
    <row r="2219" spans="1:12" x14ac:dyDescent="0.3">
      <c r="A2219" s="5">
        <v>46023</v>
      </c>
      <c r="B2219" s="6" t="s">
        <v>60</v>
      </c>
      <c r="C2219" s="6" t="s">
        <v>110</v>
      </c>
      <c r="D2219" s="5">
        <v>45992</v>
      </c>
      <c r="E2219" s="6" t="s">
        <v>14</v>
      </c>
      <c r="F2219" s="7">
        <v>581</v>
      </c>
      <c r="G2219" s="7">
        <v>909204.81927710841</v>
      </c>
      <c r="H2219" s="7">
        <v>528248000</v>
      </c>
      <c r="I2219" s="7">
        <v>980000</v>
      </c>
      <c r="J2219" s="7">
        <v>0</v>
      </c>
      <c r="K2219">
        <f t="shared" si="34"/>
        <v>31</v>
      </c>
      <c r="L2219" s="8" t="str" cm="1">
        <f t="array" ref="L2219">_xlfn.IFS(
 AND(K2219&gt;=89,K2219&lt;=92),"3개월",
 AND(K2219&gt;=58,K2219&lt;=62),"2개월",
 AND(K2219&gt;=28,K2219&lt;=32),"1개월",
 AND(K2219=0),"당월",
 TRUE,"그외"
)</f>
        <v>1개월</v>
      </c>
    </row>
    <row r="2220" spans="1:12" x14ac:dyDescent="0.3">
      <c r="A2220" s="5">
        <v>46023</v>
      </c>
      <c r="B2220" s="6" t="s">
        <v>60</v>
      </c>
      <c r="C2220" s="6" t="s">
        <v>110</v>
      </c>
      <c r="D2220" s="5">
        <v>45992</v>
      </c>
      <c r="E2220" s="6" t="s">
        <v>15</v>
      </c>
      <c r="F2220" s="7">
        <v>308</v>
      </c>
      <c r="G2220" s="7">
        <v>245421.03571428571</v>
      </c>
      <c r="H2220" s="7">
        <v>75589679</v>
      </c>
      <c r="I2220" s="7">
        <v>7702212</v>
      </c>
      <c r="J2220" s="7">
        <v>0</v>
      </c>
      <c r="K2220">
        <f t="shared" si="34"/>
        <v>31</v>
      </c>
      <c r="L2220" s="8" t="str" cm="1">
        <f t="array" ref="L2220">_xlfn.IFS(
 AND(K2220&gt;=89,K2220&lt;=92),"3개월",
 AND(K2220&gt;=58,K2220&lt;=62),"2개월",
 AND(K2220&gt;=28,K2220&lt;=32),"1개월",
 AND(K2220=0),"당월",
 TRUE,"그외"
)</f>
        <v>1개월</v>
      </c>
    </row>
    <row r="2221" spans="1:12" x14ac:dyDescent="0.3">
      <c r="A2221" s="5">
        <v>46023</v>
      </c>
      <c r="B2221" s="6" t="s">
        <v>60</v>
      </c>
      <c r="C2221" s="6" t="s">
        <v>110</v>
      </c>
      <c r="D2221" s="5">
        <v>46023</v>
      </c>
      <c r="E2221" s="6" t="s">
        <v>14</v>
      </c>
      <c r="F2221" s="7">
        <v>2002</v>
      </c>
      <c r="G2221" s="7">
        <v>13034.965034965029</v>
      </c>
      <c r="H2221" s="7">
        <v>26096000</v>
      </c>
      <c r="I2221" s="7">
        <v>2900000</v>
      </c>
      <c r="J2221" s="7">
        <v>0</v>
      </c>
      <c r="K2221">
        <f t="shared" si="34"/>
        <v>0</v>
      </c>
      <c r="L2221" s="8" t="str" cm="1">
        <f t="array" ref="L2221">_xlfn.IFS(
 AND(K2221&gt;=89,K2221&lt;=92),"3개월",
 AND(K2221&gt;=58,K2221&lt;=62),"2개월",
 AND(K2221&gt;=28,K2221&lt;=32),"1개월",
 AND(K2221=0),"당월",
 TRUE,"그외"
)</f>
        <v>당월</v>
      </c>
    </row>
    <row r="2222" spans="1:12" x14ac:dyDescent="0.3">
      <c r="A2222" s="5">
        <v>46023</v>
      </c>
      <c r="B2222" s="6" t="s">
        <v>60</v>
      </c>
      <c r="C2222" s="6" t="s">
        <v>110</v>
      </c>
      <c r="D2222" s="5">
        <v>46023</v>
      </c>
      <c r="E2222" s="6" t="s">
        <v>15</v>
      </c>
      <c r="F2222" s="7">
        <v>190</v>
      </c>
      <c r="G2222" s="7">
        <v>228915.0789473684</v>
      </c>
      <c r="H2222" s="7">
        <v>43493865</v>
      </c>
      <c r="I2222" s="7">
        <v>5035274</v>
      </c>
      <c r="J2222" s="7">
        <v>0</v>
      </c>
      <c r="K2222">
        <f t="shared" si="34"/>
        <v>0</v>
      </c>
      <c r="L2222" s="8" t="str" cm="1">
        <f t="array" ref="L2222">_xlfn.IFS(
 AND(K2222&gt;=89,K2222&lt;=92),"3개월",
 AND(K2222&gt;=58,K2222&lt;=62),"2개월",
 AND(K2222&gt;=28,K2222&lt;=32),"1개월",
 AND(K2222=0),"당월",
 TRUE,"그외"
)</f>
        <v>당월</v>
      </c>
    </row>
    <row r="2223" spans="1:12" x14ac:dyDescent="0.3">
      <c r="A2223" s="5">
        <v>46023</v>
      </c>
      <c r="B2223" s="6" t="s">
        <v>60</v>
      </c>
      <c r="C2223" s="6" t="s">
        <v>111</v>
      </c>
      <c r="D2223" s="5">
        <v>45962</v>
      </c>
      <c r="E2223" s="6" t="s">
        <v>15</v>
      </c>
      <c r="F2223" s="7">
        <v>43</v>
      </c>
      <c r="G2223" s="7">
        <v>213948.83720930229</v>
      </c>
      <c r="H2223" s="7">
        <v>9199800</v>
      </c>
      <c r="I2223" s="7">
        <v>907300</v>
      </c>
      <c r="J2223" s="7">
        <v>0</v>
      </c>
      <c r="K2223">
        <f t="shared" si="34"/>
        <v>61</v>
      </c>
      <c r="L2223" s="8" t="str" cm="1">
        <f t="array" ref="L2223">_xlfn.IFS(
 AND(K2223&gt;=89,K2223&lt;=92),"3개월",
 AND(K2223&gt;=58,K2223&lt;=62),"2개월",
 AND(K2223&gt;=28,K2223&lt;=32),"1개월",
 AND(K2223=0),"당월",
 TRUE,"그외"
)</f>
        <v>2개월</v>
      </c>
    </row>
    <row r="2224" spans="1:12" x14ac:dyDescent="0.3">
      <c r="A2224" s="5">
        <v>46023</v>
      </c>
      <c r="B2224" s="6" t="s">
        <v>60</v>
      </c>
      <c r="C2224" s="6" t="s">
        <v>111</v>
      </c>
      <c r="D2224" s="5">
        <v>45992</v>
      </c>
      <c r="E2224" s="6" t="s">
        <v>14</v>
      </c>
      <c r="F2224" s="7">
        <v>129</v>
      </c>
      <c r="G2224" s="7">
        <v>2525968.992248062</v>
      </c>
      <c r="H2224" s="7">
        <v>325850000</v>
      </c>
      <c r="I2224" s="7">
        <v>0</v>
      </c>
      <c r="J2224" s="7">
        <v>0</v>
      </c>
      <c r="K2224">
        <f t="shared" si="34"/>
        <v>31</v>
      </c>
      <c r="L2224" s="8" t="str" cm="1">
        <f t="array" ref="L2224">_xlfn.IFS(
 AND(K2224&gt;=89,K2224&lt;=92),"3개월",
 AND(K2224&gt;=58,K2224&lt;=62),"2개월",
 AND(K2224&gt;=28,K2224&lt;=32),"1개월",
 AND(K2224=0),"당월",
 TRUE,"그외"
)</f>
        <v>1개월</v>
      </c>
    </row>
    <row r="2225" spans="1:12" x14ac:dyDescent="0.3">
      <c r="A2225" s="5">
        <v>46023</v>
      </c>
      <c r="B2225" s="6" t="s">
        <v>60</v>
      </c>
      <c r="C2225" s="6" t="s">
        <v>111</v>
      </c>
      <c r="D2225" s="5">
        <v>45992</v>
      </c>
      <c r="E2225" s="6" t="s">
        <v>15</v>
      </c>
      <c r="F2225" s="7">
        <v>195</v>
      </c>
      <c r="G2225" s="7">
        <v>221828.66153846151</v>
      </c>
      <c r="H2225" s="7">
        <v>43256589</v>
      </c>
      <c r="I2225" s="7">
        <v>4875824</v>
      </c>
      <c r="J2225" s="7">
        <v>0</v>
      </c>
      <c r="K2225">
        <f t="shared" si="34"/>
        <v>31</v>
      </c>
      <c r="L2225" s="8" t="str" cm="1">
        <f t="array" ref="L2225">_xlfn.IFS(
 AND(K2225&gt;=89,K2225&lt;=92),"3개월",
 AND(K2225&gt;=58,K2225&lt;=62),"2개월",
 AND(K2225&gt;=28,K2225&lt;=32),"1개월",
 AND(K2225=0),"당월",
 TRUE,"그외"
)</f>
        <v>1개월</v>
      </c>
    </row>
    <row r="2226" spans="1:12" x14ac:dyDescent="0.3">
      <c r="A2226" s="5">
        <v>46023</v>
      </c>
      <c r="B2226" s="6" t="s">
        <v>60</v>
      </c>
      <c r="C2226" s="6" t="s">
        <v>111</v>
      </c>
      <c r="D2226" s="5">
        <v>46023</v>
      </c>
      <c r="E2226" s="6" t="s">
        <v>14</v>
      </c>
      <c r="F2226" s="7">
        <v>975</v>
      </c>
      <c r="G2226" s="7">
        <v>16037.948717948721</v>
      </c>
      <c r="H2226" s="7">
        <v>15637000</v>
      </c>
      <c r="I2226" s="7">
        <v>2375000</v>
      </c>
      <c r="J2226" s="7">
        <v>0</v>
      </c>
      <c r="K2226">
        <f t="shared" si="34"/>
        <v>0</v>
      </c>
      <c r="L2226" s="8" t="str" cm="1">
        <f t="array" ref="L2226">_xlfn.IFS(
 AND(K2226&gt;=89,K2226&lt;=92),"3개월",
 AND(K2226&gt;=58,K2226&lt;=62),"2개월",
 AND(K2226&gt;=28,K2226&lt;=32),"1개월",
 AND(K2226=0),"당월",
 TRUE,"그외"
)</f>
        <v>당월</v>
      </c>
    </row>
    <row r="2227" spans="1:12" x14ac:dyDescent="0.3">
      <c r="A2227" s="5">
        <v>46023</v>
      </c>
      <c r="B2227" s="6" t="s">
        <v>60</v>
      </c>
      <c r="C2227" s="6" t="s">
        <v>111</v>
      </c>
      <c r="D2227" s="5">
        <v>46023</v>
      </c>
      <c r="E2227" s="6" t="s">
        <v>15</v>
      </c>
      <c r="F2227" s="7">
        <v>455</v>
      </c>
      <c r="G2227" s="7">
        <v>143235.47252747251</v>
      </c>
      <c r="H2227" s="7">
        <v>65172140</v>
      </c>
      <c r="I2227" s="7">
        <v>12296835</v>
      </c>
      <c r="J2227" s="7">
        <v>0</v>
      </c>
      <c r="K2227">
        <f t="shared" si="34"/>
        <v>0</v>
      </c>
      <c r="L2227" s="8" t="str" cm="1">
        <f t="array" ref="L2227">_xlfn.IFS(
 AND(K2227&gt;=89,K2227&lt;=92),"3개월",
 AND(K2227&gt;=58,K2227&lt;=62),"2개월",
 AND(K2227&gt;=28,K2227&lt;=32),"1개월",
 AND(K2227=0),"당월",
 TRUE,"그외"
)</f>
        <v>당월</v>
      </c>
    </row>
    <row r="2228" spans="1:12" x14ac:dyDescent="0.3">
      <c r="A2228" s="5">
        <v>46023</v>
      </c>
      <c r="B2228" s="6" t="s">
        <v>60</v>
      </c>
      <c r="C2228" s="6" t="s">
        <v>67</v>
      </c>
      <c r="D2228" s="5">
        <v>45839</v>
      </c>
      <c r="E2228" s="6" t="s">
        <v>15</v>
      </c>
      <c r="F2228" s="7">
        <v>168</v>
      </c>
      <c r="G2228" s="7">
        <v>253871.03571428571</v>
      </c>
      <c r="H2228" s="7">
        <v>42650334</v>
      </c>
      <c r="I2228" s="7">
        <v>2871597</v>
      </c>
      <c r="J2228" s="7">
        <v>0</v>
      </c>
      <c r="K2228">
        <f t="shared" si="34"/>
        <v>184</v>
      </c>
      <c r="L2228" s="8" t="str" cm="1">
        <f t="array" ref="L2228">_xlfn.IFS(
 AND(K2228&gt;=89,K2228&lt;=92),"3개월",
 AND(K2228&gt;=58,K2228&lt;=62),"2개월",
 AND(K2228&gt;=28,K2228&lt;=32),"1개월",
 AND(K2228=0),"당월",
 TRUE,"그외"
)</f>
        <v>그외</v>
      </c>
    </row>
    <row r="2229" spans="1:12" x14ac:dyDescent="0.3">
      <c r="A2229" s="5">
        <v>46023</v>
      </c>
      <c r="B2229" s="6" t="s">
        <v>60</v>
      </c>
      <c r="C2229" s="6" t="s">
        <v>67</v>
      </c>
      <c r="D2229" s="5">
        <v>45870</v>
      </c>
      <c r="E2229" s="6" t="s">
        <v>15</v>
      </c>
      <c r="F2229" s="7">
        <v>225</v>
      </c>
      <c r="G2229" s="7">
        <v>266374.06666666671</v>
      </c>
      <c r="H2229" s="7">
        <v>59934165</v>
      </c>
      <c r="I2229" s="7">
        <v>5936906</v>
      </c>
      <c r="J2229" s="7">
        <v>0</v>
      </c>
      <c r="K2229">
        <f t="shared" si="34"/>
        <v>153</v>
      </c>
      <c r="L2229" s="8" t="str" cm="1">
        <f t="array" ref="L2229">_xlfn.IFS(
 AND(K2229&gt;=89,K2229&lt;=92),"3개월",
 AND(K2229&gt;=58,K2229&lt;=62),"2개월",
 AND(K2229&gt;=28,K2229&lt;=32),"1개월",
 AND(K2229=0),"당월",
 TRUE,"그외"
)</f>
        <v>그외</v>
      </c>
    </row>
    <row r="2230" spans="1:12" x14ac:dyDescent="0.3">
      <c r="A2230" s="5">
        <v>46023</v>
      </c>
      <c r="B2230" s="6" t="s">
        <v>60</v>
      </c>
      <c r="C2230" s="6" t="s">
        <v>67</v>
      </c>
      <c r="D2230" s="5">
        <v>45901</v>
      </c>
      <c r="E2230" s="6" t="s">
        <v>15</v>
      </c>
      <c r="F2230" s="7">
        <v>2034</v>
      </c>
      <c r="G2230" s="7">
        <v>255412.9508357915</v>
      </c>
      <c r="H2230" s="7">
        <v>519509942</v>
      </c>
      <c r="I2230" s="7">
        <v>53751826</v>
      </c>
      <c r="J2230" s="7">
        <v>0</v>
      </c>
      <c r="K2230">
        <f t="shared" si="34"/>
        <v>122</v>
      </c>
      <c r="L2230" s="8" t="str" cm="1">
        <f t="array" ref="L2230">_xlfn.IFS(
 AND(K2230&gt;=89,K2230&lt;=92),"3개월",
 AND(K2230&gt;=58,K2230&lt;=62),"2개월",
 AND(K2230&gt;=28,K2230&lt;=32),"1개월",
 AND(K2230=0),"당월",
 TRUE,"그외"
)</f>
        <v>그외</v>
      </c>
    </row>
    <row r="2231" spans="1:12" x14ac:dyDescent="0.3">
      <c r="A2231" s="5">
        <v>46023</v>
      </c>
      <c r="B2231" s="6" t="s">
        <v>60</v>
      </c>
      <c r="C2231" s="6" t="s">
        <v>67</v>
      </c>
      <c r="D2231" s="5">
        <v>45931</v>
      </c>
      <c r="E2231" s="6" t="s">
        <v>15</v>
      </c>
      <c r="F2231" s="7">
        <v>3964</v>
      </c>
      <c r="G2231" s="7">
        <v>245035.45080726541</v>
      </c>
      <c r="H2231" s="7">
        <v>971320527</v>
      </c>
      <c r="I2231" s="7">
        <v>104409944</v>
      </c>
      <c r="J2231" s="7">
        <v>0</v>
      </c>
      <c r="K2231">
        <f t="shared" si="34"/>
        <v>92</v>
      </c>
      <c r="L2231" s="8" t="str" cm="1">
        <f t="array" ref="L2231">_xlfn.IFS(
 AND(K2231&gt;=89,K2231&lt;=92),"3개월",
 AND(K2231&gt;=58,K2231&lt;=62),"2개월",
 AND(K2231&gt;=28,K2231&lt;=32),"1개월",
 AND(K2231=0),"당월",
 TRUE,"그외"
)</f>
        <v>3개월</v>
      </c>
    </row>
    <row r="2232" spans="1:12" x14ac:dyDescent="0.3">
      <c r="A2232" s="5">
        <v>46023</v>
      </c>
      <c r="B2232" s="6" t="s">
        <v>60</v>
      </c>
      <c r="C2232" s="6" t="s">
        <v>67</v>
      </c>
      <c r="D2232" s="5">
        <v>45962</v>
      </c>
      <c r="E2232" s="6" t="s">
        <v>14</v>
      </c>
      <c r="F2232" s="7">
        <v>1166</v>
      </c>
      <c r="G2232" s="7">
        <v>281538.25042881648</v>
      </c>
      <c r="H2232" s="7">
        <v>328273600</v>
      </c>
      <c r="I2232" s="7">
        <v>30918600</v>
      </c>
      <c r="J2232" s="7">
        <v>0</v>
      </c>
      <c r="K2232">
        <f t="shared" si="34"/>
        <v>61</v>
      </c>
      <c r="L2232" s="8" t="str" cm="1">
        <f t="array" ref="L2232">_xlfn.IFS(
 AND(K2232&gt;=89,K2232&lt;=92),"3개월",
 AND(K2232&gt;=58,K2232&lt;=62),"2개월",
 AND(K2232&gt;=28,K2232&lt;=32),"1개월",
 AND(K2232=0),"당월",
 TRUE,"그외"
)</f>
        <v>2개월</v>
      </c>
    </row>
    <row r="2233" spans="1:12" x14ac:dyDescent="0.3">
      <c r="A2233" s="5">
        <v>46023</v>
      </c>
      <c r="B2233" s="6" t="s">
        <v>60</v>
      </c>
      <c r="C2233" s="6" t="s">
        <v>67</v>
      </c>
      <c r="D2233" s="5">
        <v>45962</v>
      </c>
      <c r="E2233" s="6" t="s">
        <v>15</v>
      </c>
      <c r="F2233" s="7">
        <v>2837</v>
      </c>
      <c r="G2233" s="7">
        <v>251497.02432146631</v>
      </c>
      <c r="H2233" s="7">
        <v>713497058</v>
      </c>
      <c r="I2233" s="7">
        <v>75809495</v>
      </c>
      <c r="J2233" s="7">
        <v>0</v>
      </c>
      <c r="K2233">
        <f t="shared" si="34"/>
        <v>61</v>
      </c>
      <c r="L2233" s="8" t="str" cm="1">
        <f t="array" ref="L2233">_xlfn.IFS(
 AND(K2233&gt;=89,K2233&lt;=92),"3개월",
 AND(K2233&gt;=58,K2233&lt;=62),"2개월",
 AND(K2233&gt;=28,K2233&lt;=32),"1개월",
 AND(K2233=0),"당월",
 TRUE,"그외"
)</f>
        <v>2개월</v>
      </c>
    </row>
    <row r="2234" spans="1:12" x14ac:dyDescent="0.3">
      <c r="A2234" s="5">
        <v>46023</v>
      </c>
      <c r="B2234" s="6" t="s">
        <v>60</v>
      </c>
      <c r="C2234" s="6" t="s">
        <v>67</v>
      </c>
      <c r="D2234" s="5">
        <v>45992</v>
      </c>
      <c r="E2234" s="6" t="s">
        <v>14</v>
      </c>
      <c r="F2234" s="7">
        <v>1462</v>
      </c>
      <c r="G2234" s="7">
        <v>528615.73187414499</v>
      </c>
      <c r="H2234" s="7">
        <v>772836200</v>
      </c>
      <c r="I2234" s="7">
        <v>42668200</v>
      </c>
      <c r="J2234" s="7">
        <v>0</v>
      </c>
      <c r="K2234">
        <f t="shared" si="34"/>
        <v>31</v>
      </c>
      <c r="L2234" s="8" t="str" cm="1">
        <f t="array" ref="L2234">_xlfn.IFS(
 AND(K2234&gt;=89,K2234&lt;=92),"3개월",
 AND(K2234&gt;=58,K2234&lt;=62),"2개월",
 AND(K2234&gt;=28,K2234&lt;=32),"1개월",
 AND(K2234=0),"당월",
 TRUE,"그외"
)</f>
        <v>1개월</v>
      </c>
    </row>
    <row r="2235" spans="1:12" x14ac:dyDescent="0.3">
      <c r="A2235" s="5">
        <v>46023</v>
      </c>
      <c r="B2235" s="6" t="s">
        <v>60</v>
      </c>
      <c r="C2235" s="6" t="s">
        <v>67</v>
      </c>
      <c r="D2235" s="5">
        <v>45992</v>
      </c>
      <c r="E2235" s="6" t="s">
        <v>15</v>
      </c>
      <c r="F2235" s="7">
        <v>3915</v>
      </c>
      <c r="G2235" s="7">
        <v>231599.15351213279</v>
      </c>
      <c r="H2235" s="7">
        <v>906710686</v>
      </c>
      <c r="I2235" s="7">
        <v>120898188</v>
      </c>
      <c r="J2235" s="7">
        <v>0</v>
      </c>
      <c r="K2235">
        <f t="shared" si="34"/>
        <v>31</v>
      </c>
      <c r="L2235" s="8" t="str" cm="1">
        <f t="array" ref="L2235">_xlfn.IFS(
 AND(K2235&gt;=89,K2235&lt;=92),"3개월",
 AND(K2235&gt;=58,K2235&lt;=62),"2개월",
 AND(K2235&gt;=28,K2235&lt;=32),"1개월",
 AND(K2235=0),"당월",
 TRUE,"그외"
)</f>
        <v>1개월</v>
      </c>
    </row>
    <row r="2236" spans="1:12" x14ac:dyDescent="0.3">
      <c r="A2236" s="5">
        <v>46023</v>
      </c>
      <c r="B2236" s="6" t="s">
        <v>60</v>
      </c>
      <c r="C2236" s="6" t="s">
        <v>67</v>
      </c>
      <c r="D2236" s="5">
        <v>46023</v>
      </c>
      <c r="E2236" s="6" t="s">
        <v>14</v>
      </c>
      <c r="F2236" s="7">
        <v>2582</v>
      </c>
      <c r="G2236" s="7">
        <v>45241.053446940357</v>
      </c>
      <c r="H2236" s="7">
        <v>116812400</v>
      </c>
      <c r="I2236" s="7">
        <v>83397400</v>
      </c>
      <c r="J2236" s="7">
        <v>0</v>
      </c>
      <c r="K2236">
        <f t="shared" si="34"/>
        <v>0</v>
      </c>
      <c r="L2236" s="8" t="str" cm="1">
        <f t="array" ref="L2236">_xlfn.IFS(
 AND(K2236&gt;=89,K2236&lt;=92),"3개월",
 AND(K2236&gt;=58,K2236&lt;=62),"2개월",
 AND(K2236&gt;=28,K2236&lt;=32),"1개월",
 AND(K2236=0),"당월",
 TRUE,"그외"
)</f>
        <v>당월</v>
      </c>
    </row>
    <row r="2237" spans="1:12" x14ac:dyDescent="0.3">
      <c r="A2237" s="5">
        <v>46023</v>
      </c>
      <c r="B2237" s="6" t="s">
        <v>60</v>
      </c>
      <c r="C2237" s="6" t="s">
        <v>67</v>
      </c>
      <c r="D2237" s="5">
        <v>46023</v>
      </c>
      <c r="E2237" s="6" t="s">
        <v>15</v>
      </c>
      <c r="F2237" s="7">
        <v>1376</v>
      </c>
      <c r="G2237" s="7">
        <v>283608.32848837209</v>
      </c>
      <c r="H2237" s="7">
        <v>390245060</v>
      </c>
      <c r="I2237" s="7">
        <v>42828328</v>
      </c>
      <c r="J2237" s="7">
        <v>0</v>
      </c>
      <c r="K2237">
        <f t="shared" si="34"/>
        <v>0</v>
      </c>
      <c r="L2237" s="8" t="str" cm="1">
        <f t="array" ref="L2237">_xlfn.IFS(
 AND(K2237&gt;=89,K2237&lt;=92),"3개월",
 AND(K2237&gt;=58,K2237&lt;=62),"2개월",
 AND(K2237&gt;=28,K2237&lt;=32),"1개월",
 AND(K2237=0),"당월",
 TRUE,"그외"
)</f>
        <v>당월</v>
      </c>
    </row>
    <row r="2238" spans="1:12" x14ac:dyDescent="0.3">
      <c r="A2238" s="5">
        <v>46023</v>
      </c>
      <c r="B2238" s="6" t="s">
        <v>60</v>
      </c>
      <c r="C2238" s="6" t="s">
        <v>68</v>
      </c>
      <c r="D2238" s="5">
        <v>45839</v>
      </c>
      <c r="E2238" s="6" t="s">
        <v>15</v>
      </c>
      <c r="F2238" s="7">
        <v>153</v>
      </c>
      <c r="G2238" s="7">
        <v>250650.9803921569</v>
      </c>
      <c r="H2238" s="7">
        <v>38349600</v>
      </c>
      <c r="I2238" s="7">
        <v>2623464</v>
      </c>
      <c r="J2238" s="7">
        <v>0</v>
      </c>
      <c r="K2238">
        <f t="shared" si="34"/>
        <v>184</v>
      </c>
      <c r="L2238" s="8" t="str" cm="1">
        <f t="array" ref="L2238">_xlfn.IFS(
 AND(K2238&gt;=89,K2238&lt;=92),"3개월",
 AND(K2238&gt;=58,K2238&lt;=62),"2개월",
 AND(K2238&gt;=28,K2238&lt;=32),"1개월",
 AND(K2238=0),"당월",
 TRUE,"그외"
)</f>
        <v>그외</v>
      </c>
    </row>
    <row r="2239" spans="1:12" x14ac:dyDescent="0.3">
      <c r="A2239" s="5">
        <v>46023</v>
      </c>
      <c r="B2239" s="6" t="s">
        <v>60</v>
      </c>
      <c r="C2239" s="6" t="s">
        <v>68</v>
      </c>
      <c r="D2239" s="5">
        <v>45870</v>
      </c>
      <c r="E2239" s="6" t="s">
        <v>14</v>
      </c>
      <c r="F2239" s="7">
        <v>146</v>
      </c>
      <c r="G2239" s="7">
        <v>230904.10958904109</v>
      </c>
      <c r="H2239" s="7">
        <v>33712000</v>
      </c>
      <c r="I2239" s="7">
        <v>3796000</v>
      </c>
      <c r="J2239" s="7">
        <v>0</v>
      </c>
      <c r="K2239">
        <f t="shared" si="34"/>
        <v>153</v>
      </c>
      <c r="L2239" s="8" t="str" cm="1">
        <f t="array" ref="L2239">_xlfn.IFS(
 AND(K2239&gt;=89,K2239&lt;=92),"3개월",
 AND(K2239&gt;=58,K2239&lt;=62),"2개월",
 AND(K2239&gt;=28,K2239&lt;=32),"1개월",
 AND(K2239=0),"당월",
 TRUE,"그외"
)</f>
        <v>그외</v>
      </c>
    </row>
    <row r="2240" spans="1:12" x14ac:dyDescent="0.3">
      <c r="A2240" s="5">
        <v>46023</v>
      </c>
      <c r="B2240" s="6" t="s">
        <v>60</v>
      </c>
      <c r="C2240" s="6" t="s">
        <v>68</v>
      </c>
      <c r="D2240" s="5">
        <v>45870</v>
      </c>
      <c r="E2240" s="6" t="s">
        <v>15</v>
      </c>
      <c r="F2240" s="7">
        <v>426</v>
      </c>
      <c r="G2240" s="7">
        <v>273851.64319248818</v>
      </c>
      <c r="H2240" s="7">
        <v>116660800</v>
      </c>
      <c r="I2240" s="7">
        <v>11076000</v>
      </c>
      <c r="J2240" s="7">
        <v>0</v>
      </c>
      <c r="K2240">
        <f t="shared" si="34"/>
        <v>153</v>
      </c>
      <c r="L2240" s="8" t="str" cm="1">
        <f t="array" ref="L2240">_xlfn.IFS(
 AND(K2240&gt;=89,K2240&lt;=92),"3개월",
 AND(K2240&gt;=58,K2240&lt;=62),"2개월",
 AND(K2240&gt;=28,K2240&lt;=32),"1개월",
 AND(K2240=0),"당월",
 TRUE,"그외"
)</f>
        <v>그외</v>
      </c>
    </row>
    <row r="2241" spans="1:12" x14ac:dyDescent="0.3">
      <c r="A2241" s="5">
        <v>46023</v>
      </c>
      <c r="B2241" s="6" t="s">
        <v>60</v>
      </c>
      <c r="C2241" s="6" t="s">
        <v>68</v>
      </c>
      <c r="D2241" s="5">
        <v>45901</v>
      </c>
      <c r="E2241" s="6" t="s">
        <v>14</v>
      </c>
      <c r="F2241" s="7">
        <v>149</v>
      </c>
      <c r="G2241" s="7">
        <v>243179.19463087249</v>
      </c>
      <c r="H2241" s="7">
        <v>36233700</v>
      </c>
      <c r="I2241" s="7">
        <v>3918700</v>
      </c>
      <c r="J2241" s="7">
        <v>0</v>
      </c>
      <c r="K2241">
        <f t="shared" si="34"/>
        <v>122</v>
      </c>
      <c r="L2241" s="8" t="str" cm="1">
        <f t="array" ref="L2241">_xlfn.IFS(
 AND(K2241&gt;=89,K2241&lt;=92),"3개월",
 AND(K2241&gt;=58,K2241&lt;=62),"2개월",
 AND(K2241&gt;=28,K2241&lt;=32),"1개월",
 AND(K2241=0),"당월",
 TRUE,"그외"
)</f>
        <v>그외</v>
      </c>
    </row>
    <row r="2242" spans="1:12" x14ac:dyDescent="0.3">
      <c r="A2242" s="5">
        <v>46023</v>
      </c>
      <c r="B2242" s="6" t="s">
        <v>60</v>
      </c>
      <c r="C2242" s="6" t="s">
        <v>68</v>
      </c>
      <c r="D2242" s="5">
        <v>45901</v>
      </c>
      <c r="E2242" s="6" t="s">
        <v>15</v>
      </c>
      <c r="F2242" s="7">
        <v>848</v>
      </c>
      <c r="G2242" s="7">
        <v>260758.19103773581</v>
      </c>
      <c r="H2242" s="7">
        <v>221122946</v>
      </c>
      <c r="I2242" s="7">
        <v>22333116</v>
      </c>
      <c r="J2242" s="7">
        <v>0</v>
      </c>
      <c r="K2242">
        <f t="shared" si="34"/>
        <v>122</v>
      </c>
      <c r="L2242" s="8" t="str" cm="1">
        <f t="array" ref="L2242">_xlfn.IFS(
 AND(K2242&gt;=89,K2242&lt;=92),"3개월",
 AND(K2242&gt;=58,K2242&lt;=62),"2개월",
 AND(K2242&gt;=28,K2242&lt;=32),"1개월",
 AND(K2242=0),"당월",
 TRUE,"그외"
)</f>
        <v>그외</v>
      </c>
    </row>
    <row r="2243" spans="1:12" x14ac:dyDescent="0.3">
      <c r="A2243" s="5">
        <v>46023</v>
      </c>
      <c r="B2243" s="6" t="s">
        <v>60</v>
      </c>
      <c r="C2243" s="6" t="s">
        <v>68</v>
      </c>
      <c r="D2243" s="5">
        <v>45931</v>
      </c>
      <c r="E2243" s="6" t="s">
        <v>14</v>
      </c>
      <c r="F2243" s="7">
        <v>317</v>
      </c>
      <c r="G2243" s="7">
        <v>236248.5804416404</v>
      </c>
      <c r="H2243" s="7">
        <v>74890800</v>
      </c>
      <c r="I2243" s="7">
        <v>8368800</v>
      </c>
      <c r="J2243" s="7">
        <v>0</v>
      </c>
      <c r="K2243">
        <f t="shared" si="34"/>
        <v>92</v>
      </c>
      <c r="L2243" s="8" t="str" cm="1">
        <f t="array" ref="L2243">_xlfn.IFS(
 AND(K2243&gt;=89,K2243&lt;=92),"3개월",
 AND(K2243&gt;=58,K2243&lt;=62),"2개월",
 AND(K2243&gt;=28,K2243&lt;=32),"1개월",
 AND(K2243=0),"당월",
 TRUE,"그외"
)</f>
        <v>3개월</v>
      </c>
    </row>
    <row r="2244" spans="1:12" x14ac:dyDescent="0.3">
      <c r="A2244" s="5">
        <v>46023</v>
      </c>
      <c r="B2244" s="6" t="s">
        <v>60</v>
      </c>
      <c r="C2244" s="6" t="s">
        <v>68</v>
      </c>
      <c r="D2244" s="5">
        <v>45931</v>
      </c>
      <c r="E2244" s="6" t="s">
        <v>15</v>
      </c>
      <c r="F2244" s="7">
        <v>1243</v>
      </c>
      <c r="G2244" s="7">
        <v>257715.90426387769</v>
      </c>
      <c r="H2244" s="7">
        <v>320340869</v>
      </c>
      <c r="I2244" s="7">
        <v>32921320</v>
      </c>
      <c r="J2244" s="7">
        <v>0</v>
      </c>
      <c r="K2244">
        <f t="shared" si="34"/>
        <v>92</v>
      </c>
      <c r="L2244" s="8" t="str" cm="1">
        <f t="array" ref="L2244">_xlfn.IFS(
 AND(K2244&gt;=89,K2244&lt;=92),"3개월",
 AND(K2244&gt;=58,K2244&lt;=62),"2개월",
 AND(K2244&gt;=28,K2244&lt;=32),"1개월",
 AND(K2244=0),"당월",
 TRUE,"그외"
)</f>
        <v>3개월</v>
      </c>
    </row>
    <row r="2245" spans="1:12" x14ac:dyDescent="0.3">
      <c r="A2245" s="5">
        <v>46023</v>
      </c>
      <c r="B2245" s="6" t="s">
        <v>60</v>
      </c>
      <c r="C2245" s="6" t="s">
        <v>68</v>
      </c>
      <c r="D2245" s="5">
        <v>45962</v>
      </c>
      <c r="E2245" s="6" t="s">
        <v>14</v>
      </c>
      <c r="F2245" s="7">
        <v>1395</v>
      </c>
      <c r="G2245" s="7">
        <v>233466.59498207891</v>
      </c>
      <c r="H2245" s="7">
        <v>325685900</v>
      </c>
      <c r="I2245" s="7">
        <v>37245900</v>
      </c>
      <c r="J2245" s="7">
        <v>0</v>
      </c>
      <c r="K2245">
        <f t="shared" si="34"/>
        <v>61</v>
      </c>
      <c r="L2245" s="8" t="str" cm="1">
        <f t="array" ref="L2245">_xlfn.IFS(
 AND(K2245&gt;=89,K2245&lt;=92),"3개월",
 AND(K2245&gt;=58,K2245&lt;=62),"2개월",
 AND(K2245&gt;=28,K2245&lt;=32),"1개월",
 AND(K2245=0),"당월",
 TRUE,"그외"
)</f>
        <v>2개월</v>
      </c>
    </row>
    <row r="2246" spans="1:12" x14ac:dyDescent="0.3">
      <c r="A2246" s="5">
        <v>46023</v>
      </c>
      <c r="B2246" s="6" t="s">
        <v>60</v>
      </c>
      <c r="C2246" s="6" t="s">
        <v>68</v>
      </c>
      <c r="D2246" s="5">
        <v>45962</v>
      </c>
      <c r="E2246" s="6" t="s">
        <v>15</v>
      </c>
      <c r="F2246" s="7">
        <v>2433</v>
      </c>
      <c r="G2246" s="7">
        <v>240536.512946979</v>
      </c>
      <c r="H2246" s="7">
        <v>585225336</v>
      </c>
      <c r="I2246" s="7">
        <v>65024254</v>
      </c>
      <c r="J2246" s="7">
        <v>0</v>
      </c>
      <c r="K2246">
        <f t="shared" si="34"/>
        <v>61</v>
      </c>
      <c r="L2246" s="8" t="str" cm="1">
        <f t="array" ref="L2246">_xlfn.IFS(
 AND(K2246&gt;=89,K2246&lt;=92),"3개월",
 AND(K2246&gt;=58,K2246&lt;=62),"2개월",
 AND(K2246&gt;=28,K2246&lt;=32),"1개월",
 AND(K2246=0),"당월",
 TRUE,"그외"
)</f>
        <v>2개월</v>
      </c>
    </row>
    <row r="2247" spans="1:12" x14ac:dyDescent="0.3">
      <c r="A2247" s="5">
        <v>46023</v>
      </c>
      <c r="B2247" s="6" t="s">
        <v>60</v>
      </c>
      <c r="C2247" s="6" t="s">
        <v>68</v>
      </c>
      <c r="D2247" s="5">
        <v>45992</v>
      </c>
      <c r="E2247" s="6" t="s">
        <v>14</v>
      </c>
      <c r="F2247" s="7">
        <v>1316</v>
      </c>
      <c r="G2247" s="7">
        <v>223147.56838905779</v>
      </c>
      <c r="H2247" s="7">
        <v>293662200</v>
      </c>
      <c r="I2247" s="7">
        <v>41717200</v>
      </c>
      <c r="J2247" s="7">
        <v>0</v>
      </c>
      <c r="K2247">
        <f t="shared" si="34"/>
        <v>31</v>
      </c>
      <c r="L2247" s="8" t="str" cm="1">
        <f t="array" ref="L2247">_xlfn.IFS(
 AND(K2247&gt;=89,K2247&lt;=92),"3개월",
 AND(K2247&gt;=58,K2247&lt;=62),"2개월",
 AND(K2247&gt;=28,K2247&lt;=32),"1개월",
 AND(K2247=0),"당월",
 TRUE,"그외"
)</f>
        <v>1개월</v>
      </c>
    </row>
    <row r="2248" spans="1:12" x14ac:dyDescent="0.3">
      <c r="A2248" s="5">
        <v>46023</v>
      </c>
      <c r="B2248" s="6" t="s">
        <v>60</v>
      </c>
      <c r="C2248" s="6" t="s">
        <v>68</v>
      </c>
      <c r="D2248" s="5">
        <v>45992</v>
      </c>
      <c r="E2248" s="6" t="s">
        <v>15</v>
      </c>
      <c r="F2248" s="7">
        <v>1639</v>
      </c>
      <c r="G2248" s="7">
        <v>260675.50030506411</v>
      </c>
      <c r="H2248" s="7">
        <v>427247145</v>
      </c>
      <c r="I2248" s="7">
        <v>52100718</v>
      </c>
      <c r="J2248" s="7">
        <v>0</v>
      </c>
      <c r="K2248">
        <f t="shared" si="34"/>
        <v>31</v>
      </c>
      <c r="L2248" s="8" t="str" cm="1">
        <f t="array" ref="L2248">_xlfn.IFS(
 AND(K2248&gt;=89,K2248&lt;=92),"3개월",
 AND(K2248&gt;=58,K2248&lt;=62),"2개월",
 AND(K2248&gt;=28,K2248&lt;=32),"1개월",
 AND(K2248=0),"당월",
 TRUE,"그외"
)</f>
        <v>1개월</v>
      </c>
    </row>
    <row r="2249" spans="1:12" x14ac:dyDescent="0.3">
      <c r="A2249" s="5">
        <v>46023</v>
      </c>
      <c r="B2249" s="6" t="s">
        <v>60</v>
      </c>
      <c r="C2249" s="6" t="s">
        <v>68</v>
      </c>
      <c r="D2249" s="5">
        <v>46023</v>
      </c>
      <c r="E2249" s="6" t="s">
        <v>14</v>
      </c>
      <c r="F2249" s="7">
        <v>124</v>
      </c>
      <c r="G2249" s="7">
        <v>257594.3548387097</v>
      </c>
      <c r="H2249" s="7">
        <v>31941700</v>
      </c>
      <c r="I2249" s="7">
        <v>3982700</v>
      </c>
      <c r="J2249" s="7">
        <v>0</v>
      </c>
      <c r="K2249">
        <f t="shared" si="34"/>
        <v>0</v>
      </c>
      <c r="L2249" s="8" t="str" cm="1">
        <f t="array" ref="L2249">_xlfn.IFS(
 AND(K2249&gt;=89,K2249&lt;=92),"3개월",
 AND(K2249&gt;=58,K2249&lt;=62),"2개월",
 AND(K2249&gt;=28,K2249&lt;=32),"1개월",
 AND(K2249=0),"당월",
 TRUE,"그외"
)</f>
        <v>당월</v>
      </c>
    </row>
    <row r="2250" spans="1:12" x14ac:dyDescent="0.3">
      <c r="A2250" s="5">
        <v>46023</v>
      </c>
      <c r="B2250" s="6" t="s">
        <v>60</v>
      </c>
      <c r="C2250" s="6" t="s">
        <v>68</v>
      </c>
      <c r="D2250" s="5">
        <v>46023</v>
      </c>
      <c r="E2250" s="6" t="s">
        <v>15</v>
      </c>
      <c r="F2250" s="7">
        <v>509</v>
      </c>
      <c r="G2250" s="7">
        <v>280214.93516699411</v>
      </c>
      <c r="H2250" s="7">
        <v>142629402</v>
      </c>
      <c r="I2250" s="7">
        <v>16240414</v>
      </c>
      <c r="J2250" s="7">
        <v>0</v>
      </c>
      <c r="K2250">
        <f t="shared" ref="K2250:K2313" si="35">A2250-D2250</f>
        <v>0</v>
      </c>
      <c r="L2250" s="8" t="str" cm="1">
        <f t="array" ref="L2250">_xlfn.IFS(
 AND(K2250&gt;=89,K2250&lt;=92),"3개월",
 AND(K2250&gt;=58,K2250&lt;=62),"2개월",
 AND(K2250&gt;=28,K2250&lt;=32),"1개월",
 AND(K2250=0),"당월",
 TRUE,"그외"
)</f>
        <v>당월</v>
      </c>
    </row>
    <row r="2251" spans="1:12" x14ac:dyDescent="0.3">
      <c r="A2251" s="5">
        <v>46023</v>
      </c>
      <c r="B2251" s="6" t="s">
        <v>60</v>
      </c>
      <c r="C2251" s="6" t="s">
        <v>69</v>
      </c>
      <c r="D2251" s="5">
        <v>45839</v>
      </c>
      <c r="E2251" s="6" t="s">
        <v>15</v>
      </c>
      <c r="F2251" s="7">
        <v>67</v>
      </c>
      <c r="G2251" s="7">
        <v>299155.22388059698</v>
      </c>
      <c r="H2251" s="7">
        <v>20043400</v>
      </c>
      <c r="I2251" s="7">
        <v>1130757</v>
      </c>
      <c r="J2251" s="7">
        <v>0</v>
      </c>
      <c r="K2251">
        <f t="shared" si="35"/>
        <v>184</v>
      </c>
      <c r="L2251" s="8" t="str" cm="1">
        <f t="array" ref="L2251">_xlfn.IFS(
 AND(K2251&gt;=89,K2251&lt;=92),"3개월",
 AND(K2251&gt;=58,K2251&lt;=62),"2개월",
 AND(K2251&gt;=28,K2251&lt;=32),"1개월",
 AND(K2251=0),"당월",
 TRUE,"그외"
)</f>
        <v>그외</v>
      </c>
    </row>
    <row r="2252" spans="1:12" x14ac:dyDescent="0.3">
      <c r="A2252" s="5">
        <v>46023</v>
      </c>
      <c r="B2252" s="6" t="s">
        <v>60</v>
      </c>
      <c r="C2252" s="6" t="s">
        <v>69</v>
      </c>
      <c r="D2252" s="5">
        <v>45870</v>
      </c>
      <c r="E2252" s="6" t="s">
        <v>15</v>
      </c>
      <c r="F2252" s="7">
        <v>221</v>
      </c>
      <c r="G2252" s="7">
        <v>281728.18099547509</v>
      </c>
      <c r="H2252" s="7">
        <v>62261928</v>
      </c>
      <c r="I2252" s="7">
        <v>5889256</v>
      </c>
      <c r="J2252" s="7">
        <v>0</v>
      </c>
      <c r="K2252">
        <f t="shared" si="35"/>
        <v>153</v>
      </c>
      <c r="L2252" s="8" t="str" cm="1">
        <f t="array" ref="L2252">_xlfn.IFS(
 AND(K2252&gt;=89,K2252&lt;=92),"3개월",
 AND(K2252&gt;=58,K2252&lt;=62),"2개월",
 AND(K2252&gt;=28,K2252&lt;=32),"1개월",
 AND(K2252=0),"당월",
 TRUE,"그외"
)</f>
        <v>그외</v>
      </c>
    </row>
    <row r="2253" spans="1:12" x14ac:dyDescent="0.3">
      <c r="A2253" s="5">
        <v>46023</v>
      </c>
      <c r="B2253" s="6" t="s">
        <v>60</v>
      </c>
      <c r="C2253" s="6" t="s">
        <v>69</v>
      </c>
      <c r="D2253" s="5">
        <v>45901</v>
      </c>
      <c r="E2253" s="6" t="s">
        <v>15</v>
      </c>
      <c r="F2253" s="7">
        <v>565</v>
      </c>
      <c r="G2253" s="7">
        <v>269431.34336283192</v>
      </c>
      <c r="H2253" s="7">
        <v>152228709</v>
      </c>
      <c r="I2253" s="7">
        <v>14891596</v>
      </c>
      <c r="J2253" s="7">
        <v>0</v>
      </c>
      <c r="K2253">
        <f t="shared" si="35"/>
        <v>122</v>
      </c>
      <c r="L2253" s="8" t="str" cm="1">
        <f t="array" ref="L2253">_xlfn.IFS(
 AND(K2253&gt;=89,K2253&lt;=92),"3개월",
 AND(K2253&gt;=58,K2253&lt;=62),"2개월",
 AND(K2253&gt;=28,K2253&lt;=32),"1개월",
 AND(K2253=0),"당월",
 TRUE,"그외"
)</f>
        <v>그외</v>
      </c>
    </row>
    <row r="2254" spans="1:12" x14ac:dyDescent="0.3">
      <c r="A2254" s="5">
        <v>46023</v>
      </c>
      <c r="B2254" s="6" t="s">
        <v>60</v>
      </c>
      <c r="C2254" s="6" t="s">
        <v>69</v>
      </c>
      <c r="D2254" s="5">
        <v>45931</v>
      </c>
      <c r="E2254" s="6" t="s">
        <v>14</v>
      </c>
      <c r="F2254" s="7">
        <v>12</v>
      </c>
      <c r="G2254" s="7">
        <v>313066.66666666669</v>
      </c>
      <c r="H2254" s="7">
        <v>3756800</v>
      </c>
      <c r="I2254" s="7">
        <v>316800</v>
      </c>
      <c r="J2254" s="7">
        <v>0</v>
      </c>
      <c r="K2254">
        <f t="shared" si="35"/>
        <v>92</v>
      </c>
      <c r="L2254" s="8" t="str" cm="1">
        <f t="array" ref="L2254">_xlfn.IFS(
 AND(K2254&gt;=89,K2254&lt;=92),"3개월",
 AND(K2254&gt;=58,K2254&lt;=62),"2개월",
 AND(K2254&gt;=28,K2254&lt;=32),"1개월",
 AND(K2254=0),"당월",
 TRUE,"그외"
)</f>
        <v>3개월</v>
      </c>
    </row>
    <row r="2255" spans="1:12" x14ac:dyDescent="0.3">
      <c r="A2255" s="5">
        <v>46023</v>
      </c>
      <c r="B2255" s="6" t="s">
        <v>60</v>
      </c>
      <c r="C2255" s="6" t="s">
        <v>69</v>
      </c>
      <c r="D2255" s="5">
        <v>45931</v>
      </c>
      <c r="E2255" s="6" t="s">
        <v>15</v>
      </c>
      <c r="F2255" s="7">
        <v>775</v>
      </c>
      <c r="G2255" s="7">
        <v>267216.12903225812</v>
      </c>
      <c r="H2255" s="7">
        <v>207092500</v>
      </c>
      <c r="I2255" s="7">
        <v>20248800</v>
      </c>
      <c r="J2255" s="7">
        <v>0</v>
      </c>
      <c r="K2255">
        <f t="shared" si="35"/>
        <v>92</v>
      </c>
      <c r="L2255" s="8" t="str" cm="1">
        <f t="array" ref="L2255">_xlfn.IFS(
 AND(K2255&gt;=89,K2255&lt;=92),"3개월",
 AND(K2255&gt;=58,K2255&lt;=62),"2개월",
 AND(K2255&gt;=28,K2255&lt;=32),"1개월",
 AND(K2255=0),"당월",
 TRUE,"그외"
)</f>
        <v>3개월</v>
      </c>
    </row>
    <row r="2256" spans="1:12" x14ac:dyDescent="0.3">
      <c r="A2256" s="5">
        <v>46023</v>
      </c>
      <c r="B2256" s="6" t="s">
        <v>60</v>
      </c>
      <c r="C2256" s="6" t="s">
        <v>69</v>
      </c>
      <c r="D2256" s="5">
        <v>45962</v>
      </c>
      <c r="E2256" s="6" t="s">
        <v>14</v>
      </c>
      <c r="F2256" s="7">
        <v>799</v>
      </c>
      <c r="G2256" s="7">
        <v>262587.35919899878</v>
      </c>
      <c r="H2256" s="7">
        <v>209807300</v>
      </c>
      <c r="I2256" s="7">
        <v>21333300</v>
      </c>
      <c r="J2256" s="7">
        <v>0</v>
      </c>
      <c r="K2256">
        <f t="shared" si="35"/>
        <v>61</v>
      </c>
      <c r="L2256" s="8" t="str" cm="1">
        <f t="array" ref="L2256">_xlfn.IFS(
 AND(K2256&gt;=89,K2256&lt;=92),"3개월",
 AND(K2256&gt;=58,K2256&lt;=62),"2개월",
 AND(K2256&gt;=28,K2256&lt;=32),"1개월",
 AND(K2256=0),"당월",
 TRUE,"그외"
)</f>
        <v>2개월</v>
      </c>
    </row>
    <row r="2257" spans="1:12" x14ac:dyDescent="0.3">
      <c r="A2257" s="5">
        <v>46023</v>
      </c>
      <c r="B2257" s="6" t="s">
        <v>60</v>
      </c>
      <c r="C2257" s="6" t="s">
        <v>69</v>
      </c>
      <c r="D2257" s="5">
        <v>45962</v>
      </c>
      <c r="E2257" s="6" t="s">
        <v>15</v>
      </c>
      <c r="F2257" s="7">
        <v>1001</v>
      </c>
      <c r="G2257" s="7">
        <v>252803.97602397599</v>
      </c>
      <c r="H2257" s="7">
        <v>253056780</v>
      </c>
      <c r="I2257" s="7">
        <v>26889278</v>
      </c>
      <c r="J2257" s="7">
        <v>0</v>
      </c>
      <c r="K2257">
        <f t="shared" si="35"/>
        <v>61</v>
      </c>
      <c r="L2257" s="8" t="str" cm="1">
        <f t="array" ref="L2257">_xlfn.IFS(
 AND(K2257&gt;=89,K2257&lt;=92),"3개월",
 AND(K2257&gt;=58,K2257&lt;=62),"2개월",
 AND(K2257&gt;=28,K2257&lt;=32),"1개월",
 AND(K2257=0),"당월",
 TRUE,"그외"
)</f>
        <v>2개월</v>
      </c>
    </row>
    <row r="2258" spans="1:12" x14ac:dyDescent="0.3">
      <c r="A2258" s="5">
        <v>46023</v>
      </c>
      <c r="B2258" s="6" t="s">
        <v>60</v>
      </c>
      <c r="C2258" s="6" t="s">
        <v>69</v>
      </c>
      <c r="D2258" s="5">
        <v>45992</v>
      </c>
      <c r="E2258" s="6" t="s">
        <v>14</v>
      </c>
      <c r="F2258" s="7">
        <v>1589</v>
      </c>
      <c r="G2258" s="7">
        <v>239701.88797986161</v>
      </c>
      <c r="H2258" s="7">
        <v>380886300</v>
      </c>
      <c r="I2258" s="7">
        <v>50351300</v>
      </c>
      <c r="J2258" s="7">
        <v>0</v>
      </c>
      <c r="K2258">
        <f t="shared" si="35"/>
        <v>31</v>
      </c>
      <c r="L2258" s="8" t="str" cm="1">
        <f t="array" ref="L2258">_xlfn.IFS(
 AND(K2258&gt;=89,K2258&lt;=92),"3개월",
 AND(K2258&gt;=58,K2258&lt;=62),"2개월",
 AND(K2258&gt;=28,K2258&lt;=32),"1개월",
 AND(K2258=0),"당월",
 TRUE,"그외"
)</f>
        <v>1개월</v>
      </c>
    </row>
    <row r="2259" spans="1:12" x14ac:dyDescent="0.3">
      <c r="A2259" s="5">
        <v>46023</v>
      </c>
      <c r="B2259" s="6" t="s">
        <v>60</v>
      </c>
      <c r="C2259" s="6" t="s">
        <v>69</v>
      </c>
      <c r="D2259" s="5">
        <v>45992</v>
      </c>
      <c r="E2259" s="6" t="s">
        <v>15</v>
      </c>
      <c r="F2259" s="7">
        <v>2015</v>
      </c>
      <c r="G2259" s="7">
        <v>205949.3359801489</v>
      </c>
      <c r="H2259" s="7">
        <v>414987912</v>
      </c>
      <c r="I2259" s="7">
        <v>64463317</v>
      </c>
      <c r="J2259" s="7">
        <v>0</v>
      </c>
      <c r="K2259">
        <f t="shared" si="35"/>
        <v>31</v>
      </c>
      <c r="L2259" s="8" t="str" cm="1">
        <f t="array" ref="L2259">_xlfn.IFS(
 AND(K2259&gt;=89,K2259&lt;=92),"3개월",
 AND(K2259&gt;=58,K2259&lt;=62),"2개월",
 AND(K2259&gt;=28,K2259&lt;=32),"1개월",
 AND(K2259=0),"당월",
 TRUE,"그외"
)</f>
        <v>1개월</v>
      </c>
    </row>
    <row r="2260" spans="1:12" x14ac:dyDescent="0.3">
      <c r="A2260" s="5">
        <v>46023</v>
      </c>
      <c r="B2260" s="6" t="s">
        <v>60</v>
      </c>
      <c r="C2260" s="6" t="s">
        <v>69</v>
      </c>
      <c r="D2260" s="5">
        <v>46023</v>
      </c>
      <c r="E2260" s="6" t="s">
        <v>14</v>
      </c>
      <c r="F2260" s="7">
        <v>1632</v>
      </c>
      <c r="G2260" s="7">
        <v>213025.4901960784</v>
      </c>
      <c r="H2260" s="7">
        <v>347657600</v>
      </c>
      <c r="I2260" s="7">
        <v>52684600</v>
      </c>
      <c r="J2260" s="7">
        <v>0</v>
      </c>
      <c r="K2260">
        <f t="shared" si="35"/>
        <v>0</v>
      </c>
      <c r="L2260" s="8" t="str" cm="1">
        <f t="array" ref="L2260">_xlfn.IFS(
 AND(K2260&gt;=89,K2260&lt;=92),"3개월",
 AND(K2260&gt;=58,K2260&lt;=62),"2개월",
 AND(K2260&gt;=28,K2260&lt;=32),"1개월",
 AND(K2260=0),"당월",
 TRUE,"그외"
)</f>
        <v>당월</v>
      </c>
    </row>
    <row r="2261" spans="1:12" x14ac:dyDescent="0.3">
      <c r="A2261" s="5">
        <v>46023</v>
      </c>
      <c r="B2261" s="6" t="s">
        <v>60</v>
      </c>
      <c r="C2261" s="6" t="s">
        <v>69</v>
      </c>
      <c r="D2261" s="5">
        <v>46023</v>
      </c>
      <c r="E2261" s="6" t="s">
        <v>15</v>
      </c>
      <c r="F2261" s="7">
        <v>1292</v>
      </c>
      <c r="G2261" s="7">
        <v>191974.89783281731</v>
      </c>
      <c r="H2261" s="7">
        <v>248031568</v>
      </c>
      <c r="I2261" s="7">
        <v>42292197</v>
      </c>
      <c r="J2261" s="7">
        <v>0</v>
      </c>
      <c r="K2261">
        <f t="shared" si="35"/>
        <v>0</v>
      </c>
      <c r="L2261" s="8" t="str" cm="1">
        <f t="array" ref="L2261">_xlfn.IFS(
 AND(K2261&gt;=89,K2261&lt;=92),"3개월",
 AND(K2261&gt;=58,K2261&lt;=62),"2개월",
 AND(K2261&gt;=28,K2261&lt;=32),"1개월",
 AND(K2261=0),"당월",
 TRUE,"그외"
)</f>
        <v>당월</v>
      </c>
    </row>
    <row r="2262" spans="1:12" x14ac:dyDescent="0.3">
      <c r="A2262" s="5">
        <v>46023</v>
      </c>
      <c r="B2262" s="6" t="s">
        <v>60</v>
      </c>
      <c r="C2262" s="6" t="s">
        <v>70</v>
      </c>
      <c r="D2262" s="5">
        <v>45839</v>
      </c>
      <c r="E2262" s="6" t="s">
        <v>15</v>
      </c>
      <c r="F2262" s="7">
        <v>11</v>
      </c>
      <c r="G2262" s="7">
        <v>256500</v>
      </c>
      <c r="H2262" s="7">
        <v>2821500</v>
      </c>
      <c r="I2262" s="7">
        <v>181500</v>
      </c>
      <c r="J2262" s="7">
        <v>0</v>
      </c>
      <c r="K2262">
        <f t="shared" si="35"/>
        <v>184</v>
      </c>
      <c r="L2262" s="8" t="str" cm="1">
        <f t="array" ref="L2262">_xlfn.IFS(
 AND(K2262&gt;=89,K2262&lt;=92),"3개월",
 AND(K2262&gt;=58,K2262&lt;=62),"2개월",
 AND(K2262&gt;=28,K2262&lt;=32),"1개월",
 AND(K2262=0),"당월",
 TRUE,"그외"
)</f>
        <v>그외</v>
      </c>
    </row>
    <row r="2263" spans="1:12" x14ac:dyDescent="0.3">
      <c r="A2263" s="5">
        <v>46023</v>
      </c>
      <c r="B2263" s="6" t="s">
        <v>60</v>
      </c>
      <c r="C2263" s="6" t="s">
        <v>70</v>
      </c>
      <c r="D2263" s="5">
        <v>45870</v>
      </c>
      <c r="E2263" s="6" t="s">
        <v>15</v>
      </c>
      <c r="F2263" s="7">
        <v>245</v>
      </c>
      <c r="G2263" s="7">
        <v>220359.18367346941</v>
      </c>
      <c r="H2263" s="7">
        <v>53988000</v>
      </c>
      <c r="I2263" s="7">
        <v>6370000</v>
      </c>
      <c r="J2263" s="7">
        <v>0</v>
      </c>
      <c r="K2263">
        <f t="shared" si="35"/>
        <v>153</v>
      </c>
      <c r="L2263" s="8" t="str" cm="1">
        <f t="array" ref="L2263">_xlfn.IFS(
 AND(K2263&gt;=89,K2263&lt;=92),"3개월",
 AND(K2263&gt;=58,K2263&lt;=62),"2개월",
 AND(K2263&gt;=28,K2263&lt;=32),"1개월",
 AND(K2263=0),"당월",
 TRUE,"그외"
)</f>
        <v>그외</v>
      </c>
    </row>
    <row r="2264" spans="1:12" x14ac:dyDescent="0.3">
      <c r="A2264" s="5">
        <v>46023</v>
      </c>
      <c r="B2264" s="6" t="s">
        <v>60</v>
      </c>
      <c r="C2264" s="6" t="s">
        <v>70</v>
      </c>
      <c r="D2264" s="5">
        <v>45901</v>
      </c>
      <c r="E2264" s="6" t="s">
        <v>15</v>
      </c>
      <c r="F2264" s="7">
        <v>1144</v>
      </c>
      <c r="G2264" s="7">
        <v>224368.42482517479</v>
      </c>
      <c r="H2264" s="7">
        <v>256677478</v>
      </c>
      <c r="I2264" s="7">
        <v>30148644</v>
      </c>
      <c r="J2264" s="7">
        <v>0</v>
      </c>
      <c r="K2264">
        <f t="shared" si="35"/>
        <v>122</v>
      </c>
      <c r="L2264" s="8" t="str" cm="1">
        <f t="array" ref="L2264">_xlfn.IFS(
 AND(K2264&gt;=89,K2264&lt;=92),"3개월",
 AND(K2264&gt;=58,K2264&lt;=62),"2개월",
 AND(K2264&gt;=28,K2264&lt;=32),"1개월",
 AND(K2264=0),"당월",
 TRUE,"그외"
)</f>
        <v>그외</v>
      </c>
    </row>
    <row r="2265" spans="1:12" x14ac:dyDescent="0.3">
      <c r="A2265" s="5">
        <v>46023</v>
      </c>
      <c r="B2265" s="6" t="s">
        <v>60</v>
      </c>
      <c r="C2265" s="6" t="s">
        <v>70</v>
      </c>
      <c r="D2265" s="5">
        <v>45931</v>
      </c>
      <c r="E2265" s="6" t="s">
        <v>15</v>
      </c>
      <c r="F2265" s="7">
        <v>1028</v>
      </c>
      <c r="G2265" s="7">
        <v>246134.75680933849</v>
      </c>
      <c r="H2265" s="7">
        <v>253026530</v>
      </c>
      <c r="I2265" s="7">
        <v>27331668</v>
      </c>
      <c r="J2265" s="7">
        <v>0</v>
      </c>
      <c r="K2265">
        <f t="shared" si="35"/>
        <v>92</v>
      </c>
      <c r="L2265" s="8" t="str" cm="1">
        <f t="array" ref="L2265">_xlfn.IFS(
 AND(K2265&gt;=89,K2265&lt;=92),"3개월",
 AND(K2265&gt;=58,K2265&lt;=62),"2개월",
 AND(K2265&gt;=28,K2265&lt;=32),"1개월",
 AND(K2265=0),"당월",
 TRUE,"그외"
)</f>
        <v>3개월</v>
      </c>
    </row>
    <row r="2266" spans="1:12" x14ac:dyDescent="0.3">
      <c r="A2266" s="5">
        <v>46023</v>
      </c>
      <c r="B2266" s="6" t="s">
        <v>60</v>
      </c>
      <c r="C2266" s="6" t="s">
        <v>70</v>
      </c>
      <c r="D2266" s="5">
        <v>45962</v>
      </c>
      <c r="E2266" s="6" t="s">
        <v>14</v>
      </c>
      <c r="F2266" s="7">
        <v>527</v>
      </c>
      <c r="G2266" s="7">
        <v>229145.92030360529</v>
      </c>
      <c r="H2266" s="7">
        <v>120759900</v>
      </c>
      <c r="I2266" s="7">
        <v>14070900</v>
      </c>
      <c r="J2266" s="7">
        <v>0</v>
      </c>
      <c r="K2266">
        <f t="shared" si="35"/>
        <v>61</v>
      </c>
      <c r="L2266" s="8" t="str" cm="1">
        <f t="array" ref="L2266">_xlfn.IFS(
 AND(K2266&gt;=89,K2266&lt;=92),"3개월",
 AND(K2266&gt;=58,K2266&lt;=62),"2개월",
 AND(K2266&gt;=28,K2266&lt;=32),"1개월",
 AND(K2266=0),"당월",
 TRUE,"그외"
)</f>
        <v>2개월</v>
      </c>
    </row>
    <row r="2267" spans="1:12" x14ac:dyDescent="0.3">
      <c r="A2267" s="5">
        <v>46023</v>
      </c>
      <c r="B2267" s="6" t="s">
        <v>60</v>
      </c>
      <c r="C2267" s="6" t="s">
        <v>70</v>
      </c>
      <c r="D2267" s="5">
        <v>45962</v>
      </c>
      <c r="E2267" s="6" t="s">
        <v>15</v>
      </c>
      <c r="F2267" s="7">
        <v>1604</v>
      </c>
      <c r="G2267" s="7">
        <v>234016.24750623439</v>
      </c>
      <c r="H2267" s="7">
        <v>375362061</v>
      </c>
      <c r="I2267" s="7">
        <v>42947974</v>
      </c>
      <c r="J2267" s="7">
        <v>0</v>
      </c>
      <c r="K2267">
        <f t="shared" si="35"/>
        <v>61</v>
      </c>
      <c r="L2267" s="8" t="str" cm="1">
        <f t="array" ref="L2267">_xlfn.IFS(
 AND(K2267&gt;=89,K2267&lt;=92),"3개월",
 AND(K2267&gt;=58,K2267&lt;=62),"2개월",
 AND(K2267&gt;=28,K2267&lt;=32),"1개월",
 AND(K2267=0),"당월",
 TRUE,"그외"
)</f>
        <v>2개월</v>
      </c>
    </row>
    <row r="2268" spans="1:12" x14ac:dyDescent="0.3">
      <c r="A2268" s="5">
        <v>46023</v>
      </c>
      <c r="B2268" s="6" t="s">
        <v>60</v>
      </c>
      <c r="C2268" s="6" t="s">
        <v>70</v>
      </c>
      <c r="D2268" s="5">
        <v>45992</v>
      </c>
      <c r="E2268" s="6" t="s">
        <v>14</v>
      </c>
      <c r="F2268" s="7">
        <v>1108</v>
      </c>
      <c r="G2268" s="7">
        <v>219293.86281588449</v>
      </c>
      <c r="H2268" s="7">
        <v>242977600</v>
      </c>
      <c r="I2268" s="7">
        <v>35113600</v>
      </c>
      <c r="J2268" s="7">
        <v>0</v>
      </c>
      <c r="K2268">
        <f t="shared" si="35"/>
        <v>31</v>
      </c>
      <c r="L2268" s="8" t="str" cm="1">
        <f t="array" ref="L2268">_xlfn.IFS(
 AND(K2268&gt;=89,K2268&lt;=92),"3개월",
 AND(K2268&gt;=58,K2268&lt;=62),"2개월",
 AND(K2268&gt;=28,K2268&lt;=32),"1개월",
 AND(K2268=0),"당월",
 TRUE,"그외"
)</f>
        <v>1개월</v>
      </c>
    </row>
    <row r="2269" spans="1:12" x14ac:dyDescent="0.3">
      <c r="A2269" s="5">
        <v>46023</v>
      </c>
      <c r="B2269" s="6" t="s">
        <v>60</v>
      </c>
      <c r="C2269" s="6" t="s">
        <v>70</v>
      </c>
      <c r="D2269" s="5">
        <v>45992</v>
      </c>
      <c r="E2269" s="6" t="s">
        <v>15</v>
      </c>
      <c r="F2269" s="7">
        <v>1883</v>
      </c>
      <c r="G2269" s="7">
        <v>192671.32554434409</v>
      </c>
      <c r="H2269" s="7">
        <v>362800106</v>
      </c>
      <c r="I2269" s="7">
        <v>60750600</v>
      </c>
      <c r="J2269" s="7">
        <v>0</v>
      </c>
      <c r="K2269">
        <f t="shared" si="35"/>
        <v>31</v>
      </c>
      <c r="L2269" s="8" t="str" cm="1">
        <f t="array" ref="L2269">_xlfn.IFS(
 AND(K2269&gt;=89,K2269&lt;=92),"3개월",
 AND(K2269&gt;=58,K2269&lt;=62),"2개월",
 AND(K2269&gt;=28,K2269&lt;=32),"1개월",
 AND(K2269=0),"당월",
 TRUE,"그외"
)</f>
        <v>1개월</v>
      </c>
    </row>
    <row r="2270" spans="1:12" x14ac:dyDescent="0.3">
      <c r="A2270" s="5">
        <v>46023</v>
      </c>
      <c r="B2270" s="6" t="s">
        <v>60</v>
      </c>
      <c r="C2270" s="6" t="s">
        <v>70</v>
      </c>
      <c r="D2270" s="5">
        <v>46023</v>
      </c>
      <c r="E2270" s="6" t="s">
        <v>14</v>
      </c>
      <c r="F2270" s="7">
        <v>512</v>
      </c>
      <c r="G2270" s="7">
        <v>179820.3125</v>
      </c>
      <c r="H2270" s="7">
        <v>92068000</v>
      </c>
      <c r="I2270" s="7">
        <v>16514000</v>
      </c>
      <c r="J2270" s="7">
        <v>0</v>
      </c>
      <c r="K2270">
        <f t="shared" si="35"/>
        <v>0</v>
      </c>
      <c r="L2270" s="8" t="str" cm="1">
        <f t="array" ref="L2270">_xlfn.IFS(
 AND(K2270&gt;=89,K2270&lt;=92),"3개월",
 AND(K2270&gt;=58,K2270&lt;=62),"2개월",
 AND(K2270&gt;=28,K2270&lt;=32),"1개월",
 AND(K2270=0),"당월",
 TRUE,"그외"
)</f>
        <v>당월</v>
      </c>
    </row>
    <row r="2271" spans="1:12" x14ac:dyDescent="0.3">
      <c r="A2271" s="5">
        <v>46023</v>
      </c>
      <c r="B2271" s="6" t="s">
        <v>60</v>
      </c>
      <c r="C2271" s="6" t="s">
        <v>70</v>
      </c>
      <c r="D2271" s="5">
        <v>46023</v>
      </c>
      <c r="E2271" s="6" t="s">
        <v>15</v>
      </c>
      <c r="F2271" s="7">
        <v>1964</v>
      </c>
      <c r="G2271" s="7">
        <v>163185.2586558045</v>
      </c>
      <c r="H2271" s="7">
        <v>320495848</v>
      </c>
      <c r="I2271" s="7">
        <v>64199669</v>
      </c>
      <c r="J2271" s="7">
        <v>0</v>
      </c>
      <c r="K2271">
        <f t="shared" si="35"/>
        <v>0</v>
      </c>
      <c r="L2271" s="8" t="str" cm="1">
        <f t="array" ref="L2271">_xlfn.IFS(
 AND(K2271&gt;=89,K2271&lt;=92),"3개월",
 AND(K2271&gt;=58,K2271&lt;=62),"2개월",
 AND(K2271&gt;=28,K2271&lt;=32),"1개월",
 AND(K2271=0),"당월",
 TRUE,"그외"
)</f>
        <v>당월</v>
      </c>
    </row>
    <row r="2272" spans="1:12" x14ac:dyDescent="0.3">
      <c r="A2272" s="5">
        <v>46023</v>
      </c>
      <c r="B2272" s="6" t="s">
        <v>60</v>
      </c>
      <c r="C2272" s="6" t="s">
        <v>71</v>
      </c>
      <c r="D2272" s="5">
        <v>45931</v>
      </c>
      <c r="E2272" s="6" t="s">
        <v>14</v>
      </c>
      <c r="F2272" s="7">
        <v>24</v>
      </c>
      <c r="G2272" s="7">
        <v>297400</v>
      </c>
      <c r="H2272" s="7">
        <v>7137600</v>
      </c>
      <c r="I2272" s="7">
        <v>633600</v>
      </c>
      <c r="J2272" s="7">
        <v>0</v>
      </c>
      <c r="K2272">
        <f t="shared" si="35"/>
        <v>92</v>
      </c>
      <c r="L2272" s="8" t="str" cm="1">
        <f t="array" ref="L2272">_xlfn.IFS(
 AND(K2272&gt;=89,K2272&lt;=92),"3개월",
 AND(K2272&gt;=58,K2272&lt;=62),"2개월",
 AND(K2272&gt;=28,K2272&lt;=32),"1개월",
 AND(K2272=0),"당월",
 TRUE,"그외"
)</f>
        <v>3개월</v>
      </c>
    </row>
    <row r="2273" spans="1:12" x14ac:dyDescent="0.3">
      <c r="A2273" s="5">
        <v>46023</v>
      </c>
      <c r="B2273" s="6" t="s">
        <v>60</v>
      </c>
      <c r="C2273" s="6" t="s">
        <v>71</v>
      </c>
      <c r="D2273" s="5">
        <v>45931</v>
      </c>
      <c r="E2273" s="6" t="s">
        <v>15</v>
      </c>
      <c r="F2273" s="7">
        <v>43</v>
      </c>
      <c r="G2273" s="7">
        <v>348837.20930232562</v>
      </c>
      <c r="H2273" s="7">
        <v>15000000</v>
      </c>
      <c r="I2273" s="7">
        <v>1135200</v>
      </c>
      <c r="J2273" s="7">
        <v>0</v>
      </c>
      <c r="K2273">
        <f t="shared" si="35"/>
        <v>92</v>
      </c>
      <c r="L2273" s="8" t="str" cm="1">
        <f t="array" ref="L2273">_xlfn.IFS(
 AND(K2273&gt;=89,K2273&lt;=92),"3개월",
 AND(K2273&gt;=58,K2273&lt;=62),"2개월",
 AND(K2273&gt;=28,K2273&lt;=32),"1개월",
 AND(K2273=0),"당월",
 TRUE,"그외"
)</f>
        <v>3개월</v>
      </c>
    </row>
    <row r="2274" spans="1:12" x14ac:dyDescent="0.3">
      <c r="A2274" s="5">
        <v>46023</v>
      </c>
      <c r="B2274" s="6" t="s">
        <v>60</v>
      </c>
      <c r="C2274" s="6" t="s">
        <v>71</v>
      </c>
      <c r="D2274" s="5">
        <v>45962</v>
      </c>
      <c r="E2274" s="6" t="s">
        <v>14</v>
      </c>
      <c r="F2274" s="7">
        <v>561</v>
      </c>
      <c r="G2274" s="7">
        <v>163958.46702317291</v>
      </c>
      <c r="H2274" s="7">
        <v>91980700</v>
      </c>
      <c r="I2274" s="7">
        <v>14978700</v>
      </c>
      <c r="J2274" s="7">
        <v>0</v>
      </c>
      <c r="K2274">
        <f t="shared" si="35"/>
        <v>61</v>
      </c>
      <c r="L2274" s="8" t="str" cm="1">
        <f t="array" ref="L2274">_xlfn.IFS(
 AND(K2274&gt;=89,K2274&lt;=92),"3개월",
 AND(K2274&gt;=58,K2274&lt;=62),"2개월",
 AND(K2274&gt;=28,K2274&lt;=32),"1개월",
 AND(K2274=0),"당월",
 TRUE,"그외"
)</f>
        <v>2개월</v>
      </c>
    </row>
    <row r="2275" spans="1:12" x14ac:dyDescent="0.3">
      <c r="A2275" s="5">
        <v>46023</v>
      </c>
      <c r="B2275" s="6" t="s">
        <v>60</v>
      </c>
      <c r="C2275" s="6" t="s">
        <v>71</v>
      </c>
      <c r="D2275" s="5">
        <v>45962</v>
      </c>
      <c r="E2275" s="6" t="s">
        <v>15</v>
      </c>
      <c r="F2275" s="7">
        <v>1120</v>
      </c>
      <c r="G2275" s="7">
        <v>311307.41160714283</v>
      </c>
      <c r="H2275" s="7">
        <v>348664301</v>
      </c>
      <c r="I2275" s="7">
        <v>30897078</v>
      </c>
      <c r="J2275" s="7">
        <v>0</v>
      </c>
      <c r="K2275">
        <f t="shared" si="35"/>
        <v>61</v>
      </c>
      <c r="L2275" s="8" t="str" cm="1">
        <f t="array" ref="L2275">_xlfn.IFS(
 AND(K2275&gt;=89,K2275&lt;=92),"3개월",
 AND(K2275&gt;=58,K2275&lt;=62),"2개월",
 AND(K2275&gt;=28,K2275&lt;=32),"1개월",
 AND(K2275=0),"당월",
 TRUE,"그외"
)</f>
        <v>2개월</v>
      </c>
    </row>
    <row r="2276" spans="1:12" x14ac:dyDescent="0.3">
      <c r="A2276" s="5">
        <v>46023</v>
      </c>
      <c r="B2276" s="6" t="s">
        <v>60</v>
      </c>
      <c r="C2276" s="6" t="s">
        <v>71</v>
      </c>
      <c r="D2276" s="5">
        <v>45992</v>
      </c>
      <c r="E2276" s="6" t="s">
        <v>14</v>
      </c>
      <c r="F2276" s="7">
        <v>1409</v>
      </c>
      <c r="G2276" s="7">
        <v>713779.84386089421</v>
      </c>
      <c r="H2276" s="7">
        <v>1005715800</v>
      </c>
      <c r="I2276" s="7">
        <v>37215800</v>
      </c>
      <c r="J2276" s="7">
        <v>0</v>
      </c>
      <c r="K2276">
        <f t="shared" si="35"/>
        <v>31</v>
      </c>
      <c r="L2276" s="8" t="str" cm="1">
        <f t="array" ref="L2276">_xlfn.IFS(
 AND(K2276&gt;=89,K2276&lt;=92),"3개월",
 AND(K2276&gt;=58,K2276&lt;=62),"2개월",
 AND(K2276&gt;=28,K2276&lt;=32),"1개월",
 AND(K2276=0),"당월",
 TRUE,"그외"
)</f>
        <v>1개월</v>
      </c>
    </row>
    <row r="2277" spans="1:12" x14ac:dyDescent="0.3">
      <c r="A2277" s="5">
        <v>46023</v>
      </c>
      <c r="B2277" s="6" t="s">
        <v>60</v>
      </c>
      <c r="C2277" s="6" t="s">
        <v>71</v>
      </c>
      <c r="D2277" s="5">
        <v>45992</v>
      </c>
      <c r="E2277" s="6" t="s">
        <v>15</v>
      </c>
      <c r="F2277" s="7">
        <v>1184</v>
      </c>
      <c r="G2277" s="7">
        <v>302468.91807432432</v>
      </c>
      <c r="H2277" s="7">
        <v>358123199</v>
      </c>
      <c r="I2277" s="7">
        <v>38455557</v>
      </c>
      <c r="J2277" s="7">
        <v>0</v>
      </c>
      <c r="K2277">
        <f t="shared" si="35"/>
        <v>31</v>
      </c>
      <c r="L2277" s="8" t="str" cm="1">
        <f t="array" ref="L2277">_xlfn.IFS(
 AND(K2277&gt;=89,K2277&lt;=92),"3개월",
 AND(K2277&gt;=58,K2277&lt;=62),"2개월",
 AND(K2277&gt;=28,K2277&lt;=32),"1개월",
 AND(K2277=0),"당월",
 TRUE,"그외"
)</f>
        <v>1개월</v>
      </c>
    </row>
    <row r="2278" spans="1:12" x14ac:dyDescent="0.3">
      <c r="A2278" s="5">
        <v>46023</v>
      </c>
      <c r="B2278" s="6" t="s">
        <v>60</v>
      </c>
      <c r="C2278" s="6" t="s">
        <v>71</v>
      </c>
      <c r="D2278" s="5">
        <v>46023</v>
      </c>
      <c r="E2278" s="6" t="s">
        <v>14</v>
      </c>
      <c r="F2278" s="7">
        <v>2862</v>
      </c>
      <c r="G2278" s="7">
        <v>65986.86233403215</v>
      </c>
      <c r="H2278" s="7">
        <v>188854400</v>
      </c>
      <c r="I2278" s="7">
        <v>92362400</v>
      </c>
      <c r="J2278" s="7">
        <v>0</v>
      </c>
      <c r="K2278">
        <f t="shared" si="35"/>
        <v>0</v>
      </c>
      <c r="L2278" s="8" t="str" cm="1">
        <f t="array" ref="L2278">_xlfn.IFS(
 AND(K2278&gt;=89,K2278&lt;=92),"3개월",
 AND(K2278&gt;=58,K2278&lt;=62),"2개월",
 AND(K2278&gt;=28,K2278&lt;=32),"1개월",
 AND(K2278=0),"당월",
 TRUE,"그외"
)</f>
        <v>당월</v>
      </c>
    </row>
    <row r="2279" spans="1:12" x14ac:dyDescent="0.3">
      <c r="A2279" s="5">
        <v>46023</v>
      </c>
      <c r="B2279" s="6" t="s">
        <v>60</v>
      </c>
      <c r="C2279" s="6" t="s">
        <v>71</v>
      </c>
      <c r="D2279" s="5">
        <v>46023</v>
      </c>
      <c r="E2279" s="6" t="s">
        <v>15</v>
      </c>
      <c r="F2279" s="7">
        <v>180</v>
      </c>
      <c r="G2279" s="7">
        <v>255041.1166666667</v>
      </c>
      <c r="H2279" s="7">
        <v>45907401</v>
      </c>
      <c r="I2279" s="7">
        <v>5299415</v>
      </c>
      <c r="J2279" s="7">
        <v>0</v>
      </c>
      <c r="K2279">
        <f t="shared" si="35"/>
        <v>0</v>
      </c>
      <c r="L2279" s="8" t="str" cm="1">
        <f t="array" ref="L2279">_xlfn.IFS(
 AND(K2279&gt;=89,K2279&lt;=92),"3개월",
 AND(K2279&gt;=58,K2279&lt;=62),"2개월",
 AND(K2279&gt;=28,K2279&lt;=32),"1개월",
 AND(K2279=0),"당월",
 TRUE,"그외"
)</f>
        <v>당월</v>
      </c>
    </row>
    <row r="2280" spans="1:12" x14ac:dyDescent="0.3">
      <c r="A2280" s="5">
        <v>46023</v>
      </c>
      <c r="B2280" s="6" t="s">
        <v>60</v>
      </c>
      <c r="C2280" s="6" t="s">
        <v>112</v>
      </c>
      <c r="D2280" s="5">
        <v>45839</v>
      </c>
      <c r="E2280" s="6" t="s">
        <v>15</v>
      </c>
      <c r="F2280" s="7">
        <v>21</v>
      </c>
      <c r="G2280" s="7">
        <v>224495.23809523811</v>
      </c>
      <c r="H2280" s="7">
        <v>4714400</v>
      </c>
      <c r="I2280" s="7">
        <v>346500</v>
      </c>
      <c r="J2280" s="7">
        <v>0</v>
      </c>
      <c r="K2280">
        <f t="shared" si="35"/>
        <v>184</v>
      </c>
      <c r="L2280" s="8" t="str" cm="1">
        <f t="array" ref="L2280">_xlfn.IFS(
 AND(K2280&gt;=89,K2280&lt;=92),"3개월",
 AND(K2280&gt;=58,K2280&lt;=62),"2개월",
 AND(K2280&gt;=28,K2280&lt;=32),"1개월",
 AND(K2280=0),"당월",
 TRUE,"그외"
)</f>
        <v>그외</v>
      </c>
    </row>
    <row r="2281" spans="1:12" x14ac:dyDescent="0.3">
      <c r="A2281" s="5">
        <v>46023</v>
      </c>
      <c r="B2281" s="6" t="s">
        <v>60</v>
      </c>
      <c r="C2281" s="6" t="s">
        <v>112</v>
      </c>
      <c r="D2281" s="5">
        <v>45870</v>
      </c>
      <c r="E2281" s="6" t="s">
        <v>15</v>
      </c>
      <c r="F2281" s="7">
        <v>38</v>
      </c>
      <c r="G2281" s="7">
        <v>253209.68421052629</v>
      </c>
      <c r="H2281" s="7">
        <v>9621968</v>
      </c>
      <c r="I2281" s="7">
        <v>1125736</v>
      </c>
      <c r="J2281" s="7">
        <v>0</v>
      </c>
      <c r="K2281">
        <f t="shared" si="35"/>
        <v>153</v>
      </c>
      <c r="L2281" s="8" t="str" cm="1">
        <f t="array" ref="L2281">_xlfn.IFS(
 AND(K2281&gt;=89,K2281&lt;=92),"3개월",
 AND(K2281&gt;=58,K2281&lt;=62),"2개월",
 AND(K2281&gt;=28,K2281&lt;=32),"1개월",
 AND(K2281=0),"당월",
 TRUE,"그외"
)</f>
        <v>그외</v>
      </c>
    </row>
    <row r="2282" spans="1:12" x14ac:dyDescent="0.3">
      <c r="A2282" s="5">
        <v>46023</v>
      </c>
      <c r="B2282" s="6" t="s">
        <v>60</v>
      </c>
      <c r="C2282" s="6" t="s">
        <v>112</v>
      </c>
      <c r="D2282" s="5">
        <v>45901</v>
      </c>
      <c r="E2282" s="6" t="s">
        <v>15</v>
      </c>
      <c r="F2282" s="7">
        <v>84</v>
      </c>
      <c r="G2282" s="7">
        <v>268224.64285714278</v>
      </c>
      <c r="H2282" s="7">
        <v>22530870</v>
      </c>
      <c r="I2282" s="7">
        <v>2417962</v>
      </c>
      <c r="J2282" s="7">
        <v>0</v>
      </c>
      <c r="K2282">
        <f t="shared" si="35"/>
        <v>122</v>
      </c>
      <c r="L2282" s="8" t="str" cm="1">
        <f t="array" ref="L2282">_xlfn.IFS(
 AND(K2282&gt;=89,K2282&lt;=92),"3개월",
 AND(K2282&gt;=58,K2282&lt;=62),"2개월",
 AND(K2282&gt;=28,K2282&lt;=32),"1개월",
 AND(K2282=0),"당월",
 TRUE,"그외"
)</f>
        <v>그외</v>
      </c>
    </row>
    <row r="2283" spans="1:12" x14ac:dyDescent="0.3">
      <c r="A2283" s="5">
        <v>46023</v>
      </c>
      <c r="B2283" s="6" t="s">
        <v>60</v>
      </c>
      <c r="C2283" s="6" t="s">
        <v>112</v>
      </c>
      <c r="D2283" s="5">
        <v>45931</v>
      </c>
      <c r="E2283" s="6" t="s">
        <v>14</v>
      </c>
      <c r="F2283" s="7">
        <v>84</v>
      </c>
      <c r="G2283" s="7">
        <v>210828.57142857139</v>
      </c>
      <c r="H2283" s="7">
        <v>17709600</v>
      </c>
      <c r="I2283" s="7">
        <v>2245600</v>
      </c>
      <c r="J2283" s="7">
        <v>0</v>
      </c>
      <c r="K2283">
        <f t="shared" si="35"/>
        <v>92</v>
      </c>
      <c r="L2283" s="8" t="str" cm="1">
        <f t="array" ref="L2283">_xlfn.IFS(
 AND(K2283&gt;=89,K2283&lt;=92),"3개월",
 AND(K2283&gt;=58,K2283&lt;=62),"2개월",
 AND(K2283&gt;=28,K2283&lt;=32),"1개월",
 AND(K2283=0),"당월",
 TRUE,"그외"
)</f>
        <v>3개월</v>
      </c>
    </row>
    <row r="2284" spans="1:12" x14ac:dyDescent="0.3">
      <c r="A2284" s="5">
        <v>46023</v>
      </c>
      <c r="B2284" s="6" t="s">
        <v>60</v>
      </c>
      <c r="C2284" s="6" t="s">
        <v>112</v>
      </c>
      <c r="D2284" s="5">
        <v>45931</v>
      </c>
      <c r="E2284" s="6" t="s">
        <v>15</v>
      </c>
      <c r="F2284" s="7">
        <v>1130</v>
      </c>
      <c r="G2284" s="7">
        <v>247297.98938053101</v>
      </c>
      <c r="H2284" s="7">
        <v>279446728</v>
      </c>
      <c r="I2284" s="7">
        <v>29809929</v>
      </c>
      <c r="J2284" s="7">
        <v>0</v>
      </c>
      <c r="K2284">
        <f t="shared" si="35"/>
        <v>92</v>
      </c>
      <c r="L2284" s="8" t="str" cm="1">
        <f t="array" ref="L2284">_xlfn.IFS(
 AND(K2284&gt;=89,K2284&lt;=92),"3개월",
 AND(K2284&gt;=58,K2284&lt;=62),"2개월",
 AND(K2284&gt;=28,K2284&lt;=32),"1개월",
 AND(K2284=0),"당월",
 TRUE,"그외"
)</f>
        <v>3개월</v>
      </c>
    </row>
    <row r="2285" spans="1:12" x14ac:dyDescent="0.3">
      <c r="A2285" s="5">
        <v>46023</v>
      </c>
      <c r="B2285" s="6" t="s">
        <v>60</v>
      </c>
      <c r="C2285" s="6" t="s">
        <v>112</v>
      </c>
      <c r="D2285" s="5">
        <v>45962</v>
      </c>
      <c r="E2285" s="6" t="s">
        <v>14</v>
      </c>
      <c r="F2285" s="7">
        <v>731</v>
      </c>
      <c r="G2285" s="7">
        <v>293006.97674418607</v>
      </c>
      <c r="H2285" s="7">
        <v>214188100</v>
      </c>
      <c r="I2285" s="7">
        <v>19304100</v>
      </c>
      <c r="J2285" s="7">
        <v>0</v>
      </c>
      <c r="K2285">
        <f t="shared" si="35"/>
        <v>61</v>
      </c>
      <c r="L2285" s="8" t="str" cm="1">
        <f t="array" ref="L2285">_xlfn.IFS(
 AND(K2285&gt;=89,K2285&lt;=92),"3개월",
 AND(K2285&gt;=58,K2285&lt;=62),"2개월",
 AND(K2285&gt;=28,K2285&lt;=32),"1개월",
 AND(K2285=0),"당월",
 TRUE,"그외"
)</f>
        <v>2개월</v>
      </c>
    </row>
    <row r="2286" spans="1:12" x14ac:dyDescent="0.3">
      <c r="A2286" s="5">
        <v>46023</v>
      </c>
      <c r="B2286" s="6" t="s">
        <v>60</v>
      </c>
      <c r="C2286" s="6" t="s">
        <v>112</v>
      </c>
      <c r="D2286" s="5">
        <v>45962</v>
      </c>
      <c r="E2286" s="6" t="s">
        <v>15</v>
      </c>
      <c r="F2286" s="7">
        <v>1791</v>
      </c>
      <c r="G2286" s="7">
        <v>272430.2942490229</v>
      </c>
      <c r="H2286" s="7">
        <v>487922657</v>
      </c>
      <c r="I2286" s="7">
        <v>55188907</v>
      </c>
      <c r="J2286" s="7">
        <v>0</v>
      </c>
      <c r="K2286">
        <f t="shared" si="35"/>
        <v>61</v>
      </c>
      <c r="L2286" s="8" t="str" cm="1">
        <f t="array" ref="L2286">_xlfn.IFS(
 AND(K2286&gt;=89,K2286&lt;=92),"3개월",
 AND(K2286&gt;=58,K2286&lt;=62),"2개월",
 AND(K2286&gt;=28,K2286&lt;=32),"1개월",
 AND(K2286=0),"당월",
 TRUE,"그외"
)</f>
        <v>2개월</v>
      </c>
    </row>
    <row r="2287" spans="1:12" x14ac:dyDescent="0.3">
      <c r="A2287" s="5">
        <v>46023</v>
      </c>
      <c r="B2287" s="6" t="s">
        <v>60</v>
      </c>
      <c r="C2287" s="6" t="s">
        <v>112</v>
      </c>
      <c r="D2287" s="5">
        <v>45992</v>
      </c>
      <c r="E2287" s="6" t="s">
        <v>14</v>
      </c>
      <c r="F2287" s="7">
        <v>1904</v>
      </c>
      <c r="G2287" s="7">
        <v>483370.06302521011</v>
      </c>
      <c r="H2287" s="7">
        <v>920336600</v>
      </c>
      <c r="I2287" s="7">
        <v>56679600</v>
      </c>
      <c r="J2287" s="7">
        <v>0</v>
      </c>
      <c r="K2287">
        <f t="shared" si="35"/>
        <v>31</v>
      </c>
      <c r="L2287" s="8" t="str" cm="1">
        <f t="array" ref="L2287">_xlfn.IFS(
 AND(K2287&gt;=89,K2287&lt;=92),"3개월",
 AND(K2287&gt;=58,K2287&lt;=62),"2개월",
 AND(K2287&gt;=28,K2287&lt;=32),"1개월",
 AND(K2287=0),"당월",
 TRUE,"그외"
)</f>
        <v>1개월</v>
      </c>
    </row>
    <row r="2288" spans="1:12" x14ac:dyDescent="0.3">
      <c r="A2288" s="5">
        <v>46023</v>
      </c>
      <c r="B2288" s="6" t="s">
        <v>60</v>
      </c>
      <c r="C2288" s="6" t="s">
        <v>112</v>
      </c>
      <c r="D2288" s="5">
        <v>45992</v>
      </c>
      <c r="E2288" s="6" t="s">
        <v>15</v>
      </c>
      <c r="F2288" s="7">
        <v>1620</v>
      </c>
      <c r="G2288" s="7">
        <v>272365.47160493833</v>
      </c>
      <c r="H2288" s="7">
        <v>441232064</v>
      </c>
      <c r="I2288" s="7">
        <v>64167684</v>
      </c>
      <c r="J2288" s="7">
        <v>0</v>
      </c>
      <c r="K2288">
        <f t="shared" si="35"/>
        <v>31</v>
      </c>
      <c r="L2288" s="8" t="str" cm="1">
        <f t="array" ref="L2288">_xlfn.IFS(
 AND(K2288&gt;=89,K2288&lt;=92),"3개월",
 AND(K2288&gt;=58,K2288&lt;=62),"2개월",
 AND(K2288&gt;=28,K2288&lt;=32),"1개월",
 AND(K2288=0),"당월",
 TRUE,"그외"
)</f>
        <v>1개월</v>
      </c>
    </row>
    <row r="2289" spans="1:12" x14ac:dyDescent="0.3">
      <c r="A2289" s="5">
        <v>46023</v>
      </c>
      <c r="B2289" s="6" t="s">
        <v>60</v>
      </c>
      <c r="C2289" s="6" t="s">
        <v>112</v>
      </c>
      <c r="D2289" s="5">
        <v>46023</v>
      </c>
      <c r="E2289" s="6" t="s">
        <v>14</v>
      </c>
      <c r="F2289" s="7">
        <v>2631</v>
      </c>
      <c r="G2289" s="7">
        <v>34432.041049030777</v>
      </c>
      <c r="H2289" s="7">
        <v>90590700</v>
      </c>
      <c r="I2289" s="7">
        <v>84961700</v>
      </c>
      <c r="J2289" s="7">
        <v>0</v>
      </c>
      <c r="K2289">
        <f t="shared" si="35"/>
        <v>0</v>
      </c>
      <c r="L2289" s="8" t="str" cm="1">
        <f t="array" ref="L2289">_xlfn.IFS(
 AND(K2289&gt;=89,K2289&lt;=92),"3개월",
 AND(K2289&gt;=58,K2289&lt;=62),"2개월",
 AND(K2289&gt;=28,K2289&lt;=32),"1개월",
 AND(K2289=0),"당월",
 TRUE,"그외"
)</f>
        <v>당월</v>
      </c>
    </row>
    <row r="2290" spans="1:12" x14ac:dyDescent="0.3">
      <c r="A2290" s="5">
        <v>46023</v>
      </c>
      <c r="B2290" s="6" t="s">
        <v>60</v>
      </c>
      <c r="C2290" s="6" t="s">
        <v>112</v>
      </c>
      <c r="D2290" s="5">
        <v>46023</v>
      </c>
      <c r="E2290" s="6" t="s">
        <v>15</v>
      </c>
      <c r="F2290" s="7">
        <v>424</v>
      </c>
      <c r="G2290" s="7">
        <v>267789.85849056602</v>
      </c>
      <c r="H2290" s="7">
        <v>113542900</v>
      </c>
      <c r="I2290" s="7">
        <v>15028623</v>
      </c>
      <c r="J2290" s="7">
        <v>0</v>
      </c>
      <c r="K2290">
        <f t="shared" si="35"/>
        <v>0</v>
      </c>
      <c r="L2290" s="8" t="str" cm="1">
        <f t="array" ref="L2290">_xlfn.IFS(
 AND(K2290&gt;=89,K2290&lt;=92),"3개월",
 AND(K2290&gt;=58,K2290&lt;=62),"2개월",
 AND(K2290&gt;=28,K2290&lt;=32),"1개월",
 AND(K2290=0),"당월",
 TRUE,"그외"
)</f>
        <v>당월</v>
      </c>
    </row>
    <row r="2291" spans="1:12" x14ac:dyDescent="0.3">
      <c r="A2291" s="5">
        <v>46023</v>
      </c>
      <c r="B2291" s="6" t="s">
        <v>60</v>
      </c>
      <c r="C2291" s="6" t="s">
        <v>113</v>
      </c>
      <c r="D2291" s="5">
        <v>45992</v>
      </c>
      <c r="E2291" s="6" t="s">
        <v>14</v>
      </c>
      <c r="F2291" s="7">
        <v>101</v>
      </c>
      <c r="G2291" s="7">
        <v>6540952.4752475247</v>
      </c>
      <c r="H2291" s="7">
        <v>660636200</v>
      </c>
      <c r="I2291" s="7">
        <v>190200</v>
      </c>
      <c r="J2291" s="7">
        <v>0</v>
      </c>
      <c r="K2291">
        <f t="shared" si="35"/>
        <v>31</v>
      </c>
      <c r="L2291" s="8" t="str" cm="1">
        <f t="array" ref="L2291">_xlfn.IFS(
 AND(K2291&gt;=89,K2291&lt;=92),"3개월",
 AND(K2291&gt;=58,K2291&lt;=62),"2개월",
 AND(K2291&gt;=28,K2291&lt;=32),"1개월",
 AND(K2291=0),"당월",
 TRUE,"그외"
)</f>
        <v>1개월</v>
      </c>
    </row>
    <row r="2292" spans="1:12" x14ac:dyDescent="0.3">
      <c r="A2292" s="5">
        <v>46023</v>
      </c>
      <c r="B2292" s="6" t="s">
        <v>60</v>
      </c>
      <c r="C2292" s="6" t="s">
        <v>113</v>
      </c>
      <c r="D2292" s="5">
        <v>45992</v>
      </c>
      <c r="E2292" s="6" t="s">
        <v>15</v>
      </c>
      <c r="F2292" s="7">
        <v>104</v>
      </c>
      <c r="G2292" s="7">
        <v>287216.71153846162</v>
      </c>
      <c r="H2292" s="7">
        <v>29870538</v>
      </c>
      <c r="I2292" s="7">
        <v>3730848</v>
      </c>
      <c r="J2292" s="7">
        <v>0</v>
      </c>
      <c r="K2292">
        <f t="shared" si="35"/>
        <v>31</v>
      </c>
      <c r="L2292" s="8" t="str" cm="1">
        <f t="array" ref="L2292">_xlfn.IFS(
 AND(K2292&gt;=89,K2292&lt;=92),"3개월",
 AND(K2292&gt;=58,K2292&lt;=62),"2개월",
 AND(K2292&gt;=28,K2292&lt;=32),"1개월",
 AND(K2292=0),"당월",
 TRUE,"그외"
)</f>
        <v>1개월</v>
      </c>
    </row>
    <row r="2293" spans="1:12" x14ac:dyDescent="0.3">
      <c r="A2293" s="5">
        <v>46023</v>
      </c>
      <c r="B2293" s="6" t="s">
        <v>60</v>
      </c>
      <c r="C2293" s="6" t="s">
        <v>113</v>
      </c>
      <c r="D2293" s="5">
        <v>46023</v>
      </c>
      <c r="E2293" s="6" t="s">
        <v>14</v>
      </c>
      <c r="F2293" s="7">
        <v>1532</v>
      </c>
      <c r="G2293" s="7">
        <v>22804.046997389029</v>
      </c>
      <c r="H2293" s="7">
        <v>34935800</v>
      </c>
      <c r="I2293" s="7">
        <v>5361800</v>
      </c>
      <c r="J2293" s="7">
        <v>0</v>
      </c>
      <c r="K2293">
        <f t="shared" si="35"/>
        <v>0</v>
      </c>
      <c r="L2293" s="8" t="str" cm="1">
        <f t="array" ref="L2293">_xlfn.IFS(
 AND(K2293&gt;=89,K2293&lt;=92),"3개월",
 AND(K2293&gt;=58,K2293&lt;=62),"2개월",
 AND(K2293&gt;=28,K2293&lt;=32),"1개월",
 AND(K2293=0),"당월",
 TRUE,"그외"
)</f>
        <v>당월</v>
      </c>
    </row>
    <row r="2294" spans="1:12" x14ac:dyDescent="0.3">
      <c r="A2294" s="5">
        <v>46023</v>
      </c>
      <c r="B2294" s="6" t="s">
        <v>60</v>
      </c>
      <c r="C2294" s="6" t="s">
        <v>113</v>
      </c>
      <c r="D2294" s="5">
        <v>46023</v>
      </c>
      <c r="E2294" s="6" t="s">
        <v>15</v>
      </c>
      <c r="F2294" s="7">
        <v>192</v>
      </c>
      <c r="G2294" s="7">
        <v>203989.20833333331</v>
      </c>
      <c r="H2294" s="7">
        <v>39165928</v>
      </c>
      <c r="I2294" s="7">
        <v>7920553</v>
      </c>
      <c r="J2294" s="7">
        <v>0</v>
      </c>
      <c r="K2294">
        <f t="shared" si="35"/>
        <v>0</v>
      </c>
      <c r="L2294" s="8" t="str" cm="1">
        <f t="array" ref="L2294">_xlfn.IFS(
 AND(K2294&gt;=89,K2294&lt;=92),"3개월",
 AND(K2294&gt;=58,K2294&lt;=62),"2개월",
 AND(K2294&gt;=28,K2294&lt;=32),"1개월",
 AND(K2294=0),"당월",
 TRUE,"그외"
)</f>
        <v>당월</v>
      </c>
    </row>
    <row r="2295" spans="1:12" x14ac:dyDescent="0.3">
      <c r="A2295" s="5">
        <v>46023</v>
      </c>
      <c r="B2295" s="6" t="s">
        <v>60</v>
      </c>
      <c r="C2295" s="6" t="s">
        <v>114</v>
      </c>
      <c r="D2295" s="5">
        <v>45839</v>
      </c>
      <c r="E2295" s="6" t="s">
        <v>15</v>
      </c>
      <c r="F2295" s="7">
        <v>231</v>
      </c>
      <c r="G2295" s="7">
        <v>239916.68831168831</v>
      </c>
      <c r="H2295" s="7">
        <v>55420755</v>
      </c>
      <c r="I2295" s="7">
        <v>3791175</v>
      </c>
      <c r="J2295" s="7">
        <v>0</v>
      </c>
      <c r="K2295">
        <f t="shared" si="35"/>
        <v>184</v>
      </c>
      <c r="L2295" s="8" t="str" cm="1">
        <f t="array" ref="L2295">_xlfn.IFS(
 AND(K2295&gt;=89,K2295&lt;=92),"3개월",
 AND(K2295&gt;=58,K2295&lt;=62),"2개월",
 AND(K2295&gt;=28,K2295&lt;=32),"1개월",
 AND(K2295=0),"당월",
 TRUE,"그외"
)</f>
        <v>그외</v>
      </c>
    </row>
    <row r="2296" spans="1:12" x14ac:dyDescent="0.3">
      <c r="A2296" s="5">
        <v>46023</v>
      </c>
      <c r="B2296" s="6" t="s">
        <v>60</v>
      </c>
      <c r="C2296" s="6" t="s">
        <v>114</v>
      </c>
      <c r="D2296" s="5">
        <v>45870</v>
      </c>
      <c r="E2296" s="6" t="s">
        <v>15</v>
      </c>
      <c r="F2296" s="7">
        <v>669</v>
      </c>
      <c r="G2296" s="7">
        <v>243110.3736920777</v>
      </c>
      <c r="H2296" s="7">
        <v>162640840</v>
      </c>
      <c r="I2296" s="7">
        <v>17045248</v>
      </c>
      <c r="J2296" s="7">
        <v>0</v>
      </c>
      <c r="K2296">
        <f t="shared" si="35"/>
        <v>153</v>
      </c>
      <c r="L2296" s="8" t="str" cm="1">
        <f t="array" ref="L2296">_xlfn.IFS(
 AND(K2296&gt;=89,K2296&lt;=92),"3개월",
 AND(K2296&gt;=58,K2296&lt;=62),"2개월",
 AND(K2296&gt;=28,K2296&lt;=32),"1개월",
 AND(K2296=0),"당월",
 TRUE,"그외"
)</f>
        <v>그외</v>
      </c>
    </row>
    <row r="2297" spans="1:12" x14ac:dyDescent="0.3">
      <c r="A2297" s="5">
        <v>46023</v>
      </c>
      <c r="B2297" s="6" t="s">
        <v>60</v>
      </c>
      <c r="C2297" s="6" t="s">
        <v>114</v>
      </c>
      <c r="D2297" s="5">
        <v>45901</v>
      </c>
      <c r="E2297" s="6" t="s">
        <v>14</v>
      </c>
      <c r="F2297" s="7">
        <v>8</v>
      </c>
      <c r="G2297" s="7">
        <v>246300</v>
      </c>
      <c r="H2297" s="7">
        <v>1970400</v>
      </c>
      <c r="I2297" s="7">
        <v>210400</v>
      </c>
      <c r="J2297" s="7">
        <v>0</v>
      </c>
      <c r="K2297">
        <f t="shared" si="35"/>
        <v>122</v>
      </c>
      <c r="L2297" s="8" t="str" cm="1">
        <f t="array" ref="L2297">_xlfn.IFS(
 AND(K2297&gt;=89,K2297&lt;=92),"3개월",
 AND(K2297&gt;=58,K2297&lt;=62),"2개월",
 AND(K2297&gt;=28,K2297&lt;=32),"1개월",
 AND(K2297=0),"당월",
 TRUE,"그외"
)</f>
        <v>그외</v>
      </c>
    </row>
    <row r="2298" spans="1:12" x14ac:dyDescent="0.3">
      <c r="A2298" s="5">
        <v>46023</v>
      </c>
      <c r="B2298" s="6" t="s">
        <v>60</v>
      </c>
      <c r="C2298" s="6" t="s">
        <v>114</v>
      </c>
      <c r="D2298" s="5">
        <v>45901</v>
      </c>
      <c r="E2298" s="6" t="s">
        <v>15</v>
      </c>
      <c r="F2298" s="7">
        <v>1355</v>
      </c>
      <c r="G2298" s="7">
        <v>241224.71291512909</v>
      </c>
      <c r="H2298" s="7">
        <v>326859486</v>
      </c>
      <c r="I2298" s="7">
        <v>34683481</v>
      </c>
      <c r="J2298" s="7">
        <v>0</v>
      </c>
      <c r="K2298">
        <f t="shared" si="35"/>
        <v>122</v>
      </c>
      <c r="L2298" s="8" t="str" cm="1">
        <f t="array" ref="L2298">_xlfn.IFS(
 AND(K2298&gt;=89,K2298&lt;=92),"3개월",
 AND(K2298&gt;=58,K2298&lt;=62),"2개월",
 AND(K2298&gt;=28,K2298&lt;=32),"1개월",
 AND(K2298=0),"당월",
 TRUE,"그외"
)</f>
        <v>그외</v>
      </c>
    </row>
    <row r="2299" spans="1:12" x14ac:dyDescent="0.3">
      <c r="A2299" s="5">
        <v>46023</v>
      </c>
      <c r="B2299" s="6" t="s">
        <v>60</v>
      </c>
      <c r="C2299" s="6" t="s">
        <v>114</v>
      </c>
      <c r="D2299" s="5">
        <v>45931</v>
      </c>
      <c r="E2299" s="6" t="s">
        <v>15</v>
      </c>
      <c r="F2299" s="7">
        <v>1802</v>
      </c>
      <c r="G2299" s="7">
        <v>246346.9184239734</v>
      </c>
      <c r="H2299" s="7">
        <v>443917147</v>
      </c>
      <c r="I2299" s="7">
        <v>45861336</v>
      </c>
      <c r="J2299" s="7">
        <v>0</v>
      </c>
      <c r="K2299">
        <f t="shared" si="35"/>
        <v>92</v>
      </c>
      <c r="L2299" s="8" t="str" cm="1">
        <f t="array" ref="L2299">_xlfn.IFS(
 AND(K2299&gt;=89,K2299&lt;=92),"3개월",
 AND(K2299&gt;=58,K2299&lt;=62),"2개월",
 AND(K2299&gt;=28,K2299&lt;=32),"1개월",
 AND(K2299=0),"당월",
 TRUE,"그외"
)</f>
        <v>3개월</v>
      </c>
    </row>
    <row r="2300" spans="1:12" x14ac:dyDescent="0.3">
      <c r="A2300" s="5">
        <v>46023</v>
      </c>
      <c r="B2300" s="6" t="s">
        <v>60</v>
      </c>
      <c r="C2300" s="6" t="s">
        <v>114</v>
      </c>
      <c r="D2300" s="5">
        <v>45962</v>
      </c>
      <c r="E2300" s="6" t="s">
        <v>14</v>
      </c>
      <c r="F2300" s="7">
        <v>411</v>
      </c>
      <c r="G2300" s="7">
        <v>224434.79318734791</v>
      </c>
      <c r="H2300" s="7">
        <v>92242700</v>
      </c>
      <c r="I2300" s="7">
        <v>10973700</v>
      </c>
      <c r="J2300" s="7">
        <v>0</v>
      </c>
      <c r="K2300">
        <f t="shared" si="35"/>
        <v>61</v>
      </c>
      <c r="L2300" s="8" t="str" cm="1">
        <f t="array" ref="L2300">_xlfn.IFS(
 AND(K2300&gt;=89,K2300&lt;=92),"3개월",
 AND(K2300&gt;=58,K2300&lt;=62),"2개월",
 AND(K2300&gt;=28,K2300&lt;=32),"1개월",
 AND(K2300=0),"당월",
 TRUE,"그외"
)</f>
        <v>2개월</v>
      </c>
    </row>
    <row r="2301" spans="1:12" x14ac:dyDescent="0.3">
      <c r="A2301" s="5">
        <v>46023</v>
      </c>
      <c r="B2301" s="6" t="s">
        <v>60</v>
      </c>
      <c r="C2301" s="6" t="s">
        <v>114</v>
      </c>
      <c r="D2301" s="5">
        <v>45962</v>
      </c>
      <c r="E2301" s="6" t="s">
        <v>15</v>
      </c>
      <c r="F2301" s="7">
        <v>3232</v>
      </c>
      <c r="G2301" s="7">
        <v>222010.09282178219</v>
      </c>
      <c r="H2301" s="7">
        <v>717536620</v>
      </c>
      <c r="I2301" s="7">
        <v>82559745</v>
      </c>
      <c r="J2301" s="7">
        <v>0</v>
      </c>
      <c r="K2301">
        <f t="shared" si="35"/>
        <v>61</v>
      </c>
      <c r="L2301" s="8" t="str" cm="1">
        <f t="array" ref="L2301">_xlfn.IFS(
 AND(K2301&gt;=89,K2301&lt;=92),"3개월",
 AND(K2301&gt;=58,K2301&lt;=62),"2개월",
 AND(K2301&gt;=28,K2301&lt;=32),"1개월",
 AND(K2301=0),"당월",
 TRUE,"그외"
)</f>
        <v>2개월</v>
      </c>
    </row>
    <row r="2302" spans="1:12" x14ac:dyDescent="0.3">
      <c r="A2302" s="5">
        <v>46023</v>
      </c>
      <c r="B2302" s="6" t="s">
        <v>60</v>
      </c>
      <c r="C2302" s="6" t="s">
        <v>114</v>
      </c>
      <c r="D2302" s="5">
        <v>45992</v>
      </c>
      <c r="E2302" s="6" t="s">
        <v>14</v>
      </c>
      <c r="F2302" s="7">
        <v>523</v>
      </c>
      <c r="G2302" s="7">
        <v>209460.99426386229</v>
      </c>
      <c r="H2302" s="7">
        <v>109548100</v>
      </c>
      <c r="I2302" s="7">
        <v>16579100</v>
      </c>
      <c r="J2302" s="7">
        <v>0</v>
      </c>
      <c r="K2302">
        <f t="shared" si="35"/>
        <v>31</v>
      </c>
      <c r="L2302" s="8" t="str" cm="1">
        <f t="array" ref="L2302">_xlfn.IFS(
 AND(K2302&gt;=89,K2302&lt;=92),"3개월",
 AND(K2302&gt;=58,K2302&lt;=62),"2개월",
 AND(K2302&gt;=28,K2302&lt;=32),"1개월",
 AND(K2302=0),"당월",
 TRUE,"그외"
)</f>
        <v>1개월</v>
      </c>
    </row>
    <row r="2303" spans="1:12" x14ac:dyDescent="0.3">
      <c r="A2303" s="5">
        <v>46023</v>
      </c>
      <c r="B2303" s="6" t="s">
        <v>60</v>
      </c>
      <c r="C2303" s="6" t="s">
        <v>114</v>
      </c>
      <c r="D2303" s="5">
        <v>45992</v>
      </c>
      <c r="E2303" s="6" t="s">
        <v>15</v>
      </c>
      <c r="F2303" s="7">
        <v>3982</v>
      </c>
      <c r="G2303" s="7">
        <v>221469.00778503259</v>
      </c>
      <c r="H2303" s="7">
        <v>881889589</v>
      </c>
      <c r="I2303" s="7">
        <v>119924015</v>
      </c>
      <c r="J2303" s="7">
        <v>0</v>
      </c>
      <c r="K2303">
        <f t="shared" si="35"/>
        <v>31</v>
      </c>
      <c r="L2303" s="8" t="str" cm="1">
        <f t="array" ref="L2303">_xlfn.IFS(
 AND(K2303&gt;=89,K2303&lt;=92),"3개월",
 AND(K2303&gt;=58,K2303&lt;=62),"2개월",
 AND(K2303&gt;=28,K2303&lt;=32),"1개월",
 AND(K2303=0),"당월",
 TRUE,"그외"
)</f>
        <v>1개월</v>
      </c>
    </row>
    <row r="2304" spans="1:12" x14ac:dyDescent="0.3">
      <c r="A2304" s="5">
        <v>46023</v>
      </c>
      <c r="B2304" s="6" t="s">
        <v>60</v>
      </c>
      <c r="C2304" s="6" t="s">
        <v>114</v>
      </c>
      <c r="D2304" s="5">
        <v>46023</v>
      </c>
      <c r="E2304" s="6" t="s">
        <v>14</v>
      </c>
      <c r="F2304" s="7">
        <v>52</v>
      </c>
      <c r="G2304" s="7">
        <v>199138.4615384615</v>
      </c>
      <c r="H2304" s="7">
        <v>10355200</v>
      </c>
      <c r="I2304" s="7">
        <v>1671200</v>
      </c>
      <c r="J2304" s="7">
        <v>0</v>
      </c>
      <c r="K2304">
        <f t="shared" si="35"/>
        <v>0</v>
      </c>
      <c r="L2304" s="8" t="str" cm="1">
        <f t="array" ref="L2304">_xlfn.IFS(
 AND(K2304&gt;=89,K2304&lt;=92),"3개월",
 AND(K2304&gt;=58,K2304&lt;=62),"2개월",
 AND(K2304&gt;=28,K2304&lt;=32),"1개월",
 AND(K2304=0),"당월",
 TRUE,"그외"
)</f>
        <v>당월</v>
      </c>
    </row>
    <row r="2305" spans="1:12" x14ac:dyDescent="0.3">
      <c r="A2305" s="5">
        <v>46023</v>
      </c>
      <c r="B2305" s="6" t="s">
        <v>60</v>
      </c>
      <c r="C2305" s="6" t="s">
        <v>114</v>
      </c>
      <c r="D2305" s="5">
        <v>46023</v>
      </c>
      <c r="E2305" s="6" t="s">
        <v>15</v>
      </c>
      <c r="F2305" s="7">
        <v>1348</v>
      </c>
      <c r="G2305" s="7">
        <v>239927.06676557861</v>
      </c>
      <c r="H2305" s="7">
        <v>323421686</v>
      </c>
      <c r="I2305" s="7">
        <v>39993819</v>
      </c>
      <c r="J2305" s="7">
        <v>0</v>
      </c>
      <c r="K2305">
        <f t="shared" si="35"/>
        <v>0</v>
      </c>
      <c r="L2305" s="8" t="str" cm="1">
        <f t="array" ref="L2305">_xlfn.IFS(
 AND(K2305&gt;=89,K2305&lt;=92),"3개월",
 AND(K2305&gt;=58,K2305&lt;=62),"2개월",
 AND(K2305&gt;=28,K2305&lt;=32),"1개월",
 AND(K2305=0),"당월",
 TRUE,"그외"
)</f>
        <v>당월</v>
      </c>
    </row>
    <row r="2306" spans="1:12" x14ac:dyDescent="0.3">
      <c r="A2306" s="5">
        <v>46023</v>
      </c>
      <c r="B2306" s="6" t="s">
        <v>60</v>
      </c>
      <c r="C2306" s="6" t="s">
        <v>72</v>
      </c>
      <c r="D2306" s="5">
        <v>45839</v>
      </c>
      <c r="E2306" s="6" t="s">
        <v>15</v>
      </c>
      <c r="F2306" s="7">
        <v>535</v>
      </c>
      <c r="G2306" s="7">
        <v>266836.63551401871</v>
      </c>
      <c r="H2306" s="7">
        <v>142757600</v>
      </c>
      <c r="I2306" s="7">
        <v>6634000</v>
      </c>
      <c r="J2306" s="7">
        <v>0</v>
      </c>
      <c r="K2306">
        <f t="shared" si="35"/>
        <v>184</v>
      </c>
      <c r="L2306" s="8" t="str" cm="1">
        <f t="array" ref="L2306">_xlfn.IFS(
 AND(K2306&gt;=89,K2306&lt;=92),"3개월",
 AND(K2306&gt;=58,K2306&lt;=62),"2개월",
 AND(K2306&gt;=28,K2306&lt;=32),"1개월",
 AND(K2306=0),"당월",
 TRUE,"그외"
)</f>
        <v>그외</v>
      </c>
    </row>
    <row r="2307" spans="1:12" x14ac:dyDescent="0.3">
      <c r="A2307" s="5">
        <v>46023</v>
      </c>
      <c r="B2307" s="6" t="s">
        <v>60</v>
      </c>
      <c r="C2307" s="6" t="s">
        <v>72</v>
      </c>
      <c r="D2307" s="5">
        <v>45870</v>
      </c>
      <c r="E2307" s="6" t="s">
        <v>15</v>
      </c>
      <c r="F2307" s="7">
        <v>639</v>
      </c>
      <c r="G2307" s="7">
        <v>291382.62910798122</v>
      </c>
      <c r="H2307" s="7">
        <v>186193500</v>
      </c>
      <c r="I2307" s="7">
        <v>13099500</v>
      </c>
      <c r="J2307" s="7">
        <v>0</v>
      </c>
      <c r="K2307">
        <f t="shared" si="35"/>
        <v>153</v>
      </c>
      <c r="L2307" s="8" t="str" cm="1">
        <f t="array" ref="L2307">_xlfn.IFS(
 AND(K2307&gt;=89,K2307&lt;=92),"3개월",
 AND(K2307&gt;=58,K2307&lt;=62),"2개월",
 AND(K2307&gt;=28,K2307&lt;=32),"1개월",
 AND(K2307=0),"당월",
 TRUE,"그외"
)</f>
        <v>그외</v>
      </c>
    </row>
    <row r="2308" spans="1:12" x14ac:dyDescent="0.3">
      <c r="A2308" s="5">
        <v>46023</v>
      </c>
      <c r="B2308" s="6" t="s">
        <v>60</v>
      </c>
      <c r="C2308" s="6" t="s">
        <v>72</v>
      </c>
      <c r="D2308" s="5">
        <v>45901</v>
      </c>
      <c r="E2308" s="6" t="s">
        <v>14</v>
      </c>
      <c r="F2308" s="7">
        <v>155</v>
      </c>
      <c r="G2308" s="7">
        <v>280858.06451612897</v>
      </c>
      <c r="H2308" s="7">
        <v>43533000</v>
      </c>
      <c r="I2308" s="7">
        <v>3224000</v>
      </c>
      <c r="J2308" s="7">
        <v>0</v>
      </c>
      <c r="K2308">
        <f t="shared" si="35"/>
        <v>122</v>
      </c>
      <c r="L2308" s="8" t="str" cm="1">
        <f t="array" ref="L2308">_xlfn.IFS(
 AND(K2308&gt;=89,K2308&lt;=92),"3개월",
 AND(K2308&gt;=58,K2308&lt;=62),"2개월",
 AND(K2308&gt;=28,K2308&lt;=32),"1개월",
 AND(K2308=0),"당월",
 TRUE,"그외"
)</f>
        <v>그외</v>
      </c>
    </row>
    <row r="2309" spans="1:12" x14ac:dyDescent="0.3">
      <c r="A2309" s="5">
        <v>46023</v>
      </c>
      <c r="B2309" s="6" t="s">
        <v>60</v>
      </c>
      <c r="C2309" s="6" t="s">
        <v>72</v>
      </c>
      <c r="D2309" s="5">
        <v>45901</v>
      </c>
      <c r="E2309" s="6" t="s">
        <v>15</v>
      </c>
      <c r="F2309" s="7">
        <v>1128</v>
      </c>
      <c r="G2309" s="7">
        <v>294300.56471631199</v>
      </c>
      <c r="H2309" s="7">
        <v>331971037</v>
      </c>
      <c r="I2309" s="7">
        <v>23427870</v>
      </c>
      <c r="J2309" s="7">
        <v>0</v>
      </c>
      <c r="K2309">
        <f t="shared" si="35"/>
        <v>122</v>
      </c>
      <c r="L2309" s="8" t="str" cm="1">
        <f t="array" ref="L2309">_xlfn.IFS(
 AND(K2309&gt;=89,K2309&lt;=92),"3개월",
 AND(K2309&gt;=58,K2309&lt;=62),"2개월",
 AND(K2309&gt;=28,K2309&lt;=32),"1개월",
 AND(K2309=0),"당월",
 TRUE,"그외"
)</f>
        <v>그외</v>
      </c>
    </row>
    <row r="2310" spans="1:12" x14ac:dyDescent="0.3">
      <c r="A2310" s="5">
        <v>46023</v>
      </c>
      <c r="B2310" s="6" t="s">
        <v>60</v>
      </c>
      <c r="C2310" s="6" t="s">
        <v>72</v>
      </c>
      <c r="D2310" s="5">
        <v>45931</v>
      </c>
      <c r="E2310" s="6" t="s">
        <v>14</v>
      </c>
      <c r="F2310" s="7">
        <v>48</v>
      </c>
      <c r="G2310" s="7">
        <v>284233.33333333331</v>
      </c>
      <c r="H2310" s="7">
        <v>13643200</v>
      </c>
      <c r="I2310" s="7">
        <v>1003200</v>
      </c>
      <c r="J2310" s="7">
        <v>0</v>
      </c>
      <c r="K2310">
        <f t="shared" si="35"/>
        <v>92</v>
      </c>
      <c r="L2310" s="8" t="str" cm="1">
        <f t="array" ref="L2310">_xlfn.IFS(
 AND(K2310&gt;=89,K2310&lt;=92),"3개월",
 AND(K2310&gt;=58,K2310&lt;=62),"2개월",
 AND(K2310&gt;=28,K2310&lt;=32),"1개월",
 AND(K2310=0),"당월",
 TRUE,"그외"
)</f>
        <v>3개월</v>
      </c>
    </row>
    <row r="2311" spans="1:12" x14ac:dyDescent="0.3">
      <c r="A2311" s="5">
        <v>46023</v>
      </c>
      <c r="B2311" s="6" t="s">
        <v>60</v>
      </c>
      <c r="C2311" s="6" t="s">
        <v>72</v>
      </c>
      <c r="D2311" s="5">
        <v>45931</v>
      </c>
      <c r="E2311" s="6" t="s">
        <v>15</v>
      </c>
      <c r="F2311" s="7">
        <v>1215</v>
      </c>
      <c r="G2311" s="7">
        <v>303234.41234567901</v>
      </c>
      <c r="H2311" s="7">
        <v>368429811</v>
      </c>
      <c r="I2311" s="7">
        <v>25184788</v>
      </c>
      <c r="J2311" s="7">
        <v>0</v>
      </c>
      <c r="K2311">
        <f t="shared" si="35"/>
        <v>92</v>
      </c>
      <c r="L2311" s="8" t="str" cm="1">
        <f t="array" ref="L2311">_xlfn.IFS(
 AND(K2311&gt;=89,K2311&lt;=92),"3개월",
 AND(K2311&gt;=58,K2311&lt;=62),"2개월",
 AND(K2311&gt;=28,K2311&lt;=32),"1개월",
 AND(K2311=0),"당월",
 TRUE,"그외"
)</f>
        <v>3개월</v>
      </c>
    </row>
    <row r="2312" spans="1:12" x14ac:dyDescent="0.3">
      <c r="A2312" s="5">
        <v>46023</v>
      </c>
      <c r="B2312" s="6" t="s">
        <v>60</v>
      </c>
      <c r="C2312" s="6" t="s">
        <v>72</v>
      </c>
      <c r="D2312" s="5">
        <v>45962</v>
      </c>
      <c r="E2312" s="6" t="s">
        <v>14</v>
      </c>
      <c r="F2312" s="7">
        <v>1066</v>
      </c>
      <c r="G2312" s="7">
        <v>217159.75609756101</v>
      </c>
      <c r="H2312" s="7">
        <v>231492300</v>
      </c>
      <c r="I2312" s="7">
        <v>22429300</v>
      </c>
      <c r="J2312" s="7">
        <v>0</v>
      </c>
      <c r="K2312">
        <f t="shared" si="35"/>
        <v>61</v>
      </c>
      <c r="L2312" s="8" t="str" cm="1">
        <f t="array" ref="L2312">_xlfn.IFS(
 AND(K2312&gt;=89,K2312&lt;=92),"3개월",
 AND(K2312&gt;=58,K2312&lt;=62),"2개월",
 AND(K2312&gt;=28,K2312&lt;=32),"1개월",
 AND(K2312=0),"당월",
 TRUE,"그외"
)</f>
        <v>2개월</v>
      </c>
    </row>
    <row r="2313" spans="1:12" x14ac:dyDescent="0.3">
      <c r="A2313" s="5">
        <v>46023</v>
      </c>
      <c r="B2313" s="6" t="s">
        <v>60</v>
      </c>
      <c r="C2313" s="6" t="s">
        <v>72</v>
      </c>
      <c r="D2313" s="5">
        <v>45962</v>
      </c>
      <c r="E2313" s="6" t="s">
        <v>15</v>
      </c>
      <c r="F2313" s="7">
        <v>1442</v>
      </c>
      <c r="G2313" s="7">
        <v>311459.54022191401</v>
      </c>
      <c r="H2313" s="7">
        <v>449124657</v>
      </c>
      <c r="I2313" s="7">
        <v>29980014</v>
      </c>
      <c r="J2313" s="7">
        <v>0</v>
      </c>
      <c r="K2313">
        <f t="shared" si="35"/>
        <v>61</v>
      </c>
      <c r="L2313" s="8" t="str" cm="1">
        <f t="array" ref="L2313">_xlfn.IFS(
 AND(K2313&gt;=89,K2313&lt;=92),"3개월",
 AND(K2313&gt;=58,K2313&lt;=62),"2개월",
 AND(K2313&gt;=28,K2313&lt;=32),"1개월",
 AND(K2313=0),"당월",
 TRUE,"그외"
)</f>
        <v>2개월</v>
      </c>
    </row>
    <row r="2314" spans="1:12" x14ac:dyDescent="0.3">
      <c r="A2314" s="5">
        <v>46023</v>
      </c>
      <c r="B2314" s="6" t="s">
        <v>60</v>
      </c>
      <c r="C2314" s="6" t="s">
        <v>72</v>
      </c>
      <c r="D2314" s="5">
        <v>45992</v>
      </c>
      <c r="E2314" s="6" t="s">
        <v>14</v>
      </c>
      <c r="F2314" s="7">
        <v>851</v>
      </c>
      <c r="G2314" s="7">
        <v>452361.92714453582</v>
      </c>
      <c r="H2314" s="7">
        <v>384960000</v>
      </c>
      <c r="I2314" s="7">
        <v>19387000</v>
      </c>
      <c r="J2314" s="7">
        <v>0</v>
      </c>
      <c r="K2314">
        <f t="shared" ref="K2314:K2377" si="36">A2314-D2314</f>
        <v>31</v>
      </c>
      <c r="L2314" s="8" t="str" cm="1">
        <f t="array" ref="L2314">_xlfn.IFS(
 AND(K2314&gt;=89,K2314&lt;=92),"3개월",
 AND(K2314&gt;=58,K2314&lt;=62),"2개월",
 AND(K2314&gt;=28,K2314&lt;=32),"1개월",
 AND(K2314=0),"당월",
 TRUE,"그외"
)</f>
        <v>1개월</v>
      </c>
    </row>
    <row r="2315" spans="1:12" x14ac:dyDescent="0.3">
      <c r="A2315" s="5">
        <v>46023</v>
      </c>
      <c r="B2315" s="6" t="s">
        <v>60</v>
      </c>
      <c r="C2315" s="6" t="s">
        <v>72</v>
      </c>
      <c r="D2315" s="5">
        <v>45992</v>
      </c>
      <c r="E2315" s="6" t="s">
        <v>15</v>
      </c>
      <c r="F2315" s="7">
        <v>2119</v>
      </c>
      <c r="G2315" s="7">
        <v>264570.11750825861</v>
      </c>
      <c r="H2315" s="7">
        <v>560624079</v>
      </c>
      <c r="I2315" s="7">
        <v>50889628</v>
      </c>
      <c r="J2315" s="7">
        <v>0</v>
      </c>
      <c r="K2315">
        <f t="shared" si="36"/>
        <v>31</v>
      </c>
      <c r="L2315" s="8" t="str" cm="1">
        <f t="array" ref="L2315">_xlfn.IFS(
 AND(K2315&gt;=89,K2315&lt;=92),"3개월",
 AND(K2315&gt;=58,K2315&lt;=62),"2개월",
 AND(K2315&gt;=28,K2315&lt;=32),"1개월",
 AND(K2315=0),"당월",
 TRUE,"그외"
)</f>
        <v>1개월</v>
      </c>
    </row>
    <row r="2316" spans="1:12" x14ac:dyDescent="0.3">
      <c r="A2316" s="5">
        <v>46023</v>
      </c>
      <c r="B2316" s="6" t="s">
        <v>60</v>
      </c>
      <c r="C2316" s="6" t="s">
        <v>72</v>
      </c>
      <c r="D2316" s="5">
        <v>46023</v>
      </c>
      <c r="E2316" s="6" t="s">
        <v>14</v>
      </c>
      <c r="F2316" s="7">
        <v>666</v>
      </c>
      <c r="G2316" s="7">
        <v>34269.669669669667</v>
      </c>
      <c r="H2316" s="7">
        <v>22823600</v>
      </c>
      <c r="I2316" s="7">
        <v>16605600</v>
      </c>
      <c r="J2316" s="7">
        <v>0</v>
      </c>
      <c r="K2316">
        <f t="shared" si="36"/>
        <v>0</v>
      </c>
      <c r="L2316" s="8" t="str" cm="1">
        <f t="array" ref="L2316">_xlfn.IFS(
 AND(K2316&gt;=89,K2316&lt;=92),"3개월",
 AND(K2316&gt;=58,K2316&lt;=62),"2개월",
 AND(K2316&gt;=28,K2316&lt;=32),"1개월",
 AND(K2316=0),"당월",
 TRUE,"그외"
)</f>
        <v>당월</v>
      </c>
    </row>
    <row r="2317" spans="1:12" x14ac:dyDescent="0.3">
      <c r="A2317" s="5">
        <v>46023</v>
      </c>
      <c r="B2317" s="6" t="s">
        <v>60</v>
      </c>
      <c r="C2317" s="6" t="s">
        <v>72</v>
      </c>
      <c r="D2317" s="5">
        <v>46023</v>
      </c>
      <c r="E2317" s="6" t="s">
        <v>15</v>
      </c>
      <c r="F2317" s="7">
        <v>586</v>
      </c>
      <c r="G2317" s="7">
        <v>269226.566552901</v>
      </c>
      <c r="H2317" s="7">
        <v>157766768</v>
      </c>
      <c r="I2317" s="7">
        <v>13857072</v>
      </c>
      <c r="J2317" s="7">
        <v>0</v>
      </c>
      <c r="K2317">
        <f t="shared" si="36"/>
        <v>0</v>
      </c>
      <c r="L2317" s="8" t="str" cm="1">
        <f t="array" ref="L2317">_xlfn.IFS(
 AND(K2317&gt;=89,K2317&lt;=92),"3개월",
 AND(K2317&gt;=58,K2317&lt;=62),"2개월",
 AND(K2317&gt;=28,K2317&lt;=32),"1개월",
 AND(K2317=0),"당월",
 TRUE,"그외"
)</f>
        <v>당월</v>
      </c>
    </row>
    <row r="2318" spans="1:12" x14ac:dyDescent="0.3">
      <c r="A2318" s="5">
        <v>46023</v>
      </c>
      <c r="B2318" s="6" t="s">
        <v>60</v>
      </c>
      <c r="C2318" s="6" t="s">
        <v>115</v>
      </c>
      <c r="D2318" s="5">
        <v>45870</v>
      </c>
      <c r="E2318" s="6" t="s">
        <v>15</v>
      </c>
      <c r="F2318" s="7">
        <v>500</v>
      </c>
      <c r="G2318" s="7">
        <v>277083.85200000001</v>
      </c>
      <c r="H2318" s="7">
        <v>138541926</v>
      </c>
      <c r="I2318" s="7">
        <v>13501384</v>
      </c>
      <c r="J2318" s="7">
        <v>0</v>
      </c>
      <c r="K2318">
        <f t="shared" si="36"/>
        <v>153</v>
      </c>
      <c r="L2318" s="8" t="str" cm="1">
        <f t="array" ref="L2318">_xlfn.IFS(
 AND(K2318&gt;=89,K2318&lt;=92),"3개월",
 AND(K2318&gt;=58,K2318&lt;=62),"2개월",
 AND(K2318&gt;=28,K2318&lt;=32),"1개월",
 AND(K2318=0),"당월",
 TRUE,"그외"
)</f>
        <v>그외</v>
      </c>
    </row>
    <row r="2319" spans="1:12" x14ac:dyDescent="0.3">
      <c r="A2319" s="5">
        <v>46023</v>
      </c>
      <c r="B2319" s="6" t="s">
        <v>60</v>
      </c>
      <c r="C2319" s="6" t="s">
        <v>115</v>
      </c>
      <c r="D2319" s="5">
        <v>45901</v>
      </c>
      <c r="E2319" s="6" t="s">
        <v>14</v>
      </c>
      <c r="F2319" s="7">
        <v>5</v>
      </c>
      <c r="G2319" s="7">
        <v>266300</v>
      </c>
      <c r="H2319" s="7">
        <v>1331500</v>
      </c>
      <c r="I2319" s="7">
        <v>131500</v>
      </c>
      <c r="J2319" s="7">
        <v>0</v>
      </c>
      <c r="K2319">
        <f t="shared" si="36"/>
        <v>122</v>
      </c>
      <c r="L2319" s="8" t="str" cm="1">
        <f t="array" ref="L2319">_xlfn.IFS(
 AND(K2319&gt;=89,K2319&lt;=92),"3개월",
 AND(K2319&gt;=58,K2319&lt;=62),"2개월",
 AND(K2319&gt;=28,K2319&lt;=32),"1개월",
 AND(K2319=0),"당월",
 TRUE,"그외"
)</f>
        <v>그외</v>
      </c>
    </row>
    <row r="2320" spans="1:12" x14ac:dyDescent="0.3">
      <c r="A2320" s="5">
        <v>46023</v>
      </c>
      <c r="B2320" s="6" t="s">
        <v>60</v>
      </c>
      <c r="C2320" s="6" t="s">
        <v>115</v>
      </c>
      <c r="D2320" s="5">
        <v>45901</v>
      </c>
      <c r="E2320" s="6" t="s">
        <v>15</v>
      </c>
      <c r="F2320" s="7">
        <v>563</v>
      </c>
      <c r="G2320" s="7">
        <v>293810.05861456483</v>
      </c>
      <c r="H2320" s="7">
        <v>165415063</v>
      </c>
      <c r="I2320" s="7">
        <v>15011876</v>
      </c>
      <c r="J2320" s="7">
        <v>0</v>
      </c>
      <c r="K2320">
        <f t="shared" si="36"/>
        <v>122</v>
      </c>
      <c r="L2320" s="8" t="str" cm="1">
        <f t="array" ref="L2320">_xlfn.IFS(
 AND(K2320&gt;=89,K2320&lt;=92),"3개월",
 AND(K2320&gt;=58,K2320&lt;=62),"2개월",
 AND(K2320&gt;=28,K2320&lt;=32),"1개월",
 AND(K2320=0),"당월",
 TRUE,"그외"
)</f>
        <v>그외</v>
      </c>
    </row>
    <row r="2321" spans="1:12" x14ac:dyDescent="0.3">
      <c r="A2321" s="5">
        <v>46023</v>
      </c>
      <c r="B2321" s="6" t="s">
        <v>60</v>
      </c>
      <c r="C2321" s="6" t="s">
        <v>115</v>
      </c>
      <c r="D2321" s="5">
        <v>45931</v>
      </c>
      <c r="E2321" s="6" t="s">
        <v>14</v>
      </c>
      <c r="F2321" s="7">
        <v>75</v>
      </c>
      <c r="G2321" s="7">
        <v>256653.33333333331</v>
      </c>
      <c r="H2321" s="7">
        <v>19249000</v>
      </c>
      <c r="I2321" s="7">
        <v>1980000</v>
      </c>
      <c r="J2321" s="7">
        <v>0</v>
      </c>
      <c r="K2321">
        <f t="shared" si="36"/>
        <v>92</v>
      </c>
      <c r="L2321" s="8" t="str" cm="1">
        <f t="array" ref="L2321">_xlfn.IFS(
 AND(K2321&gt;=89,K2321&lt;=92),"3개월",
 AND(K2321&gt;=58,K2321&lt;=62),"2개월",
 AND(K2321&gt;=28,K2321&lt;=32),"1개월",
 AND(K2321=0),"당월",
 TRUE,"그외"
)</f>
        <v>3개월</v>
      </c>
    </row>
    <row r="2322" spans="1:12" x14ac:dyDescent="0.3">
      <c r="A2322" s="5">
        <v>46023</v>
      </c>
      <c r="B2322" s="6" t="s">
        <v>60</v>
      </c>
      <c r="C2322" s="6" t="s">
        <v>115</v>
      </c>
      <c r="D2322" s="5">
        <v>45931</v>
      </c>
      <c r="E2322" s="6" t="s">
        <v>15</v>
      </c>
      <c r="F2322" s="7">
        <v>927</v>
      </c>
      <c r="G2322" s="7">
        <v>266726.59762675298</v>
      </c>
      <c r="H2322" s="7">
        <v>247255556</v>
      </c>
      <c r="I2322" s="7">
        <v>25685414</v>
      </c>
      <c r="J2322" s="7">
        <v>0</v>
      </c>
      <c r="K2322">
        <f t="shared" si="36"/>
        <v>92</v>
      </c>
      <c r="L2322" s="8" t="str" cm="1">
        <f t="array" ref="L2322">_xlfn.IFS(
 AND(K2322&gt;=89,K2322&lt;=92),"3개월",
 AND(K2322&gt;=58,K2322&lt;=62),"2개월",
 AND(K2322&gt;=28,K2322&lt;=32),"1개월",
 AND(K2322=0),"당월",
 TRUE,"그외"
)</f>
        <v>3개월</v>
      </c>
    </row>
    <row r="2323" spans="1:12" x14ac:dyDescent="0.3">
      <c r="A2323" s="5">
        <v>46023</v>
      </c>
      <c r="B2323" s="6" t="s">
        <v>60</v>
      </c>
      <c r="C2323" s="6" t="s">
        <v>115</v>
      </c>
      <c r="D2323" s="5">
        <v>45962</v>
      </c>
      <c r="E2323" s="6" t="s">
        <v>14</v>
      </c>
      <c r="F2323" s="7">
        <v>319</v>
      </c>
      <c r="G2323" s="7">
        <v>230427.27272727271</v>
      </c>
      <c r="H2323" s="7">
        <v>73506300</v>
      </c>
      <c r="I2323" s="7">
        <v>8517300</v>
      </c>
      <c r="J2323" s="7">
        <v>0</v>
      </c>
      <c r="K2323">
        <f t="shared" si="36"/>
        <v>61</v>
      </c>
      <c r="L2323" s="8" t="str" cm="1">
        <f t="array" ref="L2323">_xlfn.IFS(
 AND(K2323&gt;=89,K2323&lt;=92),"3개월",
 AND(K2323&gt;=58,K2323&lt;=62),"2개월",
 AND(K2323&gt;=28,K2323&lt;=32),"1개월",
 AND(K2323=0),"당월",
 TRUE,"그외"
)</f>
        <v>2개월</v>
      </c>
    </row>
    <row r="2324" spans="1:12" x14ac:dyDescent="0.3">
      <c r="A2324" s="5">
        <v>46023</v>
      </c>
      <c r="B2324" s="6" t="s">
        <v>60</v>
      </c>
      <c r="C2324" s="6" t="s">
        <v>115</v>
      </c>
      <c r="D2324" s="5">
        <v>45962</v>
      </c>
      <c r="E2324" s="6" t="s">
        <v>15</v>
      </c>
      <c r="F2324" s="7">
        <v>1923</v>
      </c>
      <c r="G2324" s="7">
        <v>207680.6281851274</v>
      </c>
      <c r="H2324" s="7">
        <v>399369848</v>
      </c>
      <c r="I2324" s="7">
        <v>54226176</v>
      </c>
      <c r="J2324" s="7">
        <v>0</v>
      </c>
      <c r="K2324">
        <f t="shared" si="36"/>
        <v>61</v>
      </c>
      <c r="L2324" s="8" t="str" cm="1">
        <f t="array" ref="L2324">_xlfn.IFS(
 AND(K2324&gt;=89,K2324&lt;=92),"3개월",
 AND(K2324&gt;=58,K2324&lt;=62),"2개월",
 AND(K2324&gt;=28,K2324&lt;=32),"1개월",
 AND(K2324=0),"당월",
 TRUE,"그외"
)</f>
        <v>2개월</v>
      </c>
    </row>
    <row r="2325" spans="1:12" x14ac:dyDescent="0.3">
      <c r="A2325" s="5">
        <v>46023</v>
      </c>
      <c r="B2325" s="6" t="s">
        <v>60</v>
      </c>
      <c r="C2325" s="6" t="s">
        <v>115</v>
      </c>
      <c r="D2325" s="5">
        <v>45992</v>
      </c>
      <c r="E2325" s="6" t="s">
        <v>14</v>
      </c>
      <c r="F2325" s="7">
        <v>1097</v>
      </c>
      <c r="G2325" s="7">
        <v>202947.94895168641</v>
      </c>
      <c r="H2325" s="7">
        <v>222633900</v>
      </c>
      <c r="I2325" s="7">
        <v>34774900</v>
      </c>
      <c r="J2325" s="7">
        <v>0</v>
      </c>
      <c r="K2325">
        <f t="shared" si="36"/>
        <v>31</v>
      </c>
      <c r="L2325" s="8" t="str" cm="1">
        <f t="array" ref="L2325">_xlfn.IFS(
 AND(K2325&gt;=89,K2325&lt;=92),"3개월",
 AND(K2325&gt;=58,K2325&lt;=62),"2개월",
 AND(K2325&gt;=28,K2325&lt;=32),"1개월",
 AND(K2325=0),"당월",
 TRUE,"그외"
)</f>
        <v>1개월</v>
      </c>
    </row>
    <row r="2326" spans="1:12" x14ac:dyDescent="0.3">
      <c r="A2326" s="5">
        <v>46023</v>
      </c>
      <c r="B2326" s="6" t="s">
        <v>60</v>
      </c>
      <c r="C2326" s="6" t="s">
        <v>115</v>
      </c>
      <c r="D2326" s="5">
        <v>45992</v>
      </c>
      <c r="E2326" s="6" t="s">
        <v>15</v>
      </c>
      <c r="F2326" s="7">
        <v>3248</v>
      </c>
      <c r="G2326" s="7">
        <v>185462.82389162559</v>
      </c>
      <c r="H2326" s="7">
        <v>602383252</v>
      </c>
      <c r="I2326" s="7">
        <v>107090322</v>
      </c>
      <c r="J2326" s="7">
        <v>0</v>
      </c>
      <c r="K2326">
        <f t="shared" si="36"/>
        <v>31</v>
      </c>
      <c r="L2326" s="8" t="str" cm="1">
        <f t="array" ref="L2326">_xlfn.IFS(
 AND(K2326&gt;=89,K2326&lt;=92),"3개월",
 AND(K2326&gt;=58,K2326&lt;=62),"2개월",
 AND(K2326&gt;=28,K2326&lt;=32),"1개월",
 AND(K2326=0),"당월",
 TRUE,"그외"
)</f>
        <v>1개월</v>
      </c>
    </row>
    <row r="2327" spans="1:12" x14ac:dyDescent="0.3">
      <c r="A2327" s="5">
        <v>46023</v>
      </c>
      <c r="B2327" s="6" t="s">
        <v>60</v>
      </c>
      <c r="C2327" s="6" t="s">
        <v>115</v>
      </c>
      <c r="D2327" s="5">
        <v>46023</v>
      </c>
      <c r="E2327" s="6" t="s">
        <v>14</v>
      </c>
      <c r="F2327" s="7">
        <v>412</v>
      </c>
      <c r="G2327" s="7">
        <v>165829.12621359219</v>
      </c>
      <c r="H2327" s="7">
        <v>68321600</v>
      </c>
      <c r="I2327" s="7">
        <v>13307600</v>
      </c>
      <c r="J2327" s="7">
        <v>0</v>
      </c>
      <c r="K2327">
        <f t="shared" si="36"/>
        <v>0</v>
      </c>
      <c r="L2327" s="8" t="str" cm="1">
        <f t="array" ref="L2327">_xlfn.IFS(
 AND(K2327&gt;=89,K2327&lt;=92),"3개월",
 AND(K2327&gt;=58,K2327&lt;=62),"2개월",
 AND(K2327&gt;=28,K2327&lt;=32),"1개월",
 AND(K2327=0),"당월",
 TRUE,"그외"
)</f>
        <v>당월</v>
      </c>
    </row>
    <row r="2328" spans="1:12" x14ac:dyDescent="0.3">
      <c r="A2328" s="5">
        <v>46023</v>
      </c>
      <c r="B2328" s="6" t="s">
        <v>60</v>
      </c>
      <c r="C2328" s="6" t="s">
        <v>115</v>
      </c>
      <c r="D2328" s="5">
        <v>46023</v>
      </c>
      <c r="E2328" s="6" t="s">
        <v>15</v>
      </c>
      <c r="F2328" s="7">
        <v>2007</v>
      </c>
      <c r="G2328" s="7">
        <v>179980.11360239159</v>
      </c>
      <c r="H2328" s="7">
        <v>361220088</v>
      </c>
      <c r="I2328" s="7">
        <v>71040799</v>
      </c>
      <c r="J2328" s="7">
        <v>0</v>
      </c>
      <c r="K2328">
        <f t="shared" si="36"/>
        <v>0</v>
      </c>
      <c r="L2328" s="8" t="str" cm="1">
        <f t="array" ref="L2328">_xlfn.IFS(
 AND(K2328&gt;=89,K2328&lt;=92),"3개월",
 AND(K2328&gt;=58,K2328&lt;=62),"2개월",
 AND(K2328&gt;=28,K2328&lt;=32),"1개월",
 AND(K2328=0),"당월",
 TRUE,"그외"
)</f>
        <v>당월</v>
      </c>
    </row>
    <row r="2329" spans="1:12" x14ac:dyDescent="0.3">
      <c r="A2329" s="5">
        <v>46023</v>
      </c>
      <c r="B2329" s="6" t="s">
        <v>60</v>
      </c>
      <c r="C2329" s="6" t="s">
        <v>116</v>
      </c>
      <c r="D2329" s="5">
        <v>45931</v>
      </c>
      <c r="E2329" s="6" t="s">
        <v>15</v>
      </c>
      <c r="F2329" s="7">
        <v>116</v>
      </c>
      <c r="G2329" s="7">
        <v>253373.77586206899</v>
      </c>
      <c r="H2329" s="7">
        <v>29391358</v>
      </c>
      <c r="I2329" s="7">
        <v>3062400</v>
      </c>
      <c r="J2329" s="7">
        <v>0</v>
      </c>
      <c r="K2329">
        <f t="shared" si="36"/>
        <v>92</v>
      </c>
      <c r="L2329" s="8" t="str" cm="1">
        <f t="array" ref="L2329">_xlfn.IFS(
 AND(K2329&gt;=89,K2329&lt;=92),"3개월",
 AND(K2329&gt;=58,K2329&lt;=62),"2개월",
 AND(K2329&gt;=28,K2329&lt;=32),"1개월",
 AND(K2329=0),"당월",
 TRUE,"그외"
)</f>
        <v>3개월</v>
      </c>
    </row>
    <row r="2330" spans="1:12" x14ac:dyDescent="0.3">
      <c r="A2330" s="5">
        <v>46023</v>
      </c>
      <c r="B2330" s="6" t="s">
        <v>60</v>
      </c>
      <c r="C2330" s="6" t="s">
        <v>116</v>
      </c>
      <c r="D2330" s="5">
        <v>45962</v>
      </c>
      <c r="E2330" s="6" t="s">
        <v>14</v>
      </c>
      <c r="F2330" s="7">
        <v>157</v>
      </c>
      <c r="G2330" s="7">
        <v>272604.45859872608</v>
      </c>
      <c r="H2330" s="7">
        <v>42798900</v>
      </c>
      <c r="I2330" s="7">
        <v>4191900</v>
      </c>
      <c r="J2330" s="7">
        <v>0</v>
      </c>
      <c r="K2330">
        <f t="shared" si="36"/>
        <v>61</v>
      </c>
      <c r="L2330" s="8" t="str" cm="1">
        <f t="array" ref="L2330">_xlfn.IFS(
 AND(K2330&gt;=89,K2330&lt;=92),"3개월",
 AND(K2330&gt;=58,K2330&lt;=62),"2개월",
 AND(K2330&gt;=28,K2330&lt;=32),"1개월",
 AND(K2330=0),"당월",
 TRUE,"그외"
)</f>
        <v>2개월</v>
      </c>
    </row>
    <row r="2331" spans="1:12" x14ac:dyDescent="0.3">
      <c r="A2331" s="5">
        <v>46023</v>
      </c>
      <c r="B2331" s="6" t="s">
        <v>60</v>
      </c>
      <c r="C2331" s="6" t="s">
        <v>116</v>
      </c>
      <c r="D2331" s="5">
        <v>45962</v>
      </c>
      <c r="E2331" s="6" t="s">
        <v>15</v>
      </c>
      <c r="F2331" s="7">
        <v>188</v>
      </c>
      <c r="G2331" s="7">
        <v>240546.43617021281</v>
      </c>
      <c r="H2331" s="7">
        <v>45222730</v>
      </c>
      <c r="I2331" s="7">
        <v>5080392</v>
      </c>
      <c r="J2331" s="7">
        <v>0</v>
      </c>
      <c r="K2331">
        <f t="shared" si="36"/>
        <v>61</v>
      </c>
      <c r="L2331" s="8" t="str" cm="1">
        <f t="array" ref="L2331">_xlfn.IFS(
 AND(K2331&gt;=89,K2331&lt;=92),"3개월",
 AND(K2331&gt;=58,K2331&lt;=62),"2개월",
 AND(K2331&gt;=28,K2331&lt;=32),"1개월",
 AND(K2331=0),"당월",
 TRUE,"그외"
)</f>
        <v>2개월</v>
      </c>
    </row>
    <row r="2332" spans="1:12" x14ac:dyDescent="0.3">
      <c r="A2332" s="5">
        <v>46023</v>
      </c>
      <c r="B2332" s="6" t="s">
        <v>60</v>
      </c>
      <c r="C2332" s="6" t="s">
        <v>116</v>
      </c>
      <c r="D2332" s="5">
        <v>45992</v>
      </c>
      <c r="E2332" s="6" t="s">
        <v>14</v>
      </c>
      <c r="F2332" s="7">
        <v>1173</v>
      </c>
      <c r="G2332" s="7">
        <v>194440.83546462061</v>
      </c>
      <c r="H2332" s="7">
        <v>228079100</v>
      </c>
      <c r="I2332" s="7">
        <v>37064100</v>
      </c>
      <c r="J2332" s="7">
        <v>0</v>
      </c>
      <c r="K2332">
        <f t="shared" si="36"/>
        <v>31</v>
      </c>
      <c r="L2332" s="8" t="str" cm="1">
        <f t="array" ref="L2332">_xlfn.IFS(
 AND(K2332&gt;=89,K2332&lt;=92),"3개월",
 AND(K2332&gt;=58,K2332&lt;=62),"2개월",
 AND(K2332&gt;=28,K2332&lt;=32),"1개월",
 AND(K2332=0),"당월",
 TRUE,"그외"
)</f>
        <v>1개월</v>
      </c>
    </row>
    <row r="2333" spans="1:12" x14ac:dyDescent="0.3">
      <c r="A2333" s="5">
        <v>46023</v>
      </c>
      <c r="B2333" s="6" t="s">
        <v>60</v>
      </c>
      <c r="C2333" s="6" t="s">
        <v>116</v>
      </c>
      <c r="D2333" s="5">
        <v>45992</v>
      </c>
      <c r="E2333" s="6" t="s">
        <v>15</v>
      </c>
      <c r="F2333" s="7">
        <v>575</v>
      </c>
      <c r="G2333" s="7">
        <v>198176.49739130441</v>
      </c>
      <c r="H2333" s="7">
        <v>113951486</v>
      </c>
      <c r="I2333" s="7">
        <v>18669444</v>
      </c>
      <c r="J2333" s="7">
        <v>0</v>
      </c>
      <c r="K2333">
        <f t="shared" si="36"/>
        <v>31</v>
      </c>
      <c r="L2333" s="8" t="str" cm="1">
        <f t="array" ref="L2333">_xlfn.IFS(
 AND(K2333&gt;=89,K2333&lt;=92),"3개월",
 AND(K2333&gt;=58,K2333&lt;=62),"2개월",
 AND(K2333&gt;=28,K2333&lt;=32),"1개월",
 AND(K2333=0),"당월",
 TRUE,"그외"
)</f>
        <v>1개월</v>
      </c>
    </row>
    <row r="2334" spans="1:12" x14ac:dyDescent="0.3">
      <c r="A2334" s="5">
        <v>46023</v>
      </c>
      <c r="B2334" s="6" t="s">
        <v>60</v>
      </c>
      <c r="C2334" s="6" t="s">
        <v>116</v>
      </c>
      <c r="D2334" s="5">
        <v>46023</v>
      </c>
      <c r="E2334" s="6" t="s">
        <v>14</v>
      </c>
      <c r="F2334" s="7">
        <v>423</v>
      </c>
      <c r="G2334" s="7">
        <v>220368.55791962179</v>
      </c>
      <c r="H2334" s="7">
        <v>93215900</v>
      </c>
      <c r="I2334" s="7">
        <v>13633900</v>
      </c>
      <c r="J2334" s="7">
        <v>0</v>
      </c>
      <c r="K2334">
        <f t="shared" si="36"/>
        <v>0</v>
      </c>
      <c r="L2334" s="8" t="str" cm="1">
        <f t="array" ref="L2334">_xlfn.IFS(
 AND(K2334&gt;=89,K2334&lt;=92),"3개월",
 AND(K2334&gt;=58,K2334&lt;=62),"2개월",
 AND(K2334&gt;=28,K2334&lt;=32),"1개월",
 AND(K2334=0),"당월",
 TRUE,"그외"
)</f>
        <v>당월</v>
      </c>
    </row>
    <row r="2335" spans="1:12" x14ac:dyDescent="0.3">
      <c r="A2335" s="5">
        <v>46023</v>
      </c>
      <c r="B2335" s="6" t="s">
        <v>60</v>
      </c>
      <c r="C2335" s="6" t="s">
        <v>116</v>
      </c>
      <c r="D2335" s="5">
        <v>46023</v>
      </c>
      <c r="E2335" s="6" t="s">
        <v>15</v>
      </c>
      <c r="F2335" s="7">
        <v>165</v>
      </c>
      <c r="G2335" s="7">
        <v>196508.7818181818</v>
      </c>
      <c r="H2335" s="7">
        <v>32423949</v>
      </c>
      <c r="I2335" s="7">
        <v>6090396</v>
      </c>
      <c r="J2335" s="7">
        <v>0</v>
      </c>
      <c r="K2335">
        <f t="shared" si="36"/>
        <v>0</v>
      </c>
      <c r="L2335" s="8" t="str" cm="1">
        <f t="array" ref="L2335">_xlfn.IFS(
 AND(K2335&gt;=89,K2335&lt;=92),"3개월",
 AND(K2335&gt;=58,K2335&lt;=62),"2개월",
 AND(K2335&gt;=28,K2335&lt;=32),"1개월",
 AND(K2335=0),"당월",
 TRUE,"그외"
)</f>
        <v>당월</v>
      </c>
    </row>
    <row r="2336" spans="1:12" x14ac:dyDescent="0.3">
      <c r="A2336" s="5">
        <v>46023</v>
      </c>
      <c r="B2336" s="6" t="s">
        <v>60</v>
      </c>
      <c r="C2336" s="6" t="s">
        <v>74</v>
      </c>
      <c r="D2336" s="5">
        <v>45839</v>
      </c>
      <c r="E2336" s="6" t="s">
        <v>15</v>
      </c>
      <c r="F2336" s="7">
        <v>20</v>
      </c>
      <c r="G2336" s="7">
        <v>292240</v>
      </c>
      <c r="H2336" s="7">
        <v>5844800</v>
      </c>
      <c r="I2336" s="7">
        <v>358000</v>
      </c>
      <c r="J2336" s="7">
        <v>0</v>
      </c>
      <c r="K2336">
        <f t="shared" si="36"/>
        <v>184</v>
      </c>
      <c r="L2336" s="8" t="str" cm="1">
        <f t="array" ref="L2336">_xlfn.IFS(
 AND(K2336&gt;=89,K2336&lt;=92),"3개월",
 AND(K2336&gt;=58,K2336&lt;=62),"2개월",
 AND(K2336&gt;=28,K2336&lt;=32),"1개월",
 AND(K2336=0),"당월",
 TRUE,"그외"
)</f>
        <v>그외</v>
      </c>
    </row>
    <row r="2337" spans="1:12" x14ac:dyDescent="0.3">
      <c r="A2337" s="5">
        <v>46023</v>
      </c>
      <c r="B2337" s="6" t="s">
        <v>60</v>
      </c>
      <c r="C2337" s="6" t="s">
        <v>74</v>
      </c>
      <c r="D2337" s="5">
        <v>45870</v>
      </c>
      <c r="E2337" s="6" t="s">
        <v>14</v>
      </c>
      <c r="F2337" s="7">
        <v>3</v>
      </c>
      <c r="G2337" s="7">
        <v>277400</v>
      </c>
      <c r="H2337" s="7">
        <v>832200</v>
      </c>
      <c r="I2337" s="7">
        <v>82200</v>
      </c>
      <c r="J2337" s="7">
        <v>0</v>
      </c>
      <c r="K2337">
        <f t="shared" si="36"/>
        <v>153</v>
      </c>
      <c r="L2337" s="8" t="str" cm="1">
        <f t="array" ref="L2337">_xlfn.IFS(
 AND(K2337&gt;=89,K2337&lt;=92),"3개월",
 AND(K2337&gt;=58,K2337&lt;=62),"2개월",
 AND(K2337&gt;=28,K2337&lt;=32),"1개월",
 AND(K2337=0),"당월",
 TRUE,"그외"
)</f>
        <v>그외</v>
      </c>
    </row>
    <row r="2338" spans="1:12" x14ac:dyDescent="0.3">
      <c r="A2338" s="5">
        <v>46023</v>
      </c>
      <c r="B2338" s="6" t="s">
        <v>60</v>
      </c>
      <c r="C2338" s="6" t="s">
        <v>74</v>
      </c>
      <c r="D2338" s="5">
        <v>45870</v>
      </c>
      <c r="E2338" s="6" t="s">
        <v>15</v>
      </c>
      <c r="F2338" s="7">
        <v>51</v>
      </c>
      <c r="G2338" s="7">
        <v>309062.50980392162</v>
      </c>
      <c r="H2338" s="7">
        <v>15762188</v>
      </c>
      <c r="I2338" s="7">
        <v>1470022</v>
      </c>
      <c r="J2338" s="7">
        <v>0</v>
      </c>
      <c r="K2338">
        <f t="shared" si="36"/>
        <v>153</v>
      </c>
      <c r="L2338" s="8" t="str" cm="1">
        <f t="array" ref="L2338">_xlfn.IFS(
 AND(K2338&gt;=89,K2338&lt;=92),"3개월",
 AND(K2338&gt;=58,K2338&lt;=62),"2개월",
 AND(K2338&gt;=28,K2338&lt;=32),"1개월",
 AND(K2338=0),"당월",
 TRUE,"그외"
)</f>
        <v>그외</v>
      </c>
    </row>
    <row r="2339" spans="1:12" x14ac:dyDescent="0.3">
      <c r="A2339" s="5">
        <v>46023</v>
      </c>
      <c r="B2339" s="6" t="s">
        <v>60</v>
      </c>
      <c r="C2339" s="6" t="s">
        <v>74</v>
      </c>
      <c r="D2339" s="5">
        <v>45901</v>
      </c>
      <c r="E2339" s="6" t="s">
        <v>15</v>
      </c>
      <c r="F2339" s="7">
        <v>153</v>
      </c>
      <c r="G2339" s="7">
        <v>260136.9281045752</v>
      </c>
      <c r="H2339" s="7">
        <v>39800950</v>
      </c>
      <c r="I2339" s="7">
        <v>4318049</v>
      </c>
      <c r="J2339" s="7">
        <v>0</v>
      </c>
      <c r="K2339">
        <f t="shared" si="36"/>
        <v>122</v>
      </c>
      <c r="L2339" s="8" t="str" cm="1">
        <f t="array" ref="L2339">_xlfn.IFS(
 AND(K2339&gt;=89,K2339&lt;=92),"3개월",
 AND(K2339&gt;=58,K2339&lt;=62),"2개월",
 AND(K2339&gt;=28,K2339&lt;=32),"1개월",
 AND(K2339=0),"당월",
 TRUE,"그외"
)</f>
        <v>그외</v>
      </c>
    </row>
    <row r="2340" spans="1:12" x14ac:dyDescent="0.3">
      <c r="A2340" s="5">
        <v>46023</v>
      </c>
      <c r="B2340" s="6" t="s">
        <v>60</v>
      </c>
      <c r="C2340" s="6" t="s">
        <v>74</v>
      </c>
      <c r="D2340" s="5">
        <v>45931</v>
      </c>
      <c r="E2340" s="6" t="s">
        <v>14</v>
      </c>
      <c r="F2340" s="7">
        <v>14</v>
      </c>
      <c r="G2340" s="7">
        <v>211514.28571428571</v>
      </c>
      <c r="H2340" s="7">
        <v>2961200</v>
      </c>
      <c r="I2340" s="7">
        <v>389200</v>
      </c>
      <c r="J2340" s="7">
        <v>0</v>
      </c>
      <c r="K2340">
        <f t="shared" si="36"/>
        <v>92</v>
      </c>
      <c r="L2340" s="8" t="str" cm="1">
        <f t="array" ref="L2340">_xlfn.IFS(
 AND(K2340&gt;=89,K2340&lt;=92),"3개월",
 AND(K2340&gt;=58,K2340&lt;=62),"2개월",
 AND(K2340&gt;=28,K2340&lt;=32),"1개월",
 AND(K2340=0),"당월",
 TRUE,"그외"
)</f>
        <v>3개월</v>
      </c>
    </row>
    <row r="2341" spans="1:12" x14ac:dyDescent="0.3">
      <c r="A2341" s="5">
        <v>46023</v>
      </c>
      <c r="B2341" s="6" t="s">
        <v>60</v>
      </c>
      <c r="C2341" s="6" t="s">
        <v>74</v>
      </c>
      <c r="D2341" s="5">
        <v>45931</v>
      </c>
      <c r="E2341" s="6" t="s">
        <v>15</v>
      </c>
      <c r="F2341" s="7">
        <v>260</v>
      </c>
      <c r="G2341" s="7">
        <v>275853.45769230771</v>
      </c>
      <c r="H2341" s="7">
        <v>71721899</v>
      </c>
      <c r="I2341" s="7">
        <v>7518139</v>
      </c>
      <c r="J2341" s="7">
        <v>0</v>
      </c>
      <c r="K2341">
        <f t="shared" si="36"/>
        <v>92</v>
      </c>
      <c r="L2341" s="8" t="str" cm="1">
        <f t="array" ref="L2341">_xlfn.IFS(
 AND(K2341&gt;=89,K2341&lt;=92),"3개월",
 AND(K2341&gt;=58,K2341&lt;=62),"2개월",
 AND(K2341&gt;=28,K2341&lt;=32),"1개월",
 AND(K2341=0),"당월",
 TRUE,"그외"
)</f>
        <v>3개월</v>
      </c>
    </row>
    <row r="2342" spans="1:12" x14ac:dyDescent="0.3">
      <c r="A2342" s="5">
        <v>46023</v>
      </c>
      <c r="B2342" s="6" t="s">
        <v>60</v>
      </c>
      <c r="C2342" s="6" t="s">
        <v>74</v>
      </c>
      <c r="D2342" s="5">
        <v>45962</v>
      </c>
      <c r="E2342" s="6" t="s">
        <v>14</v>
      </c>
      <c r="F2342" s="7">
        <v>141</v>
      </c>
      <c r="G2342" s="7">
        <v>224014.8936170213</v>
      </c>
      <c r="H2342" s="7">
        <v>31586100</v>
      </c>
      <c r="I2342" s="7">
        <v>3962100</v>
      </c>
      <c r="J2342" s="7">
        <v>0</v>
      </c>
      <c r="K2342">
        <f t="shared" si="36"/>
        <v>61</v>
      </c>
      <c r="L2342" s="8" t="str" cm="1">
        <f t="array" ref="L2342">_xlfn.IFS(
 AND(K2342&gt;=89,K2342&lt;=92),"3개월",
 AND(K2342&gt;=58,K2342&lt;=62),"2개월",
 AND(K2342&gt;=28,K2342&lt;=32),"1개월",
 AND(K2342=0),"당월",
 TRUE,"그외"
)</f>
        <v>2개월</v>
      </c>
    </row>
    <row r="2343" spans="1:12" x14ac:dyDescent="0.3">
      <c r="A2343" s="5">
        <v>46023</v>
      </c>
      <c r="B2343" s="6" t="s">
        <v>60</v>
      </c>
      <c r="C2343" s="6" t="s">
        <v>74</v>
      </c>
      <c r="D2343" s="5">
        <v>45962</v>
      </c>
      <c r="E2343" s="6" t="s">
        <v>15</v>
      </c>
      <c r="F2343" s="7">
        <v>1181</v>
      </c>
      <c r="G2343" s="7">
        <v>197952.52159187131</v>
      </c>
      <c r="H2343" s="7">
        <v>233781928</v>
      </c>
      <c r="I2343" s="7">
        <v>33173794</v>
      </c>
      <c r="J2343" s="7">
        <v>0</v>
      </c>
      <c r="K2343">
        <f t="shared" si="36"/>
        <v>61</v>
      </c>
      <c r="L2343" s="8" t="str" cm="1">
        <f t="array" ref="L2343">_xlfn.IFS(
 AND(K2343&gt;=89,K2343&lt;=92),"3개월",
 AND(K2343&gt;=58,K2343&lt;=62),"2개월",
 AND(K2343&gt;=28,K2343&lt;=32),"1개월",
 AND(K2343=0),"당월",
 TRUE,"그외"
)</f>
        <v>2개월</v>
      </c>
    </row>
    <row r="2344" spans="1:12" x14ac:dyDescent="0.3">
      <c r="A2344" s="5">
        <v>46023</v>
      </c>
      <c r="B2344" s="6" t="s">
        <v>60</v>
      </c>
      <c r="C2344" s="6" t="s">
        <v>74</v>
      </c>
      <c r="D2344" s="5">
        <v>45992</v>
      </c>
      <c r="E2344" s="6" t="s">
        <v>14</v>
      </c>
      <c r="F2344" s="7">
        <v>335</v>
      </c>
      <c r="G2344" s="7">
        <v>231805.9701492537</v>
      </c>
      <c r="H2344" s="7">
        <v>77655000</v>
      </c>
      <c r="I2344" s="7">
        <v>11591000</v>
      </c>
      <c r="J2344" s="7">
        <v>0</v>
      </c>
      <c r="K2344">
        <f t="shared" si="36"/>
        <v>31</v>
      </c>
      <c r="L2344" s="8" t="str" cm="1">
        <f t="array" ref="L2344">_xlfn.IFS(
 AND(K2344&gt;=89,K2344&lt;=92),"3개월",
 AND(K2344&gt;=58,K2344&lt;=62),"2개월",
 AND(K2344&gt;=28,K2344&lt;=32),"1개월",
 AND(K2344=0),"당월",
 TRUE,"그외"
)</f>
        <v>1개월</v>
      </c>
    </row>
    <row r="2345" spans="1:12" x14ac:dyDescent="0.3">
      <c r="A2345" s="5">
        <v>46023</v>
      </c>
      <c r="B2345" s="6" t="s">
        <v>60</v>
      </c>
      <c r="C2345" s="6" t="s">
        <v>74</v>
      </c>
      <c r="D2345" s="5">
        <v>45992</v>
      </c>
      <c r="E2345" s="6" t="s">
        <v>15</v>
      </c>
      <c r="F2345" s="7">
        <v>1206</v>
      </c>
      <c r="G2345" s="7">
        <v>221537.32338308459</v>
      </c>
      <c r="H2345" s="7">
        <v>267174012</v>
      </c>
      <c r="I2345" s="7">
        <v>41835726</v>
      </c>
      <c r="J2345" s="7">
        <v>0</v>
      </c>
      <c r="K2345">
        <f t="shared" si="36"/>
        <v>31</v>
      </c>
      <c r="L2345" s="8" t="str" cm="1">
        <f t="array" ref="L2345">_xlfn.IFS(
 AND(K2345&gt;=89,K2345&lt;=92),"3개월",
 AND(K2345&gt;=58,K2345&lt;=62),"2개월",
 AND(K2345&gt;=28,K2345&lt;=32),"1개월",
 AND(K2345=0),"당월",
 TRUE,"그외"
)</f>
        <v>1개월</v>
      </c>
    </row>
    <row r="2346" spans="1:12" x14ac:dyDescent="0.3">
      <c r="A2346" s="5">
        <v>46023</v>
      </c>
      <c r="B2346" s="6" t="s">
        <v>60</v>
      </c>
      <c r="C2346" s="6" t="s">
        <v>74</v>
      </c>
      <c r="D2346" s="5">
        <v>46023</v>
      </c>
      <c r="E2346" s="6" t="s">
        <v>14</v>
      </c>
      <c r="F2346" s="7">
        <v>189</v>
      </c>
      <c r="G2346" s="7">
        <v>221780.9523809524</v>
      </c>
      <c r="H2346" s="7">
        <v>41916600</v>
      </c>
      <c r="I2346" s="7">
        <v>6669600</v>
      </c>
      <c r="J2346" s="7">
        <v>0</v>
      </c>
      <c r="K2346">
        <f t="shared" si="36"/>
        <v>0</v>
      </c>
      <c r="L2346" s="8" t="str" cm="1">
        <f t="array" ref="L2346">_xlfn.IFS(
 AND(K2346&gt;=89,K2346&lt;=92),"3개월",
 AND(K2346&gt;=58,K2346&lt;=62),"2개월",
 AND(K2346&gt;=28,K2346&lt;=32),"1개월",
 AND(K2346=0),"당월",
 TRUE,"그외"
)</f>
        <v>당월</v>
      </c>
    </row>
    <row r="2347" spans="1:12" x14ac:dyDescent="0.3">
      <c r="A2347" s="5">
        <v>46023</v>
      </c>
      <c r="B2347" s="6" t="s">
        <v>60</v>
      </c>
      <c r="C2347" s="6" t="s">
        <v>74</v>
      </c>
      <c r="D2347" s="5">
        <v>46023</v>
      </c>
      <c r="E2347" s="6" t="s">
        <v>15</v>
      </c>
      <c r="F2347" s="7">
        <v>569</v>
      </c>
      <c r="G2347" s="7">
        <v>214861.30404217931</v>
      </c>
      <c r="H2347" s="7">
        <v>122256082</v>
      </c>
      <c r="I2347" s="7">
        <v>19991206</v>
      </c>
      <c r="J2347" s="7">
        <v>0</v>
      </c>
      <c r="K2347">
        <f t="shared" si="36"/>
        <v>0</v>
      </c>
      <c r="L2347" s="8" t="str" cm="1">
        <f t="array" ref="L2347">_xlfn.IFS(
 AND(K2347&gt;=89,K2347&lt;=92),"3개월",
 AND(K2347&gt;=58,K2347&lt;=62),"2개월",
 AND(K2347&gt;=28,K2347&lt;=32),"1개월",
 AND(K2347=0),"당월",
 TRUE,"그외"
)</f>
        <v>당월</v>
      </c>
    </row>
    <row r="2348" spans="1:12" x14ac:dyDescent="0.3">
      <c r="A2348" s="5">
        <v>46023</v>
      </c>
      <c r="B2348" s="6" t="s">
        <v>60</v>
      </c>
      <c r="C2348" s="6" t="s">
        <v>117</v>
      </c>
      <c r="D2348" s="5">
        <v>45992</v>
      </c>
      <c r="E2348" s="6" t="s">
        <v>14</v>
      </c>
      <c r="F2348" s="7">
        <v>294</v>
      </c>
      <c r="G2348" s="7">
        <v>401360.5442176871</v>
      </c>
      <c r="H2348" s="7">
        <v>118000000</v>
      </c>
      <c r="I2348" s="7">
        <v>0</v>
      </c>
      <c r="J2348" s="7">
        <v>0</v>
      </c>
      <c r="K2348">
        <f t="shared" si="36"/>
        <v>31</v>
      </c>
      <c r="L2348" s="8" t="str" cm="1">
        <f t="array" ref="L2348">_xlfn.IFS(
 AND(K2348&gt;=89,K2348&lt;=92),"3개월",
 AND(K2348&gt;=58,K2348&lt;=62),"2개월",
 AND(K2348&gt;=28,K2348&lt;=32),"1개월",
 AND(K2348=0),"당월",
 TRUE,"그외"
)</f>
        <v>1개월</v>
      </c>
    </row>
    <row r="2349" spans="1:12" x14ac:dyDescent="0.3">
      <c r="A2349" s="5">
        <v>46023</v>
      </c>
      <c r="B2349" s="6" t="s">
        <v>60</v>
      </c>
      <c r="C2349" s="6" t="s">
        <v>117</v>
      </c>
      <c r="D2349" s="5">
        <v>45992</v>
      </c>
      <c r="E2349" s="6" t="s">
        <v>15</v>
      </c>
      <c r="F2349" s="7">
        <v>8</v>
      </c>
      <c r="G2349" s="7">
        <v>0</v>
      </c>
      <c r="H2349" s="7">
        <v>0</v>
      </c>
      <c r="I2349" s="7">
        <v>0</v>
      </c>
      <c r="J2349" s="7">
        <v>0</v>
      </c>
      <c r="K2349">
        <f t="shared" si="36"/>
        <v>31</v>
      </c>
      <c r="L2349" s="8" t="str" cm="1">
        <f t="array" ref="L2349">_xlfn.IFS(
 AND(K2349&gt;=89,K2349&lt;=92),"3개월",
 AND(K2349&gt;=58,K2349&lt;=62),"2개월",
 AND(K2349&gt;=28,K2349&lt;=32),"1개월",
 AND(K2349=0),"당월",
 TRUE,"그외"
)</f>
        <v>1개월</v>
      </c>
    </row>
    <row r="2350" spans="1:12" x14ac:dyDescent="0.3">
      <c r="A2350" s="5">
        <v>46023</v>
      </c>
      <c r="B2350" s="6" t="s">
        <v>60</v>
      </c>
      <c r="C2350" s="6" t="s">
        <v>117</v>
      </c>
      <c r="D2350" s="5">
        <v>46023</v>
      </c>
      <c r="E2350" s="6" t="s">
        <v>14</v>
      </c>
      <c r="F2350" s="7">
        <v>587</v>
      </c>
      <c r="G2350" s="7">
        <v>603066.43952299829</v>
      </c>
      <c r="H2350" s="7">
        <v>354000000</v>
      </c>
      <c r="I2350" s="7">
        <v>0</v>
      </c>
      <c r="J2350" s="7">
        <v>0</v>
      </c>
      <c r="K2350">
        <f t="shared" si="36"/>
        <v>0</v>
      </c>
      <c r="L2350" s="8" t="str" cm="1">
        <f t="array" ref="L2350">_xlfn.IFS(
 AND(K2350&gt;=89,K2350&lt;=92),"3개월",
 AND(K2350&gt;=58,K2350&lt;=62),"2개월",
 AND(K2350&gt;=28,K2350&lt;=32),"1개월",
 AND(K2350=0),"당월",
 TRUE,"그외"
)</f>
        <v>당월</v>
      </c>
    </row>
    <row r="2351" spans="1:12" x14ac:dyDescent="0.3">
      <c r="A2351" s="5">
        <v>46023</v>
      </c>
      <c r="B2351" s="6" t="s">
        <v>60</v>
      </c>
      <c r="C2351" s="6" t="s">
        <v>117</v>
      </c>
      <c r="D2351" s="5">
        <v>46023</v>
      </c>
      <c r="E2351" s="6" t="s">
        <v>15</v>
      </c>
      <c r="F2351" s="7">
        <v>31</v>
      </c>
      <c r="G2351" s="7">
        <v>0</v>
      </c>
      <c r="H2351" s="7">
        <v>0</v>
      </c>
      <c r="I2351" s="7">
        <v>0</v>
      </c>
      <c r="J2351" s="7">
        <v>0</v>
      </c>
      <c r="K2351">
        <f t="shared" si="36"/>
        <v>0</v>
      </c>
      <c r="L2351" s="8" t="str" cm="1">
        <f t="array" ref="L2351">_xlfn.IFS(
 AND(K2351&gt;=89,K2351&lt;=92),"3개월",
 AND(K2351&gt;=58,K2351&lt;=62),"2개월",
 AND(K2351&gt;=28,K2351&lt;=32),"1개월",
 AND(K2351=0),"당월",
 TRUE,"그외"
)</f>
        <v>당월</v>
      </c>
    </row>
    <row r="2352" spans="1:12" x14ac:dyDescent="0.3">
      <c r="A2352" s="5">
        <v>46023</v>
      </c>
      <c r="B2352" s="6" t="s">
        <v>75</v>
      </c>
      <c r="C2352" s="6" t="s">
        <v>76</v>
      </c>
      <c r="D2352" s="5">
        <v>45839</v>
      </c>
      <c r="E2352" s="6" t="s">
        <v>15</v>
      </c>
      <c r="F2352" s="7">
        <v>15</v>
      </c>
      <c r="G2352" s="7">
        <v>312000</v>
      </c>
      <c r="H2352" s="7">
        <v>4680000</v>
      </c>
      <c r="I2352" s="7">
        <v>247500</v>
      </c>
      <c r="J2352" s="7">
        <v>0</v>
      </c>
      <c r="K2352">
        <f t="shared" si="36"/>
        <v>184</v>
      </c>
      <c r="L2352" s="8" t="str" cm="1">
        <f t="array" ref="L2352">_xlfn.IFS(
 AND(K2352&gt;=89,K2352&lt;=92),"3개월",
 AND(K2352&gt;=58,K2352&lt;=62),"2개월",
 AND(K2352&gt;=28,K2352&lt;=32),"1개월",
 AND(K2352=0),"당월",
 TRUE,"그외"
)</f>
        <v>그외</v>
      </c>
    </row>
    <row r="2353" spans="1:12" x14ac:dyDescent="0.3">
      <c r="A2353" s="5">
        <v>46023</v>
      </c>
      <c r="B2353" s="6" t="s">
        <v>75</v>
      </c>
      <c r="C2353" s="6" t="s">
        <v>76</v>
      </c>
      <c r="D2353" s="5">
        <v>45870</v>
      </c>
      <c r="E2353" s="6" t="s">
        <v>15</v>
      </c>
      <c r="F2353" s="7">
        <v>17</v>
      </c>
      <c r="G2353" s="7">
        <v>317617.64705882361</v>
      </c>
      <c r="H2353" s="7">
        <v>5399500</v>
      </c>
      <c r="I2353" s="7">
        <v>442000</v>
      </c>
      <c r="J2353" s="7">
        <v>0</v>
      </c>
      <c r="K2353">
        <f t="shared" si="36"/>
        <v>153</v>
      </c>
      <c r="L2353" s="8" t="str" cm="1">
        <f t="array" ref="L2353">_xlfn.IFS(
 AND(K2353&gt;=89,K2353&lt;=92),"3개월",
 AND(K2353&gt;=58,K2353&lt;=62),"2개월",
 AND(K2353&gt;=28,K2353&lt;=32),"1개월",
 AND(K2353=0),"당월",
 TRUE,"그외"
)</f>
        <v>그외</v>
      </c>
    </row>
    <row r="2354" spans="1:12" x14ac:dyDescent="0.3">
      <c r="A2354" s="5">
        <v>46023</v>
      </c>
      <c r="B2354" s="6" t="s">
        <v>75</v>
      </c>
      <c r="C2354" s="6" t="s">
        <v>76</v>
      </c>
      <c r="D2354" s="5">
        <v>45901</v>
      </c>
      <c r="E2354" s="6" t="s">
        <v>15</v>
      </c>
      <c r="F2354" s="7">
        <v>4</v>
      </c>
      <c r="G2354" s="7">
        <v>315050</v>
      </c>
      <c r="H2354" s="7">
        <v>1260200</v>
      </c>
      <c r="I2354" s="7">
        <v>105200</v>
      </c>
      <c r="J2354" s="7">
        <v>0</v>
      </c>
      <c r="K2354">
        <f t="shared" si="36"/>
        <v>122</v>
      </c>
      <c r="L2354" s="8" t="str" cm="1">
        <f t="array" ref="L2354">_xlfn.IFS(
 AND(K2354&gt;=89,K2354&lt;=92),"3개월",
 AND(K2354&gt;=58,K2354&lt;=62),"2개월",
 AND(K2354&gt;=28,K2354&lt;=32),"1개월",
 AND(K2354=0),"당월",
 TRUE,"그외"
)</f>
        <v>그외</v>
      </c>
    </row>
    <row r="2355" spans="1:12" x14ac:dyDescent="0.3">
      <c r="A2355" s="5">
        <v>46023</v>
      </c>
      <c r="B2355" s="6" t="s">
        <v>75</v>
      </c>
      <c r="C2355" s="6" t="s">
        <v>76</v>
      </c>
      <c r="D2355" s="5">
        <v>45931</v>
      </c>
      <c r="E2355" s="6" t="s">
        <v>15</v>
      </c>
      <c r="F2355" s="7">
        <v>23</v>
      </c>
      <c r="G2355" s="7">
        <v>379856.52173913037</v>
      </c>
      <c r="H2355" s="7">
        <v>8736700</v>
      </c>
      <c r="I2355" s="7">
        <v>607200</v>
      </c>
      <c r="J2355" s="7">
        <v>0</v>
      </c>
      <c r="K2355">
        <f t="shared" si="36"/>
        <v>92</v>
      </c>
      <c r="L2355" s="8" t="str" cm="1">
        <f t="array" ref="L2355">_xlfn.IFS(
 AND(K2355&gt;=89,K2355&lt;=92),"3개월",
 AND(K2355&gt;=58,K2355&lt;=62),"2개월",
 AND(K2355&gt;=28,K2355&lt;=32),"1개월",
 AND(K2355=0),"당월",
 TRUE,"그외"
)</f>
        <v>3개월</v>
      </c>
    </row>
    <row r="2356" spans="1:12" x14ac:dyDescent="0.3">
      <c r="A2356" s="5">
        <v>46023</v>
      </c>
      <c r="B2356" s="6" t="s">
        <v>75</v>
      </c>
      <c r="C2356" s="6" t="s">
        <v>76</v>
      </c>
      <c r="D2356" s="5">
        <v>45962</v>
      </c>
      <c r="E2356" s="6" t="s">
        <v>15</v>
      </c>
      <c r="F2356" s="7">
        <v>23</v>
      </c>
      <c r="G2356" s="7">
        <v>382960.86956521741</v>
      </c>
      <c r="H2356" s="7">
        <v>8808100</v>
      </c>
      <c r="I2356" s="7">
        <v>614100</v>
      </c>
      <c r="J2356" s="7">
        <v>0</v>
      </c>
      <c r="K2356">
        <f t="shared" si="36"/>
        <v>61</v>
      </c>
      <c r="L2356" s="8" t="str" cm="1">
        <f t="array" ref="L2356">_xlfn.IFS(
 AND(K2356&gt;=89,K2356&lt;=92),"3개월",
 AND(K2356&gt;=58,K2356&lt;=62),"2개월",
 AND(K2356&gt;=28,K2356&lt;=32),"1개월",
 AND(K2356=0),"당월",
 TRUE,"그외"
)</f>
        <v>2개월</v>
      </c>
    </row>
    <row r="2357" spans="1:12" x14ac:dyDescent="0.3">
      <c r="A2357" s="5">
        <v>46023</v>
      </c>
      <c r="B2357" s="6" t="s">
        <v>75</v>
      </c>
      <c r="C2357" s="6" t="s">
        <v>76</v>
      </c>
      <c r="D2357" s="5">
        <v>45992</v>
      </c>
      <c r="E2357" s="6" t="s">
        <v>15</v>
      </c>
      <c r="F2357" s="7">
        <v>13</v>
      </c>
      <c r="G2357" s="7">
        <v>395700</v>
      </c>
      <c r="H2357" s="7">
        <v>5144100</v>
      </c>
      <c r="I2357" s="7">
        <v>412100</v>
      </c>
      <c r="J2357" s="7">
        <v>0</v>
      </c>
      <c r="K2357">
        <f t="shared" si="36"/>
        <v>31</v>
      </c>
      <c r="L2357" s="8" t="str" cm="1">
        <f t="array" ref="L2357">_xlfn.IFS(
 AND(K2357&gt;=89,K2357&lt;=92),"3개월",
 AND(K2357&gt;=58,K2357&lt;=62),"2개월",
 AND(K2357&gt;=28,K2357&lt;=32),"1개월",
 AND(K2357=0),"당월",
 TRUE,"그외"
)</f>
        <v>1개월</v>
      </c>
    </row>
    <row r="2358" spans="1:12" x14ac:dyDescent="0.3">
      <c r="A2358" s="5">
        <v>46023</v>
      </c>
      <c r="B2358" s="6" t="s">
        <v>75</v>
      </c>
      <c r="C2358" s="6" t="s">
        <v>76</v>
      </c>
      <c r="D2358" s="5">
        <v>46023</v>
      </c>
      <c r="E2358" s="6" t="s">
        <v>15</v>
      </c>
      <c r="F2358" s="7">
        <v>9</v>
      </c>
      <c r="G2358" s="7">
        <v>390055.55555555562</v>
      </c>
      <c r="H2358" s="7">
        <v>3510500</v>
      </c>
      <c r="I2358" s="7">
        <v>265500</v>
      </c>
      <c r="J2358" s="7">
        <v>0</v>
      </c>
      <c r="K2358">
        <f t="shared" si="36"/>
        <v>0</v>
      </c>
      <c r="L2358" s="8" t="str" cm="1">
        <f t="array" ref="L2358">_xlfn.IFS(
 AND(K2358&gt;=89,K2358&lt;=92),"3개월",
 AND(K2358&gt;=58,K2358&lt;=62),"2개월",
 AND(K2358&gt;=28,K2358&lt;=32),"1개월",
 AND(K2358=0),"당월",
 TRUE,"그외"
)</f>
        <v>당월</v>
      </c>
    </row>
    <row r="2359" spans="1:12" x14ac:dyDescent="0.3">
      <c r="A2359" s="5">
        <v>46023</v>
      </c>
      <c r="B2359" s="6" t="s">
        <v>75</v>
      </c>
      <c r="C2359" s="6" t="s">
        <v>77</v>
      </c>
      <c r="D2359" s="5">
        <v>45839</v>
      </c>
      <c r="E2359" s="6" t="s">
        <v>14</v>
      </c>
      <c r="F2359" s="7">
        <v>4</v>
      </c>
      <c r="G2359" s="7">
        <v>381786</v>
      </c>
      <c r="H2359" s="7">
        <v>1527144</v>
      </c>
      <c r="I2359" s="7">
        <v>409732</v>
      </c>
      <c r="J2359" s="7">
        <v>0</v>
      </c>
      <c r="K2359">
        <f t="shared" si="36"/>
        <v>184</v>
      </c>
      <c r="L2359" s="8" t="str" cm="1">
        <f t="array" ref="L2359">_xlfn.IFS(
 AND(K2359&gt;=89,K2359&lt;=92),"3개월",
 AND(K2359&gt;=58,K2359&lt;=62),"2개월",
 AND(K2359&gt;=28,K2359&lt;=32),"1개월",
 AND(K2359=0),"당월",
 TRUE,"그외"
)</f>
        <v>그외</v>
      </c>
    </row>
    <row r="2360" spans="1:12" x14ac:dyDescent="0.3">
      <c r="A2360" s="5">
        <v>46023</v>
      </c>
      <c r="B2360" s="6" t="s">
        <v>75</v>
      </c>
      <c r="C2360" s="6" t="s">
        <v>77</v>
      </c>
      <c r="D2360" s="5">
        <v>45839</v>
      </c>
      <c r="E2360" s="6" t="s">
        <v>15</v>
      </c>
      <c r="F2360" s="7">
        <v>135</v>
      </c>
      <c r="G2360" s="7">
        <v>627232.26666666672</v>
      </c>
      <c r="H2360" s="7">
        <v>84676356</v>
      </c>
      <c r="I2360" s="7">
        <v>13009410</v>
      </c>
      <c r="J2360" s="7">
        <v>0</v>
      </c>
      <c r="K2360">
        <f t="shared" si="36"/>
        <v>184</v>
      </c>
      <c r="L2360" s="8" t="str" cm="1">
        <f t="array" ref="L2360">_xlfn.IFS(
 AND(K2360&gt;=89,K2360&lt;=92),"3개월",
 AND(K2360&gt;=58,K2360&lt;=62),"2개월",
 AND(K2360&gt;=28,K2360&lt;=32),"1개월",
 AND(K2360=0),"당월",
 TRUE,"그외"
)</f>
        <v>그외</v>
      </c>
    </row>
    <row r="2361" spans="1:12" x14ac:dyDescent="0.3">
      <c r="A2361" s="5">
        <v>46023</v>
      </c>
      <c r="B2361" s="6" t="s">
        <v>75</v>
      </c>
      <c r="C2361" s="6" t="s">
        <v>77</v>
      </c>
      <c r="D2361" s="5">
        <v>45870</v>
      </c>
      <c r="E2361" s="6" t="s">
        <v>14</v>
      </c>
      <c r="F2361" s="7">
        <v>24</v>
      </c>
      <c r="G2361" s="7">
        <v>323897</v>
      </c>
      <c r="H2361" s="7">
        <v>7773528</v>
      </c>
      <c r="I2361" s="7">
        <v>1468718</v>
      </c>
      <c r="J2361" s="7">
        <v>0</v>
      </c>
      <c r="K2361">
        <f t="shared" si="36"/>
        <v>153</v>
      </c>
      <c r="L2361" s="8" t="str" cm="1">
        <f t="array" ref="L2361">_xlfn.IFS(
 AND(K2361&gt;=89,K2361&lt;=92),"3개월",
 AND(K2361&gt;=58,K2361&lt;=62),"2개월",
 AND(K2361&gt;=28,K2361&lt;=32),"1개월",
 AND(K2361=0),"당월",
 TRUE,"그외"
)</f>
        <v>그외</v>
      </c>
    </row>
    <row r="2362" spans="1:12" x14ac:dyDescent="0.3">
      <c r="A2362" s="5">
        <v>46023</v>
      </c>
      <c r="B2362" s="6" t="s">
        <v>75</v>
      </c>
      <c r="C2362" s="6" t="s">
        <v>77</v>
      </c>
      <c r="D2362" s="5">
        <v>45870</v>
      </c>
      <c r="E2362" s="6" t="s">
        <v>15</v>
      </c>
      <c r="F2362" s="7">
        <v>234</v>
      </c>
      <c r="G2362" s="7">
        <v>512728.01709401712</v>
      </c>
      <c r="H2362" s="7">
        <v>119978356</v>
      </c>
      <c r="I2362" s="7">
        <v>14466158</v>
      </c>
      <c r="J2362" s="7">
        <v>0</v>
      </c>
      <c r="K2362">
        <f t="shared" si="36"/>
        <v>153</v>
      </c>
      <c r="L2362" s="8" t="str" cm="1">
        <f t="array" ref="L2362">_xlfn.IFS(
 AND(K2362&gt;=89,K2362&lt;=92),"3개월",
 AND(K2362&gt;=58,K2362&lt;=62),"2개월",
 AND(K2362&gt;=28,K2362&lt;=32),"1개월",
 AND(K2362=0),"당월",
 TRUE,"그외"
)</f>
        <v>그외</v>
      </c>
    </row>
    <row r="2363" spans="1:12" x14ac:dyDescent="0.3">
      <c r="A2363" s="5">
        <v>46023</v>
      </c>
      <c r="B2363" s="6" t="s">
        <v>75</v>
      </c>
      <c r="C2363" s="6" t="s">
        <v>77</v>
      </c>
      <c r="D2363" s="5">
        <v>45901</v>
      </c>
      <c r="E2363" s="6" t="s">
        <v>14</v>
      </c>
      <c r="F2363" s="7">
        <v>64</v>
      </c>
      <c r="G2363" s="7">
        <v>161140.25</v>
      </c>
      <c r="H2363" s="7">
        <v>10312976</v>
      </c>
      <c r="I2363" s="7">
        <v>1386004</v>
      </c>
      <c r="J2363" s="7">
        <v>0</v>
      </c>
      <c r="K2363">
        <f t="shared" si="36"/>
        <v>122</v>
      </c>
      <c r="L2363" s="8" t="str" cm="1">
        <f t="array" ref="L2363">_xlfn.IFS(
 AND(K2363&gt;=89,K2363&lt;=92),"3개월",
 AND(K2363&gt;=58,K2363&lt;=62),"2개월",
 AND(K2363&gt;=28,K2363&lt;=32),"1개월",
 AND(K2363=0),"당월",
 TRUE,"그외"
)</f>
        <v>그외</v>
      </c>
    </row>
    <row r="2364" spans="1:12" x14ac:dyDescent="0.3">
      <c r="A2364" s="5">
        <v>46023</v>
      </c>
      <c r="B2364" s="6" t="s">
        <v>75</v>
      </c>
      <c r="C2364" s="6" t="s">
        <v>77</v>
      </c>
      <c r="D2364" s="5">
        <v>45901</v>
      </c>
      <c r="E2364" s="6" t="s">
        <v>15</v>
      </c>
      <c r="F2364" s="7">
        <v>263</v>
      </c>
      <c r="G2364" s="7">
        <v>338881.84790874523</v>
      </c>
      <c r="H2364" s="7">
        <v>89125926</v>
      </c>
      <c r="I2364" s="7">
        <v>9930029</v>
      </c>
      <c r="J2364" s="7">
        <v>0</v>
      </c>
      <c r="K2364">
        <f t="shared" si="36"/>
        <v>122</v>
      </c>
      <c r="L2364" s="8" t="str" cm="1">
        <f t="array" ref="L2364">_xlfn.IFS(
 AND(K2364&gt;=89,K2364&lt;=92),"3개월",
 AND(K2364&gt;=58,K2364&lt;=62),"2개월",
 AND(K2364&gt;=28,K2364&lt;=32),"1개월",
 AND(K2364=0),"당월",
 TRUE,"그외"
)</f>
        <v>그외</v>
      </c>
    </row>
    <row r="2365" spans="1:12" x14ac:dyDescent="0.3">
      <c r="A2365" s="5">
        <v>46023</v>
      </c>
      <c r="B2365" s="6" t="s">
        <v>75</v>
      </c>
      <c r="C2365" s="6" t="s">
        <v>77</v>
      </c>
      <c r="D2365" s="5">
        <v>45931</v>
      </c>
      <c r="E2365" s="6" t="s">
        <v>14</v>
      </c>
      <c r="F2365" s="7">
        <v>21</v>
      </c>
      <c r="G2365" s="7">
        <v>310053.61904761911</v>
      </c>
      <c r="H2365" s="7">
        <v>6511126</v>
      </c>
      <c r="I2365" s="7">
        <v>1578003</v>
      </c>
      <c r="J2365" s="7">
        <v>0</v>
      </c>
      <c r="K2365">
        <f t="shared" si="36"/>
        <v>92</v>
      </c>
      <c r="L2365" s="8" t="str" cm="1">
        <f t="array" ref="L2365">_xlfn.IFS(
 AND(K2365&gt;=89,K2365&lt;=92),"3개월",
 AND(K2365&gt;=58,K2365&lt;=62),"2개월",
 AND(K2365&gt;=28,K2365&lt;=32),"1개월",
 AND(K2365=0),"당월",
 TRUE,"그외"
)</f>
        <v>3개월</v>
      </c>
    </row>
    <row r="2366" spans="1:12" x14ac:dyDescent="0.3">
      <c r="A2366" s="5">
        <v>46023</v>
      </c>
      <c r="B2366" s="6" t="s">
        <v>75</v>
      </c>
      <c r="C2366" s="6" t="s">
        <v>77</v>
      </c>
      <c r="D2366" s="5">
        <v>45931</v>
      </c>
      <c r="E2366" s="6" t="s">
        <v>15</v>
      </c>
      <c r="F2366" s="7">
        <v>882</v>
      </c>
      <c r="G2366" s="7">
        <v>264582.81292517012</v>
      </c>
      <c r="H2366" s="7">
        <v>233362041</v>
      </c>
      <c r="I2366" s="7">
        <v>66531267</v>
      </c>
      <c r="J2366" s="7">
        <v>0</v>
      </c>
      <c r="K2366">
        <f t="shared" si="36"/>
        <v>92</v>
      </c>
      <c r="L2366" s="8" t="str" cm="1">
        <f t="array" ref="L2366">_xlfn.IFS(
 AND(K2366&gt;=89,K2366&lt;=92),"3개월",
 AND(K2366&gt;=58,K2366&lt;=62),"2개월",
 AND(K2366&gt;=28,K2366&lt;=32),"1개월",
 AND(K2366=0),"당월",
 TRUE,"그외"
)</f>
        <v>3개월</v>
      </c>
    </row>
    <row r="2367" spans="1:12" x14ac:dyDescent="0.3">
      <c r="A2367" s="5">
        <v>46023</v>
      </c>
      <c r="B2367" s="6" t="s">
        <v>75</v>
      </c>
      <c r="C2367" s="6" t="s">
        <v>77</v>
      </c>
      <c r="D2367" s="5">
        <v>45962</v>
      </c>
      <c r="E2367" s="6" t="s">
        <v>14</v>
      </c>
      <c r="F2367" s="7">
        <v>120</v>
      </c>
      <c r="G2367" s="7">
        <v>240408.66666666669</v>
      </c>
      <c r="H2367" s="7">
        <v>28849040</v>
      </c>
      <c r="I2367" s="7">
        <v>9003318</v>
      </c>
      <c r="J2367" s="7">
        <v>0</v>
      </c>
      <c r="K2367">
        <f t="shared" si="36"/>
        <v>61</v>
      </c>
      <c r="L2367" s="8" t="str" cm="1">
        <f t="array" ref="L2367">_xlfn.IFS(
 AND(K2367&gt;=89,K2367&lt;=92),"3개월",
 AND(K2367&gt;=58,K2367&lt;=62),"2개월",
 AND(K2367&gt;=28,K2367&lt;=32),"1개월",
 AND(K2367=0),"당월",
 TRUE,"그외"
)</f>
        <v>2개월</v>
      </c>
    </row>
    <row r="2368" spans="1:12" x14ac:dyDescent="0.3">
      <c r="A2368" s="5">
        <v>46023</v>
      </c>
      <c r="B2368" s="6" t="s">
        <v>75</v>
      </c>
      <c r="C2368" s="6" t="s">
        <v>77</v>
      </c>
      <c r="D2368" s="5">
        <v>45962</v>
      </c>
      <c r="E2368" s="6" t="s">
        <v>15</v>
      </c>
      <c r="F2368" s="7">
        <v>1558</v>
      </c>
      <c r="G2368" s="7">
        <v>272381.05070603342</v>
      </c>
      <c r="H2368" s="7">
        <v>424369677</v>
      </c>
      <c r="I2368" s="7">
        <v>116771688</v>
      </c>
      <c r="J2368" s="7">
        <v>0</v>
      </c>
      <c r="K2368">
        <f t="shared" si="36"/>
        <v>61</v>
      </c>
      <c r="L2368" s="8" t="str" cm="1">
        <f t="array" ref="L2368">_xlfn.IFS(
 AND(K2368&gt;=89,K2368&lt;=92),"3개월",
 AND(K2368&gt;=58,K2368&lt;=62),"2개월",
 AND(K2368&gt;=28,K2368&lt;=32),"1개월",
 AND(K2368=0),"당월",
 TRUE,"그외"
)</f>
        <v>2개월</v>
      </c>
    </row>
    <row r="2369" spans="1:12" x14ac:dyDescent="0.3">
      <c r="A2369" s="5">
        <v>46023</v>
      </c>
      <c r="B2369" s="6" t="s">
        <v>75</v>
      </c>
      <c r="C2369" s="6" t="s">
        <v>77</v>
      </c>
      <c r="D2369" s="5">
        <v>45992</v>
      </c>
      <c r="E2369" s="6" t="s">
        <v>14</v>
      </c>
      <c r="F2369" s="7">
        <v>3058</v>
      </c>
      <c r="G2369" s="7">
        <v>211685.65173315891</v>
      </c>
      <c r="H2369" s="7">
        <v>647334723</v>
      </c>
      <c r="I2369" s="7">
        <v>230436470</v>
      </c>
      <c r="J2369" s="7">
        <v>0</v>
      </c>
      <c r="K2369">
        <f t="shared" si="36"/>
        <v>31</v>
      </c>
      <c r="L2369" s="8" t="str" cm="1">
        <f t="array" ref="L2369">_xlfn.IFS(
 AND(K2369&gt;=89,K2369&lt;=92),"3개월",
 AND(K2369&gt;=58,K2369&lt;=62),"2개월",
 AND(K2369&gt;=28,K2369&lt;=32),"1개월",
 AND(K2369=0),"당월",
 TRUE,"그외"
)</f>
        <v>1개월</v>
      </c>
    </row>
    <row r="2370" spans="1:12" x14ac:dyDescent="0.3">
      <c r="A2370" s="5">
        <v>46023</v>
      </c>
      <c r="B2370" s="6" t="s">
        <v>75</v>
      </c>
      <c r="C2370" s="6" t="s">
        <v>77</v>
      </c>
      <c r="D2370" s="5">
        <v>45992</v>
      </c>
      <c r="E2370" s="6" t="s">
        <v>15</v>
      </c>
      <c r="F2370" s="7">
        <v>1787</v>
      </c>
      <c r="G2370" s="7">
        <v>261663.85058757689</v>
      </c>
      <c r="H2370" s="7">
        <v>467593301</v>
      </c>
      <c r="I2370" s="7">
        <v>118047757</v>
      </c>
      <c r="J2370" s="7">
        <v>0</v>
      </c>
      <c r="K2370">
        <f t="shared" si="36"/>
        <v>31</v>
      </c>
      <c r="L2370" s="8" t="str" cm="1">
        <f t="array" ref="L2370">_xlfn.IFS(
 AND(K2370&gt;=89,K2370&lt;=92),"3개월",
 AND(K2370&gt;=58,K2370&lt;=62),"2개월",
 AND(K2370&gt;=28,K2370&lt;=32),"1개월",
 AND(K2370=0),"당월",
 TRUE,"그외"
)</f>
        <v>1개월</v>
      </c>
    </row>
    <row r="2371" spans="1:12" x14ac:dyDescent="0.3">
      <c r="A2371" s="5">
        <v>46023</v>
      </c>
      <c r="B2371" s="6" t="s">
        <v>75</v>
      </c>
      <c r="C2371" s="6" t="s">
        <v>77</v>
      </c>
      <c r="D2371" s="5">
        <v>46023</v>
      </c>
      <c r="E2371" s="6" t="s">
        <v>14</v>
      </c>
      <c r="F2371" s="7">
        <v>150</v>
      </c>
      <c r="G2371" s="7">
        <v>166677.09333333329</v>
      </c>
      <c r="H2371" s="7">
        <v>25001564</v>
      </c>
      <c r="I2371" s="7">
        <v>11054716</v>
      </c>
      <c r="J2371" s="7">
        <v>0</v>
      </c>
      <c r="K2371">
        <f t="shared" si="36"/>
        <v>0</v>
      </c>
      <c r="L2371" s="8" t="str" cm="1">
        <f t="array" ref="L2371">_xlfn.IFS(
 AND(K2371&gt;=89,K2371&lt;=92),"3개월",
 AND(K2371&gt;=58,K2371&lt;=62),"2개월",
 AND(K2371&gt;=28,K2371&lt;=32),"1개월",
 AND(K2371=0),"당월",
 TRUE,"그외"
)</f>
        <v>당월</v>
      </c>
    </row>
    <row r="2372" spans="1:12" x14ac:dyDescent="0.3">
      <c r="A2372" s="5">
        <v>46023</v>
      </c>
      <c r="B2372" s="6" t="s">
        <v>75</v>
      </c>
      <c r="C2372" s="6" t="s">
        <v>77</v>
      </c>
      <c r="D2372" s="5">
        <v>46023</v>
      </c>
      <c r="E2372" s="6" t="s">
        <v>15</v>
      </c>
      <c r="F2372" s="7">
        <v>578</v>
      </c>
      <c r="G2372" s="7">
        <v>372653.44463667821</v>
      </c>
      <c r="H2372" s="7">
        <v>215393691</v>
      </c>
      <c r="I2372" s="7">
        <v>42087703</v>
      </c>
      <c r="J2372" s="7">
        <v>0</v>
      </c>
      <c r="K2372">
        <f t="shared" si="36"/>
        <v>0</v>
      </c>
      <c r="L2372" s="8" t="str" cm="1">
        <f t="array" ref="L2372">_xlfn.IFS(
 AND(K2372&gt;=89,K2372&lt;=92),"3개월",
 AND(K2372&gt;=58,K2372&lt;=62),"2개월",
 AND(K2372&gt;=28,K2372&lt;=32),"1개월",
 AND(K2372=0),"당월",
 TRUE,"그외"
)</f>
        <v>당월</v>
      </c>
    </row>
    <row r="2373" spans="1:12" x14ac:dyDescent="0.3">
      <c r="A2373" s="5">
        <v>46023</v>
      </c>
      <c r="B2373" s="6" t="s">
        <v>75</v>
      </c>
      <c r="C2373" s="6" t="s">
        <v>78</v>
      </c>
      <c r="D2373" s="5">
        <v>45992</v>
      </c>
      <c r="E2373" s="6" t="s">
        <v>15</v>
      </c>
      <c r="F2373" s="7">
        <v>558</v>
      </c>
      <c r="G2373" s="7">
        <v>559239.55913978489</v>
      </c>
      <c r="H2373" s="7">
        <v>312055674</v>
      </c>
      <c r="I2373" s="7">
        <v>0</v>
      </c>
      <c r="J2373" s="7">
        <v>0</v>
      </c>
      <c r="K2373">
        <f t="shared" si="36"/>
        <v>31</v>
      </c>
      <c r="L2373" s="8" t="str" cm="1">
        <f t="array" ref="L2373">_xlfn.IFS(
 AND(K2373&gt;=89,K2373&lt;=92),"3개월",
 AND(K2373&gt;=58,K2373&lt;=62),"2개월",
 AND(K2373&gt;=28,K2373&lt;=32),"1개월",
 AND(K2373=0),"당월",
 TRUE,"그외"
)</f>
        <v>1개월</v>
      </c>
    </row>
    <row r="2374" spans="1:12" x14ac:dyDescent="0.3">
      <c r="A2374" s="5">
        <v>46023</v>
      </c>
      <c r="B2374" s="6" t="s">
        <v>75</v>
      </c>
      <c r="C2374" s="6" t="s">
        <v>79</v>
      </c>
      <c r="D2374" s="5">
        <v>45839</v>
      </c>
      <c r="E2374" s="6" t="s">
        <v>15</v>
      </c>
      <c r="F2374" s="7">
        <v>54</v>
      </c>
      <c r="G2374" s="7">
        <v>226432.59259259261</v>
      </c>
      <c r="H2374" s="7">
        <v>12227360</v>
      </c>
      <c r="I2374" s="7">
        <v>891000</v>
      </c>
      <c r="J2374" s="7">
        <v>0</v>
      </c>
      <c r="K2374">
        <f t="shared" si="36"/>
        <v>184</v>
      </c>
      <c r="L2374" s="8" t="str" cm="1">
        <f t="array" ref="L2374">_xlfn.IFS(
 AND(K2374&gt;=89,K2374&lt;=92),"3개월",
 AND(K2374&gt;=58,K2374&lt;=62),"2개월",
 AND(K2374&gt;=28,K2374&lt;=32),"1개월",
 AND(K2374=0),"당월",
 TRUE,"그외"
)</f>
        <v>그외</v>
      </c>
    </row>
    <row r="2375" spans="1:12" x14ac:dyDescent="0.3">
      <c r="A2375" s="5">
        <v>46023</v>
      </c>
      <c r="B2375" s="6" t="s">
        <v>75</v>
      </c>
      <c r="C2375" s="6" t="s">
        <v>79</v>
      </c>
      <c r="D2375" s="5">
        <v>45870</v>
      </c>
      <c r="E2375" s="6" t="s">
        <v>15</v>
      </c>
      <c r="F2375" s="7">
        <v>127</v>
      </c>
      <c r="G2375" s="7">
        <v>239383.2755905512</v>
      </c>
      <c r="H2375" s="7">
        <v>30401676</v>
      </c>
      <c r="I2375" s="7">
        <v>3302000</v>
      </c>
      <c r="J2375" s="7">
        <v>0</v>
      </c>
      <c r="K2375">
        <f t="shared" si="36"/>
        <v>153</v>
      </c>
      <c r="L2375" s="8" t="str" cm="1">
        <f t="array" ref="L2375">_xlfn.IFS(
 AND(K2375&gt;=89,K2375&lt;=92),"3개월",
 AND(K2375&gt;=58,K2375&lt;=62),"2개월",
 AND(K2375&gt;=28,K2375&lt;=32),"1개월",
 AND(K2375=0),"당월",
 TRUE,"그외"
)</f>
        <v>그외</v>
      </c>
    </row>
    <row r="2376" spans="1:12" x14ac:dyDescent="0.3">
      <c r="A2376" s="5">
        <v>46023</v>
      </c>
      <c r="B2376" s="6" t="s">
        <v>75</v>
      </c>
      <c r="C2376" s="6" t="s">
        <v>79</v>
      </c>
      <c r="D2376" s="5">
        <v>45901</v>
      </c>
      <c r="E2376" s="6" t="s">
        <v>15</v>
      </c>
      <c r="F2376" s="7">
        <v>216</v>
      </c>
      <c r="G2376" s="7">
        <v>246890.49537037039</v>
      </c>
      <c r="H2376" s="7">
        <v>53328347</v>
      </c>
      <c r="I2376" s="7">
        <v>5781298</v>
      </c>
      <c r="J2376" s="7">
        <v>0</v>
      </c>
      <c r="K2376">
        <f t="shared" si="36"/>
        <v>122</v>
      </c>
      <c r="L2376" s="8" t="str" cm="1">
        <f t="array" ref="L2376">_xlfn.IFS(
 AND(K2376&gt;=89,K2376&lt;=92),"3개월",
 AND(K2376&gt;=58,K2376&lt;=62),"2개월",
 AND(K2376&gt;=28,K2376&lt;=32),"1개월",
 AND(K2376=0),"당월",
 TRUE,"그외"
)</f>
        <v>그외</v>
      </c>
    </row>
    <row r="2377" spans="1:12" x14ac:dyDescent="0.3">
      <c r="A2377" s="5">
        <v>46023</v>
      </c>
      <c r="B2377" s="6" t="s">
        <v>75</v>
      </c>
      <c r="C2377" s="6" t="s">
        <v>79</v>
      </c>
      <c r="D2377" s="5">
        <v>45931</v>
      </c>
      <c r="E2377" s="6" t="s">
        <v>14</v>
      </c>
      <c r="F2377" s="7">
        <v>60</v>
      </c>
      <c r="G2377" s="7">
        <v>253816.66666666669</v>
      </c>
      <c r="H2377" s="7">
        <v>15229000</v>
      </c>
      <c r="I2377" s="7">
        <v>1584000</v>
      </c>
      <c r="J2377" s="7">
        <v>0</v>
      </c>
      <c r="K2377">
        <f t="shared" si="36"/>
        <v>92</v>
      </c>
      <c r="L2377" s="8" t="str" cm="1">
        <f t="array" ref="L2377">_xlfn.IFS(
 AND(K2377&gt;=89,K2377&lt;=92),"3개월",
 AND(K2377&gt;=58,K2377&lt;=62),"2개월",
 AND(K2377&gt;=28,K2377&lt;=32),"1개월",
 AND(K2377=0),"당월",
 TRUE,"그외"
)</f>
        <v>3개월</v>
      </c>
    </row>
    <row r="2378" spans="1:12" x14ac:dyDescent="0.3">
      <c r="A2378" s="5">
        <v>46023</v>
      </c>
      <c r="B2378" s="6" t="s">
        <v>75</v>
      </c>
      <c r="C2378" s="6" t="s">
        <v>79</v>
      </c>
      <c r="D2378" s="5">
        <v>45931</v>
      </c>
      <c r="E2378" s="6" t="s">
        <v>15</v>
      </c>
      <c r="F2378" s="7">
        <v>171</v>
      </c>
      <c r="G2378" s="7">
        <v>261303.60818713449</v>
      </c>
      <c r="H2378" s="7">
        <v>44682917</v>
      </c>
      <c r="I2378" s="7">
        <v>4617856</v>
      </c>
      <c r="J2378" s="7">
        <v>0</v>
      </c>
      <c r="K2378">
        <f t="shared" ref="K2378:K2441" si="37">A2378-D2378</f>
        <v>92</v>
      </c>
      <c r="L2378" s="8" t="str" cm="1">
        <f t="array" ref="L2378">_xlfn.IFS(
 AND(K2378&gt;=89,K2378&lt;=92),"3개월",
 AND(K2378&gt;=58,K2378&lt;=62),"2개월",
 AND(K2378&gt;=28,K2378&lt;=32),"1개월",
 AND(K2378=0),"당월",
 TRUE,"그외"
)</f>
        <v>3개월</v>
      </c>
    </row>
    <row r="2379" spans="1:12" x14ac:dyDescent="0.3">
      <c r="A2379" s="5">
        <v>46023</v>
      </c>
      <c r="B2379" s="6" t="s">
        <v>75</v>
      </c>
      <c r="C2379" s="6" t="s">
        <v>79</v>
      </c>
      <c r="D2379" s="5">
        <v>45962</v>
      </c>
      <c r="E2379" s="6" t="s">
        <v>14</v>
      </c>
      <c r="F2379" s="7">
        <v>463</v>
      </c>
      <c r="G2379" s="7">
        <v>231170.41036717061</v>
      </c>
      <c r="H2379" s="7">
        <v>107031900</v>
      </c>
      <c r="I2379" s="7">
        <v>12360900</v>
      </c>
      <c r="J2379" s="7">
        <v>0</v>
      </c>
      <c r="K2379">
        <f t="shared" si="37"/>
        <v>61</v>
      </c>
      <c r="L2379" s="8" t="str" cm="1">
        <f t="array" ref="L2379">_xlfn.IFS(
 AND(K2379&gt;=89,K2379&lt;=92),"3개월",
 AND(K2379&gt;=58,K2379&lt;=62),"2개월",
 AND(K2379&gt;=28,K2379&lt;=32),"1개월",
 AND(K2379=0),"당월",
 TRUE,"그외"
)</f>
        <v>2개월</v>
      </c>
    </row>
    <row r="2380" spans="1:12" x14ac:dyDescent="0.3">
      <c r="A2380" s="5">
        <v>46023</v>
      </c>
      <c r="B2380" s="6" t="s">
        <v>75</v>
      </c>
      <c r="C2380" s="6" t="s">
        <v>79</v>
      </c>
      <c r="D2380" s="5">
        <v>45962</v>
      </c>
      <c r="E2380" s="6" t="s">
        <v>15</v>
      </c>
      <c r="F2380" s="7">
        <v>1185</v>
      </c>
      <c r="G2380" s="7">
        <v>252921.83206751049</v>
      </c>
      <c r="H2380" s="7">
        <v>299712371</v>
      </c>
      <c r="I2380" s="7">
        <v>32269536</v>
      </c>
      <c r="J2380" s="7">
        <v>0</v>
      </c>
      <c r="K2380">
        <f t="shared" si="37"/>
        <v>61</v>
      </c>
      <c r="L2380" s="8" t="str" cm="1">
        <f t="array" ref="L2380">_xlfn.IFS(
 AND(K2380&gt;=89,K2380&lt;=92),"3개월",
 AND(K2380&gt;=58,K2380&lt;=62),"2개월",
 AND(K2380&gt;=28,K2380&lt;=32),"1개월",
 AND(K2380=0),"당월",
 TRUE,"그외"
)</f>
        <v>2개월</v>
      </c>
    </row>
    <row r="2381" spans="1:12" x14ac:dyDescent="0.3">
      <c r="A2381" s="5">
        <v>46023</v>
      </c>
      <c r="B2381" s="6" t="s">
        <v>75</v>
      </c>
      <c r="C2381" s="6" t="s">
        <v>79</v>
      </c>
      <c r="D2381" s="5">
        <v>45992</v>
      </c>
      <c r="E2381" s="6" t="s">
        <v>14</v>
      </c>
      <c r="F2381" s="7">
        <v>2364</v>
      </c>
      <c r="G2381" s="7">
        <v>212644.8815566836</v>
      </c>
      <c r="H2381" s="7">
        <v>502692500</v>
      </c>
      <c r="I2381" s="7">
        <v>40090500</v>
      </c>
      <c r="J2381" s="7">
        <v>0</v>
      </c>
      <c r="K2381">
        <f t="shared" si="37"/>
        <v>31</v>
      </c>
      <c r="L2381" s="8" t="str" cm="1">
        <f t="array" ref="L2381">_xlfn.IFS(
 AND(K2381&gt;=89,K2381&lt;=92),"3개월",
 AND(K2381&gt;=58,K2381&lt;=62),"2개월",
 AND(K2381&gt;=28,K2381&lt;=32),"1개월",
 AND(K2381=0),"당월",
 TRUE,"그외"
)</f>
        <v>1개월</v>
      </c>
    </row>
    <row r="2382" spans="1:12" x14ac:dyDescent="0.3">
      <c r="A2382" s="5">
        <v>46023</v>
      </c>
      <c r="B2382" s="6" t="s">
        <v>75</v>
      </c>
      <c r="C2382" s="6" t="s">
        <v>79</v>
      </c>
      <c r="D2382" s="5">
        <v>45992</v>
      </c>
      <c r="E2382" s="6" t="s">
        <v>15</v>
      </c>
      <c r="F2382" s="7">
        <v>2352</v>
      </c>
      <c r="G2382" s="7">
        <v>192714.3779761905</v>
      </c>
      <c r="H2382" s="7">
        <v>453264217</v>
      </c>
      <c r="I2382" s="7">
        <v>78535766</v>
      </c>
      <c r="J2382" s="7">
        <v>0</v>
      </c>
      <c r="K2382">
        <f t="shared" si="37"/>
        <v>31</v>
      </c>
      <c r="L2382" s="8" t="str" cm="1">
        <f t="array" ref="L2382">_xlfn.IFS(
 AND(K2382&gt;=89,K2382&lt;=92),"3개월",
 AND(K2382&gt;=58,K2382&lt;=62),"2개월",
 AND(K2382&gt;=28,K2382&lt;=32),"1개월",
 AND(K2382=0),"당월",
 TRUE,"그외"
)</f>
        <v>1개월</v>
      </c>
    </row>
    <row r="2383" spans="1:12" x14ac:dyDescent="0.3">
      <c r="A2383" s="5">
        <v>46023</v>
      </c>
      <c r="B2383" s="6" t="s">
        <v>75</v>
      </c>
      <c r="C2383" s="6" t="s">
        <v>79</v>
      </c>
      <c r="D2383" s="5">
        <v>46023</v>
      </c>
      <c r="E2383" s="6" t="s">
        <v>14</v>
      </c>
      <c r="F2383" s="7">
        <v>2798</v>
      </c>
      <c r="G2383" s="7">
        <v>220904.71765546821</v>
      </c>
      <c r="H2383" s="7">
        <v>618091400</v>
      </c>
      <c r="I2383" s="7">
        <v>33655400</v>
      </c>
      <c r="J2383" s="7">
        <v>0</v>
      </c>
      <c r="K2383">
        <f t="shared" si="37"/>
        <v>0</v>
      </c>
      <c r="L2383" s="8" t="str" cm="1">
        <f t="array" ref="L2383">_xlfn.IFS(
 AND(K2383&gt;=89,K2383&lt;=92),"3개월",
 AND(K2383&gt;=58,K2383&lt;=62),"2개월",
 AND(K2383&gt;=28,K2383&lt;=32),"1개월",
 AND(K2383=0),"당월",
 TRUE,"그외"
)</f>
        <v>당월</v>
      </c>
    </row>
    <row r="2384" spans="1:12" x14ac:dyDescent="0.3">
      <c r="A2384" s="5">
        <v>46023</v>
      </c>
      <c r="B2384" s="6" t="s">
        <v>75</v>
      </c>
      <c r="C2384" s="6" t="s">
        <v>79</v>
      </c>
      <c r="D2384" s="5">
        <v>46023</v>
      </c>
      <c r="E2384" s="6" t="s">
        <v>15</v>
      </c>
      <c r="F2384" s="7">
        <v>2051</v>
      </c>
      <c r="G2384" s="7">
        <v>166444.84690394931</v>
      </c>
      <c r="H2384" s="7">
        <v>341378381</v>
      </c>
      <c r="I2384" s="7">
        <v>75558759</v>
      </c>
      <c r="J2384" s="7">
        <v>0</v>
      </c>
      <c r="K2384">
        <f t="shared" si="37"/>
        <v>0</v>
      </c>
      <c r="L2384" s="8" t="str" cm="1">
        <f t="array" ref="L2384">_xlfn.IFS(
 AND(K2384&gt;=89,K2384&lt;=92),"3개월",
 AND(K2384&gt;=58,K2384&lt;=62),"2개월",
 AND(K2384&gt;=28,K2384&lt;=32),"1개월",
 AND(K2384=0),"당월",
 TRUE,"그외"
)</f>
        <v>당월</v>
      </c>
    </row>
    <row r="2385" spans="1:12" x14ac:dyDescent="0.3">
      <c r="A2385" s="5">
        <v>46023</v>
      </c>
      <c r="B2385" s="6" t="s">
        <v>75</v>
      </c>
      <c r="C2385" s="6" t="s">
        <v>80</v>
      </c>
      <c r="D2385" s="5">
        <v>45748</v>
      </c>
      <c r="E2385" s="6" t="s">
        <v>15</v>
      </c>
      <c r="F2385" s="7">
        <v>173</v>
      </c>
      <c r="G2385" s="7">
        <v>569120.35838150291</v>
      </c>
      <c r="H2385" s="7">
        <v>98457822</v>
      </c>
      <c r="I2385" s="7">
        <v>4965334</v>
      </c>
      <c r="J2385" s="7">
        <v>0</v>
      </c>
      <c r="K2385">
        <f t="shared" si="37"/>
        <v>275</v>
      </c>
      <c r="L2385" s="8" t="str" cm="1">
        <f t="array" ref="L2385">_xlfn.IFS(
 AND(K2385&gt;=89,K2385&lt;=92),"3개월",
 AND(K2385&gt;=58,K2385&lt;=62),"2개월",
 AND(K2385&gt;=28,K2385&lt;=32),"1개월",
 AND(K2385=0),"당월",
 TRUE,"그외"
)</f>
        <v>그외</v>
      </c>
    </row>
    <row r="2386" spans="1:12" x14ac:dyDescent="0.3">
      <c r="A2386" s="5">
        <v>46023</v>
      </c>
      <c r="B2386" s="6" t="s">
        <v>75</v>
      </c>
      <c r="C2386" s="6" t="s">
        <v>80</v>
      </c>
      <c r="D2386" s="5">
        <v>45778</v>
      </c>
      <c r="E2386" s="6" t="s">
        <v>15</v>
      </c>
      <c r="F2386" s="7">
        <v>162</v>
      </c>
      <c r="G2386" s="7">
        <v>502015.45061728387</v>
      </c>
      <c r="H2386" s="7">
        <v>81326503</v>
      </c>
      <c r="I2386" s="7">
        <v>3147377</v>
      </c>
      <c r="J2386" s="7">
        <v>0</v>
      </c>
      <c r="K2386">
        <f t="shared" si="37"/>
        <v>245</v>
      </c>
      <c r="L2386" s="8" t="str" cm="1">
        <f t="array" ref="L2386">_xlfn.IFS(
 AND(K2386&gt;=89,K2386&lt;=92),"3개월",
 AND(K2386&gt;=58,K2386&lt;=62),"2개월",
 AND(K2386&gt;=28,K2386&lt;=32),"1개월",
 AND(K2386=0),"당월",
 TRUE,"그외"
)</f>
        <v>그외</v>
      </c>
    </row>
    <row r="2387" spans="1:12" x14ac:dyDescent="0.3">
      <c r="A2387" s="5">
        <v>46023</v>
      </c>
      <c r="B2387" s="6" t="s">
        <v>75</v>
      </c>
      <c r="C2387" s="6" t="s">
        <v>80</v>
      </c>
      <c r="D2387" s="5">
        <v>45809</v>
      </c>
      <c r="E2387" s="6" t="s">
        <v>15</v>
      </c>
      <c r="F2387" s="7">
        <v>201</v>
      </c>
      <c r="G2387" s="7">
        <v>496729.37810945272</v>
      </c>
      <c r="H2387" s="7">
        <v>99842605</v>
      </c>
      <c r="I2387" s="7">
        <v>3179449</v>
      </c>
      <c r="J2387" s="7">
        <v>0</v>
      </c>
      <c r="K2387">
        <f t="shared" si="37"/>
        <v>214</v>
      </c>
      <c r="L2387" s="8" t="str" cm="1">
        <f t="array" ref="L2387">_xlfn.IFS(
 AND(K2387&gt;=89,K2387&lt;=92),"3개월",
 AND(K2387&gt;=58,K2387&lt;=62),"2개월",
 AND(K2387&gt;=28,K2387&lt;=32),"1개월",
 AND(K2387=0),"당월",
 TRUE,"그외"
)</f>
        <v>그외</v>
      </c>
    </row>
    <row r="2388" spans="1:12" x14ac:dyDescent="0.3">
      <c r="A2388" s="5">
        <v>46023</v>
      </c>
      <c r="B2388" s="6" t="s">
        <v>75</v>
      </c>
      <c r="C2388" s="6" t="s">
        <v>80</v>
      </c>
      <c r="D2388" s="5">
        <v>45839</v>
      </c>
      <c r="E2388" s="6" t="s">
        <v>15</v>
      </c>
      <c r="F2388" s="7">
        <v>310</v>
      </c>
      <c r="G2388" s="7">
        <v>605201.1032258065</v>
      </c>
      <c r="H2388" s="7">
        <v>187612342</v>
      </c>
      <c r="I2388" s="7">
        <v>4628407</v>
      </c>
      <c r="J2388" s="7">
        <v>0</v>
      </c>
      <c r="K2388">
        <f t="shared" si="37"/>
        <v>184</v>
      </c>
      <c r="L2388" s="8" t="str" cm="1">
        <f t="array" ref="L2388">_xlfn.IFS(
 AND(K2388&gt;=89,K2388&lt;=92),"3개월",
 AND(K2388&gt;=58,K2388&lt;=62),"2개월",
 AND(K2388&gt;=28,K2388&lt;=32),"1개월",
 AND(K2388=0),"당월",
 TRUE,"그외"
)</f>
        <v>그외</v>
      </c>
    </row>
    <row r="2389" spans="1:12" x14ac:dyDescent="0.3">
      <c r="A2389" s="5">
        <v>46023</v>
      </c>
      <c r="B2389" s="6" t="s">
        <v>75</v>
      </c>
      <c r="C2389" s="6" t="s">
        <v>80</v>
      </c>
      <c r="D2389" s="5">
        <v>45870</v>
      </c>
      <c r="E2389" s="6" t="s">
        <v>15</v>
      </c>
      <c r="F2389" s="7">
        <v>406</v>
      </c>
      <c r="G2389" s="7">
        <v>653228.23399014783</v>
      </c>
      <c r="H2389" s="7">
        <v>265210663</v>
      </c>
      <c r="I2389" s="7">
        <v>10191159</v>
      </c>
      <c r="J2389" s="7">
        <v>0</v>
      </c>
      <c r="K2389">
        <f t="shared" si="37"/>
        <v>153</v>
      </c>
      <c r="L2389" s="8" t="str" cm="1">
        <f t="array" ref="L2389">_xlfn.IFS(
 AND(K2389&gt;=89,K2389&lt;=92),"3개월",
 AND(K2389&gt;=58,K2389&lt;=62),"2개월",
 AND(K2389&gt;=28,K2389&lt;=32),"1개월",
 AND(K2389=0),"당월",
 TRUE,"그외"
)</f>
        <v>그외</v>
      </c>
    </row>
    <row r="2390" spans="1:12" x14ac:dyDescent="0.3">
      <c r="A2390" s="5">
        <v>46023</v>
      </c>
      <c r="B2390" s="6" t="s">
        <v>75</v>
      </c>
      <c r="C2390" s="6" t="s">
        <v>80</v>
      </c>
      <c r="D2390" s="5">
        <v>45901</v>
      </c>
      <c r="E2390" s="6" t="s">
        <v>14</v>
      </c>
      <c r="F2390" s="7">
        <v>24</v>
      </c>
      <c r="G2390" s="7">
        <v>664800</v>
      </c>
      <c r="H2390" s="7">
        <v>15955200</v>
      </c>
      <c r="I2390" s="7">
        <v>1531200</v>
      </c>
      <c r="J2390" s="7">
        <v>0</v>
      </c>
      <c r="K2390">
        <f t="shared" si="37"/>
        <v>122</v>
      </c>
      <c r="L2390" s="8" t="str" cm="1">
        <f t="array" ref="L2390">_xlfn.IFS(
 AND(K2390&gt;=89,K2390&lt;=92),"3개월",
 AND(K2390&gt;=58,K2390&lt;=62),"2개월",
 AND(K2390&gt;=28,K2390&lt;=32),"1개월",
 AND(K2390=0),"당월",
 TRUE,"그외"
)</f>
        <v>그외</v>
      </c>
    </row>
    <row r="2391" spans="1:12" x14ac:dyDescent="0.3">
      <c r="A2391" s="5">
        <v>46023</v>
      </c>
      <c r="B2391" s="6" t="s">
        <v>75</v>
      </c>
      <c r="C2391" s="6" t="s">
        <v>80</v>
      </c>
      <c r="D2391" s="5">
        <v>45901</v>
      </c>
      <c r="E2391" s="6" t="s">
        <v>15</v>
      </c>
      <c r="F2391" s="7">
        <v>469</v>
      </c>
      <c r="G2391" s="7">
        <v>759423.24093816627</v>
      </c>
      <c r="H2391" s="7">
        <v>356169500</v>
      </c>
      <c r="I2391" s="7">
        <v>17537953</v>
      </c>
      <c r="J2391" s="7">
        <v>0</v>
      </c>
      <c r="K2391">
        <f t="shared" si="37"/>
        <v>122</v>
      </c>
      <c r="L2391" s="8" t="str" cm="1">
        <f t="array" ref="L2391">_xlfn.IFS(
 AND(K2391&gt;=89,K2391&lt;=92),"3개월",
 AND(K2391&gt;=58,K2391&lt;=62),"2개월",
 AND(K2391&gt;=28,K2391&lt;=32),"1개월",
 AND(K2391=0),"당월",
 TRUE,"그외"
)</f>
        <v>그외</v>
      </c>
    </row>
    <row r="2392" spans="1:12" x14ac:dyDescent="0.3">
      <c r="A2392" s="5">
        <v>46023</v>
      </c>
      <c r="B2392" s="6" t="s">
        <v>75</v>
      </c>
      <c r="C2392" s="6" t="s">
        <v>80</v>
      </c>
      <c r="D2392" s="5">
        <v>45931</v>
      </c>
      <c r="E2392" s="6" t="s">
        <v>15</v>
      </c>
      <c r="F2392" s="7">
        <v>751</v>
      </c>
      <c r="G2392" s="7">
        <v>859747.66577896138</v>
      </c>
      <c r="H2392" s="7">
        <v>645670497</v>
      </c>
      <c r="I2392" s="7">
        <v>25693957</v>
      </c>
      <c r="J2392" s="7">
        <v>0</v>
      </c>
      <c r="K2392">
        <f t="shared" si="37"/>
        <v>92</v>
      </c>
      <c r="L2392" s="8" t="str" cm="1">
        <f t="array" ref="L2392">_xlfn.IFS(
 AND(K2392&gt;=89,K2392&lt;=92),"3개월",
 AND(K2392&gt;=58,K2392&lt;=62),"2개월",
 AND(K2392&gt;=28,K2392&lt;=32),"1개월",
 AND(K2392=0),"당월",
 TRUE,"그외"
)</f>
        <v>3개월</v>
      </c>
    </row>
    <row r="2393" spans="1:12" x14ac:dyDescent="0.3">
      <c r="A2393" s="5">
        <v>46023</v>
      </c>
      <c r="B2393" s="6" t="s">
        <v>75</v>
      </c>
      <c r="C2393" s="6" t="s">
        <v>80</v>
      </c>
      <c r="D2393" s="5">
        <v>45962</v>
      </c>
      <c r="E2393" s="6" t="s">
        <v>14</v>
      </c>
      <c r="F2393" s="7">
        <v>118</v>
      </c>
      <c r="G2393" s="7">
        <v>1159667.79661017</v>
      </c>
      <c r="H2393" s="7">
        <v>136840800</v>
      </c>
      <c r="I2393" s="7">
        <v>7299800</v>
      </c>
      <c r="J2393" s="7">
        <v>0</v>
      </c>
      <c r="K2393">
        <f t="shared" si="37"/>
        <v>61</v>
      </c>
      <c r="L2393" s="8" t="str" cm="1">
        <f t="array" ref="L2393">_xlfn.IFS(
 AND(K2393&gt;=89,K2393&lt;=92),"3개월",
 AND(K2393&gt;=58,K2393&lt;=62),"2개월",
 AND(K2393&gt;=28,K2393&lt;=32),"1개월",
 AND(K2393=0),"당월",
 TRUE,"그외"
)</f>
        <v>2개월</v>
      </c>
    </row>
    <row r="2394" spans="1:12" x14ac:dyDescent="0.3">
      <c r="A2394" s="5">
        <v>46023</v>
      </c>
      <c r="B2394" s="6" t="s">
        <v>75</v>
      </c>
      <c r="C2394" s="6" t="s">
        <v>80</v>
      </c>
      <c r="D2394" s="5">
        <v>45962</v>
      </c>
      <c r="E2394" s="6" t="s">
        <v>15</v>
      </c>
      <c r="F2394" s="7">
        <v>1734</v>
      </c>
      <c r="G2394" s="7">
        <v>890519.17358708184</v>
      </c>
      <c r="H2394" s="7">
        <v>1544160247</v>
      </c>
      <c r="I2394" s="7">
        <v>73679963</v>
      </c>
      <c r="J2394" s="7">
        <v>0</v>
      </c>
      <c r="K2394">
        <f t="shared" si="37"/>
        <v>61</v>
      </c>
      <c r="L2394" s="8" t="str" cm="1">
        <f t="array" ref="L2394">_xlfn.IFS(
 AND(K2394&gt;=89,K2394&lt;=92),"3개월",
 AND(K2394&gt;=58,K2394&lt;=62),"2개월",
 AND(K2394&gt;=28,K2394&lt;=32),"1개월",
 AND(K2394=0),"당월",
 TRUE,"그외"
)</f>
        <v>2개월</v>
      </c>
    </row>
    <row r="2395" spans="1:12" x14ac:dyDescent="0.3">
      <c r="A2395" s="5">
        <v>46023</v>
      </c>
      <c r="B2395" s="6" t="s">
        <v>75</v>
      </c>
      <c r="C2395" s="6" t="s">
        <v>80</v>
      </c>
      <c r="D2395" s="5">
        <v>45992</v>
      </c>
      <c r="E2395" s="6" t="s">
        <v>14</v>
      </c>
      <c r="F2395" s="7">
        <v>983</v>
      </c>
      <c r="G2395" s="7">
        <v>870492.67548321467</v>
      </c>
      <c r="H2395" s="7">
        <v>855694300</v>
      </c>
      <c r="I2395" s="7">
        <v>73180300</v>
      </c>
      <c r="J2395" s="7">
        <v>0</v>
      </c>
      <c r="K2395">
        <f t="shared" si="37"/>
        <v>31</v>
      </c>
      <c r="L2395" s="8" t="str" cm="1">
        <f t="array" ref="L2395">_xlfn.IFS(
 AND(K2395&gt;=89,K2395&lt;=92),"3개월",
 AND(K2395&gt;=58,K2395&lt;=62),"2개월",
 AND(K2395&gt;=28,K2395&lt;=32),"1개월",
 AND(K2395=0),"당월",
 TRUE,"그외"
)</f>
        <v>1개월</v>
      </c>
    </row>
    <row r="2396" spans="1:12" x14ac:dyDescent="0.3">
      <c r="A2396" s="5">
        <v>46023</v>
      </c>
      <c r="B2396" s="6" t="s">
        <v>75</v>
      </c>
      <c r="C2396" s="6" t="s">
        <v>80</v>
      </c>
      <c r="D2396" s="5">
        <v>45992</v>
      </c>
      <c r="E2396" s="6" t="s">
        <v>15</v>
      </c>
      <c r="F2396" s="7">
        <v>4455</v>
      </c>
      <c r="G2396" s="7">
        <v>743474.49562289566</v>
      </c>
      <c r="H2396" s="7">
        <v>3312178878</v>
      </c>
      <c r="I2396" s="7">
        <v>222577031</v>
      </c>
      <c r="J2396" s="7">
        <v>0</v>
      </c>
      <c r="K2396">
        <f t="shared" si="37"/>
        <v>31</v>
      </c>
      <c r="L2396" s="8" t="str" cm="1">
        <f t="array" ref="L2396">_xlfn.IFS(
 AND(K2396&gt;=89,K2396&lt;=92),"3개월",
 AND(K2396&gt;=58,K2396&lt;=62),"2개월",
 AND(K2396&gt;=28,K2396&lt;=32),"1개월",
 AND(K2396=0),"당월",
 TRUE,"그외"
)</f>
        <v>1개월</v>
      </c>
    </row>
    <row r="2397" spans="1:12" x14ac:dyDescent="0.3">
      <c r="A2397" s="5">
        <v>46023</v>
      </c>
      <c r="B2397" s="6" t="s">
        <v>75</v>
      </c>
      <c r="C2397" s="6" t="s">
        <v>80</v>
      </c>
      <c r="D2397" s="5">
        <v>46023</v>
      </c>
      <c r="E2397" s="6" t="s">
        <v>14</v>
      </c>
      <c r="F2397" s="7">
        <v>735</v>
      </c>
      <c r="G2397" s="7">
        <v>303034.82993197278</v>
      </c>
      <c r="H2397" s="7">
        <v>222730600</v>
      </c>
      <c r="I2397" s="7">
        <v>58355600</v>
      </c>
      <c r="J2397" s="7">
        <v>0</v>
      </c>
      <c r="K2397">
        <f t="shared" si="37"/>
        <v>0</v>
      </c>
      <c r="L2397" s="8" t="str" cm="1">
        <f t="array" ref="L2397">_xlfn.IFS(
 AND(K2397&gt;=89,K2397&lt;=92),"3개월",
 AND(K2397&gt;=58,K2397&lt;=62),"2개월",
 AND(K2397&gt;=28,K2397&lt;=32),"1개월",
 AND(K2397=0),"당월",
 TRUE,"그외"
)</f>
        <v>당월</v>
      </c>
    </row>
    <row r="2398" spans="1:12" x14ac:dyDescent="0.3">
      <c r="A2398" s="5">
        <v>46023</v>
      </c>
      <c r="B2398" s="6" t="s">
        <v>75</v>
      </c>
      <c r="C2398" s="6" t="s">
        <v>80</v>
      </c>
      <c r="D2398" s="5">
        <v>46023</v>
      </c>
      <c r="E2398" s="6" t="s">
        <v>15</v>
      </c>
      <c r="F2398" s="7">
        <v>2066</v>
      </c>
      <c r="G2398" s="7">
        <v>692589.81994191674</v>
      </c>
      <c r="H2398" s="7">
        <v>1430890568</v>
      </c>
      <c r="I2398" s="7">
        <v>97564735</v>
      </c>
      <c r="J2398" s="7">
        <v>0</v>
      </c>
      <c r="K2398">
        <f t="shared" si="37"/>
        <v>0</v>
      </c>
      <c r="L2398" s="8" t="str" cm="1">
        <f t="array" ref="L2398">_xlfn.IFS(
 AND(K2398&gt;=89,K2398&lt;=92),"3개월",
 AND(K2398&gt;=58,K2398&lt;=62),"2개월",
 AND(K2398&gt;=28,K2398&lt;=32),"1개월",
 AND(K2398=0),"당월",
 TRUE,"그외"
)</f>
        <v>당월</v>
      </c>
    </row>
    <row r="2399" spans="1:12" x14ac:dyDescent="0.3">
      <c r="A2399" s="5">
        <v>46023</v>
      </c>
      <c r="B2399" s="6" t="s">
        <v>81</v>
      </c>
      <c r="C2399" s="6" t="s">
        <v>94</v>
      </c>
      <c r="D2399" s="5">
        <v>45870</v>
      </c>
      <c r="E2399" s="6" t="s">
        <v>15</v>
      </c>
      <c r="F2399" s="7">
        <v>5</v>
      </c>
      <c r="G2399" s="7">
        <v>490359.6</v>
      </c>
      <c r="H2399" s="7">
        <v>2451798</v>
      </c>
      <c r="I2399" s="7">
        <v>311763</v>
      </c>
      <c r="J2399" s="7">
        <v>0</v>
      </c>
      <c r="K2399">
        <f t="shared" si="37"/>
        <v>153</v>
      </c>
      <c r="L2399" s="8" t="str" cm="1">
        <f t="array" ref="L2399">_xlfn.IFS(
 AND(K2399&gt;=89,K2399&lt;=92),"3개월",
 AND(K2399&gt;=58,K2399&lt;=62),"2개월",
 AND(K2399&gt;=28,K2399&lt;=32),"1개월",
 AND(K2399=0),"당월",
 TRUE,"그외"
)</f>
        <v>그외</v>
      </c>
    </row>
    <row r="2400" spans="1:12" x14ac:dyDescent="0.3">
      <c r="A2400" s="5">
        <v>46023</v>
      </c>
      <c r="B2400" s="6" t="s">
        <v>81</v>
      </c>
      <c r="C2400" s="6" t="s">
        <v>94</v>
      </c>
      <c r="D2400" s="5">
        <v>45901</v>
      </c>
      <c r="E2400" s="6" t="s">
        <v>15</v>
      </c>
      <c r="F2400" s="7">
        <v>49</v>
      </c>
      <c r="G2400" s="7">
        <v>339406.08163265308</v>
      </c>
      <c r="H2400" s="7">
        <v>16630898</v>
      </c>
      <c r="I2400" s="7">
        <v>1357312</v>
      </c>
      <c r="J2400" s="7">
        <v>0</v>
      </c>
      <c r="K2400">
        <f t="shared" si="37"/>
        <v>122</v>
      </c>
      <c r="L2400" s="8" t="str" cm="1">
        <f t="array" ref="L2400">_xlfn.IFS(
 AND(K2400&gt;=89,K2400&lt;=92),"3개월",
 AND(K2400&gt;=58,K2400&lt;=62),"2개월",
 AND(K2400&gt;=28,K2400&lt;=32),"1개월",
 AND(K2400=0),"당월",
 TRUE,"그외"
)</f>
        <v>그외</v>
      </c>
    </row>
    <row r="2401" spans="1:12" x14ac:dyDescent="0.3">
      <c r="A2401" s="5">
        <v>46023</v>
      </c>
      <c r="B2401" s="6" t="s">
        <v>81</v>
      </c>
      <c r="C2401" s="6" t="s">
        <v>94</v>
      </c>
      <c r="D2401" s="5">
        <v>45931</v>
      </c>
      <c r="E2401" s="6" t="s">
        <v>14</v>
      </c>
      <c r="F2401" s="7">
        <v>9</v>
      </c>
      <c r="G2401" s="7">
        <v>0</v>
      </c>
      <c r="H2401" s="7">
        <v>0</v>
      </c>
      <c r="I2401" s="7">
        <v>0</v>
      </c>
      <c r="J2401" s="7">
        <v>0</v>
      </c>
      <c r="K2401">
        <f t="shared" si="37"/>
        <v>92</v>
      </c>
      <c r="L2401" s="8" t="str" cm="1">
        <f t="array" ref="L2401">_xlfn.IFS(
 AND(K2401&gt;=89,K2401&lt;=92),"3개월",
 AND(K2401&gt;=58,K2401&lt;=62),"2개월",
 AND(K2401&gt;=28,K2401&lt;=32),"1개월",
 AND(K2401=0),"당월",
 TRUE,"그외"
)</f>
        <v>3개월</v>
      </c>
    </row>
    <row r="2402" spans="1:12" x14ac:dyDescent="0.3">
      <c r="A2402" s="5">
        <v>46023</v>
      </c>
      <c r="B2402" s="6" t="s">
        <v>81</v>
      </c>
      <c r="C2402" s="6" t="s">
        <v>94</v>
      </c>
      <c r="D2402" s="5">
        <v>45931</v>
      </c>
      <c r="E2402" s="6" t="s">
        <v>15</v>
      </c>
      <c r="F2402" s="7">
        <v>44</v>
      </c>
      <c r="G2402" s="7">
        <v>378915.15909090912</v>
      </c>
      <c r="H2402" s="7">
        <v>16672267</v>
      </c>
      <c r="I2402" s="7">
        <v>1796187</v>
      </c>
      <c r="J2402" s="7">
        <v>0</v>
      </c>
      <c r="K2402">
        <f t="shared" si="37"/>
        <v>92</v>
      </c>
      <c r="L2402" s="8" t="str" cm="1">
        <f t="array" ref="L2402">_xlfn.IFS(
 AND(K2402&gt;=89,K2402&lt;=92),"3개월",
 AND(K2402&gt;=58,K2402&lt;=62),"2개월",
 AND(K2402&gt;=28,K2402&lt;=32),"1개월",
 AND(K2402=0),"당월",
 TRUE,"그외"
)</f>
        <v>3개월</v>
      </c>
    </row>
    <row r="2403" spans="1:12" x14ac:dyDescent="0.3">
      <c r="A2403" s="5">
        <v>46023</v>
      </c>
      <c r="B2403" s="6" t="s">
        <v>81</v>
      </c>
      <c r="C2403" s="6" t="s">
        <v>94</v>
      </c>
      <c r="D2403" s="5">
        <v>45962</v>
      </c>
      <c r="E2403" s="6" t="s">
        <v>14</v>
      </c>
      <c r="F2403" s="7">
        <v>77</v>
      </c>
      <c r="G2403" s="7">
        <v>4520.7792207792209</v>
      </c>
      <c r="H2403" s="7">
        <v>348100</v>
      </c>
      <c r="I2403" s="7">
        <v>28100</v>
      </c>
      <c r="J2403" s="7">
        <v>0</v>
      </c>
      <c r="K2403">
        <f t="shared" si="37"/>
        <v>61</v>
      </c>
      <c r="L2403" s="8" t="str" cm="1">
        <f t="array" ref="L2403">_xlfn.IFS(
 AND(K2403&gt;=89,K2403&lt;=92),"3개월",
 AND(K2403&gt;=58,K2403&lt;=62),"2개월",
 AND(K2403&gt;=28,K2403&lt;=32),"1개월",
 AND(K2403=0),"당월",
 TRUE,"그외"
)</f>
        <v>2개월</v>
      </c>
    </row>
    <row r="2404" spans="1:12" x14ac:dyDescent="0.3">
      <c r="A2404" s="5">
        <v>46023</v>
      </c>
      <c r="B2404" s="6" t="s">
        <v>81</v>
      </c>
      <c r="C2404" s="6" t="s">
        <v>94</v>
      </c>
      <c r="D2404" s="5">
        <v>45962</v>
      </c>
      <c r="E2404" s="6" t="s">
        <v>15</v>
      </c>
      <c r="F2404" s="7">
        <v>251</v>
      </c>
      <c r="G2404" s="7">
        <v>247398.4900398406</v>
      </c>
      <c r="H2404" s="7">
        <v>62097021</v>
      </c>
      <c r="I2404" s="7">
        <v>5292513</v>
      </c>
      <c r="J2404" s="7">
        <v>0</v>
      </c>
      <c r="K2404">
        <f t="shared" si="37"/>
        <v>61</v>
      </c>
      <c r="L2404" s="8" t="str" cm="1">
        <f t="array" ref="L2404">_xlfn.IFS(
 AND(K2404&gt;=89,K2404&lt;=92),"3개월",
 AND(K2404&gt;=58,K2404&lt;=62),"2개월",
 AND(K2404&gt;=28,K2404&lt;=32),"1개월",
 AND(K2404=0),"당월",
 TRUE,"그외"
)</f>
        <v>2개월</v>
      </c>
    </row>
    <row r="2405" spans="1:12" x14ac:dyDescent="0.3">
      <c r="A2405" s="5">
        <v>46023</v>
      </c>
      <c r="B2405" s="6" t="s">
        <v>81</v>
      </c>
      <c r="C2405" s="6" t="s">
        <v>94</v>
      </c>
      <c r="D2405" s="5">
        <v>45992</v>
      </c>
      <c r="E2405" s="6" t="s">
        <v>14</v>
      </c>
      <c r="F2405" s="7">
        <v>307</v>
      </c>
      <c r="G2405" s="7">
        <v>461827.54723127029</v>
      </c>
      <c r="H2405" s="7">
        <v>141781057</v>
      </c>
      <c r="I2405" s="7">
        <v>8449473</v>
      </c>
      <c r="J2405" s="7">
        <v>0</v>
      </c>
      <c r="K2405">
        <f t="shared" si="37"/>
        <v>31</v>
      </c>
      <c r="L2405" s="8" t="str" cm="1">
        <f t="array" ref="L2405">_xlfn.IFS(
 AND(K2405&gt;=89,K2405&lt;=92),"3개월",
 AND(K2405&gt;=58,K2405&lt;=62),"2개월",
 AND(K2405&gt;=28,K2405&lt;=32),"1개월",
 AND(K2405=0),"당월",
 TRUE,"그외"
)</f>
        <v>1개월</v>
      </c>
    </row>
    <row r="2406" spans="1:12" x14ac:dyDescent="0.3">
      <c r="A2406" s="5">
        <v>46023</v>
      </c>
      <c r="B2406" s="6" t="s">
        <v>81</v>
      </c>
      <c r="C2406" s="6" t="s">
        <v>94</v>
      </c>
      <c r="D2406" s="5">
        <v>45992</v>
      </c>
      <c r="E2406" s="6" t="s">
        <v>15</v>
      </c>
      <c r="F2406" s="7">
        <v>374</v>
      </c>
      <c r="G2406" s="7">
        <v>385929.50802139041</v>
      </c>
      <c r="H2406" s="7">
        <v>144337636</v>
      </c>
      <c r="I2406" s="7">
        <v>14425532</v>
      </c>
      <c r="J2406" s="7">
        <v>0</v>
      </c>
      <c r="K2406">
        <f t="shared" si="37"/>
        <v>31</v>
      </c>
      <c r="L2406" s="8" t="str" cm="1">
        <f t="array" ref="L2406">_xlfn.IFS(
 AND(K2406&gt;=89,K2406&lt;=92),"3개월",
 AND(K2406&gt;=58,K2406&lt;=62),"2개월",
 AND(K2406&gt;=28,K2406&lt;=32),"1개월",
 AND(K2406=0),"당월",
 TRUE,"그외"
)</f>
        <v>1개월</v>
      </c>
    </row>
    <row r="2407" spans="1:12" x14ac:dyDescent="0.3">
      <c r="A2407" s="5">
        <v>46023</v>
      </c>
      <c r="B2407" s="6" t="s">
        <v>81</v>
      </c>
      <c r="C2407" s="6" t="s">
        <v>94</v>
      </c>
      <c r="D2407" s="5">
        <v>46023</v>
      </c>
      <c r="E2407" s="6" t="s">
        <v>14</v>
      </c>
      <c r="F2407" s="7">
        <v>527</v>
      </c>
      <c r="G2407" s="7">
        <v>282153.20683111949</v>
      </c>
      <c r="H2407" s="7">
        <v>148694740</v>
      </c>
      <c r="I2407" s="7">
        <v>14158250</v>
      </c>
      <c r="J2407" s="7">
        <v>0</v>
      </c>
      <c r="K2407">
        <f t="shared" si="37"/>
        <v>0</v>
      </c>
      <c r="L2407" s="8" t="str" cm="1">
        <f t="array" ref="L2407">_xlfn.IFS(
 AND(K2407&gt;=89,K2407&lt;=92),"3개월",
 AND(K2407&gt;=58,K2407&lt;=62),"2개월",
 AND(K2407&gt;=28,K2407&lt;=32),"1개월",
 AND(K2407=0),"당월",
 TRUE,"그외"
)</f>
        <v>당월</v>
      </c>
    </row>
    <row r="2408" spans="1:12" x14ac:dyDescent="0.3">
      <c r="A2408" s="5">
        <v>46023</v>
      </c>
      <c r="B2408" s="6" t="s">
        <v>81</v>
      </c>
      <c r="C2408" s="6" t="s">
        <v>94</v>
      </c>
      <c r="D2408" s="5">
        <v>46023</v>
      </c>
      <c r="E2408" s="6" t="s">
        <v>15</v>
      </c>
      <c r="F2408" s="7">
        <v>399</v>
      </c>
      <c r="G2408" s="7">
        <v>419669.88471177942</v>
      </c>
      <c r="H2408" s="7">
        <v>167448284</v>
      </c>
      <c r="I2408" s="7">
        <v>16910276</v>
      </c>
      <c r="J2408" s="7">
        <v>0</v>
      </c>
      <c r="K2408">
        <f t="shared" si="37"/>
        <v>0</v>
      </c>
      <c r="L2408" s="8" t="str" cm="1">
        <f t="array" ref="L2408">_xlfn.IFS(
 AND(K2408&gt;=89,K2408&lt;=92),"3개월",
 AND(K2408&gt;=58,K2408&lt;=62),"2개월",
 AND(K2408&gt;=28,K2408&lt;=32),"1개월",
 AND(K2408=0),"당월",
 TRUE,"그외"
)</f>
        <v>당월</v>
      </c>
    </row>
    <row r="2409" spans="1:12" x14ac:dyDescent="0.3">
      <c r="A2409" s="5">
        <v>46023</v>
      </c>
      <c r="B2409" s="6" t="s">
        <v>81</v>
      </c>
      <c r="C2409" s="6" t="s">
        <v>118</v>
      </c>
      <c r="D2409" s="5">
        <v>45870</v>
      </c>
      <c r="E2409" s="6" t="s">
        <v>15</v>
      </c>
      <c r="F2409" s="7">
        <v>7</v>
      </c>
      <c r="G2409" s="7">
        <v>363377.42857142858</v>
      </c>
      <c r="H2409" s="7">
        <v>2543642</v>
      </c>
      <c r="I2409" s="7">
        <v>226859</v>
      </c>
      <c r="J2409" s="7">
        <v>0</v>
      </c>
      <c r="K2409">
        <f t="shared" si="37"/>
        <v>153</v>
      </c>
      <c r="L2409" s="8" t="str" cm="1">
        <f t="array" ref="L2409">_xlfn.IFS(
 AND(K2409&gt;=89,K2409&lt;=92),"3개월",
 AND(K2409&gt;=58,K2409&lt;=62),"2개월",
 AND(K2409&gt;=28,K2409&lt;=32),"1개월",
 AND(K2409=0),"당월",
 TRUE,"그외"
)</f>
        <v>그외</v>
      </c>
    </row>
    <row r="2410" spans="1:12" x14ac:dyDescent="0.3">
      <c r="A2410" s="5">
        <v>46023</v>
      </c>
      <c r="B2410" s="6" t="s">
        <v>81</v>
      </c>
      <c r="C2410" s="6" t="s">
        <v>118</v>
      </c>
      <c r="D2410" s="5">
        <v>45901</v>
      </c>
      <c r="E2410" s="6" t="s">
        <v>14</v>
      </c>
      <c r="F2410" s="7">
        <v>2</v>
      </c>
      <c r="G2410" s="7">
        <v>281383</v>
      </c>
      <c r="H2410" s="7">
        <v>562766</v>
      </c>
      <c r="I2410" s="7">
        <v>55622</v>
      </c>
      <c r="J2410" s="7">
        <v>0</v>
      </c>
      <c r="K2410">
        <f t="shared" si="37"/>
        <v>122</v>
      </c>
      <c r="L2410" s="8" t="str" cm="1">
        <f t="array" ref="L2410">_xlfn.IFS(
 AND(K2410&gt;=89,K2410&lt;=92),"3개월",
 AND(K2410&gt;=58,K2410&lt;=62),"2개월",
 AND(K2410&gt;=28,K2410&lt;=32),"1개월",
 AND(K2410=0),"당월",
 TRUE,"그외"
)</f>
        <v>그외</v>
      </c>
    </row>
    <row r="2411" spans="1:12" x14ac:dyDescent="0.3">
      <c r="A2411" s="5">
        <v>46023</v>
      </c>
      <c r="B2411" s="6" t="s">
        <v>81</v>
      </c>
      <c r="C2411" s="6" t="s">
        <v>118</v>
      </c>
      <c r="D2411" s="5">
        <v>45901</v>
      </c>
      <c r="E2411" s="6" t="s">
        <v>15</v>
      </c>
      <c r="F2411" s="7">
        <v>59</v>
      </c>
      <c r="G2411" s="7">
        <v>326682.37288135593</v>
      </c>
      <c r="H2411" s="7">
        <v>19274260</v>
      </c>
      <c r="I2411" s="7">
        <v>1601963</v>
      </c>
      <c r="J2411" s="7">
        <v>0</v>
      </c>
      <c r="K2411">
        <f t="shared" si="37"/>
        <v>122</v>
      </c>
      <c r="L2411" s="8" t="str" cm="1">
        <f t="array" ref="L2411">_xlfn.IFS(
 AND(K2411&gt;=89,K2411&lt;=92),"3개월",
 AND(K2411&gt;=58,K2411&lt;=62),"2개월",
 AND(K2411&gt;=28,K2411&lt;=32),"1개월",
 AND(K2411=0),"당월",
 TRUE,"그외"
)</f>
        <v>그외</v>
      </c>
    </row>
    <row r="2412" spans="1:12" x14ac:dyDescent="0.3">
      <c r="A2412" s="5">
        <v>46023</v>
      </c>
      <c r="B2412" s="6" t="s">
        <v>81</v>
      </c>
      <c r="C2412" s="6" t="s">
        <v>118</v>
      </c>
      <c r="D2412" s="5">
        <v>45931</v>
      </c>
      <c r="E2412" s="6" t="s">
        <v>14</v>
      </c>
      <c r="F2412" s="7">
        <v>9</v>
      </c>
      <c r="G2412" s="7">
        <v>284312</v>
      </c>
      <c r="H2412" s="7">
        <v>2558808</v>
      </c>
      <c r="I2412" s="7">
        <v>252904</v>
      </c>
      <c r="J2412" s="7">
        <v>0</v>
      </c>
      <c r="K2412">
        <f t="shared" si="37"/>
        <v>92</v>
      </c>
      <c r="L2412" s="8" t="str" cm="1">
        <f t="array" ref="L2412">_xlfn.IFS(
 AND(K2412&gt;=89,K2412&lt;=92),"3개월",
 AND(K2412&gt;=58,K2412&lt;=62),"2개월",
 AND(K2412&gt;=28,K2412&lt;=32),"1개월",
 AND(K2412=0),"당월",
 TRUE,"그외"
)</f>
        <v>3개월</v>
      </c>
    </row>
    <row r="2413" spans="1:12" x14ac:dyDescent="0.3">
      <c r="A2413" s="5">
        <v>46023</v>
      </c>
      <c r="B2413" s="6" t="s">
        <v>81</v>
      </c>
      <c r="C2413" s="6" t="s">
        <v>118</v>
      </c>
      <c r="D2413" s="5">
        <v>45931</v>
      </c>
      <c r="E2413" s="6" t="s">
        <v>15</v>
      </c>
      <c r="F2413" s="7">
        <v>214</v>
      </c>
      <c r="G2413" s="7">
        <v>356722.81775700941</v>
      </c>
      <c r="H2413" s="7">
        <v>76338683</v>
      </c>
      <c r="I2413" s="7">
        <v>5927763</v>
      </c>
      <c r="J2413" s="7">
        <v>0</v>
      </c>
      <c r="K2413">
        <f t="shared" si="37"/>
        <v>92</v>
      </c>
      <c r="L2413" s="8" t="str" cm="1">
        <f t="array" ref="L2413">_xlfn.IFS(
 AND(K2413&gt;=89,K2413&lt;=92),"3개월",
 AND(K2413&gt;=58,K2413&lt;=62),"2개월",
 AND(K2413&gt;=28,K2413&lt;=32),"1개월",
 AND(K2413=0),"당월",
 TRUE,"그외"
)</f>
        <v>3개월</v>
      </c>
    </row>
    <row r="2414" spans="1:12" x14ac:dyDescent="0.3">
      <c r="A2414" s="5">
        <v>46023</v>
      </c>
      <c r="B2414" s="6" t="s">
        <v>81</v>
      </c>
      <c r="C2414" s="6" t="s">
        <v>118</v>
      </c>
      <c r="D2414" s="5">
        <v>45962</v>
      </c>
      <c r="E2414" s="6" t="s">
        <v>14</v>
      </c>
      <c r="F2414" s="7">
        <v>32</v>
      </c>
      <c r="G2414" s="7">
        <v>423601</v>
      </c>
      <c r="H2414" s="7">
        <v>13555232</v>
      </c>
      <c r="I2414" s="7">
        <v>901879</v>
      </c>
      <c r="J2414" s="7">
        <v>0</v>
      </c>
      <c r="K2414">
        <f t="shared" si="37"/>
        <v>61</v>
      </c>
      <c r="L2414" s="8" t="str" cm="1">
        <f t="array" ref="L2414">_xlfn.IFS(
 AND(K2414&gt;=89,K2414&lt;=92),"3개월",
 AND(K2414&gt;=58,K2414&lt;=62),"2개월",
 AND(K2414&gt;=28,K2414&lt;=32),"1개월",
 AND(K2414=0),"당월",
 TRUE,"그외"
)</f>
        <v>2개월</v>
      </c>
    </row>
    <row r="2415" spans="1:12" x14ac:dyDescent="0.3">
      <c r="A2415" s="5">
        <v>46023</v>
      </c>
      <c r="B2415" s="6" t="s">
        <v>81</v>
      </c>
      <c r="C2415" s="6" t="s">
        <v>118</v>
      </c>
      <c r="D2415" s="5">
        <v>45962</v>
      </c>
      <c r="E2415" s="6" t="s">
        <v>15</v>
      </c>
      <c r="F2415" s="7">
        <v>751</v>
      </c>
      <c r="G2415" s="7">
        <v>281494.93608521973</v>
      </c>
      <c r="H2415" s="7">
        <v>211402697</v>
      </c>
      <c r="I2415" s="7">
        <v>16749451</v>
      </c>
      <c r="J2415" s="7">
        <v>0</v>
      </c>
      <c r="K2415">
        <f t="shared" si="37"/>
        <v>61</v>
      </c>
      <c r="L2415" s="8" t="str" cm="1">
        <f t="array" ref="L2415">_xlfn.IFS(
 AND(K2415&gt;=89,K2415&lt;=92),"3개월",
 AND(K2415&gt;=58,K2415&lt;=62),"2개월",
 AND(K2415&gt;=28,K2415&lt;=32),"1개월",
 AND(K2415=0),"당월",
 TRUE,"그외"
)</f>
        <v>2개월</v>
      </c>
    </row>
    <row r="2416" spans="1:12" x14ac:dyDescent="0.3">
      <c r="A2416" s="5">
        <v>46023</v>
      </c>
      <c r="B2416" s="6" t="s">
        <v>81</v>
      </c>
      <c r="C2416" s="6" t="s">
        <v>118</v>
      </c>
      <c r="D2416" s="5">
        <v>45992</v>
      </c>
      <c r="E2416" s="6" t="s">
        <v>14</v>
      </c>
      <c r="F2416" s="7">
        <v>431</v>
      </c>
      <c r="G2416" s="7">
        <v>337316.49883990717</v>
      </c>
      <c r="H2416" s="7">
        <v>145383411</v>
      </c>
      <c r="I2416" s="7">
        <v>14889563</v>
      </c>
      <c r="J2416" s="7">
        <v>0</v>
      </c>
      <c r="K2416">
        <f t="shared" si="37"/>
        <v>31</v>
      </c>
      <c r="L2416" s="8" t="str" cm="1">
        <f t="array" ref="L2416">_xlfn.IFS(
 AND(K2416&gt;=89,K2416&lt;=92),"3개월",
 AND(K2416&gt;=58,K2416&lt;=62),"2개월",
 AND(K2416&gt;=28,K2416&lt;=32),"1개월",
 AND(K2416=0),"당월",
 TRUE,"그외"
)</f>
        <v>1개월</v>
      </c>
    </row>
    <row r="2417" spans="1:12" x14ac:dyDescent="0.3">
      <c r="A2417" s="5">
        <v>46023</v>
      </c>
      <c r="B2417" s="6" t="s">
        <v>81</v>
      </c>
      <c r="C2417" s="6" t="s">
        <v>118</v>
      </c>
      <c r="D2417" s="5">
        <v>45992</v>
      </c>
      <c r="E2417" s="6" t="s">
        <v>15</v>
      </c>
      <c r="F2417" s="7">
        <v>1010</v>
      </c>
      <c r="G2417" s="7">
        <v>424340.14455445547</v>
      </c>
      <c r="H2417" s="7">
        <v>428583546</v>
      </c>
      <c r="I2417" s="7">
        <v>35353322</v>
      </c>
      <c r="J2417" s="7">
        <v>0</v>
      </c>
      <c r="K2417">
        <f t="shared" si="37"/>
        <v>31</v>
      </c>
      <c r="L2417" s="8" t="str" cm="1">
        <f t="array" ref="L2417">_xlfn.IFS(
 AND(K2417&gt;=89,K2417&lt;=92),"3개월",
 AND(K2417&gt;=58,K2417&lt;=62),"2개월",
 AND(K2417&gt;=28,K2417&lt;=32),"1개월",
 AND(K2417=0),"당월",
 TRUE,"그외"
)</f>
        <v>1개월</v>
      </c>
    </row>
    <row r="2418" spans="1:12" x14ac:dyDescent="0.3">
      <c r="A2418" s="5">
        <v>46023</v>
      </c>
      <c r="B2418" s="6" t="s">
        <v>81</v>
      </c>
      <c r="C2418" s="6" t="s">
        <v>118</v>
      </c>
      <c r="D2418" s="5">
        <v>46023</v>
      </c>
      <c r="E2418" s="6" t="s">
        <v>14</v>
      </c>
      <c r="F2418" s="7">
        <v>200</v>
      </c>
      <c r="G2418" s="7">
        <v>414805.39500000002</v>
      </c>
      <c r="H2418" s="7">
        <v>82961079</v>
      </c>
      <c r="I2418" s="7">
        <v>7081450</v>
      </c>
      <c r="J2418" s="7">
        <v>0</v>
      </c>
      <c r="K2418">
        <f t="shared" si="37"/>
        <v>0</v>
      </c>
      <c r="L2418" s="8" t="str" cm="1">
        <f t="array" ref="L2418">_xlfn.IFS(
 AND(K2418&gt;=89,K2418&lt;=92),"3개월",
 AND(K2418&gt;=58,K2418&lt;=62),"2개월",
 AND(K2418&gt;=28,K2418&lt;=32),"1개월",
 AND(K2418=0),"당월",
 TRUE,"그외"
)</f>
        <v>당월</v>
      </c>
    </row>
    <row r="2419" spans="1:12" x14ac:dyDescent="0.3">
      <c r="A2419" s="5">
        <v>46023</v>
      </c>
      <c r="B2419" s="6" t="s">
        <v>81</v>
      </c>
      <c r="C2419" s="6" t="s">
        <v>118</v>
      </c>
      <c r="D2419" s="5">
        <v>46023</v>
      </c>
      <c r="E2419" s="6" t="s">
        <v>15</v>
      </c>
      <c r="F2419" s="7">
        <v>947</v>
      </c>
      <c r="G2419" s="7">
        <v>489600.78880675818</v>
      </c>
      <c r="H2419" s="7">
        <v>463651947</v>
      </c>
      <c r="I2419" s="7">
        <v>33015722</v>
      </c>
      <c r="J2419" s="7">
        <v>0</v>
      </c>
      <c r="K2419">
        <f t="shared" si="37"/>
        <v>0</v>
      </c>
      <c r="L2419" s="8" t="str" cm="1">
        <f t="array" ref="L2419">_xlfn.IFS(
 AND(K2419&gt;=89,K2419&lt;=92),"3개월",
 AND(K2419&gt;=58,K2419&lt;=62),"2개월",
 AND(K2419&gt;=28,K2419&lt;=32),"1개월",
 AND(K2419=0),"당월",
 TRUE,"그외"
)</f>
        <v>당월</v>
      </c>
    </row>
    <row r="2420" spans="1:12" x14ac:dyDescent="0.3">
      <c r="A2420" s="5">
        <v>46023</v>
      </c>
      <c r="B2420" s="6" t="s">
        <v>84</v>
      </c>
      <c r="C2420" s="6" t="s">
        <v>85</v>
      </c>
      <c r="D2420" s="5">
        <v>45717</v>
      </c>
      <c r="E2420" s="6" t="s">
        <v>15</v>
      </c>
      <c r="F2420" s="7">
        <v>37</v>
      </c>
      <c r="G2420" s="7">
        <v>608685.32432432438</v>
      </c>
      <c r="H2420" s="7">
        <v>22521357</v>
      </c>
      <c r="I2420" s="7">
        <v>4114100</v>
      </c>
      <c r="J2420" s="7">
        <v>0</v>
      </c>
      <c r="K2420">
        <f t="shared" si="37"/>
        <v>306</v>
      </c>
      <c r="L2420" s="8" t="str" cm="1">
        <f t="array" ref="L2420">_xlfn.IFS(
 AND(K2420&gt;=89,K2420&lt;=92),"3개월",
 AND(K2420&gt;=58,K2420&lt;=62),"2개월",
 AND(K2420&gt;=28,K2420&lt;=32),"1개월",
 AND(K2420=0),"당월",
 TRUE,"그외"
)</f>
        <v>그외</v>
      </c>
    </row>
    <row r="2421" spans="1:12" x14ac:dyDescent="0.3">
      <c r="A2421" s="5">
        <v>46023</v>
      </c>
      <c r="B2421" s="6" t="s">
        <v>84</v>
      </c>
      <c r="C2421" s="6" t="s">
        <v>85</v>
      </c>
      <c r="D2421" s="5">
        <v>45748</v>
      </c>
      <c r="E2421" s="6" t="s">
        <v>15</v>
      </c>
      <c r="F2421" s="7">
        <v>294</v>
      </c>
      <c r="G2421" s="7">
        <v>744690.59183673467</v>
      </c>
      <c r="H2421" s="7">
        <v>218939034</v>
      </c>
      <c r="I2421" s="7">
        <v>26849511</v>
      </c>
      <c r="J2421" s="7">
        <v>0</v>
      </c>
      <c r="K2421">
        <f t="shared" si="37"/>
        <v>275</v>
      </c>
      <c r="L2421" s="8" t="str" cm="1">
        <f t="array" ref="L2421">_xlfn.IFS(
 AND(K2421&gt;=89,K2421&lt;=92),"3개월",
 AND(K2421&gt;=58,K2421&lt;=62),"2개월",
 AND(K2421&gt;=28,K2421&lt;=32),"1개월",
 AND(K2421=0),"당월",
 TRUE,"그외"
)</f>
        <v>그외</v>
      </c>
    </row>
    <row r="2422" spans="1:12" x14ac:dyDescent="0.3">
      <c r="A2422" s="5">
        <v>46023</v>
      </c>
      <c r="B2422" s="6" t="s">
        <v>84</v>
      </c>
      <c r="C2422" s="6" t="s">
        <v>85</v>
      </c>
      <c r="D2422" s="5">
        <v>45778</v>
      </c>
      <c r="E2422" s="6" t="s">
        <v>15</v>
      </c>
      <c r="F2422" s="7">
        <v>386</v>
      </c>
      <c r="G2422" s="7">
        <v>681427.94559585489</v>
      </c>
      <c r="H2422" s="7">
        <v>263031187</v>
      </c>
      <c r="I2422" s="7">
        <v>28324381</v>
      </c>
      <c r="J2422" s="7">
        <v>0</v>
      </c>
      <c r="K2422">
        <f t="shared" si="37"/>
        <v>245</v>
      </c>
      <c r="L2422" s="8" t="str" cm="1">
        <f t="array" ref="L2422">_xlfn.IFS(
 AND(K2422&gt;=89,K2422&lt;=92),"3개월",
 AND(K2422&gt;=58,K2422&lt;=62),"2개월",
 AND(K2422&gt;=28,K2422&lt;=32),"1개월",
 AND(K2422=0),"당월",
 TRUE,"그외"
)</f>
        <v>그외</v>
      </c>
    </row>
    <row r="2423" spans="1:12" x14ac:dyDescent="0.3">
      <c r="A2423" s="5">
        <v>46023</v>
      </c>
      <c r="B2423" s="6" t="s">
        <v>84</v>
      </c>
      <c r="C2423" s="6" t="s">
        <v>85</v>
      </c>
      <c r="D2423" s="5">
        <v>45809</v>
      </c>
      <c r="E2423" s="6" t="s">
        <v>15</v>
      </c>
      <c r="F2423" s="7">
        <v>387</v>
      </c>
      <c r="G2423" s="7">
        <v>717084.64857881132</v>
      </c>
      <c r="H2423" s="7">
        <v>277511759</v>
      </c>
      <c r="I2423" s="7">
        <v>24973978</v>
      </c>
      <c r="J2423" s="7">
        <v>0</v>
      </c>
      <c r="K2423">
        <f t="shared" si="37"/>
        <v>214</v>
      </c>
      <c r="L2423" s="8" t="str" cm="1">
        <f t="array" ref="L2423">_xlfn.IFS(
 AND(K2423&gt;=89,K2423&lt;=92),"3개월",
 AND(K2423&gt;=58,K2423&lt;=62),"2개월",
 AND(K2423&gt;=28,K2423&lt;=32),"1개월",
 AND(K2423=0),"당월",
 TRUE,"그외"
)</f>
        <v>그외</v>
      </c>
    </row>
    <row r="2424" spans="1:12" x14ac:dyDescent="0.3">
      <c r="A2424" s="5">
        <v>46023</v>
      </c>
      <c r="B2424" s="6" t="s">
        <v>84</v>
      </c>
      <c r="C2424" s="6" t="s">
        <v>85</v>
      </c>
      <c r="D2424" s="5">
        <v>45839</v>
      </c>
      <c r="E2424" s="6" t="s">
        <v>15</v>
      </c>
      <c r="F2424" s="7">
        <v>388</v>
      </c>
      <c r="G2424" s="7">
        <v>768946.88659793814</v>
      </c>
      <c r="H2424" s="7">
        <v>298351392</v>
      </c>
      <c r="I2424" s="7">
        <v>25473373</v>
      </c>
      <c r="J2424" s="7">
        <v>0</v>
      </c>
      <c r="K2424">
        <f t="shared" si="37"/>
        <v>184</v>
      </c>
      <c r="L2424" s="8" t="str" cm="1">
        <f t="array" ref="L2424">_xlfn.IFS(
 AND(K2424&gt;=89,K2424&lt;=92),"3개월",
 AND(K2424&gt;=58,K2424&lt;=62),"2개월",
 AND(K2424&gt;=28,K2424&lt;=32),"1개월",
 AND(K2424=0),"당월",
 TRUE,"그외"
)</f>
        <v>그외</v>
      </c>
    </row>
    <row r="2425" spans="1:12" x14ac:dyDescent="0.3">
      <c r="A2425" s="5">
        <v>46023</v>
      </c>
      <c r="B2425" s="6" t="s">
        <v>84</v>
      </c>
      <c r="C2425" s="6" t="s">
        <v>85</v>
      </c>
      <c r="D2425" s="5">
        <v>45870</v>
      </c>
      <c r="E2425" s="6" t="s">
        <v>15</v>
      </c>
      <c r="F2425" s="7">
        <v>420</v>
      </c>
      <c r="G2425" s="7">
        <v>780100.01428571425</v>
      </c>
      <c r="H2425" s="7">
        <v>327642006</v>
      </c>
      <c r="I2425" s="7">
        <v>34248372</v>
      </c>
      <c r="J2425" s="7">
        <v>0</v>
      </c>
      <c r="K2425">
        <f t="shared" si="37"/>
        <v>153</v>
      </c>
      <c r="L2425" s="8" t="str" cm="1">
        <f t="array" ref="L2425">_xlfn.IFS(
 AND(K2425&gt;=89,K2425&lt;=92),"3개월",
 AND(K2425&gt;=58,K2425&lt;=62),"2개월",
 AND(K2425&gt;=28,K2425&lt;=32),"1개월",
 AND(K2425=0),"당월",
 TRUE,"그외"
)</f>
        <v>그외</v>
      </c>
    </row>
    <row r="2426" spans="1:12" x14ac:dyDescent="0.3">
      <c r="A2426" s="5">
        <v>46023</v>
      </c>
      <c r="B2426" s="6" t="s">
        <v>84</v>
      </c>
      <c r="C2426" s="6" t="s">
        <v>85</v>
      </c>
      <c r="D2426" s="5">
        <v>45901</v>
      </c>
      <c r="E2426" s="6" t="s">
        <v>15</v>
      </c>
      <c r="F2426" s="7">
        <v>698</v>
      </c>
      <c r="G2426" s="7">
        <v>786606.52435530082</v>
      </c>
      <c r="H2426" s="7">
        <v>549051354</v>
      </c>
      <c r="I2426" s="7">
        <v>55872454</v>
      </c>
      <c r="J2426" s="7">
        <v>0</v>
      </c>
      <c r="K2426">
        <f t="shared" si="37"/>
        <v>122</v>
      </c>
      <c r="L2426" s="8" t="str" cm="1">
        <f t="array" ref="L2426">_xlfn.IFS(
 AND(K2426&gt;=89,K2426&lt;=92),"3개월",
 AND(K2426&gt;=58,K2426&lt;=62),"2개월",
 AND(K2426&gt;=28,K2426&lt;=32),"1개월",
 AND(K2426=0),"당월",
 TRUE,"그외"
)</f>
        <v>그외</v>
      </c>
    </row>
    <row r="2427" spans="1:12" x14ac:dyDescent="0.3">
      <c r="A2427" s="5">
        <v>46023</v>
      </c>
      <c r="B2427" s="6" t="s">
        <v>84</v>
      </c>
      <c r="C2427" s="6" t="s">
        <v>85</v>
      </c>
      <c r="D2427" s="5">
        <v>45931</v>
      </c>
      <c r="E2427" s="6" t="s">
        <v>15</v>
      </c>
      <c r="F2427" s="7">
        <v>810</v>
      </c>
      <c r="G2427" s="7">
        <v>846730.35555555555</v>
      </c>
      <c r="H2427" s="7">
        <v>685851588</v>
      </c>
      <c r="I2427" s="7">
        <v>64932578</v>
      </c>
      <c r="J2427" s="7">
        <v>0</v>
      </c>
      <c r="K2427">
        <f t="shared" si="37"/>
        <v>92</v>
      </c>
      <c r="L2427" s="8" t="str" cm="1">
        <f t="array" ref="L2427">_xlfn.IFS(
 AND(K2427&gt;=89,K2427&lt;=92),"3개월",
 AND(K2427&gt;=58,K2427&lt;=62),"2개월",
 AND(K2427&gt;=28,K2427&lt;=32),"1개월",
 AND(K2427=0),"당월",
 TRUE,"그외"
)</f>
        <v>3개월</v>
      </c>
    </row>
    <row r="2428" spans="1:12" x14ac:dyDescent="0.3">
      <c r="A2428" s="5">
        <v>46023</v>
      </c>
      <c r="B2428" s="6" t="s">
        <v>84</v>
      </c>
      <c r="C2428" s="6" t="s">
        <v>85</v>
      </c>
      <c r="D2428" s="5">
        <v>45962</v>
      </c>
      <c r="E2428" s="6" t="s">
        <v>14</v>
      </c>
      <c r="F2428" s="7">
        <v>88</v>
      </c>
      <c r="G2428" s="7">
        <v>663463.63636363635</v>
      </c>
      <c r="H2428" s="7">
        <v>58384800</v>
      </c>
      <c r="I2428" s="7">
        <v>5684800</v>
      </c>
      <c r="J2428" s="7">
        <v>0</v>
      </c>
      <c r="K2428">
        <f t="shared" si="37"/>
        <v>61</v>
      </c>
      <c r="L2428" s="8" t="str" cm="1">
        <f t="array" ref="L2428">_xlfn.IFS(
 AND(K2428&gt;=89,K2428&lt;=92),"3개월",
 AND(K2428&gt;=58,K2428&lt;=62),"2개월",
 AND(K2428&gt;=28,K2428&lt;=32),"1개월",
 AND(K2428=0),"당월",
 TRUE,"그외"
)</f>
        <v>2개월</v>
      </c>
    </row>
    <row r="2429" spans="1:12" x14ac:dyDescent="0.3">
      <c r="A2429" s="5">
        <v>46023</v>
      </c>
      <c r="B2429" s="6" t="s">
        <v>84</v>
      </c>
      <c r="C2429" s="6" t="s">
        <v>85</v>
      </c>
      <c r="D2429" s="5">
        <v>45962</v>
      </c>
      <c r="E2429" s="6" t="s">
        <v>15</v>
      </c>
      <c r="F2429" s="7">
        <v>1270</v>
      </c>
      <c r="G2429" s="7">
        <v>835298.23385826766</v>
      </c>
      <c r="H2429" s="7">
        <v>1060828757</v>
      </c>
      <c r="I2429" s="7">
        <v>97784119</v>
      </c>
      <c r="J2429" s="7">
        <v>0</v>
      </c>
      <c r="K2429">
        <f t="shared" si="37"/>
        <v>61</v>
      </c>
      <c r="L2429" s="8" t="str" cm="1">
        <f t="array" ref="L2429">_xlfn.IFS(
 AND(K2429&gt;=89,K2429&lt;=92),"3개월",
 AND(K2429&gt;=58,K2429&lt;=62),"2개월",
 AND(K2429&gt;=28,K2429&lt;=32),"1개월",
 AND(K2429=0),"당월",
 TRUE,"그외"
)</f>
        <v>2개월</v>
      </c>
    </row>
    <row r="2430" spans="1:12" x14ac:dyDescent="0.3">
      <c r="A2430" s="5">
        <v>46023</v>
      </c>
      <c r="B2430" s="6" t="s">
        <v>84</v>
      </c>
      <c r="C2430" s="6" t="s">
        <v>85</v>
      </c>
      <c r="D2430" s="5">
        <v>45992</v>
      </c>
      <c r="E2430" s="6" t="s">
        <v>14</v>
      </c>
      <c r="F2430" s="7">
        <v>539</v>
      </c>
      <c r="G2430" s="7">
        <v>666032.46753246756</v>
      </c>
      <c r="H2430" s="7">
        <v>358991500</v>
      </c>
      <c r="I2430" s="7">
        <v>11266500</v>
      </c>
      <c r="J2430" s="7">
        <v>0</v>
      </c>
      <c r="K2430">
        <f t="shared" si="37"/>
        <v>31</v>
      </c>
      <c r="L2430" s="8" t="str" cm="1">
        <f t="array" ref="L2430">_xlfn.IFS(
 AND(K2430&gt;=89,K2430&lt;=92),"3개월",
 AND(K2430&gt;=58,K2430&lt;=62),"2개월",
 AND(K2430&gt;=28,K2430&lt;=32),"1개월",
 AND(K2430=0),"당월",
 TRUE,"그외"
)</f>
        <v>1개월</v>
      </c>
    </row>
    <row r="2431" spans="1:12" x14ac:dyDescent="0.3">
      <c r="A2431" s="5">
        <v>46023</v>
      </c>
      <c r="B2431" s="6" t="s">
        <v>84</v>
      </c>
      <c r="C2431" s="6" t="s">
        <v>85</v>
      </c>
      <c r="D2431" s="5">
        <v>45992</v>
      </c>
      <c r="E2431" s="6" t="s">
        <v>15</v>
      </c>
      <c r="F2431" s="7">
        <v>1451</v>
      </c>
      <c r="G2431" s="7">
        <v>904824.05513439013</v>
      </c>
      <c r="H2431" s="7">
        <v>1312899704</v>
      </c>
      <c r="I2431" s="7">
        <v>131930324</v>
      </c>
      <c r="J2431" s="7">
        <v>0</v>
      </c>
      <c r="K2431">
        <f t="shared" si="37"/>
        <v>31</v>
      </c>
      <c r="L2431" s="8" t="str" cm="1">
        <f t="array" ref="L2431">_xlfn.IFS(
 AND(K2431&gt;=89,K2431&lt;=92),"3개월",
 AND(K2431&gt;=58,K2431&lt;=62),"2개월",
 AND(K2431&gt;=28,K2431&lt;=32),"1개월",
 AND(K2431=0),"당월",
 TRUE,"그외"
)</f>
        <v>1개월</v>
      </c>
    </row>
    <row r="2432" spans="1:12" x14ac:dyDescent="0.3">
      <c r="A2432" s="5">
        <v>46023</v>
      </c>
      <c r="B2432" s="6" t="s">
        <v>84</v>
      </c>
      <c r="C2432" s="6" t="s">
        <v>85</v>
      </c>
      <c r="D2432" s="5">
        <v>46023</v>
      </c>
      <c r="E2432" s="6" t="s">
        <v>14</v>
      </c>
      <c r="F2432" s="7">
        <v>776</v>
      </c>
      <c r="G2432" s="7">
        <v>676808.24742268038</v>
      </c>
      <c r="H2432" s="7">
        <v>525203200</v>
      </c>
      <c r="I2432" s="7">
        <v>8178200</v>
      </c>
      <c r="J2432" s="7">
        <v>0</v>
      </c>
      <c r="K2432">
        <f t="shared" si="37"/>
        <v>0</v>
      </c>
      <c r="L2432" s="8" t="str" cm="1">
        <f t="array" ref="L2432">_xlfn.IFS(
 AND(K2432&gt;=89,K2432&lt;=92),"3개월",
 AND(K2432&gt;=58,K2432&lt;=62),"2개월",
 AND(K2432&gt;=28,K2432&lt;=32),"1개월",
 AND(K2432=0),"당월",
 TRUE,"그외"
)</f>
        <v>당월</v>
      </c>
    </row>
    <row r="2433" spans="1:12" x14ac:dyDescent="0.3">
      <c r="A2433" s="5">
        <v>46023</v>
      </c>
      <c r="B2433" s="6" t="s">
        <v>84</v>
      </c>
      <c r="C2433" s="6" t="s">
        <v>85</v>
      </c>
      <c r="D2433" s="5">
        <v>46023</v>
      </c>
      <c r="E2433" s="6" t="s">
        <v>15</v>
      </c>
      <c r="F2433" s="7">
        <v>887</v>
      </c>
      <c r="G2433" s="7">
        <v>780153.98083427281</v>
      </c>
      <c r="H2433" s="7">
        <v>691996581</v>
      </c>
      <c r="I2433" s="7">
        <v>73653252</v>
      </c>
      <c r="J2433" s="7">
        <v>0</v>
      </c>
      <c r="K2433">
        <f t="shared" si="37"/>
        <v>0</v>
      </c>
      <c r="L2433" s="8" t="str" cm="1">
        <f t="array" ref="L2433">_xlfn.IFS(
 AND(K2433&gt;=89,K2433&lt;=92),"3개월",
 AND(K2433&gt;=58,K2433&lt;=62),"2개월",
 AND(K2433&gt;=28,K2433&lt;=32),"1개월",
 AND(K2433=0),"당월",
 TRUE,"그외"
)</f>
        <v>당월</v>
      </c>
    </row>
    <row r="2434" spans="1:12" x14ac:dyDescent="0.3">
      <c r="A2434" s="5">
        <v>46023</v>
      </c>
      <c r="B2434" s="6" t="s">
        <v>84</v>
      </c>
      <c r="C2434" s="6" t="s">
        <v>86</v>
      </c>
      <c r="D2434" s="5">
        <v>45717</v>
      </c>
      <c r="E2434" s="6" t="s">
        <v>15</v>
      </c>
      <c r="F2434" s="7">
        <v>6</v>
      </c>
      <c r="G2434" s="7">
        <v>579600</v>
      </c>
      <c r="H2434" s="7">
        <v>3477600</v>
      </c>
      <c r="I2434" s="7">
        <v>537600</v>
      </c>
      <c r="J2434" s="7">
        <v>0</v>
      </c>
      <c r="K2434">
        <f t="shared" si="37"/>
        <v>306</v>
      </c>
      <c r="L2434" s="8" t="str" cm="1">
        <f t="array" ref="L2434">_xlfn.IFS(
 AND(K2434&gt;=89,K2434&lt;=92),"3개월",
 AND(K2434&gt;=58,K2434&lt;=62),"2개월",
 AND(K2434&gt;=28,K2434&lt;=32),"1개월",
 AND(K2434=0),"당월",
 TRUE,"그외"
)</f>
        <v>그외</v>
      </c>
    </row>
    <row r="2435" spans="1:12" x14ac:dyDescent="0.3">
      <c r="A2435" s="5">
        <v>46023</v>
      </c>
      <c r="B2435" s="6" t="s">
        <v>84</v>
      </c>
      <c r="C2435" s="6" t="s">
        <v>86</v>
      </c>
      <c r="D2435" s="5">
        <v>45748</v>
      </c>
      <c r="E2435" s="6" t="s">
        <v>15</v>
      </c>
      <c r="F2435" s="7">
        <v>132</v>
      </c>
      <c r="G2435" s="7">
        <v>567286.02272727271</v>
      </c>
      <c r="H2435" s="7">
        <v>74881755</v>
      </c>
      <c r="I2435" s="7">
        <v>11000160</v>
      </c>
      <c r="J2435" s="7">
        <v>0</v>
      </c>
      <c r="K2435">
        <f t="shared" si="37"/>
        <v>275</v>
      </c>
      <c r="L2435" s="8" t="str" cm="1">
        <f t="array" ref="L2435">_xlfn.IFS(
 AND(K2435&gt;=89,K2435&lt;=92),"3개월",
 AND(K2435&gt;=58,K2435&lt;=62),"2개월",
 AND(K2435&gt;=28,K2435&lt;=32),"1개월",
 AND(K2435=0),"당월",
 TRUE,"그외"
)</f>
        <v>그외</v>
      </c>
    </row>
    <row r="2436" spans="1:12" x14ac:dyDescent="0.3">
      <c r="A2436" s="5">
        <v>46023</v>
      </c>
      <c r="B2436" s="6" t="s">
        <v>84</v>
      </c>
      <c r="C2436" s="6" t="s">
        <v>86</v>
      </c>
      <c r="D2436" s="5">
        <v>45778</v>
      </c>
      <c r="E2436" s="6" t="s">
        <v>15</v>
      </c>
      <c r="F2436" s="7">
        <v>235</v>
      </c>
      <c r="G2436" s="7">
        <v>495163.71914893622</v>
      </c>
      <c r="H2436" s="7">
        <v>116363474</v>
      </c>
      <c r="I2436" s="7">
        <v>14573503</v>
      </c>
      <c r="J2436" s="7">
        <v>0</v>
      </c>
      <c r="K2436">
        <f t="shared" si="37"/>
        <v>245</v>
      </c>
      <c r="L2436" s="8" t="str" cm="1">
        <f t="array" ref="L2436">_xlfn.IFS(
 AND(K2436&gt;=89,K2436&lt;=92),"3개월",
 AND(K2436&gt;=58,K2436&lt;=62),"2개월",
 AND(K2436&gt;=28,K2436&lt;=32),"1개월",
 AND(K2436=0),"당월",
 TRUE,"그외"
)</f>
        <v>그외</v>
      </c>
    </row>
    <row r="2437" spans="1:12" x14ac:dyDescent="0.3">
      <c r="A2437" s="5">
        <v>46023</v>
      </c>
      <c r="B2437" s="6" t="s">
        <v>84</v>
      </c>
      <c r="C2437" s="6" t="s">
        <v>86</v>
      </c>
      <c r="D2437" s="5">
        <v>45809</v>
      </c>
      <c r="E2437" s="6" t="s">
        <v>15</v>
      </c>
      <c r="F2437" s="7">
        <v>338</v>
      </c>
      <c r="G2437" s="7">
        <v>518405.86390532542</v>
      </c>
      <c r="H2437" s="7">
        <v>175221182</v>
      </c>
      <c r="I2437" s="7">
        <v>18476074</v>
      </c>
      <c r="J2437" s="7">
        <v>0</v>
      </c>
      <c r="K2437">
        <f t="shared" si="37"/>
        <v>214</v>
      </c>
      <c r="L2437" s="8" t="str" cm="1">
        <f t="array" ref="L2437">_xlfn.IFS(
 AND(K2437&gt;=89,K2437&lt;=92),"3개월",
 AND(K2437&gt;=58,K2437&lt;=62),"2개월",
 AND(K2437&gt;=28,K2437&lt;=32),"1개월",
 AND(K2437=0),"당월",
 TRUE,"그외"
)</f>
        <v>그외</v>
      </c>
    </row>
    <row r="2438" spans="1:12" x14ac:dyDescent="0.3">
      <c r="A2438" s="5">
        <v>46023</v>
      </c>
      <c r="B2438" s="6" t="s">
        <v>84</v>
      </c>
      <c r="C2438" s="6" t="s">
        <v>86</v>
      </c>
      <c r="D2438" s="5">
        <v>45839</v>
      </c>
      <c r="E2438" s="6" t="s">
        <v>15</v>
      </c>
      <c r="F2438" s="7">
        <v>312</v>
      </c>
      <c r="G2438" s="7">
        <v>725947.96474358975</v>
      </c>
      <c r="H2438" s="7">
        <v>226495765</v>
      </c>
      <c r="I2438" s="7">
        <v>22551241</v>
      </c>
      <c r="J2438" s="7">
        <v>0</v>
      </c>
      <c r="K2438">
        <f t="shared" si="37"/>
        <v>184</v>
      </c>
      <c r="L2438" s="8" t="str" cm="1">
        <f t="array" ref="L2438">_xlfn.IFS(
 AND(K2438&gt;=89,K2438&lt;=92),"3개월",
 AND(K2438&gt;=58,K2438&lt;=62),"2개월",
 AND(K2438&gt;=28,K2438&lt;=32),"1개월",
 AND(K2438=0),"당월",
 TRUE,"그외"
)</f>
        <v>그외</v>
      </c>
    </row>
    <row r="2439" spans="1:12" x14ac:dyDescent="0.3">
      <c r="A2439" s="5">
        <v>46023</v>
      </c>
      <c r="B2439" s="6" t="s">
        <v>84</v>
      </c>
      <c r="C2439" s="6" t="s">
        <v>86</v>
      </c>
      <c r="D2439" s="5">
        <v>45870</v>
      </c>
      <c r="E2439" s="6" t="s">
        <v>15</v>
      </c>
      <c r="F2439" s="7">
        <v>296</v>
      </c>
      <c r="G2439" s="7">
        <v>733654.18581081077</v>
      </c>
      <c r="H2439" s="7">
        <v>217161639</v>
      </c>
      <c r="I2439" s="7">
        <v>26204031</v>
      </c>
      <c r="J2439" s="7">
        <v>0</v>
      </c>
      <c r="K2439">
        <f t="shared" si="37"/>
        <v>153</v>
      </c>
      <c r="L2439" s="8" t="str" cm="1">
        <f t="array" ref="L2439">_xlfn.IFS(
 AND(K2439&gt;=89,K2439&lt;=92),"3개월",
 AND(K2439&gt;=58,K2439&lt;=62),"2개월",
 AND(K2439&gt;=28,K2439&lt;=32),"1개월",
 AND(K2439=0),"당월",
 TRUE,"그외"
)</f>
        <v>그외</v>
      </c>
    </row>
    <row r="2440" spans="1:12" x14ac:dyDescent="0.3">
      <c r="A2440" s="5">
        <v>46023</v>
      </c>
      <c r="B2440" s="6" t="s">
        <v>84</v>
      </c>
      <c r="C2440" s="6" t="s">
        <v>86</v>
      </c>
      <c r="D2440" s="5">
        <v>45901</v>
      </c>
      <c r="E2440" s="6" t="s">
        <v>15</v>
      </c>
      <c r="F2440" s="7">
        <v>510</v>
      </c>
      <c r="G2440" s="7">
        <v>743074.89411764708</v>
      </c>
      <c r="H2440" s="7">
        <v>378968196</v>
      </c>
      <c r="I2440" s="7">
        <v>46271395</v>
      </c>
      <c r="J2440" s="7">
        <v>0</v>
      </c>
      <c r="K2440">
        <f t="shared" si="37"/>
        <v>122</v>
      </c>
      <c r="L2440" s="8" t="str" cm="1">
        <f t="array" ref="L2440">_xlfn.IFS(
 AND(K2440&gt;=89,K2440&lt;=92),"3개월",
 AND(K2440&gt;=58,K2440&lt;=62),"2개월",
 AND(K2440&gt;=28,K2440&lt;=32),"1개월",
 AND(K2440=0),"당월",
 TRUE,"그외"
)</f>
        <v>그외</v>
      </c>
    </row>
    <row r="2441" spans="1:12" x14ac:dyDescent="0.3">
      <c r="A2441" s="5">
        <v>46023</v>
      </c>
      <c r="B2441" s="6" t="s">
        <v>84</v>
      </c>
      <c r="C2441" s="6" t="s">
        <v>86</v>
      </c>
      <c r="D2441" s="5">
        <v>45931</v>
      </c>
      <c r="E2441" s="6" t="s">
        <v>15</v>
      </c>
      <c r="F2441" s="7">
        <v>716</v>
      </c>
      <c r="G2441" s="7">
        <v>705404.83379888267</v>
      </c>
      <c r="H2441" s="7">
        <v>505069861</v>
      </c>
      <c r="I2441" s="7">
        <v>55950164</v>
      </c>
      <c r="J2441" s="7">
        <v>0</v>
      </c>
      <c r="K2441">
        <f t="shared" si="37"/>
        <v>92</v>
      </c>
      <c r="L2441" s="8" t="str" cm="1">
        <f t="array" ref="L2441">_xlfn.IFS(
 AND(K2441&gt;=89,K2441&lt;=92),"3개월",
 AND(K2441&gt;=58,K2441&lt;=62),"2개월",
 AND(K2441&gt;=28,K2441&lt;=32),"1개월",
 AND(K2441=0),"당월",
 TRUE,"그외"
)</f>
        <v>3개월</v>
      </c>
    </row>
    <row r="2442" spans="1:12" x14ac:dyDescent="0.3">
      <c r="A2442" s="5">
        <v>46023</v>
      </c>
      <c r="B2442" s="6" t="s">
        <v>84</v>
      </c>
      <c r="C2442" s="6" t="s">
        <v>86</v>
      </c>
      <c r="D2442" s="5">
        <v>45962</v>
      </c>
      <c r="E2442" s="6" t="s">
        <v>14</v>
      </c>
      <c r="F2442" s="7">
        <v>24</v>
      </c>
      <c r="G2442" s="7">
        <v>614600</v>
      </c>
      <c r="H2442" s="7">
        <v>14750400</v>
      </c>
      <c r="I2442" s="7">
        <v>1550400</v>
      </c>
      <c r="J2442" s="7">
        <v>0</v>
      </c>
      <c r="K2442">
        <f t="shared" ref="K2442:K2505" si="38">A2442-D2442</f>
        <v>61</v>
      </c>
      <c r="L2442" s="8" t="str" cm="1">
        <f t="array" ref="L2442">_xlfn.IFS(
 AND(K2442&gt;=89,K2442&lt;=92),"3개월",
 AND(K2442&gt;=58,K2442&lt;=62),"2개월",
 AND(K2442&gt;=28,K2442&lt;=32),"1개월",
 AND(K2442=0),"당월",
 TRUE,"그외"
)</f>
        <v>2개월</v>
      </c>
    </row>
    <row r="2443" spans="1:12" x14ac:dyDescent="0.3">
      <c r="A2443" s="5">
        <v>46023</v>
      </c>
      <c r="B2443" s="6" t="s">
        <v>84</v>
      </c>
      <c r="C2443" s="6" t="s">
        <v>86</v>
      </c>
      <c r="D2443" s="5">
        <v>45962</v>
      </c>
      <c r="E2443" s="6" t="s">
        <v>15</v>
      </c>
      <c r="F2443" s="7">
        <v>925</v>
      </c>
      <c r="G2443" s="7">
        <v>690234.59351351357</v>
      </c>
      <c r="H2443" s="7">
        <v>638466999</v>
      </c>
      <c r="I2443" s="7">
        <v>73422840</v>
      </c>
      <c r="J2443" s="7">
        <v>0</v>
      </c>
      <c r="K2443">
        <f t="shared" si="38"/>
        <v>61</v>
      </c>
      <c r="L2443" s="8" t="str" cm="1">
        <f t="array" ref="L2443">_xlfn.IFS(
 AND(K2443&gt;=89,K2443&lt;=92),"3개월",
 AND(K2443&gt;=58,K2443&lt;=62),"2개월",
 AND(K2443&gt;=28,K2443&lt;=32),"1개월",
 AND(K2443=0),"당월",
 TRUE,"그외"
)</f>
        <v>2개월</v>
      </c>
    </row>
    <row r="2444" spans="1:12" x14ac:dyDescent="0.3">
      <c r="A2444" s="5">
        <v>46023</v>
      </c>
      <c r="B2444" s="6" t="s">
        <v>84</v>
      </c>
      <c r="C2444" s="6" t="s">
        <v>86</v>
      </c>
      <c r="D2444" s="5">
        <v>45992</v>
      </c>
      <c r="E2444" s="6" t="s">
        <v>14</v>
      </c>
      <c r="F2444" s="7">
        <v>1558</v>
      </c>
      <c r="G2444" s="7">
        <v>600913.55969191273</v>
      </c>
      <c r="H2444" s="7">
        <v>936223326</v>
      </c>
      <c r="I2444" s="7">
        <v>120668100</v>
      </c>
      <c r="J2444" s="7">
        <v>0</v>
      </c>
      <c r="K2444">
        <f t="shared" si="38"/>
        <v>31</v>
      </c>
      <c r="L2444" s="8" t="str" cm="1">
        <f t="array" ref="L2444">_xlfn.IFS(
 AND(K2444&gt;=89,K2444&lt;=92),"3개월",
 AND(K2444&gt;=58,K2444&lt;=62),"2개월",
 AND(K2444&gt;=28,K2444&lt;=32),"1개월",
 AND(K2444=0),"당월",
 TRUE,"그외"
)</f>
        <v>1개월</v>
      </c>
    </row>
    <row r="2445" spans="1:12" x14ac:dyDescent="0.3">
      <c r="A2445" s="5">
        <v>46023</v>
      </c>
      <c r="B2445" s="6" t="s">
        <v>84</v>
      </c>
      <c r="C2445" s="6" t="s">
        <v>86</v>
      </c>
      <c r="D2445" s="5">
        <v>45992</v>
      </c>
      <c r="E2445" s="6" t="s">
        <v>15</v>
      </c>
      <c r="F2445" s="7">
        <v>1478</v>
      </c>
      <c r="G2445" s="7">
        <v>696834.39377537207</v>
      </c>
      <c r="H2445" s="7">
        <v>1029921234</v>
      </c>
      <c r="I2445" s="7">
        <v>138309621</v>
      </c>
      <c r="J2445" s="7">
        <v>0</v>
      </c>
      <c r="K2445">
        <f t="shared" si="38"/>
        <v>31</v>
      </c>
      <c r="L2445" s="8" t="str" cm="1">
        <f t="array" ref="L2445">_xlfn.IFS(
 AND(K2445&gt;=89,K2445&lt;=92),"3개월",
 AND(K2445&gt;=58,K2445&lt;=62),"2개월",
 AND(K2445&gt;=28,K2445&lt;=32),"1개월",
 AND(K2445=0),"당월",
 TRUE,"그외"
)</f>
        <v>1개월</v>
      </c>
    </row>
    <row r="2446" spans="1:12" x14ac:dyDescent="0.3">
      <c r="A2446" s="5">
        <v>46023</v>
      </c>
      <c r="B2446" s="6" t="s">
        <v>84</v>
      </c>
      <c r="C2446" s="6" t="s">
        <v>86</v>
      </c>
      <c r="D2446" s="5">
        <v>46023</v>
      </c>
      <c r="E2446" s="6" t="s">
        <v>14</v>
      </c>
      <c r="F2446" s="7">
        <v>1936</v>
      </c>
      <c r="G2446" s="7">
        <v>533514.39617768594</v>
      </c>
      <c r="H2446" s="7">
        <v>1032883871</v>
      </c>
      <c r="I2446" s="7">
        <v>153478500</v>
      </c>
      <c r="J2446" s="7">
        <v>0</v>
      </c>
      <c r="K2446">
        <f t="shared" si="38"/>
        <v>0</v>
      </c>
      <c r="L2446" s="8" t="str" cm="1">
        <f t="array" ref="L2446">_xlfn.IFS(
 AND(K2446&gt;=89,K2446&lt;=92),"3개월",
 AND(K2446&gt;=58,K2446&lt;=62),"2개월",
 AND(K2446&gt;=28,K2446&lt;=32),"1개월",
 AND(K2446=0),"당월",
 TRUE,"그외"
)</f>
        <v>당월</v>
      </c>
    </row>
    <row r="2447" spans="1:12" x14ac:dyDescent="0.3">
      <c r="A2447" s="5">
        <v>46023</v>
      </c>
      <c r="B2447" s="6" t="s">
        <v>84</v>
      </c>
      <c r="C2447" s="6" t="s">
        <v>86</v>
      </c>
      <c r="D2447" s="5">
        <v>46023</v>
      </c>
      <c r="E2447" s="6" t="s">
        <v>15</v>
      </c>
      <c r="F2447" s="7">
        <v>669</v>
      </c>
      <c r="G2447" s="7">
        <v>703126.18385650229</v>
      </c>
      <c r="H2447" s="7">
        <v>470391417</v>
      </c>
      <c r="I2447" s="7">
        <v>56242649</v>
      </c>
      <c r="J2447" s="7">
        <v>0</v>
      </c>
      <c r="K2447">
        <f t="shared" si="38"/>
        <v>0</v>
      </c>
      <c r="L2447" s="8" t="str" cm="1">
        <f t="array" ref="L2447">_xlfn.IFS(
 AND(K2447&gt;=89,K2447&lt;=92),"3개월",
 AND(K2447&gt;=58,K2447&lt;=62),"2개월",
 AND(K2447&gt;=28,K2447&lt;=32),"1개월",
 AND(K2447=0),"당월",
 TRUE,"그외"
)</f>
        <v>당월</v>
      </c>
    </row>
    <row r="2448" spans="1:12" x14ac:dyDescent="0.3">
      <c r="A2448" s="5">
        <v>46023</v>
      </c>
      <c r="B2448" s="6" t="s">
        <v>84</v>
      </c>
      <c r="C2448" s="6" t="s">
        <v>87</v>
      </c>
      <c r="D2448" s="5">
        <v>45717</v>
      </c>
      <c r="E2448" s="6" t="s">
        <v>15</v>
      </c>
      <c r="F2448" s="7">
        <v>2</v>
      </c>
      <c r="G2448" s="7">
        <v>579600</v>
      </c>
      <c r="H2448" s="7">
        <v>1159200</v>
      </c>
      <c r="I2448" s="7">
        <v>179200</v>
      </c>
      <c r="J2448" s="7">
        <v>0</v>
      </c>
      <c r="K2448">
        <f t="shared" si="38"/>
        <v>306</v>
      </c>
      <c r="L2448" s="8" t="str" cm="1">
        <f t="array" ref="L2448">_xlfn.IFS(
 AND(K2448&gt;=89,K2448&lt;=92),"3개월",
 AND(K2448&gt;=58,K2448&lt;=62),"2개월",
 AND(K2448&gt;=28,K2448&lt;=32),"1개월",
 AND(K2448=0),"당월",
 TRUE,"그외"
)</f>
        <v>그외</v>
      </c>
    </row>
    <row r="2449" spans="1:12" x14ac:dyDescent="0.3">
      <c r="A2449" s="5">
        <v>46023</v>
      </c>
      <c r="B2449" s="6" t="s">
        <v>84</v>
      </c>
      <c r="C2449" s="6" t="s">
        <v>87</v>
      </c>
      <c r="D2449" s="5">
        <v>45748</v>
      </c>
      <c r="E2449" s="6" t="s">
        <v>15</v>
      </c>
      <c r="F2449" s="7">
        <v>44</v>
      </c>
      <c r="G2449" s="7">
        <v>508102.04545454553</v>
      </c>
      <c r="H2449" s="7">
        <v>22356490</v>
      </c>
      <c r="I2449" s="7">
        <v>3907153</v>
      </c>
      <c r="J2449" s="7">
        <v>0</v>
      </c>
      <c r="K2449">
        <f t="shared" si="38"/>
        <v>275</v>
      </c>
      <c r="L2449" s="8" t="str" cm="1">
        <f t="array" ref="L2449">_xlfn.IFS(
 AND(K2449&gt;=89,K2449&lt;=92),"3개월",
 AND(K2449&gt;=58,K2449&lt;=62),"2개월",
 AND(K2449&gt;=28,K2449&lt;=32),"1개월",
 AND(K2449=0),"당월",
 TRUE,"그외"
)</f>
        <v>그외</v>
      </c>
    </row>
    <row r="2450" spans="1:12" x14ac:dyDescent="0.3">
      <c r="A2450" s="5">
        <v>46023</v>
      </c>
      <c r="B2450" s="6" t="s">
        <v>84</v>
      </c>
      <c r="C2450" s="6" t="s">
        <v>87</v>
      </c>
      <c r="D2450" s="5">
        <v>45778</v>
      </c>
      <c r="E2450" s="6" t="s">
        <v>15</v>
      </c>
      <c r="F2450" s="7">
        <v>86</v>
      </c>
      <c r="G2450" s="7">
        <v>484390.79069767438</v>
      </c>
      <c r="H2450" s="7">
        <v>41657608</v>
      </c>
      <c r="I2450" s="7">
        <v>4927228</v>
      </c>
      <c r="J2450" s="7">
        <v>0</v>
      </c>
      <c r="K2450">
        <f t="shared" si="38"/>
        <v>245</v>
      </c>
      <c r="L2450" s="8" t="str" cm="1">
        <f t="array" ref="L2450">_xlfn.IFS(
 AND(K2450&gt;=89,K2450&lt;=92),"3개월",
 AND(K2450&gt;=58,K2450&lt;=62),"2개월",
 AND(K2450&gt;=28,K2450&lt;=32),"1개월",
 AND(K2450=0),"당월",
 TRUE,"그외"
)</f>
        <v>그외</v>
      </c>
    </row>
    <row r="2451" spans="1:12" x14ac:dyDescent="0.3">
      <c r="A2451" s="5">
        <v>46023</v>
      </c>
      <c r="B2451" s="6" t="s">
        <v>84</v>
      </c>
      <c r="C2451" s="6" t="s">
        <v>87</v>
      </c>
      <c r="D2451" s="5">
        <v>45809</v>
      </c>
      <c r="E2451" s="6" t="s">
        <v>15</v>
      </c>
      <c r="F2451" s="7">
        <v>144</v>
      </c>
      <c r="G2451" s="7">
        <v>435182.85416666669</v>
      </c>
      <c r="H2451" s="7">
        <v>62666331</v>
      </c>
      <c r="I2451" s="7">
        <v>7704905</v>
      </c>
      <c r="J2451" s="7">
        <v>0</v>
      </c>
      <c r="K2451">
        <f t="shared" si="38"/>
        <v>214</v>
      </c>
      <c r="L2451" s="8" t="str" cm="1">
        <f t="array" ref="L2451">_xlfn.IFS(
 AND(K2451&gt;=89,K2451&lt;=92),"3개월",
 AND(K2451&gt;=58,K2451&lt;=62),"2개월",
 AND(K2451&gt;=28,K2451&lt;=32),"1개월",
 AND(K2451=0),"당월",
 TRUE,"그외"
)</f>
        <v>그외</v>
      </c>
    </row>
    <row r="2452" spans="1:12" x14ac:dyDescent="0.3">
      <c r="A2452" s="5">
        <v>46023</v>
      </c>
      <c r="B2452" s="6" t="s">
        <v>84</v>
      </c>
      <c r="C2452" s="6" t="s">
        <v>87</v>
      </c>
      <c r="D2452" s="5">
        <v>45839</v>
      </c>
      <c r="E2452" s="6" t="s">
        <v>15</v>
      </c>
      <c r="F2452" s="7">
        <v>198</v>
      </c>
      <c r="G2452" s="7">
        <v>445162.30303030298</v>
      </c>
      <c r="H2452" s="7">
        <v>88142136</v>
      </c>
      <c r="I2452" s="7">
        <v>10544836</v>
      </c>
      <c r="J2452" s="7">
        <v>0</v>
      </c>
      <c r="K2452">
        <f t="shared" si="38"/>
        <v>184</v>
      </c>
      <c r="L2452" s="8" t="str" cm="1">
        <f t="array" ref="L2452">_xlfn.IFS(
 AND(K2452&gt;=89,K2452&lt;=92),"3개월",
 AND(K2452&gt;=58,K2452&lt;=62),"2개월",
 AND(K2452&gt;=28,K2452&lt;=32),"1개월",
 AND(K2452=0),"당월",
 TRUE,"그외"
)</f>
        <v>그외</v>
      </c>
    </row>
    <row r="2453" spans="1:12" x14ac:dyDescent="0.3">
      <c r="A2453" s="5">
        <v>46023</v>
      </c>
      <c r="B2453" s="6" t="s">
        <v>84</v>
      </c>
      <c r="C2453" s="6" t="s">
        <v>87</v>
      </c>
      <c r="D2453" s="5">
        <v>45870</v>
      </c>
      <c r="E2453" s="6" t="s">
        <v>15</v>
      </c>
      <c r="F2453" s="7">
        <v>269</v>
      </c>
      <c r="G2453" s="7">
        <v>521703.73234200751</v>
      </c>
      <c r="H2453" s="7">
        <v>140338304</v>
      </c>
      <c r="I2453" s="7">
        <v>20476144</v>
      </c>
      <c r="J2453" s="7">
        <v>0</v>
      </c>
      <c r="K2453">
        <f t="shared" si="38"/>
        <v>153</v>
      </c>
      <c r="L2453" s="8" t="str" cm="1">
        <f t="array" ref="L2453">_xlfn.IFS(
 AND(K2453&gt;=89,K2453&lt;=92),"3개월",
 AND(K2453&gt;=58,K2453&lt;=62),"2개월",
 AND(K2453&gt;=28,K2453&lt;=32),"1개월",
 AND(K2453=0),"당월",
 TRUE,"그외"
)</f>
        <v>그외</v>
      </c>
    </row>
    <row r="2454" spans="1:12" x14ac:dyDescent="0.3">
      <c r="A2454" s="5">
        <v>46023</v>
      </c>
      <c r="B2454" s="6" t="s">
        <v>84</v>
      </c>
      <c r="C2454" s="6" t="s">
        <v>87</v>
      </c>
      <c r="D2454" s="5">
        <v>45901</v>
      </c>
      <c r="E2454" s="6" t="s">
        <v>15</v>
      </c>
      <c r="F2454" s="7">
        <v>454</v>
      </c>
      <c r="G2454" s="7">
        <v>536330.03303964762</v>
      </c>
      <c r="H2454" s="7">
        <v>243493835</v>
      </c>
      <c r="I2454" s="7">
        <v>34733326</v>
      </c>
      <c r="J2454" s="7">
        <v>0</v>
      </c>
      <c r="K2454">
        <f t="shared" si="38"/>
        <v>122</v>
      </c>
      <c r="L2454" s="8" t="str" cm="1">
        <f t="array" ref="L2454">_xlfn.IFS(
 AND(K2454&gt;=89,K2454&lt;=92),"3개월",
 AND(K2454&gt;=58,K2454&lt;=62),"2개월",
 AND(K2454&gt;=28,K2454&lt;=32),"1개월",
 AND(K2454=0),"당월",
 TRUE,"그외"
)</f>
        <v>그외</v>
      </c>
    </row>
    <row r="2455" spans="1:12" x14ac:dyDescent="0.3">
      <c r="A2455" s="5">
        <v>46023</v>
      </c>
      <c r="B2455" s="6" t="s">
        <v>84</v>
      </c>
      <c r="C2455" s="6" t="s">
        <v>87</v>
      </c>
      <c r="D2455" s="5">
        <v>45931</v>
      </c>
      <c r="E2455" s="6" t="s">
        <v>15</v>
      </c>
      <c r="F2455" s="7">
        <v>783</v>
      </c>
      <c r="G2455" s="7">
        <v>564948.79182630905</v>
      </c>
      <c r="H2455" s="7">
        <v>442354904</v>
      </c>
      <c r="I2455" s="7">
        <v>60636175</v>
      </c>
      <c r="J2455" s="7">
        <v>0</v>
      </c>
      <c r="K2455">
        <f t="shared" si="38"/>
        <v>92</v>
      </c>
      <c r="L2455" s="8" t="str" cm="1">
        <f t="array" ref="L2455">_xlfn.IFS(
 AND(K2455&gt;=89,K2455&lt;=92),"3개월",
 AND(K2455&gt;=58,K2455&lt;=62),"2개월",
 AND(K2455&gt;=28,K2455&lt;=32),"1개월",
 AND(K2455=0),"당월",
 TRUE,"그외"
)</f>
        <v>3개월</v>
      </c>
    </row>
    <row r="2456" spans="1:12" x14ac:dyDescent="0.3">
      <c r="A2456" s="5">
        <v>46023</v>
      </c>
      <c r="B2456" s="6" t="s">
        <v>84</v>
      </c>
      <c r="C2456" s="6" t="s">
        <v>87</v>
      </c>
      <c r="D2456" s="5">
        <v>45962</v>
      </c>
      <c r="E2456" s="6" t="s">
        <v>15</v>
      </c>
      <c r="F2456" s="7">
        <v>1251</v>
      </c>
      <c r="G2456" s="7">
        <v>525136.27498001594</v>
      </c>
      <c r="H2456" s="7">
        <v>656945480</v>
      </c>
      <c r="I2456" s="7">
        <v>104290331</v>
      </c>
      <c r="J2456" s="7">
        <v>0</v>
      </c>
      <c r="K2456">
        <f t="shared" si="38"/>
        <v>61</v>
      </c>
      <c r="L2456" s="8" t="str" cm="1">
        <f t="array" ref="L2456">_xlfn.IFS(
 AND(K2456&gt;=89,K2456&lt;=92),"3개월",
 AND(K2456&gt;=58,K2456&lt;=62),"2개월",
 AND(K2456&gt;=28,K2456&lt;=32),"1개월",
 AND(K2456=0),"당월",
 TRUE,"그외"
)</f>
        <v>2개월</v>
      </c>
    </row>
    <row r="2457" spans="1:12" x14ac:dyDescent="0.3">
      <c r="A2457" s="5">
        <v>46023</v>
      </c>
      <c r="B2457" s="6" t="s">
        <v>84</v>
      </c>
      <c r="C2457" s="6" t="s">
        <v>87</v>
      </c>
      <c r="D2457" s="5">
        <v>45992</v>
      </c>
      <c r="E2457" s="6" t="s">
        <v>14</v>
      </c>
      <c r="F2457" s="7">
        <v>727</v>
      </c>
      <c r="G2457" s="7">
        <v>281646.62998624478</v>
      </c>
      <c r="H2457" s="7">
        <v>204757100</v>
      </c>
      <c r="I2457" s="7">
        <v>56177100</v>
      </c>
      <c r="J2457" s="7">
        <v>0</v>
      </c>
      <c r="K2457">
        <f t="shared" si="38"/>
        <v>31</v>
      </c>
      <c r="L2457" s="8" t="str" cm="1">
        <f t="array" ref="L2457">_xlfn.IFS(
 AND(K2457&gt;=89,K2457&lt;=92),"3개월",
 AND(K2457&gt;=58,K2457&lt;=62),"2개월",
 AND(K2457&gt;=28,K2457&lt;=32),"1개월",
 AND(K2457=0),"당월",
 TRUE,"그외"
)</f>
        <v>1개월</v>
      </c>
    </row>
    <row r="2458" spans="1:12" x14ac:dyDescent="0.3">
      <c r="A2458" s="5">
        <v>46023</v>
      </c>
      <c r="B2458" s="6" t="s">
        <v>84</v>
      </c>
      <c r="C2458" s="6" t="s">
        <v>87</v>
      </c>
      <c r="D2458" s="5">
        <v>45992</v>
      </c>
      <c r="E2458" s="6" t="s">
        <v>15</v>
      </c>
      <c r="F2458" s="7">
        <v>1688</v>
      </c>
      <c r="G2458" s="7">
        <v>544312.74940758292</v>
      </c>
      <c r="H2458" s="7">
        <v>918799921</v>
      </c>
      <c r="I2458" s="7">
        <v>168420591</v>
      </c>
      <c r="J2458" s="7">
        <v>0</v>
      </c>
      <c r="K2458">
        <f t="shared" si="38"/>
        <v>31</v>
      </c>
      <c r="L2458" s="8" t="str" cm="1">
        <f t="array" ref="L2458">_xlfn.IFS(
 AND(K2458&gt;=89,K2458&lt;=92),"3개월",
 AND(K2458&gt;=58,K2458&lt;=62),"2개월",
 AND(K2458&gt;=28,K2458&lt;=32),"1개월",
 AND(K2458=0),"당월",
 TRUE,"그외"
)</f>
        <v>1개월</v>
      </c>
    </row>
    <row r="2459" spans="1:12" x14ac:dyDescent="0.3">
      <c r="A2459" s="5">
        <v>46023</v>
      </c>
      <c r="B2459" s="6" t="s">
        <v>84</v>
      </c>
      <c r="C2459" s="6" t="s">
        <v>87</v>
      </c>
      <c r="D2459" s="5">
        <v>46023</v>
      </c>
      <c r="E2459" s="6" t="s">
        <v>14</v>
      </c>
      <c r="F2459" s="7">
        <v>714</v>
      </c>
      <c r="G2459" s="7">
        <v>258216.52661064421</v>
      </c>
      <c r="H2459" s="7">
        <v>184366600</v>
      </c>
      <c r="I2459" s="7">
        <v>56691600</v>
      </c>
      <c r="J2459" s="7">
        <v>0</v>
      </c>
      <c r="K2459">
        <f t="shared" si="38"/>
        <v>0</v>
      </c>
      <c r="L2459" s="8" t="str" cm="1">
        <f t="array" ref="L2459">_xlfn.IFS(
 AND(K2459&gt;=89,K2459&lt;=92),"3개월",
 AND(K2459&gt;=58,K2459&lt;=62),"2개월",
 AND(K2459&gt;=28,K2459&lt;=32),"1개월",
 AND(K2459=0),"당월",
 TRUE,"그외"
)</f>
        <v>당월</v>
      </c>
    </row>
    <row r="2460" spans="1:12" x14ac:dyDescent="0.3">
      <c r="A2460" s="5">
        <v>46023</v>
      </c>
      <c r="B2460" s="6" t="s">
        <v>84</v>
      </c>
      <c r="C2460" s="6" t="s">
        <v>87</v>
      </c>
      <c r="D2460" s="5">
        <v>46023</v>
      </c>
      <c r="E2460" s="6" t="s">
        <v>15</v>
      </c>
      <c r="F2460" s="7">
        <v>1031</v>
      </c>
      <c r="G2460" s="7">
        <v>528238.1833171678</v>
      </c>
      <c r="H2460" s="7">
        <v>544613567</v>
      </c>
      <c r="I2460" s="7">
        <v>116279006</v>
      </c>
      <c r="J2460" s="7">
        <v>0</v>
      </c>
      <c r="K2460">
        <f t="shared" si="38"/>
        <v>0</v>
      </c>
      <c r="L2460" s="8" t="str" cm="1">
        <f t="array" ref="L2460">_xlfn.IFS(
 AND(K2460&gt;=89,K2460&lt;=92),"3개월",
 AND(K2460&gt;=58,K2460&lt;=62),"2개월",
 AND(K2460&gt;=28,K2460&lt;=32),"1개월",
 AND(K2460=0),"당월",
 TRUE,"그외"
)</f>
        <v>당월</v>
      </c>
    </row>
    <row r="2461" spans="1:12" x14ac:dyDescent="0.3">
      <c r="A2461" s="5">
        <v>46023</v>
      </c>
      <c r="B2461" s="6" t="s">
        <v>84</v>
      </c>
      <c r="C2461" s="6" t="s">
        <v>88</v>
      </c>
      <c r="D2461" s="5">
        <v>45717</v>
      </c>
      <c r="E2461" s="6" t="s">
        <v>15</v>
      </c>
      <c r="F2461" s="7">
        <v>4</v>
      </c>
      <c r="G2461" s="7">
        <v>698426</v>
      </c>
      <c r="H2461" s="7">
        <v>2793704</v>
      </c>
      <c r="I2461" s="7">
        <v>571440</v>
      </c>
      <c r="J2461" s="7">
        <v>0</v>
      </c>
      <c r="K2461">
        <f t="shared" si="38"/>
        <v>306</v>
      </c>
      <c r="L2461" s="8" t="str" cm="1">
        <f t="array" ref="L2461">_xlfn.IFS(
 AND(K2461&gt;=89,K2461&lt;=92),"3개월",
 AND(K2461&gt;=58,K2461&lt;=62),"2개월",
 AND(K2461&gt;=28,K2461&lt;=32),"1개월",
 AND(K2461=0),"당월",
 TRUE,"그외"
)</f>
        <v>그외</v>
      </c>
    </row>
    <row r="2462" spans="1:12" x14ac:dyDescent="0.3">
      <c r="A2462" s="5">
        <v>46023</v>
      </c>
      <c r="B2462" s="6" t="s">
        <v>84</v>
      </c>
      <c r="C2462" s="6" t="s">
        <v>88</v>
      </c>
      <c r="D2462" s="5">
        <v>45748</v>
      </c>
      <c r="E2462" s="6" t="s">
        <v>15</v>
      </c>
      <c r="F2462" s="7">
        <v>101</v>
      </c>
      <c r="G2462" s="7">
        <v>538644.71287128713</v>
      </c>
      <c r="H2462" s="7">
        <v>54403116</v>
      </c>
      <c r="I2462" s="7">
        <v>8008381</v>
      </c>
      <c r="J2462" s="7">
        <v>0</v>
      </c>
      <c r="K2462">
        <f t="shared" si="38"/>
        <v>275</v>
      </c>
      <c r="L2462" s="8" t="str" cm="1">
        <f t="array" ref="L2462">_xlfn.IFS(
 AND(K2462&gt;=89,K2462&lt;=92),"3개월",
 AND(K2462&gt;=58,K2462&lt;=62),"2개월",
 AND(K2462&gt;=28,K2462&lt;=32),"1개월",
 AND(K2462=0),"당월",
 TRUE,"그외"
)</f>
        <v>그외</v>
      </c>
    </row>
    <row r="2463" spans="1:12" x14ac:dyDescent="0.3">
      <c r="A2463" s="5">
        <v>46023</v>
      </c>
      <c r="B2463" s="6" t="s">
        <v>84</v>
      </c>
      <c r="C2463" s="6" t="s">
        <v>88</v>
      </c>
      <c r="D2463" s="5">
        <v>45778</v>
      </c>
      <c r="E2463" s="6" t="s">
        <v>15</v>
      </c>
      <c r="F2463" s="7">
        <v>141</v>
      </c>
      <c r="G2463" s="7">
        <v>525981.97163120564</v>
      </c>
      <c r="H2463" s="7">
        <v>74163458</v>
      </c>
      <c r="I2463" s="7">
        <v>10221944</v>
      </c>
      <c r="J2463" s="7">
        <v>0</v>
      </c>
      <c r="K2463">
        <f t="shared" si="38"/>
        <v>245</v>
      </c>
      <c r="L2463" s="8" t="str" cm="1">
        <f t="array" ref="L2463">_xlfn.IFS(
 AND(K2463&gt;=89,K2463&lt;=92),"3개월",
 AND(K2463&gt;=58,K2463&lt;=62),"2개월",
 AND(K2463&gt;=28,K2463&lt;=32),"1개월",
 AND(K2463=0),"당월",
 TRUE,"그외"
)</f>
        <v>그외</v>
      </c>
    </row>
    <row r="2464" spans="1:12" x14ac:dyDescent="0.3">
      <c r="A2464" s="5">
        <v>46023</v>
      </c>
      <c r="B2464" s="6" t="s">
        <v>84</v>
      </c>
      <c r="C2464" s="6" t="s">
        <v>88</v>
      </c>
      <c r="D2464" s="5">
        <v>45809</v>
      </c>
      <c r="E2464" s="6" t="s">
        <v>15</v>
      </c>
      <c r="F2464" s="7">
        <v>389</v>
      </c>
      <c r="G2464" s="7">
        <v>447562.09511568118</v>
      </c>
      <c r="H2464" s="7">
        <v>174101655</v>
      </c>
      <c r="I2464" s="7">
        <v>20327942</v>
      </c>
      <c r="J2464" s="7">
        <v>0</v>
      </c>
      <c r="K2464">
        <f t="shared" si="38"/>
        <v>214</v>
      </c>
      <c r="L2464" s="8" t="str" cm="1">
        <f t="array" ref="L2464">_xlfn.IFS(
 AND(K2464&gt;=89,K2464&lt;=92),"3개월",
 AND(K2464&gt;=58,K2464&lt;=62),"2개월",
 AND(K2464&gt;=28,K2464&lt;=32),"1개월",
 AND(K2464=0),"당월",
 TRUE,"그외"
)</f>
        <v>그외</v>
      </c>
    </row>
    <row r="2465" spans="1:12" x14ac:dyDescent="0.3">
      <c r="A2465" s="5">
        <v>46023</v>
      </c>
      <c r="B2465" s="6" t="s">
        <v>84</v>
      </c>
      <c r="C2465" s="6" t="s">
        <v>88</v>
      </c>
      <c r="D2465" s="5">
        <v>45839</v>
      </c>
      <c r="E2465" s="6" t="s">
        <v>15</v>
      </c>
      <c r="F2465" s="7">
        <v>331</v>
      </c>
      <c r="G2465" s="7">
        <v>608540.89425981871</v>
      </c>
      <c r="H2465" s="7">
        <v>201427036</v>
      </c>
      <c r="I2465" s="7">
        <v>20431264</v>
      </c>
      <c r="J2465" s="7">
        <v>0</v>
      </c>
      <c r="K2465">
        <f t="shared" si="38"/>
        <v>184</v>
      </c>
      <c r="L2465" s="8" t="str" cm="1">
        <f t="array" ref="L2465">_xlfn.IFS(
 AND(K2465&gt;=89,K2465&lt;=92),"3개월",
 AND(K2465&gt;=58,K2465&lt;=62),"2개월",
 AND(K2465&gt;=28,K2465&lt;=32),"1개월",
 AND(K2465=0),"당월",
 TRUE,"그외"
)</f>
        <v>그외</v>
      </c>
    </row>
    <row r="2466" spans="1:12" x14ac:dyDescent="0.3">
      <c r="A2466" s="5">
        <v>46023</v>
      </c>
      <c r="B2466" s="6" t="s">
        <v>84</v>
      </c>
      <c r="C2466" s="6" t="s">
        <v>88</v>
      </c>
      <c r="D2466" s="5">
        <v>45870</v>
      </c>
      <c r="E2466" s="6" t="s">
        <v>15</v>
      </c>
      <c r="F2466" s="7">
        <v>247</v>
      </c>
      <c r="G2466" s="7">
        <v>786402.80971659918</v>
      </c>
      <c r="H2466" s="7">
        <v>194241494</v>
      </c>
      <c r="I2466" s="7">
        <v>20118884</v>
      </c>
      <c r="J2466" s="7">
        <v>0</v>
      </c>
      <c r="K2466">
        <f t="shared" si="38"/>
        <v>153</v>
      </c>
      <c r="L2466" s="8" t="str" cm="1">
        <f t="array" ref="L2466">_xlfn.IFS(
 AND(K2466&gt;=89,K2466&lt;=92),"3개월",
 AND(K2466&gt;=58,K2466&lt;=62),"2개월",
 AND(K2466&gt;=28,K2466&lt;=32),"1개월",
 AND(K2466=0),"당월",
 TRUE,"그외"
)</f>
        <v>그외</v>
      </c>
    </row>
    <row r="2467" spans="1:12" x14ac:dyDescent="0.3">
      <c r="A2467" s="5">
        <v>46023</v>
      </c>
      <c r="B2467" s="6" t="s">
        <v>84</v>
      </c>
      <c r="C2467" s="6" t="s">
        <v>88</v>
      </c>
      <c r="D2467" s="5">
        <v>45901</v>
      </c>
      <c r="E2467" s="6" t="s">
        <v>15</v>
      </c>
      <c r="F2467" s="7">
        <v>454</v>
      </c>
      <c r="G2467" s="7">
        <v>752002.9977973568</v>
      </c>
      <c r="H2467" s="7">
        <v>341409361</v>
      </c>
      <c r="I2467" s="7">
        <v>38472256</v>
      </c>
      <c r="J2467" s="7">
        <v>0</v>
      </c>
      <c r="K2467">
        <f t="shared" si="38"/>
        <v>122</v>
      </c>
      <c r="L2467" s="8" t="str" cm="1">
        <f t="array" ref="L2467">_xlfn.IFS(
 AND(K2467&gt;=89,K2467&lt;=92),"3개월",
 AND(K2467&gt;=58,K2467&lt;=62),"2개월",
 AND(K2467&gt;=28,K2467&lt;=32),"1개월",
 AND(K2467=0),"당월",
 TRUE,"그외"
)</f>
        <v>그외</v>
      </c>
    </row>
    <row r="2468" spans="1:12" x14ac:dyDescent="0.3">
      <c r="A2468" s="5">
        <v>46023</v>
      </c>
      <c r="B2468" s="6" t="s">
        <v>84</v>
      </c>
      <c r="C2468" s="6" t="s">
        <v>88</v>
      </c>
      <c r="D2468" s="5">
        <v>45931</v>
      </c>
      <c r="E2468" s="6" t="s">
        <v>15</v>
      </c>
      <c r="F2468" s="7">
        <v>708</v>
      </c>
      <c r="G2468" s="7">
        <v>673709.12570621469</v>
      </c>
      <c r="H2468" s="7">
        <v>476986061</v>
      </c>
      <c r="I2468" s="7">
        <v>59447415</v>
      </c>
      <c r="J2468" s="7">
        <v>0</v>
      </c>
      <c r="K2468">
        <f t="shared" si="38"/>
        <v>92</v>
      </c>
      <c r="L2468" s="8" t="str" cm="1">
        <f t="array" ref="L2468">_xlfn.IFS(
 AND(K2468&gt;=89,K2468&lt;=92),"3개월",
 AND(K2468&gt;=58,K2468&lt;=62),"2개월",
 AND(K2468&gt;=28,K2468&lt;=32),"1개월",
 AND(K2468=0),"당월",
 TRUE,"그외"
)</f>
        <v>3개월</v>
      </c>
    </row>
    <row r="2469" spans="1:12" x14ac:dyDescent="0.3">
      <c r="A2469" s="5">
        <v>46023</v>
      </c>
      <c r="B2469" s="6" t="s">
        <v>84</v>
      </c>
      <c r="C2469" s="6" t="s">
        <v>88</v>
      </c>
      <c r="D2469" s="5">
        <v>45962</v>
      </c>
      <c r="E2469" s="6" t="s">
        <v>15</v>
      </c>
      <c r="F2469" s="7">
        <v>1259</v>
      </c>
      <c r="G2469" s="7">
        <v>581919.97776012705</v>
      </c>
      <c r="H2469" s="7">
        <v>732637252</v>
      </c>
      <c r="I2469" s="7">
        <v>101095841</v>
      </c>
      <c r="J2469" s="7">
        <v>0</v>
      </c>
      <c r="K2469">
        <f t="shared" si="38"/>
        <v>61</v>
      </c>
      <c r="L2469" s="8" t="str" cm="1">
        <f t="array" ref="L2469">_xlfn.IFS(
 AND(K2469&gt;=89,K2469&lt;=92),"3개월",
 AND(K2469&gt;=58,K2469&lt;=62),"2개월",
 AND(K2469&gt;=28,K2469&lt;=32),"1개월",
 AND(K2469=0),"당월",
 TRUE,"그외"
)</f>
        <v>2개월</v>
      </c>
    </row>
    <row r="2470" spans="1:12" x14ac:dyDescent="0.3">
      <c r="A2470" s="5">
        <v>46023</v>
      </c>
      <c r="B2470" s="6" t="s">
        <v>84</v>
      </c>
      <c r="C2470" s="6" t="s">
        <v>88</v>
      </c>
      <c r="D2470" s="5">
        <v>45992</v>
      </c>
      <c r="E2470" s="6" t="s">
        <v>14</v>
      </c>
      <c r="F2470" s="7">
        <v>520</v>
      </c>
      <c r="G2470" s="7">
        <v>584309.19807692303</v>
      </c>
      <c r="H2470" s="7">
        <v>303840783</v>
      </c>
      <c r="I2470" s="7">
        <v>40404000</v>
      </c>
      <c r="J2470" s="7">
        <v>0</v>
      </c>
      <c r="K2470">
        <f t="shared" si="38"/>
        <v>31</v>
      </c>
      <c r="L2470" s="8" t="str" cm="1">
        <f t="array" ref="L2470">_xlfn.IFS(
 AND(K2470&gt;=89,K2470&lt;=92),"3개월",
 AND(K2470&gt;=58,K2470&lt;=62),"2개월",
 AND(K2470&gt;=28,K2470&lt;=32),"1개월",
 AND(K2470=0),"당월",
 TRUE,"그외"
)</f>
        <v>1개월</v>
      </c>
    </row>
    <row r="2471" spans="1:12" x14ac:dyDescent="0.3">
      <c r="A2471" s="5">
        <v>46023</v>
      </c>
      <c r="B2471" s="6" t="s">
        <v>84</v>
      </c>
      <c r="C2471" s="6" t="s">
        <v>88</v>
      </c>
      <c r="D2471" s="5">
        <v>45992</v>
      </c>
      <c r="E2471" s="6" t="s">
        <v>15</v>
      </c>
      <c r="F2471" s="7">
        <v>1937</v>
      </c>
      <c r="G2471" s="7">
        <v>575581.10583376361</v>
      </c>
      <c r="H2471" s="7">
        <v>1114900602</v>
      </c>
      <c r="I2471" s="7">
        <v>180455142</v>
      </c>
      <c r="J2471" s="7">
        <v>0</v>
      </c>
      <c r="K2471">
        <f t="shared" si="38"/>
        <v>31</v>
      </c>
      <c r="L2471" s="8" t="str" cm="1">
        <f t="array" ref="L2471">_xlfn.IFS(
 AND(K2471&gt;=89,K2471&lt;=92),"3개월",
 AND(K2471&gt;=58,K2471&lt;=62),"2개월",
 AND(K2471&gt;=28,K2471&lt;=32),"1개월",
 AND(K2471=0),"당월",
 TRUE,"그외"
)</f>
        <v>1개월</v>
      </c>
    </row>
    <row r="2472" spans="1:12" x14ac:dyDescent="0.3">
      <c r="A2472" s="5">
        <v>46023</v>
      </c>
      <c r="B2472" s="6" t="s">
        <v>84</v>
      </c>
      <c r="C2472" s="6" t="s">
        <v>88</v>
      </c>
      <c r="D2472" s="5">
        <v>46023</v>
      </c>
      <c r="E2472" s="6" t="s">
        <v>14</v>
      </c>
      <c r="F2472" s="7">
        <v>655</v>
      </c>
      <c r="G2472" s="7">
        <v>545974.90992366418</v>
      </c>
      <c r="H2472" s="7">
        <v>357613566</v>
      </c>
      <c r="I2472" s="7">
        <v>49940900</v>
      </c>
      <c r="J2472" s="7">
        <v>0</v>
      </c>
      <c r="K2472">
        <f t="shared" si="38"/>
        <v>0</v>
      </c>
      <c r="L2472" s="8" t="str" cm="1">
        <f t="array" ref="L2472">_xlfn.IFS(
 AND(K2472&gt;=89,K2472&lt;=92),"3개월",
 AND(K2472&gt;=58,K2472&lt;=62),"2개월",
 AND(K2472&gt;=28,K2472&lt;=32),"1개월",
 AND(K2472=0),"당월",
 TRUE,"그외"
)</f>
        <v>당월</v>
      </c>
    </row>
    <row r="2473" spans="1:12" x14ac:dyDescent="0.3">
      <c r="A2473" s="5">
        <v>46023</v>
      </c>
      <c r="B2473" s="6" t="s">
        <v>84</v>
      </c>
      <c r="C2473" s="6" t="s">
        <v>88</v>
      </c>
      <c r="D2473" s="5">
        <v>46023</v>
      </c>
      <c r="E2473" s="6" t="s">
        <v>15</v>
      </c>
      <c r="F2473" s="7">
        <v>1205</v>
      </c>
      <c r="G2473" s="7">
        <v>610402.37510373443</v>
      </c>
      <c r="H2473" s="7">
        <v>735534862</v>
      </c>
      <c r="I2473" s="7">
        <v>125888667</v>
      </c>
      <c r="J2473" s="7">
        <v>0</v>
      </c>
      <c r="K2473">
        <f t="shared" si="38"/>
        <v>0</v>
      </c>
      <c r="L2473" s="8" t="str" cm="1">
        <f t="array" ref="L2473">_xlfn.IFS(
 AND(K2473&gt;=89,K2473&lt;=92),"3개월",
 AND(K2473&gt;=58,K2473&lt;=62),"2개월",
 AND(K2473&gt;=28,K2473&lt;=32),"1개월",
 AND(K2473=0),"당월",
 TRUE,"그외"
)</f>
        <v>당월</v>
      </c>
    </row>
    <row r="2474" spans="1:12" x14ac:dyDescent="0.3">
      <c r="A2474" s="5">
        <v>46023</v>
      </c>
      <c r="B2474" s="6" t="s">
        <v>89</v>
      </c>
      <c r="C2474" s="6" t="s">
        <v>90</v>
      </c>
      <c r="D2474" s="5">
        <v>45839</v>
      </c>
      <c r="E2474" s="6" t="s">
        <v>15</v>
      </c>
      <c r="F2474" s="7">
        <v>40</v>
      </c>
      <c r="G2474" s="7">
        <v>737889.3</v>
      </c>
      <c r="H2474" s="7">
        <v>29515572</v>
      </c>
      <c r="I2474" s="7">
        <v>1474546</v>
      </c>
      <c r="J2474" s="7">
        <v>0</v>
      </c>
      <c r="K2474">
        <f t="shared" si="38"/>
        <v>184</v>
      </c>
      <c r="L2474" s="8" t="str" cm="1">
        <f t="array" ref="L2474">_xlfn.IFS(
 AND(K2474&gt;=89,K2474&lt;=92),"3개월",
 AND(K2474&gt;=58,K2474&lt;=62),"2개월",
 AND(K2474&gt;=28,K2474&lt;=32),"1개월",
 AND(K2474=0),"당월",
 TRUE,"그외"
)</f>
        <v>그외</v>
      </c>
    </row>
    <row r="2475" spans="1:12" x14ac:dyDescent="0.3">
      <c r="A2475" s="5">
        <v>46023</v>
      </c>
      <c r="B2475" s="6" t="s">
        <v>89</v>
      </c>
      <c r="C2475" s="6" t="s">
        <v>90</v>
      </c>
      <c r="D2475" s="5">
        <v>45870</v>
      </c>
      <c r="E2475" s="6" t="s">
        <v>15</v>
      </c>
      <c r="F2475" s="7">
        <v>153</v>
      </c>
      <c r="G2475" s="7">
        <v>765452.28758169932</v>
      </c>
      <c r="H2475" s="7">
        <v>117114200</v>
      </c>
      <c r="I2475" s="7">
        <v>9679443</v>
      </c>
      <c r="J2475" s="7">
        <v>0</v>
      </c>
      <c r="K2475">
        <f t="shared" si="38"/>
        <v>153</v>
      </c>
      <c r="L2475" s="8" t="str" cm="1">
        <f t="array" ref="L2475">_xlfn.IFS(
 AND(K2475&gt;=89,K2475&lt;=92),"3개월",
 AND(K2475&gt;=58,K2475&lt;=62),"2개월",
 AND(K2475&gt;=28,K2475&lt;=32),"1개월",
 AND(K2475=0),"당월",
 TRUE,"그외"
)</f>
        <v>그외</v>
      </c>
    </row>
    <row r="2476" spans="1:12" x14ac:dyDescent="0.3">
      <c r="A2476" s="5">
        <v>46023</v>
      </c>
      <c r="B2476" s="6" t="s">
        <v>89</v>
      </c>
      <c r="C2476" s="6" t="s">
        <v>90</v>
      </c>
      <c r="D2476" s="5">
        <v>45901</v>
      </c>
      <c r="E2476" s="6" t="s">
        <v>15</v>
      </c>
      <c r="F2476" s="7">
        <v>266</v>
      </c>
      <c r="G2476" s="7">
        <v>849799.36090225563</v>
      </c>
      <c r="H2476" s="7">
        <v>226046630</v>
      </c>
      <c r="I2476" s="7">
        <v>17591903</v>
      </c>
      <c r="J2476" s="7">
        <v>0</v>
      </c>
      <c r="K2476">
        <f t="shared" si="38"/>
        <v>122</v>
      </c>
      <c r="L2476" s="8" t="str" cm="1">
        <f t="array" ref="L2476">_xlfn.IFS(
 AND(K2476&gt;=89,K2476&lt;=92),"3개월",
 AND(K2476&gt;=58,K2476&lt;=62),"2개월",
 AND(K2476&gt;=28,K2476&lt;=32),"1개월",
 AND(K2476=0),"당월",
 TRUE,"그외"
)</f>
        <v>그외</v>
      </c>
    </row>
    <row r="2477" spans="1:12" x14ac:dyDescent="0.3">
      <c r="A2477" s="5">
        <v>46023</v>
      </c>
      <c r="B2477" s="6" t="s">
        <v>89</v>
      </c>
      <c r="C2477" s="6" t="s">
        <v>90</v>
      </c>
      <c r="D2477" s="5">
        <v>45931</v>
      </c>
      <c r="E2477" s="6" t="s">
        <v>15</v>
      </c>
      <c r="F2477" s="7">
        <v>595</v>
      </c>
      <c r="G2477" s="7">
        <v>889962.4403361344</v>
      </c>
      <c r="H2477" s="7">
        <v>529527652</v>
      </c>
      <c r="I2477" s="7">
        <v>47157475</v>
      </c>
      <c r="J2477" s="7">
        <v>0</v>
      </c>
      <c r="K2477">
        <f t="shared" si="38"/>
        <v>92</v>
      </c>
      <c r="L2477" s="8" t="str" cm="1">
        <f t="array" ref="L2477">_xlfn.IFS(
 AND(K2477&gt;=89,K2477&lt;=92),"3개월",
 AND(K2477&gt;=58,K2477&lt;=62),"2개월",
 AND(K2477&gt;=28,K2477&lt;=32),"1개월",
 AND(K2477=0),"당월",
 TRUE,"그외"
)</f>
        <v>3개월</v>
      </c>
    </row>
    <row r="2478" spans="1:12" x14ac:dyDescent="0.3">
      <c r="A2478" s="5">
        <v>46023</v>
      </c>
      <c r="B2478" s="6" t="s">
        <v>89</v>
      </c>
      <c r="C2478" s="6" t="s">
        <v>90</v>
      </c>
      <c r="D2478" s="5">
        <v>45962</v>
      </c>
      <c r="E2478" s="6" t="s">
        <v>14</v>
      </c>
      <c r="F2478" s="7">
        <v>18</v>
      </c>
      <c r="G2478" s="7">
        <v>314600</v>
      </c>
      <c r="H2478" s="7">
        <v>5662800</v>
      </c>
      <c r="I2478" s="7">
        <v>1162800</v>
      </c>
      <c r="J2478" s="7">
        <v>0</v>
      </c>
      <c r="K2478">
        <f t="shared" si="38"/>
        <v>61</v>
      </c>
      <c r="L2478" s="8" t="str" cm="1">
        <f t="array" ref="L2478">_xlfn.IFS(
 AND(K2478&gt;=89,K2478&lt;=92),"3개월",
 AND(K2478&gt;=58,K2478&lt;=62),"2개월",
 AND(K2478&gt;=28,K2478&lt;=32),"1개월",
 AND(K2478=0),"당월",
 TRUE,"그외"
)</f>
        <v>2개월</v>
      </c>
    </row>
    <row r="2479" spans="1:12" x14ac:dyDescent="0.3">
      <c r="A2479" s="5">
        <v>46023</v>
      </c>
      <c r="B2479" s="6" t="s">
        <v>89</v>
      </c>
      <c r="C2479" s="6" t="s">
        <v>90</v>
      </c>
      <c r="D2479" s="5">
        <v>45962</v>
      </c>
      <c r="E2479" s="6" t="s">
        <v>15</v>
      </c>
      <c r="F2479" s="7">
        <v>1738</v>
      </c>
      <c r="G2479" s="7">
        <v>589056.02704257763</v>
      </c>
      <c r="H2479" s="7">
        <v>1023779375</v>
      </c>
      <c r="I2479" s="7">
        <v>153543874</v>
      </c>
      <c r="J2479" s="7">
        <v>0</v>
      </c>
      <c r="K2479">
        <f t="shared" si="38"/>
        <v>61</v>
      </c>
      <c r="L2479" s="8" t="str" cm="1">
        <f t="array" ref="L2479">_xlfn.IFS(
 AND(K2479&gt;=89,K2479&lt;=92),"3개월",
 AND(K2479&gt;=58,K2479&lt;=62),"2개월",
 AND(K2479&gt;=28,K2479&lt;=32),"1개월",
 AND(K2479=0),"당월",
 TRUE,"그외"
)</f>
        <v>2개월</v>
      </c>
    </row>
    <row r="2480" spans="1:12" x14ac:dyDescent="0.3">
      <c r="A2480" s="5">
        <v>46023</v>
      </c>
      <c r="B2480" s="6" t="s">
        <v>89</v>
      </c>
      <c r="C2480" s="6" t="s">
        <v>90</v>
      </c>
      <c r="D2480" s="5">
        <v>45992</v>
      </c>
      <c r="E2480" s="6" t="s">
        <v>14</v>
      </c>
      <c r="F2480" s="7">
        <v>87</v>
      </c>
      <c r="G2480" s="7">
        <v>702424.52873563219</v>
      </c>
      <c r="H2480" s="7">
        <v>61110934</v>
      </c>
      <c r="I2480" s="7">
        <v>7623596</v>
      </c>
      <c r="J2480" s="7">
        <v>0</v>
      </c>
      <c r="K2480">
        <f t="shared" si="38"/>
        <v>31</v>
      </c>
      <c r="L2480" s="8" t="str" cm="1">
        <f t="array" ref="L2480">_xlfn.IFS(
 AND(K2480&gt;=89,K2480&lt;=92),"3개월",
 AND(K2480&gt;=58,K2480&lt;=62),"2개월",
 AND(K2480&gt;=28,K2480&lt;=32),"1개월",
 AND(K2480=0),"당월",
 TRUE,"그외"
)</f>
        <v>1개월</v>
      </c>
    </row>
    <row r="2481" spans="1:12" x14ac:dyDescent="0.3">
      <c r="A2481" s="5">
        <v>46023</v>
      </c>
      <c r="B2481" s="6" t="s">
        <v>89</v>
      </c>
      <c r="C2481" s="6" t="s">
        <v>90</v>
      </c>
      <c r="D2481" s="5">
        <v>45992</v>
      </c>
      <c r="E2481" s="6" t="s">
        <v>15</v>
      </c>
      <c r="F2481" s="7">
        <v>1529</v>
      </c>
      <c r="G2481" s="7">
        <v>615896.06605624594</v>
      </c>
      <c r="H2481" s="7">
        <v>941705085</v>
      </c>
      <c r="I2481" s="7">
        <v>177133284</v>
      </c>
      <c r="J2481" s="7">
        <v>0</v>
      </c>
      <c r="K2481">
        <f t="shared" si="38"/>
        <v>31</v>
      </c>
      <c r="L2481" s="8" t="str" cm="1">
        <f t="array" ref="L2481">_xlfn.IFS(
 AND(K2481&gt;=89,K2481&lt;=92),"3개월",
 AND(K2481&gt;=58,K2481&lt;=62),"2개월",
 AND(K2481&gt;=28,K2481&lt;=32),"1개월",
 AND(K2481=0),"당월",
 TRUE,"그외"
)</f>
        <v>1개월</v>
      </c>
    </row>
    <row r="2482" spans="1:12" x14ac:dyDescent="0.3">
      <c r="A2482" s="5">
        <v>46023</v>
      </c>
      <c r="B2482" s="6" t="s">
        <v>89</v>
      </c>
      <c r="C2482" s="6" t="s">
        <v>90</v>
      </c>
      <c r="D2482" s="5">
        <v>46023</v>
      </c>
      <c r="E2482" s="6" t="s">
        <v>14</v>
      </c>
      <c r="F2482" s="7">
        <v>54</v>
      </c>
      <c r="G2482" s="7">
        <v>371575.29629629629</v>
      </c>
      <c r="H2482" s="7">
        <v>20065066</v>
      </c>
      <c r="I2482" s="7">
        <v>4723552</v>
      </c>
      <c r="J2482" s="7">
        <v>0</v>
      </c>
      <c r="K2482">
        <f t="shared" si="38"/>
        <v>0</v>
      </c>
      <c r="L2482" s="8" t="str" cm="1">
        <f t="array" ref="L2482">_xlfn.IFS(
 AND(K2482&gt;=89,K2482&lt;=92),"3개월",
 AND(K2482&gt;=58,K2482&lt;=62),"2개월",
 AND(K2482&gt;=28,K2482&lt;=32),"1개월",
 AND(K2482=0),"당월",
 TRUE,"그외"
)</f>
        <v>당월</v>
      </c>
    </row>
    <row r="2483" spans="1:12" x14ac:dyDescent="0.3">
      <c r="A2483" s="5">
        <v>46023</v>
      </c>
      <c r="B2483" s="6" t="s">
        <v>89</v>
      </c>
      <c r="C2483" s="6" t="s">
        <v>90</v>
      </c>
      <c r="D2483" s="5">
        <v>46023</v>
      </c>
      <c r="E2483" s="6" t="s">
        <v>15</v>
      </c>
      <c r="F2483" s="7">
        <v>1442</v>
      </c>
      <c r="G2483" s="7">
        <v>581190.9320388349</v>
      </c>
      <c r="H2483" s="7">
        <v>838077324</v>
      </c>
      <c r="I2483" s="7">
        <v>184695552</v>
      </c>
      <c r="J2483" s="7">
        <v>0</v>
      </c>
      <c r="K2483">
        <f t="shared" si="38"/>
        <v>0</v>
      </c>
      <c r="L2483" s="8" t="str" cm="1">
        <f t="array" ref="L2483">_xlfn.IFS(
 AND(K2483&gt;=89,K2483&lt;=92),"3개월",
 AND(K2483&gt;=58,K2483&lt;=62),"2개월",
 AND(K2483&gt;=28,K2483&lt;=32),"1개월",
 AND(K2483=0),"당월",
 TRUE,"그외"
)</f>
        <v>당월</v>
      </c>
    </row>
    <row r="2484" spans="1:12" x14ac:dyDescent="0.3">
      <c r="A2484" s="5">
        <v>46023</v>
      </c>
      <c r="B2484" s="6" t="s">
        <v>89</v>
      </c>
      <c r="C2484" s="6" t="s">
        <v>90</v>
      </c>
      <c r="D2484" s="5">
        <v>46054</v>
      </c>
      <c r="E2484" s="6" t="s">
        <v>15</v>
      </c>
      <c r="F2484" s="7">
        <v>5</v>
      </c>
      <c r="G2484" s="7">
        <v>360010.4</v>
      </c>
      <c r="H2484" s="7">
        <v>1800052</v>
      </c>
      <c r="I2484" s="7">
        <v>203577</v>
      </c>
      <c r="J2484" s="7">
        <v>0</v>
      </c>
      <c r="K2484">
        <f t="shared" si="38"/>
        <v>-31</v>
      </c>
      <c r="L2484" s="8" t="str" cm="1">
        <f t="array" ref="L2484">_xlfn.IFS(
 AND(K2484&gt;=89,K2484&lt;=92),"3개월",
 AND(K2484&gt;=58,K2484&lt;=62),"2개월",
 AND(K2484&gt;=28,K2484&lt;=32),"1개월",
 AND(K2484=0),"당월",
 TRUE,"그외"
)</f>
        <v>그외</v>
      </c>
    </row>
    <row r="2485" spans="1:12" x14ac:dyDescent="0.3">
      <c r="A2485" s="5">
        <v>46054</v>
      </c>
      <c r="B2485" s="6" t="s">
        <v>12</v>
      </c>
      <c r="C2485" s="6" t="s">
        <v>13</v>
      </c>
      <c r="D2485" s="5">
        <v>45839</v>
      </c>
      <c r="E2485" s="6" t="s">
        <v>15</v>
      </c>
      <c r="F2485" s="7">
        <v>14</v>
      </c>
      <c r="G2485" s="7">
        <v>102364</v>
      </c>
      <c r="H2485" s="7">
        <v>1433096</v>
      </c>
      <c r="I2485" s="7">
        <v>92400</v>
      </c>
      <c r="J2485" s="7">
        <v>8400</v>
      </c>
      <c r="K2485">
        <f t="shared" si="38"/>
        <v>215</v>
      </c>
      <c r="L2485" s="8" t="str" cm="1">
        <f t="array" ref="L2485">_xlfn.IFS(
 AND(K2485&gt;=89,K2485&lt;=92),"3개월",
 AND(K2485&gt;=58,K2485&lt;=62),"2개월",
 AND(K2485&gt;=28,K2485&lt;=32),"1개월",
 AND(K2485=0),"당월",
 TRUE,"그외"
)</f>
        <v>그외</v>
      </c>
    </row>
    <row r="2486" spans="1:12" x14ac:dyDescent="0.3">
      <c r="A2486" s="5">
        <v>46054</v>
      </c>
      <c r="B2486" s="6" t="s">
        <v>12</v>
      </c>
      <c r="C2486" s="6" t="s">
        <v>13</v>
      </c>
      <c r="D2486" s="5">
        <v>45870</v>
      </c>
      <c r="E2486" s="6" t="s">
        <v>15</v>
      </c>
      <c r="F2486" s="7">
        <v>41</v>
      </c>
      <c r="G2486" s="7">
        <v>71386.219512195123</v>
      </c>
      <c r="H2486" s="7">
        <v>2926835</v>
      </c>
      <c r="I2486" s="7">
        <v>360800</v>
      </c>
      <c r="J2486" s="7">
        <v>32800</v>
      </c>
      <c r="K2486">
        <f t="shared" si="38"/>
        <v>184</v>
      </c>
      <c r="L2486" s="8" t="str" cm="1">
        <f t="array" ref="L2486">_xlfn.IFS(
 AND(K2486&gt;=89,K2486&lt;=92),"3개월",
 AND(K2486&gt;=58,K2486&lt;=62),"2개월",
 AND(K2486&gt;=28,K2486&lt;=32),"1개월",
 AND(K2486=0),"당월",
 TRUE,"그외"
)</f>
        <v>그외</v>
      </c>
    </row>
    <row r="2487" spans="1:12" x14ac:dyDescent="0.3">
      <c r="A2487" s="5">
        <v>46054</v>
      </c>
      <c r="B2487" s="6" t="s">
        <v>12</v>
      </c>
      <c r="C2487" s="6" t="s">
        <v>13</v>
      </c>
      <c r="D2487" s="5">
        <v>45901</v>
      </c>
      <c r="E2487" s="6" t="s">
        <v>15</v>
      </c>
      <c r="F2487" s="7">
        <v>36</v>
      </c>
      <c r="G2487" s="7">
        <v>97802.194444444438</v>
      </c>
      <c r="H2487" s="7">
        <v>3520879</v>
      </c>
      <c r="I2487" s="7">
        <v>316800</v>
      </c>
      <c r="J2487" s="7">
        <v>28800</v>
      </c>
      <c r="K2487">
        <f t="shared" si="38"/>
        <v>153</v>
      </c>
      <c r="L2487" s="8" t="str" cm="1">
        <f t="array" ref="L2487">_xlfn.IFS(
 AND(K2487&gt;=89,K2487&lt;=92),"3개월",
 AND(K2487&gt;=58,K2487&lt;=62),"2개월",
 AND(K2487&gt;=28,K2487&lt;=32),"1개월",
 AND(K2487=0),"당월",
 TRUE,"그외"
)</f>
        <v>그외</v>
      </c>
    </row>
    <row r="2488" spans="1:12" x14ac:dyDescent="0.3">
      <c r="A2488" s="5">
        <v>46054</v>
      </c>
      <c r="B2488" s="6" t="s">
        <v>12</v>
      </c>
      <c r="C2488" s="6" t="s">
        <v>13</v>
      </c>
      <c r="D2488" s="5">
        <v>45931</v>
      </c>
      <c r="E2488" s="6" t="s">
        <v>15</v>
      </c>
      <c r="F2488" s="7">
        <v>145</v>
      </c>
      <c r="G2488" s="7">
        <v>74016.958620689649</v>
      </c>
      <c r="H2488" s="7">
        <v>10732459</v>
      </c>
      <c r="I2488" s="7">
        <v>1258640</v>
      </c>
      <c r="J2488" s="7">
        <v>112800</v>
      </c>
      <c r="K2488">
        <f t="shared" si="38"/>
        <v>123</v>
      </c>
      <c r="L2488" s="8" t="str" cm="1">
        <f t="array" ref="L2488">_xlfn.IFS(
 AND(K2488&gt;=89,K2488&lt;=92),"3개월",
 AND(K2488&gt;=58,K2488&lt;=62),"2개월",
 AND(K2488&gt;=28,K2488&lt;=32),"1개월",
 AND(K2488=0),"당월",
 TRUE,"그외"
)</f>
        <v>그외</v>
      </c>
    </row>
    <row r="2489" spans="1:12" x14ac:dyDescent="0.3">
      <c r="A2489" s="5">
        <v>46054</v>
      </c>
      <c r="B2489" s="6" t="s">
        <v>12</v>
      </c>
      <c r="C2489" s="6" t="s">
        <v>13</v>
      </c>
      <c r="D2489" s="5">
        <v>45962</v>
      </c>
      <c r="E2489" s="6" t="s">
        <v>15</v>
      </c>
      <c r="F2489" s="7">
        <v>754</v>
      </c>
      <c r="G2489" s="7">
        <v>63640.805039787803</v>
      </c>
      <c r="H2489" s="7">
        <v>47985167</v>
      </c>
      <c r="I2489" s="7">
        <v>6617600</v>
      </c>
      <c r="J2489" s="7">
        <v>601600</v>
      </c>
      <c r="K2489">
        <f t="shared" si="38"/>
        <v>92</v>
      </c>
      <c r="L2489" s="8" t="str" cm="1">
        <f t="array" ref="L2489">_xlfn.IFS(
 AND(K2489&gt;=89,K2489&lt;=92),"3개월",
 AND(K2489&gt;=58,K2489&lt;=62),"2개월",
 AND(K2489&gt;=28,K2489&lt;=32),"1개월",
 AND(K2489=0),"당월",
 TRUE,"그외"
)</f>
        <v>3개월</v>
      </c>
    </row>
    <row r="2490" spans="1:12" x14ac:dyDescent="0.3">
      <c r="A2490" s="5">
        <v>46054</v>
      </c>
      <c r="B2490" s="6" t="s">
        <v>12</v>
      </c>
      <c r="C2490" s="6" t="s">
        <v>13</v>
      </c>
      <c r="D2490" s="5">
        <v>45992</v>
      </c>
      <c r="E2490" s="6" t="s">
        <v>14</v>
      </c>
      <c r="F2490" s="7">
        <v>160</v>
      </c>
      <c r="G2490" s="7">
        <v>91659.318750000006</v>
      </c>
      <c r="H2490" s="7">
        <v>14665491</v>
      </c>
      <c r="I2490" s="7">
        <v>1408000</v>
      </c>
      <c r="J2490" s="7">
        <v>128000</v>
      </c>
      <c r="K2490">
        <f t="shared" si="38"/>
        <v>62</v>
      </c>
      <c r="L2490" s="8" t="str" cm="1">
        <f t="array" ref="L2490">_xlfn.IFS(
 AND(K2490&gt;=89,K2490&lt;=92),"3개월",
 AND(K2490&gt;=58,K2490&lt;=62),"2개월",
 AND(K2490&gt;=28,K2490&lt;=32),"1개월",
 AND(K2490=0),"당월",
 TRUE,"그외"
)</f>
        <v>2개월</v>
      </c>
    </row>
    <row r="2491" spans="1:12" x14ac:dyDescent="0.3">
      <c r="A2491" s="5">
        <v>46054</v>
      </c>
      <c r="B2491" s="6" t="s">
        <v>12</v>
      </c>
      <c r="C2491" s="6" t="s">
        <v>13</v>
      </c>
      <c r="D2491" s="5">
        <v>45992</v>
      </c>
      <c r="E2491" s="6" t="s">
        <v>15</v>
      </c>
      <c r="F2491" s="7">
        <v>4010</v>
      </c>
      <c r="G2491" s="7">
        <v>57787.846633416462</v>
      </c>
      <c r="H2491" s="7">
        <v>231729265</v>
      </c>
      <c r="I2491" s="7">
        <v>33194511</v>
      </c>
      <c r="J2491" s="7">
        <v>3014400</v>
      </c>
      <c r="K2491">
        <f t="shared" si="38"/>
        <v>62</v>
      </c>
      <c r="L2491" s="8" t="str" cm="1">
        <f t="array" ref="L2491">_xlfn.IFS(
 AND(K2491&gt;=89,K2491&lt;=92),"3개월",
 AND(K2491&gt;=58,K2491&lt;=62),"2개월",
 AND(K2491&gt;=28,K2491&lt;=32),"1개월",
 AND(K2491=0),"당월",
 TRUE,"그외"
)</f>
        <v>2개월</v>
      </c>
    </row>
    <row r="2492" spans="1:12" x14ac:dyDescent="0.3">
      <c r="A2492" s="5">
        <v>46054</v>
      </c>
      <c r="B2492" s="6" t="s">
        <v>12</v>
      </c>
      <c r="C2492" s="6" t="s">
        <v>13</v>
      </c>
      <c r="D2492" s="5">
        <v>46023</v>
      </c>
      <c r="E2492" s="6" t="s">
        <v>14</v>
      </c>
      <c r="F2492" s="7">
        <v>912</v>
      </c>
      <c r="G2492" s="7">
        <v>97394.733552631573</v>
      </c>
      <c r="H2492" s="7">
        <v>88823997</v>
      </c>
      <c r="I2492" s="7">
        <v>10032000</v>
      </c>
      <c r="J2492" s="7">
        <v>912000</v>
      </c>
      <c r="K2492">
        <f t="shared" si="38"/>
        <v>31</v>
      </c>
      <c r="L2492" s="8" t="str" cm="1">
        <f t="array" ref="L2492">_xlfn.IFS(
 AND(K2492&gt;=89,K2492&lt;=92),"3개월",
 AND(K2492&gt;=58,K2492&lt;=62),"2개월",
 AND(K2492&gt;=28,K2492&lt;=32),"1개월",
 AND(K2492=0),"당월",
 TRUE,"그외"
)</f>
        <v>1개월</v>
      </c>
    </row>
    <row r="2493" spans="1:12" x14ac:dyDescent="0.3">
      <c r="A2493" s="5">
        <v>46054</v>
      </c>
      <c r="B2493" s="6" t="s">
        <v>12</v>
      </c>
      <c r="C2493" s="6" t="s">
        <v>13</v>
      </c>
      <c r="D2493" s="5">
        <v>46023</v>
      </c>
      <c r="E2493" s="6" t="s">
        <v>15</v>
      </c>
      <c r="F2493" s="7">
        <v>58116</v>
      </c>
      <c r="G2493" s="7">
        <v>58537.518342625102</v>
      </c>
      <c r="H2493" s="7">
        <v>3401966416</v>
      </c>
      <c r="I2493" s="7">
        <v>631889989</v>
      </c>
      <c r="J2493" s="7">
        <v>57443000</v>
      </c>
      <c r="K2493">
        <f t="shared" si="38"/>
        <v>31</v>
      </c>
      <c r="L2493" s="8" t="str" cm="1">
        <f t="array" ref="L2493">_xlfn.IFS(
 AND(K2493&gt;=89,K2493&lt;=92),"3개월",
 AND(K2493&gt;=58,K2493&lt;=62),"2개월",
 AND(K2493&gt;=28,K2493&lt;=32),"1개월",
 AND(K2493=0),"당월",
 TRUE,"그외"
)</f>
        <v>1개월</v>
      </c>
    </row>
    <row r="2494" spans="1:12" x14ac:dyDescent="0.3">
      <c r="A2494" s="5">
        <v>46054</v>
      </c>
      <c r="B2494" s="6" t="s">
        <v>12</v>
      </c>
      <c r="C2494" s="6" t="s">
        <v>13</v>
      </c>
      <c r="D2494" s="5">
        <v>46054</v>
      </c>
      <c r="E2494" s="6" t="s">
        <v>14</v>
      </c>
      <c r="F2494" s="7">
        <v>34</v>
      </c>
      <c r="G2494" s="7">
        <v>105572.5294117647</v>
      </c>
      <c r="H2494" s="7">
        <v>3589466</v>
      </c>
      <c r="I2494" s="7">
        <v>334400</v>
      </c>
      <c r="J2494" s="7">
        <v>30400</v>
      </c>
      <c r="K2494">
        <f t="shared" si="38"/>
        <v>0</v>
      </c>
      <c r="L2494" s="8" t="str" cm="1">
        <f t="array" ref="L2494">_xlfn.IFS(
 AND(K2494&gt;=89,K2494&lt;=92),"3개월",
 AND(K2494&gt;=58,K2494&lt;=62),"2개월",
 AND(K2494&gt;=28,K2494&lt;=32),"1개월",
 AND(K2494=0),"당월",
 TRUE,"그외"
)</f>
        <v>당월</v>
      </c>
    </row>
    <row r="2495" spans="1:12" x14ac:dyDescent="0.3">
      <c r="A2495" s="5">
        <v>46054</v>
      </c>
      <c r="B2495" s="6" t="s">
        <v>12</v>
      </c>
      <c r="C2495" s="6" t="s">
        <v>13</v>
      </c>
      <c r="D2495" s="5">
        <v>46054</v>
      </c>
      <c r="E2495" s="6" t="s">
        <v>15</v>
      </c>
      <c r="F2495" s="7">
        <v>59120</v>
      </c>
      <c r="G2495" s="7">
        <v>58140.698629905281</v>
      </c>
      <c r="H2495" s="7">
        <v>3437278103</v>
      </c>
      <c r="I2495" s="7">
        <v>518226903</v>
      </c>
      <c r="J2495" s="7">
        <v>47106527</v>
      </c>
      <c r="K2495">
        <f t="shared" si="38"/>
        <v>0</v>
      </c>
      <c r="L2495" s="8" t="str" cm="1">
        <f t="array" ref="L2495">_xlfn.IFS(
 AND(K2495&gt;=89,K2495&lt;=92),"3개월",
 AND(K2495&gt;=58,K2495&lt;=62),"2개월",
 AND(K2495&gt;=28,K2495&lt;=32),"1개월",
 AND(K2495=0),"당월",
 TRUE,"그외"
)</f>
        <v>당월</v>
      </c>
    </row>
    <row r="2496" spans="1:12" x14ac:dyDescent="0.3">
      <c r="A2496" s="5">
        <v>46054</v>
      </c>
      <c r="B2496" s="6" t="s">
        <v>12</v>
      </c>
      <c r="C2496" s="6" t="s">
        <v>16</v>
      </c>
      <c r="D2496" s="5">
        <v>45839</v>
      </c>
      <c r="E2496" s="6" t="s">
        <v>15</v>
      </c>
      <c r="F2496" s="7">
        <v>14</v>
      </c>
      <c r="G2496" s="7">
        <v>81130.71428571429</v>
      </c>
      <c r="H2496" s="7">
        <v>1135830</v>
      </c>
      <c r="I2496" s="7">
        <v>92400</v>
      </c>
      <c r="J2496" s="7">
        <v>8400</v>
      </c>
      <c r="K2496">
        <f t="shared" si="38"/>
        <v>215</v>
      </c>
      <c r="L2496" s="8" t="str" cm="1">
        <f t="array" ref="L2496">_xlfn.IFS(
 AND(K2496&gt;=89,K2496&lt;=92),"3개월",
 AND(K2496&gt;=58,K2496&lt;=62),"2개월",
 AND(K2496&gt;=28,K2496&lt;=32),"1개월",
 AND(K2496=0),"당월",
 TRUE,"그외"
)</f>
        <v>그외</v>
      </c>
    </row>
    <row r="2497" spans="1:12" x14ac:dyDescent="0.3">
      <c r="A2497" s="5">
        <v>46054</v>
      </c>
      <c r="B2497" s="6" t="s">
        <v>12</v>
      </c>
      <c r="C2497" s="6" t="s">
        <v>16</v>
      </c>
      <c r="D2497" s="5">
        <v>45870</v>
      </c>
      <c r="E2497" s="6" t="s">
        <v>15</v>
      </c>
      <c r="F2497" s="7">
        <v>37</v>
      </c>
      <c r="G2497" s="7">
        <v>63372.675675675673</v>
      </c>
      <c r="H2497" s="7">
        <v>2344789</v>
      </c>
      <c r="I2497" s="7">
        <v>325600</v>
      </c>
      <c r="J2497" s="7">
        <v>29600</v>
      </c>
      <c r="K2497">
        <f t="shared" si="38"/>
        <v>184</v>
      </c>
      <c r="L2497" s="8" t="str" cm="1">
        <f t="array" ref="L2497">_xlfn.IFS(
 AND(K2497&gt;=89,K2497&lt;=92),"3개월",
 AND(K2497&gt;=58,K2497&lt;=62),"2개월",
 AND(K2497&gt;=28,K2497&lt;=32),"1개월",
 AND(K2497=0),"당월",
 TRUE,"그외"
)</f>
        <v>그외</v>
      </c>
    </row>
    <row r="2498" spans="1:12" x14ac:dyDescent="0.3">
      <c r="A2498" s="5">
        <v>46054</v>
      </c>
      <c r="B2498" s="6" t="s">
        <v>12</v>
      </c>
      <c r="C2498" s="6" t="s">
        <v>16</v>
      </c>
      <c r="D2498" s="5">
        <v>45901</v>
      </c>
      <c r="E2498" s="6" t="s">
        <v>15</v>
      </c>
      <c r="F2498" s="7">
        <v>59</v>
      </c>
      <c r="G2498" s="7">
        <v>81578.508474576272</v>
      </c>
      <c r="H2498" s="7">
        <v>4813132</v>
      </c>
      <c r="I2498" s="7">
        <v>519200</v>
      </c>
      <c r="J2498" s="7">
        <v>47200</v>
      </c>
      <c r="K2498">
        <f t="shared" si="38"/>
        <v>153</v>
      </c>
      <c r="L2498" s="8" t="str" cm="1">
        <f t="array" ref="L2498">_xlfn.IFS(
 AND(K2498&gt;=89,K2498&lt;=92),"3개월",
 AND(K2498&gt;=58,K2498&lt;=62),"2개월",
 AND(K2498&gt;=28,K2498&lt;=32),"1개월",
 AND(K2498=0),"당월",
 TRUE,"그외"
)</f>
        <v>그외</v>
      </c>
    </row>
    <row r="2499" spans="1:12" x14ac:dyDescent="0.3">
      <c r="A2499" s="5">
        <v>46054</v>
      </c>
      <c r="B2499" s="6" t="s">
        <v>12</v>
      </c>
      <c r="C2499" s="6" t="s">
        <v>16</v>
      </c>
      <c r="D2499" s="5">
        <v>45931</v>
      </c>
      <c r="E2499" s="6" t="s">
        <v>14</v>
      </c>
      <c r="F2499" s="7">
        <v>16</v>
      </c>
      <c r="G2499" s="7">
        <v>89819</v>
      </c>
      <c r="H2499" s="7">
        <v>1437104</v>
      </c>
      <c r="I2499" s="7">
        <v>140800</v>
      </c>
      <c r="J2499" s="7">
        <v>12800</v>
      </c>
      <c r="K2499">
        <f t="shared" si="38"/>
        <v>123</v>
      </c>
      <c r="L2499" s="8" t="str" cm="1">
        <f t="array" ref="L2499">_xlfn.IFS(
 AND(K2499&gt;=89,K2499&lt;=92),"3개월",
 AND(K2499&gt;=58,K2499&lt;=62),"2개월",
 AND(K2499&gt;=28,K2499&lt;=32),"1개월",
 AND(K2499=0),"당월",
 TRUE,"그외"
)</f>
        <v>그외</v>
      </c>
    </row>
    <row r="2500" spans="1:12" x14ac:dyDescent="0.3">
      <c r="A2500" s="5">
        <v>46054</v>
      </c>
      <c r="B2500" s="6" t="s">
        <v>12</v>
      </c>
      <c r="C2500" s="6" t="s">
        <v>16</v>
      </c>
      <c r="D2500" s="5">
        <v>45931</v>
      </c>
      <c r="E2500" s="6" t="s">
        <v>15</v>
      </c>
      <c r="F2500" s="7">
        <v>266</v>
      </c>
      <c r="G2500" s="7">
        <v>83267.65789473684</v>
      </c>
      <c r="H2500" s="7">
        <v>22149197</v>
      </c>
      <c r="I2500" s="7">
        <v>2340800</v>
      </c>
      <c r="J2500" s="7">
        <v>212800</v>
      </c>
      <c r="K2500">
        <f t="shared" si="38"/>
        <v>123</v>
      </c>
      <c r="L2500" s="8" t="str" cm="1">
        <f t="array" ref="L2500">_xlfn.IFS(
 AND(K2500&gt;=89,K2500&lt;=92),"3개월",
 AND(K2500&gt;=58,K2500&lt;=62),"2개월",
 AND(K2500&gt;=28,K2500&lt;=32),"1개월",
 AND(K2500=0),"당월",
 TRUE,"그외"
)</f>
        <v>그외</v>
      </c>
    </row>
    <row r="2501" spans="1:12" x14ac:dyDescent="0.3">
      <c r="A2501" s="5">
        <v>46054</v>
      </c>
      <c r="B2501" s="6" t="s">
        <v>12</v>
      </c>
      <c r="C2501" s="6" t="s">
        <v>16</v>
      </c>
      <c r="D2501" s="5">
        <v>45962</v>
      </c>
      <c r="E2501" s="6" t="s">
        <v>15</v>
      </c>
      <c r="F2501" s="7">
        <v>462</v>
      </c>
      <c r="G2501" s="7">
        <v>78416.086580086587</v>
      </c>
      <c r="H2501" s="7">
        <v>36228232</v>
      </c>
      <c r="I2501" s="7">
        <v>4065600</v>
      </c>
      <c r="J2501" s="7">
        <v>369600</v>
      </c>
      <c r="K2501">
        <f t="shared" si="38"/>
        <v>92</v>
      </c>
      <c r="L2501" s="8" t="str" cm="1">
        <f t="array" ref="L2501">_xlfn.IFS(
 AND(K2501&gt;=89,K2501&lt;=92),"3개월",
 AND(K2501&gt;=58,K2501&lt;=62),"2개월",
 AND(K2501&gt;=28,K2501&lt;=32),"1개월",
 AND(K2501=0),"당월",
 TRUE,"그외"
)</f>
        <v>3개월</v>
      </c>
    </row>
    <row r="2502" spans="1:12" x14ac:dyDescent="0.3">
      <c r="A2502" s="5">
        <v>46054</v>
      </c>
      <c r="B2502" s="6" t="s">
        <v>12</v>
      </c>
      <c r="C2502" s="6" t="s">
        <v>16</v>
      </c>
      <c r="D2502" s="5">
        <v>45992</v>
      </c>
      <c r="E2502" s="6" t="s">
        <v>14</v>
      </c>
      <c r="F2502" s="7">
        <v>59</v>
      </c>
      <c r="G2502" s="7">
        <v>87353.627118644072</v>
      </c>
      <c r="H2502" s="7">
        <v>5153864</v>
      </c>
      <c r="I2502" s="7">
        <v>519200</v>
      </c>
      <c r="J2502" s="7">
        <v>47200</v>
      </c>
      <c r="K2502">
        <f t="shared" si="38"/>
        <v>62</v>
      </c>
      <c r="L2502" s="8" t="str" cm="1">
        <f t="array" ref="L2502">_xlfn.IFS(
 AND(K2502&gt;=89,K2502&lt;=92),"3개월",
 AND(K2502&gt;=58,K2502&lt;=62),"2개월",
 AND(K2502&gt;=28,K2502&lt;=32),"1개월",
 AND(K2502=0),"당월",
 TRUE,"그외"
)</f>
        <v>2개월</v>
      </c>
    </row>
    <row r="2503" spans="1:12" x14ac:dyDescent="0.3">
      <c r="A2503" s="5">
        <v>46054</v>
      </c>
      <c r="B2503" s="6" t="s">
        <v>12</v>
      </c>
      <c r="C2503" s="6" t="s">
        <v>16</v>
      </c>
      <c r="D2503" s="5">
        <v>45992</v>
      </c>
      <c r="E2503" s="6" t="s">
        <v>15</v>
      </c>
      <c r="F2503" s="7">
        <v>2751</v>
      </c>
      <c r="G2503" s="7">
        <v>66092.748818611421</v>
      </c>
      <c r="H2503" s="7">
        <v>181821152</v>
      </c>
      <c r="I2503" s="7">
        <v>23814348</v>
      </c>
      <c r="J2503" s="7">
        <v>2164000</v>
      </c>
      <c r="K2503">
        <f t="shared" si="38"/>
        <v>62</v>
      </c>
      <c r="L2503" s="8" t="str" cm="1">
        <f t="array" ref="L2503">_xlfn.IFS(
 AND(K2503&gt;=89,K2503&lt;=92),"3개월",
 AND(K2503&gt;=58,K2503&lt;=62),"2개월",
 AND(K2503&gt;=28,K2503&lt;=32),"1개월",
 AND(K2503=0),"당월",
 TRUE,"그외"
)</f>
        <v>2개월</v>
      </c>
    </row>
    <row r="2504" spans="1:12" x14ac:dyDescent="0.3">
      <c r="A2504" s="5">
        <v>46054</v>
      </c>
      <c r="B2504" s="6" t="s">
        <v>12</v>
      </c>
      <c r="C2504" s="6" t="s">
        <v>16</v>
      </c>
      <c r="D2504" s="5">
        <v>46023</v>
      </c>
      <c r="E2504" s="6" t="s">
        <v>14</v>
      </c>
      <c r="F2504" s="7">
        <v>217</v>
      </c>
      <c r="G2504" s="7">
        <v>65258.193548387098</v>
      </c>
      <c r="H2504" s="7">
        <v>14161028</v>
      </c>
      <c r="I2504" s="7">
        <v>2387000</v>
      </c>
      <c r="J2504" s="7">
        <v>217000</v>
      </c>
      <c r="K2504">
        <f t="shared" si="38"/>
        <v>31</v>
      </c>
      <c r="L2504" s="8" t="str" cm="1">
        <f t="array" ref="L2504">_xlfn.IFS(
 AND(K2504&gt;=89,K2504&lt;=92),"3개월",
 AND(K2504&gt;=58,K2504&lt;=62),"2개월",
 AND(K2504&gt;=28,K2504&lt;=32),"1개월",
 AND(K2504=0),"당월",
 TRUE,"그외"
)</f>
        <v>1개월</v>
      </c>
    </row>
    <row r="2505" spans="1:12" x14ac:dyDescent="0.3">
      <c r="A2505" s="5">
        <v>46054</v>
      </c>
      <c r="B2505" s="6" t="s">
        <v>12</v>
      </c>
      <c r="C2505" s="6" t="s">
        <v>16</v>
      </c>
      <c r="D2505" s="5">
        <v>46023</v>
      </c>
      <c r="E2505" s="6" t="s">
        <v>15</v>
      </c>
      <c r="F2505" s="7">
        <v>28050</v>
      </c>
      <c r="G2505" s="7">
        <v>59280.188449197864</v>
      </c>
      <c r="H2505" s="7">
        <v>1662809286</v>
      </c>
      <c r="I2505" s="7">
        <v>305577579</v>
      </c>
      <c r="J2505" s="7">
        <v>27760000</v>
      </c>
      <c r="K2505">
        <f t="shared" si="38"/>
        <v>31</v>
      </c>
      <c r="L2505" s="8" t="str" cm="1">
        <f t="array" ref="L2505">_xlfn.IFS(
 AND(K2505&gt;=89,K2505&lt;=92),"3개월",
 AND(K2505&gt;=58,K2505&lt;=62),"2개월",
 AND(K2505&gt;=28,K2505&lt;=32),"1개월",
 AND(K2505=0),"당월",
 TRUE,"그외"
)</f>
        <v>1개월</v>
      </c>
    </row>
    <row r="2506" spans="1:12" x14ac:dyDescent="0.3">
      <c r="A2506" s="5">
        <v>46054</v>
      </c>
      <c r="B2506" s="6" t="s">
        <v>12</v>
      </c>
      <c r="C2506" s="6" t="s">
        <v>16</v>
      </c>
      <c r="D2506" s="5">
        <v>46054</v>
      </c>
      <c r="E2506" s="6" t="s">
        <v>14</v>
      </c>
      <c r="F2506" s="7">
        <v>33</v>
      </c>
      <c r="G2506" s="7">
        <v>89819</v>
      </c>
      <c r="H2506" s="7">
        <v>2964027</v>
      </c>
      <c r="I2506" s="7">
        <v>290400</v>
      </c>
      <c r="J2506" s="7">
        <v>26400</v>
      </c>
      <c r="K2506">
        <f t="shared" ref="K2506:K2569" si="39">A2506-D2506</f>
        <v>0</v>
      </c>
      <c r="L2506" s="8" t="str" cm="1">
        <f t="array" ref="L2506">_xlfn.IFS(
 AND(K2506&gt;=89,K2506&lt;=92),"3개월",
 AND(K2506&gt;=58,K2506&lt;=62),"2개월",
 AND(K2506&gt;=28,K2506&lt;=32),"1개월",
 AND(K2506=0),"당월",
 TRUE,"그외"
)</f>
        <v>당월</v>
      </c>
    </row>
    <row r="2507" spans="1:12" x14ac:dyDescent="0.3">
      <c r="A2507" s="5">
        <v>46054</v>
      </c>
      <c r="B2507" s="6" t="s">
        <v>12</v>
      </c>
      <c r="C2507" s="6" t="s">
        <v>16</v>
      </c>
      <c r="D2507" s="5">
        <v>46054</v>
      </c>
      <c r="E2507" s="6" t="s">
        <v>15</v>
      </c>
      <c r="F2507" s="7">
        <v>23259</v>
      </c>
      <c r="G2507" s="7">
        <v>58044.147082849653</v>
      </c>
      <c r="H2507" s="7">
        <v>1350048817</v>
      </c>
      <c r="I2507" s="7">
        <v>205326512</v>
      </c>
      <c r="J2507" s="7">
        <v>18648600</v>
      </c>
      <c r="K2507">
        <f t="shared" si="39"/>
        <v>0</v>
      </c>
      <c r="L2507" s="8" t="str" cm="1">
        <f t="array" ref="L2507">_xlfn.IFS(
 AND(K2507&gt;=89,K2507&lt;=92),"3개월",
 AND(K2507&gt;=58,K2507&lt;=62),"2개월",
 AND(K2507&gt;=28,K2507&lt;=32),"1개월",
 AND(K2507=0),"당월",
 TRUE,"그외"
)</f>
        <v>당월</v>
      </c>
    </row>
    <row r="2508" spans="1:12" x14ac:dyDescent="0.3">
      <c r="A2508" s="5">
        <v>46054</v>
      </c>
      <c r="B2508" s="6" t="s">
        <v>12</v>
      </c>
      <c r="C2508" s="6" t="s">
        <v>17</v>
      </c>
      <c r="D2508" s="5">
        <v>45839</v>
      </c>
      <c r="E2508" s="6" t="s">
        <v>15</v>
      </c>
      <c r="F2508" s="7">
        <v>20</v>
      </c>
      <c r="G2508" s="7">
        <v>68468.649999999994</v>
      </c>
      <c r="H2508" s="7">
        <v>1369373</v>
      </c>
      <c r="I2508" s="7">
        <v>132000</v>
      </c>
      <c r="J2508" s="7">
        <v>12000</v>
      </c>
      <c r="K2508">
        <f t="shared" si="39"/>
        <v>215</v>
      </c>
      <c r="L2508" s="8" t="str" cm="1">
        <f t="array" ref="L2508">_xlfn.IFS(
 AND(K2508&gt;=89,K2508&lt;=92),"3개월",
 AND(K2508&gt;=58,K2508&lt;=62),"2개월",
 AND(K2508&gt;=28,K2508&lt;=32),"1개월",
 AND(K2508=0),"당월",
 TRUE,"그외"
)</f>
        <v>그외</v>
      </c>
    </row>
    <row r="2509" spans="1:12" x14ac:dyDescent="0.3">
      <c r="A2509" s="5">
        <v>46054</v>
      </c>
      <c r="B2509" s="6" t="s">
        <v>12</v>
      </c>
      <c r="C2509" s="6" t="s">
        <v>17</v>
      </c>
      <c r="D2509" s="5">
        <v>45870</v>
      </c>
      <c r="E2509" s="6" t="s">
        <v>15</v>
      </c>
      <c r="F2509" s="7">
        <v>68</v>
      </c>
      <c r="G2509" s="7">
        <v>53463.51470588235</v>
      </c>
      <c r="H2509" s="7">
        <v>3635519</v>
      </c>
      <c r="I2509" s="7">
        <v>598400</v>
      </c>
      <c r="J2509" s="7">
        <v>54400</v>
      </c>
      <c r="K2509">
        <f t="shared" si="39"/>
        <v>184</v>
      </c>
      <c r="L2509" s="8" t="str" cm="1">
        <f t="array" ref="L2509">_xlfn.IFS(
 AND(K2509&gt;=89,K2509&lt;=92),"3개월",
 AND(K2509&gt;=58,K2509&lt;=62),"2개월",
 AND(K2509&gt;=28,K2509&lt;=32),"1개월",
 AND(K2509=0),"당월",
 TRUE,"그외"
)</f>
        <v>그외</v>
      </c>
    </row>
    <row r="2510" spans="1:12" x14ac:dyDescent="0.3">
      <c r="A2510" s="5">
        <v>46054</v>
      </c>
      <c r="B2510" s="6" t="s">
        <v>12</v>
      </c>
      <c r="C2510" s="6" t="s">
        <v>17</v>
      </c>
      <c r="D2510" s="5">
        <v>45901</v>
      </c>
      <c r="E2510" s="6" t="s">
        <v>15</v>
      </c>
      <c r="F2510" s="7">
        <v>94</v>
      </c>
      <c r="G2510" s="7">
        <v>58286.361702127659</v>
      </c>
      <c r="H2510" s="7">
        <v>5478918</v>
      </c>
      <c r="I2510" s="7">
        <v>827200</v>
      </c>
      <c r="J2510" s="7">
        <v>75200</v>
      </c>
      <c r="K2510">
        <f t="shared" si="39"/>
        <v>153</v>
      </c>
      <c r="L2510" s="8" t="str" cm="1">
        <f t="array" ref="L2510">_xlfn.IFS(
 AND(K2510&gt;=89,K2510&lt;=92),"3개월",
 AND(K2510&gt;=58,K2510&lt;=62),"2개월",
 AND(K2510&gt;=28,K2510&lt;=32),"1개월",
 AND(K2510=0),"당월",
 TRUE,"그외"
)</f>
        <v>그외</v>
      </c>
    </row>
    <row r="2511" spans="1:12" x14ac:dyDescent="0.3">
      <c r="A2511" s="5">
        <v>46054</v>
      </c>
      <c r="B2511" s="6" t="s">
        <v>12</v>
      </c>
      <c r="C2511" s="6" t="s">
        <v>17</v>
      </c>
      <c r="D2511" s="5">
        <v>45931</v>
      </c>
      <c r="E2511" s="6" t="s">
        <v>15</v>
      </c>
      <c r="F2511" s="7">
        <v>268</v>
      </c>
      <c r="G2511" s="7">
        <v>51380.84701492537</v>
      </c>
      <c r="H2511" s="7">
        <v>13770067</v>
      </c>
      <c r="I2511" s="7">
        <v>2358400</v>
      </c>
      <c r="J2511" s="7">
        <v>214400</v>
      </c>
      <c r="K2511">
        <f t="shared" si="39"/>
        <v>123</v>
      </c>
      <c r="L2511" s="8" t="str" cm="1">
        <f t="array" ref="L2511">_xlfn.IFS(
 AND(K2511&gt;=89,K2511&lt;=92),"3개월",
 AND(K2511&gt;=58,K2511&lt;=62),"2개월",
 AND(K2511&gt;=28,K2511&lt;=32),"1개월",
 AND(K2511=0),"당월",
 TRUE,"그외"
)</f>
        <v>그외</v>
      </c>
    </row>
    <row r="2512" spans="1:12" x14ac:dyDescent="0.3">
      <c r="A2512" s="5">
        <v>46054</v>
      </c>
      <c r="B2512" s="6" t="s">
        <v>12</v>
      </c>
      <c r="C2512" s="6" t="s">
        <v>17</v>
      </c>
      <c r="D2512" s="5">
        <v>45962</v>
      </c>
      <c r="E2512" s="6" t="s">
        <v>15</v>
      </c>
      <c r="F2512" s="7">
        <v>802</v>
      </c>
      <c r="G2512" s="7">
        <v>49577.642144638397</v>
      </c>
      <c r="H2512" s="7">
        <v>39761269</v>
      </c>
      <c r="I2512" s="7">
        <v>7040860</v>
      </c>
      <c r="J2512" s="7">
        <v>639200</v>
      </c>
      <c r="K2512">
        <f t="shared" si="39"/>
        <v>92</v>
      </c>
      <c r="L2512" s="8" t="str" cm="1">
        <f t="array" ref="L2512">_xlfn.IFS(
 AND(K2512&gt;=89,K2512&lt;=92),"3개월",
 AND(K2512&gt;=58,K2512&lt;=62),"2개월",
 AND(K2512&gt;=28,K2512&lt;=32),"1개월",
 AND(K2512=0),"당월",
 TRUE,"그외"
)</f>
        <v>3개월</v>
      </c>
    </row>
    <row r="2513" spans="1:12" x14ac:dyDescent="0.3">
      <c r="A2513" s="5">
        <v>46054</v>
      </c>
      <c r="B2513" s="6" t="s">
        <v>12</v>
      </c>
      <c r="C2513" s="6" t="s">
        <v>17</v>
      </c>
      <c r="D2513" s="5">
        <v>45992</v>
      </c>
      <c r="E2513" s="6" t="s">
        <v>14</v>
      </c>
      <c r="F2513" s="7">
        <v>73</v>
      </c>
      <c r="G2513" s="7">
        <v>73741.397260273967</v>
      </c>
      <c r="H2513" s="7">
        <v>5383122</v>
      </c>
      <c r="I2513" s="7">
        <v>642400</v>
      </c>
      <c r="J2513" s="7">
        <v>58400</v>
      </c>
      <c r="K2513">
        <f t="shared" si="39"/>
        <v>62</v>
      </c>
      <c r="L2513" s="8" t="str" cm="1">
        <f t="array" ref="L2513">_xlfn.IFS(
 AND(K2513&gt;=89,K2513&lt;=92),"3개월",
 AND(K2513&gt;=58,K2513&lt;=62),"2개월",
 AND(K2513&gt;=28,K2513&lt;=32),"1개월",
 AND(K2513=0),"당월",
 TRUE,"그외"
)</f>
        <v>2개월</v>
      </c>
    </row>
    <row r="2514" spans="1:12" x14ac:dyDescent="0.3">
      <c r="A2514" s="5">
        <v>46054</v>
      </c>
      <c r="B2514" s="6" t="s">
        <v>12</v>
      </c>
      <c r="C2514" s="6" t="s">
        <v>17</v>
      </c>
      <c r="D2514" s="5">
        <v>45992</v>
      </c>
      <c r="E2514" s="6" t="s">
        <v>15</v>
      </c>
      <c r="F2514" s="7">
        <v>1974</v>
      </c>
      <c r="G2514" s="7">
        <v>48360.099797365758</v>
      </c>
      <c r="H2514" s="7">
        <v>95462837</v>
      </c>
      <c r="I2514" s="7">
        <v>17265600</v>
      </c>
      <c r="J2514" s="7">
        <v>1569600</v>
      </c>
      <c r="K2514">
        <f t="shared" si="39"/>
        <v>62</v>
      </c>
      <c r="L2514" s="8" t="str" cm="1">
        <f t="array" ref="L2514">_xlfn.IFS(
 AND(K2514&gt;=89,K2514&lt;=92),"3개월",
 AND(K2514&gt;=58,K2514&lt;=62),"2개월",
 AND(K2514&gt;=28,K2514&lt;=32),"1개월",
 AND(K2514=0),"당월",
 TRUE,"그외"
)</f>
        <v>2개월</v>
      </c>
    </row>
    <row r="2515" spans="1:12" x14ac:dyDescent="0.3">
      <c r="A2515" s="5">
        <v>46054</v>
      </c>
      <c r="B2515" s="6" t="s">
        <v>12</v>
      </c>
      <c r="C2515" s="6" t="s">
        <v>17</v>
      </c>
      <c r="D2515" s="5">
        <v>46023</v>
      </c>
      <c r="E2515" s="6" t="s">
        <v>14</v>
      </c>
      <c r="F2515" s="7">
        <v>168</v>
      </c>
      <c r="G2515" s="7">
        <v>66483.005952380947</v>
      </c>
      <c r="H2515" s="7">
        <v>11169145</v>
      </c>
      <c r="I2515" s="7">
        <v>1848000</v>
      </c>
      <c r="J2515" s="7">
        <v>168000</v>
      </c>
      <c r="K2515">
        <f t="shared" si="39"/>
        <v>31</v>
      </c>
      <c r="L2515" s="8" t="str" cm="1">
        <f t="array" ref="L2515">_xlfn.IFS(
 AND(K2515&gt;=89,K2515&lt;=92),"3개월",
 AND(K2515&gt;=58,K2515&lt;=62),"2개월",
 AND(K2515&gt;=28,K2515&lt;=32),"1개월",
 AND(K2515=0),"당월",
 TRUE,"그외"
)</f>
        <v>1개월</v>
      </c>
    </row>
    <row r="2516" spans="1:12" x14ac:dyDescent="0.3">
      <c r="A2516" s="5">
        <v>46054</v>
      </c>
      <c r="B2516" s="6" t="s">
        <v>12</v>
      </c>
      <c r="C2516" s="6" t="s">
        <v>17</v>
      </c>
      <c r="D2516" s="5">
        <v>46023</v>
      </c>
      <c r="E2516" s="6" t="s">
        <v>15</v>
      </c>
      <c r="F2516" s="7">
        <v>20746</v>
      </c>
      <c r="G2516" s="7">
        <v>51321.450930299819</v>
      </c>
      <c r="H2516" s="7">
        <v>1064714821</v>
      </c>
      <c r="I2516" s="7">
        <v>227688175</v>
      </c>
      <c r="J2516" s="7">
        <v>20689600</v>
      </c>
      <c r="K2516">
        <f t="shared" si="39"/>
        <v>31</v>
      </c>
      <c r="L2516" s="8" t="str" cm="1">
        <f t="array" ref="L2516">_xlfn.IFS(
 AND(K2516&gt;=89,K2516&lt;=92),"3개월",
 AND(K2516&gt;=58,K2516&lt;=62),"2개월",
 AND(K2516&gt;=28,K2516&lt;=32),"1개월",
 AND(K2516=0),"당월",
 TRUE,"그외"
)</f>
        <v>1개월</v>
      </c>
    </row>
    <row r="2517" spans="1:12" x14ac:dyDescent="0.3">
      <c r="A2517" s="5">
        <v>46054</v>
      </c>
      <c r="B2517" s="6" t="s">
        <v>12</v>
      </c>
      <c r="C2517" s="6" t="s">
        <v>17</v>
      </c>
      <c r="D2517" s="5">
        <v>46054</v>
      </c>
      <c r="E2517" s="6" t="s">
        <v>14</v>
      </c>
      <c r="F2517" s="7">
        <v>3</v>
      </c>
      <c r="G2517" s="7">
        <v>76364</v>
      </c>
      <c r="H2517" s="7">
        <v>229092</v>
      </c>
      <c r="I2517" s="7">
        <v>33000</v>
      </c>
      <c r="J2517" s="7">
        <v>3000</v>
      </c>
      <c r="K2517">
        <f t="shared" si="39"/>
        <v>0</v>
      </c>
      <c r="L2517" s="8" t="str" cm="1">
        <f t="array" ref="L2517">_xlfn.IFS(
 AND(K2517&gt;=89,K2517&lt;=92),"3개월",
 AND(K2517&gt;=58,K2517&lt;=62),"2개월",
 AND(K2517&gt;=28,K2517&lt;=32),"1개월",
 AND(K2517=0),"당월",
 TRUE,"그외"
)</f>
        <v>당월</v>
      </c>
    </row>
    <row r="2518" spans="1:12" x14ac:dyDescent="0.3">
      <c r="A2518" s="5">
        <v>46054</v>
      </c>
      <c r="B2518" s="6" t="s">
        <v>12</v>
      </c>
      <c r="C2518" s="6" t="s">
        <v>17</v>
      </c>
      <c r="D2518" s="5">
        <v>46054</v>
      </c>
      <c r="E2518" s="6" t="s">
        <v>15</v>
      </c>
      <c r="F2518" s="7">
        <v>15853</v>
      </c>
      <c r="G2518" s="7">
        <v>48370.789692802617</v>
      </c>
      <c r="H2518" s="7">
        <v>766822129</v>
      </c>
      <c r="I2518" s="7">
        <v>140118242</v>
      </c>
      <c r="J2518" s="7">
        <v>12735600</v>
      </c>
      <c r="K2518">
        <f t="shared" si="39"/>
        <v>0</v>
      </c>
      <c r="L2518" s="8" t="str" cm="1">
        <f t="array" ref="L2518">_xlfn.IFS(
 AND(K2518&gt;=89,K2518&lt;=92),"3개월",
 AND(K2518&gt;=58,K2518&lt;=62),"2개월",
 AND(K2518&gt;=28,K2518&lt;=32),"1개월",
 AND(K2518=0),"당월",
 TRUE,"그외"
)</f>
        <v>당월</v>
      </c>
    </row>
    <row r="2519" spans="1:12" x14ac:dyDescent="0.3">
      <c r="A2519" s="5">
        <v>46054</v>
      </c>
      <c r="B2519" s="6" t="s">
        <v>12</v>
      </c>
      <c r="C2519" s="6" t="s">
        <v>18</v>
      </c>
      <c r="D2519" s="5">
        <v>45839</v>
      </c>
      <c r="E2519" s="6" t="s">
        <v>15</v>
      </c>
      <c r="F2519" s="7">
        <v>8</v>
      </c>
      <c r="G2519" s="7">
        <v>93273</v>
      </c>
      <c r="H2519" s="7">
        <v>746184</v>
      </c>
      <c r="I2519" s="7">
        <v>52800</v>
      </c>
      <c r="J2519" s="7">
        <v>4800</v>
      </c>
      <c r="K2519">
        <f t="shared" si="39"/>
        <v>215</v>
      </c>
      <c r="L2519" s="8" t="str" cm="1">
        <f t="array" ref="L2519">_xlfn.IFS(
 AND(K2519&gt;=89,K2519&lt;=92),"3개월",
 AND(K2519&gt;=58,K2519&lt;=62),"2개월",
 AND(K2519&gt;=28,K2519&lt;=32),"1개월",
 AND(K2519=0),"당월",
 TRUE,"그외"
)</f>
        <v>그외</v>
      </c>
    </row>
    <row r="2520" spans="1:12" x14ac:dyDescent="0.3">
      <c r="A2520" s="5">
        <v>46054</v>
      </c>
      <c r="B2520" s="6" t="s">
        <v>12</v>
      </c>
      <c r="C2520" s="6" t="s">
        <v>18</v>
      </c>
      <c r="D2520" s="5">
        <v>45870</v>
      </c>
      <c r="E2520" s="6" t="s">
        <v>15</v>
      </c>
      <c r="F2520" s="7">
        <v>151</v>
      </c>
      <c r="G2520" s="7">
        <v>68771.278145695367</v>
      </c>
      <c r="H2520" s="7">
        <v>10384463</v>
      </c>
      <c r="I2520" s="7">
        <v>1328800</v>
      </c>
      <c r="J2520" s="7">
        <v>120800</v>
      </c>
      <c r="K2520">
        <f t="shared" si="39"/>
        <v>184</v>
      </c>
      <c r="L2520" s="8" t="str" cm="1">
        <f t="array" ref="L2520">_xlfn.IFS(
 AND(K2520&gt;=89,K2520&lt;=92),"3개월",
 AND(K2520&gt;=58,K2520&lt;=62),"2개월",
 AND(K2520&gt;=28,K2520&lt;=32),"1개월",
 AND(K2520=0),"당월",
 TRUE,"그외"
)</f>
        <v>그외</v>
      </c>
    </row>
    <row r="2521" spans="1:12" x14ac:dyDescent="0.3">
      <c r="A2521" s="5">
        <v>46054</v>
      </c>
      <c r="B2521" s="6" t="s">
        <v>12</v>
      </c>
      <c r="C2521" s="6" t="s">
        <v>18</v>
      </c>
      <c r="D2521" s="5">
        <v>45901</v>
      </c>
      <c r="E2521" s="6" t="s">
        <v>15</v>
      </c>
      <c r="F2521" s="7">
        <v>99</v>
      </c>
      <c r="G2521" s="7">
        <v>61556.909090909088</v>
      </c>
      <c r="H2521" s="7">
        <v>6094134</v>
      </c>
      <c r="I2521" s="7">
        <v>871200</v>
      </c>
      <c r="J2521" s="7">
        <v>79200</v>
      </c>
      <c r="K2521">
        <f t="shared" si="39"/>
        <v>153</v>
      </c>
      <c r="L2521" s="8" t="str" cm="1">
        <f t="array" ref="L2521">_xlfn.IFS(
 AND(K2521&gt;=89,K2521&lt;=92),"3개월",
 AND(K2521&gt;=58,K2521&lt;=62),"2개월",
 AND(K2521&gt;=28,K2521&lt;=32),"1개월",
 AND(K2521=0),"당월",
 TRUE,"그외"
)</f>
        <v>그외</v>
      </c>
    </row>
    <row r="2522" spans="1:12" x14ac:dyDescent="0.3">
      <c r="A2522" s="5">
        <v>46054</v>
      </c>
      <c r="B2522" s="6" t="s">
        <v>12</v>
      </c>
      <c r="C2522" s="6" t="s">
        <v>18</v>
      </c>
      <c r="D2522" s="5">
        <v>45931</v>
      </c>
      <c r="E2522" s="6" t="s">
        <v>15</v>
      </c>
      <c r="F2522" s="7">
        <v>837</v>
      </c>
      <c r="G2522" s="7">
        <v>81278.769414575872</v>
      </c>
      <c r="H2522" s="7">
        <v>68030330</v>
      </c>
      <c r="I2522" s="7">
        <v>7365600</v>
      </c>
      <c r="J2522" s="7">
        <v>669600</v>
      </c>
      <c r="K2522">
        <f t="shared" si="39"/>
        <v>123</v>
      </c>
      <c r="L2522" s="8" t="str" cm="1">
        <f t="array" ref="L2522">_xlfn.IFS(
 AND(K2522&gt;=89,K2522&lt;=92),"3개월",
 AND(K2522&gt;=58,K2522&lt;=62),"2개월",
 AND(K2522&gt;=28,K2522&lt;=32),"1개월",
 AND(K2522=0),"당월",
 TRUE,"그외"
)</f>
        <v>그외</v>
      </c>
    </row>
    <row r="2523" spans="1:12" x14ac:dyDescent="0.3">
      <c r="A2523" s="5">
        <v>46054</v>
      </c>
      <c r="B2523" s="6" t="s">
        <v>12</v>
      </c>
      <c r="C2523" s="6" t="s">
        <v>18</v>
      </c>
      <c r="D2523" s="5">
        <v>45962</v>
      </c>
      <c r="E2523" s="6" t="s">
        <v>15</v>
      </c>
      <c r="F2523" s="7">
        <v>1479</v>
      </c>
      <c r="G2523" s="7">
        <v>68692.563894523322</v>
      </c>
      <c r="H2523" s="7">
        <v>101596302</v>
      </c>
      <c r="I2523" s="7">
        <v>13015200</v>
      </c>
      <c r="J2523" s="7">
        <v>1183200</v>
      </c>
      <c r="K2523">
        <f t="shared" si="39"/>
        <v>92</v>
      </c>
      <c r="L2523" s="8" t="str" cm="1">
        <f t="array" ref="L2523">_xlfn.IFS(
 AND(K2523&gt;=89,K2523&lt;=92),"3개월",
 AND(K2523&gt;=58,K2523&lt;=62),"2개월",
 AND(K2523&gt;=28,K2523&lt;=32),"1개월",
 AND(K2523=0),"당월",
 TRUE,"그외"
)</f>
        <v>3개월</v>
      </c>
    </row>
    <row r="2524" spans="1:12" x14ac:dyDescent="0.3">
      <c r="A2524" s="5">
        <v>46054</v>
      </c>
      <c r="B2524" s="6" t="s">
        <v>12</v>
      </c>
      <c r="C2524" s="6" t="s">
        <v>18</v>
      </c>
      <c r="D2524" s="5">
        <v>45992</v>
      </c>
      <c r="E2524" s="6" t="s">
        <v>15</v>
      </c>
      <c r="F2524" s="7">
        <v>5881</v>
      </c>
      <c r="G2524" s="7">
        <v>63146.237714674367</v>
      </c>
      <c r="H2524" s="7">
        <v>371363024</v>
      </c>
      <c r="I2524" s="7">
        <v>51649304</v>
      </c>
      <c r="J2524" s="7">
        <v>4694400</v>
      </c>
      <c r="K2524">
        <f t="shared" si="39"/>
        <v>62</v>
      </c>
      <c r="L2524" s="8" t="str" cm="1">
        <f t="array" ref="L2524">_xlfn.IFS(
 AND(K2524&gt;=89,K2524&lt;=92),"3개월",
 AND(K2524&gt;=58,K2524&lt;=62),"2개월",
 AND(K2524&gt;=28,K2524&lt;=32),"1개월",
 AND(K2524=0),"당월",
 TRUE,"그외"
)</f>
        <v>2개월</v>
      </c>
    </row>
    <row r="2525" spans="1:12" x14ac:dyDescent="0.3">
      <c r="A2525" s="5">
        <v>46054</v>
      </c>
      <c r="B2525" s="6" t="s">
        <v>12</v>
      </c>
      <c r="C2525" s="6" t="s">
        <v>18</v>
      </c>
      <c r="D2525" s="5">
        <v>46023</v>
      </c>
      <c r="E2525" s="6" t="s">
        <v>14</v>
      </c>
      <c r="F2525" s="7">
        <v>196</v>
      </c>
      <c r="G2525" s="7">
        <v>68205.367346938772</v>
      </c>
      <c r="H2525" s="7">
        <v>13368252</v>
      </c>
      <c r="I2525" s="7">
        <v>2156000</v>
      </c>
      <c r="J2525" s="7">
        <v>196000</v>
      </c>
      <c r="K2525">
        <f t="shared" si="39"/>
        <v>31</v>
      </c>
      <c r="L2525" s="8" t="str" cm="1">
        <f t="array" ref="L2525">_xlfn.IFS(
 AND(K2525&gt;=89,K2525&lt;=92),"3개월",
 AND(K2525&gt;=58,K2525&lt;=62),"2개월",
 AND(K2525&gt;=28,K2525&lt;=32),"1개월",
 AND(K2525=0),"당월",
 TRUE,"그외"
)</f>
        <v>1개월</v>
      </c>
    </row>
    <row r="2526" spans="1:12" x14ac:dyDescent="0.3">
      <c r="A2526" s="5">
        <v>46054</v>
      </c>
      <c r="B2526" s="6" t="s">
        <v>12</v>
      </c>
      <c r="C2526" s="6" t="s">
        <v>18</v>
      </c>
      <c r="D2526" s="5">
        <v>46023</v>
      </c>
      <c r="E2526" s="6" t="s">
        <v>15</v>
      </c>
      <c r="F2526" s="7">
        <v>27837</v>
      </c>
      <c r="G2526" s="7">
        <v>65682.492474045343</v>
      </c>
      <c r="H2526" s="7">
        <v>1828403543</v>
      </c>
      <c r="I2526" s="7">
        <v>304968400</v>
      </c>
      <c r="J2526" s="7">
        <v>27724400</v>
      </c>
      <c r="K2526">
        <f t="shared" si="39"/>
        <v>31</v>
      </c>
      <c r="L2526" s="8" t="str" cm="1">
        <f t="array" ref="L2526">_xlfn.IFS(
 AND(K2526&gt;=89,K2526&lt;=92),"3개월",
 AND(K2526&gt;=58,K2526&lt;=62),"2개월",
 AND(K2526&gt;=28,K2526&lt;=32),"1개월",
 AND(K2526=0),"당월",
 TRUE,"그외"
)</f>
        <v>1개월</v>
      </c>
    </row>
    <row r="2527" spans="1:12" x14ac:dyDescent="0.3">
      <c r="A2527" s="5">
        <v>46054</v>
      </c>
      <c r="B2527" s="6" t="s">
        <v>12</v>
      </c>
      <c r="C2527" s="6" t="s">
        <v>18</v>
      </c>
      <c r="D2527" s="5">
        <v>46054</v>
      </c>
      <c r="E2527" s="6" t="s">
        <v>14</v>
      </c>
      <c r="F2527" s="7">
        <v>78</v>
      </c>
      <c r="G2527" s="7">
        <v>86182</v>
      </c>
      <c r="H2527" s="7">
        <v>6722196</v>
      </c>
      <c r="I2527" s="7">
        <v>686400</v>
      </c>
      <c r="J2527" s="7">
        <v>62400</v>
      </c>
      <c r="K2527">
        <f t="shared" si="39"/>
        <v>0</v>
      </c>
      <c r="L2527" s="8" t="str" cm="1">
        <f t="array" ref="L2527">_xlfn.IFS(
 AND(K2527&gt;=89,K2527&lt;=92),"3개월",
 AND(K2527&gt;=58,K2527&lt;=62),"2개월",
 AND(K2527&gt;=28,K2527&lt;=32),"1개월",
 AND(K2527=0),"당월",
 TRUE,"그외"
)</f>
        <v>당월</v>
      </c>
    </row>
    <row r="2528" spans="1:12" x14ac:dyDescent="0.3">
      <c r="A2528" s="5">
        <v>46054</v>
      </c>
      <c r="B2528" s="6" t="s">
        <v>12</v>
      </c>
      <c r="C2528" s="6" t="s">
        <v>18</v>
      </c>
      <c r="D2528" s="5">
        <v>46054</v>
      </c>
      <c r="E2528" s="6" t="s">
        <v>15</v>
      </c>
      <c r="F2528" s="7">
        <v>24827</v>
      </c>
      <c r="G2528" s="7">
        <v>61400.217424578077</v>
      </c>
      <c r="H2528" s="7">
        <v>1524383198</v>
      </c>
      <c r="I2528" s="7">
        <v>219689800</v>
      </c>
      <c r="J2528" s="7">
        <v>19971800</v>
      </c>
      <c r="K2528">
        <f t="shared" si="39"/>
        <v>0</v>
      </c>
      <c r="L2528" s="8" t="str" cm="1">
        <f t="array" ref="L2528">_xlfn.IFS(
 AND(K2528&gt;=89,K2528&lt;=92),"3개월",
 AND(K2528&gt;=58,K2528&lt;=62),"2개월",
 AND(K2528&gt;=28,K2528&lt;=32),"1개월",
 AND(K2528=0),"당월",
 TRUE,"그외"
)</f>
        <v>당월</v>
      </c>
    </row>
    <row r="2529" spans="1:12" x14ac:dyDescent="0.3">
      <c r="A2529" s="5">
        <v>46054</v>
      </c>
      <c r="B2529" s="6" t="s">
        <v>12</v>
      </c>
      <c r="C2529" s="6" t="s">
        <v>19</v>
      </c>
      <c r="D2529" s="5">
        <v>45870</v>
      </c>
      <c r="E2529" s="6" t="s">
        <v>15</v>
      </c>
      <c r="F2529" s="7">
        <v>2</v>
      </c>
      <c r="G2529" s="7">
        <v>14455</v>
      </c>
      <c r="H2529" s="7">
        <v>28910</v>
      </c>
      <c r="I2529" s="7">
        <v>17600</v>
      </c>
      <c r="J2529" s="7">
        <v>1600</v>
      </c>
      <c r="K2529">
        <f t="shared" si="39"/>
        <v>184</v>
      </c>
      <c r="L2529" s="8" t="str" cm="1">
        <f t="array" ref="L2529">_xlfn.IFS(
 AND(K2529&gt;=89,K2529&lt;=92),"3개월",
 AND(K2529&gt;=58,K2529&lt;=62),"2개월",
 AND(K2529&gt;=28,K2529&lt;=32),"1개월",
 AND(K2529=0),"당월",
 TRUE,"그외"
)</f>
        <v>그외</v>
      </c>
    </row>
    <row r="2530" spans="1:12" x14ac:dyDescent="0.3">
      <c r="A2530" s="5">
        <v>46054</v>
      </c>
      <c r="B2530" s="6" t="s">
        <v>12</v>
      </c>
      <c r="C2530" s="6" t="s">
        <v>19</v>
      </c>
      <c r="D2530" s="5">
        <v>45931</v>
      </c>
      <c r="E2530" s="6" t="s">
        <v>15</v>
      </c>
      <c r="F2530" s="7">
        <v>35</v>
      </c>
      <c r="G2530" s="7">
        <v>82784.571428571435</v>
      </c>
      <c r="H2530" s="7">
        <v>2897460</v>
      </c>
      <c r="I2530" s="7">
        <v>308000</v>
      </c>
      <c r="J2530" s="7">
        <v>28000</v>
      </c>
      <c r="K2530">
        <f t="shared" si="39"/>
        <v>123</v>
      </c>
      <c r="L2530" s="8" t="str" cm="1">
        <f t="array" ref="L2530">_xlfn.IFS(
 AND(K2530&gt;=89,K2530&lt;=92),"3개월",
 AND(K2530&gt;=58,K2530&lt;=62),"2개월",
 AND(K2530&gt;=28,K2530&lt;=32),"1개월",
 AND(K2530=0),"당월",
 TRUE,"그외"
)</f>
        <v>그외</v>
      </c>
    </row>
    <row r="2531" spans="1:12" x14ac:dyDescent="0.3">
      <c r="A2531" s="5">
        <v>46054</v>
      </c>
      <c r="B2531" s="6" t="s">
        <v>12</v>
      </c>
      <c r="C2531" s="6" t="s">
        <v>19</v>
      </c>
      <c r="D2531" s="5">
        <v>45962</v>
      </c>
      <c r="E2531" s="6" t="s">
        <v>15</v>
      </c>
      <c r="F2531" s="7">
        <v>103</v>
      </c>
      <c r="G2531" s="7">
        <v>82895.951456310679</v>
      </c>
      <c r="H2531" s="7">
        <v>8538283</v>
      </c>
      <c r="I2531" s="7">
        <v>862400</v>
      </c>
      <c r="J2531" s="7">
        <v>78400</v>
      </c>
      <c r="K2531">
        <f t="shared" si="39"/>
        <v>92</v>
      </c>
      <c r="L2531" s="8" t="str" cm="1">
        <f t="array" ref="L2531">_xlfn.IFS(
 AND(K2531&gt;=89,K2531&lt;=92),"3개월",
 AND(K2531&gt;=58,K2531&lt;=62),"2개월",
 AND(K2531&gt;=28,K2531&lt;=32),"1개월",
 AND(K2531=0),"당월",
 TRUE,"그외"
)</f>
        <v>3개월</v>
      </c>
    </row>
    <row r="2532" spans="1:12" x14ac:dyDescent="0.3">
      <c r="A2532" s="5">
        <v>46054</v>
      </c>
      <c r="B2532" s="6" t="s">
        <v>12</v>
      </c>
      <c r="C2532" s="6" t="s">
        <v>19</v>
      </c>
      <c r="D2532" s="5">
        <v>45992</v>
      </c>
      <c r="E2532" s="6" t="s">
        <v>15</v>
      </c>
      <c r="F2532" s="7">
        <v>277</v>
      </c>
      <c r="G2532" s="7">
        <v>35801.101083032489</v>
      </c>
      <c r="H2532" s="7">
        <v>9916905</v>
      </c>
      <c r="I2532" s="7">
        <v>1672000</v>
      </c>
      <c r="J2532" s="7">
        <v>152000</v>
      </c>
      <c r="K2532">
        <f t="shared" si="39"/>
        <v>62</v>
      </c>
      <c r="L2532" s="8" t="str" cm="1">
        <f t="array" ref="L2532">_xlfn.IFS(
 AND(K2532&gt;=89,K2532&lt;=92),"3개월",
 AND(K2532&gt;=58,K2532&lt;=62),"2개월",
 AND(K2532&gt;=28,K2532&lt;=32),"1개월",
 AND(K2532=0),"당월",
 TRUE,"그외"
)</f>
        <v>2개월</v>
      </c>
    </row>
    <row r="2533" spans="1:12" x14ac:dyDescent="0.3">
      <c r="A2533" s="5">
        <v>46054</v>
      </c>
      <c r="B2533" s="6" t="s">
        <v>12</v>
      </c>
      <c r="C2533" s="6" t="s">
        <v>19</v>
      </c>
      <c r="D2533" s="5">
        <v>46023</v>
      </c>
      <c r="E2533" s="6" t="s">
        <v>14</v>
      </c>
      <c r="F2533" s="7">
        <v>2</v>
      </c>
      <c r="G2533" s="7">
        <v>90000</v>
      </c>
      <c r="H2533" s="7">
        <v>180000</v>
      </c>
      <c r="I2533" s="7">
        <v>22000</v>
      </c>
      <c r="J2533" s="7">
        <v>2000</v>
      </c>
      <c r="K2533">
        <f t="shared" si="39"/>
        <v>31</v>
      </c>
      <c r="L2533" s="8" t="str" cm="1">
        <f t="array" ref="L2533">_xlfn.IFS(
 AND(K2533&gt;=89,K2533&lt;=92),"3개월",
 AND(K2533&gt;=58,K2533&lt;=62),"2개월",
 AND(K2533&gt;=28,K2533&lt;=32),"1개월",
 AND(K2533=0),"당월",
 TRUE,"그외"
)</f>
        <v>1개월</v>
      </c>
    </row>
    <row r="2534" spans="1:12" x14ac:dyDescent="0.3">
      <c r="A2534" s="5">
        <v>46054</v>
      </c>
      <c r="B2534" s="6" t="s">
        <v>12</v>
      </c>
      <c r="C2534" s="6" t="s">
        <v>19</v>
      </c>
      <c r="D2534" s="5">
        <v>46023</v>
      </c>
      <c r="E2534" s="6" t="s">
        <v>15</v>
      </c>
      <c r="F2534" s="7">
        <v>5320</v>
      </c>
      <c r="G2534" s="7">
        <v>54511.728571428568</v>
      </c>
      <c r="H2534" s="7">
        <v>290002396</v>
      </c>
      <c r="I2534" s="7">
        <v>53867000</v>
      </c>
      <c r="J2534" s="7">
        <v>4897000</v>
      </c>
      <c r="K2534">
        <f t="shared" si="39"/>
        <v>31</v>
      </c>
      <c r="L2534" s="8" t="str" cm="1">
        <f t="array" ref="L2534">_xlfn.IFS(
 AND(K2534&gt;=89,K2534&lt;=92),"3개월",
 AND(K2534&gt;=58,K2534&lt;=62),"2개월",
 AND(K2534&gt;=28,K2534&lt;=32),"1개월",
 AND(K2534=0),"당월",
 TRUE,"그외"
)</f>
        <v>1개월</v>
      </c>
    </row>
    <row r="2535" spans="1:12" x14ac:dyDescent="0.3">
      <c r="A2535" s="5">
        <v>46054</v>
      </c>
      <c r="B2535" s="6" t="s">
        <v>12</v>
      </c>
      <c r="C2535" s="6" t="s">
        <v>19</v>
      </c>
      <c r="D2535" s="5">
        <v>46054</v>
      </c>
      <c r="E2535" s="6" t="s">
        <v>15</v>
      </c>
      <c r="F2535" s="7">
        <v>10046</v>
      </c>
      <c r="G2535" s="7">
        <v>52835.567091379657</v>
      </c>
      <c r="H2535" s="7">
        <v>530786107</v>
      </c>
      <c r="I2535" s="7">
        <v>87123700</v>
      </c>
      <c r="J2535" s="7">
        <v>7920336</v>
      </c>
      <c r="K2535">
        <f t="shared" si="39"/>
        <v>0</v>
      </c>
      <c r="L2535" s="8" t="str" cm="1">
        <f t="array" ref="L2535">_xlfn.IFS(
 AND(K2535&gt;=89,K2535&lt;=92),"3개월",
 AND(K2535&gt;=58,K2535&lt;=62),"2개월",
 AND(K2535&gt;=28,K2535&lt;=32),"1개월",
 AND(K2535=0),"당월",
 TRUE,"그외"
)</f>
        <v>당월</v>
      </c>
    </row>
    <row r="2536" spans="1:12" x14ac:dyDescent="0.3">
      <c r="A2536" s="5">
        <v>46054</v>
      </c>
      <c r="B2536" s="6" t="s">
        <v>20</v>
      </c>
      <c r="C2536" s="6" t="s">
        <v>22</v>
      </c>
      <c r="D2536" s="5">
        <v>45839</v>
      </c>
      <c r="E2536" s="6" t="s">
        <v>15</v>
      </c>
      <c r="F2536" s="7">
        <v>89</v>
      </c>
      <c r="G2536" s="7">
        <v>124872.2921348315</v>
      </c>
      <c r="H2536" s="7">
        <v>11113634</v>
      </c>
      <c r="I2536" s="7">
        <v>984951</v>
      </c>
      <c r="J2536" s="7">
        <v>0</v>
      </c>
      <c r="K2536">
        <f t="shared" si="39"/>
        <v>215</v>
      </c>
      <c r="L2536" s="8" t="str" cm="1">
        <f t="array" ref="L2536">_xlfn.IFS(
 AND(K2536&gt;=89,K2536&lt;=92),"3개월",
 AND(K2536&gt;=58,K2536&lt;=62),"2개월",
 AND(K2536&gt;=28,K2536&lt;=32),"1개월",
 AND(K2536=0),"당월",
 TRUE,"그외"
)</f>
        <v>그외</v>
      </c>
    </row>
    <row r="2537" spans="1:12" x14ac:dyDescent="0.3">
      <c r="A2537" s="5">
        <v>46054</v>
      </c>
      <c r="B2537" s="6" t="s">
        <v>20</v>
      </c>
      <c r="C2537" s="6" t="s">
        <v>22</v>
      </c>
      <c r="D2537" s="5">
        <v>45870</v>
      </c>
      <c r="E2537" s="6" t="s">
        <v>15</v>
      </c>
      <c r="F2537" s="7">
        <v>457</v>
      </c>
      <c r="G2537" s="7">
        <v>145212.1991247265</v>
      </c>
      <c r="H2537" s="7">
        <v>66361975</v>
      </c>
      <c r="I2537" s="7">
        <v>5744287</v>
      </c>
      <c r="J2537" s="7">
        <v>0</v>
      </c>
      <c r="K2537">
        <f t="shared" si="39"/>
        <v>184</v>
      </c>
      <c r="L2537" s="8" t="str" cm="1">
        <f t="array" ref="L2537">_xlfn.IFS(
 AND(K2537&gt;=89,K2537&lt;=92),"3개월",
 AND(K2537&gt;=58,K2537&lt;=62),"2개월",
 AND(K2537&gt;=28,K2537&lt;=32),"1개월",
 AND(K2537=0),"당월",
 TRUE,"그외"
)</f>
        <v>그외</v>
      </c>
    </row>
    <row r="2538" spans="1:12" x14ac:dyDescent="0.3">
      <c r="A2538" s="5">
        <v>46054</v>
      </c>
      <c r="B2538" s="6" t="s">
        <v>20</v>
      </c>
      <c r="C2538" s="6" t="s">
        <v>22</v>
      </c>
      <c r="D2538" s="5">
        <v>45901</v>
      </c>
      <c r="E2538" s="6" t="s">
        <v>15</v>
      </c>
      <c r="F2538" s="7">
        <v>654</v>
      </c>
      <c r="G2538" s="7">
        <v>146759.31039755349</v>
      </c>
      <c r="H2538" s="7">
        <v>95980589</v>
      </c>
      <c r="I2538" s="7">
        <v>8551692</v>
      </c>
      <c r="J2538" s="7">
        <v>0</v>
      </c>
      <c r="K2538">
        <f t="shared" si="39"/>
        <v>153</v>
      </c>
      <c r="L2538" s="8" t="str" cm="1">
        <f t="array" ref="L2538">_xlfn.IFS(
 AND(K2538&gt;=89,K2538&lt;=92),"3개월",
 AND(K2538&gt;=58,K2538&lt;=62),"2개월",
 AND(K2538&gt;=28,K2538&lt;=32),"1개월",
 AND(K2538=0),"당월",
 TRUE,"그외"
)</f>
        <v>그외</v>
      </c>
    </row>
    <row r="2539" spans="1:12" x14ac:dyDescent="0.3">
      <c r="A2539" s="5">
        <v>46054</v>
      </c>
      <c r="B2539" s="6" t="s">
        <v>20</v>
      </c>
      <c r="C2539" s="6" t="s">
        <v>22</v>
      </c>
      <c r="D2539" s="5">
        <v>45931</v>
      </c>
      <c r="E2539" s="6" t="s">
        <v>14</v>
      </c>
      <c r="F2539" s="7">
        <v>32</v>
      </c>
      <c r="G2539" s="7">
        <v>129700</v>
      </c>
      <c r="H2539" s="7">
        <v>4150400</v>
      </c>
      <c r="I2539" s="7">
        <v>310400</v>
      </c>
      <c r="J2539" s="7">
        <v>0</v>
      </c>
      <c r="K2539">
        <f t="shared" si="39"/>
        <v>123</v>
      </c>
      <c r="L2539" s="8" t="str" cm="1">
        <f t="array" ref="L2539">_xlfn.IFS(
 AND(K2539&gt;=89,K2539&lt;=92),"3개월",
 AND(K2539&gt;=58,K2539&lt;=62),"2개월",
 AND(K2539&gt;=28,K2539&lt;=32),"1개월",
 AND(K2539=0),"당월",
 TRUE,"그외"
)</f>
        <v>그외</v>
      </c>
    </row>
    <row r="2540" spans="1:12" x14ac:dyDescent="0.3">
      <c r="A2540" s="5">
        <v>46054</v>
      </c>
      <c r="B2540" s="6" t="s">
        <v>20</v>
      </c>
      <c r="C2540" s="6" t="s">
        <v>22</v>
      </c>
      <c r="D2540" s="5">
        <v>45931</v>
      </c>
      <c r="E2540" s="6" t="s">
        <v>15</v>
      </c>
      <c r="F2540" s="7">
        <v>1387</v>
      </c>
      <c r="G2540" s="7">
        <v>160268.1997116078</v>
      </c>
      <c r="H2540" s="7">
        <v>222291993</v>
      </c>
      <c r="I2540" s="7">
        <v>19813723</v>
      </c>
      <c r="J2540" s="7">
        <v>0</v>
      </c>
      <c r="K2540">
        <f t="shared" si="39"/>
        <v>123</v>
      </c>
      <c r="L2540" s="8" t="str" cm="1">
        <f t="array" ref="L2540">_xlfn.IFS(
 AND(K2540&gt;=89,K2540&lt;=92),"3개월",
 AND(K2540&gt;=58,K2540&lt;=62),"2개월",
 AND(K2540&gt;=28,K2540&lt;=32),"1개월",
 AND(K2540=0),"당월",
 TRUE,"그외"
)</f>
        <v>그외</v>
      </c>
    </row>
    <row r="2541" spans="1:12" x14ac:dyDescent="0.3">
      <c r="A2541" s="5">
        <v>46054</v>
      </c>
      <c r="B2541" s="6" t="s">
        <v>20</v>
      </c>
      <c r="C2541" s="6" t="s">
        <v>22</v>
      </c>
      <c r="D2541" s="5">
        <v>45962</v>
      </c>
      <c r="E2541" s="6" t="s">
        <v>14</v>
      </c>
      <c r="F2541" s="7">
        <v>234</v>
      </c>
      <c r="G2541" s="7">
        <v>134922.2521367521</v>
      </c>
      <c r="H2541" s="7">
        <v>31571807</v>
      </c>
      <c r="I2541" s="7">
        <v>2874496</v>
      </c>
      <c r="J2541" s="7">
        <v>0</v>
      </c>
      <c r="K2541">
        <f t="shared" si="39"/>
        <v>92</v>
      </c>
      <c r="L2541" s="8" t="str" cm="1">
        <f t="array" ref="L2541">_xlfn.IFS(
 AND(K2541&gt;=89,K2541&lt;=92),"3개월",
 AND(K2541&gt;=58,K2541&lt;=62),"2개월",
 AND(K2541&gt;=28,K2541&lt;=32),"1개월",
 AND(K2541=0),"당월",
 TRUE,"그외"
)</f>
        <v>3개월</v>
      </c>
    </row>
    <row r="2542" spans="1:12" x14ac:dyDescent="0.3">
      <c r="A2542" s="5">
        <v>46054</v>
      </c>
      <c r="B2542" s="6" t="s">
        <v>20</v>
      </c>
      <c r="C2542" s="6" t="s">
        <v>22</v>
      </c>
      <c r="D2542" s="5">
        <v>45962</v>
      </c>
      <c r="E2542" s="6" t="s">
        <v>15</v>
      </c>
      <c r="F2542" s="7">
        <v>2214</v>
      </c>
      <c r="G2542" s="7">
        <v>194338.32700993679</v>
      </c>
      <c r="H2542" s="7">
        <v>430265056</v>
      </c>
      <c r="I2542" s="7">
        <v>29742855</v>
      </c>
      <c r="J2542" s="7">
        <v>0</v>
      </c>
      <c r="K2542">
        <f t="shared" si="39"/>
        <v>92</v>
      </c>
      <c r="L2542" s="8" t="str" cm="1">
        <f t="array" ref="L2542">_xlfn.IFS(
 AND(K2542&gt;=89,K2542&lt;=92),"3개월",
 AND(K2542&gt;=58,K2542&lt;=62),"2개월",
 AND(K2542&gt;=28,K2542&lt;=32),"1개월",
 AND(K2542=0),"당월",
 TRUE,"그외"
)</f>
        <v>3개월</v>
      </c>
    </row>
    <row r="2543" spans="1:12" x14ac:dyDescent="0.3">
      <c r="A2543" s="5">
        <v>46054</v>
      </c>
      <c r="B2543" s="6" t="s">
        <v>20</v>
      </c>
      <c r="C2543" s="6" t="s">
        <v>22</v>
      </c>
      <c r="D2543" s="5">
        <v>45992</v>
      </c>
      <c r="E2543" s="6" t="s">
        <v>14</v>
      </c>
      <c r="F2543" s="7">
        <v>624</v>
      </c>
      <c r="G2543" s="7">
        <v>156078.30769230769</v>
      </c>
      <c r="H2543" s="7">
        <v>97392864</v>
      </c>
      <c r="I2543" s="7">
        <v>11141941</v>
      </c>
      <c r="J2543" s="7">
        <v>0</v>
      </c>
      <c r="K2543">
        <f t="shared" si="39"/>
        <v>62</v>
      </c>
      <c r="L2543" s="8" t="str" cm="1">
        <f t="array" ref="L2543">_xlfn.IFS(
 AND(K2543&gt;=89,K2543&lt;=92),"3개월",
 AND(K2543&gt;=58,K2543&lt;=62),"2개월",
 AND(K2543&gt;=28,K2543&lt;=32),"1개월",
 AND(K2543=0),"당월",
 TRUE,"그외"
)</f>
        <v>2개월</v>
      </c>
    </row>
    <row r="2544" spans="1:12" x14ac:dyDescent="0.3">
      <c r="A2544" s="5">
        <v>46054</v>
      </c>
      <c r="B2544" s="6" t="s">
        <v>20</v>
      </c>
      <c r="C2544" s="6" t="s">
        <v>22</v>
      </c>
      <c r="D2544" s="5">
        <v>45992</v>
      </c>
      <c r="E2544" s="6" t="s">
        <v>15</v>
      </c>
      <c r="F2544" s="7">
        <v>10137</v>
      </c>
      <c r="G2544" s="7">
        <v>184693.3108414718</v>
      </c>
      <c r="H2544" s="7">
        <v>1872236092</v>
      </c>
      <c r="I2544" s="7">
        <v>148358698</v>
      </c>
      <c r="J2544" s="7">
        <v>0</v>
      </c>
      <c r="K2544">
        <f t="shared" si="39"/>
        <v>62</v>
      </c>
      <c r="L2544" s="8" t="str" cm="1">
        <f t="array" ref="L2544">_xlfn.IFS(
 AND(K2544&gt;=89,K2544&lt;=92),"3개월",
 AND(K2544&gt;=58,K2544&lt;=62),"2개월",
 AND(K2544&gt;=28,K2544&lt;=32),"1개월",
 AND(K2544=0),"당월",
 TRUE,"그외"
)</f>
        <v>2개월</v>
      </c>
    </row>
    <row r="2545" spans="1:12" x14ac:dyDescent="0.3">
      <c r="A2545" s="5">
        <v>46054</v>
      </c>
      <c r="B2545" s="6" t="s">
        <v>20</v>
      </c>
      <c r="C2545" s="6" t="s">
        <v>22</v>
      </c>
      <c r="D2545" s="5">
        <v>46023</v>
      </c>
      <c r="E2545" s="6" t="s">
        <v>14</v>
      </c>
      <c r="F2545" s="7">
        <v>4221</v>
      </c>
      <c r="G2545" s="7">
        <v>150960.4622127458</v>
      </c>
      <c r="H2545" s="7">
        <v>637204111</v>
      </c>
      <c r="I2545" s="7">
        <v>67614532</v>
      </c>
      <c r="J2545" s="7">
        <v>0</v>
      </c>
      <c r="K2545">
        <f t="shared" si="39"/>
        <v>31</v>
      </c>
      <c r="L2545" s="8" t="str" cm="1">
        <f t="array" ref="L2545">_xlfn.IFS(
 AND(K2545&gt;=89,K2545&lt;=92),"3개월",
 AND(K2545&gt;=58,K2545&lt;=62),"2개월",
 AND(K2545&gt;=28,K2545&lt;=32),"1개월",
 AND(K2545=0),"당월",
 TRUE,"그외"
)</f>
        <v>1개월</v>
      </c>
    </row>
    <row r="2546" spans="1:12" x14ac:dyDescent="0.3">
      <c r="A2546" s="5">
        <v>46054</v>
      </c>
      <c r="B2546" s="6" t="s">
        <v>20</v>
      </c>
      <c r="C2546" s="6" t="s">
        <v>22</v>
      </c>
      <c r="D2546" s="5">
        <v>46023</v>
      </c>
      <c r="E2546" s="6" t="s">
        <v>15</v>
      </c>
      <c r="F2546" s="7">
        <v>29493</v>
      </c>
      <c r="G2546" s="7">
        <v>182207.9884379344</v>
      </c>
      <c r="H2546" s="7">
        <v>5373860203</v>
      </c>
      <c r="I2546" s="7">
        <v>450368492</v>
      </c>
      <c r="J2546" s="7">
        <v>0</v>
      </c>
      <c r="K2546">
        <f t="shared" si="39"/>
        <v>31</v>
      </c>
      <c r="L2546" s="8" t="str" cm="1">
        <f t="array" ref="L2546">_xlfn.IFS(
 AND(K2546&gt;=89,K2546&lt;=92),"3개월",
 AND(K2546&gt;=58,K2546&lt;=62),"2개월",
 AND(K2546&gt;=28,K2546&lt;=32),"1개월",
 AND(K2546=0),"당월",
 TRUE,"그외"
)</f>
        <v>1개월</v>
      </c>
    </row>
    <row r="2547" spans="1:12" x14ac:dyDescent="0.3">
      <c r="A2547" s="5">
        <v>46054</v>
      </c>
      <c r="B2547" s="6" t="s">
        <v>20</v>
      </c>
      <c r="C2547" s="6" t="s">
        <v>22</v>
      </c>
      <c r="D2547" s="5">
        <v>46054</v>
      </c>
      <c r="E2547" s="6" t="s">
        <v>14</v>
      </c>
      <c r="F2547" s="7">
        <v>3662</v>
      </c>
      <c r="G2547" s="7">
        <v>153699.00682687061</v>
      </c>
      <c r="H2547" s="7">
        <v>562845763</v>
      </c>
      <c r="I2547" s="7">
        <v>28111475</v>
      </c>
      <c r="J2547" s="7">
        <v>0</v>
      </c>
      <c r="K2547">
        <f t="shared" si="39"/>
        <v>0</v>
      </c>
      <c r="L2547" s="8" t="str" cm="1">
        <f t="array" ref="L2547">_xlfn.IFS(
 AND(K2547&gt;=89,K2547&lt;=92),"3개월",
 AND(K2547&gt;=58,K2547&lt;=62),"2개월",
 AND(K2547&gt;=28,K2547&lt;=32),"1개월",
 AND(K2547=0),"당월",
 TRUE,"그외"
)</f>
        <v>당월</v>
      </c>
    </row>
    <row r="2548" spans="1:12" x14ac:dyDescent="0.3">
      <c r="A2548" s="5">
        <v>46054</v>
      </c>
      <c r="B2548" s="6" t="s">
        <v>20</v>
      </c>
      <c r="C2548" s="6" t="s">
        <v>22</v>
      </c>
      <c r="D2548" s="5">
        <v>46054</v>
      </c>
      <c r="E2548" s="6" t="s">
        <v>15</v>
      </c>
      <c r="F2548" s="7">
        <v>7105</v>
      </c>
      <c r="G2548" s="7">
        <v>211536.91414496829</v>
      </c>
      <c r="H2548" s="7">
        <v>1502969775</v>
      </c>
      <c r="I2548" s="7">
        <v>98580087</v>
      </c>
      <c r="J2548" s="7">
        <v>0</v>
      </c>
      <c r="K2548">
        <f t="shared" si="39"/>
        <v>0</v>
      </c>
      <c r="L2548" s="8" t="str" cm="1">
        <f t="array" ref="L2548">_xlfn.IFS(
 AND(K2548&gt;=89,K2548&lt;=92),"3개월",
 AND(K2548&gt;=58,K2548&lt;=62),"2개월",
 AND(K2548&gt;=28,K2548&lt;=32),"1개월",
 AND(K2548=0),"당월",
 TRUE,"그외"
)</f>
        <v>당월</v>
      </c>
    </row>
    <row r="2549" spans="1:12" x14ac:dyDescent="0.3">
      <c r="A2549" s="5">
        <v>46054</v>
      </c>
      <c r="B2549" s="6" t="s">
        <v>20</v>
      </c>
      <c r="C2549" s="6" t="s">
        <v>23</v>
      </c>
      <c r="D2549" s="5">
        <v>45839</v>
      </c>
      <c r="E2549" s="6" t="s">
        <v>15</v>
      </c>
      <c r="F2549" s="7">
        <v>5</v>
      </c>
      <c r="G2549" s="7">
        <v>164211.20000000001</v>
      </c>
      <c r="H2549" s="7">
        <v>821056</v>
      </c>
      <c r="I2549" s="7">
        <v>85480</v>
      </c>
      <c r="J2549" s="7">
        <v>0</v>
      </c>
      <c r="K2549">
        <f t="shared" si="39"/>
        <v>215</v>
      </c>
      <c r="L2549" s="8" t="str" cm="1">
        <f t="array" ref="L2549">_xlfn.IFS(
 AND(K2549&gt;=89,K2549&lt;=92),"3개월",
 AND(K2549&gt;=58,K2549&lt;=62),"2개월",
 AND(K2549&gt;=28,K2549&lt;=32),"1개월",
 AND(K2549=0),"당월",
 TRUE,"그외"
)</f>
        <v>그외</v>
      </c>
    </row>
    <row r="2550" spans="1:12" x14ac:dyDescent="0.3">
      <c r="A2550" s="5">
        <v>46054</v>
      </c>
      <c r="B2550" s="6" t="s">
        <v>20</v>
      </c>
      <c r="C2550" s="6" t="s">
        <v>23</v>
      </c>
      <c r="D2550" s="5">
        <v>45870</v>
      </c>
      <c r="E2550" s="6" t="s">
        <v>15</v>
      </c>
      <c r="F2550" s="7">
        <v>85</v>
      </c>
      <c r="G2550" s="7">
        <v>123412.9411764706</v>
      </c>
      <c r="H2550" s="7">
        <v>10490100</v>
      </c>
      <c r="I2550" s="7">
        <v>816000</v>
      </c>
      <c r="J2550" s="7">
        <v>0</v>
      </c>
      <c r="K2550">
        <f t="shared" si="39"/>
        <v>184</v>
      </c>
      <c r="L2550" s="8" t="str" cm="1">
        <f t="array" ref="L2550">_xlfn.IFS(
 AND(K2550&gt;=89,K2550&lt;=92),"3개월",
 AND(K2550&gt;=58,K2550&lt;=62),"2개월",
 AND(K2550&gt;=28,K2550&lt;=32),"1개월",
 AND(K2550=0),"당월",
 TRUE,"그외"
)</f>
        <v>그외</v>
      </c>
    </row>
    <row r="2551" spans="1:12" x14ac:dyDescent="0.3">
      <c r="A2551" s="5">
        <v>46054</v>
      </c>
      <c r="B2551" s="6" t="s">
        <v>20</v>
      </c>
      <c r="C2551" s="6" t="s">
        <v>23</v>
      </c>
      <c r="D2551" s="5">
        <v>45901</v>
      </c>
      <c r="E2551" s="6" t="s">
        <v>15</v>
      </c>
      <c r="F2551" s="7">
        <v>68</v>
      </c>
      <c r="G2551" s="7">
        <v>153004.95588235301</v>
      </c>
      <c r="H2551" s="7">
        <v>10404337</v>
      </c>
      <c r="I2551" s="7">
        <v>719343</v>
      </c>
      <c r="J2551" s="7">
        <v>0</v>
      </c>
      <c r="K2551">
        <f t="shared" si="39"/>
        <v>153</v>
      </c>
      <c r="L2551" s="8" t="str" cm="1">
        <f t="array" ref="L2551">_xlfn.IFS(
 AND(K2551&gt;=89,K2551&lt;=92),"3개월",
 AND(K2551&gt;=58,K2551&lt;=62),"2개월",
 AND(K2551&gt;=28,K2551&lt;=32),"1개월",
 AND(K2551=0),"당월",
 TRUE,"그외"
)</f>
        <v>그외</v>
      </c>
    </row>
    <row r="2552" spans="1:12" x14ac:dyDescent="0.3">
      <c r="A2552" s="5">
        <v>46054</v>
      </c>
      <c r="B2552" s="6" t="s">
        <v>20</v>
      </c>
      <c r="C2552" s="6" t="s">
        <v>23</v>
      </c>
      <c r="D2552" s="5">
        <v>45931</v>
      </c>
      <c r="E2552" s="6" t="s">
        <v>14</v>
      </c>
      <c r="F2552" s="7">
        <v>12</v>
      </c>
      <c r="G2552" s="7">
        <v>149700</v>
      </c>
      <c r="H2552" s="7">
        <v>1796400</v>
      </c>
      <c r="I2552" s="7">
        <v>116400</v>
      </c>
      <c r="J2552" s="7">
        <v>0</v>
      </c>
      <c r="K2552">
        <f t="shared" si="39"/>
        <v>123</v>
      </c>
      <c r="L2552" s="8" t="str" cm="1">
        <f t="array" ref="L2552">_xlfn.IFS(
 AND(K2552&gt;=89,K2552&lt;=92),"3개월",
 AND(K2552&gt;=58,K2552&lt;=62),"2개월",
 AND(K2552&gt;=28,K2552&lt;=32),"1개월",
 AND(K2552=0),"당월",
 TRUE,"그외"
)</f>
        <v>그외</v>
      </c>
    </row>
    <row r="2553" spans="1:12" x14ac:dyDescent="0.3">
      <c r="A2553" s="5">
        <v>46054</v>
      </c>
      <c r="B2553" s="6" t="s">
        <v>20</v>
      </c>
      <c r="C2553" s="6" t="s">
        <v>23</v>
      </c>
      <c r="D2553" s="5">
        <v>45931</v>
      </c>
      <c r="E2553" s="6" t="s">
        <v>15</v>
      </c>
      <c r="F2553" s="7">
        <v>617</v>
      </c>
      <c r="G2553" s="7">
        <v>159695.31928687199</v>
      </c>
      <c r="H2553" s="7">
        <v>98532012</v>
      </c>
      <c r="I2553" s="7">
        <v>6430701</v>
      </c>
      <c r="J2553" s="7">
        <v>0</v>
      </c>
      <c r="K2553">
        <f t="shared" si="39"/>
        <v>123</v>
      </c>
      <c r="L2553" s="8" t="str" cm="1">
        <f t="array" ref="L2553">_xlfn.IFS(
 AND(K2553&gt;=89,K2553&lt;=92),"3개월",
 AND(K2553&gt;=58,K2553&lt;=62),"2개월",
 AND(K2553&gt;=28,K2553&lt;=32),"1개월",
 AND(K2553=0),"당월",
 TRUE,"그외"
)</f>
        <v>그외</v>
      </c>
    </row>
    <row r="2554" spans="1:12" x14ac:dyDescent="0.3">
      <c r="A2554" s="5">
        <v>46054</v>
      </c>
      <c r="B2554" s="6" t="s">
        <v>20</v>
      </c>
      <c r="C2554" s="6" t="s">
        <v>23</v>
      </c>
      <c r="D2554" s="5">
        <v>45962</v>
      </c>
      <c r="E2554" s="6" t="s">
        <v>14</v>
      </c>
      <c r="F2554" s="7">
        <v>161</v>
      </c>
      <c r="G2554" s="7">
        <v>137315.52795031061</v>
      </c>
      <c r="H2554" s="7">
        <v>22107800</v>
      </c>
      <c r="I2554" s="7">
        <v>1577800</v>
      </c>
      <c r="J2554" s="7">
        <v>0</v>
      </c>
      <c r="K2554">
        <f t="shared" si="39"/>
        <v>92</v>
      </c>
      <c r="L2554" s="8" t="str" cm="1">
        <f t="array" ref="L2554">_xlfn.IFS(
 AND(K2554&gt;=89,K2554&lt;=92),"3개월",
 AND(K2554&gt;=58,K2554&lt;=62),"2개월",
 AND(K2554&gt;=28,K2554&lt;=32),"1개월",
 AND(K2554=0),"당월",
 TRUE,"그외"
)</f>
        <v>3개월</v>
      </c>
    </row>
    <row r="2555" spans="1:12" x14ac:dyDescent="0.3">
      <c r="A2555" s="5">
        <v>46054</v>
      </c>
      <c r="B2555" s="6" t="s">
        <v>20</v>
      </c>
      <c r="C2555" s="6" t="s">
        <v>23</v>
      </c>
      <c r="D2555" s="5">
        <v>45962</v>
      </c>
      <c r="E2555" s="6" t="s">
        <v>15</v>
      </c>
      <c r="F2555" s="7">
        <v>1693</v>
      </c>
      <c r="G2555" s="7">
        <v>166221.0555227407</v>
      </c>
      <c r="H2555" s="7">
        <v>281412247</v>
      </c>
      <c r="I2555" s="7">
        <v>20793091</v>
      </c>
      <c r="J2555" s="7">
        <v>0</v>
      </c>
      <c r="K2555">
        <f t="shared" si="39"/>
        <v>92</v>
      </c>
      <c r="L2555" s="8" t="str" cm="1">
        <f t="array" ref="L2555">_xlfn.IFS(
 AND(K2555&gt;=89,K2555&lt;=92),"3개월",
 AND(K2555&gt;=58,K2555&lt;=62),"2개월",
 AND(K2555&gt;=28,K2555&lt;=32),"1개월",
 AND(K2555=0),"당월",
 TRUE,"그외"
)</f>
        <v>3개월</v>
      </c>
    </row>
    <row r="2556" spans="1:12" x14ac:dyDescent="0.3">
      <c r="A2556" s="5">
        <v>46054</v>
      </c>
      <c r="B2556" s="6" t="s">
        <v>20</v>
      </c>
      <c r="C2556" s="6" t="s">
        <v>23</v>
      </c>
      <c r="D2556" s="5">
        <v>45992</v>
      </c>
      <c r="E2556" s="6" t="s">
        <v>14</v>
      </c>
      <c r="F2556" s="7">
        <v>362</v>
      </c>
      <c r="G2556" s="7">
        <v>159441.98895027631</v>
      </c>
      <c r="H2556" s="7">
        <v>57718000</v>
      </c>
      <c r="I2556" s="7">
        <v>4163000</v>
      </c>
      <c r="J2556" s="7">
        <v>0</v>
      </c>
      <c r="K2556">
        <f t="shared" si="39"/>
        <v>62</v>
      </c>
      <c r="L2556" s="8" t="str" cm="1">
        <f t="array" ref="L2556">_xlfn.IFS(
 AND(K2556&gt;=89,K2556&lt;=92),"3개월",
 AND(K2556&gt;=58,K2556&lt;=62),"2개월",
 AND(K2556&gt;=28,K2556&lt;=32),"1개월",
 AND(K2556=0),"당월",
 TRUE,"그외"
)</f>
        <v>2개월</v>
      </c>
    </row>
    <row r="2557" spans="1:12" x14ac:dyDescent="0.3">
      <c r="A2557" s="5">
        <v>46054</v>
      </c>
      <c r="B2557" s="6" t="s">
        <v>20</v>
      </c>
      <c r="C2557" s="6" t="s">
        <v>23</v>
      </c>
      <c r="D2557" s="5">
        <v>45992</v>
      </c>
      <c r="E2557" s="6" t="s">
        <v>15</v>
      </c>
      <c r="F2557" s="7">
        <v>2891</v>
      </c>
      <c r="G2557" s="7">
        <v>182257.15911449329</v>
      </c>
      <c r="H2557" s="7">
        <v>526905447</v>
      </c>
      <c r="I2557" s="7">
        <v>43111513</v>
      </c>
      <c r="J2557" s="7">
        <v>0</v>
      </c>
      <c r="K2557">
        <f t="shared" si="39"/>
        <v>62</v>
      </c>
      <c r="L2557" s="8" t="str" cm="1">
        <f t="array" ref="L2557">_xlfn.IFS(
 AND(K2557&gt;=89,K2557&lt;=92),"3개월",
 AND(K2557&gt;=58,K2557&lt;=62),"2개월",
 AND(K2557&gt;=28,K2557&lt;=32),"1개월",
 AND(K2557=0),"당월",
 TRUE,"그외"
)</f>
        <v>2개월</v>
      </c>
    </row>
    <row r="2558" spans="1:12" x14ac:dyDescent="0.3">
      <c r="A2558" s="5">
        <v>46054</v>
      </c>
      <c r="B2558" s="6" t="s">
        <v>20</v>
      </c>
      <c r="C2558" s="6" t="s">
        <v>23</v>
      </c>
      <c r="D2558" s="5">
        <v>46023</v>
      </c>
      <c r="E2558" s="6" t="s">
        <v>14</v>
      </c>
      <c r="F2558" s="7">
        <v>831</v>
      </c>
      <c r="G2558" s="7">
        <v>146459.4464500602</v>
      </c>
      <c r="H2558" s="7">
        <v>121707800</v>
      </c>
      <c r="I2558" s="7">
        <v>9802800</v>
      </c>
      <c r="J2558" s="7">
        <v>0</v>
      </c>
      <c r="K2558">
        <f t="shared" si="39"/>
        <v>31</v>
      </c>
      <c r="L2558" s="8" t="str" cm="1">
        <f t="array" ref="L2558">_xlfn.IFS(
 AND(K2558&gt;=89,K2558&lt;=92),"3개월",
 AND(K2558&gt;=58,K2558&lt;=62),"2개월",
 AND(K2558&gt;=28,K2558&lt;=32),"1개월",
 AND(K2558=0),"당월",
 TRUE,"그외"
)</f>
        <v>1개월</v>
      </c>
    </row>
    <row r="2559" spans="1:12" x14ac:dyDescent="0.3">
      <c r="A2559" s="5">
        <v>46054</v>
      </c>
      <c r="B2559" s="6" t="s">
        <v>20</v>
      </c>
      <c r="C2559" s="6" t="s">
        <v>23</v>
      </c>
      <c r="D2559" s="5">
        <v>46023</v>
      </c>
      <c r="E2559" s="6" t="s">
        <v>15</v>
      </c>
      <c r="F2559" s="7">
        <v>2419</v>
      </c>
      <c r="G2559" s="7">
        <v>184991.04505994209</v>
      </c>
      <c r="H2559" s="7">
        <v>447493338</v>
      </c>
      <c r="I2559" s="7">
        <v>33822283</v>
      </c>
      <c r="J2559" s="7">
        <v>0</v>
      </c>
      <c r="K2559">
        <f t="shared" si="39"/>
        <v>31</v>
      </c>
      <c r="L2559" s="8" t="str" cm="1">
        <f t="array" ref="L2559">_xlfn.IFS(
 AND(K2559&gt;=89,K2559&lt;=92),"3개월",
 AND(K2559&gt;=58,K2559&lt;=62),"2개월",
 AND(K2559&gt;=28,K2559&lt;=32),"1개월",
 AND(K2559=0),"당월",
 TRUE,"그외"
)</f>
        <v>1개월</v>
      </c>
    </row>
    <row r="2560" spans="1:12" x14ac:dyDescent="0.3">
      <c r="A2560" s="5">
        <v>46054</v>
      </c>
      <c r="B2560" s="6" t="s">
        <v>20</v>
      </c>
      <c r="C2560" s="6" t="s">
        <v>23</v>
      </c>
      <c r="D2560" s="5">
        <v>46054</v>
      </c>
      <c r="E2560" s="6" t="s">
        <v>14</v>
      </c>
      <c r="F2560" s="7">
        <v>731</v>
      </c>
      <c r="G2560" s="7">
        <v>137238.4404924761</v>
      </c>
      <c r="H2560" s="7">
        <v>100321300</v>
      </c>
      <c r="I2560" s="7">
        <v>5336300</v>
      </c>
      <c r="J2560" s="7">
        <v>0</v>
      </c>
      <c r="K2560">
        <f t="shared" si="39"/>
        <v>0</v>
      </c>
      <c r="L2560" s="8" t="str" cm="1">
        <f t="array" ref="L2560">_xlfn.IFS(
 AND(K2560&gt;=89,K2560&lt;=92),"3개월",
 AND(K2560&gt;=58,K2560&lt;=62),"2개월",
 AND(K2560&gt;=28,K2560&lt;=32),"1개월",
 AND(K2560=0),"당월",
 TRUE,"그외"
)</f>
        <v>당월</v>
      </c>
    </row>
    <row r="2561" spans="1:12" x14ac:dyDescent="0.3">
      <c r="A2561" s="5">
        <v>46054</v>
      </c>
      <c r="B2561" s="6" t="s">
        <v>20</v>
      </c>
      <c r="C2561" s="6" t="s">
        <v>23</v>
      </c>
      <c r="D2561" s="5">
        <v>46054</v>
      </c>
      <c r="E2561" s="6" t="s">
        <v>15</v>
      </c>
      <c r="F2561" s="7">
        <v>551</v>
      </c>
      <c r="G2561" s="7">
        <v>184771.0762250454</v>
      </c>
      <c r="H2561" s="7">
        <v>101808863</v>
      </c>
      <c r="I2561" s="7">
        <v>6820559</v>
      </c>
      <c r="J2561" s="7">
        <v>0</v>
      </c>
      <c r="K2561">
        <f t="shared" si="39"/>
        <v>0</v>
      </c>
      <c r="L2561" s="8" t="str" cm="1">
        <f t="array" ref="L2561">_xlfn.IFS(
 AND(K2561&gt;=89,K2561&lt;=92),"3개월",
 AND(K2561&gt;=58,K2561&lt;=62),"2개월",
 AND(K2561&gt;=28,K2561&lt;=32),"1개월",
 AND(K2561=0),"당월",
 TRUE,"그외"
)</f>
        <v>당월</v>
      </c>
    </row>
    <row r="2562" spans="1:12" x14ac:dyDescent="0.3">
      <c r="A2562" s="5">
        <v>46054</v>
      </c>
      <c r="B2562" s="6" t="s">
        <v>20</v>
      </c>
      <c r="C2562" s="6" t="s">
        <v>24</v>
      </c>
      <c r="D2562" s="5">
        <v>45839</v>
      </c>
      <c r="E2562" s="6" t="s">
        <v>15</v>
      </c>
      <c r="F2562" s="7">
        <v>54</v>
      </c>
      <c r="G2562" s="7">
        <v>153715.87037037039</v>
      </c>
      <c r="H2562" s="7">
        <v>8300657</v>
      </c>
      <c r="I2562" s="7">
        <v>338792</v>
      </c>
      <c r="J2562" s="7">
        <v>0</v>
      </c>
      <c r="K2562">
        <f t="shared" si="39"/>
        <v>215</v>
      </c>
      <c r="L2562" s="8" t="str" cm="1">
        <f t="array" ref="L2562">_xlfn.IFS(
 AND(K2562&gt;=89,K2562&lt;=92),"3개월",
 AND(K2562&gt;=58,K2562&lt;=62),"2개월",
 AND(K2562&gt;=28,K2562&lt;=32),"1개월",
 AND(K2562=0),"당월",
 TRUE,"그외"
)</f>
        <v>그외</v>
      </c>
    </row>
    <row r="2563" spans="1:12" x14ac:dyDescent="0.3">
      <c r="A2563" s="5">
        <v>46054</v>
      </c>
      <c r="B2563" s="6" t="s">
        <v>20</v>
      </c>
      <c r="C2563" s="6" t="s">
        <v>24</v>
      </c>
      <c r="D2563" s="5">
        <v>45870</v>
      </c>
      <c r="E2563" s="6" t="s">
        <v>15</v>
      </c>
      <c r="F2563" s="7">
        <v>258</v>
      </c>
      <c r="G2563" s="7">
        <v>112648.6744186047</v>
      </c>
      <c r="H2563" s="7">
        <v>29063358</v>
      </c>
      <c r="I2563" s="7">
        <v>2667679</v>
      </c>
      <c r="J2563" s="7">
        <v>0</v>
      </c>
      <c r="K2563">
        <f t="shared" si="39"/>
        <v>184</v>
      </c>
      <c r="L2563" s="8" t="str" cm="1">
        <f t="array" ref="L2563">_xlfn.IFS(
 AND(K2563&gt;=89,K2563&lt;=92),"3개월",
 AND(K2563&gt;=58,K2563&lt;=62),"2개월",
 AND(K2563&gt;=28,K2563&lt;=32),"1개월",
 AND(K2563=0),"당월",
 TRUE,"그외"
)</f>
        <v>그외</v>
      </c>
    </row>
    <row r="2564" spans="1:12" x14ac:dyDescent="0.3">
      <c r="A2564" s="5">
        <v>46054</v>
      </c>
      <c r="B2564" s="6" t="s">
        <v>20</v>
      </c>
      <c r="C2564" s="6" t="s">
        <v>24</v>
      </c>
      <c r="D2564" s="5">
        <v>45901</v>
      </c>
      <c r="E2564" s="6" t="s">
        <v>15</v>
      </c>
      <c r="F2564" s="7">
        <v>471</v>
      </c>
      <c r="G2564" s="7">
        <v>115057.07643312099</v>
      </c>
      <c r="H2564" s="7">
        <v>54191883</v>
      </c>
      <c r="I2564" s="7">
        <v>4941420</v>
      </c>
      <c r="J2564" s="7">
        <v>0</v>
      </c>
      <c r="K2564">
        <f t="shared" si="39"/>
        <v>153</v>
      </c>
      <c r="L2564" s="8" t="str" cm="1">
        <f t="array" ref="L2564">_xlfn.IFS(
 AND(K2564&gt;=89,K2564&lt;=92),"3개월",
 AND(K2564&gt;=58,K2564&lt;=62),"2개월",
 AND(K2564&gt;=28,K2564&lt;=32),"1개월",
 AND(K2564=0),"당월",
 TRUE,"그외"
)</f>
        <v>그외</v>
      </c>
    </row>
    <row r="2565" spans="1:12" x14ac:dyDescent="0.3">
      <c r="A2565" s="5">
        <v>46054</v>
      </c>
      <c r="B2565" s="6" t="s">
        <v>20</v>
      </c>
      <c r="C2565" s="6" t="s">
        <v>24</v>
      </c>
      <c r="D2565" s="5">
        <v>45931</v>
      </c>
      <c r="E2565" s="6" t="s">
        <v>15</v>
      </c>
      <c r="F2565" s="7">
        <v>1307</v>
      </c>
      <c r="G2565" s="7">
        <v>125003.84162203519</v>
      </c>
      <c r="H2565" s="7">
        <v>163380021</v>
      </c>
      <c r="I2565" s="7">
        <v>14207160</v>
      </c>
      <c r="J2565" s="7">
        <v>0</v>
      </c>
      <c r="K2565">
        <f t="shared" si="39"/>
        <v>123</v>
      </c>
      <c r="L2565" s="8" t="str" cm="1">
        <f t="array" ref="L2565">_xlfn.IFS(
 AND(K2565&gt;=89,K2565&lt;=92),"3개월",
 AND(K2565&gt;=58,K2565&lt;=62),"2개월",
 AND(K2565&gt;=28,K2565&lt;=32),"1개월",
 AND(K2565=0),"당월",
 TRUE,"그외"
)</f>
        <v>그외</v>
      </c>
    </row>
    <row r="2566" spans="1:12" x14ac:dyDescent="0.3">
      <c r="A2566" s="5">
        <v>46054</v>
      </c>
      <c r="B2566" s="6" t="s">
        <v>20</v>
      </c>
      <c r="C2566" s="6" t="s">
        <v>24</v>
      </c>
      <c r="D2566" s="5">
        <v>45962</v>
      </c>
      <c r="E2566" s="6" t="s">
        <v>14</v>
      </c>
      <c r="F2566" s="7">
        <v>4</v>
      </c>
      <c r="G2566" s="7">
        <v>189800</v>
      </c>
      <c r="H2566" s="7">
        <v>759200</v>
      </c>
      <c r="I2566" s="7">
        <v>39200</v>
      </c>
      <c r="J2566" s="7">
        <v>0</v>
      </c>
      <c r="K2566">
        <f t="shared" si="39"/>
        <v>92</v>
      </c>
      <c r="L2566" s="8" t="str" cm="1">
        <f t="array" ref="L2566">_xlfn.IFS(
 AND(K2566&gt;=89,K2566&lt;=92),"3개월",
 AND(K2566&gt;=58,K2566&lt;=62),"2개월",
 AND(K2566&gt;=28,K2566&lt;=32),"1개월",
 AND(K2566=0),"당월",
 TRUE,"그외"
)</f>
        <v>3개월</v>
      </c>
    </row>
    <row r="2567" spans="1:12" x14ac:dyDescent="0.3">
      <c r="A2567" s="5">
        <v>46054</v>
      </c>
      <c r="B2567" s="6" t="s">
        <v>20</v>
      </c>
      <c r="C2567" s="6" t="s">
        <v>24</v>
      </c>
      <c r="D2567" s="5">
        <v>45962</v>
      </c>
      <c r="E2567" s="6" t="s">
        <v>15</v>
      </c>
      <c r="F2567" s="7">
        <v>2968</v>
      </c>
      <c r="G2567" s="7">
        <v>152746.3483827493</v>
      </c>
      <c r="H2567" s="7">
        <v>453351162</v>
      </c>
      <c r="I2567" s="7">
        <v>31960784</v>
      </c>
      <c r="J2567" s="7">
        <v>0</v>
      </c>
      <c r="K2567">
        <f t="shared" si="39"/>
        <v>92</v>
      </c>
      <c r="L2567" s="8" t="str" cm="1">
        <f t="array" ref="L2567">_xlfn.IFS(
 AND(K2567&gt;=89,K2567&lt;=92),"3개월",
 AND(K2567&gt;=58,K2567&lt;=62),"2개월",
 AND(K2567&gt;=28,K2567&lt;=32),"1개월",
 AND(K2567=0),"당월",
 TRUE,"그외"
)</f>
        <v>3개월</v>
      </c>
    </row>
    <row r="2568" spans="1:12" x14ac:dyDescent="0.3">
      <c r="A2568" s="5">
        <v>46054</v>
      </c>
      <c r="B2568" s="6" t="s">
        <v>20</v>
      </c>
      <c r="C2568" s="6" t="s">
        <v>24</v>
      </c>
      <c r="D2568" s="5">
        <v>45992</v>
      </c>
      <c r="E2568" s="6" t="s">
        <v>15</v>
      </c>
      <c r="F2568" s="7">
        <v>3672</v>
      </c>
      <c r="G2568" s="7">
        <v>156939.37881263619</v>
      </c>
      <c r="H2568" s="7">
        <v>576281399</v>
      </c>
      <c r="I2568" s="7">
        <v>46206905</v>
      </c>
      <c r="J2568" s="7">
        <v>0</v>
      </c>
      <c r="K2568">
        <f t="shared" si="39"/>
        <v>62</v>
      </c>
      <c r="L2568" s="8" t="str" cm="1">
        <f t="array" ref="L2568">_xlfn.IFS(
 AND(K2568&gt;=89,K2568&lt;=92),"3개월",
 AND(K2568&gt;=58,K2568&lt;=62),"2개월",
 AND(K2568&gt;=28,K2568&lt;=32),"1개월",
 AND(K2568=0),"당월",
 TRUE,"그외"
)</f>
        <v>2개월</v>
      </c>
    </row>
    <row r="2569" spans="1:12" x14ac:dyDescent="0.3">
      <c r="A2569" s="5">
        <v>46054</v>
      </c>
      <c r="B2569" s="6" t="s">
        <v>20</v>
      </c>
      <c r="C2569" s="6" t="s">
        <v>24</v>
      </c>
      <c r="D2569" s="5">
        <v>46023</v>
      </c>
      <c r="E2569" s="6" t="s">
        <v>14</v>
      </c>
      <c r="F2569" s="7">
        <v>978</v>
      </c>
      <c r="G2569" s="7">
        <v>173896.0327198364</v>
      </c>
      <c r="H2569" s="7">
        <v>170070320</v>
      </c>
      <c r="I2569" s="7">
        <v>12210440</v>
      </c>
      <c r="J2569" s="7">
        <v>0</v>
      </c>
      <c r="K2569">
        <f t="shared" si="39"/>
        <v>31</v>
      </c>
      <c r="L2569" s="8" t="str" cm="1">
        <f t="array" ref="L2569">_xlfn.IFS(
 AND(K2569&gt;=89,K2569&lt;=92),"3개월",
 AND(K2569&gt;=58,K2569&lt;=62),"2개월",
 AND(K2569&gt;=28,K2569&lt;=32),"1개월",
 AND(K2569=0),"당월",
 TRUE,"그외"
)</f>
        <v>1개월</v>
      </c>
    </row>
    <row r="2570" spans="1:12" x14ac:dyDescent="0.3">
      <c r="A2570" s="5">
        <v>46054</v>
      </c>
      <c r="B2570" s="6" t="s">
        <v>20</v>
      </c>
      <c r="C2570" s="6" t="s">
        <v>24</v>
      </c>
      <c r="D2570" s="5">
        <v>46023</v>
      </c>
      <c r="E2570" s="6" t="s">
        <v>15</v>
      </c>
      <c r="F2570" s="7">
        <v>6388</v>
      </c>
      <c r="G2570" s="7">
        <v>168773.47276142769</v>
      </c>
      <c r="H2570" s="7">
        <v>1078124944</v>
      </c>
      <c r="I2570" s="7">
        <v>83390450</v>
      </c>
      <c r="J2570" s="7">
        <v>0</v>
      </c>
      <c r="K2570">
        <f t="shared" ref="K2570:K2633" si="40">A2570-D2570</f>
        <v>31</v>
      </c>
      <c r="L2570" s="8" t="str" cm="1">
        <f t="array" ref="L2570">_xlfn.IFS(
 AND(K2570&gt;=89,K2570&lt;=92),"3개월",
 AND(K2570&gt;=58,K2570&lt;=62),"2개월",
 AND(K2570&gt;=28,K2570&lt;=32),"1개월",
 AND(K2570=0),"당월",
 TRUE,"그외"
)</f>
        <v>1개월</v>
      </c>
    </row>
    <row r="2571" spans="1:12" x14ac:dyDescent="0.3">
      <c r="A2571" s="5">
        <v>46054</v>
      </c>
      <c r="B2571" s="6" t="s">
        <v>20</v>
      </c>
      <c r="C2571" s="6" t="s">
        <v>24</v>
      </c>
      <c r="D2571" s="5">
        <v>46054</v>
      </c>
      <c r="E2571" s="6" t="s">
        <v>14</v>
      </c>
      <c r="F2571" s="7">
        <v>650</v>
      </c>
      <c r="G2571" s="7">
        <v>162827.69230769231</v>
      </c>
      <c r="H2571" s="7">
        <v>105838000</v>
      </c>
      <c r="I2571" s="7">
        <v>4772000</v>
      </c>
      <c r="J2571" s="7">
        <v>0</v>
      </c>
      <c r="K2571">
        <f t="shared" si="40"/>
        <v>0</v>
      </c>
      <c r="L2571" s="8" t="str" cm="1">
        <f t="array" ref="L2571">_xlfn.IFS(
 AND(K2571&gt;=89,K2571&lt;=92),"3개월",
 AND(K2571&gt;=58,K2571&lt;=62),"2개월",
 AND(K2571&gt;=28,K2571&lt;=32),"1개월",
 AND(K2571=0),"당월",
 TRUE,"그외"
)</f>
        <v>당월</v>
      </c>
    </row>
    <row r="2572" spans="1:12" x14ac:dyDescent="0.3">
      <c r="A2572" s="5">
        <v>46054</v>
      </c>
      <c r="B2572" s="6" t="s">
        <v>20</v>
      </c>
      <c r="C2572" s="6" t="s">
        <v>24</v>
      </c>
      <c r="D2572" s="5">
        <v>46054</v>
      </c>
      <c r="E2572" s="6" t="s">
        <v>15</v>
      </c>
      <c r="F2572" s="7">
        <v>1829</v>
      </c>
      <c r="G2572" s="7">
        <v>174924.7523236741</v>
      </c>
      <c r="H2572" s="7">
        <v>319937372</v>
      </c>
      <c r="I2572" s="7">
        <v>23208064</v>
      </c>
      <c r="J2572" s="7">
        <v>0</v>
      </c>
      <c r="K2572">
        <f t="shared" si="40"/>
        <v>0</v>
      </c>
      <c r="L2572" s="8" t="str" cm="1">
        <f t="array" ref="L2572">_xlfn.IFS(
 AND(K2572&gt;=89,K2572&lt;=92),"3개월",
 AND(K2572&gt;=58,K2572&lt;=62),"2개월",
 AND(K2572&gt;=28,K2572&lt;=32),"1개월",
 AND(K2572=0),"당월",
 TRUE,"그외"
)</f>
        <v>당월</v>
      </c>
    </row>
    <row r="2573" spans="1:12" x14ac:dyDescent="0.3">
      <c r="A2573" s="5">
        <v>46054</v>
      </c>
      <c r="B2573" s="6" t="s">
        <v>20</v>
      </c>
      <c r="C2573" s="6" t="s">
        <v>25</v>
      </c>
      <c r="D2573" s="5">
        <v>45901</v>
      </c>
      <c r="E2573" s="6" t="s">
        <v>15</v>
      </c>
      <c r="F2573" s="7">
        <v>635</v>
      </c>
      <c r="G2573" s="7">
        <v>135672.1543307087</v>
      </c>
      <c r="H2573" s="7">
        <v>86151818</v>
      </c>
      <c r="I2573" s="7">
        <v>7674877</v>
      </c>
      <c r="J2573" s="7">
        <v>0</v>
      </c>
      <c r="K2573">
        <f t="shared" si="40"/>
        <v>153</v>
      </c>
      <c r="L2573" s="8" t="str" cm="1">
        <f t="array" ref="L2573">_xlfn.IFS(
 AND(K2573&gt;=89,K2573&lt;=92),"3개월",
 AND(K2573&gt;=58,K2573&lt;=62),"2개월",
 AND(K2573&gt;=28,K2573&lt;=32),"1개월",
 AND(K2573=0),"당월",
 TRUE,"그외"
)</f>
        <v>그외</v>
      </c>
    </row>
    <row r="2574" spans="1:12" x14ac:dyDescent="0.3">
      <c r="A2574" s="5">
        <v>46054</v>
      </c>
      <c r="B2574" s="6" t="s">
        <v>20</v>
      </c>
      <c r="C2574" s="6" t="s">
        <v>25</v>
      </c>
      <c r="D2574" s="5">
        <v>45931</v>
      </c>
      <c r="E2574" s="6" t="s">
        <v>15</v>
      </c>
      <c r="F2574" s="7">
        <v>1638</v>
      </c>
      <c r="G2574" s="7">
        <v>114174.626984127</v>
      </c>
      <c r="H2574" s="7">
        <v>187018039</v>
      </c>
      <c r="I2574" s="7">
        <v>20331209</v>
      </c>
      <c r="J2574" s="7">
        <v>0</v>
      </c>
      <c r="K2574">
        <f t="shared" si="40"/>
        <v>123</v>
      </c>
      <c r="L2574" s="8" t="str" cm="1">
        <f t="array" ref="L2574">_xlfn.IFS(
 AND(K2574&gt;=89,K2574&lt;=92),"3개월",
 AND(K2574&gt;=58,K2574&lt;=62),"2개월",
 AND(K2574&gt;=28,K2574&lt;=32),"1개월",
 AND(K2574=0),"당월",
 TRUE,"그외"
)</f>
        <v>그외</v>
      </c>
    </row>
    <row r="2575" spans="1:12" x14ac:dyDescent="0.3">
      <c r="A2575" s="5">
        <v>46054</v>
      </c>
      <c r="B2575" s="6" t="s">
        <v>20</v>
      </c>
      <c r="C2575" s="6" t="s">
        <v>25</v>
      </c>
      <c r="D2575" s="5">
        <v>45962</v>
      </c>
      <c r="E2575" s="6" t="s">
        <v>14</v>
      </c>
      <c r="F2575" s="7">
        <v>19</v>
      </c>
      <c r="G2575" s="7">
        <v>116116.2631578947</v>
      </c>
      <c r="H2575" s="7">
        <v>2206209</v>
      </c>
      <c r="I2575" s="7">
        <v>476747</v>
      </c>
      <c r="J2575" s="7">
        <v>0</v>
      </c>
      <c r="K2575">
        <f t="shared" si="40"/>
        <v>92</v>
      </c>
      <c r="L2575" s="8" t="str" cm="1">
        <f t="array" ref="L2575">_xlfn.IFS(
 AND(K2575&gt;=89,K2575&lt;=92),"3개월",
 AND(K2575&gt;=58,K2575&lt;=62),"2개월",
 AND(K2575&gt;=28,K2575&lt;=32),"1개월",
 AND(K2575=0),"당월",
 TRUE,"그외"
)</f>
        <v>3개월</v>
      </c>
    </row>
    <row r="2576" spans="1:12" x14ac:dyDescent="0.3">
      <c r="A2576" s="5">
        <v>46054</v>
      </c>
      <c r="B2576" s="6" t="s">
        <v>20</v>
      </c>
      <c r="C2576" s="6" t="s">
        <v>25</v>
      </c>
      <c r="D2576" s="5">
        <v>45962</v>
      </c>
      <c r="E2576" s="6" t="s">
        <v>15</v>
      </c>
      <c r="F2576" s="7">
        <v>2271</v>
      </c>
      <c r="G2576" s="7">
        <v>123399.416556583</v>
      </c>
      <c r="H2576" s="7">
        <v>280240075</v>
      </c>
      <c r="I2576" s="7">
        <v>28825829</v>
      </c>
      <c r="J2576" s="7">
        <v>0</v>
      </c>
      <c r="K2576">
        <f t="shared" si="40"/>
        <v>92</v>
      </c>
      <c r="L2576" s="8" t="str" cm="1">
        <f t="array" ref="L2576">_xlfn.IFS(
 AND(K2576&gt;=89,K2576&lt;=92),"3개월",
 AND(K2576&gt;=58,K2576&lt;=62),"2개월",
 AND(K2576&gt;=28,K2576&lt;=32),"1개월",
 AND(K2576=0),"당월",
 TRUE,"그외"
)</f>
        <v>3개월</v>
      </c>
    </row>
    <row r="2577" spans="1:12" x14ac:dyDescent="0.3">
      <c r="A2577" s="5">
        <v>46054</v>
      </c>
      <c r="B2577" s="6" t="s">
        <v>20</v>
      </c>
      <c r="C2577" s="6" t="s">
        <v>25</v>
      </c>
      <c r="D2577" s="5">
        <v>45992</v>
      </c>
      <c r="E2577" s="6" t="s">
        <v>14</v>
      </c>
      <c r="F2577" s="7">
        <v>198</v>
      </c>
      <c r="G2577" s="7">
        <v>160329.7171717172</v>
      </c>
      <c r="H2577" s="7">
        <v>31745284</v>
      </c>
      <c r="I2577" s="7">
        <v>3340616</v>
      </c>
      <c r="J2577" s="7">
        <v>0</v>
      </c>
      <c r="K2577">
        <f t="shared" si="40"/>
        <v>62</v>
      </c>
      <c r="L2577" s="8" t="str" cm="1">
        <f t="array" ref="L2577">_xlfn.IFS(
 AND(K2577&gt;=89,K2577&lt;=92),"3개월",
 AND(K2577&gt;=58,K2577&lt;=62),"2개월",
 AND(K2577&gt;=28,K2577&lt;=32),"1개월",
 AND(K2577=0),"당월",
 TRUE,"그외"
)</f>
        <v>2개월</v>
      </c>
    </row>
    <row r="2578" spans="1:12" x14ac:dyDescent="0.3">
      <c r="A2578" s="5">
        <v>46054</v>
      </c>
      <c r="B2578" s="6" t="s">
        <v>20</v>
      </c>
      <c r="C2578" s="6" t="s">
        <v>25</v>
      </c>
      <c r="D2578" s="5">
        <v>45992</v>
      </c>
      <c r="E2578" s="6" t="s">
        <v>15</v>
      </c>
      <c r="F2578" s="7">
        <v>4417</v>
      </c>
      <c r="G2578" s="7">
        <v>139542.71111614219</v>
      </c>
      <c r="H2578" s="7">
        <v>616360155</v>
      </c>
      <c r="I2578" s="7">
        <v>68117073</v>
      </c>
      <c r="J2578" s="7">
        <v>0</v>
      </c>
      <c r="K2578">
        <f t="shared" si="40"/>
        <v>62</v>
      </c>
      <c r="L2578" s="8" t="str" cm="1">
        <f t="array" ref="L2578">_xlfn.IFS(
 AND(K2578&gt;=89,K2578&lt;=92),"3개월",
 AND(K2578&gt;=58,K2578&lt;=62),"2개월",
 AND(K2578&gt;=28,K2578&lt;=32),"1개월",
 AND(K2578=0),"당월",
 TRUE,"그외"
)</f>
        <v>2개월</v>
      </c>
    </row>
    <row r="2579" spans="1:12" x14ac:dyDescent="0.3">
      <c r="A2579" s="5">
        <v>46054</v>
      </c>
      <c r="B2579" s="6" t="s">
        <v>20</v>
      </c>
      <c r="C2579" s="6" t="s">
        <v>25</v>
      </c>
      <c r="D2579" s="5">
        <v>46023</v>
      </c>
      <c r="E2579" s="6" t="s">
        <v>14</v>
      </c>
      <c r="F2579" s="7">
        <v>994</v>
      </c>
      <c r="G2579" s="7">
        <v>147944.3440643863</v>
      </c>
      <c r="H2579" s="7">
        <v>147056678</v>
      </c>
      <c r="I2579" s="7">
        <v>15348208</v>
      </c>
      <c r="J2579" s="7">
        <v>0</v>
      </c>
      <c r="K2579">
        <f t="shared" si="40"/>
        <v>31</v>
      </c>
      <c r="L2579" s="8" t="str" cm="1">
        <f t="array" ref="L2579">_xlfn.IFS(
 AND(K2579&gt;=89,K2579&lt;=92),"3개월",
 AND(K2579&gt;=58,K2579&lt;=62),"2개월",
 AND(K2579&gt;=28,K2579&lt;=32),"1개월",
 AND(K2579=0),"당월",
 TRUE,"그외"
)</f>
        <v>1개월</v>
      </c>
    </row>
    <row r="2580" spans="1:12" x14ac:dyDescent="0.3">
      <c r="A2580" s="5">
        <v>46054</v>
      </c>
      <c r="B2580" s="6" t="s">
        <v>20</v>
      </c>
      <c r="C2580" s="6" t="s">
        <v>25</v>
      </c>
      <c r="D2580" s="5">
        <v>46023</v>
      </c>
      <c r="E2580" s="6" t="s">
        <v>15</v>
      </c>
      <c r="F2580" s="7">
        <v>7135</v>
      </c>
      <c r="G2580" s="7">
        <v>165951.77967764539</v>
      </c>
      <c r="H2580" s="7">
        <v>1184065948</v>
      </c>
      <c r="I2580" s="7">
        <v>122256694</v>
      </c>
      <c r="J2580" s="7">
        <v>0</v>
      </c>
      <c r="K2580">
        <f t="shared" si="40"/>
        <v>31</v>
      </c>
      <c r="L2580" s="8" t="str" cm="1">
        <f t="array" ref="L2580">_xlfn.IFS(
 AND(K2580&gt;=89,K2580&lt;=92),"3개월",
 AND(K2580&gt;=58,K2580&lt;=62),"2개월",
 AND(K2580&gt;=28,K2580&lt;=32),"1개월",
 AND(K2580=0),"당월",
 TRUE,"그외"
)</f>
        <v>1개월</v>
      </c>
    </row>
    <row r="2581" spans="1:12" x14ac:dyDescent="0.3">
      <c r="A2581" s="5">
        <v>46054</v>
      </c>
      <c r="B2581" s="6" t="s">
        <v>20</v>
      </c>
      <c r="C2581" s="6" t="s">
        <v>25</v>
      </c>
      <c r="D2581" s="5">
        <v>46054</v>
      </c>
      <c r="E2581" s="6" t="s">
        <v>14</v>
      </c>
      <c r="F2581" s="7">
        <v>789</v>
      </c>
      <c r="G2581" s="7">
        <v>124546.36121673</v>
      </c>
      <c r="H2581" s="7">
        <v>98267079</v>
      </c>
      <c r="I2581" s="7">
        <v>6971702</v>
      </c>
      <c r="J2581" s="7">
        <v>0</v>
      </c>
      <c r="K2581">
        <f t="shared" si="40"/>
        <v>0</v>
      </c>
      <c r="L2581" s="8" t="str" cm="1">
        <f t="array" ref="L2581">_xlfn.IFS(
 AND(K2581&gt;=89,K2581&lt;=92),"3개월",
 AND(K2581&gt;=58,K2581&lt;=62),"2개월",
 AND(K2581&gt;=28,K2581&lt;=32),"1개월",
 AND(K2581=0),"당월",
 TRUE,"그외"
)</f>
        <v>당월</v>
      </c>
    </row>
    <row r="2582" spans="1:12" x14ac:dyDescent="0.3">
      <c r="A2582" s="5">
        <v>46054</v>
      </c>
      <c r="B2582" s="6" t="s">
        <v>20</v>
      </c>
      <c r="C2582" s="6" t="s">
        <v>25</v>
      </c>
      <c r="D2582" s="5">
        <v>46054</v>
      </c>
      <c r="E2582" s="6" t="s">
        <v>15</v>
      </c>
      <c r="F2582" s="7">
        <v>2489</v>
      </c>
      <c r="G2582" s="7">
        <v>176007.41181197271</v>
      </c>
      <c r="H2582" s="7">
        <v>438082448</v>
      </c>
      <c r="I2582" s="7">
        <v>37971736</v>
      </c>
      <c r="J2582" s="7">
        <v>0</v>
      </c>
      <c r="K2582">
        <f t="shared" si="40"/>
        <v>0</v>
      </c>
      <c r="L2582" s="8" t="str" cm="1">
        <f t="array" ref="L2582">_xlfn.IFS(
 AND(K2582&gt;=89,K2582&lt;=92),"3개월",
 AND(K2582&gt;=58,K2582&lt;=62),"2개월",
 AND(K2582&gt;=28,K2582&lt;=32),"1개월",
 AND(K2582=0),"당월",
 TRUE,"그외"
)</f>
        <v>당월</v>
      </c>
    </row>
    <row r="2583" spans="1:12" x14ac:dyDescent="0.3">
      <c r="A2583" s="5">
        <v>46054</v>
      </c>
      <c r="B2583" s="6" t="s">
        <v>20</v>
      </c>
      <c r="C2583" s="6" t="s">
        <v>26</v>
      </c>
      <c r="D2583" s="5">
        <v>45962</v>
      </c>
      <c r="E2583" s="6" t="s">
        <v>15</v>
      </c>
      <c r="F2583" s="7">
        <v>1331</v>
      </c>
      <c r="G2583" s="7">
        <v>130290.2216378663</v>
      </c>
      <c r="H2583" s="7">
        <v>173416285</v>
      </c>
      <c r="I2583" s="7">
        <v>14184118</v>
      </c>
      <c r="J2583" s="7">
        <v>0</v>
      </c>
      <c r="K2583">
        <f t="shared" si="40"/>
        <v>92</v>
      </c>
      <c r="L2583" s="8" t="str" cm="1">
        <f t="array" ref="L2583">_xlfn.IFS(
 AND(K2583&gt;=89,K2583&lt;=92),"3개월",
 AND(K2583&gt;=58,K2583&lt;=62),"2개월",
 AND(K2583&gt;=28,K2583&lt;=32),"1개월",
 AND(K2583=0),"당월",
 TRUE,"그외"
)</f>
        <v>3개월</v>
      </c>
    </row>
    <row r="2584" spans="1:12" x14ac:dyDescent="0.3">
      <c r="A2584" s="5">
        <v>46054</v>
      </c>
      <c r="B2584" s="6" t="s">
        <v>20</v>
      </c>
      <c r="C2584" s="6" t="s">
        <v>26</v>
      </c>
      <c r="D2584" s="5">
        <v>45992</v>
      </c>
      <c r="E2584" s="6" t="s">
        <v>14</v>
      </c>
      <c r="F2584" s="7">
        <v>18</v>
      </c>
      <c r="G2584" s="7">
        <v>137217.33333333331</v>
      </c>
      <c r="H2584" s="7">
        <v>2469912</v>
      </c>
      <c r="I2584" s="7">
        <v>295554</v>
      </c>
      <c r="J2584" s="7">
        <v>0</v>
      </c>
      <c r="K2584">
        <f t="shared" si="40"/>
        <v>62</v>
      </c>
      <c r="L2584" s="8" t="str" cm="1">
        <f t="array" ref="L2584">_xlfn.IFS(
 AND(K2584&gt;=89,K2584&lt;=92),"3개월",
 AND(K2584&gt;=58,K2584&lt;=62),"2개월",
 AND(K2584&gt;=28,K2584&lt;=32),"1개월",
 AND(K2584=0),"당월",
 TRUE,"그외"
)</f>
        <v>2개월</v>
      </c>
    </row>
    <row r="2585" spans="1:12" x14ac:dyDescent="0.3">
      <c r="A2585" s="5">
        <v>46054</v>
      </c>
      <c r="B2585" s="6" t="s">
        <v>20</v>
      </c>
      <c r="C2585" s="6" t="s">
        <v>26</v>
      </c>
      <c r="D2585" s="5">
        <v>45992</v>
      </c>
      <c r="E2585" s="6" t="s">
        <v>15</v>
      </c>
      <c r="F2585" s="7">
        <v>1821</v>
      </c>
      <c r="G2585" s="7">
        <v>137634.22240527181</v>
      </c>
      <c r="H2585" s="7">
        <v>250631919</v>
      </c>
      <c r="I2585" s="7">
        <v>23643449</v>
      </c>
      <c r="J2585" s="7">
        <v>0</v>
      </c>
      <c r="K2585">
        <f t="shared" si="40"/>
        <v>62</v>
      </c>
      <c r="L2585" s="8" t="str" cm="1">
        <f t="array" ref="L2585">_xlfn.IFS(
 AND(K2585&gt;=89,K2585&lt;=92),"3개월",
 AND(K2585&gt;=58,K2585&lt;=62),"2개월",
 AND(K2585&gt;=28,K2585&lt;=32),"1개월",
 AND(K2585=0),"당월",
 TRUE,"그외"
)</f>
        <v>2개월</v>
      </c>
    </row>
    <row r="2586" spans="1:12" x14ac:dyDescent="0.3">
      <c r="A2586" s="5">
        <v>46054</v>
      </c>
      <c r="B2586" s="6" t="s">
        <v>20</v>
      </c>
      <c r="C2586" s="6" t="s">
        <v>26</v>
      </c>
      <c r="D2586" s="5">
        <v>46023</v>
      </c>
      <c r="E2586" s="6" t="s">
        <v>14</v>
      </c>
      <c r="F2586" s="7">
        <v>303</v>
      </c>
      <c r="G2586" s="7">
        <v>145716.56105610559</v>
      </c>
      <c r="H2586" s="7">
        <v>44152118</v>
      </c>
      <c r="I2586" s="7">
        <v>4741390</v>
      </c>
      <c r="J2586" s="7">
        <v>0</v>
      </c>
      <c r="K2586">
        <f t="shared" si="40"/>
        <v>31</v>
      </c>
      <c r="L2586" s="8" t="str" cm="1">
        <f t="array" ref="L2586">_xlfn.IFS(
 AND(K2586&gt;=89,K2586&lt;=92),"3개월",
 AND(K2586&gt;=58,K2586&lt;=62),"2개월",
 AND(K2586&gt;=28,K2586&lt;=32),"1개월",
 AND(K2586=0),"당월",
 TRUE,"그외"
)</f>
        <v>1개월</v>
      </c>
    </row>
    <row r="2587" spans="1:12" x14ac:dyDescent="0.3">
      <c r="A2587" s="5">
        <v>46054</v>
      </c>
      <c r="B2587" s="6" t="s">
        <v>20</v>
      </c>
      <c r="C2587" s="6" t="s">
        <v>26</v>
      </c>
      <c r="D2587" s="5">
        <v>46023</v>
      </c>
      <c r="E2587" s="6" t="s">
        <v>15</v>
      </c>
      <c r="F2587" s="7">
        <v>2734</v>
      </c>
      <c r="G2587" s="7">
        <v>158779.4433065106</v>
      </c>
      <c r="H2587" s="7">
        <v>434102998</v>
      </c>
      <c r="I2587" s="7">
        <v>40573816</v>
      </c>
      <c r="J2587" s="7">
        <v>0</v>
      </c>
      <c r="K2587">
        <f t="shared" si="40"/>
        <v>31</v>
      </c>
      <c r="L2587" s="8" t="str" cm="1">
        <f t="array" ref="L2587">_xlfn.IFS(
 AND(K2587&gt;=89,K2587&lt;=92),"3개월",
 AND(K2587&gt;=58,K2587&lt;=62),"2개월",
 AND(K2587&gt;=28,K2587&lt;=32),"1개월",
 AND(K2587=0),"당월",
 TRUE,"그외"
)</f>
        <v>1개월</v>
      </c>
    </row>
    <row r="2588" spans="1:12" x14ac:dyDescent="0.3">
      <c r="A2588" s="5">
        <v>46054</v>
      </c>
      <c r="B2588" s="6" t="s">
        <v>20</v>
      </c>
      <c r="C2588" s="6" t="s">
        <v>26</v>
      </c>
      <c r="D2588" s="5">
        <v>46054</v>
      </c>
      <c r="E2588" s="6" t="s">
        <v>14</v>
      </c>
      <c r="F2588" s="7">
        <v>145</v>
      </c>
      <c r="G2588" s="7">
        <v>133248.75862068971</v>
      </c>
      <c r="H2588" s="7">
        <v>19321070</v>
      </c>
      <c r="I2588" s="7">
        <v>1139276</v>
      </c>
      <c r="J2588" s="7">
        <v>0</v>
      </c>
      <c r="K2588">
        <f t="shared" si="40"/>
        <v>0</v>
      </c>
      <c r="L2588" s="8" t="str" cm="1">
        <f t="array" ref="L2588">_xlfn.IFS(
 AND(K2588&gt;=89,K2588&lt;=92),"3개월",
 AND(K2588&gt;=58,K2588&lt;=62),"2개월",
 AND(K2588&gt;=28,K2588&lt;=32),"1개월",
 AND(K2588=0),"당월",
 TRUE,"그외"
)</f>
        <v>당월</v>
      </c>
    </row>
    <row r="2589" spans="1:12" x14ac:dyDescent="0.3">
      <c r="A2589" s="5">
        <v>46054</v>
      </c>
      <c r="B2589" s="6" t="s">
        <v>20</v>
      </c>
      <c r="C2589" s="6" t="s">
        <v>26</v>
      </c>
      <c r="D2589" s="5">
        <v>46054</v>
      </c>
      <c r="E2589" s="6" t="s">
        <v>15</v>
      </c>
      <c r="F2589" s="7">
        <v>805</v>
      </c>
      <c r="G2589" s="7">
        <v>170163.4621118012</v>
      </c>
      <c r="H2589" s="7">
        <v>136981587</v>
      </c>
      <c r="I2589" s="7">
        <v>15218653</v>
      </c>
      <c r="J2589" s="7">
        <v>0</v>
      </c>
      <c r="K2589">
        <f t="shared" si="40"/>
        <v>0</v>
      </c>
      <c r="L2589" s="8" t="str" cm="1">
        <f t="array" ref="L2589">_xlfn.IFS(
 AND(K2589&gt;=89,K2589&lt;=92),"3개월",
 AND(K2589&gt;=58,K2589&lt;=62),"2개월",
 AND(K2589&gt;=28,K2589&lt;=32),"1개월",
 AND(K2589=0),"당월",
 TRUE,"그외"
)</f>
        <v>당월</v>
      </c>
    </row>
    <row r="2590" spans="1:12" x14ac:dyDescent="0.3">
      <c r="A2590" s="5">
        <v>46054</v>
      </c>
      <c r="B2590" s="6" t="s">
        <v>20</v>
      </c>
      <c r="C2590" s="6" t="s">
        <v>27</v>
      </c>
      <c r="D2590" s="5">
        <v>45839</v>
      </c>
      <c r="E2590" s="6" t="s">
        <v>15</v>
      </c>
      <c r="F2590" s="7">
        <v>40</v>
      </c>
      <c r="G2590" s="7">
        <v>136236.54999999999</v>
      </c>
      <c r="H2590" s="7">
        <v>5449462</v>
      </c>
      <c r="I2590" s="7">
        <v>836145</v>
      </c>
      <c r="J2590" s="7">
        <v>0</v>
      </c>
      <c r="K2590">
        <f t="shared" si="40"/>
        <v>215</v>
      </c>
      <c r="L2590" s="8" t="str" cm="1">
        <f t="array" ref="L2590">_xlfn.IFS(
 AND(K2590&gt;=89,K2590&lt;=92),"3개월",
 AND(K2590&gt;=58,K2590&lt;=62),"2개월",
 AND(K2590&gt;=28,K2590&lt;=32),"1개월",
 AND(K2590=0),"당월",
 TRUE,"그외"
)</f>
        <v>그외</v>
      </c>
    </row>
    <row r="2591" spans="1:12" x14ac:dyDescent="0.3">
      <c r="A2591" s="5">
        <v>46054</v>
      </c>
      <c r="B2591" s="6" t="s">
        <v>20</v>
      </c>
      <c r="C2591" s="6" t="s">
        <v>27</v>
      </c>
      <c r="D2591" s="5">
        <v>45870</v>
      </c>
      <c r="E2591" s="6" t="s">
        <v>15</v>
      </c>
      <c r="F2591" s="7">
        <v>100</v>
      </c>
      <c r="G2591" s="7">
        <v>131037.81</v>
      </c>
      <c r="H2591" s="7">
        <v>13103781</v>
      </c>
      <c r="I2591" s="7">
        <v>1594382</v>
      </c>
      <c r="J2591" s="7">
        <v>0</v>
      </c>
      <c r="K2591">
        <f t="shared" si="40"/>
        <v>184</v>
      </c>
      <c r="L2591" s="8" t="str" cm="1">
        <f t="array" ref="L2591">_xlfn.IFS(
 AND(K2591&gt;=89,K2591&lt;=92),"3개월",
 AND(K2591&gt;=58,K2591&lt;=62),"2개월",
 AND(K2591&gt;=28,K2591&lt;=32),"1개월",
 AND(K2591=0),"당월",
 TRUE,"그외"
)</f>
        <v>그외</v>
      </c>
    </row>
    <row r="2592" spans="1:12" x14ac:dyDescent="0.3">
      <c r="A2592" s="5">
        <v>46054</v>
      </c>
      <c r="B2592" s="6" t="s">
        <v>20</v>
      </c>
      <c r="C2592" s="6" t="s">
        <v>27</v>
      </c>
      <c r="D2592" s="5">
        <v>45901</v>
      </c>
      <c r="E2592" s="6" t="s">
        <v>15</v>
      </c>
      <c r="F2592" s="7">
        <v>195</v>
      </c>
      <c r="G2592" s="7">
        <v>126528.1282051282</v>
      </c>
      <c r="H2592" s="7">
        <v>24672985</v>
      </c>
      <c r="I2592" s="7">
        <v>3152308</v>
      </c>
      <c r="J2592" s="7">
        <v>0</v>
      </c>
      <c r="K2592">
        <f t="shared" si="40"/>
        <v>153</v>
      </c>
      <c r="L2592" s="8" t="str" cm="1">
        <f t="array" ref="L2592">_xlfn.IFS(
 AND(K2592&gt;=89,K2592&lt;=92),"3개월",
 AND(K2592&gt;=58,K2592&lt;=62),"2개월",
 AND(K2592&gt;=28,K2592&lt;=32),"1개월",
 AND(K2592=0),"당월",
 TRUE,"그외"
)</f>
        <v>그외</v>
      </c>
    </row>
    <row r="2593" spans="1:12" x14ac:dyDescent="0.3">
      <c r="A2593" s="5">
        <v>46054</v>
      </c>
      <c r="B2593" s="6" t="s">
        <v>20</v>
      </c>
      <c r="C2593" s="6" t="s">
        <v>27</v>
      </c>
      <c r="D2593" s="5">
        <v>45931</v>
      </c>
      <c r="E2593" s="6" t="s">
        <v>15</v>
      </c>
      <c r="F2593" s="7">
        <v>918</v>
      </c>
      <c r="G2593" s="7">
        <v>189466.22657952071</v>
      </c>
      <c r="H2593" s="7">
        <v>173929996</v>
      </c>
      <c r="I2593" s="7">
        <v>13981128</v>
      </c>
      <c r="J2593" s="7">
        <v>0</v>
      </c>
      <c r="K2593">
        <f t="shared" si="40"/>
        <v>123</v>
      </c>
      <c r="L2593" s="8" t="str" cm="1">
        <f t="array" ref="L2593">_xlfn.IFS(
 AND(K2593&gt;=89,K2593&lt;=92),"3개월",
 AND(K2593&gt;=58,K2593&lt;=62),"2개월",
 AND(K2593&gt;=28,K2593&lt;=32),"1개월",
 AND(K2593=0),"당월",
 TRUE,"그외"
)</f>
        <v>그외</v>
      </c>
    </row>
    <row r="2594" spans="1:12" x14ac:dyDescent="0.3">
      <c r="A2594" s="5">
        <v>46054</v>
      </c>
      <c r="B2594" s="6" t="s">
        <v>20</v>
      </c>
      <c r="C2594" s="6" t="s">
        <v>27</v>
      </c>
      <c r="D2594" s="5">
        <v>45962</v>
      </c>
      <c r="E2594" s="6" t="s">
        <v>14</v>
      </c>
      <c r="F2594" s="7">
        <v>163</v>
      </c>
      <c r="G2594" s="7">
        <v>120203.1472392638</v>
      </c>
      <c r="H2594" s="7">
        <v>19593113</v>
      </c>
      <c r="I2594" s="7">
        <v>4756167</v>
      </c>
      <c r="J2594" s="7">
        <v>0</v>
      </c>
      <c r="K2594">
        <f t="shared" si="40"/>
        <v>92</v>
      </c>
      <c r="L2594" s="8" t="str" cm="1">
        <f t="array" ref="L2594">_xlfn.IFS(
 AND(K2594&gt;=89,K2594&lt;=92),"3개월",
 AND(K2594&gt;=58,K2594&lt;=62),"2개월",
 AND(K2594&gt;=28,K2594&lt;=32),"1개월",
 AND(K2594=0),"당월",
 TRUE,"그외"
)</f>
        <v>3개월</v>
      </c>
    </row>
    <row r="2595" spans="1:12" x14ac:dyDescent="0.3">
      <c r="A2595" s="5">
        <v>46054</v>
      </c>
      <c r="B2595" s="6" t="s">
        <v>20</v>
      </c>
      <c r="C2595" s="6" t="s">
        <v>27</v>
      </c>
      <c r="D2595" s="5">
        <v>45962</v>
      </c>
      <c r="E2595" s="6" t="s">
        <v>15</v>
      </c>
      <c r="F2595" s="7">
        <v>1725</v>
      </c>
      <c r="G2595" s="7">
        <v>203188.76347826089</v>
      </c>
      <c r="H2595" s="7">
        <v>350500617</v>
      </c>
      <c r="I2595" s="7">
        <v>26304905</v>
      </c>
      <c r="J2595" s="7">
        <v>0</v>
      </c>
      <c r="K2595">
        <f t="shared" si="40"/>
        <v>92</v>
      </c>
      <c r="L2595" s="8" t="str" cm="1">
        <f t="array" ref="L2595">_xlfn.IFS(
 AND(K2595&gt;=89,K2595&lt;=92),"3개월",
 AND(K2595&gt;=58,K2595&lt;=62),"2개월",
 AND(K2595&gt;=28,K2595&lt;=32),"1개월",
 AND(K2595=0),"당월",
 TRUE,"그외"
)</f>
        <v>3개월</v>
      </c>
    </row>
    <row r="2596" spans="1:12" x14ac:dyDescent="0.3">
      <c r="A2596" s="5">
        <v>46054</v>
      </c>
      <c r="B2596" s="6" t="s">
        <v>20</v>
      </c>
      <c r="C2596" s="6" t="s">
        <v>27</v>
      </c>
      <c r="D2596" s="5">
        <v>45992</v>
      </c>
      <c r="E2596" s="6" t="s">
        <v>14</v>
      </c>
      <c r="F2596" s="7">
        <v>267</v>
      </c>
      <c r="G2596" s="7">
        <v>117716.1835205993</v>
      </c>
      <c r="H2596" s="7">
        <v>31430221</v>
      </c>
      <c r="I2596" s="7">
        <v>6409759</v>
      </c>
      <c r="J2596" s="7">
        <v>0</v>
      </c>
      <c r="K2596">
        <f t="shared" si="40"/>
        <v>62</v>
      </c>
      <c r="L2596" s="8" t="str" cm="1">
        <f t="array" ref="L2596">_xlfn.IFS(
 AND(K2596&gt;=89,K2596&lt;=92),"3개월",
 AND(K2596&gt;=58,K2596&lt;=62),"2개월",
 AND(K2596&gt;=28,K2596&lt;=32),"1개월",
 AND(K2596=0),"당월",
 TRUE,"그외"
)</f>
        <v>2개월</v>
      </c>
    </row>
    <row r="2597" spans="1:12" x14ac:dyDescent="0.3">
      <c r="A2597" s="5">
        <v>46054</v>
      </c>
      <c r="B2597" s="6" t="s">
        <v>20</v>
      </c>
      <c r="C2597" s="6" t="s">
        <v>27</v>
      </c>
      <c r="D2597" s="5">
        <v>45992</v>
      </c>
      <c r="E2597" s="6" t="s">
        <v>15</v>
      </c>
      <c r="F2597" s="7">
        <v>9480</v>
      </c>
      <c r="G2597" s="7">
        <v>181680.39683544301</v>
      </c>
      <c r="H2597" s="7">
        <v>1722330162</v>
      </c>
      <c r="I2597" s="7">
        <v>146051024</v>
      </c>
      <c r="J2597" s="7">
        <v>0</v>
      </c>
      <c r="K2597">
        <f t="shared" si="40"/>
        <v>62</v>
      </c>
      <c r="L2597" s="8" t="str" cm="1">
        <f t="array" ref="L2597">_xlfn.IFS(
 AND(K2597&gt;=89,K2597&lt;=92),"3개월",
 AND(K2597&gt;=58,K2597&lt;=62),"2개월",
 AND(K2597&gt;=28,K2597&lt;=32),"1개월",
 AND(K2597=0),"당월",
 TRUE,"그외"
)</f>
        <v>2개월</v>
      </c>
    </row>
    <row r="2598" spans="1:12" x14ac:dyDescent="0.3">
      <c r="A2598" s="5">
        <v>46054</v>
      </c>
      <c r="B2598" s="6" t="s">
        <v>20</v>
      </c>
      <c r="C2598" s="6" t="s">
        <v>27</v>
      </c>
      <c r="D2598" s="5">
        <v>46023</v>
      </c>
      <c r="E2598" s="6" t="s">
        <v>14</v>
      </c>
      <c r="F2598" s="7">
        <v>4441</v>
      </c>
      <c r="G2598" s="7">
        <v>167471.49268182839</v>
      </c>
      <c r="H2598" s="7">
        <v>743740899</v>
      </c>
      <c r="I2598" s="7">
        <v>65722424</v>
      </c>
      <c r="J2598" s="7">
        <v>0</v>
      </c>
      <c r="K2598">
        <f t="shared" si="40"/>
        <v>31</v>
      </c>
      <c r="L2598" s="8" t="str" cm="1">
        <f t="array" ref="L2598">_xlfn.IFS(
 AND(K2598&gt;=89,K2598&lt;=92),"3개월",
 AND(K2598&gt;=58,K2598&lt;=62),"2개월",
 AND(K2598&gt;=28,K2598&lt;=32),"1개월",
 AND(K2598=0),"당월",
 TRUE,"그외"
)</f>
        <v>1개월</v>
      </c>
    </row>
    <row r="2599" spans="1:12" x14ac:dyDescent="0.3">
      <c r="A2599" s="5">
        <v>46054</v>
      </c>
      <c r="B2599" s="6" t="s">
        <v>20</v>
      </c>
      <c r="C2599" s="6" t="s">
        <v>27</v>
      </c>
      <c r="D2599" s="5">
        <v>46023</v>
      </c>
      <c r="E2599" s="6" t="s">
        <v>15</v>
      </c>
      <c r="F2599" s="7">
        <v>24677</v>
      </c>
      <c r="G2599" s="7">
        <v>197313.97179559921</v>
      </c>
      <c r="H2599" s="7">
        <v>4869116882</v>
      </c>
      <c r="I2599" s="7">
        <v>397352614</v>
      </c>
      <c r="J2599" s="7">
        <v>0</v>
      </c>
      <c r="K2599">
        <f t="shared" si="40"/>
        <v>31</v>
      </c>
      <c r="L2599" s="8" t="str" cm="1">
        <f t="array" ref="L2599">_xlfn.IFS(
 AND(K2599&gt;=89,K2599&lt;=92),"3개월",
 AND(K2599&gt;=58,K2599&lt;=62),"2개월",
 AND(K2599&gt;=28,K2599&lt;=32),"1개월",
 AND(K2599=0),"당월",
 TRUE,"그외"
)</f>
        <v>1개월</v>
      </c>
    </row>
    <row r="2600" spans="1:12" x14ac:dyDescent="0.3">
      <c r="A2600" s="5">
        <v>46054</v>
      </c>
      <c r="B2600" s="6" t="s">
        <v>20</v>
      </c>
      <c r="C2600" s="6" t="s">
        <v>27</v>
      </c>
      <c r="D2600" s="5">
        <v>46054</v>
      </c>
      <c r="E2600" s="6" t="s">
        <v>14</v>
      </c>
      <c r="F2600" s="7">
        <v>6480</v>
      </c>
      <c r="G2600" s="7">
        <v>101804.34675925929</v>
      </c>
      <c r="H2600" s="7">
        <v>659692167</v>
      </c>
      <c r="I2600" s="7">
        <v>27592460</v>
      </c>
      <c r="J2600" s="7">
        <v>0</v>
      </c>
      <c r="K2600">
        <f t="shared" si="40"/>
        <v>0</v>
      </c>
      <c r="L2600" s="8" t="str" cm="1">
        <f t="array" ref="L2600">_xlfn.IFS(
 AND(K2600&gt;=89,K2600&lt;=92),"3개월",
 AND(K2600&gt;=58,K2600&lt;=62),"2개월",
 AND(K2600&gt;=28,K2600&lt;=32),"1개월",
 AND(K2600=0),"당월",
 TRUE,"그외"
)</f>
        <v>당월</v>
      </c>
    </row>
    <row r="2601" spans="1:12" x14ac:dyDescent="0.3">
      <c r="A2601" s="5">
        <v>46054</v>
      </c>
      <c r="B2601" s="6" t="s">
        <v>20</v>
      </c>
      <c r="C2601" s="6" t="s">
        <v>27</v>
      </c>
      <c r="D2601" s="5">
        <v>46054</v>
      </c>
      <c r="E2601" s="6" t="s">
        <v>15</v>
      </c>
      <c r="F2601" s="7">
        <v>5211</v>
      </c>
      <c r="G2601" s="7">
        <v>231112.8378430244</v>
      </c>
      <c r="H2601" s="7">
        <v>1204328998</v>
      </c>
      <c r="I2601" s="7">
        <v>71619625</v>
      </c>
      <c r="J2601" s="7">
        <v>0</v>
      </c>
      <c r="K2601">
        <f t="shared" si="40"/>
        <v>0</v>
      </c>
      <c r="L2601" s="8" t="str" cm="1">
        <f t="array" ref="L2601">_xlfn.IFS(
 AND(K2601&gt;=89,K2601&lt;=92),"3개월",
 AND(K2601&gt;=58,K2601&lt;=62),"2개월",
 AND(K2601&gt;=28,K2601&lt;=32),"1개월",
 AND(K2601=0),"당월",
 TRUE,"그외"
)</f>
        <v>당월</v>
      </c>
    </row>
    <row r="2602" spans="1:12" x14ac:dyDescent="0.3">
      <c r="A2602" s="5">
        <v>46054</v>
      </c>
      <c r="B2602" s="6" t="s">
        <v>20</v>
      </c>
      <c r="C2602" s="6" t="s">
        <v>28</v>
      </c>
      <c r="D2602" s="5">
        <v>45870</v>
      </c>
      <c r="E2602" s="6" t="s">
        <v>15</v>
      </c>
      <c r="F2602" s="7">
        <v>22</v>
      </c>
      <c r="G2602" s="7">
        <v>74890.909090909088</v>
      </c>
      <c r="H2602" s="7">
        <v>1647600</v>
      </c>
      <c r="I2602" s="7">
        <v>211200</v>
      </c>
      <c r="J2602" s="7">
        <v>0</v>
      </c>
      <c r="K2602">
        <f t="shared" si="40"/>
        <v>184</v>
      </c>
      <c r="L2602" s="8" t="str" cm="1">
        <f t="array" ref="L2602">_xlfn.IFS(
 AND(K2602&gt;=89,K2602&lt;=92),"3개월",
 AND(K2602&gt;=58,K2602&lt;=62),"2개월",
 AND(K2602&gt;=28,K2602&lt;=32),"1개월",
 AND(K2602=0),"당월",
 TRUE,"그외"
)</f>
        <v>그외</v>
      </c>
    </row>
    <row r="2603" spans="1:12" x14ac:dyDescent="0.3">
      <c r="A2603" s="5">
        <v>46054</v>
      </c>
      <c r="B2603" s="6" t="s">
        <v>20</v>
      </c>
      <c r="C2603" s="6" t="s">
        <v>28</v>
      </c>
      <c r="D2603" s="5">
        <v>45901</v>
      </c>
      <c r="E2603" s="6" t="s">
        <v>15</v>
      </c>
      <c r="F2603" s="7">
        <v>123</v>
      </c>
      <c r="G2603" s="7">
        <v>127295.2113821138</v>
      </c>
      <c r="H2603" s="7">
        <v>15657311</v>
      </c>
      <c r="I2603" s="7">
        <v>1444394</v>
      </c>
      <c r="J2603" s="7">
        <v>0</v>
      </c>
      <c r="K2603">
        <f t="shared" si="40"/>
        <v>153</v>
      </c>
      <c r="L2603" s="8" t="str" cm="1">
        <f t="array" ref="L2603">_xlfn.IFS(
 AND(K2603&gt;=89,K2603&lt;=92),"3개월",
 AND(K2603&gt;=58,K2603&lt;=62),"2개월",
 AND(K2603&gt;=28,K2603&lt;=32),"1개월",
 AND(K2603=0),"당월",
 TRUE,"그외"
)</f>
        <v>그외</v>
      </c>
    </row>
    <row r="2604" spans="1:12" x14ac:dyDescent="0.3">
      <c r="A2604" s="5">
        <v>46054</v>
      </c>
      <c r="B2604" s="6" t="s">
        <v>20</v>
      </c>
      <c r="C2604" s="6" t="s">
        <v>28</v>
      </c>
      <c r="D2604" s="5">
        <v>45931</v>
      </c>
      <c r="E2604" s="6" t="s">
        <v>14</v>
      </c>
      <c r="F2604" s="7">
        <v>5</v>
      </c>
      <c r="G2604" s="7">
        <v>169700</v>
      </c>
      <c r="H2604" s="7">
        <v>848500</v>
      </c>
      <c r="I2604" s="7">
        <v>48500</v>
      </c>
      <c r="J2604" s="7">
        <v>0</v>
      </c>
      <c r="K2604">
        <f t="shared" si="40"/>
        <v>123</v>
      </c>
      <c r="L2604" s="8" t="str" cm="1">
        <f t="array" ref="L2604">_xlfn.IFS(
 AND(K2604&gt;=89,K2604&lt;=92),"3개월",
 AND(K2604&gt;=58,K2604&lt;=62),"2개월",
 AND(K2604&gt;=28,K2604&lt;=32),"1개월",
 AND(K2604=0),"당월",
 TRUE,"그외"
)</f>
        <v>그외</v>
      </c>
    </row>
    <row r="2605" spans="1:12" x14ac:dyDescent="0.3">
      <c r="A2605" s="5">
        <v>46054</v>
      </c>
      <c r="B2605" s="6" t="s">
        <v>20</v>
      </c>
      <c r="C2605" s="6" t="s">
        <v>28</v>
      </c>
      <c r="D2605" s="5">
        <v>45931</v>
      </c>
      <c r="E2605" s="6" t="s">
        <v>15</v>
      </c>
      <c r="F2605" s="7">
        <v>408</v>
      </c>
      <c r="G2605" s="7">
        <v>173444.15931372551</v>
      </c>
      <c r="H2605" s="7">
        <v>70765217</v>
      </c>
      <c r="I2605" s="7">
        <v>4585847</v>
      </c>
      <c r="J2605" s="7">
        <v>0</v>
      </c>
      <c r="K2605">
        <f t="shared" si="40"/>
        <v>123</v>
      </c>
      <c r="L2605" s="8" t="str" cm="1">
        <f t="array" ref="L2605">_xlfn.IFS(
 AND(K2605&gt;=89,K2605&lt;=92),"3개월",
 AND(K2605&gt;=58,K2605&lt;=62),"2개월",
 AND(K2605&gt;=28,K2605&lt;=32),"1개월",
 AND(K2605=0),"당월",
 TRUE,"그외"
)</f>
        <v>그외</v>
      </c>
    </row>
    <row r="2606" spans="1:12" x14ac:dyDescent="0.3">
      <c r="A2606" s="5">
        <v>46054</v>
      </c>
      <c r="B2606" s="6" t="s">
        <v>20</v>
      </c>
      <c r="C2606" s="6" t="s">
        <v>28</v>
      </c>
      <c r="D2606" s="5">
        <v>45962</v>
      </c>
      <c r="E2606" s="6" t="s">
        <v>14</v>
      </c>
      <c r="F2606" s="7">
        <v>6</v>
      </c>
      <c r="G2606" s="7">
        <v>159800</v>
      </c>
      <c r="H2606" s="7">
        <v>958800</v>
      </c>
      <c r="I2606" s="7">
        <v>58800</v>
      </c>
      <c r="J2606" s="7">
        <v>0</v>
      </c>
      <c r="K2606">
        <f t="shared" si="40"/>
        <v>92</v>
      </c>
      <c r="L2606" s="8" t="str" cm="1">
        <f t="array" ref="L2606">_xlfn.IFS(
 AND(K2606&gt;=89,K2606&lt;=92),"3개월",
 AND(K2606&gt;=58,K2606&lt;=62),"2개월",
 AND(K2606&gt;=28,K2606&lt;=32),"1개월",
 AND(K2606=0),"당월",
 TRUE,"그외"
)</f>
        <v>3개월</v>
      </c>
    </row>
    <row r="2607" spans="1:12" x14ac:dyDescent="0.3">
      <c r="A2607" s="5">
        <v>46054</v>
      </c>
      <c r="B2607" s="6" t="s">
        <v>20</v>
      </c>
      <c r="C2607" s="6" t="s">
        <v>28</v>
      </c>
      <c r="D2607" s="5">
        <v>45962</v>
      </c>
      <c r="E2607" s="6" t="s">
        <v>15</v>
      </c>
      <c r="F2607" s="7">
        <v>1445</v>
      </c>
      <c r="G2607" s="7">
        <v>172179.23252595149</v>
      </c>
      <c r="H2607" s="7">
        <v>248798991</v>
      </c>
      <c r="I2607" s="7">
        <v>16941812</v>
      </c>
      <c r="J2607" s="7">
        <v>0</v>
      </c>
      <c r="K2607">
        <f t="shared" si="40"/>
        <v>92</v>
      </c>
      <c r="L2607" s="8" t="str" cm="1">
        <f t="array" ref="L2607">_xlfn.IFS(
 AND(K2607&gt;=89,K2607&lt;=92),"3개월",
 AND(K2607&gt;=58,K2607&lt;=62),"2개월",
 AND(K2607&gt;=28,K2607&lt;=32),"1개월",
 AND(K2607=0),"당월",
 TRUE,"그외"
)</f>
        <v>3개월</v>
      </c>
    </row>
    <row r="2608" spans="1:12" x14ac:dyDescent="0.3">
      <c r="A2608" s="5">
        <v>46054</v>
      </c>
      <c r="B2608" s="6" t="s">
        <v>20</v>
      </c>
      <c r="C2608" s="6" t="s">
        <v>28</v>
      </c>
      <c r="D2608" s="5">
        <v>45992</v>
      </c>
      <c r="E2608" s="6" t="s">
        <v>14</v>
      </c>
      <c r="F2608" s="7">
        <v>162</v>
      </c>
      <c r="G2608" s="7">
        <v>178413.5802469136</v>
      </c>
      <c r="H2608" s="7">
        <v>28903000</v>
      </c>
      <c r="I2608" s="7">
        <v>1863000</v>
      </c>
      <c r="J2608" s="7">
        <v>0</v>
      </c>
      <c r="K2608">
        <f t="shared" si="40"/>
        <v>62</v>
      </c>
      <c r="L2608" s="8" t="str" cm="1">
        <f t="array" ref="L2608">_xlfn.IFS(
 AND(K2608&gt;=89,K2608&lt;=92),"3개월",
 AND(K2608&gt;=58,K2608&lt;=62),"2개월",
 AND(K2608&gt;=28,K2608&lt;=32),"1개월",
 AND(K2608=0),"당월",
 TRUE,"그외"
)</f>
        <v>2개월</v>
      </c>
    </row>
    <row r="2609" spans="1:12" x14ac:dyDescent="0.3">
      <c r="A2609" s="5">
        <v>46054</v>
      </c>
      <c r="B2609" s="6" t="s">
        <v>20</v>
      </c>
      <c r="C2609" s="6" t="s">
        <v>28</v>
      </c>
      <c r="D2609" s="5">
        <v>45992</v>
      </c>
      <c r="E2609" s="6" t="s">
        <v>15</v>
      </c>
      <c r="F2609" s="7">
        <v>2560</v>
      </c>
      <c r="G2609" s="7">
        <v>199347.02109374999</v>
      </c>
      <c r="H2609" s="7">
        <v>510328374</v>
      </c>
      <c r="I2609" s="7">
        <v>35782946</v>
      </c>
      <c r="J2609" s="7">
        <v>0</v>
      </c>
      <c r="K2609">
        <f t="shared" si="40"/>
        <v>62</v>
      </c>
      <c r="L2609" s="8" t="str" cm="1">
        <f t="array" ref="L2609">_xlfn.IFS(
 AND(K2609&gt;=89,K2609&lt;=92),"3개월",
 AND(K2609&gt;=58,K2609&lt;=62),"2개월",
 AND(K2609&gt;=28,K2609&lt;=32),"1개월",
 AND(K2609=0),"당월",
 TRUE,"그외"
)</f>
        <v>2개월</v>
      </c>
    </row>
    <row r="2610" spans="1:12" x14ac:dyDescent="0.3">
      <c r="A2610" s="5">
        <v>46054</v>
      </c>
      <c r="B2610" s="6" t="s">
        <v>20</v>
      </c>
      <c r="C2610" s="6" t="s">
        <v>28</v>
      </c>
      <c r="D2610" s="5">
        <v>46023</v>
      </c>
      <c r="E2610" s="6" t="s">
        <v>14</v>
      </c>
      <c r="F2610" s="7">
        <v>1252</v>
      </c>
      <c r="G2610" s="7">
        <v>166995.68690095851</v>
      </c>
      <c r="H2610" s="7">
        <v>209078600</v>
      </c>
      <c r="I2610" s="7">
        <v>14773600</v>
      </c>
      <c r="J2610" s="7">
        <v>0</v>
      </c>
      <c r="K2610">
        <f t="shared" si="40"/>
        <v>31</v>
      </c>
      <c r="L2610" s="8" t="str" cm="1">
        <f t="array" ref="L2610">_xlfn.IFS(
 AND(K2610&gt;=89,K2610&lt;=92),"3개월",
 AND(K2610&gt;=58,K2610&lt;=62),"2개월",
 AND(K2610&gt;=28,K2610&lt;=32),"1개월",
 AND(K2610=0),"당월",
 TRUE,"그외"
)</f>
        <v>1개월</v>
      </c>
    </row>
    <row r="2611" spans="1:12" x14ac:dyDescent="0.3">
      <c r="A2611" s="5">
        <v>46054</v>
      </c>
      <c r="B2611" s="6" t="s">
        <v>20</v>
      </c>
      <c r="C2611" s="6" t="s">
        <v>28</v>
      </c>
      <c r="D2611" s="5">
        <v>46023</v>
      </c>
      <c r="E2611" s="6" t="s">
        <v>15</v>
      </c>
      <c r="F2611" s="7">
        <v>2989</v>
      </c>
      <c r="G2611" s="7">
        <v>221008.35630645699</v>
      </c>
      <c r="H2611" s="7">
        <v>660593977</v>
      </c>
      <c r="I2611" s="7">
        <v>47537462</v>
      </c>
      <c r="J2611" s="7">
        <v>0</v>
      </c>
      <c r="K2611">
        <f t="shared" si="40"/>
        <v>31</v>
      </c>
      <c r="L2611" s="8" t="str" cm="1">
        <f t="array" ref="L2611">_xlfn.IFS(
 AND(K2611&gt;=89,K2611&lt;=92),"3개월",
 AND(K2611&gt;=58,K2611&lt;=62),"2개월",
 AND(K2611&gt;=28,K2611&lt;=32),"1개월",
 AND(K2611=0),"당월",
 TRUE,"그외"
)</f>
        <v>1개월</v>
      </c>
    </row>
    <row r="2612" spans="1:12" x14ac:dyDescent="0.3">
      <c r="A2612" s="5">
        <v>46054</v>
      </c>
      <c r="B2612" s="6" t="s">
        <v>20</v>
      </c>
      <c r="C2612" s="6" t="s">
        <v>28</v>
      </c>
      <c r="D2612" s="5">
        <v>46054</v>
      </c>
      <c r="E2612" s="6" t="s">
        <v>14</v>
      </c>
      <c r="F2612" s="7">
        <v>948</v>
      </c>
      <c r="G2612" s="7">
        <v>172399.1561181435</v>
      </c>
      <c r="H2612" s="7">
        <v>163434400</v>
      </c>
      <c r="I2612" s="7">
        <v>6929400</v>
      </c>
      <c r="J2612" s="7">
        <v>0</v>
      </c>
      <c r="K2612">
        <f t="shared" si="40"/>
        <v>0</v>
      </c>
      <c r="L2612" s="8" t="str" cm="1">
        <f t="array" ref="L2612">_xlfn.IFS(
 AND(K2612&gt;=89,K2612&lt;=92),"3개월",
 AND(K2612&gt;=58,K2612&lt;=62),"2개월",
 AND(K2612&gt;=28,K2612&lt;=32),"1개월",
 AND(K2612=0),"당월",
 TRUE,"그외"
)</f>
        <v>당월</v>
      </c>
    </row>
    <row r="2613" spans="1:12" x14ac:dyDescent="0.3">
      <c r="A2613" s="5">
        <v>46054</v>
      </c>
      <c r="B2613" s="6" t="s">
        <v>20</v>
      </c>
      <c r="C2613" s="6" t="s">
        <v>28</v>
      </c>
      <c r="D2613" s="5">
        <v>46054</v>
      </c>
      <c r="E2613" s="6" t="s">
        <v>15</v>
      </c>
      <c r="F2613" s="7">
        <v>568</v>
      </c>
      <c r="G2613" s="7">
        <v>262252.87852112681</v>
      </c>
      <c r="H2613" s="7">
        <v>148959635</v>
      </c>
      <c r="I2613" s="7">
        <v>11398570</v>
      </c>
      <c r="J2613" s="7">
        <v>0</v>
      </c>
      <c r="K2613">
        <f t="shared" si="40"/>
        <v>0</v>
      </c>
      <c r="L2613" s="8" t="str" cm="1">
        <f t="array" ref="L2613">_xlfn.IFS(
 AND(K2613&gt;=89,K2613&lt;=92),"3개월",
 AND(K2613&gt;=58,K2613&lt;=62),"2개월",
 AND(K2613&gt;=28,K2613&lt;=32),"1개월",
 AND(K2613=0),"당월",
 TRUE,"그외"
)</f>
        <v>당월</v>
      </c>
    </row>
    <row r="2614" spans="1:12" x14ac:dyDescent="0.3">
      <c r="A2614" s="5">
        <v>46054</v>
      </c>
      <c r="B2614" s="6" t="s">
        <v>20</v>
      </c>
      <c r="C2614" s="6" t="s">
        <v>29</v>
      </c>
      <c r="D2614" s="5">
        <v>45839</v>
      </c>
      <c r="E2614" s="6" t="s">
        <v>15</v>
      </c>
      <c r="F2614" s="7">
        <v>136</v>
      </c>
      <c r="G2614" s="7">
        <v>174202.0073529412</v>
      </c>
      <c r="H2614" s="7">
        <v>23691473</v>
      </c>
      <c r="I2614" s="7">
        <v>1312176</v>
      </c>
      <c r="J2614" s="7">
        <v>0</v>
      </c>
      <c r="K2614">
        <f t="shared" si="40"/>
        <v>215</v>
      </c>
      <c r="L2614" s="8" t="str" cm="1">
        <f t="array" ref="L2614">_xlfn.IFS(
 AND(K2614&gt;=89,K2614&lt;=92),"3개월",
 AND(K2614&gt;=58,K2614&lt;=62),"2개월",
 AND(K2614&gt;=28,K2614&lt;=32),"1개월",
 AND(K2614=0),"당월",
 TRUE,"그외"
)</f>
        <v>그외</v>
      </c>
    </row>
    <row r="2615" spans="1:12" x14ac:dyDescent="0.3">
      <c r="A2615" s="5">
        <v>46054</v>
      </c>
      <c r="B2615" s="6" t="s">
        <v>20</v>
      </c>
      <c r="C2615" s="6" t="s">
        <v>29</v>
      </c>
      <c r="D2615" s="5">
        <v>45870</v>
      </c>
      <c r="E2615" s="6" t="s">
        <v>15</v>
      </c>
      <c r="F2615" s="7">
        <v>545</v>
      </c>
      <c r="G2615" s="7">
        <v>218595.44587155961</v>
      </c>
      <c r="H2615" s="7">
        <v>119134518</v>
      </c>
      <c r="I2615" s="7">
        <v>5658963</v>
      </c>
      <c r="J2615" s="7">
        <v>0</v>
      </c>
      <c r="K2615">
        <f t="shared" si="40"/>
        <v>184</v>
      </c>
      <c r="L2615" s="8" t="str" cm="1">
        <f t="array" ref="L2615">_xlfn.IFS(
 AND(K2615&gt;=89,K2615&lt;=92),"3개월",
 AND(K2615&gt;=58,K2615&lt;=62),"2개월",
 AND(K2615&gt;=28,K2615&lt;=32),"1개월",
 AND(K2615=0),"당월",
 TRUE,"그외"
)</f>
        <v>그외</v>
      </c>
    </row>
    <row r="2616" spans="1:12" x14ac:dyDescent="0.3">
      <c r="A2616" s="5">
        <v>46054</v>
      </c>
      <c r="B2616" s="6" t="s">
        <v>20</v>
      </c>
      <c r="C2616" s="6" t="s">
        <v>29</v>
      </c>
      <c r="D2616" s="5">
        <v>45901</v>
      </c>
      <c r="E2616" s="6" t="s">
        <v>15</v>
      </c>
      <c r="F2616" s="7">
        <v>422</v>
      </c>
      <c r="G2616" s="7">
        <v>169353.36018957349</v>
      </c>
      <c r="H2616" s="7">
        <v>71467118</v>
      </c>
      <c r="I2616" s="7">
        <v>4408121</v>
      </c>
      <c r="J2616" s="7">
        <v>0</v>
      </c>
      <c r="K2616">
        <f t="shared" si="40"/>
        <v>153</v>
      </c>
      <c r="L2616" s="8" t="str" cm="1">
        <f t="array" ref="L2616">_xlfn.IFS(
 AND(K2616&gt;=89,K2616&lt;=92),"3개월",
 AND(K2616&gt;=58,K2616&lt;=62),"2개월",
 AND(K2616&gt;=28,K2616&lt;=32),"1개월",
 AND(K2616=0),"당월",
 TRUE,"그외"
)</f>
        <v>그외</v>
      </c>
    </row>
    <row r="2617" spans="1:12" x14ac:dyDescent="0.3">
      <c r="A2617" s="5">
        <v>46054</v>
      </c>
      <c r="B2617" s="6" t="s">
        <v>20</v>
      </c>
      <c r="C2617" s="6" t="s">
        <v>29</v>
      </c>
      <c r="D2617" s="5">
        <v>45931</v>
      </c>
      <c r="E2617" s="6" t="s">
        <v>15</v>
      </c>
      <c r="F2617" s="7">
        <v>1266</v>
      </c>
      <c r="G2617" s="7">
        <v>180892.1935229068</v>
      </c>
      <c r="H2617" s="7">
        <v>229009517</v>
      </c>
      <c r="I2617" s="7">
        <v>13219041</v>
      </c>
      <c r="J2617" s="7">
        <v>0</v>
      </c>
      <c r="K2617">
        <f t="shared" si="40"/>
        <v>123</v>
      </c>
      <c r="L2617" s="8" t="str" cm="1">
        <f t="array" ref="L2617">_xlfn.IFS(
 AND(K2617&gt;=89,K2617&lt;=92),"3개월",
 AND(K2617&gt;=58,K2617&lt;=62),"2개월",
 AND(K2617&gt;=28,K2617&lt;=32),"1개월",
 AND(K2617=0),"당월",
 TRUE,"그외"
)</f>
        <v>그외</v>
      </c>
    </row>
    <row r="2618" spans="1:12" x14ac:dyDescent="0.3">
      <c r="A2618" s="5">
        <v>46054</v>
      </c>
      <c r="B2618" s="6" t="s">
        <v>20</v>
      </c>
      <c r="C2618" s="6" t="s">
        <v>29</v>
      </c>
      <c r="D2618" s="5">
        <v>45962</v>
      </c>
      <c r="E2618" s="6" t="s">
        <v>14</v>
      </c>
      <c r="F2618" s="7">
        <v>22</v>
      </c>
      <c r="G2618" s="7">
        <v>256254.54545454541</v>
      </c>
      <c r="H2618" s="7">
        <v>5637600</v>
      </c>
      <c r="I2618" s="7">
        <v>215600</v>
      </c>
      <c r="J2618" s="7">
        <v>0</v>
      </c>
      <c r="K2618">
        <f t="shared" si="40"/>
        <v>92</v>
      </c>
      <c r="L2618" s="8" t="str" cm="1">
        <f t="array" ref="L2618">_xlfn.IFS(
 AND(K2618&gt;=89,K2618&lt;=92),"3개월",
 AND(K2618&gt;=58,K2618&lt;=62),"2개월",
 AND(K2618&gt;=28,K2618&lt;=32),"1개월",
 AND(K2618=0),"당월",
 TRUE,"그외"
)</f>
        <v>3개월</v>
      </c>
    </row>
    <row r="2619" spans="1:12" x14ac:dyDescent="0.3">
      <c r="A2619" s="5">
        <v>46054</v>
      </c>
      <c r="B2619" s="6" t="s">
        <v>20</v>
      </c>
      <c r="C2619" s="6" t="s">
        <v>29</v>
      </c>
      <c r="D2619" s="5">
        <v>45962</v>
      </c>
      <c r="E2619" s="6" t="s">
        <v>15</v>
      </c>
      <c r="F2619" s="7">
        <v>1760</v>
      </c>
      <c r="G2619" s="7">
        <v>202608.75</v>
      </c>
      <c r="H2619" s="7">
        <v>356591400</v>
      </c>
      <c r="I2619" s="7">
        <v>19463823</v>
      </c>
      <c r="J2619" s="7">
        <v>0</v>
      </c>
      <c r="K2619">
        <f t="shared" si="40"/>
        <v>92</v>
      </c>
      <c r="L2619" s="8" t="str" cm="1">
        <f t="array" ref="L2619">_xlfn.IFS(
 AND(K2619&gt;=89,K2619&lt;=92),"3개월",
 AND(K2619&gt;=58,K2619&lt;=62),"2개월",
 AND(K2619&gt;=28,K2619&lt;=32),"1개월",
 AND(K2619=0),"당월",
 TRUE,"그외"
)</f>
        <v>3개월</v>
      </c>
    </row>
    <row r="2620" spans="1:12" x14ac:dyDescent="0.3">
      <c r="A2620" s="5">
        <v>46054</v>
      </c>
      <c r="B2620" s="6" t="s">
        <v>20</v>
      </c>
      <c r="C2620" s="6" t="s">
        <v>29</v>
      </c>
      <c r="D2620" s="5">
        <v>45992</v>
      </c>
      <c r="E2620" s="6" t="s">
        <v>15</v>
      </c>
      <c r="F2620" s="7">
        <v>2519</v>
      </c>
      <c r="G2620" s="7">
        <v>202770.58316792379</v>
      </c>
      <c r="H2620" s="7">
        <v>510779099</v>
      </c>
      <c r="I2620" s="7">
        <v>33369754</v>
      </c>
      <c r="J2620" s="7">
        <v>0</v>
      </c>
      <c r="K2620">
        <f t="shared" si="40"/>
        <v>62</v>
      </c>
      <c r="L2620" s="8" t="str" cm="1">
        <f t="array" ref="L2620">_xlfn.IFS(
 AND(K2620&gt;=89,K2620&lt;=92),"3개월",
 AND(K2620&gt;=58,K2620&lt;=62),"2개월",
 AND(K2620&gt;=28,K2620&lt;=32),"1개월",
 AND(K2620=0),"당월",
 TRUE,"그외"
)</f>
        <v>2개월</v>
      </c>
    </row>
    <row r="2621" spans="1:12" x14ac:dyDescent="0.3">
      <c r="A2621" s="5">
        <v>46054</v>
      </c>
      <c r="B2621" s="6" t="s">
        <v>20</v>
      </c>
      <c r="C2621" s="6" t="s">
        <v>29</v>
      </c>
      <c r="D2621" s="5">
        <v>46023</v>
      </c>
      <c r="E2621" s="6" t="s">
        <v>14</v>
      </c>
      <c r="F2621" s="7">
        <v>2136</v>
      </c>
      <c r="G2621" s="7">
        <v>222355.71161048691</v>
      </c>
      <c r="H2621" s="7">
        <v>474951800</v>
      </c>
      <c r="I2621" s="7">
        <v>25204800</v>
      </c>
      <c r="J2621" s="7">
        <v>0</v>
      </c>
      <c r="K2621">
        <f t="shared" si="40"/>
        <v>31</v>
      </c>
      <c r="L2621" s="8" t="str" cm="1">
        <f t="array" ref="L2621">_xlfn.IFS(
 AND(K2621&gt;=89,K2621&lt;=92),"3개월",
 AND(K2621&gt;=58,K2621&lt;=62),"2개월",
 AND(K2621&gt;=28,K2621&lt;=32),"1개월",
 AND(K2621=0),"당월",
 TRUE,"그외"
)</f>
        <v>1개월</v>
      </c>
    </row>
    <row r="2622" spans="1:12" x14ac:dyDescent="0.3">
      <c r="A2622" s="5">
        <v>46054</v>
      </c>
      <c r="B2622" s="6" t="s">
        <v>20</v>
      </c>
      <c r="C2622" s="6" t="s">
        <v>29</v>
      </c>
      <c r="D2622" s="5">
        <v>46023</v>
      </c>
      <c r="E2622" s="6" t="s">
        <v>15</v>
      </c>
      <c r="F2622" s="7">
        <v>7184</v>
      </c>
      <c r="G2622" s="7">
        <v>228967.4472438753</v>
      </c>
      <c r="H2622" s="7">
        <v>1644902141</v>
      </c>
      <c r="I2622" s="7">
        <v>98167542</v>
      </c>
      <c r="J2622" s="7">
        <v>0</v>
      </c>
      <c r="K2622">
        <f t="shared" si="40"/>
        <v>31</v>
      </c>
      <c r="L2622" s="8" t="str" cm="1">
        <f t="array" ref="L2622">_xlfn.IFS(
 AND(K2622&gt;=89,K2622&lt;=92),"3개월",
 AND(K2622&gt;=58,K2622&lt;=62),"2개월",
 AND(K2622&gt;=28,K2622&lt;=32),"1개월",
 AND(K2622=0),"당월",
 TRUE,"그외"
)</f>
        <v>1개월</v>
      </c>
    </row>
    <row r="2623" spans="1:12" x14ac:dyDescent="0.3">
      <c r="A2623" s="5">
        <v>46054</v>
      </c>
      <c r="B2623" s="6" t="s">
        <v>20</v>
      </c>
      <c r="C2623" s="6" t="s">
        <v>29</v>
      </c>
      <c r="D2623" s="5">
        <v>46054</v>
      </c>
      <c r="E2623" s="6" t="s">
        <v>14</v>
      </c>
      <c r="F2623" s="7">
        <v>1781</v>
      </c>
      <c r="G2623" s="7">
        <v>205480.79730488491</v>
      </c>
      <c r="H2623" s="7">
        <v>365961300</v>
      </c>
      <c r="I2623" s="7">
        <v>13100300</v>
      </c>
      <c r="J2623" s="7">
        <v>0</v>
      </c>
      <c r="K2623">
        <f t="shared" si="40"/>
        <v>0</v>
      </c>
      <c r="L2623" s="8" t="str" cm="1">
        <f t="array" ref="L2623">_xlfn.IFS(
 AND(K2623&gt;=89,K2623&lt;=92),"3개월",
 AND(K2623&gt;=58,K2623&lt;=62),"2개월",
 AND(K2623&gt;=28,K2623&lt;=32),"1개월",
 AND(K2623=0),"당월",
 TRUE,"그외"
)</f>
        <v>당월</v>
      </c>
    </row>
    <row r="2624" spans="1:12" x14ac:dyDescent="0.3">
      <c r="A2624" s="5">
        <v>46054</v>
      </c>
      <c r="B2624" s="6" t="s">
        <v>20</v>
      </c>
      <c r="C2624" s="6" t="s">
        <v>29</v>
      </c>
      <c r="D2624" s="5">
        <v>46054</v>
      </c>
      <c r="E2624" s="6" t="s">
        <v>15</v>
      </c>
      <c r="F2624" s="7">
        <v>2183</v>
      </c>
      <c r="G2624" s="7">
        <v>286438.79752633988</v>
      </c>
      <c r="H2624" s="7">
        <v>625295895</v>
      </c>
      <c r="I2624" s="7">
        <v>26699892</v>
      </c>
      <c r="J2624" s="7">
        <v>0</v>
      </c>
      <c r="K2624">
        <f t="shared" si="40"/>
        <v>0</v>
      </c>
      <c r="L2624" s="8" t="str" cm="1">
        <f t="array" ref="L2624">_xlfn.IFS(
 AND(K2624&gt;=89,K2624&lt;=92),"3개월",
 AND(K2624&gt;=58,K2624&lt;=62),"2개월",
 AND(K2624&gt;=28,K2624&lt;=32),"1개월",
 AND(K2624=0),"당월",
 TRUE,"그외"
)</f>
        <v>당월</v>
      </c>
    </row>
    <row r="2625" spans="1:12" x14ac:dyDescent="0.3">
      <c r="A2625" s="5">
        <v>46054</v>
      </c>
      <c r="B2625" s="6" t="s">
        <v>20</v>
      </c>
      <c r="C2625" s="6" t="s">
        <v>30</v>
      </c>
      <c r="D2625" s="5">
        <v>45839</v>
      </c>
      <c r="E2625" s="6" t="s">
        <v>15</v>
      </c>
      <c r="F2625" s="7">
        <v>82</v>
      </c>
      <c r="G2625" s="7">
        <v>206136.92682926831</v>
      </c>
      <c r="H2625" s="7">
        <v>16903228</v>
      </c>
      <c r="I2625" s="7">
        <v>625936</v>
      </c>
      <c r="J2625" s="7">
        <v>0</v>
      </c>
      <c r="K2625">
        <f t="shared" si="40"/>
        <v>215</v>
      </c>
      <c r="L2625" s="8" t="str" cm="1">
        <f t="array" ref="L2625">_xlfn.IFS(
 AND(K2625&gt;=89,K2625&lt;=92),"3개월",
 AND(K2625&gt;=58,K2625&lt;=62),"2개월",
 AND(K2625&gt;=28,K2625&lt;=32),"1개월",
 AND(K2625=0),"당월",
 TRUE,"그외"
)</f>
        <v>그외</v>
      </c>
    </row>
    <row r="2626" spans="1:12" x14ac:dyDescent="0.3">
      <c r="A2626" s="5">
        <v>46054</v>
      </c>
      <c r="B2626" s="6" t="s">
        <v>20</v>
      </c>
      <c r="C2626" s="6" t="s">
        <v>30</v>
      </c>
      <c r="D2626" s="5">
        <v>45870</v>
      </c>
      <c r="E2626" s="6" t="s">
        <v>15</v>
      </c>
      <c r="F2626" s="7">
        <v>210</v>
      </c>
      <c r="G2626" s="7">
        <v>187202.7</v>
      </c>
      <c r="H2626" s="7">
        <v>39312567</v>
      </c>
      <c r="I2626" s="7">
        <v>2211504</v>
      </c>
      <c r="J2626" s="7">
        <v>0</v>
      </c>
      <c r="K2626">
        <f t="shared" si="40"/>
        <v>184</v>
      </c>
      <c r="L2626" s="8" t="str" cm="1">
        <f t="array" ref="L2626">_xlfn.IFS(
 AND(K2626&gt;=89,K2626&lt;=92),"3개월",
 AND(K2626&gt;=58,K2626&lt;=62),"2개월",
 AND(K2626&gt;=28,K2626&lt;=32),"1개월",
 AND(K2626=0),"당월",
 TRUE,"그외"
)</f>
        <v>그외</v>
      </c>
    </row>
    <row r="2627" spans="1:12" x14ac:dyDescent="0.3">
      <c r="A2627" s="5">
        <v>46054</v>
      </c>
      <c r="B2627" s="6" t="s">
        <v>20</v>
      </c>
      <c r="C2627" s="6" t="s">
        <v>30</v>
      </c>
      <c r="D2627" s="5">
        <v>45901</v>
      </c>
      <c r="E2627" s="6" t="s">
        <v>15</v>
      </c>
      <c r="F2627" s="7">
        <v>356</v>
      </c>
      <c r="G2627" s="7">
        <v>175001.77247191011</v>
      </c>
      <c r="H2627" s="7">
        <v>62300631</v>
      </c>
      <c r="I2627" s="7">
        <v>4360609</v>
      </c>
      <c r="J2627" s="7">
        <v>0</v>
      </c>
      <c r="K2627">
        <f t="shared" si="40"/>
        <v>153</v>
      </c>
      <c r="L2627" s="8" t="str" cm="1">
        <f t="array" ref="L2627">_xlfn.IFS(
 AND(K2627&gt;=89,K2627&lt;=92),"3개월",
 AND(K2627&gt;=58,K2627&lt;=62),"2개월",
 AND(K2627&gt;=28,K2627&lt;=32),"1개월",
 AND(K2627=0),"당월",
 TRUE,"그외"
)</f>
        <v>그외</v>
      </c>
    </row>
    <row r="2628" spans="1:12" x14ac:dyDescent="0.3">
      <c r="A2628" s="5">
        <v>46054</v>
      </c>
      <c r="B2628" s="6" t="s">
        <v>20</v>
      </c>
      <c r="C2628" s="6" t="s">
        <v>30</v>
      </c>
      <c r="D2628" s="5">
        <v>45931</v>
      </c>
      <c r="E2628" s="6" t="s">
        <v>15</v>
      </c>
      <c r="F2628" s="7">
        <v>781</v>
      </c>
      <c r="G2628" s="7">
        <v>174088.93854033289</v>
      </c>
      <c r="H2628" s="7">
        <v>135963461</v>
      </c>
      <c r="I2628" s="7">
        <v>9028085</v>
      </c>
      <c r="J2628" s="7">
        <v>0</v>
      </c>
      <c r="K2628">
        <f t="shared" si="40"/>
        <v>123</v>
      </c>
      <c r="L2628" s="8" t="str" cm="1">
        <f t="array" ref="L2628">_xlfn.IFS(
 AND(K2628&gt;=89,K2628&lt;=92),"3개월",
 AND(K2628&gt;=58,K2628&lt;=62),"2개월",
 AND(K2628&gt;=28,K2628&lt;=32),"1개월",
 AND(K2628=0),"당월",
 TRUE,"그외"
)</f>
        <v>그외</v>
      </c>
    </row>
    <row r="2629" spans="1:12" x14ac:dyDescent="0.3">
      <c r="A2629" s="5">
        <v>46054</v>
      </c>
      <c r="B2629" s="6" t="s">
        <v>20</v>
      </c>
      <c r="C2629" s="6" t="s">
        <v>30</v>
      </c>
      <c r="D2629" s="5">
        <v>45962</v>
      </c>
      <c r="E2629" s="6" t="s">
        <v>14</v>
      </c>
      <c r="F2629" s="7">
        <v>14</v>
      </c>
      <c r="G2629" s="7">
        <v>123714.2857142857</v>
      </c>
      <c r="H2629" s="7">
        <v>1732000</v>
      </c>
      <c r="I2629" s="7">
        <v>407650</v>
      </c>
      <c r="J2629" s="7">
        <v>0</v>
      </c>
      <c r="K2629">
        <f t="shared" si="40"/>
        <v>92</v>
      </c>
      <c r="L2629" s="8" t="str" cm="1">
        <f t="array" ref="L2629">_xlfn.IFS(
 AND(K2629&gt;=89,K2629&lt;=92),"3개월",
 AND(K2629&gt;=58,K2629&lt;=62),"2개월",
 AND(K2629&gt;=28,K2629&lt;=32),"1개월",
 AND(K2629=0),"당월",
 TRUE,"그외"
)</f>
        <v>3개월</v>
      </c>
    </row>
    <row r="2630" spans="1:12" x14ac:dyDescent="0.3">
      <c r="A2630" s="5">
        <v>46054</v>
      </c>
      <c r="B2630" s="6" t="s">
        <v>20</v>
      </c>
      <c r="C2630" s="6" t="s">
        <v>30</v>
      </c>
      <c r="D2630" s="5">
        <v>45962</v>
      </c>
      <c r="E2630" s="6" t="s">
        <v>15</v>
      </c>
      <c r="F2630" s="7">
        <v>734</v>
      </c>
      <c r="G2630" s="7">
        <v>182773.57084468659</v>
      </c>
      <c r="H2630" s="7">
        <v>134155801</v>
      </c>
      <c r="I2630" s="7">
        <v>11241147</v>
      </c>
      <c r="J2630" s="7">
        <v>0</v>
      </c>
      <c r="K2630">
        <f t="shared" si="40"/>
        <v>92</v>
      </c>
      <c r="L2630" s="8" t="str" cm="1">
        <f t="array" ref="L2630">_xlfn.IFS(
 AND(K2630&gt;=89,K2630&lt;=92),"3개월",
 AND(K2630&gt;=58,K2630&lt;=62),"2개월",
 AND(K2630&gt;=28,K2630&lt;=32),"1개월",
 AND(K2630=0),"당월",
 TRUE,"그외"
)</f>
        <v>3개월</v>
      </c>
    </row>
    <row r="2631" spans="1:12" x14ac:dyDescent="0.3">
      <c r="A2631" s="5">
        <v>46054</v>
      </c>
      <c r="B2631" s="6" t="s">
        <v>20</v>
      </c>
      <c r="C2631" s="6" t="s">
        <v>30</v>
      </c>
      <c r="D2631" s="5">
        <v>45992</v>
      </c>
      <c r="E2631" s="6" t="s">
        <v>14</v>
      </c>
      <c r="F2631" s="7">
        <v>18</v>
      </c>
      <c r="G2631" s="7">
        <v>120035.55555555561</v>
      </c>
      <c r="H2631" s="7">
        <v>2160640</v>
      </c>
      <c r="I2631" s="7">
        <v>491067</v>
      </c>
      <c r="J2631" s="7">
        <v>0</v>
      </c>
      <c r="K2631">
        <f t="shared" si="40"/>
        <v>62</v>
      </c>
      <c r="L2631" s="8" t="str" cm="1">
        <f t="array" ref="L2631">_xlfn.IFS(
 AND(K2631&gt;=89,K2631&lt;=92),"3개월",
 AND(K2631&gt;=58,K2631&lt;=62),"2개월",
 AND(K2631&gt;=28,K2631&lt;=32),"1개월",
 AND(K2631=0),"당월",
 TRUE,"그외"
)</f>
        <v>2개월</v>
      </c>
    </row>
    <row r="2632" spans="1:12" x14ac:dyDescent="0.3">
      <c r="A2632" s="5">
        <v>46054</v>
      </c>
      <c r="B2632" s="6" t="s">
        <v>20</v>
      </c>
      <c r="C2632" s="6" t="s">
        <v>30</v>
      </c>
      <c r="D2632" s="5">
        <v>45992</v>
      </c>
      <c r="E2632" s="6" t="s">
        <v>15</v>
      </c>
      <c r="F2632" s="7">
        <v>3940</v>
      </c>
      <c r="G2632" s="7">
        <v>161275.36548223349</v>
      </c>
      <c r="H2632" s="7">
        <v>635424940</v>
      </c>
      <c r="I2632" s="7">
        <v>56355250</v>
      </c>
      <c r="J2632" s="7">
        <v>0</v>
      </c>
      <c r="K2632">
        <f t="shared" si="40"/>
        <v>62</v>
      </c>
      <c r="L2632" s="8" t="str" cm="1">
        <f t="array" ref="L2632">_xlfn.IFS(
 AND(K2632&gt;=89,K2632&lt;=92),"3개월",
 AND(K2632&gt;=58,K2632&lt;=62),"2개월",
 AND(K2632&gt;=28,K2632&lt;=32),"1개월",
 AND(K2632=0),"당월",
 TRUE,"그외"
)</f>
        <v>2개월</v>
      </c>
    </row>
    <row r="2633" spans="1:12" x14ac:dyDescent="0.3">
      <c r="A2633" s="5">
        <v>46054</v>
      </c>
      <c r="B2633" s="6" t="s">
        <v>20</v>
      </c>
      <c r="C2633" s="6" t="s">
        <v>30</v>
      </c>
      <c r="D2633" s="5">
        <v>46023</v>
      </c>
      <c r="E2633" s="6" t="s">
        <v>14</v>
      </c>
      <c r="F2633" s="7">
        <v>1746</v>
      </c>
      <c r="G2633" s="7">
        <v>126655.5063001145</v>
      </c>
      <c r="H2633" s="7">
        <v>221140514</v>
      </c>
      <c r="I2633" s="7">
        <v>20978054</v>
      </c>
      <c r="J2633" s="7">
        <v>0</v>
      </c>
      <c r="K2633">
        <f t="shared" si="40"/>
        <v>31</v>
      </c>
      <c r="L2633" s="8" t="str" cm="1">
        <f t="array" ref="L2633">_xlfn.IFS(
 AND(K2633&gt;=89,K2633&lt;=92),"3개월",
 AND(K2633&gt;=58,K2633&lt;=62),"2개월",
 AND(K2633&gt;=28,K2633&lt;=32),"1개월",
 AND(K2633=0),"당월",
 TRUE,"그외"
)</f>
        <v>1개월</v>
      </c>
    </row>
    <row r="2634" spans="1:12" x14ac:dyDescent="0.3">
      <c r="A2634" s="5">
        <v>46054</v>
      </c>
      <c r="B2634" s="6" t="s">
        <v>20</v>
      </c>
      <c r="C2634" s="6" t="s">
        <v>30</v>
      </c>
      <c r="D2634" s="5">
        <v>46023</v>
      </c>
      <c r="E2634" s="6" t="s">
        <v>15</v>
      </c>
      <c r="F2634" s="7">
        <v>8436</v>
      </c>
      <c r="G2634" s="7">
        <v>188498.60395922241</v>
      </c>
      <c r="H2634" s="7">
        <v>1590174223</v>
      </c>
      <c r="I2634" s="7">
        <v>126913187</v>
      </c>
      <c r="J2634" s="7">
        <v>0</v>
      </c>
      <c r="K2634">
        <f t="shared" ref="K2634:K2697" si="41">A2634-D2634</f>
        <v>31</v>
      </c>
      <c r="L2634" s="8" t="str" cm="1">
        <f t="array" ref="L2634">_xlfn.IFS(
 AND(K2634&gt;=89,K2634&lt;=92),"3개월",
 AND(K2634&gt;=58,K2634&lt;=62),"2개월",
 AND(K2634&gt;=28,K2634&lt;=32),"1개월",
 AND(K2634=0),"당월",
 TRUE,"그외"
)</f>
        <v>1개월</v>
      </c>
    </row>
    <row r="2635" spans="1:12" x14ac:dyDescent="0.3">
      <c r="A2635" s="5">
        <v>46054</v>
      </c>
      <c r="B2635" s="6" t="s">
        <v>20</v>
      </c>
      <c r="C2635" s="6" t="s">
        <v>30</v>
      </c>
      <c r="D2635" s="5">
        <v>46054</v>
      </c>
      <c r="E2635" s="6" t="s">
        <v>14</v>
      </c>
      <c r="F2635" s="7">
        <v>2577</v>
      </c>
      <c r="G2635" s="7">
        <v>106884.01241753979</v>
      </c>
      <c r="H2635" s="7">
        <v>275440100</v>
      </c>
      <c r="I2635" s="7">
        <v>18857100</v>
      </c>
      <c r="J2635" s="7">
        <v>0</v>
      </c>
      <c r="K2635">
        <f t="shared" si="41"/>
        <v>0</v>
      </c>
      <c r="L2635" s="8" t="str" cm="1">
        <f t="array" ref="L2635">_xlfn.IFS(
 AND(K2635&gt;=89,K2635&lt;=92),"3개월",
 AND(K2635&gt;=58,K2635&lt;=62),"2개월",
 AND(K2635&gt;=28,K2635&lt;=32),"1개월",
 AND(K2635=0),"당월",
 TRUE,"그외"
)</f>
        <v>당월</v>
      </c>
    </row>
    <row r="2636" spans="1:12" x14ac:dyDescent="0.3">
      <c r="A2636" s="5">
        <v>46054</v>
      </c>
      <c r="B2636" s="6" t="s">
        <v>20</v>
      </c>
      <c r="C2636" s="6" t="s">
        <v>30</v>
      </c>
      <c r="D2636" s="5">
        <v>46054</v>
      </c>
      <c r="E2636" s="6" t="s">
        <v>15</v>
      </c>
      <c r="F2636" s="7">
        <v>1783</v>
      </c>
      <c r="G2636" s="7">
        <v>227108.37352776219</v>
      </c>
      <c r="H2636" s="7">
        <v>404934230</v>
      </c>
      <c r="I2636" s="7">
        <v>25122851</v>
      </c>
      <c r="J2636" s="7">
        <v>0</v>
      </c>
      <c r="K2636">
        <f t="shared" si="41"/>
        <v>0</v>
      </c>
      <c r="L2636" s="8" t="str" cm="1">
        <f t="array" ref="L2636">_xlfn.IFS(
 AND(K2636&gt;=89,K2636&lt;=92),"3개월",
 AND(K2636&gt;=58,K2636&lt;=62),"2개월",
 AND(K2636&gt;=28,K2636&lt;=32),"1개월",
 AND(K2636=0),"당월",
 TRUE,"그외"
)</f>
        <v>당월</v>
      </c>
    </row>
    <row r="2637" spans="1:12" x14ac:dyDescent="0.3">
      <c r="A2637" s="5">
        <v>46054</v>
      </c>
      <c r="B2637" s="6" t="s">
        <v>20</v>
      </c>
      <c r="C2637" s="6" t="s">
        <v>31</v>
      </c>
      <c r="D2637" s="5">
        <v>45839</v>
      </c>
      <c r="E2637" s="6" t="s">
        <v>15</v>
      </c>
      <c r="F2637" s="7">
        <v>9</v>
      </c>
      <c r="G2637" s="7">
        <v>222612.77777777781</v>
      </c>
      <c r="H2637" s="7">
        <v>2003515</v>
      </c>
      <c r="I2637" s="7">
        <v>78656</v>
      </c>
      <c r="J2637" s="7">
        <v>0</v>
      </c>
      <c r="K2637">
        <f t="shared" si="41"/>
        <v>215</v>
      </c>
      <c r="L2637" s="8" t="str" cm="1">
        <f t="array" ref="L2637">_xlfn.IFS(
 AND(K2637&gt;=89,K2637&lt;=92),"3개월",
 AND(K2637&gt;=58,K2637&lt;=62),"2개월",
 AND(K2637&gt;=28,K2637&lt;=32),"1개월",
 AND(K2637=0),"당월",
 TRUE,"그외"
)</f>
        <v>그외</v>
      </c>
    </row>
    <row r="2638" spans="1:12" x14ac:dyDescent="0.3">
      <c r="A2638" s="5">
        <v>46054</v>
      </c>
      <c r="B2638" s="6" t="s">
        <v>20</v>
      </c>
      <c r="C2638" s="6" t="s">
        <v>31</v>
      </c>
      <c r="D2638" s="5">
        <v>45870</v>
      </c>
      <c r="E2638" s="6" t="s">
        <v>14</v>
      </c>
      <c r="F2638" s="7">
        <v>6</v>
      </c>
      <c r="G2638" s="7">
        <v>119600</v>
      </c>
      <c r="H2638" s="7">
        <v>717600</v>
      </c>
      <c r="I2638" s="7">
        <v>57600</v>
      </c>
      <c r="J2638" s="7">
        <v>0</v>
      </c>
      <c r="K2638">
        <f t="shared" si="41"/>
        <v>184</v>
      </c>
      <c r="L2638" s="8" t="str" cm="1">
        <f t="array" ref="L2638">_xlfn.IFS(
 AND(K2638&gt;=89,K2638&lt;=92),"3개월",
 AND(K2638&gt;=58,K2638&lt;=62),"2개월",
 AND(K2638&gt;=28,K2638&lt;=32),"1개월",
 AND(K2638=0),"당월",
 TRUE,"그외"
)</f>
        <v>그외</v>
      </c>
    </row>
    <row r="2639" spans="1:12" x14ac:dyDescent="0.3">
      <c r="A2639" s="5">
        <v>46054</v>
      </c>
      <c r="B2639" s="6" t="s">
        <v>20</v>
      </c>
      <c r="C2639" s="6" t="s">
        <v>31</v>
      </c>
      <c r="D2639" s="5">
        <v>45870</v>
      </c>
      <c r="E2639" s="6" t="s">
        <v>15</v>
      </c>
      <c r="F2639" s="7">
        <v>57</v>
      </c>
      <c r="G2639" s="7">
        <v>123868.0701754386</v>
      </c>
      <c r="H2639" s="7">
        <v>7060480</v>
      </c>
      <c r="I2639" s="7">
        <v>583857</v>
      </c>
      <c r="J2639" s="7">
        <v>0</v>
      </c>
      <c r="K2639">
        <f t="shared" si="41"/>
        <v>184</v>
      </c>
      <c r="L2639" s="8" t="str" cm="1">
        <f t="array" ref="L2639">_xlfn.IFS(
 AND(K2639&gt;=89,K2639&lt;=92),"3개월",
 AND(K2639&gt;=58,K2639&lt;=62),"2개월",
 AND(K2639&gt;=28,K2639&lt;=32),"1개월",
 AND(K2639=0),"당월",
 TRUE,"그외"
)</f>
        <v>그외</v>
      </c>
    </row>
    <row r="2640" spans="1:12" x14ac:dyDescent="0.3">
      <c r="A2640" s="5">
        <v>46054</v>
      </c>
      <c r="B2640" s="6" t="s">
        <v>20</v>
      </c>
      <c r="C2640" s="6" t="s">
        <v>31</v>
      </c>
      <c r="D2640" s="5">
        <v>45901</v>
      </c>
      <c r="E2640" s="6" t="s">
        <v>15</v>
      </c>
      <c r="F2640" s="7">
        <v>67</v>
      </c>
      <c r="G2640" s="7">
        <v>175490.11940298509</v>
      </c>
      <c r="H2640" s="7">
        <v>11757838</v>
      </c>
      <c r="I2640" s="7">
        <v>829196</v>
      </c>
      <c r="J2640" s="7">
        <v>0</v>
      </c>
      <c r="K2640">
        <f t="shared" si="41"/>
        <v>153</v>
      </c>
      <c r="L2640" s="8" t="str" cm="1">
        <f t="array" ref="L2640">_xlfn.IFS(
 AND(K2640&gt;=89,K2640&lt;=92),"3개월",
 AND(K2640&gt;=58,K2640&lt;=62),"2개월",
 AND(K2640&gt;=28,K2640&lt;=32),"1개월",
 AND(K2640=0),"당월",
 TRUE,"그외"
)</f>
        <v>그외</v>
      </c>
    </row>
    <row r="2641" spans="1:12" x14ac:dyDescent="0.3">
      <c r="A2641" s="5">
        <v>46054</v>
      </c>
      <c r="B2641" s="6" t="s">
        <v>20</v>
      </c>
      <c r="C2641" s="6" t="s">
        <v>31</v>
      </c>
      <c r="D2641" s="5">
        <v>45931</v>
      </c>
      <c r="E2641" s="6" t="s">
        <v>14</v>
      </c>
      <c r="F2641" s="7">
        <v>8</v>
      </c>
      <c r="G2641" s="7">
        <v>149715.5</v>
      </c>
      <c r="H2641" s="7">
        <v>1197724</v>
      </c>
      <c r="I2641" s="7">
        <v>155084</v>
      </c>
      <c r="J2641" s="7">
        <v>0</v>
      </c>
      <c r="K2641">
        <f t="shared" si="41"/>
        <v>123</v>
      </c>
      <c r="L2641" s="8" t="str" cm="1">
        <f t="array" ref="L2641">_xlfn.IFS(
 AND(K2641&gt;=89,K2641&lt;=92),"3개월",
 AND(K2641&gt;=58,K2641&lt;=62),"2개월",
 AND(K2641&gt;=28,K2641&lt;=32),"1개월",
 AND(K2641=0),"당월",
 TRUE,"그외"
)</f>
        <v>그외</v>
      </c>
    </row>
    <row r="2642" spans="1:12" x14ac:dyDescent="0.3">
      <c r="A2642" s="5">
        <v>46054</v>
      </c>
      <c r="B2642" s="6" t="s">
        <v>20</v>
      </c>
      <c r="C2642" s="6" t="s">
        <v>31</v>
      </c>
      <c r="D2642" s="5">
        <v>45931</v>
      </c>
      <c r="E2642" s="6" t="s">
        <v>15</v>
      </c>
      <c r="F2642" s="7">
        <v>413</v>
      </c>
      <c r="G2642" s="7">
        <v>163320.98547215501</v>
      </c>
      <c r="H2642" s="7">
        <v>67451567</v>
      </c>
      <c r="I2642" s="7">
        <v>5342230</v>
      </c>
      <c r="J2642" s="7">
        <v>0</v>
      </c>
      <c r="K2642">
        <f t="shared" si="41"/>
        <v>123</v>
      </c>
      <c r="L2642" s="8" t="str" cm="1">
        <f t="array" ref="L2642">_xlfn.IFS(
 AND(K2642&gt;=89,K2642&lt;=92),"3개월",
 AND(K2642&gt;=58,K2642&lt;=62),"2개월",
 AND(K2642&gt;=28,K2642&lt;=32),"1개월",
 AND(K2642=0),"당월",
 TRUE,"그외"
)</f>
        <v>그외</v>
      </c>
    </row>
    <row r="2643" spans="1:12" x14ac:dyDescent="0.3">
      <c r="A2643" s="5">
        <v>46054</v>
      </c>
      <c r="B2643" s="6" t="s">
        <v>20</v>
      </c>
      <c r="C2643" s="6" t="s">
        <v>31</v>
      </c>
      <c r="D2643" s="5">
        <v>45962</v>
      </c>
      <c r="E2643" s="6" t="s">
        <v>14</v>
      </c>
      <c r="F2643" s="7">
        <v>6</v>
      </c>
      <c r="G2643" s="7">
        <v>150951.33333333331</v>
      </c>
      <c r="H2643" s="7">
        <v>905708</v>
      </c>
      <c r="I2643" s="7">
        <v>136152</v>
      </c>
      <c r="J2643" s="7">
        <v>0</v>
      </c>
      <c r="K2643">
        <f t="shared" si="41"/>
        <v>92</v>
      </c>
      <c r="L2643" s="8" t="str" cm="1">
        <f t="array" ref="L2643">_xlfn.IFS(
 AND(K2643&gt;=89,K2643&lt;=92),"3개월",
 AND(K2643&gt;=58,K2643&lt;=62),"2개월",
 AND(K2643&gt;=28,K2643&lt;=32),"1개월",
 AND(K2643=0),"당월",
 TRUE,"그외"
)</f>
        <v>3개월</v>
      </c>
    </row>
    <row r="2644" spans="1:12" x14ac:dyDescent="0.3">
      <c r="A2644" s="5">
        <v>46054</v>
      </c>
      <c r="B2644" s="6" t="s">
        <v>20</v>
      </c>
      <c r="C2644" s="6" t="s">
        <v>31</v>
      </c>
      <c r="D2644" s="5">
        <v>45962</v>
      </c>
      <c r="E2644" s="6" t="s">
        <v>15</v>
      </c>
      <c r="F2644" s="7">
        <v>766</v>
      </c>
      <c r="G2644" s="7">
        <v>166464.33420365539</v>
      </c>
      <c r="H2644" s="7">
        <v>127511680</v>
      </c>
      <c r="I2644" s="7">
        <v>10590295</v>
      </c>
      <c r="J2644" s="7">
        <v>0</v>
      </c>
      <c r="K2644">
        <f t="shared" si="41"/>
        <v>92</v>
      </c>
      <c r="L2644" s="8" t="str" cm="1">
        <f t="array" ref="L2644">_xlfn.IFS(
 AND(K2644&gt;=89,K2644&lt;=92),"3개월",
 AND(K2644&gt;=58,K2644&lt;=62),"2개월",
 AND(K2644&gt;=28,K2644&lt;=32),"1개월",
 AND(K2644=0),"당월",
 TRUE,"그외"
)</f>
        <v>3개월</v>
      </c>
    </row>
    <row r="2645" spans="1:12" x14ac:dyDescent="0.3">
      <c r="A2645" s="5">
        <v>46054</v>
      </c>
      <c r="B2645" s="6" t="s">
        <v>20</v>
      </c>
      <c r="C2645" s="6" t="s">
        <v>31</v>
      </c>
      <c r="D2645" s="5">
        <v>45992</v>
      </c>
      <c r="E2645" s="6" t="s">
        <v>14</v>
      </c>
      <c r="F2645" s="7">
        <v>59</v>
      </c>
      <c r="G2645" s="7">
        <v>188759.9152542373</v>
      </c>
      <c r="H2645" s="7">
        <v>11136835</v>
      </c>
      <c r="I2645" s="7">
        <v>1488584</v>
      </c>
      <c r="J2645" s="7">
        <v>0</v>
      </c>
      <c r="K2645">
        <f t="shared" si="41"/>
        <v>62</v>
      </c>
      <c r="L2645" s="8" t="str" cm="1">
        <f t="array" ref="L2645">_xlfn.IFS(
 AND(K2645&gt;=89,K2645&lt;=92),"3개월",
 AND(K2645&gt;=58,K2645&lt;=62),"2개월",
 AND(K2645&gt;=28,K2645&lt;=32),"1개월",
 AND(K2645=0),"당월",
 TRUE,"그외"
)</f>
        <v>2개월</v>
      </c>
    </row>
    <row r="2646" spans="1:12" x14ac:dyDescent="0.3">
      <c r="A2646" s="5">
        <v>46054</v>
      </c>
      <c r="B2646" s="6" t="s">
        <v>20</v>
      </c>
      <c r="C2646" s="6" t="s">
        <v>31</v>
      </c>
      <c r="D2646" s="5">
        <v>45992</v>
      </c>
      <c r="E2646" s="6" t="s">
        <v>15</v>
      </c>
      <c r="F2646" s="7">
        <v>2114</v>
      </c>
      <c r="G2646" s="7">
        <v>149636.2123935667</v>
      </c>
      <c r="H2646" s="7">
        <v>316330953</v>
      </c>
      <c r="I2646" s="7">
        <v>30744916</v>
      </c>
      <c r="J2646" s="7">
        <v>0</v>
      </c>
      <c r="K2646">
        <f t="shared" si="41"/>
        <v>62</v>
      </c>
      <c r="L2646" s="8" t="str" cm="1">
        <f t="array" ref="L2646">_xlfn.IFS(
 AND(K2646&gt;=89,K2646&lt;=92),"3개월",
 AND(K2646&gt;=58,K2646&lt;=62),"2개월",
 AND(K2646&gt;=28,K2646&lt;=32),"1개월",
 AND(K2646=0),"당월",
 TRUE,"그외"
)</f>
        <v>2개월</v>
      </c>
    </row>
    <row r="2647" spans="1:12" x14ac:dyDescent="0.3">
      <c r="A2647" s="5">
        <v>46054</v>
      </c>
      <c r="B2647" s="6" t="s">
        <v>20</v>
      </c>
      <c r="C2647" s="6" t="s">
        <v>31</v>
      </c>
      <c r="D2647" s="5">
        <v>46023</v>
      </c>
      <c r="E2647" s="6" t="s">
        <v>14</v>
      </c>
      <c r="F2647" s="7">
        <v>661</v>
      </c>
      <c r="G2647" s="7">
        <v>152566.48108925871</v>
      </c>
      <c r="H2647" s="7">
        <v>100846444</v>
      </c>
      <c r="I2647" s="7">
        <v>12251332</v>
      </c>
      <c r="J2647" s="7">
        <v>0</v>
      </c>
      <c r="K2647">
        <f t="shared" si="41"/>
        <v>31</v>
      </c>
      <c r="L2647" s="8" t="str" cm="1">
        <f t="array" ref="L2647">_xlfn.IFS(
 AND(K2647&gt;=89,K2647&lt;=92),"3개월",
 AND(K2647&gt;=58,K2647&lt;=62),"2개월",
 AND(K2647&gt;=28,K2647&lt;=32),"1개월",
 AND(K2647=0),"당월",
 TRUE,"그외"
)</f>
        <v>1개월</v>
      </c>
    </row>
    <row r="2648" spans="1:12" x14ac:dyDescent="0.3">
      <c r="A2648" s="5">
        <v>46054</v>
      </c>
      <c r="B2648" s="6" t="s">
        <v>20</v>
      </c>
      <c r="C2648" s="6" t="s">
        <v>31</v>
      </c>
      <c r="D2648" s="5">
        <v>46023</v>
      </c>
      <c r="E2648" s="6" t="s">
        <v>15</v>
      </c>
      <c r="F2648" s="7">
        <v>4381</v>
      </c>
      <c r="G2648" s="7">
        <v>190627.11390093589</v>
      </c>
      <c r="H2648" s="7">
        <v>835137386</v>
      </c>
      <c r="I2648" s="7">
        <v>68385883</v>
      </c>
      <c r="J2648" s="7">
        <v>0</v>
      </c>
      <c r="K2648">
        <f t="shared" si="41"/>
        <v>31</v>
      </c>
      <c r="L2648" s="8" t="str" cm="1">
        <f t="array" ref="L2648">_xlfn.IFS(
 AND(K2648&gt;=89,K2648&lt;=92),"3개월",
 AND(K2648&gt;=58,K2648&lt;=62),"2개월",
 AND(K2648&gt;=28,K2648&lt;=32),"1개월",
 AND(K2648=0),"당월",
 TRUE,"그외"
)</f>
        <v>1개월</v>
      </c>
    </row>
    <row r="2649" spans="1:12" x14ac:dyDescent="0.3">
      <c r="A2649" s="5">
        <v>46054</v>
      </c>
      <c r="B2649" s="6" t="s">
        <v>20</v>
      </c>
      <c r="C2649" s="6" t="s">
        <v>31</v>
      </c>
      <c r="D2649" s="5">
        <v>46054</v>
      </c>
      <c r="E2649" s="6" t="s">
        <v>14</v>
      </c>
      <c r="F2649" s="7">
        <v>433</v>
      </c>
      <c r="G2649" s="7">
        <v>145145.558891455</v>
      </c>
      <c r="H2649" s="7">
        <v>62848027</v>
      </c>
      <c r="I2649" s="7">
        <v>3197709</v>
      </c>
      <c r="J2649" s="7">
        <v>0</v>
      </c>
      <c r="K2649">
        <f t="shared" si="41"/>
        <v>0</v>
      </c>
      <c r="L2649" s="8" t="str" cm="1">
        <f t="array" ref="L2649">_xlfn.IFS(
 AND(K2649&gt;=89,K2649&lt;=92),"3개월",
 AND(K2649&gt;=58,K2649&lt;=62),"2개월",
 AND(K2649&gt;=28,K2649&lt;=32),"1개월",
 AND(K2649=0),"당월",
 TRUE,"그외"
)</f>
        <v>당월</v>
      </c>
    </row>
    <row r="2650" spans="1:12" x14ac:dyDescent="0.3">
      <c r="A2650" s="5">
        <v>46054</v>
      </c>
      <c r="B2650" s="6" t="s">
        <v>20</v>
      </c>
      <c r="C2650" s="6" t="s">
        <v>31</v>
      </c>
      <c r="D2650" s="5">
        <v>46054</v>
      </c>
      <c r="E2650" s="6" t="s">
        <v>15</v>
      </c>
      <c r="F2650" s="7">
        <v>1063</v>
      </c>
      <c r="G2650" s="7">
        <v>221583.74600188149</v>
      </c>
      <c r="H2650" s="7">
        <v>235543522</v>
      </c>
      <c r="I2650" s="7">
        <v>16675931</v>
      </c>
      <c r="J2650" s="7">
        <v>0</v>
      </c>
      <c r="K2650">
        <f t="shared" si="41"/>
        <v>0</v>
      </c>
      <c r="L2650" s="8" t="str" cm="1">
        <f t="array" ref="L2650">_xlfn.IFS(
 AND(K2650&gt;=89,K2650&lt;=92),"3개월",
 AND(K2650&gt;=58,K2650&lt;=62),"2개월",
 AND(K2650&gt;=28,K2650&lt;=32),"1개월",
 AND(K2650=0),"당월",
 TRUE,"그외"
)</f>
        <v>당월</v>
      </c>
    </row>
    <row r="2651" spans="1:12" x14ac:dyDescent="0.3">
      <c r="A2651" s="5">
        <v>46054</v>
      </c>
      <c r="B2651" s="6" t="s">
        <v>20</v>
      </c>
      <c r="C2651" s="6" t="s">
        <v>32</v>
      </c>
      <c r="D2651" s="5">
        <v>45839</v>
      </c>
      <c r="E2651" s="6" t="s">
        <v>15</v>
      </c>
      <c r="F2651" s="7">
        <v>67</v>
      </c>
      <c r="G2651" s="7">
        <v>154364</v>
      </c>
      <c r="H2651" s="7">
        <v>10342388</v>
      </c>
      <c r="I2651" s="7">
        <v>901775</v>
      </c>
      <c r="J2651" s="7">
        <v>0</v>
      </c>
      <c r="K2651">
        <f t="shared" si="41"/>
        <v>215</v>
      </c>
      <c r="L2651" s="8" t="str" cm="1">
        <f t="array" ref="L2651">_xlfn.IFS(
 AND(K2651&gt;=89,K2651&lt;=92),"3개월",
 AND(K2651&gt;=58,K2651&lt;=62),"2개월",
 AND(K2651&gt;=28,K2651&lt;=32),"1개월",
 AND(K2651=0),"당월",
 TRUE,"그외"
)</f>
        <v>그외</v>
      </c>
    </row>
    <row r="2652" spans="1:12" x14ac:dyDescent="0.3">
      <c r="A2652" s="5">
        <v>46054</v>
      </c>
      <c r="B2652" s="6" t="s">
        <v>20</v>
      </c>
      <c r="C2652" s="6" t="s">
        <v>32</v>
      </c>
      <c r="D2652" s="5">
        <v>45870</v>
      </c>
      <c r="E2652" s="6" t="s">
        <v>15</v>
      </c>
      <c r="F2652" s="7">
        <v>263</v>
      </c>
      <c r="G2652" s="7">
        <v>149444.3688212928</v>
      </c>
      <c r="H2652" s="7">
        <v>39303869</v>
      </c>
      <c r="I2652" s="7">
        <v>4812382</v>
      </c>
      <c r="J2652" s="7">
        <v>0</v>
      </c>
      <c r="K2652">
        <f t="shared" si="41"/>
        <v>184</v>
      </c>
      <c r="L2652" s="8" t="str" cm="1">
        <f t="array" ref="L2652">_xlfn.IFS(
 AND(K2652&gt;=89,K2652&lt;=92),"3개월",
 AND(K2652&gt;=58,K2652&lt;=62),"2개월",
 AND(K2652&gt;=28,K2652&lt;=32),"1개월",
 AND(K2652=0),"당월",
 TRUE,"그외"
)</f>
        <v>그외</v>
      </c>
    </row>
    <row r="2653" spans="1:12" x14ac:dyDescent="0.3">
      <c r="A2653" s="5">
        <v>46054</v>
      </c>
      <c r="B2653" s="6" t="s">
        <v>20</v>
      </c>
      <c r="C2653" s="6" t="s">
        <v>32</v>
      </c>
      <c r="D2653" s="5">
        <v>45901</v>
      </c>
      <c r="E2653" s="6" t="s">
        <v>14</v>
      </c>
      <c r="F2653" s="7">
        <v>2</v>
      </c>
      <c r="G2653" s="7">
        <v>134160</v>
      </c>
      <c r="H2653" s="7">
        <v>268320</v>
      </c>
      <c r="I2653" s="7">
        <v>43160</v>
      </c>
      <c r="J2653" s="7">
        <v>0</v>
      </c>
      <c r="K2653">
        <f t="shared" si="41"/>
        <v>153</v>
      </c>
      <c r="L2653" s="8" t="str" cm="1">
        <f t="array" ref="L2653">_xlfn.IFS(
 AND(K2653&gt;=89,K2653&lt;=92),"3개월",
 AND(K2653&gt;=58,K2653&lt;=62),"2개월",
 AND(K2653&gt;=28,K2653&lt;=32),"1개월",
 AND(K2653=0),"당월",
 TRUE,"그외"
)</f>
        <v>그외</v>
      </c>
    </row>
    <row r="2654" spans="1:12" x14ac:dyDescent="0.3">
      <c r="A2654" s="5">
        <v>46054</v>
      </c>
      <c r="B2654" s="6" t="s">
        <v>20</v>
      </c>
      <c r="C2654" s="6" t="s">
        <v>32</v>
      </c>
      <c r="D2654" s="5">
        <v>45901</v>
      </c>
      <c r="E2654" s="6" t="s">
        <v>15</v>
      </c>
      <c r="F2654" s="7">
        <v>1244</v>
      </c>
      <c r="G2654" s="7">
        <v>157488.4220257235</v>
      </c>
      <c r="H2654" s="7">
        <v>195915597</v>
      </c>
      <c r="I2654" s="7">
        <v>22586256</v>
      </c>
      <c r="J2654" s="7">
        <v>0</v>
      </c>
      <c r="K2654">
        <f t="shared" si="41"/>
        <v>153</v>
      </c>
      <c r="L2654" s="8" t="str" cm="1">
        <f t="array" ref="L2654">_xlfn.IFS(
 AND(K2654&gt;=89,K2654&lt;=92),"3개월",
 AND(K2654&gt;=58,K2654&lt;=62),"2개월",
 AND(K2654&gt;=28,K2654&lt;=32),"1개월",
 AND(K2654=0),"당월",
 TRUE,"그외"
)</f>
        <v>그외</v>
      </c>
    </row>
    <row r="2655" spans="1:12" x14ac:dyDescent="0.3">
      <c r="A2655" s="5">
        <v>46054</v>
      </c>
      <c r="B2655" s="6" t="s">
        <v>20</v>
      </c>
      <c r="C2655" s="6" t="s">
        <v>32</v>
      </c>
      <c r="D2655" s="5">
        <v>45931</v>
      </c>
      <c r="E2655" s="6" t="s">
        <v>14</v>
      </c>
      <c r="F2655" s="7">
        <v>12</v>
      </c>
      <c r="G2655" s="7">
        <v>168367.66666666669</v>
      </c>
      <c r="H2655" s="7">
        <v>2020412</v>
      </c>
      <c r="I2655" s="7">
        <v>349440</v>
      </c>
      <c r="J2655" s="7">
        <v>0</v>
      </c>
      <c r="K2655">
        <f t="shared" si="41"/>
        <v>123</v>
      </c>
      <c r="L2655" s="8" t="str" cm="1">
        <f t="array" ref="L2655">_xlfn.IFS(
 AND(K2655&gt;=89,K2655&lt;=92),"3개월",
 AND(K2655&gt;=58,K2655&lt;=62),"2개월",
 AND(K2655&gt;=28,K2655&lt;=32),"1개월",
 AND(K2655=0),"당월",
 TRUE,"그외"
)</f>
        <v>그외</v>
      </c>
    </row>
    <row r="2656" spans="1:12" x14ac:dyDescent="0.3">
      <c r="A2656" s="5">
        <v>46054</v>
      </c>
      <c r="B2656" s="6" t="s">
        <v>20</v>
      </c>
      <c r="C2656" s="6" t="s">
        <v>32</v>
      </c>
      <c r="D2656" s="5">
        <v>45931</v>
      </c>
      <c r="E2656" s="6" t="s">
        <v>15</v>
      </c>
      <c r="F2656" s="7">
        <v>3955</v>
      </c>
      <c r="G2656" s="7">
        <v>181167.01087231349</v>
      </c>
      <c r="H2656" s="7">
        <v>716515528</v>
      </c>
      <c r="I2656" s="7">
        <v>83427283</v>
      </c>
      <c r="J2656" s="7">
        <v>0</v>
      </c>
      <c r="K2656">
        <f t="shared" si="41"/>
        <v>123</v>
      </c>
      <c r="L2656" s="8" t="str" cm="1">
        <f t="array" ref="L2656">_xlfn.IFS(
 AND(K2656&gt;=89,K2656&lt;=92),"3개월",
 AND(K2656&gt;=58,K2656&lt;=62),"2개월",
 AND(K2656&gt;=28,K2656&lt;=32),"1개월",
 AND(K2656=0),"당월",
 TRUE,"그외"
)</f>
        <v>그외</v>
      </c>
    </row>
    <row r="2657" spans="1:12" x14ac:dyDescent="0.3">
      <c r="A2657" s="5">
        <v>46054</v>
      </c>
      <c r="B2657" s="6" t="s">
        <v>20</v>
      </c>
      <c r="C2657" s="6" t="s">
        <v>32</v>
      </c>
      <c r="D2657" s="5">
        <v>45962</v>
      </c>
      <c r="E2657" s="6" t="s">
        <v>14</v>
      </c>
      <c r="F2657" s="7">
        <v>102</v>
      </c>
      <c r="G2657" s="7">
        <v>180408.09803921569</v>
      </c>
      <c r="H2657" s="7">
        <v>18401626</v>
      </c>
      <c r="I2657" s="7">
        <v>2972818</v>
      </c>
      <c r="J2657" s="7">
        <v>0</v>
      </c>
      <c r="K2657">
        <f t="shared" si="41"/>
        <v>92</v>
      </c>
      <c r="L2657" s="8" t="str" cm="1">
        <f t="array" ref="L2657">_xlfn.IFS(
 AND(K2657&gt;=89,K2657&lt;=92),"3개월",
 AND(K2657&gt;=58,K2657&lt;=62),"2개월",
 AND(K2657&gt;=28,K2657&lt;=32),"1개월",
 AND(K2657=0),"당월",
 TRUE,"그외"
)</f>
        <v>3개월</v>
      </c>
    </row>
    <row r="2658" spans="1:12" x14ac:dyDescent="0.3">
      <c r="A2658" s="5">
        <v>46054</v>
      </c>
      <c r="B2658" s="6" t="s">
        <v>20</v>
      </c>
      <c r="C2658" s="6" t="s">
        <v>32</v>
      </c>
      <c r="D2658" s="5">
        <v>45962</v>
      </c>
      <c r="E2658" s="6" t="s">
        <v>15</v>
      </c>
      <c r="F2658" s="7">
        <v>5217</v>
      </c>
      <c r="G2658" s="7">
        <v>189768.98562392179</v>
      </c>
      <c r="H2658" s="7">
        <v>990024798</v>
      </c>
      <c r="I2658" s="7">
        <v>112802551</v>
      </c>
      <c r="J2658" s="7">
        <v>0</v>
      </c>
      <c r="K2658">
        <f t="shared" si="41"/>
        <v>92</v>
      </c>
      <c r="L2658" s="8" t="str" cm="1">
        <f t="array" ref="L2658">_xlfn.IFS(
 AND(K2658&gt;=89,K2658&lt;=92),"3개월",
 AND(K2658&gt;=58,K2658&lt;=62),"2개월",
 AND(K2658&gt;=28,K2658&lt;=32),"1개월",
 AND(K2658=0),"당월",
 TRUE,"그외"
)</f>
        <v>3개월</v>
      </c>
    </row>
    <row r="2659" spans="1:12" x14ac:dyDescent="0.3">
      <c r="A2659" s="5">
        <v>46054</v>
      </c>
      <c r="B2659" s="6" t="s">
        <v>20</v>
      </c>
      <c r="C2659" s="6" t="s">
        <v>32</v>
      </c>
      <c r="D2659" s="5">
        <v>45992</v>
      </c>
      <c r="E2659" s="6" t="s">
        <v>14</v>
      </c>
      <c r="F2659" s="7">
        <v>346</v>
      </c>
      <c r="G2659" s="7">
        <v>172128.3121387283</v>
      </c>
      <c r="H2659" s="7">
        <v>59556396</v>
      </c>
      <c r="I2659" s="7">
        <v>8469307</v>
      </c>
      <c r="J2659" s="7">
        <v>0</v>
      </c>
      <c r="K2659">
        <f t="shared" si="41"/>
        <v>62</v>
      </c>
      <c r="L2659" s="8" t="str" cm="1">
        <f t="array" ref="L2659">_xlfn.IFS(
 AND(K2659&gt;=89,K2659&lt;=92),"3개월",
 AND(K2659&gt;=58,K2659&lt;=62),"2개월",
 AND(K2659&gt;=28,K2659&lt;=32),"1개월",
 AND(K2659=0),"당월",
 TRUE,"그외"
)</f>
        <v>2개월</v>
      </c>
    </row>
    <row r="2660" spans="1:12" x14ac:dyDescent="0.3">
      <c r="A2660" s="5">
        <v>46054</v>
      </c>
      <c r="B2660" s="6" t="s">
        <v>20</v>
      </c>
      <c r="C2660" s="6" t="s">
        <v>32</v>
      </c>
      <c r="D2660" s="5">
        <v>45992</v>
      </c>
      <c r="E2660" s="6" t="s">
        <v>15</v>
      </c>
      <c r="F2660" s="7">
        <v>7615</v>
      </c>
      <c r="G2660" s="7">
        <v>201728.35521996059</v>
      </c>
      <c r="H2660" s="7">
        <v>1536161425</v>
      </c>
      <c r="I2660" s="7">
        <v>178621265</v>
      </c>
      <c r="J2660" s="7">
        <v>0</v>
      </c>
      <c r="K2660">
        <f t="shared" si="41"/>
        <v>62</v>
      </c>
      <c r="L2660" s="8" t="str" cm="1">
        <f t="array" ref="L2660">_xlfn.IFS(
 AND(K2660&gt;=89,K2660&lt;=92),"3개월",
 AND(K2660&gt;=58,K2660&lt;=62),"2개월",
 AND(K2660&gt;=28,K2660&lt;=32),"1개월",
 AND(K2660=0),"당월",
 TRUE,"그외"
)</f>
        <v>2개월</v>
      </c>
    </row>
    <row r="2661" spans="1:12" x14ac:dyDescent="0.3">
      <c r="A2661" s="5">
        <v>46054</v>
      </c>
      <c r="B2661" s="6" t="s">
        <v>20</v>
      </c>
      <c r="C2661" s="6" t="s">
        <v>32</v>
      </c>
      <c r="D2661" s="5">
        <v>46023</v>
      </c>
      <c r="E2661" s="6" t="s">
        <v>14</v>
      </c>
      <c r="F2661" s="7">
        <v>3455</v>
      </c>
      <c r="G2661" s="7">
        <v>221556.1056439942</v>
      </c>
      <c r="H2661" s="7">
        <v>765476345</v>
      </c>
      <c r="I2661" s="7">
        <v>72464238</v>
      </c>
      <c r="J2661" s="7">
        <v>0</v>
      </c>
      <c r="K2661">
        <f t="shared" si="41"/>
        <v>31</v>
      </c>
      <c r="L2661" s="8" t="str" cm="1">
        <f t="array" ref="L2661">_xlfn.IFS(
 AND(K2661&gt;=89,K2661&lt;=92),"3개월",
 AND(K2661&gt;=58,K2661&lt;=62),"2개월",
 AND(K2661&gt;=28,K2661&lt;=32),"1개월",
 AND(K2661=0),"당월",
 TRUE,"그외"
)</f>
        <v>1개월</v>
      </c>
    </row>
    <row r="2662" spans="1:12" x14ac:dyDescent="0.3">
      <c r="A2662" s="5">
        <v>46054</v>
      </c>
      <c r="B2662" s="6" t="s">
        <v>20</v>
      </c>
      <c r="C2662" s="6" t="s">
        <v>32</v>
      </c>
      <c r="D2662" s="5">
        <v>46023</v>
      </c>
      <c r="E2662" s="6" t="s">
        <v>15</v>
      </c>
      <c r="F2662" s="7">
        <v>23424</v>
      </c>
      <c r="G2662" s="7">
        <v>220493.4221738388</v>
      </c>
      <c r="H2662" s="7">
        <v>5164837921</v>
      </c>
      <c r="I2662" s="7">
        <v>553313016</v>
      </c>
      <c r="J2662" s="7">
        <v>0</v>
      </c>
      <c r="K2662">
        <f t="shared" si="41"/>
        <v>31</v>
      </c>
      <c r="L2662" s="8" t="str" cm="1">
        <f t="array" ref="L2662">_xlfn.IFS(
 AND(K2662&gt;=89,K2662&lt;=92),"3개월",
 AND(K2662&gt;=58,K2662&lt;=62),"2개월",
 AND(K2662&gt;=28,K2662&lt;=32),"1개월",
 AND(K2662=0),"당월",
 TRUE,"그외"
)</f>
        <v>1개월</v>
      </c>
    </row>
    <row r="2663" spans="1:12" x14ac:dyDescent="0.3">
      <c r="A2663" s="5">
        <v>46054</v>
      </c>
      <c r="B2663" s="6" t="s">
        <v>20</v>
      </c>
      <c r="C2663" s="6" t="s">
        <v>32</v>
      </c>
      <c r="D2663" s="5">
        <v>46054</v>
      </c>
      <c r="E2663" s="6" t="s">
        <v>14</v>
      </c>
      <c r="F2663" s="7">
        <v>3243</v>
      </c>
      <c r="G2663" s="7">
        <v>69792.934936786929</v>
      </c>
      <c r="H2663" s="7">
        <v>226338488</v>
      </c>
      <c r="I2663" s="7">
        <v>10072502</v>
      </c>
      <c r="J2663" s="7">
        <v>0</v>
      </c>
      <c r="K2663">
        <f t="shared" si="41"/>
        <v>0</v>
      </c>
      <c r="L2663" s="8" t="str" cm="1">
        <f t="array" ref="L2663">_xlfn.IFS(
 AND(K2663&gt;=89,K2663&lt;=92),"3개월",
 AND(K2663&gt;=58,K2663&lt;=62),"2개월",
 AND(K2663&gt;=28,K2663&lt;=32),"1개월",
 AND(K2663=0),"당월",
 TRUE,"그외"
)</f>
        <v>당월</v>
      </c>
    </row>
    <row r="2664" spans="1:12" x14ac:dyDescent="0.3">
      <c r="A2664" s="5">
        <v>46054</v>
      </c>
      <c r="B2664" s="6" t="s">
        <v>20</v>
      </c>
      <c r="C2664" s="6" t="s">
        <v>32</v>
      </c>
      <c r="D2664" s="5">
        <v>46054</v>
      </c>
      <c r="E2664" s="6" t="s">
        <v>15</v>
      </c>
      <c r="F2664" s="7">
        <v>7870</v>
      </c>
      <c r="G2664" s="7">
        <v>251880.46899618811</v>
      </c>
      <c r="H2664" s="7">
        <v>1982299291</v>
      </c>
      <c r="I2664" s="7">
        <v>164815083</v>
      </c>
      <c r="J2664" s="7">
        <v>0</v>
      </c>
      <c r="K2664">
        <f t="shared" si="41"/>
        <v>0</v>
      </c>
      <c r="L2664" s="8" t="str" cm="1">
        <f t="array" ref="L2664">_xlfn.IFS(
 AND(K2664&gt;=89,K2664&lt;=92),"3개월",
 AND(K2664&gt;=58,K2664&lt;=62),"2개월",
 AND(K2664&gt;=28,K2664&lt;=32),"1개월",
 AND(K2664=0),"당월",
 TRUE,"그외"
)</f>
        <v>당월</v>
      </c>
    </row>
    <row r="2665" spans="1:12" x14ac:dyDescent="0.3">
      <c r="A2665" s="5">
        <v>46054</v>
      </c>
      <c r="B2665" s="6" t="s">
        <v>20</v>
      </c>
      <c r="C2665" s="6" t="s">
        <v>33</v>
      </c>
      <c r="D2665" s="5">
        <v>45839</v>
      </c>
      <c r="E2665" s="6" t="s">
        <v>15</v>
      </c>
      <c r="F2665" s="7">
        <v>111</v>
      </c>
      <c r="G2665" s="7">
        <v>180405.1981981982</v>
      </c>
      <c r="H2665" s="7">
        <v>20024977</v>
      </c>
      <c r="I2665" s="7">
        <v>1839208</v>
      </c>
      <c r="J2665" s="7">
        <v>0</v>
      </c>
      <c r="K2665">
        <f t="shared" si="41"/>
        <v>215</v>
      </c>
      <c r="L2665" s="8" t="str" cm="1">
        <f t="array" ref="L2665">_xlfn.IFS(
 AND(K2665&gt;=89,K2665&lt;=92),"3개월",
 AND(K2665&gt;=58,K2665&lt;=62),"2개월",
 AND(K2665&gt;=28,K2665&lt;=32),"1개월",
 AND(K2665=0),"당월",
 TRUE,"그외"
)</f>
        <v>그외</v>
      </c>
    </row>
    <row r="2666" spans="1:12" x14ac:dyDescent="0.3">
      <c r="A2666" s="5">
        <v>46054</v>
      </c>
      <c r="B2666" s="6" t="s">
        <v>20</v>
      </c>
      <c r="C2666" s="6" t="s">
        <v>33</v>
      </c>
      <c r="D2666" s="5">
        <v>45870</v>
      </c>
      <c r="E2666" s="6" t="s">
        <v>15</v>
      </c>
      <c r="F2666" s="7">
        <v>356</v>
      </c>
      <c r="G2666" s="7">
        <v>220368.82022471909</v>
      </c>
      <c r="H2666" s="7">
        <v>78451300</v>
      </c>
      <c r="I2666" s="7">
        <v>6200288</v>
      </c>
      <c r="J2666" s="7">
        <v>0</v>
      </c>
      <c r="K2666">
        <f t="shared" si="41"/>
        <v>184</v>
      </c>
      <c r="L2666" s="8" t="str" cm="1">
        <f t="array" ref="L2666">_xlfn.IFS(
 AND(K2666&gt;=89,K2666&lt;=92),"3개월",
 AND(K2666&gt;=58,K2666&lt;=62),"2개월",
 AND(K2666&gt;=28,K2666&lt;=32),"1개월",
 AND(K2666=0),"당월",
 TRUE,"그외"
)</f>
        <v>그외</v>
      </c>
    </row>
    <row r="2667" spans="1:12" x14ac:dyDescent="0.3">
      <c r="A2667" s="5">
        <v>46054</v>
      </c>
      <c r="B2667" s="6" t="s">
        <v>20</v>
      </c>
      <c r="C2667" s="6" t="s">
        <v>33</v>
      </c>
      <c r="D2667" s="5">
        <v>45901</v>
      </c>
      <c r="E2667" s="6" t="s">
        <v>15</v>
      </c>
      <c r="F2667" s="7">
        <v>730</v>
      </c>
      <c r="G2667" s="7">
        <v>182166.00547945211</v>
      </c>
      <c r="H2667" s="7">
        <v>132981184</v>
      </c>
      <c r="I2667" s="7">
        <v>12712937</v>
      </c>
      <c r="J2667" s="7">
        <v>0</v>
      </c>
      <c r="K2667">
        <f t="shared" si="41"/>
        <v>153</v>
      </c>
      <c r="L2667" s="8" t="str" cm="1">
        <f t="array" ref="L2667">_xlfn.IFS(
 AND(K2667&gt;=89,K2667&lt;=92),"3개월",
 AND(K2667&gt;=58,K2667&lt;=62),"2개월",
 AND(K2667&gt;=28,K2667&lt;=32),"1개월",
 AND(K2667=0),"당월",
 TRUE,"그외"
)</f>
        <v>그외</v>
      </c>
    </row>
    <row r="2668" spans="1:12" x14ac:dyDescent="0.3">
      <c r="A2668" s="5">
        <v>46054</v>
      </c>
      <c r="B2668" s="6" t="s">
        <v>20</v>
      </c>
      <c r="C2668" s="6" t="s">
        <v>33</v>
      </c>
      <c r="D2668" s="5">
        <v>45931</v>
      </c>
      <c r="E2668" s="6" t="s">
        <v>15</v>
      </c>
      <c r="F2668" s="7">
        <v>1084</v>
      </c>
      <c r="G2668" s="7">
        <v>174566.88468634689</v>
      </c>
      <c r="H2668" s="7">
        <v>189230503</v>
      </c>
      <c r="I2668" s="7">
        <v>19443099</v>
      </c>
      <c r="J2668" s="7">
        <v>0</v>
      </c>
      <c r="K2668">
        <f t="shared" si="41"/>
        <v>123</v>
      </c>
      <c r="L2668" s="8" t="str" cm="1">
        <f t="array" ref="L2668">_xlfn.IFS(
 AND(K2668&gt;=89,K2668&lt;=92),"3개월",
 AND(K2668&gt;=58,K2668&lt;=62),"2개월",
 AND(K2668&gt;=28,K2668&lt;=32),"1개월",
 AND(K2668=0),"당월",
 TRUE,"그외"
)</f>
        <v>그외</v>
      </c>
    </row>
    <row r="2669" spans="1:12" x14ac:dyDescent="0.3">
      <c r="A2669" s="5">
        <v>46054</v>
      </c>
      <c r="B2669" s="6" t="s">
        <v>20</v>
      </c>
      <c r="C2669" s="6" t="s">
        <v>33</v>
      </c>
      <c r="D2669" s="5">
        <v>45962</v>
      </c>
      <c r="E2669" s="6" t="s">
        <v>14</v>
      </c>
      <c r="F2669" s="7">
        <v>36</v>
      </c>
      <c r="G2669" s="7">
        <v>180654.27777777781</v>
      </c>
      <c r="H2669" s="7">
        <v>6503554</v>
      </c>
      <c r="I2669" s="7">
        <v>855152</v>
      </c>
      <c r="J2669" s="7">
        <v>0</v>
      </c>
      <c r="K2669">
        <f t="shared" si="41"/>
        <v>92</v>
      </c>
      <c r="L2669" s="8" t="str" cm="1">
        <f t="array" ref="L2669">_xlfn.IFS(
 AND(K2669&gt;=89,K2669&lt;=92),"3개월",
 AND(K2669&gt;=58,K2669&lt;=62),"2개월",
 AND(K2669&gt;=28,K2669&lt;=32),"1개월",
 AND(K2669=0),"당월",
 TRUE,"그외"
)</f>
        <v>3개월</v>
      </c>
    </row>
    <row r="2670" spans="1:12" x14ac:dyDescent="0.3">
      <c r="A2670" s="5">
        <v>46054</v>
      </c>
      <c r="B2670" s="6" t="s">
        <v>20</v>
      </c>
      <c r="C2670" s="6" t="s">
        <v>33</v>
      </c>
      <c r="D2670" s="5">
        <v>45962</v>
      </c>
      <c r="E2670" s="6" t="s">
        <v>15</v>
      </c>
      <c r="F2670" s="7">
        <v>1828</v>
      </c>
      <c r="G2670" s="7">
        <v>223444.25</v>
      </c>
      <c r="H2670" s="7">
        <v>408456089</v>
      </c>
      <c r="I2670" s="7">
        <v>34112100</v>
      </c>
      <c r="J2670" s="7">
        <v>0</v>
      </c>
      <c r="K2670">
        <f t="shared" si="41"/>
        <v>92</v>
      </c>
      <c r="L2670" s="8" t="str" cm="1">
        <f t="array" ref="L2670">_xlfn.IFS(
 AND(K2670&gt;=89,K2670&lt;=92),"3개월",
 AND(K2670&gt;=58,K2670&lt;=62),"2개월",
 AND(K2670&gt;=28,K2670&lt;=32),"1개월",
 AND(K2670=0),"당월",
 TRUE,"그외"
)</f>
        <v>3개월</v>
      </c>
    </row>
    <row r="2671" spans="1:12" x14ac:dyDescent="0.3">
      <c r="A2671" s="5">
        <v>46054</v>
      </c>
      <c r="B2671" s="6" t="s">
        <v>20</v>
      </c>
      <c r="C2671" s="6" t="s">
        <v>33</v>
      </c>
      <c r="D2671" s="5">
        <v>45992</v>
      </c>
      <c r="E2671" s="6" t="s">
        <v>14</v>
      </c>
      <c r="F2671" s="7">
        <v>87</v>
      </c>
      <c r="G2671" s="7">
        <v>174112.7816091954</v>
      </c>
      <c r="H2671" s="7">
        <v>15147812</v>
      </c>
      <c r="I2671" s="7">
        <v>2532981</v>
      </c>
      <c r="J2671" s="7">
        <v>0</v>
      </c>
      <c r="K2671">
        <f t="shared" si="41"/>
        <v>62</v>
      </c>
      <c r="L2671" s="8" t="str" cm="1">
        <f t="array" ref="L2671">_xlfn.IFS(
 AND(K2671&gt;=89,K2671&lt;=92),"3개월",
 AND(K2671&gt;=58,K2671&lt;=62),"2개월",
 AND(K2671&gt;=28,K2671&lt;=32),"1개월",
 AND(K2671=0),"당월",
 TRUE,"그외"
)</f>
        <v>2개월</v>
      </c>
    </row>
    <row r="2672" spans="1:12" x14ac:dyDescent="0.3">
      <c r="A2672" s="5">
        <v>46054</v>
      </c>
      <c r="B2672" s="6" t="s">
        <v>20</v>
      </c>
      <c r="C2672" s="6" t="s">
        <v>33</v>
      </c>
      <c r="D2672" s="5">
        <v>45992</v>
      </c>
      <c r="E2672" s="6" t="s">
        <v>15</v>
      </c>
      <c r="F2672" s="7">
        <v>2781</v>
      </c>
      <c r="G2672" s="7">
        <v>219435.0535778497</v>
      </c>
      <c r="H2672" s="7">
        <v>610248884</v>
      </c>
      <c r="I2672" s="7">
        <v>61849759</v>
      </c>
      <c r="J2672" s="7">
        <v>0</v>
      </c>
      <c r="K2672">
        <f t="shared" si="41"/>
        <v>62</v>
      </c>
      <c r="L2672" s="8" t="str" cm="1">
        <f t="array" ref="L2672">_xlfn.IFS(
 AND(K2672&gt;=89,K2672&lt;=92),"3개월",
 AND(K2672&gt;=58,K2672&lt;=62),"2개월",
 AND(K2672&gt;=28,K2672&lt;=32),"1개월",
 AND(K2672=0),"당월",
 TRUE,"그외"
)</f>
        <v>2개월</v>
      </c>
    </row>
    <row r="2673" spans="1:12" x14ac:dyDescent="0.3">
      <c r="A2673" s="5">
        <v>46054</v>
      </c>
      <c r="B2673" s="6" t="s">
        <v>20</v>
      </c>
      <c r="C2673" s="6" t="s">
        <v>33</v>
      </c>
      <c r="D2673" s="5">
        <v>46023</v>
      </c>
      <c r="E2673" s="6" t="s">
        <v>14</v>
      </c>
      <c r="F2673" s="7">
        <v>975</v>
      </c>
      <c r="G2673" s="7">
        <v>208268.7415384615</v>
      </c>
      <c r="H2673" s="7">
        <v>203062023</v>
      </c>
      <c r="I2673" s="7">
        <v>21298043</v>
      </c>
      <c r="J2673" s="7">
        <v>0</v>
      </c>
      <c r="K2673">
        <f t="shared" si="41"/>
        <v>31</v>
      </c>
      <c r="L2673" s="8" t="str" cm="1">
        <f t="array" ref="L2673">_xlfn.IFS(
 AND(K2673&gt;=89,K2673&lt;=92),"3개월",
 AND(K2673&gt;=58,K2673&lt;=62),"2개월",
 AND(K2673&gt;=28,K2673&lt;=32),"1개월",
 AND(K2673=0),"당월",
 TRUE,"그외"
)</f>
        <v>1개월</v>
      </c>
    </row>
    <row r="2674" spans="1:12" x14ac:dyDescent="0.3">
      <c r="A2674" s="5">
        <v>46054</v>
      </c>
      <c r="B2674" s="6" t="s">
        <v>20</v>
      </c>
      <c r="C2674" s="6" t="s">
        <v>33</v>
      </c>
      <c r="D2674" s="5">
        <v>46023</v>
      </c>
      <c r="E2674" s="6" t="s">
        <v>15</v>
      </c>
      <c r="F2674" s="7">
        <v>12746</v>
      </c>
      <c r="G2674" s="7">
        <v>191620.31351012079</v>
      </c>
      <c r="H2674" s="7">
        <v>2442392516</v>
      </c>
      <c r="I2674" s="7">
        <v>285117104</v>
      </c>
      <c r="J2674" s="7">
        <v>0</v>
      </c>
      <c r="K2674">
        <f t="shared" si="41"/>
        <v>31</v>
      </c>
      <c r="L2674" s="8" t="str" cm="1">
        <f t="array" ref="L2674">_xlfn.IFS(
 AND(K2674&gt;=89,K2674&lt;=92),"3개월",
 AND(K2674&gt;=58,K2674&lt;=62),"2개월",
 AND(K2674&gt;=28,K2674&lt;=32),"1개월",
 AND(K2674=0),"당월",
 TRUE,"그외"
)</f>
        <v>1개월</v>
      </c>
    </row>
    <row r="2675" spans="1:12" x14ac:dyDescent="0.3">
      <c r="A2675" s="5">
        <v>46054</v>
      </c>
      <c r="B2675" s="6" t="s">
        <v>20</v>
      </c>
      <c r="C2675" s="6" t="s">
        <v>33</v>
      </c>
      <c r="D2675" s="5">
        <v>46054</v>
      </c>
      <c r="E2675" s="6" t="s">
        <v>14</v>
      </c>
      <c r="F2675" s="7">
        <v>1323</v>
      </c>
      <c r="G2675" s="7">
        <v>167216.84958427821</v>
      </c>
      <c r="H2675" s="7">
        <v>221227892</v>
      </c>
      <c r="I2675" s="7">
        <v>21145542</v>
      </c>
      <c r="J2675" s="7">
        <v>0</v>
      </c>
      <c r="K2675">
        <f t="shared" si="41"/>
        <v>0</v>
      </c>
      <c r="L2675" s="8" t="str" cm="1">
        <f t="array" ref="L2675">_xlfn.IFS(
 AND(K2675&gt;=89,K2675&lt;=92),"3개월",
 AND(K2675&gt;=58,K2675&lt;=62),"2개월",
 AND(K2675&gt;=28,K2675&lt;=32),"1개월",
 AND(K2675=0),"당월",
 TRUE,"그외"
)</f>
        <v>당월</v>
      </c>
    </row>
    <row r="2676" spans="1:12" x14ac:dyDescent="0.3">
      <c r="A2676" s="5">
        <v>46054</v>
      </c>
      <c r="B2676" s="6" t="s">
        <v>20</v>
      </c>
      <c r="C2676" s="6" t="s">
        <v>33</v>
      </c>
      <c r="D2676" s="5">
        <v>46054</v>
      </c>
      <c r="E2676" s="6" t="s">
        <v>15</v>
      </c>
      <c r="F2676" s="7">
        <v>4945</v>
      </c>
      <c r="G2676" s="7">
        <v>239954.89767441861</v>
      </c>
      <c r="H2676" s="7">
        <v>1186576969</v>
      </c>
      <c r="I2676" s="7">
        <v>94371701</v>
      </c>
      <c r="J2676" s="7">
        <v>0</v>
      </c>
      <c r="K2676">
        <f t="shared" si="41"/>
        <v>0</v>
      </c>
      <c r="L2676" s="8" t="str" cm="1">
        <f t="array" ref="L2676">_xlfn.IFS(
 AND(K2676&gt;=89,K2676&lt;=92),"3개월",
 AND(K2676&gt;=58,K2676&lt;=62),"2개월",
 AND(K2676&gt;=28,K2676&lt;=32),"1개월",
 AND(K2676=0),"당월",
 TRUE,"그외"
)</f>
        <v>당월</v>
      </c>
    </row>
    <row r="2677" spans="1:12" x14ac:dyDescent="0.3">
      <c r="A2677" s="5">
        <v>46054</v>
      </c>
      <c r="B2677" s="6" t="s">
        <v>20</v>
      </c>
      <c r="C2677" s="6" t="s">
        <v>35</v>
      </c>
      <c r="D2677" s="5">
        <v>45839</v>
      </c>
      <c r="E2677" s="6" t="s">
        <v>15</v>
      </c>
      <c r="F2677" s="7">
        <v>72</v>
      </c>
      <c r="G2677" s="7">
        <v>376598.06944444438</v>
      </c>
      <c r="H2677" s="7">
        <v>27115061</v>
      </c>
      <c r="I2677" s="7">
        <v>990316</v>
      </c>
      <c r="J2677" s="7">
        <v>0</v>
      </c>
      <c r="K2677">
        <f t="shared" si="41"/>
        <v>215</v>
      </c>
      <c r="L2677" s="8" t="str" cm="1">
        <f t="array" ref="L2677">_xlfn.IFS(
 AND(K2677&gt;=89,K2677&lt;=92),"3개월",
 AND(K2677&gt;=58,K2677&lt;=62),"2개월",
 AND(K2677&gt;=28,K2677&lt;=32),"1개월",
 AND(K2677=0),"당월",
 TRUE,"그외"
)</f>
        <v>그외</v>
      </c>
    </row>
    <row r="2678" spans="1:12" x14ac:dyDescent="0.3">
      <c r="A2678" s="5">
        <v>46054</v>
      </c>
      <c r="B2678" s="6" t="s">
        <v>20</v>
      </c>
      <c r="C2678" s="6" t="s">
        <v>35</v>
      </c>
      <c r="D2678" s="5">
        <v>45870</v>
      </c>
      <c r="E2678" s="6" t="s">
        <v>15</v>
      </c>
      <c r="F2678" s="7">
        <v>71</v>
      </c>
      <c r="G2678" s="7">
        <v>306337.38028169022</v>
      </c>
      <c r="H2678" s="7">
        <v>21749954</v>
      </c>
      <c r="I2678" s="7">
        <v>1257551</v>
      </c>
      <c r="J2678" s="7">
        <v>0</v>
      </c>
      <c r="K2678">
        <f t="shared" si="41"/>
        <v>184</v>
      </c>
      <c r="L2678" s="8" t="str" cm="1">
        <f t="array" ref="L2678">_xlfn.IFS(
 AND(K2678&gt;=89,K2678&lt;=92),"3개월",
 AND(K2678&gt;=58,K2678&lt;=62),"2개월",
 AND(K2678&gt;=28,K2678&lt;=32),"1개월",
 AND(K2678=0),"당월",
 TRUE,"그외"
)</f>
        <v>그외</v>
      </c>
    </row>
    <row r="2679" spans="1:12" x14ac:dyDescent="0.3">
      <c r="A2679" s="5">
        <v>46054</v>
      </c>
      <c r="B2679" s="6" t="s">
        <v>20</v>
      </c>
      <c r="C2679" s="6" t="s">
        <v>35</v>
      </c>
      <c r="D2679" s="5">
        <v>45901</v>
      </c>
      <c r="E2679" s="6" t="s">
        <v>14</v>
      </c>
      <c r="F2679" s="7">
        <v>8</v>
      </c>
      <c r="G2679" s="7">
        <v>171696</v>
      </c>
      <c r="H2679" s="7">
        <v>1373568</v>
      </c>
      <c r="I2679" s="7">
        <v>172640</v>
      </c>
      <c r="J2679" s="7">
        <v>0</v>
      </c>
      <c r="K2679">
        <f t="shared" si="41"/>
        <v>153</v>
      </c>
      <c r="L2679" s="8" t="str" cm="1">
        <f t="array" ref="L2679">_xlfn.IFS(
 AND(K2679&gt;=89,K2679&lt;=92),"3개월",
 AND(K2679&gt;=58,K2679&lt;=62),"2개월",
 AND(K2679&gt;=28,K2679&lt;=32),"1개월",
 AND(K2679=0),"당월",
 TRUE,"그외"
)</f>
        <v>그외</v>
      </c>
    </row>
    <row r="2680" spans="1:12" x14ac:dyDescent="0.3">
      <c r="A2680" s="5">
        <v>46054</v>
      </c>
      <c r="B2680" s="6" t="s">
        <v>20</v>
      </c>
      <c r="C2680" s="6" t="s">
        <v>35</v>
      </c>
      <c r="D2680" s="5">
        <v>45901</v>
      </c>
      <c r="E2680" s="6" t="s">
        <v>15</v>
      </c>
      <c r="F2680" s="7">
        <v>286</v>
      </c>
      <c r="G2680" s="7">
        <v>287041.18531468528</v>
      </c>
      <c r="H2680" s="7">
        <v>82093779</v>
      </c>
      <c r="I2680" s="7">
        <v>5078571</v>
      </c>
      <c r="J2680" s="7">
        <v>0</v>
      </c>
      <c r="K2680">
        <f t="shared" si="41"/>
        <v>153</v>
      </c>
      <c r="L2680" s="8" t="str" cm="1">
        <f t="array" ref="L2680">_xlfn.IFS(
 AND(K2680&gt;=89,K2680&lt;=92),"3개월",
 AND(K2680&gt;=58,K2680&lt;=62),"2개월",
 AND(K2680&gt;=28,K2680&lt;=32),"1개월",
 AND(K2680=0),"당월",
 TRUE,"그외"
)</f>
        <v>그외</v>
      </c>
    </row>
    <row r="2681" spans="1:12" x14ac:dyDescent="0.3">
      <c r="A2681" s="5">
        <v>46054</v>
      </c>
      <c r="B2681" s="6" t="s">
        <v>20</v>
      </c>
      <c r="C2681" s="6" t="s">
        <v>35</v>
      </c>
      <c r="D2681" s="5">
        <v>45931</v>
      </c>
      <c r="E2681" s="6" t="s">
        <v>14</v>
      </c>
      <c r="F2681" s="7">
        <v>14</v>
      </c>
      <c r="G2681" s="7">
        <v>185654.1428571429</v>
      </c>
      <c r="H2681" s="7">
        <v>2599158</v>
      </c>
      <c r="I2681" s="7">
        <v>406746</v>
      </c>
      <c r="J2681" s="7">
        <v>0</v>
      </c>
      <c r="K2681">
        <f t="shared" si="41"/>
        <v>123</v>
      </c>
      <c r="L2681" s="8" t="str" cm="1">
        <f t="array" ref="L2681">_xlfn.IFS(
 AND(K2681&gt;=89,K2681&lt;=92),"3개월",
 AND(K2681&gt;=58,K2681&lt;=62),"2개월",
 AND(K2681&gt;=28,K2681&lt;=32),"1개월",
 AND(K2681=0),"당월",
 TRUE,"그외"
)</f>
        <v>그외</v>
      </c>
    </row>
    <row r="2682" spans="1:12" x14ac:dyDescent="0.3">
      <c r="A2682" s="5">
        <v>46054</v>
      </c>
      <c r="B2682" s="6" t="s">
        <v>20</v>
      </c>
      <c r="C2682" s="6" t="s">
        <v>35</v>
      </c>
      <c r="D2682" s="5">
        <v>45931</v>
      </c>
      <c r="E2682" s="6" t="s">
        <v>15</v>
      </c>
      <c r="F2682" s="7">
        <v>998</v>
      </c>
      <c r="G2682" s="7">
        <v>280778.4338677355</v>
      </c>
      <c r="H2682" s="7">
        <v>280216877</v>
      </c>
      <c r="I2682" s="7">
        <v>19374569</v>
      </c>
      <c r="J2682" s="7">
        <v>0</v>
      </c>
      <c r="K2682">
        <f t="shared" si="41"/>
        <v>123</v>
      </c>
      <c r="L2682" s="8" t="str" cm="1">
        <f t="array" ref="L2682">_xlfn.IFS(
 AND(K2682&gt;=89,K2682&lt;=92),"3개월",
 AND(K2682&gt;=58,K2682&lt;=62),"2개월",
 AND(K2682&gt;=28,K2682&lt;=32),"1개월",
 AND(K2682=0),"당월",
 TRUE,"그외"
)</f>
        <v>그외</v>
      </c>
    </row>
    <row r="2683" spans="1:12" x14ac:dyDescent="0.3">
      <c r="A2683" s="5">
        <v>46054</v>
      </c>
      <c r="B2683" s="6" t="s">
        <v>20</v>
      </c>
      <c r="C2683" s="6" t="s">
        <v>35</v>
      </c>
      <c r="D2683" s="5">
        <v>45962</v>
      </c>
      <c r="E2683" s="6" t="s">
        <v>14</v>
      </c>
      <c r="F2683" s="7">
        <v>320</v>
      </c>
      <c r="G2683" s="7">
        <v>216327.87812499999</v>
      </c>
      <c r="H2683" s="7">
        <v>69224921</v>
      </c>
      <c r="I2683" s="7">
        <v>5846058</v>
      </c>
      <c r="J2683" s="7">
        <v>0</v>
      </c>
      <c r="K2683">
        <f t="shared" si="41"/>
        <v>92</v>
      </c>
      <c r="L2683" s="8" t="str" cm="1">
        <f t="array" ref="L2683">_xlfn.IFS(
 AND(K2683&gt;=89,K2683&lt;=92),"3개월",
 AND(K2683&gt;=58,K2683&lt;=62),"2개월",
 AND(K2683&gt;=28,K2683&lt;=32),"1개월",
 AND(K2683=0),"당월",
 TRUE,"그외"
)</f>
        <v>3개월</v>
      </c>
    </row>
    <row r="2684" spans="1:12" x14ac:dyDescent="0.3">
      <c r="A2684" s="5">
        <v>46054</v>
      </c>
      <c r="B2684" s="6" t="s">
        <v>20</v>
      </c>
      <c r="C2684" s="6" t="s">
        <v>35</v>
      </c>
      <c r="D2684" s="5">
        <v>45962</v>
      </c>
      <c r="E2684" s="6" t="s">
        <v>15</v>
      </c>
      <c r="F2684" s="7">
        <v>1053</v>
      </c>
      <c r="G2684" s="7">
        <v>304037.49192782532</v>
      </c>
      <c r="H2684" s="7">
        <v>320151479</v>
      </c>
      <c r="I2684" s="7">
        <v>20201023</v>
      </c>
      <c r="J2684" s="7">
        <v>0</v>
      </c>
      <c r="K2684">
        <f t="shared" si="41"/>
        <v>92</v>
      </c>
      <c r="L2684" s="8" t="str" cm="1">
        <f t="array" ref="L2684">_xlfn.IFS(
 AND(K2684&gt;=89,K2684&lt;=92),"3개월",
 AND(K2684&gt;=58,K2684&lt;=62),"2개월",
 AND(K2684&gt;=28,K2684&lt;=32),"1개월",
 AND(K2684=0),"당월",
 TRUE,"그외"
)</f>
        <v>3개월</v>
      </c>
    </row>
    <row r="2685" spans="1:12" x14ac:dyDescent="0.3">
      <c r="A2685" s="5">
        <v>46054</v>
      </c>
      <c r="B2685" s="6" t="s">
        <v>20</v>
      </c>
      <c r="C2685" s="6" t="s">
        <v>35</v>
      </c>
      <c r="D2685" s="5">
        <v>45992</v>
      </c>
      <c r="E2685" s="6" t="s">
        <v>14</v>
      </c>
      <c r="F2685" s="7">
        <v>769</v>
      </c>
      <c r="G2685" s="7">
        <v>242639.20936280879</v>
      </c>
      <c r="H2685" s="7">
        <v>186589552</v>
      </c>
      <c r="I2685" s="7">
        <v>15910119</v>
      </c>
      <c r="J2685" s="7">
        <v>0</v>
      </c>
      <c r="K2685">
        <f t="shared" si="41"/>
        <v>62</v>
      </c>
      <c r="L2685" s="8" t="str" cm="1">
        <f t="array" ref="L2685">_xlfn.IFS(
 AND(K2685&gt;=89,K2685&lt;=92),"3개월",
 AND(K2685&gt;=58,K2685&lt;=62),"2개월",
 AND(K2685&gt;=28,K2685&lt;=32),"1개월",
 AND(K2685=0),"당월",
 TRUE,"그외"
)</f>
        <v>2개월</v>
      </c>
    </row>
    <row r="2686" spans="1:12" x14ac:dyDescent="0.3">
      <c r="A2686" s="5">
        <v>46054</v>
      </c>
      <c r="B2686" s="6" t="s">
        <v>20</v>
      </c>
      <c r="C2686" s="6" t="s">
        <v>35</v>
      </c>
      <c r="D2686" s="5">
        <v>45992</v>
      </c>
      <c r="E2686" s="6" t="s">
        <v>15</v>
      </c>
      <c r="F2686" s="7">
        <v>2926</v>
      </c>
      <c r="G2686" s="7">
        <v>287403.12337662338</v>
      </c>
      <c r="H2686" s="7">
        <v>840941539</v>
      </c>
      <c r="I2686" s="7">
        <v>64960696</v>
      </c>
      <c r="J2686" s="7">
        <v>0</v>
      </c>
      <c r="K2686">
        <f t="shared" si="41"/>
        <v>62</v>
      </c>
      <c r="L2686" s="8" t="str" cm="1">
        <f t="array" ref="L2686">_xlfn.IFS(
 AND(K2686&gt;=89,K2686&lt;=92),"3개월",
 AND(K2686&gt;=58,K2686&lt;=62),"2개월",
 AND(K2686&gt;=28,K2686&lt;=32),"1개월",
 AND(K2686=0),"당월",
 TRUE,"그외"
)</f>
        <v>2개월</v>
      </c>
    </row>
    <row r="2687" spans="1:12" x14ac:dyDescent="0.3">
      <c r="A2687" s="5">
        <v>46054</v>
      </c>
      <c r="B2687" s="6" t="s">
        <v>20</v>
      </c>
      <c r="C2687" s="6" t="s">
        <v>35</v>
      </c>
      <c r="D2687" s="5">
        <v>46023</v>
      </c>
      <c r="E2687" s="6" t="s">
        <v>14</v>
      </c>
      <c r="F2687" s="7">
        <v>2698</v>
      </c>
      <c r="G2687" s="7">
        <v>289461.36916234251</v>
      </c>
      <c r="H2687" s="7">
        <v>780966774</v>
      </c>
      <c r="I2687" s="7">
        <v>55933264</v>
      </c>
      <c r="J2687" s="7">
        <v>0</v>
      </c>
      <c r="K2687">
        <f t="shared" si="41"/>
        <v>31</v>
      </c>
      <c r="L2687" s="8" t="str" cm="1">
        <f t="array" ref="L2687">_xlfn.IFS(
 AND(K2687&gt;=89,K2687&lt;=92),"3개월",
 AND(K2687&gt;=58,K2687&lt;=62),"2개월",
 AND(K2687&gt;=28,K2687&lt;=32),"1개월",
 AND(K2687=0),"당월",
 TRUE,"그외"
)</f>
        <v>1개월</v>
      </c>
    </row>
    <row r="2688" spans="1:12" x14ac:dyDescent="0.3">
      <c r="A2688" s="5">
        <v>46054</v>
      </c>
      <c r="B2688" s="6" t="s">
        <v>20</v>
      </c>
      <c r="C2688" s="6" t="s">
        <v>35</v>
      </c>
      <c r="D2688" s="5">
        <v>46023</v>
      </c>
      <c r="E2688" s="6" t="s">
        <v>15</v>
      </c>
      <c r="F2688" s="7">
        <v>3651</v>
      </c>
      <c r="G2688" s="7">
        <v>272156.20514927409</v>
      </c>
      <c r="H2688" s="7">
        <v>993642305</v>
      </c>
      <c r="I2688" s="7">
        <v>83293426</v>
      </c>
      <c r="J2688" s="7">
        <v>0</v>
      </c>
      <c r="K2688">
        <f t="shared" si="41"/>
        <v>31</v>
      </c>
      <c r="L2688" s="8" t="str" cm="1">
        <f t="array" ref="L2688">_xlfn.IFS(
 AND(K2688&gt;=89,K2688&lt;=92),"3개월",
 AND(K2688&gt;=58,K2688&lt;=62),"2개월",
 AND(K2688&gt;=28,K2688&lt;=32),"1개월",
 AND(K2688=0),"당월",
 TRUE,"그외"
)</f>
        <v>1개월</v>
      </c>
    </row>
    <row r="2689" spans="1:12" x14ac:dyDescent="0.3">
      <c r="A2689" s="5">
        <v>46054</v>
      </c>
      <c r="B2689" s="6" t="s">
        <v>20</v>
      </c>
      <c r="C2689" s="6" t="s">
        <v>35</v>
      </c>
      <c r="D2689" s="5">
        <v>46054</v>
      </c>
      <c r="E2689" s="6" t="s">
        <v>14</v>
      </c>
      <c r="F2689" s="7">
        <v>1926</v>
      </c>
      <c r="G2689" s="7">
        <v>248030.8681204569</v>
      </c>
      <c r="H2689" s="7">
        <v>477707452</v>
      </c>
      <c r="I2689" s="7">
        <v>28505456</v>
      </c>
      <c r="J2689" s="7">
        <v>0</v>
      </c>
      <c r="K2689">
        <f t="shared" si="41"/>
        <v>0</v>
      </c>
      <c r="L2689" s="8" t="str" cm="1">
        <f t="array" ref="L2689">_xlfn.IFS(
 AND(K2689&gt;=89,K2689&lt;=92),"3개월",
 AND(K2689&gt;=58,K2689&lt;=62),"2개월",
 AND(K2689&gt;=28,K2689&lt;=32),"1개월",
 AND(K2689=0),"당월",
 TRUE,"그외"
)</f>
        <v>당월</v>
      </c>
    </row>
    <row r="2690" spans="1:12" x14ac:dyDescent="0.3">
      <c r="A2690" s="5">
        <v>46054</v>
      </c>
      <c r="B2690" s="6" t="s">
        <v>20</v>
      </c>
      <c r="C2690" s="6" t="s">
        <v>35</v>
      </c>
      <c r="D2690" s="5">
        <v>46054</v>
      </c>
      <c r="E2690" s="6" t="s">
        <v>15</v>
      </c>
      <c r="F2690" s="7">
        <v>2511</v>
      </c>
      <c r="G2690" s="7">
        <v>228313.15213062521</v>
      </c>
      <c r="H2690" s="7">
        <v>573294325</v>
      </c>
      <c r="I2690" s="7">
        <v>56449176</v>
      </c>
      <c r="J2690" s="7">
        <v>0</v>
      </c>
      <c r="K2690">
        <f t="shared" si="41"/>
        <v>0</v>
      </c>
      <c r="L2690" s="8" t="str" cm="1">
        <f t="array" ref="L2690">_xlfn.IFS(
 AND(K2690&gt;=89,K2690&lt;=92),"3개월",
 AND(K2690&gt;=58,K2690&lt;=62),"2개월",
 AND(K2690&gt;=28,K2690&lt;=32),"1개월",
 AND(K2690=0),"당월",
 TRUE,"그외"
)</f>
        <v>당월</v>
      </c>
    </row>
    <row r="2691" spans="1:12" x14ac:dyDescent="0.3">
      <c r="A2691" s="5">
        <v>46054</v>
      </c>
      <c r="B2691" s="6" t="s">
        <v>20</v>
      </c>
      <c r="C2691" s="6" t="s">
        <v>98</v>
      </c>
      <c r="D2691" s="5">
        <v>45962</v>
      </c>
      <c r="E2691" s="6" t="s">
        <v>14</v>
      </c>
      <c r="F2691" s="7">
        <v>64</v>
      </c>
      <c r="G2691" s="7">
        <v>329775</v>
      </c>
      <c r="H2691" s="7">
        <v>21105600</v>
      </c>
      <c r="I2691" s="7">
        <v>1081600</v>
      </c>
      <c r="J2691" s="7">
        <v>0</v>
      </c>
      <c r="K2691">
        <f t="shared" si="41"/>
        <v>92</v>
      </c>
      <c r="L2691" s="8" t="str" cm="1">
        <f t="array" ref="L2691">_xlfn.IFS(
 AND(K2691&gt;=89,K2691&lt;=92),"3개월",
 AND(K2691&gt;=58,K2691&lt;=62),"2개월",
 AND(K2691&gt;=28,K2691&lt;=32),"1개월",
 AND(K2691=0),"당월",
 TRUE,"그외"
)</f>
        <v>3개월</v>
      </c>
    </row>
    <row r="2692" spans="1:12" x14ac:dyDescent="0.3">
      <c r="A2692" s="5">
        <v>46054</v>
      </c>
      <c r="B2692" s="6" t="s">
        <v>20</v>
      </c>
      <c r="C2692" s="6" t="s">
        <v>98</v>
      </c>
      <c r="D2692" s="5">
        <v>45962</v>
      </c>
      <c r="E2692" s="6" t="s">
        <v>15</v>
      </c>
      <c r="F2692" s="7">
        <v>492</v>
      </c>
      <c r="G2692" s="7">
        <v>296995.44715447148</v>
      </c>
      <c r="H2692" s="7">
        <v>146121760</v>
      </c>
      <c r="I2692" s="7">
        <v>8643353</v>
      </c>
      <c r="J2692" s="7">
        <v>0</v>
      </c>
      <c r="K2692">
        <f t="shared" si="41"/>
        <v>92</v>
      </c>
      <c r="L2692" s="8" t="str" cm="1">
        <f t="array" ref="L2692">_xlfn.IFS(
 AND(K2692&gt;=89,K2692&lt;=92),"3개월",
 AND(K2692&gt;=58,K2692&lt;=62),"2개월",
 AND(K2692&gt;=28,K2692&lt;=32),"1개월",
 AND(K2692=0),"당월",
 TRUE,"그외"
)</f>
        <v>3개월</v>
      </c>
    </row>
    <row r="2693" spans="1:12" x14ac:dyDescent="0.3">
      <c r="A2693" s="5">
        <v>46054</v>
      </c>
      <c r="B2693" s="6" t="s">
        <v>20</v>
      </c>
      <c r="C2693" s="6" t="s">
        <v>98</v>
      </c>
      <c r="D2693" s="5">
        <v>45992</v>
      </c>
      <c r="E2693" s="6" t="s">
        <v>14</v>
      </c>
      <c r="F2693" s="7">
        <v>642</v>
      </c>
      <c r="G2693" s="7">
        <v>655945.17133956391</v>
      </c>
      <c r="H2693" s="7">
        <v>421116800</v>
      </c>
      <c r="I2693" s="7">
        <v>12604800</v>
      </c>
      <c r="J2693" s="7">
        <v>0</v>
      </c>
      <c r="K2693">
        <f t="shared" si="41"/>
        <v>62</v>
      </c>
      <c r="L2693" s="8" t="str" cm="1">
        <f t="array" ref="L2693">_xlfn.IFS(
 AND(K2693&gt;=89,K2693&lt;=92),"3개월",
 AND(K2693&gt;=58,K2693&lt;=62),"2개월",
 AND(K2693&gt;=28,K2693&lt;=32),"1개월",
 AND(K2693=0),"당월",
 TRUE,"그외"
)</f>
        <v>2개월</v>
      </c>
    </row>
    <row r="2694" spans="1:12" x14ac:dyDescent="0.3">
      <c r="A2694" s="5">
        <v>46054</v>
      </c>
      <c r="B2694" s="6" t="s">
        <v>20</v>
      </c>
      <c r="C2694" s="6" t="s">
        <v>98</v>
      </c>
      <c r="D2694" s="5">
        <v>45992</v>
      </c>
      <c r="E2694" s="6" t="s">
        <v>15</v>
      </c>
      <c r="F2694" s="7">
        <v>1424</v>
      </c>
      <c r="G2694" s="7">
        <v>257997.9431179775</v>
      </c>
      <c r="H2694" s="7">
        <v>367389071</v>
      </c>
      <c r="I2694" s="7">
        <v>29628818</v>
      </c>
      <c r="J2694" s="7">
        <v>0</v>
      </c>
      <c r="K2694">
        <f t="shared" si="41"/>
        <v>62</v>
      </c>
      <c r="L2694" s="8" t="str" cm="1">
        <f t="array" ref="L2694">_xlfn.IFS(
 AND(K2694&gt;=89,K2694&lt;=92),"3개월",
 AND(K2694&gt;=58,K2694&lt;=62),"2개월",
 AND(K2694&gt;=28,K2694&lt;=32),"1개월",
 AND(K2694=0),"당월",
 TRUE,"그외"
)</f>
        <v>2개월</v>
      </c>
    </row>
    <row r="2695" spans="1:12" x14ac:dyDescent="0.3">
      <c r="A2695" s="5">
        <v>46054</v>
      </c>
      <c r="B2695" s="6" t="s">
        <v>20</v>
      </c>
      <c r="C2695" s="6" t="s">
        <v>98</v>
      </c>
      <c r="D2695" s="5">
        <v>46023</v>
      </c>
      <c r="E2695" s="6" t="s">
        <v>14</v>
      </c>
      <c r="F2695" s="7">
        <v>1103</v>
      </c>
      <c r="G2695" s="7">
        <v>105069.4469628286</v>
      </c>
      <c r="H2695" s="7">
        <v>115891600</v>
      </c>
      <c r="I2695" s="7">
        <v>9431600</v>
      </c>
      <c r="J2695" s="7">
        <v>0</v>
      </c>
      <c r="K2695">
        <f t="shared" si="41"/>
        <v>31</v>
      </c>
      <c r="L2695" s="8" t="str" cm="1">
        <f t="array" ref="L2695">_xlfn.IFS(
 AND(K2695&gt;=89,K2695&lt;=92),"3개월",
 AND(K2695&gt;=58,K2695&lt;=62),"2개월",
 AND(K2695&gt;=28,K2695&lt;=32),"1개월",
 AND(K2695=0),"당월",
 TRUE,"그외"
)</f>
        <v>1개월</v>
      </c>
    </row>
    <row r="2696" spans="1:12" x14ac:dyDescent="0.3">
      <c r="A2696" s="5">
        <v>46054</v>
      </c>
      <c r="B2696" s="6" t="s">
        <v>20</v>
      </c>
      <c r="C2696" s="6" t="s">
        <v>98</v>
      </c>
      <c r="D2696" s="5">
        <v>46023</v>
      </c>
      <c r="E2696" s="6" t="s">
        <v>15</v>
      </c>
      <c r="F2696" s="7">
        <v>1791</v>
      </c>
      <c r="G2696" s="7">
        <v>247371.52093802349</v>
      </c>
      <c r="H2696" s="7">
        <v>443042394</v>
      </c>
      <c r="I2696" s="7">
        <v>38003457</v>
      </c>
      <c r="J2696" s="7">
        <v>0</v>
      </c>
      <c r="K2696">
        <f t="shared" si="41"/>
        <v>31</v>
      </c>
      <c r="L2696" s="8" t="str" cm="1">
        <f t="array" ref="L2696">_xlfn.IFS(
 AND(K2696&gt;=89,K2696&lt;=92),"3개월",
 AND(K2696&gt;=58,K2696&lt;=62),"2개월",
 AND(K2696&gt;=28,K2696&lt;=32),"1개월",
 AND(K2696=0),"당월",
 TRUE,"그외"
)</f>
        <v>1개월</v>
      </c>
    </row>
    <row r="2697" spans="1:12" x14ac:dyDescent="0.3">
      <c r="A2697" s="5">
        <v>46054</v>
      </c>
      <c r="B2697" s="6" t="s">
        <v>20</v>
      </c>
      <c r="C2697" s="6" t="s">
        <v>98</v>
      </c>
      <c r="D2697" s="5">
        <v>46054</v>
      </c>
      <c r="E2697" s="6" t="s">
        <v>14</v>
      </c>
      <c r="F2697" s="7">
        <v>1667</v>
      </c>
      <c r="G2697" s="7">
        <v>252789.74205158971</v>
      </c>
      <c r="H2697" s="7">
        <v>421400500</v>
      </c>
      <c r="I2697" s="7">
        <v>24508500</v>
      </c>
      <c r="J2697" s="7">
        <v>0</v>
      </c>
      <c r="K2697">
        <f t="shared" si="41"/>
        <v>0</v>
      </c>
      <c r="L2697" s="8" t="str" cm="1">
        <f t="array" ref="L2697">_xlfn.IFS(
 AND(K2697&gt;=89,K2697&lt;=92),"3개월",
 AND(K2697&gt;=58,K2697&lt;=62),"2개월",
 AND(K2697&gt;=28,K2697&lt;=32),"1개월",
 AND(K2697=0),"당월",
 TRUE,"그외"
)</f>
        <v>당월</v>
      </c>
    </row>
    <row r="2698" spans="1:12" x14ac:dyDescent="0.3">
      <c r="A2698" s="5">
        <v>46054</v>
      </c>
      <c r="B2698" s="6" t="s">
        <v>20</v>
      </c>
      <c r="C2698" s="6" t="s">
        <v>98</v>
      </c>
      <c r="D2698" s="5">
        <v>46054</v>
      </c>
      <c r="E2698" s="6" t="s">
        <v>15</v>
      </c>
      <c r="F2698" s="7">
        <v>1180</v>
      </c>
      <c r="G2698" s="7">
        <v>217561.17372881359</v>
      </c>
      <c r="H2698" s="7">
        <v>256722185</v>
      </c>
      <c r="I2698" s="7">
        <v>22214402</v>
      </c>
      <c r="J2698" s="7">
        <v>0</v>
      </c>
      <c r="K2698">
        <f t="shared" ref="K2698:K2761" si="42">A2698-D2698</f>
        <v>0</v>
      </c>
      <c r="L2698" s="8" t="str" cm="1">
        <f t="array" ref="L2698">_xlfn.IFS(
 AND(K2698&gt;=89,K2698&lt;=92),"3개월",
 AND(K2698&gt;=58,K2698&lt;=62),"2개월",
 AND(K2698&gt;=28,K2698&lt;=32),"1개월",
 AND(K2698=0),"당월",
 TRUE,"그외"
)</f>
        <v>당월</v>
      </c>
    </row>
    <row r="2699" spans="1:12" x14ac:dyDescent="0.3">
      <c r="A2699" s="5">
        <v>46054</v>
      </c>
      <c r="B2699" s="6" t="s">
        <v>20</v>
      </c>
      <c r="C2699" s="6" t="s">
        <v>95</v>
      </c>
      <c r="D2699" s="5">
        <v>45901</v>
      </c>
      <c r="E2699" s="6" t="s">
        <v>15</v>
      </c>
      <c r="F2699" s="7">
        <v>147</v>
      </c>
      <c r="G2699" s="7">
        <v>330649.84353741503</v>
      </c>
      <c r="H2699" s="7">
        <v>48605527</v>
      </c>
      <c r="I2699" s="7">
        <v>2571780</v>
      </c>
      <c r="J2699" s="7">
        <v>0</v>
      </c>
      <c r="K2699">
        <f t="shared" si="42"/>
        <v>153</v>
      </c>
      <c r="L2699" s="8" t="str" cm="1">
        <f t="array" ref="L2699">_xlfn.IFS(
 AND(K2699&gt;=89,K2699&lt;=92),"3개월",
 AND(K2699&gt;=58,K2699&lt;=62),"2개월",
 AND(K2699&gt;=28,K2699&lt;=32),"1개월",
 AND(K2699=0),"당월",
 TRUE,"그외"
)</f>
        <v>그외</v>
      </c>
    </row>
    <row r="2700" spans="1:12" x14ac:dyDescent="0.3">
      <c r="A2700" s="5">
        <v>46054</v>
      </c>
      <c r="B2700" s="6" t="s">
        <v>20</v>
      </c>
      <c r="C2700" s="6" t="s">
        <v>95</v>
      </c>
      <c r="D2700" s="5">
        <v>45931</v>
      </c>
      <c r="E2700" s="6" t="s">
        <v>15</v>
      </c>
      <c r="F2700" s="7">
        <v>405</v>
      </c>
      <c r="G2700" s="7">
        <v>277851.26666666672</v>
      </c>
      <c r="H2700" s="7">
        <v>112529763</v>
      </c>
      <c r="I2700" s="7">
        <v>7577868</v>
      </c>
      <c r="J2700" s="7">
        <v>0</v>
      </c>
      <c r="K2700">
        <f t="shared" si="42"/>
        <v>123</v>
      </c>
      <c r="L2700" s="8" t="str" cm="1">
        <f t="array" ref="L2700">_xlfn.IFS(
 AND(K2700&gt;=89,K2700&lt;=92),"3개월",
 AND(K2700&gt;=58,K2700&lt;=62),"2개월",
 AND(K2700&gt;=28,K2700&lt;=32),"1개월",
 AND(K2700=0),"당월",
 TRUE,"그외"
)</f>
        <v>그외</v>
      </c>
    </row>
    <row r="2701" spans="1:12" x14ac:dyDescent="0.3">
      <c r="A2701" s="5">
        <v>46054</v>
      </c>
      <c r="B2701" s="6" t="s">
        <v>20</v>
      </c>
      <c r="C2701" s="6" t="s">
        <v>95</v>
      </c>
      <c r="D2701" s="5">
        <v>45962</v>
      </c>
      <c r="E2701" s="6" t="s">
        <v>14</v>
      </c>
      <c r="F2701" s="7">
        <v>105</v>
      </c>
      <c r="G2701" s="7">
        <v>291626.48571428569</v>
      </c>
      <c r="H2701" s="7">
        <v>30620781</v>
      </c>
      <c r="I2701" s="7">
        <v>1811214</v>
      </c>
      <c r="J2701" s="7">
        <v>0</v>
      </c>
      <c r="K2701">
        <f t="shared" si="42"/>
        <v>92</v>
      </c>
      <c r="L2701" s="8" t="str" cm="1">
        <f t="array" ref="L2701">_xlfn.IFS(
 AND(K2701&gt;=89,K2701&lt;=92),"3개월",
 AND(K2701&gt;=58,K2701&lt;=62),"2개월",
 AND(K2701&gt;=28,K2701&lt;=32),"1개월",
 AND(K2701=0),"당월",
 TRUE,"그외"
)</f>
        <v>3개월</v>
      </c>
    </row>
    <row r="2702" spans="1:12" x14ac:dyDescent="0.3">
      <c r="A2702" s="5">
        <v>46054</v>
      </c>
      <c r="B2702" s="6" t="s">
        <v>20</v>
      </c>
      <c r="C2702" s="6" t="s">
        <v>95</v>
      </c>
      <c r="D2702" s="5">
        <v>45962</v>
      </c>
      <c r="E2702" s="6" t="s">
        <v>15</v>
      </c>
      <c r="F2702" s="7">
        <v>574</v>
      </c>
      <c r="G2702" s="7">
        <v>284167.56620209059</v>
      </c>
      <c r="H2702" s="7">
        <v>163112183</v>
      </c>
      <c r="I2702" s="7">
        <v>10661241</v>
      </c>
      <c r="J2702" s="7">
        <v>0</v>
      </c>
      <c r="K2702">
        <f t="shared" si="42"/>
        <v>92</v>
      </c>
      <c r="L2702" s="8" t="str" cm="1">
        <f t="array" ref="L2702">_xlfn.IFS(
 AND(K2702&gt;=89,K2702&lt;=92),"3개월",
 AND(K2702&gt;=58,K2702&lt;=62),"2개월",
 AND(K2702&gt;=28,K2702&lt;=32),"1개월",
 AND(K2702=0),"당월",
 TRUE,"그외"
)</f>
        <v>3개월</v>
      </c>
    </row>
    <row r="2703" spans="1:12" x14ac:dyDescent="0.3">
      <c r="A2703" s="5">
        <v>46054</v>
      </c>
      <c r="B2703" s="6" t="s">
        <v>20</v>
      </c>
      <c r="C2703" s="6" t="s">
        <v>95</v>
      </c>
      <c r="D2703" s="5">
        <v>45992</v>
      </c>
      <c r="E2703" s="6" t="s">
        <v>14</v>
      </c>
      <c r="F2703" s="7">
        <v>75</v>
      </c>
      <c r="G2703" s="7">
        <v>310551.14666666673</v>
      </c>
      <c r="H2703" s="7">
        <v>23291336</v>
      </c>
      <c r="I2703" s="7">
        <v>1741813</v>
      </c>
      <c r="J2703" s="7">
        <v>0</v>
      </c>
      <c r="K2703">
        <f t="shared" si="42"/>
        <v>62</v>
      </c>
      <c r="L2703" s="8" t="str" cm="1">
        <f t="array" ref="L2703">_xlfn.IFS(
 AND(K2703&gt;=89,K2703&lt;=92),"3개월",
 AND(K2703&gt;=58,K2703&lt;=62),"2개월",
 AND(K2703&gt;=28,K2703&lt;=32),"1개월",
 AND(K2703=0),"당월",
 TRUE,"그외"
)</f>
        <v>2개월</v>
      </c>
    </row>
    <row r="2704" spans="1:12" x14ac:dyDescent="0.3">
      <c r="A2704" s="5">
        <v>46054</v>
      </c>
      <c r="B2704" s="6" t="s">
        <v>20</v>
      </c>
      <c r="C2704" s="6" t="s">
        <v>95</v>
      </c>
      <c r="D2704" s="5">
        <v>45992</v>
      </c>
      <c r="E2704" s="6" t="s">
        <v>15</v>
      </c>
      <c r="F2704" s="7">
        <v>1144</v>
      </c>
      <c r="G2704" s="7">
        <v>257574.4763986014</v>
      </c>
      <c r="H2704" s="7">
        <v>294665201</v>
      </c>
      <c r="I2704" s="7">
        <v>25927540</v>
      </c>
      <c r="J2704" s="7">
        <v>0</v>
      </c>
      <c r="K2704">
        <f t="shared" si="42"/>
        <v>62</v>
      </c>
      <c r="L2704" s="8" t="str" cm="1">
        <f t="array" ref="L2704">_xlfn.IFS(
 AND(K2704&gt;=89,K2704&lt;=92),"3개월",
 AND(K2704&gt;=58,K2704&lt;=62),"2개월",
 AND(K2704&gt;=28,K2704&lt;=32),"1개월",
 AND(K2704=0),"당월",
 TRUE,"그외"
)</f>
        <v>2개월</v>
      </c>
    </row>
    <row r="2705" spans="1:12" x14ac:dyDescent="0.3">
      <c r="A2705" s="5">
        <v>46054</v>
      </c>
      <c r="B2705" s="6" t="s">
        <v>20</v>
      </c>
      <c r="C2705" s="6" t="s">
        <v>95</v>
      </c>
      <c r="D2705" s="5">
        <v>46023</v>
      </c>
      <c r="E2705" s="6" t="s">
        <v>14</v>
      </c>
      <c r="F2705" s="7">
        <v>967</v>
      </c>
      <c r="G2705" s="7">
        <v>301220.56876938988</v>
      </c>
      <c r="H2705" s="7">
        <v>291280290</v>
      </c>
      <c r="I2705" s="7">
        <v>20098773</v>
      </c>
      <c r="J2705" s="7">
        <v>0</v>
      </c>
      <c r="K2705">
        <f t="shared" si="42"/>
        <v>31</v>
      </c>
      <c r="L2705" s="8" t="str" cm="1">
        <f t="array" ref="L2705">_xlfn.IFS(
 AND(K2705&gt;=89,K2705&lt;=92),"3개월",
 AND(K2705&gt;=58,K2705&lt;=62),"2개월",
 AND(K2705&gt;=28,K2705&lt;=32),"1개월",
 AND(K2705=0),"당월",
 TRUE,"그외"
)</f>
        <v>1개월</v>
      </c>
    </row>
    <row r="2706" spans="1:12" x14ac:dyDescent="0.3">
      <c r="A2706" s="5">
        <v>46054</v>
      </c>
      <c r="B2706" s="6" t="s">
        <v>20</v>
      </c>
      <c r="C2706" s="6" t="s">
        <v>95</v>
      </c>
      <c r="D2706" s="5">
        <v>46023</v>
      </c>
      <c r="E2706" s="6" t="s">
        <v>15</v>
      </c>
      <c r="F2706" s="7">
        <v>2856</v>
      </c>
      <c r="G2706" s="7">
        <v>229438.07317927171</v>
      </c>
      <c r="H2706" s="7">
        <v>655275137</v>
      </c>
      <c r="I2706" s="7">
        <v>68180197</v>
      </c>
      <c r="J2706" s="7">
        <v>0</v>
      </c>
      <c r="K2706">
        <f t="shared" si="42"/>
        <v>31</v>
      </c>
      <c r="L2706" s="8" t="str" cm="1">
        <f t="array" ref="L2706">_xlfn.IFS(
 AND(K2706&gt;=89,K2706&lt;=92),"3개월",
 AND(K2706&gt;=58,K2706&lt;=62),"2개월",
 AND(K2706&gt;=28,K2706&lt;=32),"1개월",
 AND(K2706=0),"당월",
 TRUE,"그외"
)</f>
        <v>1개월</v>
      </c>
    </row>
    <row r="2707" spans="1:12" x14ac:dyDescent="0.3">
      <c r="A2707" s="5">
        <v>46054</v>
      </c>
      <c r="B2707" s="6" t="s">
        <v>20</v>
      </c>
      <c r="C2707" s="6" t="s">
        <v>95</v>
      </c>
      <c r="D2707" s="5">
        <v>46054</v>
      </c>
      <c r="E2707" s="6" t="s">
        <v>14</v>
      </c>
      <c r="F2707" s="7">
        <v>1359</v>
      </c>
      <c r="G2707" s="7">
        <v>222354.89330389991</v>
      </c>
      <c r="H2707" s="7">
        <v>302180300</v>
      </c>
      <c r="I2707" s="7">
        <v>20047300</v>
      </c>
      <c r="J2707" s="7">
        <v>0</v>
      </c>
      <c r="K2707">
        <f t="shared" si="42"/>
        <v>0</v>
      </c>
      <c r="L2707" s="8" t="str" cm="1">
        <f t="array" ref="L2707">_xlfn.IFS(
 AND(K2707&gt;=89,K2707&lt;=92),"3개월",
 AND(K2707&gt;=58,K2707&lt;=62),"2개월",
 AND(K2707&gt;=28,K2707&lt;=32),"1개월",
 AND(K2707=0),"당월",
 TRUE,"그외"
)</f>
        <v>당월</v>
      </c>
    </row>
    <row r="2708" spans="1:12" x14ac:dyDescent="0.3">
      <c r="A2708" s="5">
        <v>46054</v>
      </c>
      <c r="B2708" s="6" t="s">
        <v>20</v>
      </c>
      <c r="C2708" s="6" t="s">
        <v>95</v>
      </c>
      <c r="D2708" s="5">
        <v>46054</v>
      </c>
      <c r="E2708" s="6" t="s">
        <v>15</v>
      </c>
      <c r="F2708" s="7">
        <v>1484</v>
      </c>
      <c r="G2708" s="7">
        <v>210318.53436657679</v>
      </c>
      <c r="H2708" s="7">
        <v>312112705</v>
      </c>
      <c r="I2708" s="7">
        <v>30037994</v>
      </c>
      <c r="J2708" s="7">
        <v>0</v>
      </c>
      <c r="K2708">
        <f t="shared" si="42"/>
        <v>0</v>
      </c>
      <c r="L2708" s="8" t="str" cm="1">
        <f t="array" ref="L2708">_xlfn.IFS(
 AND(K2708&gt;=89,K2708&lt;=92),"3개월",
 AND(K2708&gt;=58,K2708&lt;=62),"2개월",
 AND(K2708&gt;=28,K2708&lt;=32),"1개월",
 AND(K2708=0),"당월",
 TRUE,"그외"
)</f>
        <v>당월</v>
      </c>
    </row>
    <row r="2709" spans="1:12" x14ac:dyDescent="0.3">
      <c r="A2709" s="5">
        <v>46054</v>
      </c>
      <c r="B2709" s="6" t="s">
        <v>20</v>
      </c>
      <c r="C2709" s="6" t="s">
        <v>36</v>
      </c>
      <c r="D2709" s="5">
        <v>45839</v>
      </c>
      <c r="E2709" s="6" t="s">
        <v>15</v>
      </c>
      <c r="F2709" s="7">
        <v>157</v>
      </c>
      <c r="G2709" s="7">
        <v>226521.22292993631</v>
      </c>
      <c r="H2709" s="7">
        <v>35563832</v>
      </c>
      <c r="I2709" s="7">
        <v>2648330</v>
      </c>
      <c r="J2709" s="7">
        <v>0</v>
      </c>
      <c r="K2709">
        <f t="shared" si="42"/>
        <v>215</v>
      </c>
      <c r="L2709" s="8" t="str" cm="1">
        <f t="array" ref="L2709">_xlfn.IFS(
 AND(K2709&gt;=89,K2709&lt;=92),"3개월",
 AND(K2709&gt;=58,K2709&lt;=62),"2개월",
 AND(K2709&gt;=28,K2709&lt;=32),"1개월",
 AND(K2709=0),"당월",
 TRUE,"그외"
)</f>
        <v>그외</v>
      </c>
    </row>
    <row r="2710" spans="1:12" x14ac:dyDescent="0.3">
      <c r="A2710" s="5">
        <v>46054</v>
      </c>
      <c r="B2710" s="6" t="s">
        <v>20</v>
      </c>
      <c r="C2710" s="6" t="s">
        <v>36</v>
      </c>
      <c r="D2710" s="5">
        <v>45870</v>
      </c>
      <c r="E2710" s="6" t="s">
        <v>15</v>
      </c>
      <c r="F2710" s="7">
        <v>211</v>
      </c>
      <c r="G2710" s="7">
        <v>198274.92417061611</v>
      </c>
      <c r="H2710" s="7">
        <v>41836009</v>
      </c>
      <c r="I2710" s="7">
        <v>3936773</v>
      </c>
      <c r="J2710" s="7">
        <v>0</v>
      </c>
      <c r="K2710">
        <f t="shared" si="42"/>
        <v>184</v>
      </c>
      <c r="L2710" s="8" t="str" cm="1">
        <f t="array" ref="L2710">_xlfn.IFS(
 AND(K2710&gt;=89,K2710&lt;=92),"3개월",
 AND(K2710&gt;=58,K2710&lt;=62),"2개월",
 AND(K2710&gt;=28,K2710&lt;=32),"1개월",
 AND(K2710=0),"당월",
 TRUE,"그외"
)</f>
        <v>그외</v>
      </c>
    </row>
    <row r="2711" spans="1:12" x14ac:dyDescent="0.3">
      <c r="A2711" s="5">
        <v>46054</v>
      </c>
      <c r="B2711" s="6" t="s">
        <v>20</v>
      </c>
      <c r="C2711" s="6" t="s">
        <v>36</v>
      </c>
      <c r="D2711" s="5">
        <v>45901</v>
      </c>
      <c r="E2711" s="6" t="s">
        <v>15</v>
      </c>
      <c r="F2711" s="7">
        <v>340</v>
      </c>
      <c r="G2711" s="7">
        <v>206701.8705882353</v>
      </c>
      <c r="H2711" s="7">
        <v>70278636</v>
      </c>
      <c r="I2711" s="7">
        <v>6099308</v>
      </c>
      <c r="J2711" s="7">
        <v>0</v>
      </c>
      <c r="K2711">
        <f t="shared" si="42"/>
        <v>153</v>
      </c>
      <c r="L2711" s="8" t="str" cm="1">
        <f t="array" ref="L2711">_xlfn.IFS(
 AND(K2711&gt;=89,K2711&lt;=92),"3개월",
 AND(K2711&gt;=58,K2711&lt;=62),"2개월",
 AND(K2711&gt;=28,K2711&lt;=32),"1개월",
 AND(K2711=0),"당월",
 TRUE,"그외"
)</f>
        <v>그외</v>
      </c>
    </row>
    <row r="2712" spans="1:12" x14ac:dyDescent="0.3">
      <c r="A2712" s="5">
        <v>46054</v>
      </c>
      <c r="B2712" s="6" t="s">
        <v>20</v>
      </c>
      <c r="C2712" s="6" t="s">
        <v>36</v>
      </c>
      <c r="D2712" s="5">
        <v>45931</v>
      </c>
      <c r="E2712" s="6" t="s">
        <v>14</v>
      </c>
      <c r="F2712" s="7">
        <v>23</v>
      </c>
      <c r="G2712" s="7">
        <v>300437.13043478259</v>
      </c>
      <c r="H2712" s="7">
        <v>6910054</v>
      </c>
      <c r="I2712" s="7">
        <v>471674</v>
      </c>
      <c r="J2712" s="7">
        <v>0</v>
      </c>
      <c r="K2712">
        <f t="shared" si="42"/>
        <v>123</v>
      </c>
      <c r="L2712" s="8" t="str" cm="1">
        <f t="array" ref="L2712">_xlfn.IFS(
 AND(K2712&gt;=89,K2712&lt;=92),"3개월",
 AND(K2712&gt;=58,K2712&lt;=62),"2개월",
 AND(K2712&gt;=28,K2712&lt;=32),"1개월",
 AND(K2712=0),"당월",
 TRUE,"그외"
)</f>
        <v>그외</v>
      </c>
    </row>
    <row r="2713" spans="1:12" x14ac:dyDescent="0.3">
      <c r="A2713" s="5">
        <v>46054</v>
      </c>
      <c r="B2713" s="6" t="s">
        <v>20</v>
      </c>
      <c r="C2713" s="6" t="s">
        <v>36</v>
      </c>
      <c r="D2713" s="5">
        <v>45931</v>
      </c>
      <c r="E2713" s="6" t="s">
        <v>15</v>
      </c>
      <c r="F2713" s="7">
        <v>659</v>
      </c>
      <c r="G2713" s="7">
        <v>196834.11836115329</v>
      </c>
      <c r="H2713" s="7">
        <v>129713684</v>
      </c>
      <c r="I2713" s="7">
        <v>12564909</v>
      </c>
      <c r="J2713" s="7">
        <v>0</v>
      </c>
      <c r="K2713">
        <f t="shared" si="42"/>
        <v>123</v>
      </c>
      <c r="L2713" s="8" t="str" cm="1">
        <f t="array" ref="L2713">_xlfn.IFS(
 AND(K2713&gt;=89,K2713&lt;=92),"3개월",
 AND(K2713&gt;=58,K2713&lt;=62),"2개월",
 AND(K2713&gt;=28,K2713&lt;=32),"1개월",
 AND(K2713=0),"당월",
 TRUE,"그외"
)</f>
        <v>그외</v>
      </c>
    </row>
    <row r="2714" spans="1:12" x14ac:dyDescent="0.3">
      <c r="A2714" s="5">
        <v>46054</v>
      </c>
      <c r="B2714" s="6" t="s">
        <v>20</v>
      </c>
      <c r="C2714" s="6" t="s">
        <v>36</v>
      </c>
      <c r="D2714" s="5">
        <v>45962</v>
      </c>
      <c r="E2714" s="6" t="s">
        <v>14</v>
      </c>
      <c r="F2714" s="7">
        <v>154</v>
      </c>
      <c r="G2714" s="7">
        <v>177311.0649350649</v>
      </c>
      <c r="H2714" s="7">
        <v>27305904</v>
      </c>
      <c r="I2714" s="7">
        <v>2945665</v>
      </c>
      <c r="J2714" s="7">
        <v>0</v>
      </c>
      <c r="K2714">
        <f t="shared" si="42"/>
        <v>92</v>
      </c>
      <c r="L2714" s="8" t="str" cm="1">
        <f t="array" ref="L2714">_xlfn.IFS(
 AND(K2714&gt;=89,K2714&lt;=92),"3개월",
 AND(K2714&gt;=58,K2714&lt;=62),"2개월",
 AND(K2714&gt;=28,K2714&lt;=32),"1개월",
 AND(K2714=0),"당월",
 TRUE,"그외"
)</f>
        <v>3개월</v>
      </c>
    </row>
    <row r="2715" spans="1:12" x14ac:dyDescent="0.3">
      <c r="A2715" s="5">
        <v>46054</v>
      </c>
      <c r="B2715" s="6" t="s">
        <v>20</v>
      </c>
      <c r="C2715" s="6" t="s">
        <v>36</v>
      </c>
      <c r="D2715" s="5">
        <v>45962</v>
      </c>
      <c r="E2715" s="6" t="s">
        <v>15</v>
      </c>
      <c r="F2715" s="7">
        <v>426</v>
      </c>
      <c r="G2715" s="7">
        <v>193196.955399061</v>
      </c>
      <c r="H2715" s="7">
        <v>82301903</v>
      </c>
      <c r="I2715" s="7">
        <v>8608246</v>
      </c>
      <c r="J2715" s="7">
        <v>0</v>
      </c>
      <c r="K2715">
        <f t="shared" si="42"/>
        <v>92</v>
      </c>
      <c r="L2715" s="8" t="str" cm="1">
        <f t="array" ref="L2715">_xlfn.IFS(
 AND(K2715&gt;=89,K2715&lt;=92),"3개월",
 AND(K2715&gt;=58,K2715&lt;=62),"2개월",
 AND(K2715&gt;=28,K2715&lt;=32),"1개월",
 AND(K2715=0),"당월",
 TRUE,"그외"
)</f>
        <v>3개월</v>
      </c>
    </row>
    <row r="2716" spans="1:12" x14ac:dyDescent="0.3">
      <c r="A2716" s="5">
        <v>46054</v>
      </c>
      <c r="B2716" s="6" t="s">
        <v>20</v>
      </c>
      <c r="C2716" s="6" t="s">
        <v>36</v>
      </c>
      <c r="D2716" s="5">
        <v>45992</v>
      </c>
      <c r="E2716" s="6" t="s">
        <v>14</v>
      </c>
      <c r="F2716" s="7">
        <v>477</v>
      </c>
      <c r="G2716" s="7">
        <v>181018.87002096439</v>
      </c>
      <c r="H2716" s="7">
        <v>86346001</v>
      </c>
      <c r="I2716" s="7">
        <v>9904801</v>
      </c>
      <c r="J2716" s="7">
        <v>0</v>
      </c>
      <c r="K2716">
        <f t="shared" si="42"/>
        <v>62</v>
      </c>
      <c r="L2716" s="8" t="str" cm="1">
        <f t="array" ref="L2716">_xlfn.IFS(
 AND(K2716&gt;=89,K2716&lt;=92),"3개월",
 AND(K2716&gt;=58,K2716&lt;=62),"2개월",
 AND(K2716&gt;=28,K2716&lt;=32),"1개월",
 AND(K2716=0),"당월",
 TRUE,"그외"
)</f>
        <v>2개월</v>
      </c>
    </row>
    <row r="2717" spans="1:12" x14ac:dyDescent="0.3">
      <c r="A2717" s="5">
        <v>46054</v>
      </c>
      <c r="B2717" s="6" t="s">
        <v>20</v>
      </c>
      <c r="C2717" s="6" t="s">
        <v>36</v>
      </c>
      <c r="D2717" s="5">
        <v>45992</v>
      </c>
      <c r="E2717" s="6" t="s">
        <v>15</v>
      </c>
      <c r="F2717" s="7">
        <v>2446</v>
      </c>
      <c r="G2717" s="7">
        <v>225827.08994276371</v>
      </c>
      <c r="H2717" s="7">
        <v>552373062</v>
      </c>
      <c r="I2717" s="7">
        <v>54493115</v>
      </c>
      <c r="J2717" s="7">
        <v>0</v>
      </c>
      <c r="K2717">
        <f t="shared" si="42"/>
        <v>62</v>
      </c>
      <c r="L2717" s="8" t="str" cm="1">
        <f t="array" ref="L2717">_xlfn.IFS(
 AND(K2717&gt;=89,K2717&lt;=92),"3개월",
 AND(K2717&gt;=58,K2717&lt;=62),"2개월",
 AND(K2717&gt;=28,K2717&lt;=32),"1개월",
 AND(K2717=0),"당월",
 TRUE,"그외"
)</f>
        <v>2개월</v>
      </c>
    </row>
    <row r="2718" spans="1:12" x14ac:dyDescent="0.3">
      <c r="A2718" s="5">
        <v>46054</v>
      </c>
      <c r="B2718" s="6" t="s">
        <v>20</v>
      </c>
      <c r="C2718" s="6" t="s">
        <v>36</v>
      </c>
      <c r="D2718" s="5">
        <v>46023</v>
      </c>
      <c r="E2718" s="6" t="s">
        <v>14</v>
      </c>
      <c r="F2718" s="7">
        <v>1604</v>
      </c>
      <c r="G2718" s="7">
        <v>252034.62032418951</v>
      </c>
      <c r="H2718" s="7">
        <v>404263531</v>
      </c>
      <c r="I2718" s="7">
        <v>33744006</v>
      </c>
      <c r="J2718" s="7">
        <v>0</v>
      </c>
      <c r="K2718">
        <f t="shared" si="42"/>
        <v>31</v>
      </c>
      <c r="L2718" s="8" t="str" cm="1">
        <f t="array" ref="L2718">_xlfn.IFS(
 AND(K2718&gt;=89,K2718&lt;=92),"3개월",
 AND(K2718&gt;=58,K2718&lt;=62),"2개월",
 AND(K2718&gt;=28,K2718&lt;=32),"1개월",
 AND(K2718=0),"당월",
 TRUE,"그외"
)</f>
        <v>1개월</v>
      </c>
    </row>
    <row r="2719" spans="1:12" x14ac:dyDescent="0.3">
      <c r="A2719" s="5">
        <v>46054</v>
      </c>
      <c r="B2719" s="6" t="s">
        <v>20</v>
      </c>
      <c r="C2719" s="6" t="s">
        <v>36</v>
      </c>
      <c r="D2719" s="5">
        <v>46023</v>
      </c>
      <c r="E2719" s="6" t="s">
        <v>15</v>
      </c>
      <c r="F2719" s="7">
        <v>7416</v>
      </c>
      <c r="G2719" s="7">
        <v>237045.07996224379</v>
      </c>
      <c r="H2719" s="7">
        <v>1757926313</v>
      </c>
      <c r="I2719" s="7">
        <v>166888783</v>
      </c>
      <c r="J2719" s="7">
        <v>0</v>
      </c>
      <c r="K2719">
        <f t="shared" si="42"/>
        <v>31</v>
      </c>
      <c r="L2719" s="8" t="str" cm="1">
        <f t="array" ref="L2719">_xlfn.IFS(
 AND(K2719&gt;=89,K2719&lt;=92),"3개월",
 AND(K2719&gt;=58,K2719&lt;=62),"2개월",
 AND(K2719&gt;=28,K2719&lt;=32),"1개월",
 AND(K2719=0),"당월",
 TRUE,"그외"
)</f>
        <v>1개월</v>
      </c>
    </row>
    <row r="2720" spans="1:12" x14ac:dyDescent="0.3">
      <c r="A2720" s="5">
        <v>46054</v>
      </c>
      <c r="B2720" s="6" t="s">
        <v>20</v>
      </c>
      <c r="C2720" s="6" t="s">
        <v>36</v>
      </c>
      <c r="D2720" s="5">
        <v>46054</v>
      </c>
      <c r="E2720" s="6" t="s">
        <v>14</v>
      </c>
      <c r="F2720" s="7">
        <v>845</v>
      </c>
      <c r="G2720" s="7">
        <v>192417.1597633136</v>
      </c>
      <c r="H2720" s="7">
        <v>162592500</v>
      </c>
      <c r="I2720" s="7">
        <v>12432500</v>
      </c>
      <c r="J2720" s="7">
        <v>0</v>
      </c>
      <c r="K2720">
        <f t="shared" si="42"/>
        <v>0</v>
      </c>
      <c r="L2720" s="8" t="str" cm="1">
        <f t="array" ref="L2720">_xlfn.IFS(
 AND(K2720&gt;=89,K2720&lt;=92),"3개월",
 AND(K2720&gt;=58,K2720&lt;=62),"2개월",
 AND(K2720&gt;=28,K2720&lt;=32),"1개월",
 AND(K2720=0),"당월",
 TRUE,"그외"
)</f>
        <v>당월</v>
      </c>
    </row>
    <row r="2721" spans="1:12" x14ac:dyDescent="0.3">
      <c r="A2721" s="5">
        <v>46054</v>
      </c>
      <c r="B2721" s="6" t="s">
        <v>20</v>
      </c>
      <c r="C2721" s="6" t="s">
        <v>36</v>
      </c>
      <c r="D2721" s="5">
        <v>46054</v>
      </c>
      <c r="E2721" s="6" t="s">
        <v>15</v>
      </c>
      <c r="F2721" s="7">
        <v>1989</v>
      </c>
      <c r="G2721" s="7">
        <v>244568.80040221219</v>
      </c>
      <c r="H2721" s="7">
        <v>486447344</v>
      </c>
      <c r="I2721" s="7">
        <v>37026781</v>
      </c>
      <c r="J2721" s="7">
        <v>0</v>
      </c>
      <c r="K2721">
        <f t="shared" si="42"/>
        <v>0</v>
      </c>
      <c r="L2721" s="8" t="str" cm="1">
        <f t="array" ref="L2721">_xlfn.IFS(
 AND(K2721&gt;=89,K2721&lt;=92),"3개월",
 AND(K2721&gt;=58,K2721&lt;=62),"2개월",
 AND(K2721&gt;=28,K2721&lt;=32),"1개월",
 AND(K2721=0),"당월",
 TRUE,"그외"
)</f>
        <v>당월</v>
      </c>
    </row>
    <row r="2722" spans="1:12" x14ac:dyDescent="0.3">
      <c r="A2722" s="5">
        <v>46054</v>
      </c>
      <c r="B2722" s="6" t="s">
        <v>20</v>
      </c>
      <c r="C2722" s="6" t="s">
        <v>37</v>
      </c>
      <c r="D2722" s="5">
        <v>45839</v>
      </c>
      <c r="E2722" s="6" t="s">
        <v>15</v>
      </c>
      <c r="F2722" s="7">
        <v>28</v>
      </c>
      <c r="G2722" s="7">
        <v>154875.03571428571</v>
      </c>
      <c r="H2722" s="7">
        <v>4336501</v>
      </c>
      <c r="I2722" s="7">
        <v>281561</v>
      </c>
      <c r="J2722" s="7">
        <v>0</v>
      </c>
      <c r="K2722">
        <f t="shared" si="42"/>
        <v>215</v>
      </c>
      <c r="L2722" s="8" t="str" cm="1">
        <f t="array" ref="L2722">_xlfn.IFS(
 AND(K2722&gt;=89,K2722&lt;=92),"3개월",
 AND(K2722&gt;=58,K2722&lt;=62),"2개월",
 AND(K2722&gt;=28,K2722&lt;=32),"1개월",
 AND(K2722=0),"당월",
 TRUE,"그외"
)</f>
        <v>그외</v>
      </c>
    </row>
    <row r="2723" spans="1:12" x14ac:dyDescent="0.3">
      <c r="A2723" s="5">
        <v>46054</v>
      </c>
      <c r="B2723" s="6" t="s">
        <v>20</v>
      </c>
      <c r="C2723" s="6" t="s">
        <v>37</v>
      </c>
      <c r="D2723" s="5">
        <v>45870</v>
      </c>
      <c r="E2723" s="6" t="s">
        <v>15</v>
      </c>
      <c r="F2723" s="7">
        <v>69</v>
      </c>
      <c r="G2723" s="7">
        <v>106330.88405797099</v>
      </c>
      <c r="H2723" s="7">
        <v>7336831</v>
      </c>
      <c r="I2723" s="7">
        <v>783802</v>
      </c>
      <c r="J2723" s="7">
        <v>0</v>
      </c>
      <c r="K2723">
        <f t="shared" si="42"/>
        <v>184</v>
      </c>
      <c r="L2723" s="8" t="str" cm="1">
        <f t="array" ref="L2723">_xlfn.IFS(
 AND(K2723&gt;=89,K2723&lt;=92),"3개월",
 AND(K2723&gt;=58,K2723&lt;=62),"2개월",
 AND(K2723&gt;=28,K2723&lt;=32),"1개월",
 AND(K2723=0),"당월",
 TRUE,"그외"
)</f>
        <v>그외</v>
      </c>
    </row>
    <row r="2724" spans="1:12" x14ac:dyDescent="0.3">
      <c r="A2724" s="5">
        <v>46054</v>
      </c>
      <c r="B2724" s="6" t="s">
        <v>20</v>
      </c>
      <c r="C2724" s="6" t="s">
        <v>37</v>
      </c>
      <c r="D2724" s="5">
        <v>45901</v>
      </c>
      <c r="E2724" s="6" t="s">
        <v>15</v>
      </c>
      <c r="F2724" s="7">
        <v>133</v>
      </c>
      <c r="G2724" s="7">
        <v>100587.6466165414</v>
      </c>
      <c r="H2724" s="7">
        <v>13378157</v>
      </c>
      <c r="I2724" s="7">
        <v>1904526</v>
      </c>
      <c r="J2724" s="7">
        <v>0</v>
      </c>
      <c r="K2724">
        <f t="shared" si="42"/>
        <v>153</v>
      </c>
      <c r="L2724" s="8" t="str" cm="1">
        <f t="array" ref="L2724">_xlfn.IFS(
 AND(K2724&gt;=89,K2724&lt;=92),"3개월",
 AND(K2724&gt;=58,K2724&lt;=62),"2개월",
 AND(K2724&gt;=28,K2724&lt;=32),"1개월",
 AND(K2724=0),"당월",
 TRUE,"그외"
)</f>
        <v>그외</v>
      </c>
    </row>
    <row r="2725" spans="1:12" x14ac:dyDescent="0.3">
      <c r="A2725" s="5">
        <v>46054</v>
      </c>
      <c r="B2725" s="6" t="s">
        <v>20</v>
      </c>
      <c r="C2725" s="6" t="s">
        <v>37</v>
      </c>
      <c r="D2725" s="5">
        <v>45931</v>
      </c>
      <c r="E2725" s="6" t="s">
        <v>15</v>
      </c>
      <c r="F2725" s="7">
        <v>489</v>
      </c>
      <c r="G2725" s="7">
        <v>118330.0797546012</v>
      </c>
      <c r="H2725" s="7">
        <v>57863409</v>
      </c>
      <c r="I2725" s="7">
        <v>6435009</v>
      </c>
      <c r="J2725" s="7">
        <v>0</v>
      </c>
      <c r="K2725">
        <f t="shared" si="42"/>
        <v>123</v>
      </c>
      <c r="L2725" s="8" t="str" cm="1">
        <f t="array" ref="L2725">_xlfn.IFS(
 AND(K2725&gt;=89,K2725&lt;=92),"3개월",
 AND(K2725&gt;=58,K2725&lt;=62),"2개월",
 AND(K2725&gt;=28,K2725&lt;=32),"1개월",
 AND(K2725=0),"당월",
 TRUE,"그외"
)</f>
        <v>그외</v>
      </c>
    </row>
    <row r="2726" spans="1:12" x14ac:dyDescent="0.3">
      <c r="A2726" s="5">
        <v>46054</v>
      </c>
      <c r="B2726" s="6" t="s">
        <v>20</v>
      </c>
      <c r="C2726" s="6" t="s">
        <v>37</v>
      </c>
      <c r="D2726" s="5">
        <v>45962</v>
      </c>
      <c r="E2726" s="6" t="s">
        <v>14</v>
      </c>
      <c r="F2726" s="7">
        <v>40</v>
      </c>
      <c r="G2726" s="7">
        <v>147693</v>
      </c>
      <c r="H2726" s="7">
        <v>5907720</v>
      </c>
      <c r="I2726" s="7">
        <v>469352</v>
      </c>
      <c r="J2726" s="7">
        <v>0</v>
      </c>
      <c r="K2726">
        <f t="shared" si="42"/>
        <v>92</v>
      </c>
      <c r="L2726" s="8" t="str" cm="1">
        <f t="array" ref="L2726">_xlfn.IFS(
 AND(K2726&gt;=89,K2726&lt;=92),"3개월",
 AND(K2726&gt;=58,K2726&lt;=62),"2개월",
 AND(K2726&gt;=28,K2726&lt;=32),"1개월",
 AND(K2726=0),"당월",
 TRUE,"그외"
)</f>
        <v>3개월</v>
      </c>
    </row>
    <row r="2727" spans="1:12" x14ac:dyDescent="0.3">
      <c r="A2727" s="5">
        <v>46054</v>
      </c>
      <c r="B2727" s="6" t="s">
        <v>20</v>
      </c>
      <c r="C2727" s="6" t="s">
        <v>37</v>
      </c>
      <c r="D2727" s="5">
        <v>45962</v>
      </c>
      <c r="E2727" s="6" t="s">
        <v>15</v>
      </c>
      <c r="F2727" s="7">
        <v>1116</v>
      </c>
      <c r="G2727" s="7">
        <v>141983.57168458781</v>
      </c>
      <c r="H2727" s="7">
        <v>158453666</v>
      </c>
      <c r="I2727" s="7">
        <v>14046103</v>
      </c>
      <c r="J2727" s="7">
        <v>0</v>
      </c>
      <c r="K2727">
        <f t="shared" si="42"/>
        <v>92</v>
      </c>
      <c r="L2727" s="8" t="str" cm="1">
        <f t="array" ref="L2727">_xlfn.IFS(
 AND(K2727&gt;=89,K2727&lt;=92),"3개월",
 AND(K2727&gt;=58,K2727&lt;=62),"2개월",
 AND(K2727&gt;=28,K2727&lt;=32),"1개월",
 AND(K2727=0),"당월",
 TRUE,"그외"
)</f>
        <v>3개월</v>
      </c>
    </row>
    <row r="2728" spans="1:12" x14ac:dyDescent="0.3">
      <c r="A2728" s="5">
        <v>46054</v>
      </c>
      <c r="B2728" s="6" t="s">
        <v>20</v>
      </c>
      <c r="C2728" s="6" t="s">
        <v>37</v>
      </c>
      <c r="D2728" s="5">
        <v>45992</v>
      </c>
      <c r="E2728" s="6" t="s">
        <v>14</v>
      </c>
      <c r="F2728" s="7">
        <v>491</v>
      </c>
      <c r="G2728" s="7">
        <v>179623.8859470468</v>
      </c>
      <c r="H2728" s="7">
        <v>88195328</v>
      </c>
      <c r="I2728" s="7">
        <v>6214461</v>
      </c>
      <c r="J2728" s="7">
        <v>0</v>
      </c>
      <c r="K2728">
        <f t="shared" si="42"/>
        <v>62</v>
      </c>
      <c r="L2728" s="8" t="str" cm="1">
        <f t="array" ref="L2728">_xlfn.IFS(
 AND(K2728&gt;=89,K2728&lt;=92),"3개월",
 AND(K2728&gt;=58,K2728&lt;=62),"2개월",
 AND(K2728&gt;=28,K2728&lt;=32),"1개월",
 AND(K2728=0),"당월",
 TRUE,"그외"
)</f>
        <v>2개월</v>
      </c>
    </row>
    <row r="2729" spans="1:12" x14ac:dyDescent="0.3">
      <c r="A2729" s="5">
        <v>46054</v>
      </c>
      <c r="B2729" s="6" t="s">
        <v>20</v>
      </c>
      <c r="C2729" s="6" t="s">
        <v>37</v>
      </c>
      <c r="D2729" s="5">
        <v>45992</v>
      </c>
      <c r="E2729" s="6" t="s">
        <v>15</v>
      </c>
      <c r="F2729" s="7">
        <v>1705</v>
      </c>
      <c r="G2729" s="7">
        <v>172699.34076246331</v>
      </c>
      <c r="H2729" s="7">
        <v>294452376</v>
      </c>
      <c r="I2729" s="7">
        <v>23649322</v>
      </c>
      <c r="J2729" s="7">
        <v>0</v>
      </c>
      <c r="K2729">
        <f t="shared" si="42"/>
        <v>62</v>
      </c>
      <c r="L2729" s="8" t="str" cm="1">
        <f t="array" ref="L2729">_xlfn.IFS(
 AND(K2729&gt;=89,K2729&lt;=92),"3개월",
 AND(K2729&gt;=58,K2729&lt;=62),"2개월",
 AND(K2729&gt;=28,K2729&lt;=32),"1개월",
 AND(K2729=0),"당월",
 TRUE,"그외"
)</f>
        <v>2개월</v>
      </c>
    </row>
    <row r="2730" spans="1:12" x14ac:dyDescent="0.3">
      <c r="A2730" s="5">
        <v>46054</v>
      </c>
      <c r="B2730" s="6" t="s">
        <v>20</v>
      </c>
      <c r="C2730" s="6" t="s">
        <v>37</v>
      </c>
      <c r="D2730" s="5">
        <v>46023</v>
      </c>
      <c r="E2730" s="6" t="s">
        <v>14</v>
      </c>
      <c r="F2730" s="7">
        <v>1246</v>
      </c>
      <c r="G2730" s="7">
        <v>153112.9911717496</v>
      </c>
      <c r="H2730" s="7">
        <v>190778787</v>
      </c>
      <c r="I2730" s="7">
        <v>15596178</v>
      </c>
      <c r="J2730" s="7">
        <v>0</v>
      </c>
      <c r="K2730">
        <f t="shared" si="42"/>
        <v>31</v>
      </c>
      <c r="L2730" s="8" t="str" cm="1">
        <f t="array" ref="L2730">_xlfn.IFS(
 AND(K2730&gt;=89,K2730&lt;=92),"3개월",
 AND(K2730&gt;=58,K2730&lt;=62),"2개월",
 AND(K2730&gt;=28,K2730&lt;=32),"1개월",
 AND(K2730=0),"당월",
 TRUE,"그외"
)</f>
        <v>1개월</v>
      </c>
    </row>
    <row r="2731" spans="1:12" x14ac:dyDescent="0.3">
      <c r="A2731" s="5">
        <v>46054</v>
      </c>
      <c r="B2731" s="6" t="s">
        <v>20</v>
      </c>
      <c r="C2731" s="6" t="s">
        <v>37</v>
      </c>
      <c r="D2731" s="5">
        <v>46023</v>
      </c>
      <c r="E2731" s="6" t="s">
        <v>15</v>
      </c>
      <c r="F2731" s="7">
        <v>2953</v>
      </c>
      <c r="G2731" s="7">
        <v>181032.61192008131</v>
      </c>
      <c r="H2731" s="7">
        <v>534589303</v>
      </c>
      <c r="I2731" s="7">
        <v>45820404</v>
      </c>
      <c r="J2731" s="7">
        <v>0</v>
      </c>
      <c r="K2731">
        <f t="shared" si="42"/>
        <v>31</v>
      </c>
      <c r="L2731" s="8" t="str" cm="1">
        <f t="array" ref="L2731">_xlfn.IFS(
 AND(K2731&gt;=89,K2731&lt;=92),"3개월",
 AND(K2731&gt;=58,K2731&lt;=62),"2개월",
 AND(K2731&gt;=28,K2731&lt;=32),"1개월",
 AND(K2731=0),"당월",
 TRUE,"그외"
)</f>
        <v>1개월</v>
      </c>
    </row>
    <row r="2732" spans="1:12" x14ac:dyDescent="0.3">
      <c r="A2732" s="5">
        <v>46054</v>
      </c>
      <c r="B2732" s="6" t="s">
        <v>20</v>
      </c>
      <c r="C2732" s="6" t="s">
        <v>37</v>
      </c>
      <c r="D2732" s="5">
        <v>46054</v>
      </c>
      <c r="E2732" s="6" t="s">
        <v>14</v>
      </c>
      <c r="F2732" s="7">
        <v>582</v>
      </c>
      <c r="G2732" s="7">
        <v>154381.383161512</v>
      </c>
      <c r="H2732" s="7">
        <v>89849965</v>
      </c>
      <c r="I2732" s="7">
        <v>4485220</v>
      </c>
      <c r="J2732" s="7">
        <v>0</v>
      </c>
      <c r="K2732">
        <f t="shared" si="42"/>
        <v>0</v>
      </c>
      <c r="L2732" s="8" t="str" cm="1">
        <f t="array" ref="L2732">_xlfn.IFS(
 AND(K2732&gt;=89,K2732&lt;=92),"3개월",
 AND(K2732&gt;=58,K2732&lt;=62),"2개월",
 AND(K2732&gt;=28,K2732&lt;=32),"1개월",
 AND(K2732=0),"당월",
 TRUE,"그외"
)</f>
        <v>당월</v>
      </c>
    </row>
    <row r="2733" spans="1:12" x14ac:dyDescent="0.3">
      <c r="A2733" s="5">
        <v>46054</v>
      </c>
      <c r="B2733" s="6" t="s">
        <v>20</v>
      </c>
      <c r="C2733" s="6" t="s">
        <v>37</v>
      </c>
      <c r="D2733" s="5">
        <v>46054</v>
      </c>
      <c r="E2733" s="6" t="s">
        <v>15</v>
      </c>
      <c r="F2733" s="7">
        <v>916</v>
      </c>
      <c r="G2733" s="7">
        <v>217858.40174672491</v>
      </c>
      <c r="H2733" s="7">
        <v>199558296</v>
      </c>
      <c r="I2733" s="7">
        <v>17218575</v>
      </c>
      <c r="J2733" s="7">
        <v>0</v>
      </c>
      <c r="K2733">
        <f t="shared" si="42"/>
        <v>0</v>
      </c>
      <c r="L2733" s="8" t="str" cm="1">
        <f t="array" ref="L2733">_xlfn.IFS(
 AND(K2733&gt;=89,K2733&lt;=92),"3개월",
 AND(K2733&gt;=58,K2733&lt;=62),"2개월",
 AND(K2733&gt;=28,K2733&lt;=32),"1개월",
 AND(K2733=0),"당월",
 TRUE,"그외"
)</f>
        <v>당월</v>
      </c>
    </row>
    <row r="2734" spans="1:12" x14ac:dyDescent="0.3">
      <c r="A2734" s="5">
        <v>46054</v>
      </c>
      <c r="B2734" s="6" t="s">
        <v>20</v>
      </c>
      <c r="C2734" s="6" t="s">
        <v>38</v>
      </c>
      <c r="D2734" s="5">
        <v>45839</v>
      </c>
      <c r="E2734" s="6" t="s">
        <v>15</v>
      </c>
      <c r="F2734" s="7">
        <v>3</v>
      </c>
      <c r="G2734" s="7">
        <v>81488</v>
      </c>
      <c r="H2734" s="7">
        <v>244464</v>
      </c>
      <c r="I2734" s="7">
        <v>103968</v>
      </c>
      <c r="J2734" s="7">
        <v>0</v>
      </c>
      <c r="K2734">
        <f t="shared" si="42"/>
        <v>215</v>
      </c>
      <c r="L2734" s="8" t="str" cm="1">
        <f t="array" ref="L2734">_xlfn.IFS(
 AND(K2734&gt;=89,K2734&lt;=92),"3개월",
 AND(K2734&gt;=58,K2734&lt;=62),"2개월",
 AND(K2734&gt;=28,K2734&lt;=32),"1개월",
 AND(K2734=0),"당월",
 TRUE,"그외"
)</f>
        <v>그외</v>
      </c>
    </row>
    <row r="2735" spans="1:12" x14ac:dyDescent="0.3">
      <c r="A2735" s="5">
        <v>46054</v>
      </c>
      <c r="B2735" s="6" t="s">
        <v>20</v>
      </c>
      <c r="C2735" s="6" t="s">
        <v>38</v>
      </c>
      <c r="D2735" s="5">
        <v>45870</v>
      </c>
      <c r="E2735" s="6" t="s">
        <v>15</v>
      </c>
      <c r="F2735" s="7">
        <v>30</v>
      </c>
      <c r="G2735" s="7">
        <v>151903.06666666671</v>
      </c>
      <c r="H2735" s="7">
        <v>4557092</v>
      </c>
      <c r="I2735" s="7">
        <v>335608</v>
      </c>
      <c r="J2735" s="7">
        <v>0</v>
      </c>
      <c r="K2735">
        <f t="shared" si="42"/>
        <v>184</v>
      </c>
      <c r="L2735" s="8" t="str" cm="1">
        <f t="array" ref="L2735">_xlfn.IFS(
 AND(K2735&gt;=89,K2735&lt;=92),"3개월",
 AND(K2735&gt;=58,K2735&lt;=62),"2개월",
 AND(K2735&gt;=28,K2735&lt;=32),"1개월",
 AND(K2735=0),"당월",
 TRUE,"그외"
)</f>
        <v>그외</v>
      </c>
    </row>
    <row r="2736" spans="1:12" x14ac:dyDescent="0.3">
      <c r="A2736" s="5">
        <v>46054</v>
      </c>
      <c r="B2736" s="6" t="s">
        <v>20</v>
      </c>
      <c r="C2736" s="6" t="s">
        <v>38</v>
      </c>
      <c r="D2736" s="5">
        <v>45901</v>
      </c>
      <c r="E2736" s="6" t="s">
        <v>15</v>
      </c>
      <c r="F2736" s="7">
        <v>47</v>
      </c>
      <c r="G2736" s="7">
        <v>162470.8723404255</v>
      </c>
      <c r="H2736" s="7">
        <v>7636131</v>
      </c>
      <c r="I2736" s="7">
        <v>467823</v>
      </c>
      <c r="J2736" s="7">
        <v>0</v>
      </c>
      <c r="K2736">
        <f t="shared" si="42"/>
        <v>153</v>
      </c>
      <c r="L2736" s="8" t="str" cm="1">
        <f t="array" ref="L2736">_xlfn.IFS(
 AND(K2736&gt;=89,K2736&lt;=92),"3개월",
 AND(K2736&gt;=58,K2736&lt;=62),"2개월",
 AND(K2736&gt;=28,K2736&lt;=32),"1개월",
 AND(K2736=0),"당월",
 TRUE,"그외"
)</f>
        <v>그외</v>
      </c>
    </row>
    <row r="2737" spans="1:12" x14ac:dyDescent="0.3">
      <c r="A2737" s="5">
        <v>46054</v>
      </c>
      <c r="B2737" s="6" t="s">
        <v>20</v>
      </c>
      <c r="C2737" s="6" t="s">
        <v>38</v>
      </c>
      <c r="D2737" s="5">
        <v>45931</v>
      </c>
      <c r="E2737" s="6" t="s">
        <v>14</v>
      </c>
      <c r="F2737" s="7">
        <v>32</v>
      </c>
      <c r="G2737" s="7">
        <v>129700</v>
      </c>
      <c r="H2737" s="7">
        <v>4150400</v>
      </c>
      <c r="I2737" s="7">
        <v>310400</v>
      </c>
      <c r="J2737" s="7">
        <v>0</v>
      </c>
      <c r="K2737">
        <f t="shared" si="42"/>
        <v>123</v>
      </c>
      <c r="L2737" s="8" t="str" cm="1">
        <f t="array" ref="L2737">_xlfn.IFS(
 AND(K2737&gt;=89,K2737&lt;=92),"3개월",
 AND(K2737&gt;=58,K2737&lt;=62),"2개월",
 AND(K2737&gt;=28,K2737&lt;=32),"1개월",
 AND(K2737=0),"당월",
 TRUE,"그외"
)</f>
        <v>그외</v>
      </c>
    </row>
    <row r="2738" spans="1:12" x14ac:dyDescent="0.3">
      <c r="A2738" s="5">
        <v>46054</v>
      </c>
      <c r="B2738" s="6" t="s">
        <v>20</v>
      </c>
      <c r="C2738" s="6" t="s">
        <v>38</v>
      </c>
      <c r="D2738" s="5">
        <v>45931</v>
      </c>
      <c r="E2738" s="6" t="s">
        <v>15</v>
      </c>
      <c r="F2738" s="7">
        <v>217</v>
      </c>
      <c r="G2738" s="7">
        <v>138241.73732718901</v>
      </c>
      <c r="H2738" s="7">
        <v>29998457</v>
      </c>
      <c r="I2738" s="7">
        <v>2631232</v>
      </c>
      <c r="J2738" s="7">
        <v>0</v>
      </c>
      <c r="K2738">
        <f t="shared" si="42"/>
        <v>123</v>
      </c>
      <c r="L2738" s="8" t="str" cm="1">
        <f t="array" ref="L2738">_xlfn.IFS(
 AND(K2738&gt;=89,K2738&lt;=92),"3개월",
 AND(K2738&gt;=58,K2738&lt;=62),"2개월",
 AND(K2738&gt;=28,K2738&lt;=32),"1개월",
 AND(K2738=0),"당월",
 TRUE,"그외"
)</f>
        <v>그외</v>
      </c>
    </row>
    <row r="2739" spans="1:12" x14ac:dyDescent="0.3">
      <c r="A2739" s="5">
        <v>46054</v>
      </c>
      <c r="B2739" s="6" t="s">
        <v>20</v>
      </c>
      <c r="C2739" s="6" t="s">
        <v>38</v>
      </c>
      <c r="D2739" s="5">
        <v>45962</v>
      </c>
      <c r="E2739" s="6" t="s">
        <v>14</v>
      </c>
      <c r="F2739" s="7">
        <v>19</v>
      </c>
      <c r="G2739" s="7">
        <v>157449.05263157899</v>
      </c>
      <c r="H2739" s="7">
        <v>2991532</v>
      </c>
      <c r="I2739" s="7">
        <v>302228</v>
      </c>
      <c r="J2739" s="7">
        <v>0</v>
      </c>
      <c r="K2739">
        <f t="shared" si="42"/>
        <v>92</v>
      </c>
      <c r="L2739" s="8" t="str" cm="1">
        <f t="array" ref="L2739">_xlfn.IFS(
 AND(K2739&gt;=89,K2739&lt;=92),"3개월",
 AND(K2739&gt;=58,K2739&lt;=62),"2개월",
 AND(K2739&gt;=28,K2739&lt;=32),"1개월",
 AND(K2739=0),"당월",
 TRUE,"그외"
)</f>
        <v>3개월</v>
      </c>
    </row>
    <row r="2740" spans="1:12" x14ac:dyDescent="0.3">
      <c r="A2740" s="5">
        <v>46054</v>
      </c>
      <c r="B2740" s="6" t="s">
        <v>20</v>
      </c>
      <c r="C2740" s="6" t="s">
        <v>38</v>
      </c>
      <c r="D2740" s="5">
        <v>45962</v>
      </c>
      <c r="E2740" s="6" t="s">
        <v>15</v>
      </c>
      <c r="F2740" s="7">
        <v>394</v>
      </c>
      <c r="G2740" s="7">
        <v>170182.2081218274</v>
      </c>
      <c r="H2740" s="7">
        <v>67051790</v>
      </c>
      <c r="I2740" s="7">
        <v>4729449</v>
      </c>
      <c r="J2740" s="7">
        <v>0</v>
      </c>
      <c r="K2740">
        <f t="shared" si="42"/>
        <v>92</v>
      </c>
      <c r="L2740" s="8" t="str" cm="1">
        <f t="array" ref="L2740">_xlfn.IFS(
 AND(K2740&gt;=89,K2740&lt;=92),"3개월",
 AND(K2740&gt;=58,K2740&lt;=62),"2개월",
 AND(K2740&gt;=28,K2740&lt;=32),"1개월",
 AND(K2740=0),"당월",
 TRUE,"그외"
)</f>
        <v>3개월</v>
      </c>
    </row>
    <row r="2741" spans="1:12" x14ac:dyDescent="0.3">
      <c r="A2741" s="5">
        <v>46054</v>
      </c>
      <c r="B2741" s="6" t="s">
        <v>20</v>
      </c>
      <c r="C2741" s="6" t="s">
        <v>38</v>
      </c>
      <c r="D2741" s="5">
        <v>45992</v>
      </c>
      <c r="E2741" s="6" t="s">
        <v>14</v>
      </c>
      <c r="F2741" s="7">
        <v>409</v>
      </c>
      <c r="G2741" s="7">
        <v>108471.8484107579</v>
      </c>
      <c r="H2741" s="7">
        <v>44364986</v>
      </c>
      <c r="I2741" s="7">
        <v>4878843</v>
      </c>
      <c r="J2741" s="7">
        <v>0</v>
      </c>
      <c r="K2741">
        <f t="shared" si="42"/>
        <v>62</v>
      </c>
      <c r="L2741" s="8" t="str" cm="1">
        <f t="array" ref="L2741">_xlfn.IFS(
 AND(K2741&gt;=89,K2741&lt;=92),"3개월",
 AND(K2741&gt;=58,K2741&lt;=62),"2개월",
 AND(K2741&gt;=28,K2741&lt;=32),"1개월",
 AND(K2741=0),"당월",
 TRUE,"그외"
)</f>
        <v>2개월</v>
      </c>
    </row>
    <row r="2742" spans="1:12" x14ac:dyDescent="0.3">
      <c r="A2742" s="5">
        <v>46054</v>
      </c>
      <c r="B2742" s="6" t="s">
        <v>20</v>
      </c>
      <c r="C2742" s="6" t="s">
        <v>38</v>
      </c>
      <c r="D2742" s="5">
        <v>45992</v>
      </c>
      <c r="E2742" s="6" t="s">
        <v>15</v>
      </c>
      <c r="F2742" s="7">
        <v>1103</v>
      </c>
      <c r="G2742" s="7">
        <v>124778.1940163191</v>
      </c>
      <c r="H2742" s="7">
        <v>137630348</v>
      </c>
      <c r="I2742" s="7">
        <v>16412403</v>
      </c>
      <c r="J2742" s="7">
        <v>0</v>
      </c>
      <c r="K2742">
        <f t="shared" si="42"/>
        <v>62</v>
      </c>
      <c r="L2742" s="8" t="str" cm="1">
        <f t="array" ref="L2742">_xlfn.IFS(
 AND(K2742&gt;=89,K2742&lt;=92),"3개월",
 AND(K2742&gt;=58,K2742&lt;=62),"2개월",
 AND(K2742&gt;=28,K2742&lt;=32),"1개월",
 AND(K2742=0),"당월",
 TRUE,"그외"
)</f>
        <v>2개월</v>
      </c>
    </row>
    <row r="2743" spans="1:12" x14ac:dyDescent="0.3">
      <c r="A2743" s="5">
        <v>46054</v>
      </c>
      <c r="B2743" s="6" t="s">
        <v>20</v>
      </c>
      <c r="C2743" s="6" t="s">
        <v>38</v>
      </c>
      <c r="D2743" s="5">
        <v>46023</v>
      </c>
      <c r="E2743" s="6" t="s">
        <v>14</v>
      </c>
      <c r="F2743" s="7">
        <v>2457</v>
      </c>
      <c r="G2743" s="7">
        <v>138307.27635327639</v>
      </c>
      <c r="H2743" s="7">
        <v>339820978</v>
      </c>
      <c r="I2743" s="7">
        <v>29593420</v>
      </c>
      <c r="J2743" s="7">
        <v>0</v>
      </c>
      <c r="K2743">
        <f t="shared" si="42"/>
        <v>31</v>
      </c>
      <c r="L2743" s="8" t="str" cm="1">
        <f t="array" ref="L2743">_xlfn.IFS(
 AND(K2743&gt;=89,K2743&lt;=92),"3개월",
 AND(K2743&gt;=58,K2743&lt;=62),"2개월",
 AND(K2743&gt;=28,K2743&lt;=32),"1개월",
 AND(K2743=0),"당월",
 TRUE,"그외"
)</f>
        <v>1개월</v>
      </c>
    </row>
    <row r="2744" spans="1:12" x14ac:dyDescent="0.3">
      <c r="A2744" s="5">
        <v>46054</v>
      </c>
      <c r="B2744" s="6" t="s">
        <v>20</v>
      </c>
      <c r="C2744" s="6" t="s">
        <v>38</v>
      </c>
      <c r="D2744" s="5">
        <v>46023</v>
      </c>
      <c r="E2744" s="6" t="s">
        <v>15</v>
      </c>
      <c r="F2744" s="7">
        <v>3007</v>
      </c>
      <c r="G2744" s="7">
        <v>149587.41004323249</v>
      </c>
      <c r="H2744" s="7">
        <v>449809342</v>
      </c>
      <c r="I2744" s="7">
        <v>41640274</v>
      </c>
      <c r="J2744" s="7">
        <v>0</v>
      </c>
      <c r="K2744">
        <f t="shared" si="42"/>
        <v>31</v>
      </c>
      <c r="L2744" s="8" t="str" cm="1">
        <f t="array" ref="L2744">_xlfn.IFS(
 AND(K2744&gt;=89,K2744&lt;=92),"3개월",
 AND(K2744&gt;=58,K2744&lt;=62),"2개월",
 AND(K2744&gt;=28,K2744&lt;=32),"1개월",
 AND(K2744=0),"당월",
 TRUE,"그외"
)</f>
        <v>1개월</v>
      </c>
    </row>
    <row r="2745" spans="1:12" x14ac:dyDescent="0.3">
      <c r="A2745" s="5">
        <v>46054</v>
      </c>
      <c r="B2745" s="6" t="s">
        <v>20</v>
      </c>
      <c r="C2745" s="6" t="s">
        <v>38</v>
      </c>
      <c r="D2745" s="5">
        <v>46054</v>
      </c>
      <c r="E2745" s="6" t="s">
        <v>14</v>
      </c>
      <c r="F2745" s="7">
        <v>1698</v>
      </c>
      <c r="G2745" s="7">
        <v>149294.0512367491</v>
      </c>
      <c r="H2745" s="7">
        <v>253501299</v>
      </c>
      <c r="I2745" s="7">
        <v>12610504</v>
      </c>
      <c r="J2745" s="7">
        <v>0</v>
      </c>
      <c r="K2745">
        <f t="shared" si="42"/>
        <v>0</v>
      </c>
      <c r="L2745" s="8" t="str" cm="1">
        <f t="array" ref="L2745">_xlfn.IFS(
 AND(K2745&gt;=89,K2745&lt;=92),"3개월",
 AND(K2745&gt;=58,K2745&lt;=62),"2개월",
 AND(K2745&gt;=28,K2745&lt;=32),"1개월",
 AND(K2745=0),"당월",
 TRUE,"그외"
)</f>
        <v>당월</v>
      </c>
    </row>
    <row r="2746" spans="1:12" x14ac:dyDescent="0.3">
      <c r="A2746" s="5">
        <v>46054</v>
      </c>
      <c r="B2746" s="6" t="s">
        <v>20</v>
      </c>
      <c r="C2746" s="6" t="s">
        <v>38</v>
      </c>
      <c r="D2746" s="5">
        <v>46054</v>
      </c>
      <c r="E2746" s="6" t="s">
        <v>15</v>
      </c>
      <c r="F2746" s="7">
        <v>575</v>
      </c>
      <c r="G2746" s="7">
        <v>173611.0730434783</v>
      </c>
      <c r="H2746" s="7">
        <v>99826367</v>
      </c>
      <c r="I2746" s="7">
        <v>8756012</v>
      </c>
      <c r="J2746" s="7">
        <v>0</v>
      </c>
      <c r="K2746">
        <f t="shared" si="42"/>
        <v>0</v>
      </c>
      <c r="L2746" s="8" t="str" cm="1">
        <f t="array" ref="L2746">_xlfn.IFS(
 AND(K2746&gt;=89,K2746&lt;=92),"3개월",
 AND(K2746&gt;=58,K2746&lt;=62),"2개월",
 AND(K2746&gt;=28,K2746&lt;=32),"1개월",
 AND(K2746=0),"당월",
 TRUE,"그외"
)</f>
        <v>당월</v>
      </c>
    </row>
    <row r="2747" spans="1:12" x14ac:dyDescent="0.3">
      <c r="A2747" s="5">
        <v>46054</v>
      </c>
      <c r="B2747" s="6" t="s">
        <v>40</v>
      </c>
      <c r="C2747" s="6" t="s">
        <v>99</v>
      </c>
      <c r="D2747" s="5">
        <v>46023</v>
      </c>
      <c r="E2747" s="6" t="s">
        <v>14</v>
      </c>
      <c r="F2747" s="7">
        <v>2624</v>
      </c>
      <c r="G2747" s="7">
        <v>103058.6497713415</v>
      </c>
      <c r="H2747" s="7">
        <v>270425897</v>
      </c>
      <c r="I2747" s="7">
        <v>57710512</v>
      </c>
      <c r="J2747" s="7">
        <v>0</v>
      </c>
      <c r="K2747">
        <f t="shared" si="42"/>
        <v>31</v>
      </c>
      <c r="L2747" s="8" t="str" cm="1">
        <f t="array" ref="L2747">_xlfn.IFS(
 AND(K2747&gt;=89,K2747&lt;=92),"3개월",
 AND(K2747&gt;=58,K2747&lt;=62),"2개월",
 AND(K2747&gt;=28,K2747&lt;=32),"1개월",
 AND(K2747=0),"당월",
 TRUE,"그외"
)</f>
        <v>1개월</v>
      </c>
    </row>
    <row r="2748" spans="1:12" x14ac:dyDescent="0.3">
      <c r="A2748" s="5">
        <v>46054</v>
      </c>
      <c r="B2748" s="6" t="s">
        <v>40</v>
      </c>
      <c r="C2748" s="6" t="s">
        <v>99</v>
      </c>
      <c r="D2748" s="5">
        <v>46023</v>
      </c>
      <c r="E2748" s="6" t="s">
        <v>15</v>
      </c>
      <c r="F2748" s="7">
        <v>3955</v>
      </c>
      <c r="G2748" s="7">
        <v>140942.47206068269</v>
      </c>
      <c r="H2748" s="7">
        <v>557427477</v>
      </c>
      <c r="I2748" s="7">
        <v>91324482</v>
      </c>
      <c r="J2748" s="7">
        <v>0</v>
      </c>
      <c r="K2748">
        <f t="shared" si="42"/>
        <v>31</v>
      </c>
      <c r="L2748" s="8" t="str" cm="1">
        <f t="array" ref="L2748">_xlfn.IFS(
 AND(K2748&gt;=89,K2748&lt;=92),"3개월",
 AND(K2748&gt;=58,K2748&lt;=62),"2개월",
 AND(K2748&gt;=28,K2748&lt;=32),"1개월",
 AND(K2748=0),"당월",
 TRUE,"그외"
)</f>
        <v>1개월</v>
      </c>
    </row>
    <row r="2749" spans="1:12" x14ac:dyDescent="0.3">
      <c r="A2749" s="5">
        <v>46054</v>
      </c>
      <c r="B2749" s="6" t="s">
        <v>40</v>
      </c>
      <c r="C2749" s="6" t="s">
        <v>99</v>
      </c>
      <c r="D2749" s="5">
        <v>46054</v>
      </c>
      <c r="E2749" s="6" t="s">
        <v>14</v>
      </c>
      <c r="F2749" s="7">
        <v>1804</v>
      </c>
      <c r="G2749" s="7">
        <v>120582.8259423503</v>
      </c>
      <c r="H2749" s="7">
        <v>217531418</v>
      </c>
      <c r="I2749" s="7">
        <v>29147796</v>
      </c>
      <c r="J2749" s="7">
        <v>0</v>
      </c>
      <c r="K2749">
        <f t="shared" si="42"/>
        <v>0</v>
      </c>
      <c r="L2749" s="8" t="str" cm="1">
        <f t="array" ref="L2749">_xlfn.IFS(
 AND(K2749&gt;=89,K2749&lt;=92),"3개월",
 AND(K2749&gt;=58,K2749&lt;=62),"2개월",
 AND(K2749&gt;=28,K2749&lt;=32),"1개월",
 AND(K2749=0),"당월",
 TRUE,"그외"
)</f>
        <v>당월</v>
      </c>
    </row>
    <row r="2750" spans="1:12" x14ac:dyDescent="0.3">
      <c r="A2750" s="5">
        <v>46054</v>
      </c>
      <c r="B2750" s="6" t="s">
        <v>40</v>
      </c>
      <c r="C2750" s="6" t="s">
        <v>99</v>
      </c>
      <c r="D2750" s="5">
        <v>46054</v>
      </c>
      <c r="E2750" s="6" t="s">
        <v>15</v>
      </c>
      <c r="F2750" s="7">
        <v>1539</v>
      </c>
      <c r="G2750" s="7">
        <v>202068.16699155289</v>
      </c>
      <c r="H2750" s="7">
        <v>310982909</v>
      </c>
      <c r="I2750" s="7">
        <v>43604304</v>
      </c>
      <c r="J2750" s="7">
        <v>0</v>
      </c>
      <c r="K2750">
        <f t="shared" si="42"/>
        <v>0</v>
      </c>
      <c r="L2750" s="8" t="str" cm="1">
        <f t="array" ref="L2750">_xlfn.IFS(
 AND(K2750&gt;=89,K2750&lt;=92),"3개월",
 AND(K2750&gt;=58,K2750&lt;=62),"2개월",
 AND(K2750&gt;=28,K2750&lt;=32),"1개월",
 AND(K2750=0),"당월",
 TRUE,"그외"
)</f>
        <v>당월</v>
      </c>
    </row>
    <row r="2751" spans="1:12" x14ac:dyDescent="0.3">
      <c r="A2751" s="5">
        <v>46054</v>
      </c>
      <c r="B2751" s="6" t="s">
        <v>40</v>
      </c>
      <c r="C2751" s="6" t="s">
        <v>100</v>
      </c>
      <c r="D2751" s="5">
        <v>46023</v>
      </c>
      <c r="E2751" s="6" t="s">
        <v>14</v>
      </c>
      <c r="F2751" s="7">
        <v>160</v>
      </c>
      <c r="G2751" s="7">
        <v>522461.5625</v>
      </c>
      <c r="H2751" s="7">
        <v>83593850</v>
      </c>
      <c r="I2751" s="7">
        <v>0</v>
      </c>
      <c r="J2751" s="7">
        <v>0</v>
      </c>
      <c r="K2751">
        <f t="shared" si="42"/>
        <v>31</v>
      </c>
      <c r="L2751" s="8" t="str" cm="1">
        <f t="array" ref="L2751">_xlfn.IFS(
 AND(K2751&gt;=89,K2751&lt;=92),"3개월",
 AND(K2751&gt;=58,K2751&lt;=62),"2개월",
 AND(K2751&gt;=28,K2751&lt;=32),"1개월",
 AND(K2751=0),"당월",
 TRUE,"그외"
)</f>
        <v>1개월</v>
      </c>
    </row>
    <row r="2752" spans="1:12" x14ac:dyDescent="0.3">
      <c r="A2752" s="5">
        <v>46054</v>
      </c>
      <c r="B2752" s="6" t="s">
        <v>40</v>
      </c>
      <c r="C2752" s="6" t="s">
        <v>100</v>
      </c>
      <c r="D2752" s="5">
        <v>46023</v>
      </c>
      <c r="E2752" s="6" t="s">
        <v>15</v>
      </c>
      <c r="F2752" s="7">
        <v>12</v>
      </c>
      <c r="G2752" s="7">
        <v>0</v>
      </c>
      <c r="H2752" s="7">
        <v>0</v>
      </c>
      <c r="I2752" s="7">
        <v>0</v>
      </c>
      <c r="J2752" s="7">
        <v>0</v>
      </c>
      <c r="K2752">
        <f t="shared" si="42"/>
        <v>31</v>
      </c>
      <c r="L2752" s="8" t="str" cm="1">
        <f t="array" ref="L2752">_xlfn.IFS(
 AND(K2752&gt;=89,K2752&lt;=92),"3개월",
 AND(K2752&gt;=58,K2752&lt;=62),"2개월",
 AND(K2752&gt;=28,K2752&lt;=32),"1개월",
 AND(K2752=0),"당월",
 TRUE,"그외"
)</f>
        <v>1개월</v>
      </c>
    </row>
    <row r="2753" spans="1:12" x14ac:dyDescent="0.3">
      <c r="A2753" s="5">
        <v>46054</v>
      </c>
      <c r="B2753" s="6" t="s">
        <v>40</v>
      </c>
      <c r="C2753" s="6" t="s">
        <v>100</v>
      </c>
      <c r="D2753" s="5">
        <v>46054</v>
      </c>
      <c r="E2753" s="6" t="s">
        <v>14</v>
      </c>
      <c r="F2753" s="7">
        <v>1</v>
      </c>
      <c r="G2753" s="7">
        <v>0</v>
      </c>
      <c r="H2753" s="7">
        <v>0</v>
      </c>
      <c r="I2753" s="7">
        <v>0</v>
      </c>
      <c r="J2753" s="7">
        <v>0</v>
      </c>
      <c r="K2753">
        <f t="shared" si="42"/>
        <v>0</v>
      </c>
      <c r="L2753" s="8" t="str" cm="1">
        <f t="array" ref="L2753">_xlfn.IFS(
 AND(K2753&gt;=89,K2753&lt;=92),"3개월",
 AND(K2753&gt;=58,K2753&lt;=62),"2개월",
 AND(K2753&gt;=28,K2753&lt;=32),"1개월",
 AND(K2753=0),"당월",
 TRUE,"그외"
)</f>
        <v>당월</v>
      </c>
    </row>
    <row r="2754" spans="1:12" x14ac:dyDescent="0.3">
      <c r="A2754" s="5">
        <v>46054</v>
      </c>
      <c r="B2754" s="6" t="s">
        <v>40</v>
      </c>
      <c r="C2754" s="6" t="s">
        <v>101</v>
      </c>
      <c r="D2754" s="5">
        <v>46023</v>
      </c>
      <c r="E2754" s="6" t="s">
        <v>14</v>
      </c>
      <c r="F2754" s="7">
        <v>235</v>
      </c>
      <c r="G2754" s="7">
        <v>177270.95744680849</v>
      </c>
      <c r="H2754" s="7">
        <v>41658675</v>
      </c>
      <c r="I2754" s="7">
        <v>0</v>
      </c>
      <c r="J2754" s="7">
        <v>0</v>
      </c>
      <c r="K2754">
        <f t="shared" si="42"/>
        <v>31</v>
      </c>
      <c r="L2754" s="8" t="str" cm="1">
        <f t="array" ref="L2754">_xlfn.IFS(
 AND(K2754&gt;=89,K2754&lt;=92),"3개월",
 AND(K2754&gt;=58,K2754&lt;=62),"2개월",
 AND(K2754&gt;=28,K2754&lt;=32),"1개월",
 AND(K2754=0),"당월",
 TRUE,"그외"
)</f>
        <v>1개월</v>
      </c>
    </row>
    <row r="2755" spans="1:12" x14ac:dyDescent="0.3">
      <c r="A2755" s="5">
        <v>46054</v>
      </c>
      <c r="B2755" s="6" t="s">
        <v>40</v>
      </c>
      <c r="C2755" s="6" t="s">
        <v>101</v>
      </c>
      <c r="D2755" s="5">
        <v>46054</v>
      </c>
      <c r="E2755" s="6" t="s">
        <v>14</v>
      </c>
      <c r="F2755" s="7">
        <v>1332</v>
      </c>
      <c r="G2755" s="7">
        <v>468848.53603603598</v>
      </c>
      <c r="H2755" s="7">
        <v>624506250</v>
      </c>
      <c r="I2755" s="7">
        <v>123200</v>
      </c>
      <c r="J2755" s="7">
        <v>0</v>
      </c>
      <c r="K2755">
        <f t="shared" si="42"/>
        <v>0</v>
      </c>
      <c r="L2755" s="8" t="str" cm="1">
        <f t="array" ref="L2755">_xlfn.IFS(
 AND(K2755&gt;=89,K2755&lt;=92),"3개월",
 AND(K2755&gt;=58,K2755&lt;=62),"2개월",
 AND(K2755&gt;=28,K2755&lt;=32),"1개월",
 AND(K2755=0),"당월",
 TRUE,"그외"
)</f>
        <v>당월</v>
      </c>
    </row>
    <row r="2756" spans="1:12" x14ac:dyDescent="0.3">
      <c r="A2756" s="5">
        <v>46054</v>
      </c>
      <c r="B2756" s="6" t="s">
        <v>40</v>
      </c>
      <c r="C2756" s="6" t="s">
        <v>101</v>
      </c>
      <c r="D2756" s="5">
        <v>46054</v>
      </c>
      <c r="E2756" s="6" t="s">
        <v>15</v>
      </c>
      <c r="F2756" s="7">
        <v>8</v>
      </c>
      <c r="G2756" s="7">
        <v>171350</v>
      </c>
      <c r="H2756" s="7">
        <v>1370800</v>
      </c>
      <c r="I2756" s="7">
        <v>140800</v>
      </c>
      <c r="J2756" s="7">
        <v>0</v>
      </c>
      <c r="K2756">
        <f t="shared" si="42"/>
        <v>0</v>
      </c>
      <c r="L2756" s="8" t="str" cm="1">
        <f t="array" ref="L2756">_xlfn.IFS(
 AND(K2756&gt;=89,K2756&lt;=92),"3개월",
 AND(K2756&gt;=58,K2756&lt;=62),"2개월",
 AND(K2756&gt;=28,K2756&lt;=32),"1개월",
 AND(K2756=0),"당월",
 TRUE,"그외"
)</f>
        <v>당월</v>
      </c>
    </row>
    <row r="2757" spans="1:12" x14ac:dyDescent="0.3">
      <c r="A2757" s="5">
        <v>46054</v>
      </c>
      <c r="B2757" s="6" t="s">
        <v>40</v>
      </c>
      <c r="C2757" s="6" t="s">
        <v>102</v>
      </c>
      <c r="D2757" s="5">
        <v>46023</v>
      </c>
      <c r="E2757" s="6" t="s">
        <v>14</v>
      </c>
      <c r="F2757" s="7">
        <v>292</v>
      </c>
      <c r="G2757" s="7">
        <v>1141333.5616438361</v>
      </c>
      <c r="H2757" s="7">
        <v>333269400</v>
      </c>
      <c r="I2757" s="7">
        <v>0</v>
      </c>
      <c r="J2757" s="7">
        <v>0</v>
      </c>
      <c r="K2757">
        <f t="shared" si="42"/>
        <v>31</v>
      </c>
      <c r="L2757" s="8" t="str" cm="1">
        <f t="array" ref="L2757">_xlfn.IFS(
 AND(K2757&gt;=89,K2757&lt;=92),"3개월",
 AND(K2757&gt;=58,K2757&lt;=62),"2개월",
 AND(K2757&gt;=28,K2757&lt;=32),"1개월",
 AND(K2757=0),"당월",
 TRUE,"그외"
)</f>
        <v>1개월</v>
      </c>
    </row>
    <row r="2758" spans="1:12" x14ac:dyDescent="0.3">
      <c r="A2758" s="5">
        <v>46054</v>
      </c>
      <c r="B2758" s="6" t="s">
        <v>40</v>
      </c>
      <c r="C2758" s="6" t="s">
        <v>102</v>
      </c>
      <c r="D2758" s="5">
        <v>46054</v>
      </c>
      <c r="E2758" s="6" t="s">
        <v>14</v>
      </c>
      <c r="F2758" s="7">
        <v>1477</v>
      </c>
      <c r="G2758" s="7">
        <v>223901.08327691269</v>
      </c>
      <c r="H2758" s="7">
        <v>330701900</v>
      </c>
      <c r="I2758" s="7">
        <v>0</v>
      </c>
      <c r="J2758" s="7">
        <v>0</v>
      </c>
      <c r="K2758">
        <f t="shared" si="42"/>
        <v>0</v>
      </c>
      <c r="L2758" s="8" t="str" cm="1">
        <f t="array" ref="L2758">_xlfn.IFS(
 AND(K2758&gt;=89,K2758&lt;=92),"3개월",
 AND(K2758&gt;=58,K2758&lt;=62),"2개월",
 AND(K2758&gt;=28,K2758&lt;=32),"1개월",
 AND(K2758=0),"당월",
 TRUE,"그외"
)</f>
        <v>당월</v>
      </c>
    </row>
    <row r="2759" spans="1:12" x14ac:dyDescent="0.3">
      <c r="A2759" s="5">
        <v>46054</v>
      </c>
      <c r="B2759" s="6" t="s">
        <v>40</v>
      </c>
      <c r="C2759" s="6" t="s">
        <v>103</v>
      </c>
      <c r="D2759" s="5">
        <v>46023</v>
      </c>
      <c r="E2759" s="6" t="s">
        <v>14</v>
      </c>
      <c r="F2759" s="7">
        <v>307</v>
      </c>
      <c r="G2759" s="7">
        <v>1063581.889250814</v>
      </c>
      <c r="H2759" s="7">
        <v>326519640</v>
      </c>
      <c r="I2759" s="7">
        <v>0</v>
      </c>
      <c r="J2759" s="7">
        <v>0</v>
      </c>
      <c r="K2759">
        <f t="shared" si="42"/>
        <v>31</v>
      </c>
      <c r="L2759" s="8" t="str" cm="1">
        <f t="array" ref="L2759">_xlfn.IFS(
 AND(K2759&gt;=89,K2759&lt;=92),"3개월",
 AND(K2759&gt;=58,K2759&lt;=62),"2개월",
 AND(K2759&gt;=28,K2759&lt;=32),"1개월",
 AND(K2759=0),"당월",
 TRUE,"그외"
)</f>
        <v>1개월</v>
      </c>
    </row>
    <row r="2760" spans="1:12" x14ac:dyDescent="0.3">
      <c r="A2760" s="5">
        <v>46054</v>
      </c>
      <c r="B2760" s="6" t="s">
        <v>40</v>
      </c>
      <c r="C2760" s="6" t="s">
        <v>103</v>
      </c>
      <c r="D2760" s="5">
        <v>46054</v>
      </c>
      <c r="E2760" s="6" t="s">
        <v>14</v>
      </c>
      <c r="F2760" s="7">
        <v>898</v>
      </c>
      <c r="G2760" s="7">
        <v>360806.39198218263</v>
      </c>
      <c r="H2760" s="7">
        <v>324004140</v>
      </c>
      <c r="I2760" s="7">
        <v>0</v>
      </c>
      <c r="J2760" s="7">
        <v>0</v>
      </c>
      <c r="K2760">
        <f t="shared" si="42"/>
        <v>0</v>
      </c>
      <c r="L2760" s="8" t="str" cm="1">
        <f t="array" ref="L2760">_xlfn.IFS(
 AND(K2760&gt;=89,K2760&lt;=92),"3개월",
 AND(K2760&gt;=58,K2760&lt;=62),"2개월",
 AND(K2760&gt;=28,K2760&lt;=32),"1개월",
 AND(K2760=0),"당월",
 TRUE,"그외"
)</f>
        <v>당월</v>
      </c>
    </row>
    <row r="2761" spans="1:12" x14ac:dyDescent="0.3">
      <c r="A2761" s="5">
        <v>46054</v>
      </c>
      <c r="B2761" s="6" t="s">
        <v>40</v>
      </c>
      <c r="C2761" s="6" t="s">
        <v>91</v>
      </c>
      <c r="D2761" s="5">
        <v>45901</v>
      </c>
      <c r="E2761" s="6" t="s">
        <v>15</v>
      </c>
      <c r="F2761" s="7">
        <v>51</v>
      </c>
      <c r="G2761" s="7">
        <v>107324.3333333333</v>
      </c>
      <c r="H2761" s="7">
        <v>5473541</v>
      </c>
      <c r="I2761" s="7">
        <v>494700</v>
      </c>
      <c r="J2761" s="7">
        <v>0</v>
      </c>
      <c r="K2761">
        <f t="shared" si="42"/>
        <v>153</v>
      </c>
      <c r="L2761" s="8" t="str" cm="1">
        <f t="array" ref="L2761">_xlfn.IFS(
 AND(K2761&gt;=89,K2761&lt;=92),"3개월",
 AND(K2761&gt;=58,K2761&lt;=62),"2개월",
 AND(K2761&gt;=28,K2761&lt;=32),"1개월",
 AND(K2761=0),"당월",
 TRUE,"그외"
)</f>
        <v>그외</v>
      </c>
    </row>
    <row r="2762" spans="1:12" x14ac:dyDescent="0.3">
      <c r="A2762" s="5">
        <v>46054</v>
      </c>
      <c r="B2762" s="6" t="s">
        <v>40</v>
      </c>
      <c r="C2762" s="6" t="s">
        <v>91</v>
      </c>
      <c r="D2762" s="5">
        <v>45931</v>
      </c>
      <c r="E2762" s="6" t="s">
        <v>15</v>
      </c>
      <c r="F2762" s="7">
        <v>191</v>
      </c>
      <c r="G2762" s="7">
        <v>133502.05759162299</v>
      </c>
      <c r="H2762" s="7">
        <v>25498893</v>
      </c>
      <c r="I2762" s="7">
        <v>3134272</v>
      </c>
      <c r="J2762" s="7">
        <v>0</v>
      </c>
      <c r="K2762">
        <f t="shared" ref="K2762:K2825" si="43">A2762-D2762</f>
        <v>123</v>
      </c>
      <c r="L2762" s="8" t="str" cm="1">
        <f t="array" ref="L2762">_xlfn.IFS(
 AND(K2762&gt;=89,K2762&lt;=92),"3개월",
 AND(K2762&gt;=58,K2762&lt;=62),"2개월",
 AND(K2762&gt;=28,K2762&lt;=32),"1개월",
 AND(K2762=0),"당월",
 TRUE,"그외"
)</f>
        <v>그외</v>
      </c>
    </row>
    <row r="2763" spans="1:12" x14ac:dyDescent="0.3">
      <c r="A2763" s="5">
        <v>46054</v>
      </c>
      <c r="B2763" s="6" t="s">
        <v>40</v>
      </c>
      <c r="C2763" s="6" t="s">
        <v>91</v>
      </c>
      <c r="D2763" s="5">
        <v>45962</v>
      </c>
      <c r="E2763" s="6" t="s">
        <v>15</v>
      </c>
      <c r="F2763" s="7">
        <v>211</v>
      </c>
      <c r="G2763" s="7">
        <v>145790.5829383886</v>
      </c>
      <c r="H2763" s="7">
        <v>30761813</v>
      </c>
      <c r="I2763" s="7">
        <v>3816014</v>
      </c>
      <c r="J2763" s="7">
        <v>0</v>
      </c>
      <c r="K2763">
        <f t="shared" si="43"/>
        <v>92</v>
      </c>
      <c r="L2763" s="8" t="str" cm="1">
        <f t="array" ref="L2763">_xlfn.IFS(
 AND(K2763&gt;=89,K2763&lt;=92),"3개월",
 AND(K2763&gt;=58,K2763&lt;=62),"2개월",
 AND(K2763&gt;=28,K2763&lt;=32),"1개월",
 AND(K2763=0),"당월",
 TRUE,"그외"
)</f>
        <v>3개월</v>
      </c>
    </row>
    <row r="2764" spans="1:12" x14ac:dyDescent="0.3">
      <c r="A2764" s="5">
        <v>46054</v>
      </c>
      <c r="B2764" s="6" t="s">
        <v>40</v>
      </c>
      <c r="C2764" s="6" t="s">
        <v>91</v>
      </c>
      <c r="D2764" s="5">
        <v>45992</v>
      </c>
      <c r="E2764" s="6" t="s">
        <v>15</v>
      </c>
      <c r="F2764" s="7">
        <v>202</v>
      </c>
      <c r="G2764" s="7">
        <v>164547.26732673269</v>
      </c>
      <c r="H2764" s="7">
        <v>33238548</v>
      </c>
      <c r="I2764" s="7">
        <v>5392279</v>
      </c>
      <c r="J2764" s="7">
        <v>0</v>
      </c>
      <c r="K2764">
        <f t="shared" si="43"/>
        <v>62</v>
      </c>
      <c r="L2764" s="8" t="str" cm="1">
        <f t="array" ref="L2764">_xlfn.IFS(
 AND(K2764&gt;=89,K2764&lt;=92),"3개월",
 AND(K2764&gt;=58,K2764&lt;=62),"2개월",
 AND(K2764&gt;=28,K2764&lt;=32),"1개월",
 AND(K2764=0),"당월",
 TRUE,"그외"
)</f>
        <v>2개월</v>
      </c>
    </row>
    <row r="2765" spans="1:12" x14ac:dyDescent="0.3">
      <c r="A2765" s="5">
        <v>46054</v>
      </c>
      <c r="B2765" s="6" t="s">
        <v>40</v>
      </c>
      <c r="C2765" s="6" t="s">
        <v>91</v>
      </c>
      <c r="D2765" s="5">
        <v>46023</v>
      </c>
      <c r="E2765" s="6" t="s">
        <v>14</v>
      </c>
      <c r="F2765" s="7">
        <v>106</v>
      </c>
      <c r="G2765" s="7">
        <v>151253.78301886789</v>
      </c>
      <c r="H2765" s="7">
        <v>16032901</v>
      </c>
      <c r="I2765" s="7">
        <v>7523918</v>
      </c>
      <c r="J2765" s="7">
        <v>0</v>
      </c>
      <c r="K2765">
        <f t="shared" si="43"/>
        <v>31</v>
      </c>
      <c r="L2765" s="8" t="str" cm="1">
        <f t="array" ref="L2765">_xlfn.IFS(
 AND(K2765&gt;=89,K2765&lt;=92),"3개월",
 AND(K2765&gt;=58,K2765&lt;=62),"2개월",
 AND(K2765&gt;=28,K2765&lt;=32),"1개월",
 AND(K2765=0),"당월",
 TRUE,"그외"
)</f>
        <v>1개월</v>
      </c>
    </row>
    <row r="2766" spans="1:12" x14ac:dyDescent="0.3">
      <c r="A2766" s="5">
        <v>46054</v>
      </c>
      <c r="B2766" s="6" t="s">
        <v>40</v>
      </c>
      <c r="C2766" s="6" t="s">
        <v>91</v>
      </c>
      <c r="D2766" s="5">
        <v>46023</v>
      </c>
      <c r="E2766" s="6" t="s">
        <v>15</v>
      </c>
      <c r="F2766" s="7">
        <v>1436</v>
      </c>
      <c r="G2766" s="7">
        <v>205301.57799442901</v>
      </c>
      <c r="H2766" s="7">
        <v>294813066</v>
      </c>
      <c r="I2766" s="7">
        <v>39084719</v>
      </c>
      <c r="J2766" s="7">
        <v>0</v>
      </c>
      <c r="K2766">
        <f t="shared" si="43"/>
        <v>31</v>
      </c>
      <c r="L2766" s="8" t="str" cm="1">
        <f t="array" ref="L2766">_xlfn.IFS(
 AND(K2766&gt;=89,K2766&lt;=92),"3개월",
 AND(K2766&gt;=58,K2766&lt;=62),"2개월",
 AND(K2766&gt;=28,K2766&lt;=32),"1개월",
 AND(K2766=0),"당월",
 TRUE,"그외"
)</f>
        <v>1개월</v>
      </c>
    </row>
    <row r="2767" spans="1:12" x14ac:dyDescent="0.3">
      <c r="A2767" s="5">
        <v>46054</v>
      </c>
      <c r="B2767" s="6" t="s">
        <v>40</v>
      </c>
      <c r="C2767" s="6" t="s">
        <v>91</v>
      </c>
      <c r="D2767" s="5">
        <v>46054</v>
      </c>
      <c r="E2767" s="6" t="s">
        <v>14</v>
      </c>
      <c r="F2767" s="7">
        <v>364</v>
      </c>
      <c r="G2767" s="7">
        <v>201955.12912087911</v>
      </c>
      <c r="H2767" s="7">
        <v>73511667</v>
      </c>
      <c r="I2767" s="7">
        <v>19398855</v>
      </c>
      <c r="J2767" s="7">
        <v>0</v>
      </c>
      <c r="K2767">
        <f t="shared" si="43"/>
        <v>0</v>
      </c>
      <c r="L2767" s="8" t="str" cm="1">
        <f t="array" ref="L2767">_xlfn.IFS(
 AND(K2767&gt;=89,K2767&lt;=92),"3개월",
 AND(K2767&gt;=58,K2767&lt;=62),"2개월",
 AND(K2767&gt;=28,K2767&lt;=32),"1개월",
 AND(K2767=0),"당월",
 TRUE,"그외"
)</f>
        <v>당월</v>
      </c>
    </row>
    <row r="2768" spans="1:12" x14ac:dyDescent="0.3">
      <c r="A2768" s="5">
        <v>46054</v>
      </c>
      <c r="B2768" s="6" t="s">
        <v>40</v>
      </c>
      <c r="C2768" s="6" t="s">
        <v>91</v>
      </c>
      <c r="D2768" s="5">
        <v>46054</v>
      </c>
      <c r="E2768" s="6" t="s">
        <v>15</v>
      </c>
      <c r="F2768" s="7">
        <v>686</v>
      </c>
      <c r="G2768" s="7">
        <v>244539.42274052481</v>
      </c>
      <c r="H2768" s="7">
        <v>167754044</v>
      </c>
      <c r="I2768" s="7">
        <v>29172636</v>
      </c>
      <c r="J2768" s="7">
        <v>0</v>
      </c>
      <c r="K2768">
        <f t="shared" si="43"/>
        <v>0</v>
      </c>
      <c r="L2768" s="8" t="str" cm="1">
        <f t="array" ref="L2768">_xlfn.IFS(
 AND(K2768&gt;=89,K2768&lt;=92),"3개월",
 AND(K2768&gt;=58,K2768&lt;=62),"2개월",
 AND(K2768&gt;=28,K2768&lt;=32),"1개월",
 AND(K2768=0),"당월",
 TRUE,"그외"
)</f>
        <v>당월</v>
      </c>
    </row>
    <row r="2769" spans="1:12" x14ac:dyDescent="0.3">
      <c r="A2769" s="5">
        <v>46054</v>
      </c>
      <c r="B2769" s="6" t="s">
        <v>40</v>
      </c>
      <c r="C2769" s="6" t="s">
        <v>42</v>
      </c>
      <c r="D2769" s="5">
        <v>45962</v>
      </c>
      <c r="E2769" s="6" t="s">
        <v>14</v>
      </c>
      <c r="F2769" s="7">
        <v>50</v>
      </c>
      <c r="G2769" s="7">
        <v>171300</v>
      </c>
      <c r="H2769" s="7">
        <v>8565000</v>
      </c>
      <c r="I2769" s="7">
        <v>845000</v>
      </c>
      <c r="J2769" s="7">
        <v>0</v>
      </c>
      <c r="K2769">
        <f t="shared" si="43"/>
        <v>92</v>
      </c>
      <c r="L2769" s="8" t="str" cm="1">
        <f t="array" ref="L2769">_xlfn.IFS(
 AND(K2769&gt;=89,K2769&lt;=92),"3개월",
 AND(K2769&gt;=58,K2769&lt;=62),"2개월",
 AND(K2769&gt;=28,K2769&lt;=32),"1개월",
 AND(K2769=0),"당월",
 TRUE,"그외"
)</f>
        <v>3개월</v>
      </c>
    </row>
    <row r="2770" spans="1:12" x14ac:dyDescent="0.3">
      <c r="A2770" s="5">
        <v>46054</v>
      </c>
      <c r="B2770" s="6" t="s">
        <v>40</v>
      </c>
      <c r="C2770" s="6" t="s">
        <v>42</v>
      </c>
      <c r="D2770" s="5">
        <v>46023</v>
      </c>
      <c r="E2770" s="6" t="s">
        <v>14</v>
      </c>
      <c r="F2770" s="7">
        <v>836</v>
      </c>
      <c r="G2770" s="7">
        <v>128638.2775119617</v>
      </c>
      <c r="H2770" s="7">
        <v>107541600</v>
      </c>
      <c r="I2770" s="7">
        <v>17221600</v>
      </c>
      <c r="J2770" s="7">
        <v>0</v>
      </c>
      <c r="K2770">
        <f t="shared" si="43"/>
        <v>31</v>
      </c>
      <c r="L2770" s="8" t="str" cm="1">
        <f t="array" ref="L2770">_xlfn.IFS(
 AND(K2770&gt;=89,K2770&lt;=92),"3개월",
 AND(K2770&gt;=58,K2770&lt;=62),"2개월",
 AND(K2770&gt;=28,K2770&lt;=32),"1개월",
 AND(K2770=0),"당월",
 TRUE,"그외"
)</f>
        <v>1개월</v>
      </c>
    </row>
    <row r="2771" spans="1:12" x14ac:dyDescent="0.3">
      <c r="A2771" s="5">
        <v>46054</v>
      </c>
      <c r="B2771" s="6" t="s">
        <v>40</v>
      </c>
      <c r="C2771" s="6" t="s">
        <v>42</v>
      </c>
      <c r="D2771" s="5">
        <v>46023</v>
      </c>
      <c r="E2771" s="6" t="s">
        <v>15</v>
      </c>
      <c r="F2771" s="7">
        <v>16</v>
      </c>
      <c r="G2771" s="7">
        <v>0</v>
      </c>
      <c r="H2771" s="7">
        <v>0</v>
      </c>
      <c r="I2771" s="7">
        <v>0</v>
      </c>
      <c r="J2771" s="7">
        <v>0</v>
      </c>
      <c r="K2771">
        <f t="shared" si="43"/>
        <v>31</v>
      </c>
      <c r="L2771" s="8" t="str" cm="1">
        <f t="array" ref="L2771">_xlfn.IFS(
 AND(K2771&gt;=89,K2771&lt;=92),"3개월",
 AND(K2771&gt;=58,K2771&lt;=62),"2개월",
 AND(K2771&gt;=28,K2771&lt;=32),"1개월",
 AND(K2771=0),"당월",
 TRUE,"그외"
)</f>
        <v>1개월</v>
      </c>
    </row>
    <row r="2772" spans="1:12" x14ac:dyDescent="0.3">
      <c r="A2772" s="5">
        <v>46054</v>
      </c>
      <c r="B2772" s="6" t="s">
        <v>40</v>
      </c>
      <c r="C2772" s="6" t="s">
        <v>42</v>
      </c>
      <c r="D2772" s="5">
        <v>46054</v>
      </c>
      <c r="E2772" s="6" t="s">
        <v>14</v>
      </c>
      <c r="F2772" s="7">
        <v>1790</v>
      </c>
      <c r="G2772" s="7">
        <v>132490.05586592181</v>
      </c>
      <c r="H2772" s="7">
        <v>237157200</v>
      </c>
      <c r="I2772" s="7">
        <v>26326200</v>
      </c>
      <c r="J2772" s="7">
        <v>0</v>
      </c>
      <c r="K2772">
        <f t="shared" si="43"/>
        <v>0</v>
      </c>
      <c r="L2772" s="8" t="str" cm="1">
        <f t="array" ref="L2772">_xlfn.IFS(
 AND(K2772&gt;=89,K2772&lt;=92),"3개월",
 AND(K2772&gt;=58,K2772&lt;=62),"2개월",
 AND(K2772&gt;=28,K2772&lt;=32),"1개월",
 AND(K2772=0),"당월",
 TRUE,"그외"
)</f>
        <v>당월</v>
      </c>
    </row>
    <row r="2773" spans="1:12" x14ac:dyDescent="0.3">
      <c r="A2773" s="5">
        <v>46054</v>
      </c>
      <c r="B2773" s="6" t="s">
        <v>40</v>
      </c>
      <c r="C2773" s="6" t="s">
        <v>42</v>
      </c>
      <c r="D2773" s="5">
        <v>46054</v>
      </c>
      <c r="E2773" s="6" t="s">
        <v>15</v>
      </c>
      <c r="F2773" s="7">
        <v>2</v>
      </c>
      <c r="G2773" s="7">
        <v>352350</v>
      </c>
      <c r="H2773" s="7">
        <v>704700</v>
      </c>
      <c r="I2773" s="7">
        <v>14700</v>
      </c>
      <c r="J2773" s="7">
        <v>0</v>
      </c>
      <c r="K2773">
        <f t="shared" si="43"/>
        <v>0</v>
      </c>
      <c r="L2773" s="8" t="str" cm="1">
        <f t="array" ref="L2773">_xlfn.IFS(
 AND(K2773&gt;=89,K2773&lt;=92),"3개월",
 AND(K2773&gt;=58,K2773&lt;=62),"2개월",
 AND(K2773&gt;=28,K2773&lt;=32),"1개월",
 AND(K2773=0),"당월",
 TRUE,"그외"
)</f>
        <v>당월</v>
      </c>
    </row>
    <row r="2774" spans="1:12" x14ac:dyDescent="0.3">
      <c r="A2774" s="5">
        <v>46054</v>
      </c>
      <c r="B2774" s="6" t="s">
        <v>40</v>
      </c>
      <c r="C2774" s="6" t="s">
        <v>92</v>
      </c>
      <c r="D2774" s="5">
        <v>45931</v>
      </c>
      <c r="E2774" s="6" t="s">
        <v>15</v>
      </c>
      <c r="F2774" s="7">
        <v>19</v>
      </c>
      <c r="G2774" s="7">
        <v>255529.5789473684</v>
      </c>
      <c r="H2774" s="7">
        <v>4855062</v>
      </c>
      <c r="I2774" s="7">
        <v>253138</v>
      </c>
      <c r="J2774" s="7">
        <v>0</v>
      </c>
      <c r="K2774">
        <f t="shared" si="43"/>
        <v>123</v>
      </c>
      <c r="L2774" s="8" t="str" cm="1">
        <f t="array" ref="L2774">_xlfn.IFS(
 AND(K2774&gt;=89,K2774&lt;=92),"3개월",
 AND(K2774&gt;=58,K2774&lt;=62),"2개월",
 AND(K2774&gt;=28,K2774&lt;=32),"1개월",
 AND(K2774=0),"당월",
 TRUE,"그외"
)</f>
        <v>그외</v>
      </c>
    </row>
    <row r="2775" spans="1:12" x14ac:dyDescent="0.3">
      <c r="A2775" s="5">
        <v>46054</v>
      </c>
      <c r="B2775" s="6" t="s">
        <v>40</v>
      </c>
      <c r="C2775" s="6" t="s">
        <v>92</v>
      </c>
      <c r="D2775" s="5">
        <v>45962</v>
      </c>
      <c r="E2775" s="6" t="s">
        <v>14</v>
      </c>
      <c r="F2775" s="7">
        <v>7</v>
      </c>
      <c r="G2775" s="7">
        <v>155280.28571428571</v>
      </c>
      <c r="H2775" s="7">
        <v>1086962</v>
      </c>
      <c r="I2775" s="7">
        <v>139460</v>
      </c>
      <c r="J2775" s="7">
        <v>0</v>
      </c>
      <c r="K2775">
        <f t="shared" si="43"/>
        <v>92</v>
      </c>
      <c r="L2775" s="8" t="str" cm="1">
        <f t="array" ref="L2775">_xlfn.IFS(
 AND(K2775&gt;=89,K2775&lt;=92),"3개월",
 AND(K2775&gt;=58,K2775&lt;=62),"2개월",
 AND(K2775&gt;=28,K2775&lt;=32),"1개월",
 AND(K2775=0),"당월",
 TRUE,"그외"
)</f>
        <v>3개월</v>
      </c>
    </row>
    <row r="2776" spans="1:12" x14ac:dyDescent="0.3">
      <c r="A2776" s="5">
        <v>46054</v>
      </c>
      <c r="B2776" s="6" t="s">
        <v>40</v>
      </c>
      <c r="C2776" s="6" t="s">
        <v>92</v>
      </c>
      <c r="D2776" s="5">
        <v>45962</v>
      </c>
      <c r="E2776" s="6" t="s">
        <v>15</v>
      </c>
      <c r="F2776" s="7">
        <v>93</v>
      </c>
      <c r="G2776" s="7">
        <v>269374.2365591398</v>
      </c>
      <c r="H2776" s="7">
        <v>25051804</v>
      </c>
      <c r="I2776" s="7">
        <v>982260</v>
      </c>
      <c r="J2776" s="7">
        <v>0</v>
      </c>
      <c r="K2776">
        <f t="shared" si="43"/>
        <v>92</v>
      </c>
      <c r="L2776" s="8" t="str" cm="1">
        <f t="array" ref="L2776">_xlfn.IFS(
 AND(K2776&gt;=89,K2776&lt;=92),"3개월",
 AND(K2776&gt;=58,K2776&lt;=62),"2개월",
 AND(K2776&gt;=28,K2776&lt;=32),"1개월",
 AND(K2776=0),"당월",
 TRUE,"그외"
)</f>
        <v>3개월</v>
      </c>
    </row>
    <row r="2777" spans="1:12" x14ac:dyDescent="0.3">
      <c r="A2777" s="5">
        <v>46054</v>
      </c>
      <c r="B2777" s="6" t="s">
        <v>40</v>
      </c>
      <c r="C2777" s="6" t="s">
        <v>92</v>
      </c>
      <c r="D2777" s="5">
        <v>45992</v>
      </c>
      <c r="E2777" s="6" t="s">
        <v>14</v>
      </c>
      <c r="F2777" s="7">
        <v>93</v>
      </c>
      <c r="G2777" s="7">
        <v>153836.68817204301</v>
      </c>
      <c r="H2777" s="7">
        <v>14306812</v>
      </c>
      <c r="I2777" s="7">
        <v>2889308</v>
      </c>
      <c r="J2777" s="7">
        <v>0</v>
      </c>
      <c r="K2777">
        <f t="shared" si="43"/>
        <v>62</v>
      </c>
      <c r="L2777" s="8" t="str" cm="1">
        <f t="array" ref="L2777">_xlfn.IFS(
 AND(K2777&gt;=89,K2777&lt;=92),"3개월",
 AND(K2777&gt;=58,K2777&lt;=62),"2개월",
 AND(K2777&gt;=28,K2777&lt;=32),"1개월",
 AND(K2777=0),"당월",
 TRUE,"그외"
)</f>
        <v>2개월</v>
      </c>
    </row>
    <row r="2778" spans="1:12" x14ac:dyDescent="0.3">
      <c r="A2778" s="5">
        <v>46054</v>
      </c>
      <c r="B2778" s="6" t="s">
        <v>40</v>
      </c>
      <c r="C2778" s="6" t="s">
        <v>92</v>
      </c>
      <c r="D2778" s="5">
        <v>45992</v>
      </c>
      <c r="E2778" s="6" t="s">
        <v>15</v>
      </c>
      <c r="F2778" s="7">
        <v>119</v>
      </c>
      <c r="G2778" s="7">
        <v>311424.42857142858</v>
      </c>
      <c r="H2778" s="7">
        <v>37059507</v>
      </c>
      <c r="I2778" s="7">
        <v>2691275</v>
      </c>
      <c r="J2778" s="7">
        <v>0</v>
      </c>
      <c r="K2778">
        <f t="shared" si="43"/>
        <v>62</v>
      </c>
      <c r="L2778" s="8" t="str" cm="1">
        <f t="array" ref="L2778">_xlfn.IFS(
 AND(K2778&gt;=89,K2778&lt;=92),"3개월",
 AND(K2778&gt;=58,K2778&lt;=62),"2개월",
 AND(K2778&gt;=28,K2778&lt;=32),"1개월",
 AND(K2778=0),"당월",
 TRUE,"그외"
)</f>
        <v>2개월</v>
      </c>
    </row>
    <row r="2779" spans="1:12" x14ac:dyDescent="0.3">
      <c r="A2779" s="5">
        <v>46054</v>
      </c>
      <c r="B2779" s="6" t="s">
        <v>40</v>
      </c>
      <c r="C2779" s="6" t="s">
        <v>92</v>
      </c>
      <c r="D2779" s="5">
        <v>46023</v>
      </c>
      <c r="E2779" s="6" t="s">
        <v>14</v>
      </c>
      <c r="F2779" s="7">
        <v>310</v>
      </c>
      <c r="G2779" s="7">
        <v>157813.75483870969</v>
      </c>
      <c r="H2779" s="7">
        <v>48922264</v>
      </c>
      <c r="I2779" s="7">
        <v>13296229</v>
      </c>
      <c r="J2779" s="7">
        <v>0</v>
      </c>
      <c r="K2779">
        <f t="shared" si="43"/>
        <v>31</v>
      </c>
      <c r="L2779" s="8" t="str" cm="1">
        <f t="array" ref="L2779">_xlfn.IFS(
 AND(K2779&gt;=89,K2779&lt;=92),"3개월",
 AND(K2779&gt;=58,K2779&lt;=62),"2개월",
 AND(K2779&gt;=28,K2779&lt;=32),"1개월",
 AND(K2779=0),"당월",
 TRUE,"그외"
)</f>
        <v>1개월</v>
      </c>
    </row>
    <row r="2780" spans="1:12" x14ac:dyDescent="0.3">
      <c r="A2780" s="5">
        <v>46054</v>
      </c>
      <c r="B2780" s="6" t="s">
        <v>40</v>
      </c>
      <c r="C2780" s="6" t="s">
        <v>92</v>
      </c>
      <c r="D2780" s="5">
        <v>46023</v>
      </c>
      <c r="E2780" s="6" t="s">
        <v>15</v>
      </c>
      <c r="F2780" s="7">
        <v>187</v>
      </c>
      <c r="G2780" s="7">
        <v>231386.9411764706</v>
      </c>
      <c r="H2780" s="7">
        <v>43269358</v>
      </c>
      <c r="I2780" s="7">
        <v>5309025</v>
      </c>
      <c r="J2780" s="7">
        <v>0</v>
      </c>
      <c r="K2780">
        <f t="shared" si="43"/>
        <v>31</v>
      </c>
      <c r="L2780" s="8" t="str" cm="1">
        <f t="array" ref="L2780">_xlfn.IFS(
 AND(K2780&gt;=89,K2780&lt;=92),"3개월",
 AND(K2780&gt;=58,K2780&lt;=62),"2개월",
 AND(K2780&gt;=28,K2780&lt;=32),"1개월",
 AND(K2780=0),"당월",
 TRUE,"그외"
)</f>
        <v>1개월</v>
      </c>
    </row>
    <row r="2781" spans="1:12" x14ac:dyDescent="0.3">
      <c r="A2781" s="5">
        <v>46054</v>
      </c>
      <c r="B2781" s="6" t="s">
        <v>40</v>
      </c>
      <c r="C2781" s="6" t="s">
        <v>92</v>
      </c>
      <c r="D2781" s="5">
        <v>46054</v>
      </c>
      <c r="E2781" s="6" t="s">
        <v>14</v>
      </c>
      <c r="F2781" s="7">
        <v>558</v>
      </c>
      <c r="G2781" s="7">
        <v>180908.51254480291</v>
      </c>
      <c r="H2781" s="7">
        <v>100946950</v>
      </c>
      <c r="I2781" s="7">
        <v>25803062</v>
      </c>
      <c r="J2781" s="7">
        <v>0</v>
      </c>
      <c r="K2781">
        <f t="shared" si="43"/>
        <v>0</v>
      </c>
      <c r="L2781" s="8" t="str" cm="1">
        <f t="array" ref="L2781">_xlfn.IFS(
 AND(K2781&gt;=89,K2781&lt;=92),"3개월",
 AND(K2781&gt;=58,K2781&lt;=62),"2개월",
 AND(K2781&gt;=28,K2781&lt;=32),"1개월",
 AND(K2781=0),"당월",
 TRUE,"그외"
)</f>
        <v>당월</v>
      </c>
    </row>
    <row r="2782" spans="1:12" x14ac:dyDescent="0.3">
      <c r="A2782" s="5">
        <v>46054</v>
      </c>
      <c r="B2782" s="6" t="s">
        <v>40</v>
      </c>
      <c r="C2782" s="6" t="s">
        <v>92</v>
      </c>
      <c r="D2782" s="5">
        <v>46054</v>
      </c>
      <c r="E2782" s="6" t="s">
        <v>15</v>
      </c>
      <c r="F2782" s="7">
        <v>235</v>
      </c>
      <c r="G2782" s="7">
        <v>214159.88510638301</v>
      </c>
      <c r="H2782" s="7">
        <v>50327573</v>
      </c>
      <c r="I2782" s="7">
        <v>6681273</v>
      </c>
      <c r="J2782" s="7">
        <v>0</v>
      </c>
      <c r="K2782">
        <f t="shared" si="43"/>
        <v>0</v>
      </c>
      <c r="L2782" s="8" t="str" cm="1">
        <f t="array" ref="L2782">_xlfn.IFS(
 AND(K2782&gt;=89,K2782&lt;=92),"3개월",
 AND(K2782&gt;=58,K2782&lt;=62),"2개월",
 AND(K2782&gt;=28,K2782&lt;=32),"1개월",
 AND(K2782=0),"당월",
 TRUE,"그외"
)</f>
        <v>당월</v>
      </c>
    </row>
    <row r="2783" spans="1:12" x14ac:dyDescent="0.3">
      <c r="A2783" s="5">
        <v>46054</v>
      </c>
      <c r="B2783" s="6" t="s">
        <v>40</v>
      </c>
      <c r="C2783" s="6" t="s">
        <v>47</v>
      </c>
      <c r="D2783" s="5">
        <v>45839</v>
      </c>
      <c r="E2783" s="6" t="s">
        <v>15</v>
      </c>
      <c r="F2783" s="7">
        <v>63</v>
      </c>
      <c r="G2783" s="7">
        <v>145386.20634920639</v>
      </c>
      <c r="H2783" s="7">
        <v>9159331</v>
      </c>
      <c r="I2783" s="7">
        <v>959173</v>
      </c>
      <c r="J2783" s="7">
        <v>0</v>
      </c>
      <c r="K2783">
        <f t="shared" si="43"/>
        <v>215</v>
      </c>
      <c r="L2783" s="8" t="str" cm="1">
        <f t="array" ref="L2783">_xlfn.IFS(
 AND(K2783&gt;=89,K2783&lt;=92),"3개월",
 AND(K2783&gt;=58,K2783&lt;=62),"2개월",
 AND(K2783&gt;=28,K2783&lt;=32),"1개월",
 AND(K2783=0),"당월",
 TRUE,"그외"
)</f>
        <v>그외</v>
      </c>
    </row>
    <row r="2784" spans="1:12" x14ac:dyDescent="0.3">
      <c r="A2784" s="5">
        <v>46054</v>
      </c>
      <c r="B2784" s="6" t="s">
        <v>40</v>
      </c>
      <c r="C2784" s="6" t="s">
        <v>47</v>
      </c>
      <c r="D2784" s="5">
        <v>45870</v>
      </c>
      <c r="E2784" s="6" t="s">
        <v>15</v>
      </c>
      <c r="F2784" s="7">
        <v>257</v>
      </c>
      <c r="G2784" s="7">
        <v>128727.38521400779</v>
      </c>
      <c r="H2784" s="7">
        <v>33082938</v>
      </c>
      <c r="I2784" s="7">
        <v>5778719</v>
      </c>
      <c r="J2784" s="7">
        <v>0</v>
      </c>
      <c r="K2784">
        <f t="shared" si="43"/>
        <v>184</v>
      </c>
      <c r="L2784" s="8" t="str" cm="1">
        <f t="array" ref="L2784">_xlfn.IFS(
 AND(K2784&gt;=89,K2784&lt;=92),"3개월",
 AND(K2784&gt;=58,K2784&lt;=62),"2개월",
 AND(K2784&gt;=28,K2784&lt;=32),"1개월",
 AND(K2784=0),"당월",
 TRUE,"그외"
)</f>
        <v>그외</v>
      </c>
    </row>
    <row r="2785" spans="1:12" x14ac:dyDescent="0.3">
      <c r="A2785" s="5">
        <v>46054</v>
      </c>
      <c r="B2785" s="6" t="s">
        <v>40</v>
      </c>
      <c r="C2785" s="6" t="s">
        <v>47</v>
      </c>
      <c r="D2785" s="5">
        <v>45901</v>
      </c>
      <c r="E2785" s="6" t="s">
        <v>15</v>
      </c>
      <c r="F2785" s="7">
        <v>224</v>
      </c>
      <c r="G2785" s="7">
        <v>142060.3125</v>
      </c>
      <c r="H2785" s="7">
        <v>31821510</v>
      </c>
      <c r="I2785" s="7">
        <v>4986138</v>
      </c>
      <c r="J2785" s="7">
        <v>0</v>
      </c>
      <c r="K2785">
        <f t="shared" si="43"/>
        <v>153</v>
      </c>
      <c r="L2785" s="8" t="str" cm="1">
        <f t="array" ref="L2785">_xlfn.IFS(
 AND(K2785&gt;=89,K2785&lt;=92),"3개월",
 AND(K2785&gt;=58,K2785&lt;=62),"2개월",
 AND(K2785&gt;=28,K2785&lt;=32),"1개월",
 AND(K2785=0),"당월",
 TRUE,"그외"
)</f>
        <v>그외</v>
      </c>
    </row>
    <row r="2786" spans="1:12" x14ac:dyDescent="0.3">
      <c r="A2786" s="5">
        <v>46054</v>
      </c>
      <c r="B2786" s="6" t="s">
        <v>40</v>
      </c>
      <c r="C2786" s="6" t="s">
        <v>47</v>
      </c>
      <c r="D2786" s="5">
        <v>45931</v>
      </c>
      <c r="E2786" s="6" t="s">
        <v>15</v>
      </c>
      <c r="F2786" s="7">
        <v>413</v>
      </c>
      <c r="G2786" s="7">
        <v>168266.64164648909</v>
      </c>
      <c r="H2786" s="7">
        <v>69494123</v>
      </c>
      <c r="I2786" s="7">
        <v>9313295</v>
      </c>
      <c r="J2786" s="7">
        <v>0</v>
      </c>
      <c r="K2786">
        <f t="shared" si="43"/>
        <v>123</v>
      </c>
      <c r="L2786" s="8" t="str" cm="1">
        <f t="array" ref="L2786">_xlfn.IFS(
 AND(K2786&gt;=89,K2786&lt;=92),"3개월",
 AND(K2786&gt;=58,K2786&lt;=62),"2개월",
 AND(K2786&gt;=28,K2786&lt;=32),"1개월",
 AND(K2786=0),"당월",
 TRUE,"그외"
)</f>
        <v>그외</v>
      </c>
    </row>
    <row r="2787" spans="1:12" x14ac:dyDescent="0.3">
      <c r="A2787" s="5">
        <v>46054</v>
      </c>
      <c r="B2787" s="6" t="s">
        <v>40</v>
      </c>
      <c r="C2787" s="6" t="s">
        <v>47</v>
      </c>
      <c r="D2787" s="5">
        <v>45962</v>
      </c>
      <c r="E2787" s="6" t="s">
        <v>15</v>
      </c>
      <c r="F2787" s="7">
        <v>697</v>
      </c>
      <c r="G2787" s="7">
        <v>173747.9756097561</v>
      </c>
      <c r="H2787" s="7">
        <v>121102339</v>
      </c>
      <c r="I2787" s="7">
        <v>15571367</v>
      </c>
      <c r="J2787" s="7">
        <v>0</v>
      </c>
      <c r="K2787">
        <f t="shared" si="43"/>
        <v>92</v>
      </c>
      <c r="L2787" s="8" t="str" cm="1">
        <f t="array" ref="L2787">_xlfn.IFS(
 AND(K2787&gt;=89,K2787&lt;=92),"3개월",
 AND(K2787&gt;=58,K2787&lt;=62),"2개월",
 AND(K2787&gt;=28,K2787&lt;=32),"1개월",
 AND(K2787=0),"당월",
 TRUE,"그외"
)</f>
        <v>3개월</v>
      </c>
    </row>
    <row r="2788" spans="1:12" x14ac:dyDescent="0.3">
      <c r="A2788" s="5">
        <v>46054</v>
      </c>
      <c r="B2788" s="6" t="s">
        <v>40</v>
      </c>
      <c r="C2788" s="6" t="s">
        <v>47</v>
      </c>
      <c r="D2788" s="5">
        <v>45992</v>
      </c>
      <c r="E2788" s="6" t="s">
        <v>14</v>
      </c>
      <c r="F2788" s="7">
        <v>247</v>
      </c>
      <c r="G2788" s="7">
        <v>113528.2914979757</v>
      </c>
      <c r="H2788" s="7">
        <v>28041488</v>
      </c>
      <c r="I2788" s="7">
        <v>6226738</v>
      </c>
      <c r="J2788" s="7">
        <v>0</v>
      </c>
      <c r="K2788">
        <f t="shared" si="43"/>
        <v>62</v>
      </c>
      <c r="L2788" s="8" t="str" cm="1">
        <f t="array" ref="L2788">_xlfn.IFS(
 AND(K2788&gt;=89,K2788&lt;=92),"3개월",
 AND(K2788&gt;=58,K2788&lt;=62),"2개월",
 AND(K2788&gt;=28,K2788&lt;=32),"1개월",
 AND(K2788=0),"당월",
 TRUE,"그외"
)</f>
        <v>2개월</v>
      </c>
    </row>
    <row r="2789" spans="1:12" x14ac:dyDescent="0.3">
      <c r="A2789" s="5">
        <v>46054</v>
      </c>
      <c r="B2789" s="6" t="s">
        <v>40</v>
      </c>
      <c r="C2789" s="6" t="s">
        <v>47</v>
      </c>
      <c r="D2789" s="5">
        <v>45992</v>
      </c>
      <c r="E2789" s="6" t="s">
        <v>15</v>
      </c>
      <c r="F2789" s="7">
        <v>1438</v>
      </c>
      <c r="G2789" s="7">
        <v>172305.33031988869</v>
      </c>
      <c r="H2789" s="7">
        <v>247775065</v>
      </c>
      <c r="I2789" s="7">
        <v>36228909</v>
      </c>
      <c r="J2789" s="7">
        <v>0</v>
      </c>
      <c r="K2789">
        <f t="shared" si="43"/>
        <v>62</v>
      </c>
      <c r="L2789" s="8" t="str" cm="1">
        <f t="array" ref="L2789">_xlfn.IFS(
 AND(K2789&gt;=89,K2789&lt;=92),"3개월",
 AND(K2789&gt;=58,K2789&lt;=62),"2개월",
 AND(K2789&gt;=28,K2789&lt;=32),"1개월",
 AND(K2789=0),"당월",
 TRUE,"그외"
)</f>
        <v>2개월</v>
      </c>
    </row>
    <row r="2790" spans="1:12" x14ac:dyDescent="0.3">
      <c r="A2790" s="5">
        <v>46054</v>
      </c>
      <c r="B2790" s="6" t="s">
        <v>40</v>
      </c>
      <c r="C2790" s="6" t="s">
        <v>47</v>
      </c>
      <c r="D2790" s="5">
        <v>46023</v>
      </c>
      <c r="E2790" s="6" t="s">
        <v>14</v>
      </c>
      <c r="F2790" s="7">
        <v>2070</v>
      </c>
      <c r="G2790" s="7">
        <v>240029.88405797101</v>
      </c>
      <c r="H2790" s="7">
        <v>496861860</v>
      </c>
      <c r="I2790" s="7">
        <v>60607131</v>
      </c>
      <c r="J2790" s="7">
        <v>0</v>
      </c>
      <c r="K2790">
        <f t="shared" si="43"/>
        <v>31</v>
      </c>
      <c r="L2790" s="8" t="str" cm="1">
        <f t="array" ref="L2790">_xlfn.IFS(
 AND(K2790&gt;=89,K2790&lt;=92),"3개월",
 AND(K2790&gt;=58,K2790&lt;=62),"2개월",
 AND(K2790&gt;=28,K2790&lt;=32),"1개월",
 AND(K2790=0),"당월",
 TRUE,"그외"
)</f>
        <v>1개월</v>
      </c>
    </row>
    <row r="2791" spans="1:12" x14ac:dyDescent="0.3">
      <c r="A2791" s="5">
        <v>46054</v>
      </c>
      <c r="B2791" s="6" t="s">
        <v>40</v>
      </c>
      <c r="C2791" s="6" t="s">
        <v>47</v>
      </c>
      <c r="D2791" s="5">
        <v>46023</v>
      </c>
      <c r="E2791" s="6" t="s">
        <v>15</v>
      </c>
      <c r="F2791" s="7">
        <v>4345</v>
      </c>
      <c r="G2791" s="7">
        <v>194211.23935558111</v>
      </c>
      <c r="H2791" s="7">
        <v>843847835</v>
      </c>
      <c r="I2791" s="7">
        <v>126223435</v>
      </c>
      <c r="J2791" s="7">
        <v>0</v>
      </c>
      <c r="K2791">
        <f t="shared" si="43"/>
        <v>31</v>
      </c>
      <c r="L2791" s="8" t="str" cm="1">
        <f t="array" ref="L2791">_xlfn.IFS(
 AND(K2791&gt;=89,K2791&lt;=92),"3개월",
 AND(K2791&gt;=58,K2791&lt;=62),"2개월",
 AND(K2791&gt;=28,K2791&lt;=32),"1개월",
 AND(K2791=0),"당월",
 TRUE,"그외"
)</f>
        <v>1개월</v>
      </c>
    </row>
    <row r="2792" spans="1:12" x14ac:dyDescent="0.3">
      <c r="A2792" s="5">
        <v>46054</v>
      </c>
      <c r="B2792" s="6" t="s">
        <v>40</v>
      </c>
      <c r="C2792" s="6" t="s">
        <v>47</v>
      </c>
      <c r="D2792" s="5">
        <v>46054</v>
      </c>
      <c r="E2792" s="6" t="s">
        <v>14</v>
      </c>
      <c r="F2792" s="7">
        <v>5368</v>
      </c>
      <c r="G2792" s="7">
        <v>151432.4813710879</v>
      </c>
      <c r="H2792" s="7">
        <v>812889560</v>
      </c>
      <c r="I2792" s="7">
        <v>111640292</v>
      </c>
      <c r="J2792" s="7">
        <v>0</v>
      </c>
      <c r="K2792">
        <f t="shared" si="43"/>
        <v>0</v>
      </c>
      <c r="L2792" s="8" t="str" cm="1">
        <f t="array" ref="L2792">_xlfn.IFS(
 AND(K2792&gt;=89,K2792&lt;=92),"3개월",
 AND(K2792&gt;=58,K2792&lt;=62),"2개월",
 AND(K2792&gt;=28,K2792&lt;=32),"1개월",
 AND(K2792=0),"당월",
 TRUE,"그외"
)</f>
        <v>당월</v>
      </c>
    </row>
    <row r="2793" spans="1:12" x14ac:dyDescent="0.3">
      <c r="A2793" s="5">
        <v>46054</v>
      </c>
      <c r="B2793" s="6" t="s">
        <v>40</v>
      </c>
      <c r="C2793" s="6" t="s">
        <v>47</v>
      </c>
      <c r="D2793" s="5">
        <v>46054</v>
      </c>
      <c r="E2793" s="6" t="s">
        <v>15</v>
      </c>
      <c r="F2793" s="7">
        <v>3098</v>
      </c>
      <c r="G2793" s="7">
        <v>209912.9041316979</v>
      </c>
      <c r="H2793" s="7">
        <v>650310177</v>
      </c>
      <c r="I2793" s="7">
        <v>67778240</v>
      </c>
      <c r="J2793" s="7">
        <v>0</v>
      </c>
      <c r="K2793">
        <f t="shared" si="43"/>
        <v>0</v>
      </c>
      <c r="L2793" s="8" t="str" cm="1">
        <f t="array" ref="L2793">_xlfn.IFS(
 AND(K2793&gt;=89,K2793&lt;=92),"3개월",
 AND(K2793&gt;=58,K2793&lt;=62),"2개월",
 AND(K2793&gt;=28,K2793&lt;=32),"1개월",
 AND(K2793=0),"당월",
 TRUE,"그외"
)</f>
        <v>당월</v>
      </c>
    </row>
    <row r="2794" spans="1:12" x14ac:dyDescent="0.3">
      <c r="A2794" s="5">
        <v>46054</v>
      </c>
      <c r="B2794" s="6" t="s">
        <v>40</v>
      </c>
      <c r="C2794" s="6" t="s">
        <v>119</v>
      </c>
      <c r="D2794" s="5">
        <v>46023</v>
      </c>
      <c r="E2794" s="6" t="s">
        <v>15</v>
      </c>
      <c r="F2794" s="7">
        <v>8</v>
      </c>
      <c r="G2794" s="7">
        <v>0</v>
      </c>
      <c r="H2794" s="7">
        <v>0</v>
      </c>
      <c r="I2794" s="7">
        <v>0</v>
      </c>
      <c r="J2794" s="7">
        <v>0</v>
      </c>
      <c r="K2794">
        <f t="shared" si="43"/>
        <v>31</v>
      </c>
      <c r="L2794" s="8" t="str" cm="1">
        <f t="array" ref="L2794">_xlfn.IFS(
 AND(K2794&gt;=89,K2794&lt;=92),"3개월",
 AND(K2794&gt;=58,K2794&lt;=62),"2개월",
 AND(K2794&gt;=28,K2794&lt;=32),"1개월",
 AND(K2794=0),"당월",
 TRUE,"그외"
)</f>
        <v>1개월</v>
      </c>
    </row>
    <row r="2795" spans="1:12" x14ac:dyDescent="0.3">
      <c r="A2795" s="5">
        <v>46054</v>
      </c>
      <c r="B2795" s="6" t="s">
        <v>40</v>
      </c>
      <c r="C2795" s="6" t="s">
        <v>119</v>
      </c>
      <c r="D2795" s="5">
        <v>46054</v>
      </c>
      <c r="E2795" s="6" t="s">
        <v>14</v>
      </c>
      <c r="F2795" s="7">
        <v>746</v>
      </c>
      <c r="G2795" s="7">
        <v>230185.96246648789</v>
      </c>
      <c r="H2795" s="7">
        <v>171718728</v>
      </c>
      <c r="I2795" s="7">
        <v>9714408</v>
      </c>
      <c r="J2795" s="7">
        <v>0</v>
      </c>
      <c r="K2795">
        <f t="shared" si="43"/>
        <v>0</v>
      </c>
      <c r="L2795" s="8" t="str" cm="1">
        <f t="array" ref="L2795">_xlfn.IFS(
 AND(K2795&gt;=89,K2795&lt;=92),"3개월",
 AND(K2795&gt;=58,K2795&lt;=62),"2개월",
 AND(K2795&gt;=28,K2795&lt;=32),"1개월",
 AND(K2795=0),"당월",
 TRUE,"그외"
)</f>
        <v>당월</v>
      </c>
    </row>
    <row r="2796" spans="1:12" x14ac:dyDescent="0.3">
      <c r="A2796" s="5">
        <v>46054</v>
      </c>
      <c r="B2796" s="6" t="s">
        <v>40</v>
      </c>
      <c r="C2796" s="6" t="s">
        <v>48</v>
      </c>
      <c r="D2796" s="5">
        <v>46023</v>
      </c>
      <c r="E2796" s="6" t="s">
        <v>15</v>
      </c>
      <c r="F2796" s="7">
        <v>13</v>
      </c>
      <c r="G2796" s="7">
        <v>54384.615384615383</v>
      </c>
      <c r="H2796" s="7">
        <v>707000</v>
      </c>
      <c r="I2796" s="7">
        <v>125000</v>
      </c>
      <c r="J2796" s="7">
        <v>0</v>
      </c>
      <c r="K2796">
        <f t="shared" si="43"/>
        <v>31</v>
      </c>
      <c r="L2796" s="8" t="str" cm="1">
        <f t="array" ref="L2796">_xlfn.IFS(
 AND(K2796&gt;=89,K2796&lt;=92),"3개월",
 AND(K2796&gt;=58,K2796&lt;=62),"2개월",
 AND(K2796&gt;=28,K2796&lt;=32),"1개월",
 AND(K2796=0),"당월",
 TRUE,"그외"
)</f>
        <v>1개월</v>
      </c>
    </row>
    <row r="2797" spans="1:12" x14ac:dyDescent="0.3">
      <c r="A2797" s="5">
        <v>46054</v>
      </c>
      <c r="B2797" s="6" t="s">
        <v>40</v>
      </c>
      <c r="C2797" s="6" t="s">
        <v>48</v>
      </c>
      <c r="D2797" s="5">
        <v>46054</v>
      </c>
      <c r="E2797" s="6" t="s">
        <v>14</v>
      </c>
      <c r="F2797" s="7">
        <v>708</v>
      </c>
      <c r="G2797" s="7">
        <v>239200.0847457627</v>
      </c>
      <c r="H2797" s="7">
        <v>169353660</v>
      </c>
      <c r="I2797" s="7">
        <v>8825496</v>
      </c>
      <c r="J2797" s="7">
        <v>0</v>
      </c>
      <c r="K2797">
        <f t="shared" si="43"/>
        <v>0</v>
      </c>
      <c r="L2797" s="8" t="str" cm="1">
        <f t="array" ref="L2797">_xlfn.IFS(
 AND(K2797&gt;=89,K2797&lt;=92),"3개월",
 AND(K2797&gt;=58,K2797&lt;=62),"2개월",
 AND(K2797&gt;=28,K2797&lt;=32),"1개월",
 AND(K2797=0),"당월",
 TRUE,"그외"
)</f>
        <v>당월</v>
      </c>
    </row>
    <row r="2798" spans="1:12" x14ac:dyDescent="0.3">
      <c r="A2798" s="5">
        <v>46054</v>
      </c>
      <c r="B2798" s="6" t="s">
        <v>40</v>
      </c>
      <c r="C2798" s="6" t="s">
        <v>48</v>
      </c>
      <c r="D2798" s="5">
        <v>46054</v>
      </c>
      <c r="E2798" s="6" t="s">
        <v>15</v>
      </c>
      <c r="F2798" s="7">
        <v>16</v>
      </c>
      <c r="G2798" s="7">
        <v>116020.9375</v>
      </c>
      <c r="H2798" s="7">
        <v>1856335</v>
      </c>
      <c r="I2798" s="7">
        <v>290722</v>
      </c>
      <c r="J2798" s="7">
        <v>0</v>
      </c>
      <c r="K2798">
        <f t="shared" si="43"/>
        <v>0</v>
      </c>
      <c r="L2798" s="8" t="str" cm="1">
        <f t="array" ref="L2798">_xlfn.IFS(
 AND(K2798&gt;=89,K2798&lt;=92),"3개월",
 AND(K2798&gt;=58,K2798&lt;=62),"2개월",
 AND(K2798&gt;=28,K2798&lt;=32),"1개월",
 AND(K2798=0),"당월",
 TRUE,"그외"
)</f>
        <v>당월</v>
      </c>
    </row>
    <row r="2799" spans="1:12" x14ac:dyDescent="0.3">
      <c r="A2799" s="5">
        <v>46054</v>
      </c>
      <c r="B2799" s="6" t="s">
        <v>40</v>
      </c>
      <c r="C2799" s="6" t="s">
        <v>49</v>
      </c>
      <c r="D2799" s="5">
        <v>45992</v>
      </c>
      <c r="E2799" s="6" t="s">
        <v>15</v>
      </c>
      <c r="F2799" s="7">
        <v>32</v>
      </c>
      <c r="G2799" s="7">
        <v>0</v>
      </c>
      <c r="H2799" s="7">
        <v>0</v>
      </c>
      <c r="I2799" s="7">
        <v>0</v>
      </c>
      <c r="J2799" s="7">
        <v>0</v>
      </c>
      <c r="K2799">
        <f t="shared" si="43"/>
        <v>62</v>
      </c>
      <c r="L2799" s="8" t="str" cm="1">
        <f t="array" ref="L2799">_xlfn.IFS(
 AND(K2799&gt;=89,K2799&lt;=92),"3개월",
 AND(K2799&gt;=58,K2799&lt;=62),"2개월",
 AND(K2799&gt;=28,K2799&lt;=32),"1개월",
 AND(K2799=0),"당월",
 TRUE,"그외"
)</f>
        <v>2개월</v>
      </c>
    </row>
    <row r="2800" spans="1:12" x14ac:dyDescent="0.3">
      <c r="A2800" s="5">
        <v>46054</v>
      </c>
      <c r="B2800" s="6" t="s">
        <v>40</v>
      </c>
      <c r="C2800" s="6" t="s">
        <v>49</v>
      </c>
      <c r="D2800" s="5">
        <v>46023</v>
      </c>
      <c r="E2800" s="6" t="s">
        <v>14</v>
      </c>
      <c r="F2800" s="7">
        <v>472</v>
      </c>
      <c r="G2800" s="7">
        <v>52509.057203389828</v>
      </c>
      <c r="H2800" s="7">
        <v>24784275</v>
      </c>
      <c r="I2800" s="7">
        <v>0</v>
      </c>
      <c r="J2800" s="7">
        <v>0</v>
      </c>
      <c r="K2800">
        <f t="shared" si="43"/>
        <v>31</v>
      </c>
      <c r="L2800" s="8" t="str" cm="1">
        <f t="array" ref="L2800">_xlfn.IFS(
 AND(K2800&gt;=89,K2800&lt;=92),"3개월",
 AND(K2800&gt;=58,K2800&lt;=62),"2개월",
 AND(K2800&gt;=28,K2800&lt;=32),"1개월",
 AND(K2800=0),"당월",
 TRUE,"그외"
)</f>
        <v>1개월</v>
      </c>
    </row>
    <row r="2801" spans="1:12" x14ac:dyDescent="0.3">
      <c r="A2801" s="5">
        <v>46054</v>
      </c>
      <c r="B2801" s="6" t="s">
        <v>40</v>
      </c>
      <c r="C2801" s="6" t="s">
        <v>49</v>
      </c>
      <c r="D2801" s="5">
        <v>46023</v>
      </c>
      <c r="E2801" s="6" t="s">
        <v>15</v>
      </c>
      <c r="F2801" s="7">
        <v>16</v>
      </c>
      <c r="G2801" s="7">
        <v>0</v>
      </c>
      <c r="H2801" s="7">
        <v>0</v>
      </c>
      <c r="I2801" s="7">
        <v>0</v>
      </c>
      <c r="J2801" s="7">
        <v>0</v>
      </c>
      <c r="K2801">
        <f t="shared" si="43"/>
        <v>31</v>
      </c>
      <c r="L2801" s="8" t="str" cm="1">
        <f t="array" ref="L2801">_xlfn.IFS(
 AND(K2801&gt;=89,K2801&lt;=92),"3개월",
 AND(K2801&gt;=58,K2801&lt;=62),"2개월",
 AND(K2801&gt;=28,K2801&lt;=32),"1개월",
 AND(K2801=0),"당월",
 TRUE,"그외"
)</f>
        <v>1개월</v>
      </c>
    </row>
    <row r="2802" spans="1:12" x14ac:dyDescent="0.3">
      <c r="A2802" s="5">
        <v>46054</v>
      </c>
      <c r="B2802" s="6" t="s">
        <v>40</v>
      </c>
      <c r="C2802" s="6" t="s">
        <v>49</v>
      </c>
      <c r="D2802" s="5">
        <v>46054</v>
      </c>
      <c r="E2802" s="6" t="s">
        <v>14</v>
      </c>
      <c r="F2802" s="7">
        <v>1280</v>
      </c>
      <c r="G2802" s="7">
        <v>328544.6875</v>
      </c>
      <c r="H2802" s="7">
        <v>420537200</v>
      </c>
      <c r="I2802" s="7">
        <v>0</v>
      </c>
      <c r="J2802" s="7">
        <v>0</v>
      </c>
      <c r="K2802">
        <f t="shared" si="43"/>
        <v>0</v>
      </c>
      <c r="L2802" s="8" t="str" cm="1">
        <f t="array" ref="L2802">_xlfn.IFS(
 AND(K2802&gt;=89,K2802&lt;=92),"3개월",
 AND(K2802&gt;=58,K2802&lt;=62),"2개월",
 AND(K2802&gt;=28,K2802&lt;=32),"1개월",
 AND(K2802=0),"당월",
 TRUE,"그외"
)</f>
        <v>당월</v>
      </c>
    </row>
    <row r="2803" spans="1:12" x14ac:dyDescent="0.3">
      <c r="A2803" s="5">
        <v>46054</v>
      </c>
      <c r="B2803" s="6" t="s">
        <v>50</v>
      </c>
      <c r="C2803" s="6" t="s">
        <v>51</v>
      </c>
      <c r="D2803" s="5">
        <v>45839</v>
      </c>
      <c r="E2803" s="6" t="s">
        <v>15</v>
      </c>
      <c r="F2803" s="7">
        <v>34</v>
      </c>
      <c r="G2803" s="7">
        <v>223898.76470588229</v>
      </c>
      <c r="H2803" s="7">
        <v>7612558</v>
      </c>
      <c r="I2803" s="7">
        <v>785640</v>
      </c>
      <c r="J2803" s="7">
        <v>0</v>
      </c>
      <c r="K2803">
        <f t="shared" si="43"/>
        <v>215</v>
      </c>
      <c r="L2803" s="8" t="str" cm="1">
        <f t="array" ref="L2803">_xlfn.IFS(
 AND(K2803&gt;=89,K2803&lt;=92),"3개월",
 AND(K2803&gt;=58,K2803&lt;=62),"2개월",
 AND(K2803&gt;=28,K2803&lt;=32),"1개월",
 AND(K2803=0),"당월",
 TRUE,"그외"
)</f>
        <v>그외</v>
      </c>
    </row>
    <row r="2804" spans="1:12" x14ac:dyDescent="0.3">
      <c r="A2804" s="5">
        <v>46054</v>
      </c>
      <c r="B2804" s="6" t="s">
        <v>50</v>
      </c>
      <c r="C2804" s="6" t="s">
        <v>51</v>
      </c>
      <c r="D2804" s="5">
        <v>45870</v>
      </c>
      <c r="E2804" s="6" t="s">
        <v>15</v>
      </c>
      <c r="F2804" s="7">
        <v>38</v>
      </c>
      <c r="G2804" s="7">
        <v>236015.18421052629</v>
      </c>
      <c r="H2804" s="7">
        <v>8968577</v>
      </c>
      <c r="I2804" s="7">
        <v>1103987</v>
      </c>
      <c r="J2804" s="7">
        <v>0</v>
      </c>
      <c r="K2804">
        <f t="shared" si="43"/>
        <v>184</v>
      </c>
      <c r="L2804" s="8" t="str" cm="1">
        <f t="array" ref="L2804">_xlfn.IFS(
 AND(K2804&gt;=89,K2804&lt;=92),"3개월",
 AND(K2804&gt;=58,K2804&lt;=62),"2개월",
 AND(K2804&gt;=28,K2804&lt;=32),"1개월",
 AND(K2804=0),"당월",
 TRUE,"그외"
)</f>
        <v>그외</v>
      </c>
    </row>
    <row r="2805" spans="1:12" x14ac:dyDescent="0.3">
      <c r="A2805" s="5">
        <v>46054</v>
      </c>
      <c r="B2805" s="6" t="s">
        <v>50</v>
      </c>
      <c r="C2805" s="6" t="s">
        <v>51</v>
      </c>
      <c r="D2805" s="5">
        <v>45901</v>
      </c>
      <c r="E2805" s="6" t="s">
        <v>15</v>
      </c>
      <c r="F2805" s="7">
        <v>48</v>
      </c>
      <c r="G2805" s="7">
        <v>272259.45833333331</v>
      </c>
      <c r="H2805" s="7">
        <v>13068454</v>
      </c>
      <c r="I2805" s="7">
        <v>1725826</v>
      </c>
      <c r="J2805" s="7">
        <v>0</v>
      </c>
      <c r="K2805">
        <f t="shared" si="43"/>
        <v>153</v>
      </c>
      <c r="L2805" s="8" t="str" cm="1">
        <f t="array" ref="L2805">_xlfn.IFS(
 AND(K2805&gt;=89,K2805&lt;=92),"3개월",
 AND(K2805&gt;=58,K2805&lt;=62),"2개월",
 AND(K2805&gt;=28,K2805&lt;=32),"1개월",
 AND(K2805=0),"당월",
 TRUE,"그외"
)</f>
        <v>그외</v>
      </c>
    </row>
    <row r="2806" spans="1:12" x14ac:dyDescent="0.3">
      <c r="A2806" s="5">
        <v>46054</v>
      </c>
      <c r="B2806" s="6" t="s">
        <v>50</v>
      </c>
      <c r="C2806" s="6" t="s">
        <v>51</v>
      </c>
      <c r="D2806" s="5">
        <v>45931</v>
      </c>
      <c r="E2806" s="6" t="s">
        <v>15</v>
      </c>
      <c r="F2806" s="7">
        <v>106</v>
      </c>
      <c r="G2806" s="7">
        <v>285917.17924528301</v>
      </c>
      <c r="H2806" s="7">
        <v>30307221</v>
      </c>
      <c r="I2806" s="7">
        <v>3397138</v>
      </c>
      <c r="J2806" s="7">
        <v>0</v>
      </c>
      <c r="K2806">
        <f t="shared" si="43"/>
        <v>123</v>
      </c>
      <c r="L2806" s="8" t="str" cm="1">
        <f t="array" ref="L2806">_xlfn.IFS(
 AND(K2806&gt;=89,K2806&lt;=92),"3개월",
 AND(K2806&gt;=58,K2806&lt;=62),"2개월",
 AND(K2806&gt;=28,K2806&lt;=32),"1개월",
 AND(K2806=0),"당월",
 TRUE,"그외"
)</f>
        <v>그외</v>
      </c>
    </row>
    <row r="2807" spans="1:12" x14ac:dyDescent="0.3">
      <c r="A2807" s="5">
        <v>46054</v>
      </c>
      <c r="B2807" s="6" t="s">
        <v>50</v>
      </c>
      <c r="C2807" s="6" t="s">
        <v>51</v>
      </c>
      <c r="D2807" s="5">
        <v>45962</v>
      </c>
      <c r="E2807" s="6" t="s">
        <v>14</v>
      </c>
      <c r="F2807" s="7">
        <v>5</v>
      </c>
      <c r="G2807" s="7">
        <v>201700</v>
      </c>
      <c r="H2807" s="7">
        <v>1008500</v>
      </c>
      <c r="I2807" s="7">
        <v>84500</v>
      </c>
      <c r="J2807" s="7">
        <v>0</v>
      </c>
      <c r="K2807">
        <f t="shared" si="43"/>
        <v>92</v>
      </c>
      <c r="L2807" s="8" t="str" cm="1">
        <f t="array" ref="L2807">_xlfn.IFS(
 AND(K2807&gt;=89,K2807&lt;=92),"3개월",
 AND(K2807&gt;=58,K2807&lt;=62),"2개월",
 AND(K2807&gt;=28,K2807&lt;=32),"1개월",
 AND(K2807=0),"당월",
 TRUE,"그외"
)</f>
        <v>3개월</v>
      </c>
    </row>
    <row r="2808" spans="1:12" x14ac:dyDescent="0.3">
      <c r="A2808" s="5">
        <v>46054</v>
      </c>
      <c r="B2808" s="6" t="s">
        <v>50</v>
      </c>
      <c r="C2808" s="6" t="s">
        <v>51</v>
      </c>
      <c r="D2808" s="5">
        <v>45962</v>
      </c>
      <c r="E2808" s="6" t="s">
        <v>15</v>
      </c>
      <c r="F2808" s="7">
        <v>326</v>
      </c>
      <c r="G2808" s="7">
        <v>338524.57361963188</v>
      </c>
      <c r="H2808" s="7">
        <v>110359011</v>
      </c>
      <c r="I2808" s="7">
        <v>10145334</v>
      </c>
      <c r="J2808" s="7">
        <v>0</v>
      </c>
      <c r="K2808">
        <f t="shared" si="43"/>
        <v>92</v>
      </c>
      <c r="L2808" s="8" t="str" cm="1">
        <f t="array" ref="L2808">_xlfn.IFS(
 AND(K2808&gt;=89,K2808&lt;=92),"3개월",
 AND(K2808&gt;=58,K2808&lt;=62),"2개월",
 AND(K2808&gt;=28,K2808&lt;=32),"1개월",
 AND(K2808=0),"당월",
 TRUE,"그외"
)</f>
        <v>3개월</v>
      </c>
    </row>
    <row r="2809" spans="1:12" x14ac:dyDescent="0.3">
      <c r="A2809" s="5">
        <v>46054</v>
      </c>
      <c r="B2809" s="6" t="s">
        <v>50</v>
      </c>
      <c r="C2809" s="6" t="s">
        <v>51</v>
      </c>
      <c r="D2809" s="5">
        <v>45992</v>
      </c>
      <c r="E2809" s="6" t="s">
        <v>14</v>
      </c>
      <c r="F2809" s="7">
        <v>19</v>
      </c>
      <c r="G2809" s="7">
        <v>1375262.105263158</v>
      </c>
      <c r="H2809" s="7">
        <v>26129980</v>
      </c>
      <c r="I2809" s="7">
        <v>630450</v>
      </c>
      <c r="J2809" s="7">
        <v>0</v>
      </c>
      <c r="K2809">
        <f t="shared" si="43"/>
        <v>62</v>
      </c>
      <c r="L2809" s="8" t="str" cm="1">
        <f t="array" ref="L2809">_xlfn.IFS(
 AND(K2809&gt;=89,K2809&lt;=92),"3개월",
 AND(K2809&gt;=58,K2809&lt;=62),"2개월",
 AND(K2809&gt;=28,K2809&lt;=32),"1개월",
 AND(K2809=0),"당월",
 TRUE,"그외"
)</f>
        <v>2개월</v>
      </c>
    </row>
    <row r="2810" spans="1:12" x14ac:dyDescent="0.3">
      <c r="A2810" s="5">
        <v>46054</v>
      </c>
      <c r="B2810" s="6" t="s">
        <v>50</v>
      </c>
      <c r="C2810" s="6" t="s">
        <v>51</v>
      </c>
      <c r="D2810" s="5">
        <v>45992</v>
      </c>
      <c r="E2810" s="6" t="s">
        <v>15</v>
      </c>
      <c r="F2810" s="7">
        <v>1223</v>
      </c>
      <c r="G2810" s="7">
        <v>277063.85363859357</v>
      </c>
      <c r="H2810" s="7">
        <v>338849093</v>
      </c>
      <c r="I2810" s="7">
        <v>35216148</v>
      </c>
      <c r="J2810" s="7">
        <v>0</v>
      </c>
      <c r="K2810">
        <f t="shared" si="43"/>
        <v>62</v>
      </c>
      <c r="L2810" s="8" t="str" cm="1">
        <f t="array" ref="L2810">_xlfn.IFS(
 AND(K2810&gt;=89,K2810&lt;=92),"3개월",
 AND(K2810&gt;=58,K2810&lt;=62),"2개월",
 AND(K2810&gt;=28,K2810&lt;=32),"1개월",
 AND(K2810=0),"당월",
 TRUE,"그외"
)</f>
        <v>2개월</v>
      </c>
    </row>
    <row r="2811" spans="1:12" x14ac:dyDescent="0.3">
      <c r="A2811" s="5">
        <v>46054</v>
      </c>
      <c r="B2811" s="6" t="s">
        <v>50</v>
      </c>
      <c r="C2811" s="6" t="s">
        <v>51</v>
      </c>
      <c r="D2811" s="5">
        <v>46023</v>
      </c>
      <c r="E2811" s="6" t="s">
        <v>14</v>
      </c>
      <c r="F2811" s="7">
        <v>838</v>
      </c>
      <c r="G2811" s="7">
        <v>219106.35799522669</v>
      </c>
      <c r="H2811" s="7">
        <v>183611128</v>
      </c>
      <c r="I2811" s="7">
        <v>27339282</v>
      </c>
      <c r="J2811" s="7">
        <v>0</v>
      </c>
      <c r="K2811">
        <f t="shared" si="43"/>
        <v>31</v>
      </c>
      <c r="L2811" s="8" t="str" cm="1">
        <f t="array" ref="L2811">_xlfn.IFS(
 AND(K2811&gt;=89,K2811&lt;=92),"3개월",
 AND(K2811&gt;=58,K2811&lt;=62),"2개월",
 AND(K2811&gt;=28,K2811&lt;=32),"1개월",
 AND(K2811=0),"당월",
 TRUE,"그외"
)</f>
        <v>1개월</v>
      </c>
    </row>
    <row r="2812" spans="1:12" x14ac:dyDescent="0.3">
      <c r="A2812" s="5">
        <v>46054</v>
      </c>
      <c r="B2812" s="6" t="s">
        <v>50</v>
      </c>
      <c r="C2812" s="6" t="s">
        <v>51</v>
      </c>
      <c r="D2812" s="5">
        <v>46023</v>
      </c>
      <c r="E2812" s="6" t="s">
        <v>15</v>
      </c>
      <c r="F2812" s="7">
        <v>1967</v>
      </c>
      <c r="G2812" s="7">
        <v>284908.68073207932</v>
      </c>
      <c r="H2812" s="7">
        <v>560415375</v>
      </c>
      <c r="I2812" s="7">
        <v>56470681</v>
      </c>
      <c r="J2812" s="7">
        <v>0</v>
      </c>
      <c r="K2812">
        <f t="shared" si="43"/>
        <v>31</v>
      </c>
      <c r="L2812" s="8" t="str" cm="1">
        <f t="array" ref="L2812">_xlfn.IFS(
 AND(K2812&gt;=89,K2812&lt;=92),"3개월",
 AND(K2812&gt;=58,K2812&lt;=62),"2개월",
 AND(K2812&gt;=28,K2812&lt;=32),"1개월",
 AND(K2812=0),"당월",
 TRUE,"그외"
)</f>
        <v>1개월</v>
      </c>
    </row>
    <row r="2813" spans="1:12" x14ac:dyDescent="0.3">
      <c r="A2813" s="5">
        <v>46054</v>
      </c>
      <c r="B2813" s="6" t="s">
        <v>50</v>
      </c>
      <c r="C2813" s="6" t="s">
        <v>51</v>
      </c>
      <c r="D2813" s="5">
        <v>46054</v>
      </c>
      <c r="E2813" s="6" t="s">
        <v>14</v>
      </c>
      <c r="F2813" s="7">
        <v>312</v>
      </c>
      <c r="G2813" s="7">
        <v>187374.1794871795</v>
      </c>
      <c r="H2813" s="7">
        <v>58460744</v>
      </c>
      <c r="I2813" s="7">
        <v>6560148</v>
      </c>
      <c r="J2813" s="7">
        <v>0</v>
      </c>
      <c r="K2813">
        <f t="shared" si="43"/>
        <v>0</v>
      </c>
      <c r="L2813" s="8" t="str" cm="1">
        <f t="array" ref="L2813">_xlfn.IFS(
 AND(K2813&gt;=89,K2813&lt;=92),"3개월",
 AND(K2813&gt;=58,K2813&lt;=62),"2개월",
 AND(K2813&gt;=28,K2813&lt;=32),"1개월",
 AND(K2813=0),"당월",
 TRUE,"그외"
)</f>
        <v>당월</v>
      </c>
    </row>
    <row r="2814" spans="1:12" x14ac:dyDescent="0.3">
      <c r="A2814" s="5">
        <v>46054</v>
      </c>
      <c r="B2814" s="6" t="s">
        <v>50</v>
      </c>
      <c r="C2814" s="6" t="s">
        <v>51</v>
      </c>
      <c r="D2814" s="5">
        <v>46054</v>
      </c>
      <c r="E2814" s="6" t="s">
        <v>15</v>
      </c>
      <c r="F2814" s="7">
        <v>962</v>
      </c>
      <c r="G2814" s="7">
        <v>272120.89812889812</v>
      </c>
      <c r="H2814" s="7">
        <v>261780304</v>
      </c>
      <c r="I2814" s="7">
        <v>23905032</v>
      </c>
      <c r="J2814" s="7">
        <v>0</v>
      </c>
      <c r="K2814">
        <f t="shared" si="43"/>
        <v>0</v>
      </c>
      <c r="L2814" s="8" t="str" cm="1">
        <f t="array" ref="L2814">_xlfn.IFS(
 AND(K2814&gt;=89,K2814&lt;=92),"3개월",
 AND(K2814&gt;=58,K2814&lt;=62),"2개월",
 AND(K2814&gt;=28,K2814&lt;=32),"1개월",
 AND(K2814=0),"당월",
 TRUE,"그외"
)</f>
        <v>당월</v>
      </c>
    </row>
    <row r="2815" spans="1:12" x14ac:dyDescent="0.3">
      <c r="A2815" s="5">
        <v>46054</v>
      </c>
      <c r="B2815" s="6" t="s">
        <v>50</v>
      </c>
      <c r="C2815" s="6" t="s">
        <v>52</v>
      </c>
      <c r="D2815" s="5">
        <v>45839</v>
      </c>
      <c r="E2815" s="6" t="s">
        <v>15</v>
      </c>
      <c r="F2815" s="7">
        <v>146</v>
      </c>
      <c r="G2815" s="7">
        <v>106910.9794520548</v>
      </c>
      <c r="H2815" s="7">
        <v>15609003</v>
      </c>
      <c r="I2815" s="7">
        <v>3494767</v>
      </c>
      <c r="J2815" s="7">
        <v>0</v>
      </c>
      <c r="K2815">
        <f t="shared" si="43"/>
        <v>215</v>
      </c>
      <c r="L2815" s="8" t="str" cm="1">
        <f t="array" ref="L2815">_xlfn.IFS(
 AND(K2815&gt;=89,K2815&lt;=92),"3개월",
 AND(K2815&gt;=58,K2815&lt;=62),"2개월",
 AND(K2815&gt;=28,K2815&lt;=32),"1개월",
 AND(K2815=0),"당월",
 TRUE,"그외"
)</f>
        <v>그외</v>
      </c>
    </row>
    <row r="2816" spans="1:12" x14ac:dyDescent="0.3">
      <c r="A2816" s="5">
        <v>46054</v>
      </c>
      <c r="B2816" s="6" t="s">
        <v>50</v>
      </c>
      <c r="C2816" s="6" t="s">
        <v>52</v>
      </c>
      <c r="D2816" s="5">
        <v>45870</v>
      </c>
      <c r="E2816" s="6" t="s">
        <v>15</v>
      </c>
      <c r="F2816" s="7">
        <v>364</v>
      </c>
      <c r="G2816" s="7">
        <v>108623.2582417582</v>
      </c>
      <c r="H2816" s="7">
        <v>39538866</v>
      </c>
      <c r="I2816" s="7">
        <v>8753129</v>
      </c>
      <c r="J2816" s="7">
        <v>0</v>
      </c>
      <c r="K2816">
        <f t="shared" si="43"/>
        <v>184</v>
      </c>
      <c r="L2816" s="8" t="str" cm="1">
        <f t="array" ref="L2816">_xlfn.IFS(
 AND(K2816&gt;=89,K2816&lt;=92),"3개월",
 AND(K2816&gt;=58,K2816&lt;=62),"2개월",
 AND(K2816&gt;=28,K2816&lt;=32),"1개월",
 AND(K2816=0),"당월",
 TRUE,"그외"
)</f>
        <v>그외</v>
      </c>
    </row>
    <row r="2817" spans="1:12" x14ac:dyDescent="0.3">
      <c r="A2817" s="5">
        <v>46054</v>
      </c>
      <c r="B2817" s="6" t="s">
        <v>50</v>
      </c>
      <c r="C2817" s="6" t="s">
        <v>52</v>
      </c>
      <c r="D2817" s="5">
        <v>45901</v>
      </c>
      <c r="E2817" s="6" t="s">
        <v>15</v>
      </c>
      <c r="F2817" s="7">
        <v>347</v>
      </c>
      <c r="G2817" s="7">
        <v>121815.4322766571</v>
      </c>
      <c r="H2817" s="7">
        <v>42269955</v>
      </c>
      <c r="I2817" s="7">
        <v>8374597</v>
      </c>
      <c r="J2817" s="7">
        <v>0</v>
      </c>
      <c r="K2817">
        <f t="shared" si="43"/>
        <v>153</v>
      </c>
      <c r="L2817" s="8" t="str" cm="1">
        <f t="array" ref="L2817">_xlfn.IFS(
 AND(K2817&gt;=89,K2817&lt;=92),"3개월",
 AND(K2817&gt;=58,K2817&lt;=62),"2개월",
 AND(K2817&gt;=28,K2817&lt;=32),"1개월",
 AND(K2817=0),"당월",
 TRUE,"그외"
)</f>
        <v>그외</v>
      </c>
    </row>
    <row r="2818" spans="1:12" x14ac:dyDescent="0.3">
      <c r="A2818" s="5">
        <v>46054</v>
      </c>
      <c r="B2818" s="6" t="s">
        <v>50</v>
      </c>
      <c r="C2818" s="6" t="s">
        <v>52</v>
      </c>
      <c r="D2818" s="5">
        <v>45931</v>
      </c>
      <c r="E2818" s="6" t="s">
        <v>14</v>
      </c>
      <c r="F2818" s="7">
        <v>18</v>
      </c>
      <c r="G2818" s="7">
        <v>206700</v>
      </c>
      <c r="H2818" s="7">
        <v>3720600</v>
      </c>
      <c r="I2818" s="7">
        <v>300600</v>
      </c>
      <c r="J2818" s="7">
        <v>0</v>
      </c>
      <c r="K2818">
        <f t="shared" si="43"/>
        <v>123</v>
      </c>
      <c r="L2818" s="8" t="str" cm="1">
        <f t="array" ref="L2818">_xlfn.IFS(
 AND(K2818&gt;=89,K2818&lt;=92),"3개월",
 AND(K2818&gt;=58,K2818&lt;=62),"2개월",
 AND(K2818&gt;=28,K2818&lt;=32),"1개월",
 AND(K2818=0),"당월",
 TRUE,"그외"
)</f>
        <v>그외</v>
      </c>
    </row>
    <row r="2819" spans="1:12" x14ac:dyDescent="0.3">
      <c r="A2819" s="5">
        <v>46054</v>
      </c>
      <c r="B2819" s="6" t="s">
        <v>50</v>
      </c>
      <c r="C2819" s="6" t="s">
        <v>52</v>
      </c>
      <c r="D2819" s="5">
        <v>45931</v>
      </c>
      <c r="E2819" s="6" t="s">
        <v>15</v>
      </c>
      <c r="F2819" s="7">
        <v>356</v>
      </c>
      <c r="G2819" s="7">
        <v>144636.44101123599</v>
      </c>
      <c r="H2819" s="7">
        <v>51490573</v>
      </c>
      <c r="I2819" s="7">
        <v>8846723</v>
      </c>
      <c r="J2819" s="7">
        <v>0</v>
      </c>
      <c r="K2819">
        <f t="shared" si="43"/>
        <v>123</v>
      </c>
      <c r="L2819" s="8" t="str" cm="1">
        <f t="array" ref="L2819">_xlfn.IFS(
 AND(K2819&gt;=89,K2819&lt;=92),"3개월",
 AND(K2819&gt;=58,K2819&lt;=62),"2개월",
 AND(K2819&gt;=28,K2819&lt;=32),"1개월",
 AND(K2819=0),"당월",
 TRUE,"그외"
)</f>
        <v>그외</v>
      </c>
    </row>
    <row r="2820" spans="1:12" x14ac:dyDescent="0.3">
      <c r="A2820" s="5">
        <v>46054</v>
      </c>
      <c r="B2820" s="6" t="s">
        <v>50</v>
      </c>
      <c r="C2820" s="6" t="s">
        <v>52</v>
      </c>
      <c r="D2820" s="5">
        <v>45962</v>
      </c>
      <c r="E2820" s="6" t="s">
        <v>14</v>
      </c>
      <c r="F2820" s="7">
        <v>40</v>
      </c>
      <c r="G2820" s="7">
        <v>3060176.6</v>
      </c>
      <c r="H2820" s="7">
        <v>122407064</v>
      </c>
      <c r="I2820" s="7">
        <v>642200</v>
      </c>
      <c r="J2820" s="7">
        <v>0</v>
      </c>
      <c r="K2820">
        <f t="shared" si="43"/>
        <v>92</v>
      </c>
      <c r="L2820" s="8" t="str" cm="1">
        <f t="array" ref="L2820">_xlfn.IFS(
 AND(K2820&gt;=89,K2820&lt;=92),"3개월",
 AND(K2820&gt;=58,K2820&lt;=62),"2개월",
 AND(K2820&gt;=28,K2820&lt;=32),"1개월",
 AND(K2820=0),"당월",
 TRUE,"그외"
)</f>
        <v>3개월</v>
      </c>
    </row>
    <row r="2821" spans="1:12" x14ac:dyDescent="0.3">
      <c r="A2821" s="5">
        <v>46054</v>
      </c>
      <c r="B2821" s="6" t="s">
        <v>50</v>
      </c>
      <c r="C2821" s="6" t="s">
        <v>52</v>
      </c>
      <c r="D2821" s="5">
        <v>45962</v>
      </c>
      <c r="E2821" s="6" t="s">
        <v>15</v>
      </c>
      <c r="F2821" s="7">
        <v>231</v>
      </c>
      <c r="G2821" s="7">
        <v>247154.78354978349</v>
      </c>
      <c r="H2821" s="7">
        <v>57092755</v>
      </c>
      <c r="I2821" s="7">
        <v>6212086</v>
      </c>
      <c r="J2821" s="7">
        <v>0</v>
      </c>
      <c r="K2821">
        <f t="shared" si="43"/>
        <v>92</v>
      </c>
      <c r="L2821" s="8" t="str" cm="1">
        <f t="array" ref="L2821">_xlfn.IFS(
 AND(K2821&gt;=89,K2821&lt;=92),"3개월",
 AND(K2821&gt;=58,K2821&lt;=62),"2개월",
 AND(K2821&gt;=28,K2821&lt;=32),"1개월",
 AND(K2821=0),"당월",
 TRUE,"그외"
)</f>
        <v>3개월</v>
      </c>
    </row>
    <row r="2822" spans="1:12" x14ac:dyDescent="0.3">
      <c r="A2822" s="5">
        <v>46054</v>
      </c>
      <c r="B2822" s="6" t="s">
        <v>50</v>
      </c>
      <c r="C2822" s="6" t="s">
        <v>52</v>
      </c>
      <c r="D2822" s="5">
        <v>45992</v>
      </c>
      <c r="E2822" s="6" t="s">
        <v>14</v>
      </c>
      <c r="F2822" s="7">
        <v>145</v>
      </c>
      <c r="G2822" s="7">
        <v>892400.57931034488</v>
      </c>
      <c r="H2822" s="7">
        <v>129398084</v>
      </c>
      <c r="I2822" s="7">
        <v>3352979</v>
      </c>
      <c r="J2822" s="7">
        <v>0</v>
      </c>
      <c r="K2822">
        <f t="shared" si="43"/>
        <v>62</v>
      </c>
      <c r="L2822" s="8" t="str" cm="1">
        <f t="array" ref="L2822">_xlfn.IFS(
 AND(K2822&gt;=89,K2822&lt;=92),"3개월",
 AND(K2822&gt;=58,K2822&lt;=62),"2개월",
 AND(K2822&gt;=28,K2822&lt;=32),"1개월",
 AND(K2822=0),"당월",
 TRUE,"그외"
)</f>
        <v>2개월</v>
      </c>
    </row>
    <row r="2823" spans="1:12" x14ac:dyDescent="0.3">
      <c r="A2823" s="5">
        <v>46054</v>
      </c>
      <c r="B2823" s="6" t="s">
        <v>50</v>
      </c>
      <c r="C2823" s="6" t="s">
        <v>52</v>
      </c>
      <c r="D2823" s="5">
        <v>45992</v>
      </c>
      <c r="E2823" s="6" t="s">
        <v>15</v>
      </c>
      <c r="F2823" s="7">
        <v>464</v>
      </c>
      <c r="G2823" s="7">
        <v>245882.41810344829</v>
      </c>
      <c r="H2823" s="7">
        <v>114089442</v>
      </c>
      <c r="I2823" s="7">
        <v>12481865</v>
      </c>
      <c r="J2823" s="7">
        <v>0</v>
      </c>
      <c r="K2823">
        <f t="shared" si="43"/>
        <v>62</v>
      </c>
      <c r="L2823" s="8" t="str" cm="1">
        <f t="array" ref="L2823">_xlfn.IFS(
 AND(K2823&gt;=89,K2823&lt;=92),"3개월",
 AND(K2823&gt;=58,K2823&lt;=62),"2개월",
 AND(K2823&gt;=28,K2823&lt;=32),"1개월",
 AND(K2823=0),"당월",
 TRUE,"그외"
)</f>
        <v>2개월</v>
      </c>
    </row>
    <row r="2824" spans="1:12" x14ac:dyDescent="0.3">
      <c r="A2824" s="5">
        <v>46054</v>
      </c>
      <c r="B2824" s="6" t="s">
        <v>50</v>
      </c>
      <c r="C2824" s="6" t="s">
        <v>52</v>
      </c>
      <c r="D2824" s="5">
        <v>46023</v>
      </c>
      <c r="E2824" s="6" t="s">
        <v>14</v>
      </c>
      <c r="F2824" s="7">
        <v>4890</v>
      </c>
      <c r="G2824" s="7">
        <v>192518.84519427401</v>
      </c>
      <c r="H2824" s="7">
        <v>941417153</v>
      </c>
      <c r="I2824" s="7">
        <v>165481786</v>
      </c>
      <c r="J2824" s="7">
        <v>0</v>
      </c>
      <c r="K2824">
        <f t="shared" si="43"/>
        <v>31</v>
      </c>
      <c r="L2824" s="8" t="str" cm="1">
        <f t="array" ref="L2824">_xlfn.IFS(
 AND(K2824&gt;=89,K2824&lt;=92),"3개월",
 AND(K2824&gt;=58,K2824&lt;=62),"2개월",
 AND(K2824&gt;=28,K2824&lt;=32),"1개월",
 AND(K2824=0),"당월",
 TRUE,"그외"
)</f>
        <v>1개월</v>
      </c>
    </row>
    <row r="2825" spans="1:12" x14ac:dyDescent="0.3">
      <c r="A2825" s="5">
        <v>46054</v>
      </c>
      <c r="B2825" s="6" t="s">
        <v>50</v>
      </c>
      <c r="C2825" s="6" t="s">
        <v>52</v>
      </c>
      <c r="D2825" s="5">
        <v>46023</v>
      </c>
      <c r="E2825" s="6" t="s">
        <v>15</v>
      </c>
      <c r="F2825" s="7">
        <v>1006</v>
      </c>
      <c r="G2825" s="7">
        <v>199766.5626242545</v>
      </c>
      <c r="H2825" s="7">
        <v>200965162</v>
      </c>
      <c r="I2825" s="7">
        <v>25755515</v>
      </c>
      <c r="J2825" s="7">
        <v>0</v>
      </c>
      <c r="K2825">
        <f t="shared" si="43"/>
        <v>31</v>
      </c>
      <c r="L2825" s="8" t="str" cm="1">
        <f t="array" ref="L2825">_xlfn.IFS(
 AND(K2825&gt;=89,K2825&lt;=92),"3개월",
 AND(K2825&gt;=58,K2825&lt;=62),"2개월",
 AND(K2825&gt;=28,K2825&lt;=32),"1개월",
 AND(K2825=0),"당월",
 TRUE,"그외"
)</f>
        <v>1개월</v>
      </c>
    </row>
    <row r="2826" spans="1:12" x14ac:dyDescent="0.3">
      <c r="A2826" s="5">
        <v>46054</v>
      </c>
      <c r="B2826" s="6" t="s">
        <v>50</v>
      </c>
      <c r="C2826" s="6" t="s">
        <v>52</v>
      </c>
      <c r="D2826" s="5">
        <v>46054</v>
      </c>
      <c r="E2826" s="6" t="s">
        <v>14</v>
      </c>
      <c r="F2826" s="7">
        <v>1672</v>
      </c>
      <c r="G2826" s="7">
        <v>143507.81459330139</v>
      </c>
      <c r="H2826" s="7">
        <v>239945066</v>
      </c>
      <c r="I2826" s="7">
        <v>47855449</v>
      </c>
      <c r="J2826" s="7">
        <v>0</v>
      </c>
      <c r="K2826">
        <f t="shared" ref="K2826:K2889" si="44">A2826-D2826</f>
        <v>0</v>
      </c>
      <c r="L2826" s="8" t="str" cm="1">
        <f t="array" ref="L2826">_xlfn.IFS(
 AND(K2826&gt;=89,K2826&lt;=92),"3개월",
 AND(K2826&gt;=58,K2826&lt;=62),"2개월",
 AND(K2826&gt;=28,K2826&lt;=32),"1개월",
 AND(K2826=0),"당월",
 TRUE,"그외"
)</f>
        <v>당월</v>
      </c>
    </row>
    <row r="2827" spans="1:12" x14ac:dyDescent="0.3">
      <c r="A2827" s="5">
        <v>46054</v>
      </c>
      <c r="B2827" s="6" t="s">
        <v>50</v>
      </c>
      <c r="C2827" s="6" t="s">
        <v>52</v>
      </c>
      <c r="D2827" s="5">
        <v>46054</v>
      </c>
      <c r="E2827" s="6" t="s">
        <v>15</v>
      </c>
      <c r="F2827" s="7">
        <v>907</v>
      </c>
      <c r="G2827" s="7">
        <v>186216.64718853359</v>
      </c>
      <c r="H2827" s="7">
        <v>168898499</v>
      </c>
      <c r="I2827" s="7">
        <v>20286074</v>
      </c>
      <c r="J2827" s="7">
        <v>0</v>
      </c>
      <c r="K2827">
        <f t="shared" si="44"/>
        <v>0</v>
      </c>
      <c r="L2827" s="8" t="str" cm="1">
        <f t="array" ref="L2827">_xlfn.IFS(
 AND(K2827&gt;=89,K2827&lt;=92),"3개월",
 AND(K2827&gt;=58,K2827&lt;=62),"2개월",
 AND(K2827&gt;=28,K2827&lt;=32),"1개월",
 AND(K2827=0),"당월",
 TRUE,"그외"
)</f>
        <v>당월</v>
      </c>
    </row>
    <row r="2828" spans="1:12" x14ac:dyDescent="0.3">
      <c r="A2828" s="5">
        <v>46054</v>
      </c>
      <c r="B2828" s="6" t="s">
        <v>50</v>
      </c>
      <c r="C2828" s="6" t="s">
        <v>53</v>
      </c>
      <c r="D2828" s="5">
        <v>45839</v>
      </c>
      <c r="E2828" s="6" t="s">
        <v>15</v>
      </c>
      <c r="F2828" s="7">
        <v>21</v>
      </c>
      <c r="G2828" s="7">
        <v>197126.8095238095</v>
      </c>
      <c r="H2828" s="7">
        <v>4139663</v>
      </c>
      <c r="I2828" s="7">
        <v>729840</v>
      </c>
      <c r="J2828" s="7">
        <v>0</v>
      </c>
      <c r="K2828">
        <f t="shared" si="44"/>
        <v>215</v>
      </c>
      <c r="L2828" s="8" t="str" cm="1">
        <f t="array" ref="L2828">_xlfn.IFS(
 AND(K2828&gt;=89,K2828&lt;=92),"3개월",
 AND(K2828&gt;=58,K2828&lt;=62),"2개월",
 AND(K2828&gt;=28,K2828&lt;=32),"1개월",
 AND(K2828=0),"당월",
 TRUE,"그외"
)</f>
        <v>그외</v>
      </c>
    </row>
    <row r="2829" spans="1:12" x14ac:dyDescent="0.3">
      <c r="A2829" s="5">
        <v>46054</v>
      </c>
      <c r="B2829" s="6" t="s">
        <v>50</v>
      </c>
      <c r="C2829" s="6" t="s">
        <v>53</v>
      </c>
      <c r="D2829" s="5">
        <v>45870</v>
      </c>
      <c r="E2829" s="6" t="s">
        <v>15</v>
      </c>
      <c r="F2829" s="7">
        <v>29</v>
      </c>
      <c r="G2829" s="7">
        <v>160454.3448275862</v>
      </c>
      <c r="H2829" s="7">
        <v>4653176</v>
      </c>
      <c r="I2829" s="7">
        <v>625510</v>
      </c>
      <c r="J2829" s="7">
        <v>0</v>
      </c>
      <c r="K2829">
        <f t="shared" si="44"/>
        <v>184</v>
      </c>
      <c r="L2829" s="8" t="str" cm="1">
        <f t="array" ref="L2829">_xlfn.IFS(
 AND(K2829&gt;=89,K2829&lt;=92),"3개월",
 AND(K2829&gt;=58,K2829&lt;=62),"2개월",
 AND(K2829&gt;=28,K2829&lt;=32),"1개월",
 AND(K2829=0),"당월",
 TRUE,"그외"
)</f>
        <v>그외</v>
      </c>
    </row>
    <row r="2830" spans="1:12" x14ac:dyDescent="0.3">
      <c r="A2830" s="5">
        <v>46054</v>
      </c>
      <c r="B2830" s="6" t="s">
        <v>50</v>
      </c>
      <c r="C2830" s="6" t="s">
        <v>53</v>
      </c>
      <c r="D2830" s="5">
        <v>45901</v>
      </c>
      <c r="E2830" s="6" t="s">
        <v>15</v>
      </c>
      <c r="F2830" s="7">
        <v>100</v>
      </c>
      <c r="G2830" s="7">
        <v>176135.81</v>
      </c>
      <c r="H2830" s="7">
        <v>17613581</v>
      </c>
      <c r="I2830" s="7">
        <v>2401678</v>
      </c>
      <c r="J2830" s="7">
        <v>0</v>
      </c>
      <c r="K2830">
        <f t="shared" si="44"/>
        <v>153</v>
      </c>
      <c r="L2830" s="8" t="str" cm="1">
        <f t="array" ref="L2830">_xlfn.IFS(
 AND(K2830&gt;=89,K2830&lt;=92),"3개월",
 AND(K2830&gt;=58,K2830&lt;=62),"2개월",
 AND(K2830&gt;=28,K2830&lt;=32),"1개월",
 AND(K2830=0),"당월",
 TRUE,"그외"
)</f>
        <v>그외</v>
      </c>
    </row>
    <row r="2831" spans="1:12" x14ac:dyDescent="0.3">
      <c r="A2831" s="5">
        <v>46054</v>
      </c>
      <c r="B2831" s="6" t="s">
        <v>50</v>
      </c>
      <c r="C2831" s="6" t="s">
        <v>53</v>
      </c>
      <c r="D2831" s="5">
        <v>45931</v>
      </c>
      <c r="E2831" s="6" t="s">
        <v>14</v>
      </c>
      <c r="F2831" s="7">
        <v>3</v>
      </c>
      <c r="G2831" s="7">
        <v>176700</v>
      </c>
      <c r="H2831" s="7">
        <v>530100</v>
      </c>
      <c r="I2831" s="7">
        <v>50100</v>
      </c>
      <c r="J2831" s="7">
        <v>0</v>
      </c>
      <c r="K2831">
        <f t="shared" si="44"/>
        <v>123</v>
      </c>
      <c r="L2831" s="8" t="str" cm="1">
        <f t="array" ref="L2831">_xlfn.IFS(
 AND(K2831&gt;=89,K2831&lt;=92),"3개월",
 AND(K2831&gt;=58,K2831&lt;=62),"2개월",
 AND(K2831&gt;=28,K2831&lt;=32),"1개월",
 AND(K2831=0),"당월",
 TRUE,"그외"
)</f>
        <v>그외</v>
      </c>
    </row>
    <row r="2832" spans="1:12" x14ac:dyDescent="0.3">
      <c r="A2832" s="5">
        <v>46054</v>
      </c>
      <c r="B2832" s="6" t="s">
        <v>50</v>
      </c>
      <c r="C2832" s="6" t="s">
        <v>53</v>
      </c>
      <c r="D2832" s="5">
        <v>45931</v>
      </c>
      <c r="E2832" s="6" t="s">
        <v>15</v>
      </c>
      <c r="F2832" s="7">
        <v>300</v>
      </c>
      <c r="G2832" s="7">
        <v>258459.79666666669</v>
      </c>
      <c r="H2832" s="7">
        <v>77537939</v>
      </c>
      <c r="I2832" s="7">
        <v>7966352</v>
      </c>
      <c r="J2832" s="7">
        <v>0</v>
      </c>
      <c r="K2832">
        <f t="shared" si="44"/>
        <v>123</v>
      </c>
      <c r="L2832" s="8" t="str" cm="1">
        <f t="array" ref="L2832">_xlfn.IFS(
 AND(K2832&gt;=89,K2832&lt;=92),"3개월",
 AND(K2832&gt;=58,K2832&lt;=62),"2개월",
 AND(K2832&gt;=28,K2832&lt;=32),"1개월",
 AND(K2832=0),"당월",
 TRUE,"그외"
)</f>
        <v>그외</v>
      </c>
    </row>
    <row r="2833" spans="1:12" x14ac:dyDescent="0.3">
      <c r="A2833" s="5">
        <v>46054</v>
      </c>
      <c r="B2833" s="6" t="s">
        <v>50</v>
      </c>
      <c r="C2833" s="6" t="s">
        <v>53</v>
      </c>
      <c r="D2833" s="5">
        <v>45962</v>
      </c>
      <c r="E2833" s="6" t="s">
        <v>15</v>
      </c>
      <c r="F2833" s="7">
        <v>342</v>
      </c>
      <c r="G2833" s="7">
        <v>243205.8801169591</v>
      </c>
      <c r="H2833" s="7">
        <v>83176411</v>
      </c>
      <c r="I2833" s="7">
        <v>9011663</v>
      </c>
      <c r="J2833" s="7">
        <v>0</v>
      </c>
      <c r="K2833">
        <f t="shared" si="44"/>
        <v>92</v>
      </c>
      <c r="L2833" s="8" t="str" cm="1">
        <f t="array" ref="L2833">_xlfn.IFS(
 AND(K2833&gt;=89,K2833&lt;=92),"3개월",
 AND(K2833&gt;=58,K2833&lt;=62),"2개월",
 AND(K2833&gt;=28,K2833&lt;=32),"1개월",
 AND(K2833=0),"당월",
 TRUE,"그외"
)</f>
        <v>3개월</v>
      </c>
    </row>
    <row r="2834" spans="1:12" x14ac:dyDescent="0.3">
      <c r="A2834" s="5">
        <v>46054</v>
      </c>
      <c r="B2834" s="6" t="s">
        <v>50</v>
      </c>
      <c r="C2834" s="6" t="s">
        <v>53</v>
      </c>
      <c r="D2834" s="5">
        <v>45992</v>
      </c>
      <c r="E2834" s="6" t="s">
        <v>14</v>
      </c>
      <c r="F2834" s="7">
        <v>90</v>
      </c>
      <c r="G2834" s="7">
        <v>1226644.8666666669</v>
      </c>
      <c r="H2834" s="7">
        <v>110398038</v>
      </c>
      <c r="I2834" s="7">
        <v>3095514</v>
      </c>
      <c r="J2834" s="7">
        <v>0</v>
      </c>
      <c r="K2834">
        <f t="shared" si="44"/>
        <v>62</v>
      </c>
      <c r="L2834" s="8" t="str" cm="1">
        <f t="array" ref="L2834">_xlfn.IFS(
 AND(K2834&gt;=89,K2834&lt;=92),"3개월",
 AND(K2834&gt;=58,K2834&lt;=62),"2개월",
 AND(K2834&gt;=28,K2834&lt;=32),"1개월",
 AND(K2834=0),"당월",
 TRUE,"그외"
)</f>
        <v>2개월</v>
      </c>
    </row>
    <row r="2835" spans="1:12" x14ac:dyDescent="0.3">
      <c r="A2835" s="5">
        <v>46054</v>
      </c>
      <c r="B2835" s="6" t="s">
        <v>50</v>
      </c>
      <c r="C2835" s="6" t="s">
        <v>53</v>
      </c>
      <c r="D2835" s="5">
        <v>45992</v>
      </c>
      <c r="E2835" s="6" t="s">
        <v>15</v>
      </c>
      <c r="F2835" s="7">
        <v>1529</v>
      </c>
      <c r="G2835" s="7">
        <v>212233.7933289732</v>
      </c>
      <c r="H2835" s="7">
        <v>324505470</v>
      </c>
      <c r="I2835" s="7">
        <v>45876718</v>
      </c>
      <c r="J2835" s="7">
        <v>0</v>
      </c>
      <c r="K2835">
        <f t="shared" si="44"/>
        <v>62</v>
      </c>
      <c r="L2835" s="8" t="str" cm="1">
        <f t="array" ref="L2835">_xlfn.IFS(
 AND(K2835&gt;=89,K2835&lt;=92),"3개월",
 AND(K2835&gt;=58,K2835&lt;=62),"2개월",
 AND(K2835&gt;=28,K2835&lt;=32),"1개월",
 AND(K2835=0),"당월",
 TRUE,"그외"
)</f>
        <v>2개월</v>
      </c>
    </row>
    <row r="2836" spans="1:12" x14ac:dyDescent="0.3">
      <c r="A2836" s="5">
        <v>46054</v>
      </c>
      <c r="B2836" s="6" t="s">
        <v>50</v>
      </c>
      <c r="C2836" s="6" t="s">
        <v>53</v>
      </c>
      <c r="D2836" s="5">
        <v>46023</v>
      </c>
      <c r="E2836" s="6" t="s">
        <v>14</v>
      </c>
      <c r="F2836" s="7">
        <v>3349</v>
      </c>
      <c r="G2836" s="7">
        <v>144282.77784413259</v>
      </c>
      <c r="H2836" s="7">
        <v>483203023</v>
      </c>
      <c r="I2836" s="7">
        <v>136357581</v>
      </c>
      <c r="J2836" s="7">
        <v>0</v>
      </c>
      <c r="K2836">
        <f t="shared" si="44"/>
        <v>31</v>
      </c>
      <c r="L2836" s="8" t="str" cm="1">
        <f t="array" ref="L2836">_xlfn.IFS(
 AND(K2836&gt;=89,K2836&lt;=92),"3개월",
 AND(K2836&gt;=58,K2836&lt;=62),"2개월",
 AND(K2836&gt;=28,K2836&lt;=32),"1개월",
 AND(K2836=0),"당월",
 TRUE,"그외"
)</f>
        <v>1개월</v>
      </c>
    </row>
    <row r="2837" spans="1:12" x14ac:dyDescent="0.3">
      <c r="A2837" s="5">
        <v>46054</v>
      </c>
      <c r="B2837" s="6" t="s">
        <v>50</v>
      </c>
      <c r="C2837" s="6" t="s">
        <v>53</v>
      </c>
      <c r="D2837" s="5">
        <v>46023</v>
      </c>
      <c r="E2837" s="6" t="s">
        <v>15</v>
      </c>
      <c r="F2837" s="7">
        <v>1336</v>
      </c>
      <c r="G2837" s="7">
        <v>200218.1991017964</v>
      </c>
      <c r="H2837" s="7">
        <v>267491514</v>
      </c>
      <c r="I2837" s="7">
        <v>42406656</v>
      </c>
      <c r="J2837" s="7">
        <v>0</v>
      </c>
      <c r="K2837">
        <f t="shared" si="44"/>
        <v>31</v>
      </c>
      <c r="L2837" s="8" t="str" cm="1">
        <f t="array" ref="L2837">_xlfn.IFS(
 AND(K2837&gt;=89,K2837&lt;=92),"3개월",
 AND(K2837&gt;=58,K2837&lt;=62),"2개월",
 AND(K2837&gt;=28,K2837&lt;=32),"1개월",
 AND(K2837=0),"당월",
 TRUE,"그외"
)</f>
        <v>1개월</v>
      </c>
    </row>
    <row r="2838" spans="1:12" x14ac:dyDescent="0.3">
      <c r="A2838" s="5">
        <v>46054</v>
      </c>
      <c r="B2838" s="6" t="s">
        <v>50</v>
      </c>
      <c r="C2838" s="6" t="s">
        <v>53</v>
      </c>
      <c r="D2838" s="5">
        <v>46054</v>
      </c>
      <c r="E2838" s="6" t="s">
        <v>14</v>
      </c>
      <c r="F2838" s="7">
        <v>1681</v>
      </c>
      <c r="G2838" s="7">
        <v>148320.09161213561</v>
      </c>
      <c r="H2838" s="7">
        <v>249326074</v>
      </c>
      <c r="I2838" s="7">
        <v>62588235</v>
      </c>
      <c r="J2838" s="7">
        <v>0</v>
      </c>
      <c r="K2838">
        <f t="shared" si="44"/>
        <v>0</v>
      </c>
      <c r="L2838" s="8" t="str" cm="1">
        <f t="array" ref="L2838">_xlfn.IFS(
 AND(K2838&gt;=89,K2838&lt;=92),"3개월",
 AND(K2838&gt;=58,K2838&lt;=62),"2개월",
 AND(K2838&gt;=28,K2838&lt;=32),"1개월",
 AND(K2838=0),"당월",
 TRUE,"그외"
)</f>
        <v>당월</v>
      </c>
    </row>
    <row r="2839" spans="1:12" x14ac:dyDescent="0.3">
      <c r="A2839" s="5">
        <v>46054</v>
      </c>
      <c r="B2839" s="6" t="s">
        <v>50</v>
      </c>
      <c r="C2839" s="6" t="s">
        <v>53</v>
      </c>
      <c r="D2839" s="5">
        <v>46054</v>
      </c>
      <c r="E2839" s="6" t="s">
        <v>15</v>
      </c>
      <c r="F2839" s="7">
        <v>1024</v>
      </c>
      <c r="G2839" s="7">
        <v>222781.4931640625</v>
      </c>
      <c r="H2839" s="7">
        <v>228128249</v>
      </c>
      <c r="I2839" s="7">
        <v>28560434</v>
      </c>
      <c r="J2839" s="7">
        <v>0</v>
      </c>
      <c r="K2839">
        <f t="shared" si="44"/>
        <v>0</v>
      </c>
      <c r="L2839" s="8" t="str" cm="1">
        <f t="array" ref="L2839">_xlfn.IFS(
 AND(K2839&gt;=89,K2839&lt;=92),"3개월",
 AND(K2839&gt;=58,K2839&lt;=62),"2개월",
 AND(K2839&gt;=28,K2839&lt;=32),"1개월",
 AND(K2839=0),"당월",
 TRUE,"그외"
)</f>
        <v>당월</v>
      </c>
    </row>
    <row r="2840" spans="1:12" x14ac:dyDescent="0.3">
      <c r="A2840" s="5">
        <v>46054</v>
      </c>
      <c r="B2840" s="6" t="s">
        <v>50</v>
      </c>
      <c r="C2840" s="6" t="s">
        <v>54</v>
      </c>
      <c r="D2840" s="5">
        <v>45839</v>
      </c>
      <c r="E2840" s="6" t="s">
        <v>15</v>
      </c>
      <c r="F2840" s="7">
        <v>64</v>
      </c>
      <c r="G2840" s="7">
        <v>162642.390625</v>
      </c>
      <c r="H2840" s="7">
        <v>10409113</v>
      </c>
      <c r="I2840" s="7">
        <v>1325687</v>
      </c>
      <c r="J2840" s="7">
        <v>0</v>
      </c>
      <c r="K2840">
        <f t="shared" si="44"/>
        <v>215</v>
      </c>
      <c r="L2840" s="8" t="str" cm="1">
        <f t="array" ref="L2840">_xlfn.IFS(
 AND(K2840&gt;=89,K2840&lt;=92),"3개월",
 AND(K2840&gt;=58,K2840&lt;=62),"2개월",
 AND(K2840&gt;=28,K2840&lt;=32),"1개월",
 AND(K2840=0),"당월",
 TRUE,"그외"
)</f>
        <v>그외</v>
      </c>
    </row>
    <row r="2841" spans="1:12" x14ac:dyDescent="0.3">
      <c r="A2841" s="5">
        <v>46054</v>
      </c>
      <c r="B2841" s="6" t="s">
        <v>50</v>
      </c>
      <c r="C2841" s="6" t="s">
        <v>54</v>
      </c>
      <c r="D2841" s="5">
        <v>45870</v>
      </c>
      <c r="E2841" s="6" t="s">
        <v>15</v>
      </c>
      <c r="F2841" s="7">
        <v>99</v>
      </c>
      <c r="G2841" s="7">
        <v>135764.77777777781</v>
      </c>
      <c r="H2841" s="7">
        <v>13440713</v>
      </c>
      <c r="I2841" s="7">
        <v>2324837</v>
      </c>
      <c r="J2841" s="7">
        <v>0</v>
      </c>
      <c r="K2841">
        <f t="shared" si="44"/>
        <v>184</v>
      </c>
      <c r="L2841" s="8" t="str" cm="1">
        <f t="array" ref="L2841">_xlfn.IFS(
 AND(K2841&gt;=89,K2841&lt;=92),"3개월",
 AND(K2841&gt;=58,K2841&lt;=62),"2개월",
 AND(K2841&gt;=28,K2841&lt;=32),"1개월",
 AND(K2841=0),"당월",
 TRUE,"그외"
)</f>
        <v>그외</v>
      </c>
    </row>
    <row r="2842" spans="1:12" x14ac:dyDescent="0.3">
      <c r="A2842" s="5">
        <v>46054</v>
      </c>
      <c r="B2842" s="6" t="s">
        <v>50</v>
      </c>
      <c r="C2842" s="6" t="s">
        <v>54</v>
      </c>
      <c r="D2842" s="5">
        <v>45901</v>
      </c>
      <c r="E2842" s="6" t="s">
        <v>15</v>
      </c>
      <c r="F2842" s="7">
        <v>177</v>
      </c>
      <c r="G2842" s="7">
        <v>152197.0847457627</v>
      </c>
      <c r="H2842" s="7">
        <v>26938884</v>
      </c>
      <c r="I2842" s="7">
        <v>5274630</v>
      </c>
      <c r="J2842" s="7">
        <v>0</v>
      </c>
      <c r="K2842">
        <f t="shared" si="44"/>
        <v>153</v>
      </c>
      <c r="L2842" s="8" t="str" cm="1">
        <f t="array" ref="L2842">_xlfn.IFS(
 AND(K2842&gt;=89,K2842&lt;=92),"3개월",
 AND(K2842&gt;=58,K2842&lt;=62),"2개월",
 AND(K2842&gt;=28,K2842&lt;=32),"1개월",
 AND(K2842=0),"당월",
 TRUE,"그외"
)</f>
        <v>그외</v>
      </c>
    </row>
    <row r="2843" spans="1:12" x14ac:dyDescent="0.3">
      <c r="A2843" s="5">
        <v>46054</v>
      </c>
      <c r="B2843" s="6" t="s">
        <v>50</v>
      </c>
      <c r="C2843" s="6" t="s">
        <v>54</v>
      </c>
      <c r="D2843" s="5">
        <v>45931</v>
      </c>
      <c r="E2843" s="6" t="s">
        <v>15</v>
      </c>
      <c r="F2843" s="7">
        <v>441</v>
      </c>
      <c r="G2843" s="7">
        <v>168997.63038548749</v>
      </c>
      <c r="H2843" s="7">
        <v>74527955</v>
      </c>
      <c r="I2843" s="7">
        <v>11134281</v>
      </c>
      <c r="J2843" s="7">
        <v>0</v>
      </c>
      <c r="K2843">
        <f t="shared" si="44"/>
        <v>123</v>
      </c>
      <c r="L2843" s="8" t="str" cm="1">
        <f t="array" ref="L2843">_xlfn.IFS(
 AND(K2843&gt;=89,K2843&lt;=92),"3개월",
 AND(K2843&gt;=58,K2843&lt;=62),"2개월",
 AND(K2843&gt;=28,K2843&lt;=32),"1개월",
 AND(K2843=0),"당월",
 TRUE,"그외"
)</f>
        <v>그외</v>
      </c>
    </row>
    <row r="2844" spans="1:12" x14ac:dyDescent="0.3">
      <c r="A2844" s="5">
        <v>46054</v>
      </c>
      <c r="B2844" s="6" t="s">
        <v>50</v>
      </c>
      <c r="C2844" s="6" t="s">
        <v>54</v>
      </c>
      <c r="D2844" s="5">
        <v>45962</v>
      </c>
      <c r="E2844" s="6" t="s">
        <v>14</v>
      </c>
      <c r="F2844" s="7">
        <v>1</v>
      </c>
      <c r="G2844" s="7">
        <v>147893</v>
      </c>
      <c r="H2844" s="7">
        <v>147893</v>
      </c>
      <c r="I2844" s="7">
        <v>42255</v>
      </c>
      <c r="J2844" s="7">
        <v>0</v>
      </c>
      <c r="K2844">
        <f t="shared" si="44"/>
        <v>92</v>
      </c>
      <c r="L2844" s="8" t="str" cm="1">
        <f t="array" ref="L2844">_xlfn.IFS(
 AND(K2844&gt;=89,K2844&lt;=92),"3개월",
 AND(K2844&gt;=58,K2844&lt;=62),"2개월",
 AND(K2844&gt;=28,K2844&lt;=32),"1개월",
 AND(K2844=0),"당월",
 TRUE,"그외"
)</f>
        <v>3개월</v>
      </c>
    </row>
    <row r="2845" spans="1:12" x14ac:dyDescent="0.3">
      <c r="A2845" s="5">
        <v>46054</v>
      </c>
      <c r="B2845" s="6" t="s">
        <v>50</v>
      </c>
      <c r="C2845" s="6" t="s">
        <v>54</v>
      </c>
      <c r="D2845" s="5">
        <v>45962</v>
      </c>
      <c r="E2845" s="6" t="s">
        <v>15</v>
      </c>
      <c r="F2845" s="7">
        <v>633</v>
      </c>
      <c r="G2845" s="7">
        <v>264711.92417061608</v>
      </c>
      <c r="H2845" s="7">
        <v>167562648</v>
      </c>
      <c r="I2845" s="7">
        <v>19904829</v>
      </c>
      <c r="J2845" s="7">
        <v>0</v>
      </c>
      <c r="K2845">
        <f t="shared" si="44"/>
        <v>92</v>
      </c>
      <c r="L2845" s="8" t="str" cm="1">
        <f t="array" ref="L2845">_xlfn.IFS(
 AND(K2845&gt;=89,K2845&lt;=92),"3개월",
 AND(K2845&gt;=58,K2845&lt;=62),"2개월",
 AND(K2845&gt;=28,K2845&lt;=32),"1개월",
 AND(K2845=0),"당월",
 TRUE,"그외"
)</f>
        <v>3개월</v>
      </c>
    </row>
    <row r="2846" spans="1:12" x14ac:dyDescent="0.3">
      <c r="A2846" s="5">
        <v>46054</v>
      </c>
      <c r="B2846" s="6" t="s">
        <v>50</v>
      </c>
      <c r="C2846" s="6" t="s">
        <v>54</v>
      </c>
      <c r="D2846" s="5">
        <v>45992</v>
      </c>
      <c r="E2846" s="6" t="s">
        <v>14</v>
      </c>
      <c r="F2846" s="7">
        <v>316</v>
      </c>
      <c r="G2846" s="7">
        <v>489915.74050632911</v>
      </c>
      <c r="H2846" s="7">
        <v>154813374</v>
      </c>
      <c r="I2846" s="7">
        <v>11346744</v>
      </c>
      <c r="J2846" s="7">
        <v>0</v>
      </c>
      <c r="K2846">
        <f t="shared" si="44"/>
        <v>62</v>
      </c>
      <c r="L2846" s="8" t="str" cm="1">
        <f t="array" ref="L2846">_xlfn.IFS(
 AND(K2846&gt;=89,K2846&lt;=92),"3개월",
 AND(K2846&gt;=58,K2846&lt;=62),"2개월",
 AND(K2846&gt;=28,K2846&lt;=32),"1개월",
 AND(K2846=0),"당월",
 TRUE,"그외"
)</f>
        <v>2개월</v>
      </c>
    </row>
    <row r="2847" spans="1:12" x14ac:dyDescent="0.3">
      <c r="A2847" s="5">
        <v>46054</v>
      </c>
      <c r="B2847" s="6" t="s">
        <v>50</v>
      </c>
      <c r="C2847" s="6" t="s">
        <v>54</v>
      </c>
      <c r="D2847" s="5">
        <v>45992</v>
      </c>
      <c r="E2847" s="6" t="s">
        <v>15</v>
      </c>
      <c r="F2847" s="7">
        <v>1500</v>
      </c>
      <c r="G2847" s="7">
        <v>226118.10200000001</v>
      </c>
      <c r="H2847" s="7">
        <v>339177153</v>
      </c>
      <c r="I2847" s="7">
        <v>45536309</v>
      </c>
      <c r="J2847" s="7">
        <v>0</v>
      </c>
      <c r="K2847">
        <f t="shared" si="44"/>
        <v>62</v>
      </c>
      <c r="L2847" s="8" t="str" cm="1">
        <f t="array" ref="L2847">_xlfn.IFS(
 AND(K2847&gt;=89,K2847&lt;=92),"3개월",
 AND(K2847&gt;=58,K2847&lt;=62),"2개월",
 AND(K2847&gt;=28,K2847&lt;=32),"1개월",
 AND(K2847=0),"당월",
 TRUE,"그외"
)</f>
        <v>2개월</v>
      </c>
    </row>
    <row r="2848" spans="1:12" x14ac:dyDescent="0.3">
      <c r="A2848" s="5">
        <v>46054</v>
      </c>
      <c r="B2848" s="6" t="s">
        <v>50</v>
      </c>
      <c r="C2848" s="6" t="s">
        <v>54</v>
      </c>
      <c r="D2848" s="5">
        <v>46023</v>
      </c>
      <c r="E2848" s="6" t="s">
        <v>14</v>
      </c>
      <c r="F2848" s="7">
        <v>3172</v>
      </c>
      <c r="G2848" s="7">
        <v>166775.92969735179</v>
      </c>
      <c r="H2848" s="7">
        <v>529013249</v>
      </c>
      <c r="I2848" s="7">
        <v>127006378</v>
      </c>
      <c r="J2848" s="7">
        <v>0</v>
      </c>
      <c r="K2848">
        <f t="shared" si="44"/>
        <v>31</v>
      </c>
      <c r="L2848" s="8" t="str" cm="1">
        <f t="array" ref="L2848">_xlfn.IFS(
 AND(K2848&gt;=89,K2848&lt;=92),"3개월",
 AND(K2848&gt;=58,K2848&lt;=62),"2개월",
 AND(K2848&gt;=28,K2848&lt;=32),"1개월",
 AND(K2848=0),"당월",
 TRUE,"그외"
)</f>
        <v>1개월</v>
      </c>
    </row>
    <row r="2849" spans="1:12" x14ac:dyDescent="0.3">
      <c r="A2849" s="5">
        <v>46054</v>
      </c>
      <c r="B2849" s="6" t="s">
        <v>50</v>
      </c>
      <c r="C2849" s="6" t="s">
        <v>54</v>
      </c>
      <c r="D2849" s="5">
        <v>46023</v>
      </c>
      <c r="E2849" s="6" t="s">
        <v>15</v>
      </c>
      <c r="F2849" s="7">
        <v>1173</v>
      </c>
      <c r="G2849" s="7">
        <v>227125.69394714409</v>
      </c>
      <c r="H2849" s="7">
        <v>266418439</v>
      </c>
      <c r="I2849" s="7">
        <v>37732369</v>
      </c>
      <c r="J2849" s="7">
        <v>0</v>
      </c>
      <c r="K2849">
        <f t="shared" si="44"/>
        <v>31</v>
      </c>
      <c r="L2849" s="8" t="str" cm="1">
        <f t="array" ref="L2849">_xlfn.IFS(
 AND(K2849&gt;=89,K2849&lt;=92),"3개월",
 AND(K2849&gt;=58,K2849&lt;=62),"2개월",
 AND(K2849&gt;=28,K2849&lt;=32),"1개월",
 AND(K2849=0),"당월",
 TRUE,"그외"
)</f>
        <v>1개월</v>
      </c>
    </row>
    <row r="2850" spans="1:12" x14ac:dyDescent="0.3">
      <c r="A2850" s="5">
        <v>46054</v>
      </c>
      <c r="B2850" s="6" t="s">
        <v>50</v>
      </c>
      <c r="C2850" s="6" t="s">
        <v>54</v>
      </c>
      <c r="D2850" s="5">
        <v>46054</v>
      </c>
      <c r="E2850" s="6" t="s">
        <v>14</v>
      </c>
      <c r="F2850" s="7">
        <v>976</v>
      </c>
      <c r="G2850" s="7">
        <v>153791.01024590159</v>
      </c>
      <c r="H2850" s="7">
        <v>150100026</v>
      </c>
      <c r="I2850" s="7">
        <v>32516658</v>
      </c>
      <c r="J2850" s="7">
        <v>0</v>
      </c>
      <c r="K2850">
        <f t="shared" si="44"/>
        <v>0</v>
      </c>
      <c r="L2850" s="8" t="str" cm="1">
        <f t="array" ref="L2850">_xlfn.IFS(
 AND(K2850&gt;=89,K2850&lt;=92),"3개월",
 AND(K2850&gt;=58,K2850&lt;=62),"2개월",
 AND(K2850&gt;=28,K2850&lt;=32),"1개월",
 AND(K2850=0),"당월",
 TRUE,"그외"
)</f>
        <v>당월</v>
      </c>
    </row>
    <row r="2851" spans="1:12" x14ac:dyDescent="0.3">
      <c r="A2851" s="5">
        <v>46054</v>
      </c>
      <c r="B2851" s="6" t="s">
        <v>50</v>
      </c>
      <c r="C2851" s="6" t="s">
        <v>54</v>
      </c>
      <c r="D2851" s="5">
        <v>46054</v>
      </c>
      <c r="E2851" s="6" t="s">
        <v>15</v>
      </c>
      <c r="F2851" s="7">
        <v>1406</v>
      </c>
      <c r="G2851" s="7">
        <v>195294.08036984349</v>
      </c>
      <c r="H2851" s="7">
        <v>274583477</v>
      </c>
      <c r="I2851" s="7">
        <v>33629538</v>
      </c>
      <c r="J2851" s="7">
        <v>0</v>
      </c>
      <c r="K2851">
        <f t="shared" si="44"/>
        <v>0</v>
      </c>
      <c r="L2851" s="8" t="str" cm="1">
        <f t="array" ref="L2851">_xlfn.IFS(
 AND(K2851&gt;=89,K2851&lt;=92),"3개월",
 AND(K2851&gt;=58,K2851&lt;=62),"2개월",
 AND(K2851&gt;=28,K2851&lt;=32),"1개월",
 AND(K2851=0),"당월",
 TRUE,"그외"
)</f>
        <v>당월</v>
      </c>
    </row>
    <row r="2852" spans="1:12" x14ac:dyDescent="0.3">
      <c r="A2852" s="5">
        <v>46054</v>
      </c>
      <c r="B2852" s="6" t="s">
        <v>50</v>
      </c>
      <c r="C2852" s="6" t="s">
        <v>55</v>
      </c>
      <c r="D2852" s="5">
        <v>45962</v>
      </c>
      <c r="E2852" s="6" t="s">
        <v>14</v>
      </c>
      <c r="F2852" s="7">
        <v>4</v>
      </c>
      <c r="G2852" s="7">
        <v>53886546</v>
      </c>
      <c r="H2852" s="7">
        <v>215546184</v>
      </c>
      <c r="I2852" s="7">
        <v>0</v>
      </c>
      <c r="J2852" s="7">
        <v>0</v>
      </c>
      <c r="K2852">
        <f t="shared" si="44"/>
        <v>92</v>
      </c>
      <c r="L2852" s="8" t="str" cm="1">
        <f t="array" ref="L2852">_xlfn.IFS(
 AND(K2852&gt;=89,K2852&lt;=92),"3개월",
 AND(K2852&gt;=58,K2852&lt;=62),"2개월",
 AND(K2852&gt;=28,K2852&lt;=32),"1개월",
 AND(K2852=0),"당월",
 TRUE,"그외"
)</f>
        <v>3개월</v>
      </c>
    </row>
    <row r="2853" spans="1:12" x14ac:dyDescent="0.3">
      <c r="A2853" s="5">
        <v>46054</v>
      </c>
      <c r="B2853" s="6" t="s">
        <v>50</v>
      </c>
      <c r="C2853" s="6" t="s">
        <v>55</v>
      </c>
      <c r="D2853" s="5">
        <v>46054</v>
      </c>
      <c r="E2853" s="6" t="s">
        <v>14</v>
      </c>
      <c r="F2853" s="7">
        <v>748</v>
      </c>
      <c r="G2853" s="7">
        <v>0</v>
      </c>
      <c r="H2853" s="7">
        <v>0</v>
      </c>
      <c r="I2853" s="7">
        <v>0</v>
      </c>
      <c r="J2853" s="7">
        <v>0</v>
      </c>
      <c r="K2853">
        <f t="shared" si="44"/>
        <v>0</v>
      </c>
      <c r="L2853" s="8" t="str" cm="1">
        <f t="array" ref="L2853">_xlfn.IFS(
 AND(K2853&gt;=89,K2853&lt;=92),"3개월",
 AND(K2853&gt;=58,K2853&lt;=62),"2개월",
 AND(K2853&gt;=28,K2853&lt;=32),"1개월",
 AND(K2853=0),"당월",
 TRUE,"그외"
)</f>
        <v>당월</v>
      </c>
    </row>
    <row r="2854" spans="1:12" x14ac:dyDescent="0.3">
      <c r="A2854" s="5">
        <v>46054</v>
      </c>
      <c r="B2854" s="6" t="s">
        <v>50</v>
      </c>
      <c r="C2854" s="6" t="s">
        <v>56</v>
      </c>
      <c r="D2854" s="5">
        <v>45839</v>
      </c>
      <c r="E2854" s="6" t="s">
        <v>15</v>
      </c>
      <c r="F2854" s="7">
        <v>59</v>
      </c>
      <c r="G2854" s="7">
        <v>185119.10169491521</v>
      </c>
      <c r="H2854" s="7">
        <v>10922027</v>
      </c>
      <c r="I2854" s="7">
        <v>1153821</v>
      </c>
      <c r="J2854" s="7">
        <v>0</v>
      </c>
      <c r="K2854">
        <f t="shared" si="44"/>
        <v>215</v>
      </c>
      <c r="L2854" s="8" t="str" cm="1">
        <f t="array" ref="L2854">_xlfn.IFS(
 AND(K2854&gt;=89,K2854&lt;=92),"3개월",
 AND(K2854&gt;=58,K2854&lt;=62),"2개월",
 AND(K2854&gt;=28,K2854&lt;=32),"1개월",
 AND(K2854=0),"당월",
 TRUE,"그외"
)</f>
        <v>그외</v>
      </c>
    </row>
    <row r="2855" spans="1:12" x14ac:dyDescent="0.3">
      <c r="A2855" s="5">
        <v>46054</v>
      </c>
      <c r="B2855" s="6" t="s">
        <v>50</v>
      </c>
      <c r="C2855" s="6" t="s">
        <v>56</v>
      </c>
      <c r="D2855" s="5">
        <v>45870</v>
      </c>
      <c r="E2855" s="6" t="s">
        <v>15</v>
      </c>
      <c r="F2855" s="7">
        <v>56</v>
      </c>
      <c r="G2855" s="7">
        <v>210455.80357142861</v>
      </c>
      <c r="H2855" s="7">
        <v>11785525</v>
      </c>
      <c r="I2855" s="7">
        <v>1652805</v>
      </c>
      <c r="J2855" s="7">
        <v>0</v>
      </c>
      <c r="K2855">
        <f t="shared" si="44"/>
        <v>184</v>
      </c>
      <c r="L2855" s="8" t="str" cm="1">
        <f t="array" ref="L2855">_xlfn.IFS(
 AND(K2855&gt;=89,K2855&lt;=92),"3개월",
 AND(K2855&gt;=58,K2855&lt;=62),"2개월",
 AND(K2855&gt;=28,K2855&lt;=32),"1개월",
 AND(K2855=0),"당월",
 TRUE,"그외"
)</f>
        <v>그외</v>
      </c>
    </row>
    <row r="2856" spans="1:12" x14ac:dyDescent="0.3">
      <c r="A2856" s="5">
        <v>46054</v>
      </c>
      <c r="B2856" s="6" t="s">
        <v>50</v>
      </c>
      <c r="C2856" s="6" t="s">
        <v>56</v>
      </c>
      <c r="D2856" s="5">
        <v>45901</v>
      </c>
      <c r="E2856" s="6" t="s">
        <v>15</v>
      </c>
      <c r="F2856" s="7">
        <v>84</v>
      </c>
      <c r="G2856" s="7">
        <v>216650.5</v>
      </c>
      <c r="H2856" s="7">
        <v>18198642</v>
      </c>
      <c r="I2856" s="7">
        <v>2280603</v>
      </c>
      <c r="J2856" s="7">
        <v>0</v>
      </c>
      <c r="K2856">
        <f t="shared" si="44"/>
        <v>153</v>
      </c>
      <c r="L2856" s="8" t="str" cm="1">
        <f t="array" ref="L2856">_xlfn.IFS(
 AND(K2856&gt;=89,K2856&lt;=92),"3개월",
 AND(K2856&gt;=58,K2856&lt;=62),"2개월",
 AND(K2856&gt;=28,K2856&lt;=32),"1개월",
 AND(K2856=0),"당월",
 TRUE,"그외"
)</f>
        <v>그외</v>
      </c>
    </row>
    <row r="2857" spans="1:12" x14ac:dyDescent="0.3">
      <c r="A2857" s="5">
        <v>46054</v>
      </c>
      <c r="B2857" s="6" t="s">
        <v>50</v>
      </c>
      <c r="C2857" s="6" t="s">
        <v>56</v>
      </c>
      <c r="D2857" s="5">
        <v>45931</v>
      </c>
      <c r="E2857" s="6" t="s">
        <v>15</v>
      </c>
      <c r="F2857" s="7">
        <v>139</v>
      </c>
      <c r="G2857" s="7">
        <v>225038.87050359711</v>
      </c>
      <c r="H2857" s="7">
        <v>31280403</v>
      </c>
      <c r="I2857" s="7">
        <v>3645853</v>
      </c>
      <c r="J2857" s="7">
        <v>0</v>
      </c>
      <c r="K2857">
        <f t="shared" si="44"/>
        <v>123</v>
      </c>
      <c r="L2857" s="8" t="str" cm="1">
        <f t="array" ref="L2857">_xlfn.IFS(
 AND(K2857&gt;=89,K2857&lt;=92),"3개월",
 AND(K2857&gt;=58,K2857&lt;=62),"2개월",
 AND(K2857&gt;=28,K2857&lt;=32),"1개월",
 AND(K2857=0),"당월",
 TRUE,"그외"
)</f>
        <v>그외</v>
      </c>
    </row>
    <row r="2858" spans="1:12" x14ac:dyDescent="0.3">
      <c r="A2858" s="5">
        <v>46054</v>
      </c>
      <c r="B2858" s="6" t="s">
        <v>50</v>
      </c>
      <c r="C2858" s="6" t="s">
        <v>56</v>
      </c>
      <c r="D2858" s="5">
        <v>45962</v>
      </c>
      <c r="E2858" s="6" t="s">
        <v>14</v>
      </c>
      <c r="F2858" s="7">
        <v>28</v>
      </c>
      <c r="G2858" s="7">
        <v>1483350</v>
      </c>
      <c r="H2858" s="7">
        <v>41533800</v>
      </c>
      <c r="I2858" s="7">
        <v>371800</v>
      </c>
      <c r="J2858" s="7">
        <v>0</v>
      </c>
      <c r="K2858">
        <f t="shared" si="44"/>
        <v>92</v>
      </c>
      <c r="L2858" s="8" t="str" cm="1">
        <f t="array" ref="L2858">_xlfn.IFS(
 AND(K2858&gt;=89,K2858&lt;=92),"3개월",
 AND(K2858&gt;=58,K2858&lt;=62),"2개월",
 AND(K2858&gt;=28,K2858&lt;=32),"1개월",
 AND(K2858=0),"당월",
 TRUE,"그외"
)</f>
        <v>3개월</v>
      </c>
    </row>
    <row r="2859" spans="1:12" x14ac:dyDescent="0.3">
      <c r="A2859" s="5">
        <v>46054</v>
      </c>
      <c r="B2859" s="6" t="s">
        <v>50</v>
      </c>
      <c r="C2859" s="6" t="s">
        <v>56</v>
      </c>
      <c r="D2859" s="5">
        <v>45962</v>
      </c>
      <c r="E2859" s="6" t="s">
        <v>15</v>
      </c>
      <c r="F2859" s="7">
        <v>323</v>
      </c>
      <c r="G2859" s="7">
        <v>304312.88854489173</v>
      </c>
      <c r="H2859" s="7">
        <v>98293063</v>
      </c>
      <c r="I2859" s="7">
        <v>9480438</v>
      </c>
      <c r="J2859" s="7">
        <v>0</v>
      </c>
      <c r="K2859">
        <f t="shared" si="44"/>
        <v>92</v>
      </c>
      <c r="L2859" s="8" t="str" cm="1">
        <f t="array" ref="L2859">_xlfn.IFS(
 AND(K2859&gt;=89,K2859&lt;=92),"3개월",
 AND(K2859&gt;=58,K2859&lt;=62),"2개월",
 AND(K2859&gt;=28,K2859&lt;=32),"1개월",
 AND(K2859=0),"당월",
 TRUE,"그외"
)</f>
        <v>3개월</v>
      </c>
    </row>
    <row r="2860" spans="1:12" x14ac:dyDescent="0.3">
      <c r="A2860" s="5">
        <v>46054</v>
      </c>
      <c r="B2860" s="6" t="s">
        <v>50</v>
      </c>
      <c r="C2860" s="6" t="s">
        <v>56</v>
      </c>
      <c r="D2860" s="5">
        <v>45992</v>
      </c>
      <c r="E2860" s="6" t="s">
        <v>14</v>
      </c>
      <c r="F2860" s="7">
        <v>160</v>
      </c>
      <c r="G2860" s="7">
        <v>379634.26874999999</v>
      </c>
      <c r="H2860" s="7">
        <v>60741483</v>
      </c>
      <c r="I2860" s="7">
        <v>3371273</v>
      </c>
      <c r="J2860" s="7">
        <v>0</v>
      </c>
      <c r="K2860">
        <f t="shared" si="44"/>
        <v>62</v>
      </c>
      <c r="L2860" s="8" t="str" cm="1">
        <f t="array" ref="L2860">_xlfn.IFS(
 AND(K2860&gt;=89,K2860&lt;=92),"3개월",
 AND(K2860&gt;=58,K2860&lt;=62),"2개월",
 AND(K2860&gt;=28,K2860&lt;=32),"1개월",
 AND(K2860=0),"당월",
 TRUE,"그외"
)</f>
        <v>2개월</v>
      </c>
    </row>
    <row r="2861" spans="1:12" x14ac:dyDescent="0.3">
      <c r="A2861" s="5">
        <v>46054</v>
      </c>
      <c r="B2861" s="6" t="s">
        <v>50</v>
      </c>
      <c r="C2861" s="6" t="s">
        <v>56</v>
      </c>
      <c r="D2861" s="5">
        <v>45992</v>
      </c>
      <c r="E2861" s="6" t="s">
        <v>15</v>
      </c>
      <c r="F2861" s="7">
        <v>1240</v>
      </c>
      <c r="G2861" s="7">
        <v>247412.43064516131</v>
      </c>
      <c r="H2861" s="7">
        <v>306791414</v>
      </c>
      <c r="I2861" s="7">
        <v>35128404</v>
      </c>
      <c r="J2861" s="7">
        <v>0</v>
      </c>
      <c r="K2861">
        <f t="shared" si="44"/>
        <v>62</v>
      </c>
      <c r="L2861" s="8" t="str" cm="1">
        <f t="array" ref="L2861">_xlfn.IFS(
 AND(K2861&gt;=89,K2861&lt;=92),"3개월",
 AND(K2861&gt;=58,K2861&lt;=62),"2개월",
 AND(K2861&gt;=28,K2861&lt;=32),"1개월",
 AND(K2861=0),"당월",
 TRUE,"그외"
)</f>
        <v>2개월</v>
      </c>
    </row>
    <row r="2862" spans="1:12" x14ac:dyDescent="0.3">
      <c r="A2862" s="5">
        <v>46054</v>
      </c>
      <c r="B2862" s="6" t="s">
        <v>50</v>
      </c>
      <c r="C2862" s="6" t="s">
        <v>56</v>
      </c>
      <c r="D2862" s="5">
        <v>46023</v>
      </c>
      <c r="E2862" s="6" t="s">
        <v>14</v>
      </c>
      <c r="F2862" s="7">
        <v>915</v>
      </c>
      <c r="G2862" s="7">
        <v>191976.26666666669</v>
      </c>
      <c r="H2862" s="7">
        <v>175658284</v>
      </c>
      <c r="I2862" s="7">
        <v>35637571</v>
      </c>
      <c r="J2862" s="7">
        <v>0</v>
      </c>
      <c r="K2862">
        <f t="shared" si="44"/>
        <v>31</v>
      </c>
      <c r="L2862" s="8" t="str" cm="1">
        <f t="array" ref="L2862">_xlfn.IFS(
 AND(K2862&gt;=89,K2862&lt;=92),"3개월",
 AND(K2862&gt;=58,K2862&lt;=62),"2개월",
 AND(K2862&gt;=28,K2862&lt;=32),"1개월",
 AND(K2862=0),"당월",
 TRUE,"그외"
)</f>
        <v>1개월</v>
      </c>
    </row>
    <row r="2863" spans="1:12" x14ac:dyDescent="0.3">
      <c r="A2863" s="5">
        <v>46054</v>
      </c>
      <c r="B2863" s="6" t="s">
        <v>50</v>
      </c>
      <c r="C2863" s="6" t="s">
        <v>56</v>
      </c>
      <c r="D2863" s="5">
        <v>46023</v>
      </c>
      <c r="E2863" s="6" t="s">
        <v>15</v>
      </c>
      <c r="F2863" s="7">
        <v>1617</v>
      </c>
      <c r="G2863" s="7">
        <v>245100.82312925169</v>
      </c>
      <c r="H2863" s="7">
        <v>396328031</v>
      </c>
      <c r="I2863" s="7">
        <v>44469708</v>
      </c>
      <c r="J2863" s="7">
        <v>0</v>
      </c>
      <c r="K2863">
        <f t="shared" si="44"/>
        <v>31</v>
      </c>
      <c r="L2863" s="8" t="str" cm="1">
        <f t="array" ref="L2863">_xlfn.IFS(
 AND(K2863&gt;=89,K2863&lt;=92),"3개월",
 AND(K2863&gt;=58,K2863&lt;=62),"2개월",
 AND(K2863&gt;=28,K2863&lt;=32),"1개월",
 AND(K2863=0),"당월",
 TRUE,"그외"
)</f>
        <v>1개월</v>
      </c>
    </row>
    <row r="2864" spans="1:12" x14ac:dyDescent="0.3">
      <c r="A2864" s="5">
        <v>46054</v>
      </c>
      <c r="B2864" s="6" t="s">
        <v>50</v>
      </c>
      <c r="C2864" s="6" t="s">
        <v>56</v>
      </c>
      <c r="D2864" s="5">
        <v>46054</v>
      </c>
      <c r="E2864" s="6" t="s">
        <v>14</v>
      </c>
      <c r="F2864" s="7">
        <v>373</v>
      </c>
      <c r="G2864" s="7">
        <v>143247.5442359249</v>
      </c>
      <c r="H2864" s="7">
        <v>53431334</v>
      </c>
      <c r="I2864" s="7">
        <v>14933775</v>
      </c>
      <c r="J2864" s="7">
        <v>0</v>
      </c>
      <c r="K2864">
        <f t="shared" si="44"/>
        <v>0</v>
      </c>
      <c r="L2864" s="8" t="str" cm="1">
        <f t="array" ref="L2864">_xlfn.IFS(
 AND(K2864&gt;=89,K2864&lt;=92),"3개월",
 AND(K2864&gt;=58,K2864&lt;=62),"2개월",
 AND(K2864&gt;=28,K2864&lt;=32),"1개월",
 AND(K2864=0),"당월",
 TRUE,"그외"
)</f>
        <v>당월</v>
      </c>
    </row>
    <row r="2865" spans="1:12" x14ac:dyDescent="0.3">
      <c r="A2865" s="5">
        <v>46054</v>
      </c>
      <c r="B2865" s="6" t="s">
        <v>50</v>
      </c>
      <c r="C2865" s="6" t="s">
        <v>56</v>
      </c>
      <c r="D2865" s="5">
        <v>46054</v>
      </c>
      <c r="E2865" s="6" t="s">
        <v>15</v>
      </c>
      <c r="F2865" s="7">
        <v>821</v>
      </c>
      <c r="G2865" s="7">
        <v>222552.30572472591</v>
      </c>
      <c r="H2865" s="7">
        <v>182715443</v>
      </c>
      <c r="I2865" s="7">
        <v>21703897</v>
      </c>
      <c r="J2865" s="7">
        <v>0</v>
      </c>
      <c r="K2865">
        <f t="shared" si="44"/>
        <v>0</v>
      </c>
      <c r="L2865" s="8" t="str" cm="1">
        <f t="array" ref="L2865">_xlfn.IFS(
 AND(K2865&gt;=89,K2865&lt;=92),"3개월",
 AND(K2865&gt;=58,K2865&lt;=62),"2개월",
 AND(K2865&gt;=28,K2865&lt;=32),"1개월",
 AND(K2865=0),"당월",
 TRUE,"그외"
)</f>
        <v>당월</v>
      </c>
    </row>
    <row r="2866" spans="1:12" x14ac:dyDescent="0.3">
      <c r="A2866" s="5">
        <v>46054</v>
      </c>
      <c r="B2866" s="6" t="s">
        <v>50</v>
      </c>
      <c r="C2866" s="6" t="s">
        <v>57</v>
      </c>
      <c r="D2866" s="5">
        <v>45839</v>
      </c>
      <c r="E2866" s="6" t="s">
        <v>15</v>
      </c>
      <c r="F2866" s="7">
        <v>56</v>
      </c>
      <c r="G2866" s="7">
        <v>182146.8571428571</v>
      </c>
      <c r="H2866" s="7">
        <v>10200224</v>
      </c>
      <c r="I2866" s="7">
        <v>1353930</v>
      </c>
      <c r="J2866" s="7">
        <v>0</v>
      </c>
      <c r="K2866">
        <f t="shared" si="44"/>
        <v>215</v>
      </c>
      <c r="L2866" s="8" t="str" cm="1">
        <f t="array" ref="L2866">_xlfn.IFS(
 AND(K2866&gt;=89,K2866&lt;=92),"3개월",
 AND(K2866&gt;=58,K2866&lt;=62),"2개월",
 AND(K2866&gt;=28,K2866&lt;=32),"1개월",
 AND(K2866=0),"당월",
 TRUE,"그외"
)</f>
        <v>그외</v>
      </c>
    </row>
    <row r="2867" spans="1:12" x14ac:dyDescent="0.3">
      <c r="A2867" s="5">
        <v>46054</v>
      </c>
      <c r="B2867" s="6" t="s">
        <v>50</v>
      </c>
      <c r="C2867" s="6" t="s">
        <v>57</v>
      </c>
      <c r="D2867" s="5">
        <v>45870</v>
      </c>
      <c r="E2867" s="6" t="s">
        <v>15</v>
      </c>
      <c r="F2867" s="7">
        <v>202</v>
      </c>
      <c r="G2867" s="7">
        <v>169679.13366336629</v>
      </c>
      <c r="H2867" s="7">
        <v>34275185</v>
      </c>
      <c r="I2867" s="7">
        <v>4318443</v>
      </c>
      <c r="J2867" s="7">
        <v>0</v>
      </c>
      <c r="K2867">
        <f t="shared" si="44"/>
        <v>184</v>
      </c>
      <c r="L2867" s="8" t="str" cm="1">
        <f t="array" ref="L2867">_xlfn.IFS(
 AND(K2867&gt;=89,K2867&lt;=92),"3개월",
 AND(K2867&gt;=58,K2867&lt;=62),"2개월",
 AND(K2867&gt;=28,K2867&lt;=32),"1개월",
 AND(K2867=0),"당월",
 TRUE,"그외"
)</f>
        <v>그외</v>
      </c>
    </row>
    <row r="2868" spans="1:12" x14ac:dyDescent="0.3">
      <c r="A2868" s="5">
        <v>46054</v>
      </c>
      <c r="B2868" s="6" t="s">
        <v>50</v>
      </c>
      <c r="C2868" s="6" t="s">
        <v>57</v>
      </c>
      <c r="D2868" s="5">
        <v>45901</v>
      </c>
      <c r="E2868" s="6" t="s">
        <v>14</v>
      </c>
      <c r="F2868" s="7">
        <v>6</v>
      </c>
      <c r="G2868" s="7">
        <v>177996</v>
      </c>
      <c r="H2868" s="7">
        <v>1067976</v>
      </c>
      <c r="I2868" s="7">
        <v>246456</v>
      </c>
      <c r="J2868" s="7">
        <v>0</v>
      </c>
      <c r="K2868">
        <f t="shared" si="44"/>
        <v>153</v>
      </c>
      <c r="L2868" s="8" t="str" cm="1">
        <f t="array" ref="L2868">_xlfn.IFS(
 AND(K2868&gt;=89,K2868&lt;=92),"3개월",
 AND(K2868&gt;=58,K2868&lt;=62),"2개월",
 AND(K2868&gt;=28,K2868&lt;=32),"1개월",
 AND(K2868=0),"당월",
 TRUE,"그외"
)</f>
        <v>그외</v>
      </c>
    </row>
    <row r="2869" spans="1:12" x14ac:dyDescent="0.3">
      <c r="A2869" s="5">
        <v>46054</v>
      </c>
      <c r="B2869" s="6" t="s">
        <v>50</v>
      </c>
      <c r="C2869" s="6" t="s">
        <v>57</v>
      </c>
      <c r="D2869" s="5">
        <v>45901</v>
      </c>
      <c r="E2869" s="6" t="s">
        <v>15</v>
      </c>
      <c r="F2869" s="7">
        <v>164</v>
      </c>
      <c r="G2869" s="7">
        <v>195098.5914634146</v>
      </c>
      <c r="H2869" s="7">
        <v>31996169</v>
      </c>
      <c r="I2869" s="7">
        <v>3797490</v>
      </c>
      <c r="J2869" s="7">
        <v>0</v>
      </c>
      <c r="K2869">
        <f t="shared" si="44"/>
        <v>153</v>
      </c>
      <c r="L2869" s="8" t="str" cm="1">
        <f t="array" ref="L2869">_xlfn.IFS(
 AND(K2869&gt;=89,K2869&lt;=92),"3개월",
 AND(K2869&gt;=58,K2869&lt;=62),"2개월",
 AND(K2869&gt;=28,K2869&lt;=32),"1개월",
 AND(K2869=0),"당월",
 TRUE,"그외"
)</f>
        <v>그외</v>
      </c>
    </row>
    <row r="2870" spans="1:12" x14ac:dyDescent="0.3">
      <c r="A2870" s="5">
        <v>46054</v>
      </c>
      <c r="B2870" s="6" t="s">
        <v>50</v>
      </c>
      <c r="C2870" s="6" t="s">
        <v>57</v>
      </c>
      <c r="D2870" s="5">
        <v>45931</v>
      </c>
      <c r="E2870" s="6" t="s">
        <v>14</v>
      </c>
      <c r="F2870" s="7">
        <v>1</v>
      </c>
      <c r="G2870" s="7">
        <v>181545</v>
      </c>
      <c r="H2870" s="7">
        <v>181545</v>
      </c>
      <c r="I2870" s="7">
        <v>41895</v>
      </c>
      <c r="J2870" s="7">
        <v>0</v>
      </c>
      <c r="K2870">
        <f t="shared" si="44"/>
        <v>123</v>
      </c>
      <c r="L2870" s="8" t="str" cm="1">
        <f t="array" ref="L2870">_xlfn.IFS(
 AND(K2870&gt;=89,K2870&lt;=92),"3개월",
 AND(K2870&gt;=58,K2870&lt;=62),"2개월",
 AND(K2870&gt;=28,K2870&lt;=32),"1개월",
 AND(K2870=0),"당월",
 TRUE,"그외"
)</f>
        <v>그외</v>
      </c>
    </row>
    <row r="2871" spans="1:12" x14ac:dyDescent="0.3">
      <c r="A2871" s="5">
        <v>46054</v>
      </c>
      <c r="B2871" s="6" t="s">
        <v>50</v>
      </c>
      <c r="C2871" s="6" t="s">
        <v>57</v>
      </c>
      <c r="D2871" s="5">
        <v>45931</v>
      </c>
      <c r="E2871" s="6" t="s">
        <v>15</v>
      </c>
      <c r="F2871" s="7">
        <v>203</v>
      </c>
      <c r="G2871" s="7">
        <v>208180.00985221681</v>
      </c>
      <c r="H2871" s="7">
        <v>42260542</v>
      </c>
      <c r="I2871" s="7">
        <v>4556854</v>
      </c>
      <c r="J2871" s="7">
        <v>0</v>
      </c>
      <c r="K2871">
        <f t="shared" si="44"/>
        <v>123</v>
      </c>
      <c r="L2871" s="8" t="str" cm="1">
        <f t="array" ref="L2871">_xlfn.IFS(
 AND(K2871&gt;=89,K2871&lt;=92),"3개월",
 AND(K2871&gt;=58,K2871&lt;=62),"2개월",
 AND(K2871&gt;=28,K2871&lt;=32),"1개월",
 AND(K2871=0),"당월",
 TRUE,"그외"
)</f>
        <v>그외</v>
      </c>
    </row>
    <row r="2872" spans="1:12" x14ac:dyDescent="0.3">
      <c r="A2872" s="5">
        <v>46054</v>
      </c>
      <c r="B2872" s="6" t="s">
        <v>50</v>
      </c>
      <c r="C2872" s="6" t="s">
        <v>57</v>
      </c>
      <c r="D2872" s="5">
        <v>45962</v>
      </c>
      <c r="E2872" s="6" t="s">
        <v>14</v>
      </c>
      <c r="F2872" s="7">
        <v>24</v>
      </c>
      <c r="G2872" s="7">
        <v>2668025</v>
      </c>
      <c r="H2872" s="7">
        <v>64032600</v>
      </c>
      <c r="I2872" s="7">
        <v>236600</v>
      </c>
      <c r="J2872" s="7">
        <v>0</v>
      </c>
      <c r="K2872">
        <f t="shared" si="44"/>
        <v>92</v>
      </c>
      <c r="L2872" s="8" t="str" cm="1">
        <f t="array" ref="L2872">_xlfn.IFS(
 AND(K2872&gt;=89,K2872&lt;=92),"3개월",
 AND(K2872&gt;=58,K2872&lt;=62),"2개월",
 AND(K2872&gt;=28,K2872&lt;=32),"1개월",
 AND(K2872=0),"당월",
 TRUE,"그외"
)</f>
        <v>3개월</v>
      </c>
    </row>
    <row r="2873" spans="1:12" x14ac:dyDescent="0.3">
      <c r="A2873" s="5">
        <v>46054</v>
      </c>
      <c r="B2873" s="6" t="s">
        <v>50</v>
      </c>
      <c r="C2873" s="6" t="s">
        <v>57</v>
      </c>
      <c r="D2873" s="5">
        <v>45962</v>
      </c>
      <c r="E2873" s="6" t="s">
        <v>15</v>
      </c>
      <c r="F2873" s="7">
        <v>566</v>
      </c>
      <c r="G2873" s="7">
        <v>277581.01943462889</v>
      </c>
      <c r="H2873" s="7">
        <v>157110857</v>
      </c>
      <c r="I2873" s="7">
        <v>12649962</v>
      </c>
      <c r="J2873" s="7">
        <v>0</v>
      </c>
      <c r="K2873">
        <f t="shared" si="44"/>
        <v>92</v>
      </c>
      <c r="L2873" s="8" t="str" cm="1">
        <f t="array" ref="L2873">_xlfn.IFS(
 AND(K2873&gt;=89,K2873&lt;=92),"3개월",
 AND(K2873&gt;=58,K2873&lt;=62),"2개월",
 AND(K2873&gt;=28,K2873&lt;=32),"1개월",
 AND(K2873=0),"당월",
 TRUE,"그외"
)</f>
        <v>3개월</v>
      </c>
    </row>
    <row r="2874" spans="1:12" x14ac:dyDescent="0.3">
      <c r="A2874" s="5">
        <v>46054</v>
      </c>
      <c r="B2874" s="6" t="s">
        <v>50</v>
      </c>
      <c r="C2874" s="6" t="s">
        <v>57</v>
      </c>
      <c r="D2874" s="5">
        <v>45992</v>
      </c>
      <c r="E2874" s="6" t="s">
        <v>14</v>
      </c>
      <c r="F2874" s="7">
        <v>411</v>
      </c>
      <c r="G2874" s="7">
        <v>270202.95620437962</v>
      </c>
      <c r="H2874" s="7">
        <v>111053415</v>
      </c>
      <c r="I2874" s="7">
        <v>13478096</v>
      </c>
      <c r="J2874" s="7">
        <v>0</v>
      </c>
      <c r="K2874">
        <f t="shared" si="44"/>
        <v>62</v>
      </c>
      <c r="L2874" s="8" t="str" cm="1">
        <f t="array" ref="L2874">_xlfn.IFS(
 AND(K2874&gt;=89,K2874&lt;=92),"3개월",
 AND(K2874&gt;=58,K2874&lt;=62),"2개월",
 AND(K2874&gt;=28,K2874&lt;=32),"1개월",
 AND(K2874=0),"당월",
 TRUE,"그외"
)</f>
        <v>2개월</v>
      </c>
    </row>
    <row r="2875" spans="1:12" x14ac:dyDescent="0.3">
      <c r="A2875" s="5">
        <v>46054</v>
      </c>
      <c r="B2875" s="6" t="s">
        <v>50</v>
      </c>
      <c r="C2875" s="6" t="s">
        <v>57</v>
      </c>
      <c r="D2875" s="5">
        <v>45992</v>
      </c>
      <c r="E2875" s="6" t="s">
        <v>15</v>
      </c>
      <c r="F2875" s="7">
        <v>1408</v>
      </c>
      <c r="G2875" s="7">
        <v>262685.15411931818</v>
      </c>
      <c r="H2875" s="7">
        <v>369860697</v>
      </c>
      <c r="I2875" s="7">
        <v>37306435</v>
      </c>
      <c r="J2875" s="7">
        <v>0</v>
      </c>
      <c r="K2875">
        <f t="shared" si="44"/>
        <v>62</v>
      </c>
      <c r="L2875" s="8" t="str" cm="1">
        <f t="array" ref="L2875">_xlfn.IFS(
 AND(K2875&gt;=89,K2875&lt;=92),"3개월",
 AND(K2875&gt;=58,K2875&lt;=62),"2개월",
 AND(K2875&gt;=28,K2875&lt;=32),"1개월",
 AND(K2875=0),"당월",
 TRUE,"그외"
)</f>
        <v>2개월</v>
      </c>
    </row>
    <row r="2876" spans="1:12" x14ac:dyDescent="0.3">
      <c r="A2876" s="5">
        <v>46054</v>
      </c>
      <c r="B2876" s="6" t="s">
        <v>50</v>
      </c>
      <c r="C2876" s="6" t="s">
        <v>57</v>
      </c>
      <c r="D2876" s="5">
        <v>46023</v>
      </c>
      <c r="E2876" s="6" t="s">
        <v>14</v>
      </c>
      <c r="F2876" s="7">
        <v>2395</v>
      </c>
      <c r="G2876" s="7">
        <v>186617.91315240081</v>
      </c>
      <c r="H2876" s="7">
        <v>446949902</v>
      </c>
      <c r="I2876" s="7">
        <v>88553726</v>
      </c>
      <c r="J2876" s="7">
        <v>0</v>
      </c>
      <c r="K2876">
        <f t="shared" si="44"/>
        <v>31</v>
      </c>
      <c r="L2876" s="8" t="str" cm="1">
        <f t="array" ref="L2876">_xlfn.IFS(
 AND(K2876&gt;=89,K2876&lt;=92),"3개월",
 AND(K2876&gt;=58,K2876&lt;=62),"2개월",
 AND(K2876&gt;=28,K2876&lt;=32),"1개월",
 AND(K2876=0),"당월",
 TRUE,"그외"
)</f>
        <v>1개월</v>
      </c>
    </row>
    <row r="2877" spans="1:12" x14ac:dyDescent="0.3">
      <c r="A2877" s="5">
        <v>46054</v>
      </c>
      <c r="B2877" s="6" t="s">
        <v>50</v>
      </c>
      <c r="C2877" s="6" t="s">
        <v>57</v>
      </c>
      <c r="D2877" s="5">
        <v>46023</v>
      </c>
      <c r="E2877" s="6" t="s">
        <v>15</v>
      </c>
      <c r="F2877" s="7">
        <v>2302</v>
      </c>
      <c r="G2877" s="7">
        <v>239541.1702867072</v>
      </c>
      <c r="H2877" s="7">
        <v>551423774</v>
      </c>
      <c r="I2877" s="7">
        <v>61337857</v>
      </c>
      <c r="J2877" s="7">
        <v>0</v>
      </c>
      <c r="K2877">
        <f t="shared" si="44"/>
        <v>31</v>
      </c>
      <c r="L2877" s="8" t="str" cm="1">
        <f t="array" ref="L2877">_xlfn.IFS(
 AND(K2877&gt;=89,K2877&lt;=92),"3개월",
 AND(K2877&gt;=58,K2877&lt;=62),"2개월",
 AND(K2877&gt;=28,K2877&lt;=32),"1개월",
 AND(K2877=0),"당월",
 TRUE,"그외"
)</f>
        <v>1개월</v>
      </c>
    </row>
    <row r="2878" spans="1:12" x14ac:dyDescent="0.3">
      <c r="A2878" s="5">
        <v>46054</v>
      </c>
      <c r="B2878" s="6" t="s">
        <v>50</v>
      </c>
      <c r="C2878" s="6" t="s">
        <v>57</v>
      </c>
      <c r="D2878" s="5">
        <v>46054</v>
      </c>
      <c r="E2878" s="6" t="s">
        <v>14</v>
      </c>
      <c r="F2878" s="7">
        <v>965</v>
      </c>
      <c r="G2878" s="7">
        <v>177001.83834196889</v>
      </c>
      <c r="H2878" s="7">
        <v>170806774</v>
      </c>
      <c r="I2878" s="7">
        <v>30080367</v>
      </c>
      <c r="J2878" s="7">
        <v>0</v>
      </c>
      <c r="K2878">
        <f t="shared" si="44"/>
        <v>0</v>
      </c>
      <c r="L2878" s="8" t="str" cm="1">
        <f t="array" ref="L2878">_xlfn.IFS(
 AND(K2878&gt;=89,K2878&lt;=92),"3개월",
 AND(K2878&gt;=58,K2878&lt;=62),"2개월",
 AND(K2878&gt;=28,K2878&lt;=32),"1개월",
 AND(K2878=0),"당월",
 TRUE,"그외"
)</f>
        <v>당월</v>
      </c>
    </row>
    <row r="2879" spans="1:12" x14ac:dyDescent="0.3">
      <c r="A2879" s="5">
        <v>46054</v>
      </c>
      <c r="B2879" s="6" t="s">
        <v>50</v>
      </c>
      <c r="C2879" s="6" t="s">
        <v>57</v>
      </c>
      <c r="D2879" s="5">
        <v>46054</v>
      </c>
      <c r="E2879" s="6" t="s">
        <v>15</v>
      </c>
      <c r="F2879" s="7">
        <v>1404</v>
      </c>
      <c r="G2879" s="7">
        <v>231722.40313390311</v>
      </c>
      <c r="H2879" s="7">
        <v>325338254</v>
      </c>
      <c r="I2879" s="7">
        <v>31237804</v>
      </c>
      <c r="J2879" s="7">
        <v>0</v>
      </c>
      <c r="K2879">
        <f t="shared" si="44"/>
        <v>0</v>
      </c>
      <c r="L2879" s="8" t="str" cm="1">
        <f t="array" ref="L2879">_xlfn.IFS(
 AND(K2879&gt;=89,K2879&lt;=92),"3개월",
 AND(K2879&gt;=58,K2879&lt;=62),"2개월",
 AND(K2879&gt;=28,K2879&lt;=32),"1개월",
 AND(K2879=0),"당월",
 TRUE,"그외"
)</f>
        <v>당월</v>
      </c>
    </row>
    <row r="2880" spans="1:12" x14ac:dyDescent="0.3">
      <c r="A2880" s="5">
        <v>46054</v>
      </c>
      <c r="B2880" s="6" t="s">
        <v>50</v>
      </c>
      <c r="C2880" s="6" t="s">
        <v>59</v>
      </c>
      <c r="D2880" s="5">
        <v>45839</v>
      </c>
      <c r="E2880" s="6" t="s">
        <v>15</v>
      </c>
      <c r="F2880" s="7">
        <v>6</v>
      </c>
      <c r="G2880" s="7">
        <v>148812.66666666669</v>
      </c>
      <c r="H2880" s="7">
        <v>892876</v>
      </c>
      <c r="I2880" s="7">
        <v>123054</v>
      </c>
      <c r="J2880" s="7">
        <v>0</v>
      </c>
      <c r="K2880">
        <f t="shared" si="44"/>
        <v>215</v>
      </c>
      <c r="L2880" s="8" t="str" cm="1">
        <f t="array" ref="L2880">_xlfn.IFS(
 AND(K2880&gt;=89,K2880&lt;=92),"3개월",
 AND(K2880&gt;=58,K2880&lt;=62),"2개월",
 AND(K2880&gt;=28,K2880&lt;=32),"1개월",
 AND(K2880=0),"당월",
 TRUE,"그외"
)</f>
        <v>그외</v>
      </c>
    </row>
    <row r="2881" spans="1:12" x14ac:dyDescent="0.3">
      <c r="A2881" s="5">
        <v>46054</v>
      </c>
      <c r="B2881" s="6" t="s">
        <v>50</v>
      </c>
      <c r="C2881" s="6" t="s">
        <v>59</v>
      </c>
      <c r="D2881" s="5">
        <v>45870</v>
      </c>
      <c r="E2881" s="6" t="s">
        <v>15</v>
      </c>
      <c r="F2881" s="7">
        <v>53</v>
      </c>
      <c r="G2881" s="7">
        <v>156606.09433962271</v>
      </c>
      <c r="H2881" s="7">
        <v>8300123</v>
      </c>
      <c r="I2881" s="7">
        <v>1349537</v>
      </c>
      <c r="J2881" s="7">
        <v>0</v>
      </c>
      <c r="K2881">
        <f t="shared" si="44"/>
        <v>184</v>
      </c>
      <c r="L2881" s="8" t="str" cm="1">
        <f t="array" ref="L2881">_xlfn.IFS(
 AND(K2881&gt;=89,K2881&lt;=92),"3개월",
 AND(K2881&gt;=58,K2881&lt;=62),"2개월",
 AND(K2881&gt;=28,K2881&lt;=32),"1개월",
 AND(K2881=0),"당월",
 TRUE,"그외"
)</f>
        <v>그외</v>
      </c>
    </row>
    <row r="2882" spans="1:12" x14ac:dyDescent="0.3">
      <c r="A2882" s="5">
        <v>46054</v>
      </c>
      <c r="B2882" s="6" t="s">
        <v>50</v>
      </c>
      <c r="C2882" s="6" t="s">
        <v>59</v>
      </c>
      <c r="D2882" s="5">
        <v>45901</v>
      </c>
      <c r="E2882" s="6" t="s">
        <v>14</v>
      </c>
      <c r="F2882" s="7">
        <v>9</v>
      </c>
      <c r="G2882" s="7">
        <v>178737</v>
      </c>
      <c r="H2882" s="7">
        <v>1608633</v>
      </c>
      <c r="I2882" s="7">
        <v>371223</v>
      </c>
      <c r="J2882" s="7">
        <v>0</v>
      </c>
      <c r="K2882">
        <f t="shared" si="44"/>
        <v>153</v>
      </c>
      <c r="L2882" s="8" t="str" cm="1">
        <f t="array" ref="L2882">_xlfn.IFS(
 AND(K2882&gt;=89,K2882&lt;=92),"3개월",
 AND(K2882&gt;=58,K2882&lt;=62),"2개월",
 AND(K2882&gt;=28,K2882&lt;=32),"1개월",
 AND(K2882=0),"당월",
 TRUE,"그외"
)</f>
        <v>그외</v>
      </c>
    </row>
    <row r="2883" spans="1:12" x14ac:dyDescent="0.3">
      <c r="A2883" s="5">
        <v>46054</v>
      </c>
      <c r="B2883" s="6" t="s">
        <v>50</v>
      </c>
      <c r="C2883" s="6" t="s">
        <v>59</v>
      </c>
      <c r="D2883" s="5">
        <v>45901</v>
      </c>
      <c r="E2883" s="6" t="s">
        <v>15</v>
      </c>
      <c r="F2883" s="7">
        <v>141</v>
      </c>
      <c r="G2883" s="7">
        <v>166725.83687943261</v>
      </c>
      <c r="H2883" s="7">
        <v>23508343</v>
      </c>
      <c r="I2883" s="7">
        <v>3152813</v>
      </c>
      <c r="J2883" s="7">
        <v>0</v>
      </c>
      <c r="K2883">
        <f t="shared" si="44"/>
        <v>153</v>
      </c>
      <c r="L2883" s="8" t="str" cm="1">
        <f t="array" ref="L2883">_xlfn.IFS(
 AND(K2883&gt;=89,K2883&lt;=92),"3개월",
 AND(K2883&gt;=58,K2883&lt;=62),"2개월",
 AND(K2883&gt;=28,K2883&lt;=32),"1개월",
 AND(K2883=0),"당월",
 TRUE,"그외"
)</f>
        <v>그외</v>
      </c>
    </row>
    <row r="2884" spans="1:12" x14ac:dyDescent="0.3">
      <c r="A2884" s="5">
        <v>46054</v>
      </c>
      <c r="B2884" s="6" t="s">
        <v>50</v>
      </c>
      <c r="C2884" s="6" t="s">
        <v>59</v>
      </c>
      <c r="D2884" s="5">
        <v>45931</v>
      </c>
      <c r="E2884" s="6" t="s">
        <v>15</v>
      </c>
      <c r="F2884" s="7">
        <v>129</v>
      </c>
      <c r="G2884" s="7">
        <v>184752.00775193801</v>
      </c>
      <c r="H2884" s="7">
        <v>23833009</v>
      </c>
      <c r="I2884" s="7">
        <v>3729597</v>
      </c>
      <c r="J2884" s="7">
        <v>0</v>
      </c>
      <c r="K2884">
        <f t="shared" si="44"/>
        <v>123</v>
      </c>
      <c r="L2884" s="8" t="str" cm="1">
        <f t="array" ref="L2884">_xlfn.IFS(
 AND(K2884&gt;=89,K2884&lt;=92),"3개월",
 AND(K2884&gt;=58,K2884&lt;=62),"2개월",
 AND(K2884&gt;=28,K2884&lt;=32),"1개월",
 AND(K2884=0),"당월",
 TRUE,"그외"
)</f>
        <v>그외</v>
      </c>
    </row>
    <row r="2885" spans="1:12" x14ac:dyDescent="0.3">
      <c r="A2885" s="5">
        <v>46054</v>
      </c>
      <c r="B2885" s="6" t="s">
        <v>50</v>
      </c>
      <c r="C2885" s="6" t="s">
        <v>59</v>
      </c>
      <c r="D2885" s="5">
        <v>45962</v>
      </c>
      <c r="E2885" s="6" t="s">
        <v>14</v>
      </c>
      <c r="F2885" s="7">
        <v>12</v>
      </c>
      <c r="G2885" s="7">
        <v>3690447.666666667</v>
      </c>
      <c r="H2885" s="7">
        <v>44285372</v>
      </c>
      <c r="I2885" s="7">
        <v>169020</v>
      </c>
      <c r="J2885" s="7">
        <v>0</v>
      </c>
      <c r="K2885">
        <f t="shared" si="44"/>
        <v>92</v>
      </c>
      <c r="L2885" s="8" t="str" cm="1">
        <f t="array" ref="L2885">_xlfn.IFS(
 AND(K2885&gt;=89,K2885&lt;=92),"3개월",
 AND(K2885&gt;=58,K2885&lt;=62),"2개월",
 AND(K2885&gt;=28,K2885&lt;=32),"1개월",
 AND(K2885=0),"당월",
 TRUE,"그외"
)</f>
        <v>3개월</v>
      </c>
    </row>
    <row r="2886" spans="1:12" x14ac:dyDescent="0.3">
      <c r="A2886" s="5">
        <v>46054</v>
      </c>
      <c r="B2886" s="6" t="s">
        <v>50</v>
      </c>
      <c r="C2886" s="6" t="s">
        <v>59</v>
      </c>
      <c r="D2886" s="5">
        <v>45962</v>
      </c>
      <c r="E2886" s="6" t="s">
        <v>15</v>
      </c>
      <c r="F2886" s="7">
        <v>472</v>
      </c>
      <c r="G2886" s="7">
        <v>280968.99152542371</v>
      </c>
      <c r="H2886" s="7">
        <v>132617364</v>
      </c>
      <c r="I2886" s="7">
        <v>13467844</v>
      </c>
      <c r="J2886" s="7">
        <v>0</v>
      </c>
      <c r="K2886">
        <f t="shared" si="44"/>
        <v>92</v>
      </c>
      <c r="L2886" s="8" t="str" cm="1">
        <f t="array" ref="L2886">_xlfn.IFS(
 AND(K2886&gt;=89,K2886&lt;=92),"3개월",
 AND(K2886&gt;=58,K2886&lt;=62),"2개월",
 AND(K2886&gt;=28,K2886&lt;=32),"1개월",
 AND(K2886=0),"당월",
 TRUE,"그외"
)</f>
        <v>3개월</v>
      </c>
    </row>
    <row r="2887" spans="1:12" x14ac:dyDescent="0.3">
      <c r="A2887" s="5">
        <v>46054</v>
      </c>
      <c r="B2887" s="6" t="s">
        <v>50</v>
      </c>
      <c r="C2887" s="6" t="s">
        <v>59</v>
      </c>
      <c r="D2887" s="5">
        <v>45992</v>
      </c>
      <c r="E2887" s="6" t="s">
        <v>14</v>
      </c>
      <c r="F2887" s="7">
        <v>6</v>
      </c>
      <c r="G2887" s="7">
        <v>1986130.666666667</v>
      </c>
      <c r="H2887" s="7">
        <v>11916784</v>
      </c>
      <c r="I2887" s="7">
        <v>165384</v>
      </c>
      <c r="J2887" s="7">
        <v>0</v>
      </c>
      <c r="K2887">
        <f t="shared" si="44"/>
        <v>62</v>
      </c>
      <c r="L2887" s="8" t="str" cm="1">
        <f t="array" ref="L2887">_xlfn.IFS(
 AND(K2887&gt;=89,K2887&lt;=92),"3개월",
 AND(K2887&gt;=58,K2887&lt;=62),"2개월",
 AND(K2887&gt;=28,K2887&lt;=32),"1개월",
 AND(K2887=0),"당월",
 TRUE,"그외"
)</f>
        <v>2개월</v>
      </c>
    </row>
    <row r="2888" spans="1:12" x14ac:dyDescent="0.3">
      <c r="A2888" s="5">
        <v>46054</v>
      </c>
      <c r="B2888" s="6" t="s">
        <v>50</v>
      </c>
      <c r="C2888" s="6" t="s">
        <v>59</v>
      </c>
      <c r="D2888" s="5">
        <v>45992</v>
      </c>
      <c r="E2888" s="6" t="s">
        <v>15</v>
      </c>
      <c r="F2888" s="7">
        <v>778</v>
      </c>
      <c r="G2888" s="7">
        <v>204948.33033419019</v>
      </c>
      <c r="H2888" s="7">
        <v>159449801</v>
      </c>
      <c r="I2888" s="7">
        <v>24207707</v>
      </c>
      <c r="J2888" s="7">
        <v>0</v>
      </c>
      <c r="K2888">
        <f t="shared" si="44"/>
        <v>62</v>
      </c>
      <c r="L2888" s="8" t="str" cm="1">
        <f t="array" ref="L2888">_xlfn.IFS(
 AND(K2888&gt;=89,K2888&lt;=92),"3개월",
 AND(K2888&gt;=58,K2888&lt;=62),"2개월",
 AND(K2888&gt;=28,K2888&lt;=32),"1개월",
 AND(K2888=0),"당월",
 TRUE,"그외"
)</f>
        <v>2개월</v>
      </c>
    </row>
    <row r="2889" spans="1:12" x14ac:dyDescent="0.3">
      <c r="A2889" s="5">
        <v>46054</v>
      </c>
      <c r="B2889" s="6" t="s">
        <v>50</v>
      </c>
      <c r="C2889" s="6" t="s">
        <v>59</v>
      </c>
      <c r="D2889" s="5">
        <v>46023</v>
      </c>
      <c r="E2889" s="6" t="s">
        <v>14</v>
      </c>
      <c r="F2889" s="7">
        <v>1282</v>
      </c>
      <c r="G2889" s="7">
        <v>155620.4274570983</v>
      </c>
      <c r="H2889" s="7">
        <v>199505388</v>
      </c>
      <c r="I2889" s="7">
        <v>53141092</v>
      </c>
      <c r="J2889" s="7">
        <v>0</v>
      </c>
      <c r="K2889">
        <f t="shared" si="44"/>
        <v>31</v>
      </c>
      <c r="L2889" s="8" t="str" cm="1">
        <f t="array" ref="L2889">_xlfn.IFS(
 AND(K2889&gt;=89,K2889&lt;=92),"3개월",
 AND(K2889&gt;=58,K2889&lt;=62),"2개월",
 AND(K2889&gt;=28,K2889&lt;=32),"1개월",
 AND(K2889=0),"당월",
 TRUE,"그외"
)</f>
        <v>1개월</v>
      </c>
    </row>
    <row r="2890" spans="1:12" x14ac:dyDescent="0.3">
      <c r="A2890" s="5">
        <v>46054</v>
      </c>
      <c r="B2890" s="6" t="s">
        <v>50</v>
      </c>
      <c r="C2890" s="6" t="s">
        <v>59</v>
      </c>
      <c r="D2890" s="5">
        <v>46023</v>
      </c>
      <c r="E2890" s="6" t="s">
        <v>15</v>
      </c>
      <c r="F2890" s="7">
        <v>1429</v>
      </c>
      <c r="G2890" s="7">
        <v>160146.82785164451</v>
      </c>
      <c r="H2890" s="7">
        <v>228849817</v>
      </c>
      <c r="I2890" s="7">
        <v>45966831</v>
      </c>
      <c r="J2890" s="7">
        <v>0</v>
      </c>
      <c r="K2890">
        <f t="shared" ref="K2890:K2953" si="45">A2890-D2890</f>
        <v>31</v>
      </c>
      <c r="L2890" s="8" t="str" cm="1">
        <f t="array" ref="L2890">_xlfn.IFS(
 AND(K2890&gt;=89,K2890&lt;=92),"3개월",
 AND(K2890&gt;=58,K2890&lt;=62),"2개월",
 AND(K2890&gt;=28,K2890&lt;=32),"1개월",
 AND(K2890=0),"당월",
 TRUE,"그외"
)</f>
        <v>1개월</v>
      </c>
    </row>
    <row r="2891" spans="1:12" x14ac:dyDescent="0.3">
      <c r="A2891" s="5">
        <v>46054</v>
      </c>
      <c r="B2891" s="6" t="s">
        <v>50</v>
      </c>
      <c r="C2891" s="6" t="s">
        <v>59</v>
      </c>
      <c r="D2891" s="5">
        <v>46054</v>
      </c>
      <c r="E2891" s="6" t="s">
        <v>14</v>
      </c>
      <c r="F2891" s="7">
        <v>806</v>
      </c>
      <c r="G2891" s="7">
        <v>164344.69602977671</v>
      </c>
      <c r="H2891" s="7">
        <v>132461825</v>
      </c>
      <c r="I2891" s="7">
        <v>31850709</v>
      </c>
      <c r="J2891" s="7">
        <v>0</v>
      </c>
      <c r="K2891">
        <f t="shared" si="45"/>
        <v>0</v>
      </c>
      <c r="L2891" s="8" t="str" cm="1">
        <f t="array" ref="L2891">_xlfn.IFS(
 AND(K2891&gt;=89,K2891&lt;=92),"3개월",
 AND(K2891&gt;=58,K2891&lt;=62),"2개월",
 AND(K2891&gt;=28,K2891&lt;=32),"1개월",
 AND(K2891=0),"당월",
 TRUE,"그외"
)</f>
        <v>당월</v>
      </c>
    </row>
    <row r="2892" spans="1:12" x14ac:dyDescent="0.3">
      <c r="A2892" s="5">
        <v>46054</v>
      </c>
      <c r="B2892" s="6" t="s">
        <v>50</v>
      </c>
      <c r="C2892" s="6" t="s">
        <v>59</v>
      </c>
      <c r="D2892" s="5">
        <v>46054</v>
      </c>
      <c r="E2892" s="6" t="s">
        <v>15</v>
      </c>
      <c r="F2892" s="7">
        <v>403</v>
      </c>
      <c r="G2892" s="7">
        <v>202490.77915632751</v>
      </c>
      <c r="H2892" s="7">
        <v>81603784</v>
      </c>
      <c r="I2892" s="7">
        <v>11251112</v>
      </c>
      <c r="J2892" s="7">
        <v>0</v>
      </c>
      <c r="K2892">
        <f t="shared" si="45"/>
        <v>0</v>
      </c>
      <c r="L2892" s="8" t="str" cm="1">
        <f t="array" ref="L2892">_xlfn.IFS(
 AND(K2892&gt;=89,K2892&lt;=92),"3개월",
 AND(K2892&gt;=58,K2892&lt;=62),"2개월",
 AND(K2892&gt;=28,K2892&lt;=32),"1개월",
 AND(K2892=0),"당월",
 TRUE,"그외"
)</f>
        <v>당월</v>
      </c>
    </row>
    <row r="2893" spans="1:12" x14ac:dyDescent="0.3">
      <c r="A2893" s="5">
        <v>46054</v>
      </c>
      <c r="B2893" s="6" t="s">
        <v>60</v>
      </c>
      <c r="C2893" s="6" t="s">
        <v>61</v>
      </c>
      <c r="D2893" s="5">
        <v>45839</v>
      </c>
      <c r="E2893" s="6" t="s">
        <v>15</v>
      </c>
      <c r="F2893" s="7">
        <v>38</v>
      </c>
      <c r="G2893" s="7">
        <v>323767.78947368421</v>
      </c>
      <c r="H2893" s="7">
        <v>12303176</v>
      </c>
      <c r="I2893" s="7">
        <v>1207720</v>
      </c>
      <c r="J2893" s="7">
        <v>0</v>
      </c>
      <c r="K2893">
        <f t="shared" si="45"/>
        <v>215</v>
      </c>
      <c r="L2893" s="8" t="str" cm="1">
        <f t="array" ref="L2893">_xlfn.IFS(
 AND(K2893&gt;=89,K2893&lt;=92),"3개월",
 AND(K2893&gt;=58,K2893&lt;=62),"2개월",
 AND(K2893&gt;=28,K2893&lt;=32),"1개월",
 AND(K2893=0),"당월",
 TRUE,"그외"
)</f>
        <v>그외</v>
      </c>
    </row>
    <row r="2894" spans="1:12" x14ac:dyDescent="0.3">
      <c r="A2894" s="5">
        <v>46054</v>
      </c>
      <c r="B2894" s="6" t="s">
        <v>60</v>
      </c>
      <c r="C2894" s="6" t="s">
        <v>61</v>
      </c>
      <c r="D2894" s="5">
        <v>45870</v>
      </c>
      <c r="E2894" s="6" t="s">
        <v>15</v>
      </c>
      <c r="F2894" s="7">
        <v>111</v>
      </c>
      <c r="G2894" s="7">
        <v>350003.4954954955</v>
      </c>
      <c r="H2894" s="7">
        <v>38850388</v>
      </c>
      <c r="I2894" s="7">
        <v>4876019</v>
      </c>
      <c r="J2894" s="7">
        <v>0</v>
      </c>
      <c r="K2894">
        <f t="shared" si="45"/>
        <v>184</v>
      </c>
      <c r="L2894" s="8" t="str" cm="1">
        <f t="array" ref="L2894">_xlfn.IFS(
 AND(K2894&gt;=89,K2894&lt;=92),"3개월",
 AND(K2894&gt;=58,K2894&lt;=62),"2개월",
 AND(K2894&gt;=28,K2894&lt;=32),"1개월",
 AND(K2894=0),"당월",
 TRUE,"그외"
)</f>
        <v>그외</v>
      </c>
    </row>
    <row r="2895" spans="1:12" x14ac:dyDescent="0.3">
      <c r="A2895" s="5">
        <v>46054</v>
      </c>
      <c r="B2895" s="6" t="s">
        <v>60</v>
      </c>
      <c r="C2895" s="6" t="s">
        <v>61</v>
      </c>
      <c r="D2895" s="5">
        <v>45901</v>
      </c>
      <c r="E2895" s="6" t="s">
        <v>15</v>
      </c>
      <c r="F2895" s="7">
        <v>99</v>
      </c>
      <c r="G2895" s="7">
        <v>258149.53535353529</v>
      </c>
      <c r="H2895" s="7">
        <v>25556804</v>
      </c>
      <c r="I2895" s="7">
        <v>2912334</v>
      </c>
      <c r="J2895" s="7">
        <v>0</v>
      </c>
      <c r="K2895">
        <f t="shared" si="45"/>
        <v>153</v>
      </c>
      <c r="L2895" s="8" t="str" cm="1">
        <f t="array" ref="L2895">_xlfn.IFS(
 AND(K2895&gt;=89,K2895&lt;=92),"3개월",
 AND(K2895&gt;=58,K2895&lt;=62),"2개월",
 AND(K2895&gt;=28,K2895&lt;=32),"1개월",
 AND(K2895=0),"당월",
 TRUE,"그외"
)</f>
        <v>그외</v>
      </c>
    </row>
    <row r="2896" spans="1:12" x14ac:dyDescent="0.3">
      <c r="A2896" s="5">
        <v>46054</v>
      </c>
      <c r="B2896" s="6" t="s">
        <v>60</v>
      </c>
      <c r="C2896" s="6" t="s">
        <v>61</v>
      </c>
      <c r="D2896" s="5">
        <v>45931</v>
      </c>
      <c r="E2896" s="6" t="s">
        <v>15</v>
      </c>
      <c r="F2896" s="7">
        <v>175</v>
      </c>
      <c r="G2896" s="7">
        <v>293996.89714285708</v>
      </c>
      <c r="H2896" s="7">
        <v>51449457</v>
      </c>
      <c r="I2896" s="7">
        <v>5656322</v>
      </c>
      <c r="J2896" s="7">
        <v>0</v>
      </c>
      <c r="K2896">
        <f t="shared" si="45"/>
        <v>123</v>
      </c>
      <c r="L2896" s="8" t="str" cm="1">
        <f t="array" ref="L2896">_xlfn.IFS(
 AND(K2896&gt;=89,K2896&lt;=92),"3개월",
 AND(K2896&gt;=58,K2896&lt;=62),"2개월",
 AND(K2896&gt;=28,K2896&lt;=32),"1개월",
 AND(K2896=0),"당월",
 TRUE,"그외"
)</f>
        <v>그외</v>
      </c>
    </row>
    <row r="2897" spans="1:12" x14ac:dyDescent="0.3">
      <c r="A2897" s="5">
        <v>46054</v>
      </c>
      <c r="B2897" s="6" t="s">
        <v>60</v>
      </c>
      <c r="C2897" s="6" t="s">
        <v>61</v>
      </c>
      <c r="D2897" s="5">
        <v>45962</v>
      </c>
      <c r="E2897" s="6" t="s">
        <v>14</v>
      </c>
      <c r="F2897" s="7">
        <v>8</v>
      </c>
      <c r="G2897" s="7">
        <v>292200</v>
      </c>
      <c r="H2897" s="7">
        <v>2337600</v>
      </c>
      <c r="I2897" s="7">
        <v>213600</v>
      </c>
      <c r="J2897" s="7">
        <v>0</v>
      </c>
      <c r="K2897">
        <f t="shared" si="45"/>
        <v>92</v>
      </c>
      <c r="L2897" s="8" t="str" cm="1">
        <f t="array" ref="L2897">_xlfn.IFS(
 AND(K2897&gt;=89,K2897&lt;=92),"3개월",
 AND(K2897&gt;=58,K2897&lt;=62),"2개월",
 AND(K2897&gt;=28,K2897&lt;=32),"1개월",
 AND(K2897=0),"당월",
 TRUE,"그외"
)</f>
        <v>3개월</v>
      </c>
    </row>
    <row r="2898" spans="1:12" x14ac:dyDescent="0.3">
      <c r="A2898" s="5">
        <v>46054</v>
      </c>
      <c r="B2898" s="6" t="s">
        <v>60</v>
      </c>
      <c r="C2898" s="6" t="s">
        <v>61</v>
      </c>
      <c r="D2898" s="5">
        <v>45962</v>
      </c>
      <c r="E2898" s="6" t="s">
        <v>15</v>
      </c>
      <c r="F2898" s="7">
        <v>274</v>
      </c>
      <c r="G2898" s="7">
        <v>250763.13138686129</v>
      </c>
      <c r="H2898" s="7">
        <v>68709098</v>
      </c>
      <c r="I2898" s="7">
        <v>9168151</v>
      </c>
      <c r="J2898" s="7">
        <v>0</v>
      </c>
      <c r="K2898">
        <f t="shared" si="45"/>
        <v>92</v>
      </c>
      <c r="L2898" s="8" t="str" cm="1">
        <f t="array" ref="L2898">_xlfn.IFS(
 AND(K2898&gt;=89,K2898&lt;=92),"3개월",
 AND(K2898&gt;=58,K2898&lt;=62),"2개월",
 AND(K2898&gt;=28,K2898&lt;=32),"1개월",
 AND(K2898=0),"당월",
 TRUE,"그외"
)</f>
        <v>3개월</v>
      </c>
    </row>
    <row r="2899" spans="1:12" x14ac:dyDescent="0.3">
      <c r="A2899" s="5">
        <v>46054</v>
      </c>
      <c r="B2899" s="6" t="s">
        <v>60</v>
      </c>
      <c r="C2899" s="6" t="s">
        <v>61</v>
      </c>
      <c r="D2899" s="5">
        <v>45992</v>
      </c>
      <c r="E2899" s="6" t="s">
        <v>14</v>
      </c>
      <c r="F2899" s="7">
        <v>95</v>
      </c>
      <c r="G2899" s="7">
        <v>250121.05263157899</v>
      </c>
      <c r="H2899" s="7">
        <v>23761500</v>
      </c>
      <c r="I2899" s="7">
        <v>3011500</v>
      </c>
      <c r="J2899" s="7">
        <v>0</v>
      </c>
      <c r="K2899">
        <f t="shared" si="45"/>
        <v>62</v>
      </c>
      <c r="L2899" s="8" t="str" cm="1">
        <f t="array" ref="L2899">_xlfn.IFS(
 AND(K2899&gt;=89,K2899&lt;=92),"3개월",
 AND(K2899&gt;=58,K2899&lt;=62),"2개월",
 AND(K2899&gt;=28,K2899&lt;=32),"1개월",
 AND(K2899=0),"당월",
 TRUE,"그외"
)</f>
        <v>2개월</v>
      </c>
    </row>
    <row r="2900" spans="1:12" x14ac:dyDescent="0.3">
      <c r="A2900" s="5">
        <v>46054</v>
      </c>
      <c r="B2900" s="6" t="s">
        <v>60</v>
      </c>
      <c r="C2900" s="6" t="s">
        <v>61</v>
      </c>
      <c r="D2900" s="5">
        <v>45992</v>
      </c>
      <c r="E2900" s="6" t="s">
        <v>15</v>
      </c>
      <c r="F2900" s="7">
        <v>1310</v>
      </c>
      <c r="G2900" s="7">
        <v>260787.36641221371</v>
      </c>
      <c r="H2900" s="7">
        <v>341631450</v>
      </c>
      <c r="I2900" s="7">
        <v>48001662</v>
      </c>
      <c r="J2900" s="7">
        <v>0</v>
      </c>
      <c r="K2900">
        <f t="shared" si="45"/>
        <v>62</v>
      </c>
      <c r="L2900" s="8" t="str" cm="1">
        <f t="array" ref="L2900">_xlfn.IFS(
 AND(K2900&gt;=89,K2900&lt;=92),"3개월",
 AND(K2900&gt;=58,K2900&lt;=62),"2개월",
 AND(K2900&gt;=28,K2900&lt;=32),"1개월",
 AND(K2900=0),"당월",
 TRUE,"그외"
)</f>
        <v>2개월</v>
      </c>
    </row>
    <row r="2901" spans="1:12" x14ac:dyDescent="0.3">
      <c r="A2901" s="5">
        <v>46054</v>
      </c>
      <c r="B2901" s="6" t="s">
        <v>60</v>
      </c>
      <c r="C2901" s="6" t="s">
        <v>61</v>
      </c>
      <c r="D2901" s="5">
        <v>46023</v>
      </c>
      <c r="E2901" s="6" t="s">
        <v>14</v>
      </c>
      <c r="F2901" s="7">
        <v>913</v>
      </c>
      <c r="G2901" s="7">
        <v>270158.70317634172</v>
      </c>
      <c r="H2901" s="7">
        <v>246654896</v>
      </c>
      <c r="I2901" s="7">
        <v>28272798</v>
      </c>
      <c r="J2901" s="7">
        <v>0</v>
      </c>
      <c r="K2901">
        <f t="shared" si="45"/>
        <v>31</v>
      </c>
      <c r="L2901" s="8" t="str" cm="1">
        <f t="array" ref="L2901">_xlfn.IFS(
 AND(K2901&gt;=89,K2901&lt;=92),"3개월",
 AND(K2901&gt;=58,K2901&lt;=62),"2개월",
 AND(K2901&gt;=28,K2901&lt;=32),"1개월",
 AND(K2901=0),"당월",
 TRUE,"그외"
)</f>
        <v>1개월</v>
      </c>
    </row>
    <row r="2902" spans="1:12" x14ac:dyDescent="0.3">
      <c r="A2902" s="5">
        <v>46054</v>
      </c>
      <c r="B2902" s="6" t="s">
        <v>60</v>
      </c>
      <c r="C2902" s="6" t="s">
        <v>61</v>
      </c>
      <c r="D2902" s="5">
        <v>46023</v>
      </c>
      <c r="E2902" s="6" t="s">
        <v>15</v>
      </c>
      <c r="F2902" s="7">
        <v>4603</v>
      </c>
      <c r="G2902" s="7">
        <v>201829.826852053</v>
      </c>
      <c r="H2902" s="7">
        <v>929022693</v>
      </c>
      <c r="I2902" s="7">
        <v>173282598</v>
      </c>
      <c r="J2902" s="7">
        <v>0</v>
      </c>
      <c r="K2902">
        <f t="shared" si="45"/>
        <v>31</v>
      </c>
      <c r="L2902" s="8" t="str" cm="1">
        <f t="array" ref="L2902">_xlfn.IFS(
 AND(K2902&gt;=89,K2902&lt;=92),"3개월",
 AND(K2902&gt;=58,K2902&lt;=62),"2개월",
 AND(K2902&gt;=28,K2902&lt;=32),"1개월",
 AND(K2902=0),"당월",
 TRUE,"그외"
)</f>
        <v>1개월</v>
      </c>
    </row>
    <row r="2903" spans="1:12" x14ac:dyDescent="0.3">
      <c r="A2903" s="5">
        <v>46054</v>
      </c>
      <c r="B2903" s="6" t="s">
        <v>60</v>
      </c>
      <c r="C2903" s="6" t="s">
        <v>61</v>
      </c>
      <c r="D2903" s="5">
        <v>46054</v>
      </c>
      <c r="E2903" s="6" t="s">
        <v>14</v>
      </c>
      <c r="F2903" s="7">
        <v>1333</v>
      </c>
      <c r="G2903" s="7">
        <v>539836.63915978989</v>
      </c>
      <c r="H2903" s="7">
        <v>719602240</v>
      </c>
      <c r="I2903" s="7">
        <v>11320147</v>
      </c>
      <c r="J2903" s="7">
        <v>0</v>
      </c>
      <c r="K2903">
        <f t="shared" si="45"/>
        <v>0</v>
      </c>
      <c r="L2903" s="8" t="str" cm="1">
        <f t="array" ref="L2903">_xlfn.IFS(
 AND(K2903&gt;=89,K2903&lt;=92),"3개월",
 AND(K2903&gt;=58,K2903&lt;=62),"2개월",
 AND(K2903&gt;=28,K2903&lt;=32),"1개월",
 AND(K2903=0),"당월",
 TRUE,"그외"
)</f>
        <v>당월</v>
      </c>
    </row>
    <row r="2904" spans="1:12" x14ac:dyDescent="0.3">
      <c r="A2904" s="5">
        <v>46054</v>
      </c>
      <c r="B2904" s="6" t="s">
        <v>60</v>
      </c>
      <c r="C2904" s="6" t="s">
        <v>61</v>
      </c>
      <c r="D2904" s="5">
        <v>46054</v>
      </c>
      <c r="E2904" s="6" t="s">
        <v>15</v>
      </c>
      <c r="F2904" s="7">
        <v>1728</v>
      </c>
      <c r="G2904" s="7">
        <v>214199.35821759261</v>
      </c>
      <c r="H2904" s="7">
        <v>370136491</v>
      </c>
      <c r="I2904" s="7">
        <v>61776723</v>
      </c>
      <c r="J2904" s="7">
        <v>0</v>
      </c>
      <c r="K2904">
        <f t="shared" si="45"/>
        <v>0</v>
      </c>
      <c r="L2904" s="8" t="str" cm="1">
        <f t="array" ref="L2904">_xlfn.IFS(
 AND(K2904&gt;=89,K2904&lt;=92),"3개월",
 AND(K2904&gt;=58,K2904&lt;=62),"2개월",
 AND(K2904&gt;=28,K2904&lt;=32),"1개월",
 AND(K2904=0),"당월",
 TRUE,"그외"
)</f>
        <v>당월</v>
      </c>
    </row>
    <row r="2905" spans="1:12" x14ac:dyDescent="0.3">
      <c r="A2905" s="5">
        <v>46054</v>
      </c>
      <c r="B2905" s="6" t="s">
        <v>60</v>
      </c>
      <c r="C2905" s="6" t="s">
        <v>104</v>
      </c>
      <c r="D2905" s="5">
        <v>45870</v>
      </c>
      <c r="E2905" s="6" t="s">
        <v>15</v>
      </c>
      <c r="F2905" s="7">
        <v>56</v>
      </c>
      <c r="G2905" s="7">
        <v>275541.07142857142</v>
      </c>
      <c r="H2905" s="7">
        <v>15430300</v>
      </c>
      <c r="I2905" s="7">
        <v>1456000</v>
      </c>
      <c r="J2905" s="7">
        <v>0</v>
      </c>
      <c r="K2905">
        <f t="shared" si="45"/>
        <v>184</v>
      </c>
      <c r="L2905" s="8" t="str" cm="1">
        <f t="array" ref="L2905">_xlfn.IFS(
 AND(K2905&gt;=89,K2905&lt;=92),"3개월",
 AND(K2905&gt;=58,K2905&lt;=62),"2개월",
 AND(K2905&gt;=28,K2905&lt;=32),"1개월",
 AND(K2905=0),"당월",
 TRUE,"그외"
)</f>
        <v>그외</v>
      </c>
    </row>
    <row r="2906" spans="1:12" x14ac:dyDescent="0.3">
      <c r="A2906" s="5">
        <v>46054</v>
      </c>
      <c r="B2906" s="6" t="s">
        <v>60</v>
      </c>
      <c r="C2906" s="6" t="s">
        <v>104</v>
      </c>
      <c r="D2906" s="5">
        <v>45901</v>
      </c>
      <c r="E2906" s="6" t="s">
        <v>15</v>
      </c>
      <c r="F2906" s="7">
        <v>43</v>
      </c>
      <c r="G2906" s="7">
        <v>273036.88372093032</v>
      </c>
      <c r="H2906" s="7">
        <v>11740586</v>
      </c>
      <c r="I2906" s="7">
        <v>1130900</v>
      </c>
      <c r="J2906" s="7">
        <v>0</v>
      </c>
      <c r="K2906">
        <f t="shared" si="45"/>
        <v>153</v>
      </c>
      <c r="L2906" s="8" t="str" cm="1">
        <f t="array" ref="L2906">_xlfn.IFS(
 AND(K2906&gt;=89,K2906&lt;=92),"3개월",
 AND(K2906&gt;=58,K2906&lt;=62),"2개월",
 AND(K2906&gt;=28,K2906&lt;=32),"1개월",
 AND(K2906=0),"당월",
 TRUE,"그외"
)</f>
        <v>그외</v>
      </c>
    </row>
    <row r="2907" spans="1:12" x14ac:dyDescent="0.3">
      <c r="A2907" s="5">
        <v>46054</v>
      </c>
      <c r="B2907" s="6" t="s">
        <v>60</v>
      </c>
      <c r="C2907" s="6" t="s">
        <v>104</v>
      </c>
      <c r="D2907" s="5">
        <v>45931</v>
      </c>
      <c r="E2907" s="6" t="s">
        <v>15</v>
      </c>
      <c r="F2907" s="7">
        <v>223</v>
      </c>
      <c r="G2907" s="7">
        <v>323520.23766816151</v>
      </c>
      <c r="H2907" s="7">
        <v>72145013</v>
      </c>
      <c r="I2907" s="7">
        <v>6506068</v>
      </c>
      <c r="J2907" s="7">
        <v>0</v>
      </c>
      <c r="K2907">
        <f t="shared" si="45"/>
        <v>123</v>
      </c>
      <c r="L2907" s="8" t="str" cm="1">
        <f t="array" ref="L2907">_xlfn.IFS(
 AND(K2907&gt;=89,K2907&lt;=92),"3개월",
 AND(K2907&gt;=58,K2907&lt;=62),"2개월",
 AND(K2907&gt;=28,K2907&lt;=32),"1개월",
 AND(K2907=0),"당월",
 TRUE,"그외"
)</f>
        <v>그외</v>
      </c>
    </row>
    <row r="2908" spans="1:12" x14ac:dyDescent="0.3">
      <c r="A2908" s="5">
        <v>46054</v>
      </c>
      <c r="B2908" s="6" t="s">
        <v>60</v>
      </c>
      <c r="C2908" s="6" t="s">
        <v>104</v>
      </c>
      <c r="D2908" s="5">
        <v>45962</v>
      </c>
      <c r="E2908" s="6" t="s">
        <v>14</v>
      </c>
      <c r="F2908" s="7">
        <v>157</v>
      </c>
      <c r="G2908" s="7">
        <v>271362.54777070071</v>
      </c>
      <c r="H2908" s="7">
        <v>42603920</v>
      </c>
      <c r="I2908" s="7">
        <v>4191900</v>
      </c>
      <c r="J2908" s="7">
        <v>0</v>
      </c>
      <c r="K2908">
        <f t="shared" si="45"/>
        <v>92</v>
      </c>
      <c r="L2908" s="8" t="str" cm="1">
        <f t="array" ref="L2908">_xlfn.IFS(
 AND(K2908&gt;=89,K2908&lt;=92),"3개월",
 AND(K2908&gt;=58,K2908&lt;=62),"2개월",
 AND(K2908&gt;=28,K2908&lt;=32),"1개월",
 AND(K2908=0),"당월",
 TRUE,"그외"
)</f>
        <v>3개월</v>
      </c>
    </row>
    <row r="2909" spans="1:12" x14ac:dyDescent="0.3">
      <c r="A2909" s="5">
        <v>46054</v>
      </c>
      <c r="B2909" s="6" t="s">
        <v>60</v>
      </c>
      <c r="C2909" s="6" t="s">
        <v>104</v>
      </c>
      <c r="D2909" s="5">
        <v>45962</v>
      </c>
      <c r="E2909" s="6" t="s">
        <v>15</v>
      </c>
      <c r="F2909" s="7">
        <v>381</v>
      </c>
      <c r="G2909" s="7">
        <v>300008.31233595801</v>
      </c>
      <c r="H2909" s="7">
        <v>114303167</v>
      </c>
      <c r="I2909" s="7">
        <v>11165610</v>
      </c>
      <c r="J2909" s="7">
        <v>0</v>
      </c>
      <c r="K2909">
        <f t="shared" si="45"/>
        <v>92</v>
      </c>
      <c r="L2909" s="8" t="str" cm="1">
        <f t="array" ref="L2909">_xlfn.IFS(
 AND(K2909&gt;=89,K2909&lt;=92),"3개월",
 AND(K2909&gt;=58,K2909&lt;=62),"2개월",
 AND(K2909&gt;=28,K2909&lt;=32),"1개월",
 AND(K2909=0),"당월",
 TRUE,"그외"
)</f>
        <v>3개월</v>
      </c>
    </row>
    <row r="2910" spans="1:12" x14ac:dyDescent="0.3">
      <c r="A2910" s="5">
        <v>46054</v>
      </c>
      <c r="B2910" s="6" t="s">
        <v>60</v>
      </c>
      <c r="C2910" s="6" t="s">
        <v>104</v>
      </c>
      <c r="D2910" s="5">
        <v>45992</v>
      </c>
      <c r="E2910" s="6" t="s">
        <v>14</v>
      </c>
      <c r="F2910" s="7">
        <v>152</v>
      </c>
      <c r="G2910" s="7">
        <v>311594.73684210528</v>
      </c>
      <c r="H2910" s="7">
        <v>47362400</v>
      </c>
      <c r="I2910" s="7">
        <v>4818400</v>
      </c>
      <c r="J2910" s="7">
        <v>0</v>
      </c>
      <c r="K2910">
        <f t="shared" si="45"/>
        <v>62</v>
      </c>
      <c r="L2910" s="8" t="str" cm="1">
        <f t="array" ref="L2910">_xlfn.IFS(
 AND(K2910&gt;=89,K2910&lt;=92),"3개월",
 AND(K2910&gt;=58,K2910&lt;=62),"2개월",
 AND(K2910&gt;=28,K2910&lt;=32),"1개월",
 AND(K2910=0),"당월",
 TRUE,"그외"
)</f>
        <v>2개월</v>
      </c>
    </row>
    <row r="2911" spans="1:12" x14ac:dyDescent="0.3">
      <c r="A2911" s="5">
        <v>46054</v>
      </c>
      <c r="B2911" s="6" t="s">
        <v>60</v>
      </c>
      <c r="C2911" s="6" t="s">
        <v>104</v>
      </c>
      <c r="D2911" s="5">
        <v>45992</v>
      </c>
      <c r="E2911" s="6" t="s">
        <v>15</v>
      </c>
      <c r="F2911" s="7">
        <v>656</v>
      </c>
      <c r="G2911" s="7">
        <v>262577.55945121951</v>
      </c>
      <c r="H2911" s="7">
        <v>172250879</v>
      </c>
      <c r="I2911" s="7">
        <v>21949634</v>
      </c>
      <c r="J2911" s="7">
        <v>0</v>
      </c>
      <c r="K2911">
        <f t="shared" si="45"/>
        <v>62</v>
      </c>
      <c r="L2911" s="8" t="str" cm="1">
        <f t="array" ref="L2911">_xlfn.IFS(
 AND(K2911&gt;=89,K2911&lt;=92),"3개월",
 AND(K2911&gt;=58,K2911&lt;=62),"2개월",
 AND(K2911&gt;=28,K2911&lt;=32),"1개월",
 AND(K2911=0),"당월",
 TRUE,"그외"
)</f>
        <v>2개월</v>
      </c>
    </row>
    <row r="2912" spans="1:12" x14ac:dyDescent="0.3">
      <c r="A2912" s="5">
        <v>46054</v>
      </c>
      <c r="B2912" s="6" t="s">
        <v>60</v>
      </c>
      <c r="C2912" s="6" t="s">
        <v>104</v>
      </c>
      <c r="D2912" s="5">
        <v>46023</v>
      </c>
      <c r="E2912" s="6" t="s">
        <v>14</v>
      </c>
      <c r="F2912" s="7">
        <v>976</v>
      </c>
      <c r="G2912" s="7">
        <v>162382.99180327871</v>
      </c>
      <c r="H2912" s="7">
        <v>158485800</v>
      </c>
      <c r="I2912" s="7">
        <v>31524800</v>
      </c>
      <c r="J2912" s="7">
        <v>0</v>
      </c>
      <c r="K2912">
        <f t="shared" si="45"/>
        <v>31</v>
      </c>
      <c r="L2912" s="8" t="str" cm="1">
        <f t="array" ref="L2912">_xlfn.IFS(
 AND(K2912&gt;=89,K2912&lt;=92),"3개월",
 AND(K2912&gt;=58,K2912&lt;=62),"2개월",
 AND(K2912&gt;=28,K2912&lt;=32),"1개월",
 AND(K2912=0),"당월",
 TRUE,"그외"
)</f>
        <v>1개월</v>
      </c>
    </row>
    <row r="2913" spans="1:12" x14ac:dyDescent="0.3">
      <c r="A2913" s="5">
        <v>46054</v>
      </c>
      <c r="B2913" s="6" t="s">
        <v>60</v>
      </c>
      <c r="C2913" s="6" t="s">
        <v>104</v>
      </c>
      <c r="D2913" s="5">
        <v>46023</v>
      </c>
      <c r="E2913" s="6" t="s">
        <v>15</v>
      </c>
      <c r="F2913" s="7">
        <v>3731</v>
      </c>
      <c r="G2913" s="7">
        <v>181763.0830876441</v>
      </c>
      <c r="H2913" s="7">
        <v>678158063</v>
      </c>
      <c r="I2913" s="7">
        <v>133198228</v>
      </c>
      <c r="J2913" s="7">
        <v>0</v>
      </c>
      <c r="K2913">
        <f t="shared" si="45"/>
        <v>31</v>
      </c>
      <c r="L2913" s="8" t="str" cm="1">
        <f t="array" ref="L2913">_xlfn.IFS(
 AND(K2913&gt;=89,K2913&lt;=92),"3개월",
 AND(K2913&gt;=58,K2913&lt;=62),"2개월",
 AND(K2913&gt;=28,K2913&lt;=32),"1개월",
 AND(K2913=0),"당월",
 TRUE,"그외"
)</f>
        <v>1개월</v>
      </c>
    </row>
    <row r="2914" spans="1:12" x14ac:dyDescent="0.3">
      <c r="A2914" s="5">
        <v>46054</v>
      </c>
      <c r="B2914" s="6" t="s">
        <v>60</v>
      </c>
      <c r="C2914" s="6" t="s">
        <v>104</v>
      </c>
      <c r="D2914" s="5">
        <v>46054</v>
      </c>
      <c r="E2914" s="6" t="s">
        <v>14</v>
      </c>
      <c r="F2914" s="7">
        <v>1462</v>
      </c>
      <c r="G2914" s="7">
        <v>166972.9411764706</v>
      </c>
      <c r="H2914" s="7">
        <v>244114440</v>
      </c>
      <c r="I2914" s="7">
        <v>32974376</v>
      </c>
      <c r="J2914" s="7">
        <v>0</v>
      </c>
      <c r="K2914">
        <f t="shared" si="45"/>
        <v>0</v>
      </c>
      <c r="L2914" s="8" t="str" cm="1">
        <f t="array" ref="L2914">_xlfn.IFS(
 AND(K2914&gt;=89,K2914&lt;=92),"3개월",
 AND(K2914&gt;=58,K2914&lt;=62),"2개월",
 AND(K2914&gt;=28,K2914&lt;=32),"1개월",
 AND(K2914=0),"당월",
 TRUE,"그외"
)</f>
        <v>당월</v>
      </c>
    </row>
    <row r="2915" spans="1:12" x14ac:dyDescent="0.3">
      <c r="A2915" s="5">
        <v>46054</v>
      </c>
      <c r="B2915" s="6" t="s">
        <v>60</v>
      </c>
      <c r="C2915" s="6" t="s">
        <v>104</v>
      </c>
      <c r="D2915" s="5">
        <v>46054</v>
      </c>
      <c r="E2915" s="6" t="s">
        <v>15</v>
      </c>
      <c r="F2915" s="7">
        <v>1798</v>
      </c>
      <c r="G2915" s="7">
        <v>210572.84149054499</v>
      </c>
      <c r="H2915" s="7">
        <v>378609969</v>
      </c>
      <c r="I2915" s="7">
        <v>62095778</v>
      </c>
      <c r="J2915" s="7">
        <v>0</v>
      </c>
      <c r="K2915">
        <f t="shared" si="45"/>
        <v>0</v>
      </c>
      <c r="L2915" s="8" t="str" cm="1">
        <f t="array" ref="L2915">_xlfn.IFS(
 AND(K2915&gt;=89,K2915&lt;=92),"3개월",
 AND(K2915&gt;=58,K2915&lt;=62),"2개월",
 AND(K2915&gt;=28,K2915&lt;=32),"1개월",
 AND(K2915=0),"당월",
 TRUE,"그외"
)</f>
        <v>당월</v>
      </c>
    </row>
    <row r="2916" spans="1:12" x14ac:dyDescent="0.3">
      <c r="A2916" s="5">
        <v>46054</v>
      </c>
      <c r="B2916" s="6" t="s">
        <v>60</v>
      </c>
      <c r="C2916" s="6" t="s">
        <v>105</v>
      </c>
      <c r="D2916" s="5">
        <v>46023</v>
      </c>
      <c r="E2916" s="6" t="s">
        <v>14</v>
      </c>
      <c r="F2916" s="7">
        <v>473</v>
      </c>
      <c r="G2916" s="7">
        <v>181793.02325581401</v>
      </c>
      <c r="H2916" s="7">
        <v>85988100</v>
      </c>
      <c r="I2916" s="7">
        <v>0</v>
      </c>
      <c r="J2916" s="7">
        <v>0</v>
      </c>
      <c r="K2916">
        <f t="shared" si="45"/>
        <v>31</v>
      </c>
      <c r="L2916" s="8" t="str" cm="1">
        <f t="array" ref="L2916">_xlfn.IFS(
 AND(K2916&gt;=89,K2916&lt;=92),"3개월",
 AND(K2916&gt;=58,K2916&lt;=62),"2개월",
 AND(K2916&gt;=28,K2916&lt;=32),"1개월",
 AND(K2916=0),"당월",
 TRUE,"그외"
)</f>
        <v>1개월</v>
      </c>
    </row>
    <row r="2917" spans="1:12" x14ac:dyDescent="0.3">
      <c r="A2917" s="5">
        <v>46054</v>
      </c>
      <c r="B2917" s="6" t="s">
        <v>60</v>
      </c>
      <c r="C2917" s="6" t="s">
        <v>105</v>
      </c>
      <c r="D2917" s="5">
        <v>46023</v>
      </c>
      <c r="E2917" s="6" t="s">
        <v>15</v>
      </c>
      <c r="F2917" s="7">
        <v>14</v>
      </c>
      <c r="G2917" s="7">
        <v>0</v>
      </c>
      <c r="H2917" s="7">
        <v>0</v>
      </c>
      <c r="I2917" s="7">
        <v>0</v>
      </c>
      <c r="J2917" s="7">
        <v>0</v>
      </c>
      <c r="K2917">
        <f t="shared" si="45"/>
        <v>31</v>
      </c>
      <c r="L2917" s="8" t="str" cm="1">
        <f t="array" ref="L2917">_xlfn.IFS(
 AND(K2917&gt;=89,K2917&lt;=92),"3개월",
 AND(K2917&gt;=58,K2917&lt;=62),"2개월",
 AND(K2917&gt;=28,K2917&lt;=32),"1개월",
 AND(K2917=0),"당월",
 TRUE,"그외"
)</f>
        <v>1개월</v>
      </c>
    </row>
    <row r="2918" spans="1:12" x14ac:dyDescent="0.3">
      <c r="A2918" s="5">
        <v>46054</v>
      </c>
      <c r="B2918" s="6" t="s">
        <v>60</v>
      </c>
      <c r="C2918" s="6" t="s">
        <v>105</v>
      </c>
      <c r="D2918" s="5">
        <v>46054</v>
      </c>
      <c r="E2918" s="6" t="s">
        <v>14</v>
      </c>
      <c r="F2918" s="7">
        <v>1981</v>
      </c>
      <c r="G2918" s="7">
        <v>299556.10802624939</v>
      </c>
      <c r="H2918" s="7">
        <v>593420650</v>
      </c>
      <c r="I2918" s="7">
        <v>0</v>
      </c>
      <c r="J2918" s="7">
        <v>0</v>
      </c>
      <c r="K2918">
        <f t="shared" si="45"/>
        <v>0</v>
      </c>
      <c r="L2918" s="8" t="str" cm="1">
        <f t="array" ref="L2918">_xlfn.IFS(
 AND(K2918&gt;=89,K2918&lt;=92),"3개월",
 AND(K2918&gt;=58,K2918&lt;=62),"2개월",
 AND(K2918&gt;=28,K2918&lt;=32),"1개월",
 AND(K2918=0),"당월",
 TRUE,"그외"
)</f>
        <v>당월</v>
      </c>
    </row>
    <row r="2919" spans="1:12" x14ac:dyDescent="0.3">
      <c r="A2919" s="5">
        <v>46054</v>
      </c>
      <c r="B2919" s="6" t="s">
        <v>60</v>
      </c>
      <c r="C2919" s="6" t="s">
        <v>107</v>
      </c>
      <c r="D2919" s="5">
        <v>45901</v>
      </c>
      <c r="E2919" s="6" t="s">
        <v>15</v>
      </c>
      <c r="F2919" s="7">
        <v>4</v>
      </c>
      <c r="G2919" s="7">
        <v>326300</v>
      </c>
      <c r="H2919" s="7">
        <v>1305200</v>
      </c>
      <c r="I2919" s="7">
        <v>105200</v>
      </c>
      <c r="J2919" s="7">
        <v>0</v>
      </c>
      <c r="K2919">
        <f t="shared" si="45"/>
        <v>153</v>
      </c>
      <c r="L2919" s="8" t="str" cm="1">
        <f t="array" ref="L2919">_xlfn.IFS(
 AND(K2919&gt;=89,K2919&lt;=92),"3개월",
 AND(K2919&gt;=58,K2919&lt;=62),"2개월",
 AND(K2919&gt;=28,K2919&lt;=32),"1개월",
 AND(K2919=0),"당월",
 TRUE,"그외"
)</f>
        <v>그외</v>
      </c>
    </row>
    <row r="2920" spans="1:12" x14ac:dyDescent="0.3">
      <c r="A2920" s="5">
        <v>46054</v>
      </c>
      <c r="B2920" s="6" t="s">
        <v>60</v>
      </c>
      <c r="C2920" s="6" t="s">
        <v>107</v>
      </c>
      <c r="D2920" s="5">
        <v>45931</v>
      </c>
      <c r="E2920" s="6" t="s">
        <v>14</v>
      </c>
      <c r="F2920" s="7">
        <v>22</v>
      </c>
      <c r="G2920" s="7">
        <v>351036.36363636359</v>
      </c>
      <c r="H2920" s="7">
        <v>7722800</v>
      </c>
      <c r="I2920" s="7">
        <v>580800</v>
      </c>
      <c r="J2920" s="7">
        <v>0</v>
      </c>
      <c r="K2920">
        <f t="shared" si="45"/>
        <v>123</v>
      </c>
      <c r="L2920" s="8" t="str" cm="1">
        <f t="array" ref="L2920">_xlfn.IFS(
 AND(K2920&gt;=89,K2920&lt;=92),"3개월",
 AND(K2920&gt;=58,K2920&lt;=62),"2개월",
 AND(K2920&gt;=28,K2920&lt;=32),"1개월",
 AND(K2920=0),"당월",
 TRUE,"그외"
)</f>
        <v>그외</v>
      </c>
    </row>
    <row r="2921" spans="1:12" x14ac:dyDescent="0.3">
      <c r="A2921" s="5">
        <v>46054</v>
      </c>
      <c r="B2921" s="6" t="s">
        <v>60</v>
      </c>
      <c r="C2921" s="6" t="s">
        <v>107</v>
      </c>
      <c r="D2921" s="5">
        <v>45931</v>
      </c>
      <c r="E2921" s="6" t="s">
        <v>15</v>
      </c>
      <c r="F2921" s="7">
        <v>252</v>
      </c>
      <c r="G2921" s="7">
        <v>322197.79365079373</v>
      </c>
      <c r="H2921" s="7">
        <v>81193844</v>
      </c>
      <c r="I2921" s="7">
        <v>6821246</v>
      </c>
      <c r="J2921" s="7">
        <v>0</v>
      </c>
      <c r="K2921">
        <f t="shared" si="45"/>
        <v>123</v>
      </c>
      <c r="L2921" s="8" t="str" cm="1">
        <f t="array" ref="L2921">_xlfn.IFS(
 AND(K2921&gt;=89,K2921&lt;=92),"3개월",
 AND(K2921&gt;=58,K2921&lt;=62),"2개월",
 AND(K2921&gt;=28,K2921&lt;=32),"1개월",
 AND(K2921=0),"당월",
 TRUE,"그외"
)</f>
        <v>그외</v>
      </c>
    </row>
    <row r="2922" spans="1:12" x14ac:dyDescent="0.3">
      <c r="A2922" s="5">
        <v>46054</v>
      </c>
      <c r="B2922" s="6" t="s">
        <v>60</v>
      </c>
      <c r="C2922" s="6" t="s">
        <v>107</v>
      </c>
      <c r="D2922" s="5">
        <v>45962</v>
      </c>
      <c r="E2922" s="6" t="s">
        <v>14</v>
      </c>
      <c r="F2922" s="7">
        <v>220</v>
      </c>
      <c r="G2922" s="7">
        <v>315913.63636363641</v>
      </c>
      <c r="H2922" s="7">
        <v>69501000</v>
      </c>
      <c r="I2922" s="7">
        <v>5874000</v>
      </c>
      <c r="J2922" s="7">
        <v>0</v>
      </c>
      <c r="K2922">
        <f t="shared" si="45"/>
        <v>92</v>
      </c>
      <c r="L2922" s="8" t="str" cm="1">
        <f t="array" ref="L2922">_xlfn.IFS(
 AND(K2922&gt;=89,K2922&lt;=92),"3개월",
 AND(K2922&gt;=58,K2922&lt;=62),"2개월",
 AND(K2922&gt;=28,K2922&lt;=32),"1개월",
 AND(K2922=0),"당월",
 TRUE,"그외"
)</f>
        <v>3개월</v>
      </c>
    </row>
    <row r="2923" spans="1:12" x14ac:dyDescent="0.3">
      <c r="A2923" s="5">
        <v>46054</v>
      </c>
      <c r="B2923" s="6" t="s">
        <v>60</v>
      </c>
      <c r="C2923" s="6" t="s">
        <v>107</v>
      </c>
      <c r="D2923" s="5">
        <v>45962</v>
      </c>
      <c r="E2923" s="6" t="s">
        <v>15</v>
      </c>
      <c r="F2923" s="7">
        <v>734</v>
      </c>
      <c r="G2923" s="7">
        <v>311056.32425068121</v>
      </c>
      <c r="H2923" s="7">
        <v>228315342</v>
      </c>
      <c r="I2923" s="7">
        <v>21614584</v>
      </c>
      <c r="J2923" s="7">
        <v>0</v>
      </c>
      <c r="K2923">
        <f t="shared" si="45"/>
        <v>92</v>
      </c>
      <c r="L2923" s="8" t="str" cm="1">
        <f t="array" ref="L2923">_xlfn.IFS(
 AND(K2923&gt;=89,K2923&lt;=92),"3개월",
 AND(K2923&gt;=58,K2923&lt;=62),"2개월",
 AND(K2923&gt;=28,K2923&lt;=32),"1개월",
 AND(K2923=0),"당월",
 TRUE,"그외"
)</f>
        <v>3개월</v>
      </c>
    </row>
    <row r="2924" spans="1:12" x14ac:dyDescent="0.3">
      <c r="A2924" s="5">
        <v>46054</v>
      </c>
      <c r="B2924" s="6" t="s">
        <v>60</v>
      </c>
      <c r="C2924" s="6" t="s">
        <v>107</v>
      </c>
      <c r="D2924" s="5">
        <v>45992</v>
      </c>
      <c r="E2924" s="6" t="s">
        <v>14</v>
      </c>
      <c r="F2924" s="7">
        <v>277</v>
      </c>
      <c r="G2924" s="7">
        <v>260819.1335740072</v>
      </c>
      <c r="H2924" s="7">
        <v>72246900</v>
      </c>
      <c r="I2924" s="7">
        <v>8770900</v>
      </c>
      <c r="J2924" s="7">
        <v>0</v>
      </c>
      <c r="K2924">
        <f t="shared" si="45"/>
        <v>62</v>
      </c>
      <c r="L2924" s="8" t="str" cm="1">
        <f t="array" ref="L2924">_xlfn.IFS(
 AND(K2924&gt;=89,K2924&lt;=92),"3개월",
 AND(K2924&gt;=58,K2924&lt;=62),"2개월",
 AND(K2924&gt;=28,K2924&lt;=32),"1개월",
 AND(K2924=0),"당월",
 TRUE,"그외"
)</f>
        <v>2개월</v>
      </c>
    </row>
    <row r="2925" spans="1:12" x14ac:dyDescent="0.3">
      <c r="A2925" s="5">
        <v>46054</v>
      </c>
      <c r="B2925" s="6" t="s">
        <v>60</v>
      </c>
      <c r="C2925" s="6" t="s">
        <v>107</v>
      </c>
      <c r="D2925" s="5">
        <v>45992</v>
      </c>
      <c r="E2925" s="6" t="s">
        <v>15</v>
      </c>
      <c r="F2925" s="7">
        <v>1380</v>
      </c>
      <c r="G2925" s="7">
        <v>269700.27318840579</v>
      </c>
      <c r="H2925" s="7">
        <v>372186377</v>
      </c>
      <c r="I2925" s="7">
        <v>47621853</v>
      </c>
      <c r="J2925" s="7">
        <v>0</v>
      </c>
      <c r="K2925">
        <f t="shared" si="45"/>
        <v>62</v>
      </c>
      <c r="L2925" s="8" t="str" cm="1">
        <f t="array" ref="L2925">_xlfn.IFS(
 AND(K2925&gt;=89,K2925&lt;=92),"3개월",
 AND(K2925&gt;=58,K2925&lt;=62),"2개월",
 AND(K2925&gt;=28,K2925&lt;=32),"1개월",
 AND(K2925=0),"당월",
 TRUE,"그외"
)</f>
        <v>2개월</v>
      </c>
    </row>
    <row r="2926" spans="1:12" x14ac:dyDescent="0.3">
      <c r="A2926" s="5">
        <v>46054</v>
      </c>
      <c r="B2926" s="6" t="s">
        <v>60</v>
      </c>
      <c r="C2926" s="6" t="s">
        <v>107</v>
      </c>
      <c r="D2926" s="5">
        <v>46023</v>
      </c>
      <c r="E2926" s="6" t="s">
        <v>14</v>
      </c>
      <c r="F2926" s="7">
        <v>1331</v>
      </c>
      <c r="G2926" s="7">
        <v>251417.20510894069</v>
      </c>
      <c r="H2926" s="7">
        <v>334636300</v>
      </c>
      <c r="I2926" s="7">
        <v>42991300</v>
      </c>
      <c r="J2926" s="7">
        <v>0</v>
      </c>
      <c r="K2926">
        <f t="shared" si="45"/>
        <v>31</v>
      </c>
      <c r="L2926" s="8" t="str" cm="1">
        <f t="array" ref="L2926">_xlfn.IFS(
 AND(K2926&gt;=89,K2926&lt;=92),"3개월",
 AND(K2926&gt;=58,K2926&lt;=62),"2개월",
 AND(K2926&gt;=28,K2926&lt;=32),"1개월",
 AND(K2926=0),"당월",
 TRUE,"그외"
)</f>
        <v>1개월</v>
      </c>
    </row>
    <row r="2927" spans="1:12" x14ac:dyDescent="0.3">
      <c r="A2927" s="5">
        <v>46054</v>
      </c>
      <c r="B2927" s="6" t="s">
        <v>60</v>
      </c>
      <c r="C2927" s="6" t="s">
        <v>107</v>
      </c>
      <c r="D2927" s="5">
        <v>46023</v>
      </c>
      <c r="E2927" s="6" t="s">
        <v>15</v>
      </c>
      <c r="F2927" s="7">
        <v>3761</v>
      </c>
      <c r="G2927" s="7">
        <v>226872.45413453871</v>
      </c>
      <c r="H2927" s="7">
        <v>853267300</v>
      </c>
      <c r="I2927" s="7">
        <v>131387896</v>
      </c>
      <c r="J2927" s="7">
        <v>0</v>
      </c>
      <c r="K2927">
        <f t="shared" si="45"/>
        <v>31</v>
      </c>
      <c r="L2927" s="8" t="str" cm="1">
        <f t="array" ref="L2927">_xlfn.IFS(
 AND(K2927&gt;=89,K2927&lt;=92),"3개월",
 AND(K2927&gt;=58,K2927&lt;=62),"2개월",
 AND(K2927&gt;=28,K2927&lt;=32),"1개월",
 AND(K2927=0),"당월",
 TRUE,"그외"
)</f>
        <v>1개월</v>
      </c>
    </row>
    <row r="2928" spans="1:12" x14ac:dyDescent="0.3">
      <c r="A2928" s="5">
        <v>46054</v>
      </c>
      <c r="B2928" s="6" t="s">
        <v>60</v>
      </c>
      <c r="C2928" s="6" t="s">
        <v>107</v>
      </c>
      <c r="D2928" s="5">
        <v>46054</v>
      </c>
      <c r="E2928" s="6" t="s">
        <v>14</v>
      </c>
      <c r="F2928" s="7">
        <v>287</v>
      </c>
      <c r="G2928" s="7">
        <v>210352.61324041811</v>
      </c>
      <c r="H2928" s="7">
        <v>60371200</v>
      </c>
      <c r="I2928" s="7">
        <v>6385200</v>
      </c>
      <c r="J2928" s="7">
        <v>0</v>
      </c>
      <c r="K2928">
        <f t="shared" si="45"/>
        <v>0</v>
      </c>
      <c r="L2928" s="8" t="str" cm="1">
        <f t="array" ref="L2928">_xlfn.IFS(
 AND(K2928&gt;=89,K2928&lt;=92),"3개월",
 AND(K2928&gt;=58,K2928&lt;=62),"2개월",
 AND(K2928&gt;=28,K2928&lt;=32),"1개월",
 AND(K2928=0),"당월",
 TRUE,"그외"
)</f>
        <v>당월</v>
      </c>
    </row>
    <row r="2929" spans="1:12" x14ac:dyDescent="0.3">
      <c r="A2929" s="5">
        <v>46054</v>
      </c>
      <c r="B2929" s="6" t="s">
        <v>60</v>
      </c>
      <c r="C2929" s="6" t="s">
        <v>107</v>
      </c>
      <c r="D2929" s="5">
        <v>46054</v>
      </c>
      <c r="E2929" s="6" t="s">
        <v>15</v>
      </c>
      <c r="F2929" s="7">
        <v>1260</v>
      </c>
      <c r="G2929" s="7">
        <v>251420.83968253969</v>
      </c>
      <c r="H2929" s="7">
        <v>316790258</v>
      </c>
      <c r="I2929" s="7">
        <v>45927478</v>
      </c>
      <c r="J2929" s="7">
        <v>0</v>
      </c>
      <c r="K2929">
        <f t="shared" si="45"/>
        <v>0</v>
      </c>
      <c r="L2929" s="8" t="str" cm="1">
        <f t="array" ref="L2929">_xlfn.IFS(
 AND(K2929&gt;=89,K2929&lt;=92),"3개월",
 AND(K2929&gt;=58,K2929&lt;=62),"2개월",
 AND(K2929&gt;=28,K2929&lt;=32),"1개월",
 AND(K2929=0),"당월",
 TRUE,"그외"
)</f>
        <v>당월</v>
      </c>
    </row>
    <row r="2930" spans="1:12" x14ac:dyDescent="0.3">
      <c r="A2930" s="5">
        <v>46054</v>
      </c>
      <c r="B2930" s="6" t="s">
        <v>60</v>
      </c>
      <c r="C2930" s="6" t="s">
        <v>108</v>
      </c>
      <c r="D2930" s="5">
        <v>45992</v>
      </c>
      <c r="E2930" s="6" t="s">
        <v>14</v>
      </c>
      <c r="F2930" s="7">
        <v>1</v>
      </c>
      <c r="G2930" s="7">
        <v>14400000</v>
      </c>
      <c r="H2930" s="7">
        <v>14400000</v>
      </c>
      <c r="I2930" s="7">
        <v>0</v>
      </c>
      <c r="J2930" s="7">
        <v>0</v>
      </c>
      <c r="K2930">
        <f t="shared" si="45"/>
        <v>62</v>
      </c>
      <c r="L2930" s="8" t="str" cm="1">
        <f t="array" ref="L2930">_xlfn.IFS(
 AND(K2930&gt;=89,K2930&lt;=92),"3개월",
 AND(K2930&gt;=58,K2930&lt;=62),"2개월",
 AND(K2930&gt;=28,K2930&lt;=32),"1개월",
 AND(K2930=0),"당월",
 TRUE,"그외"
)</f>
        <v>2개월</v>
      </c>
    </row>
    <row r="2931" spans="1:12" x14ac:dyDescent="0.3">
      <c r="A2931" s="5">
        <v>46054</v>
      </c>
      <c r="B2931" s="6" t="s">
        <v>60</v>
      </c>
      <c r="C2931" s="6" t="s">
        <v>108</v>
      </c>
      <c r="D2931" s="5">
        <v>45992</v>
      </c>
      <c r="E2931" s="6" t="s">
        <v>15</v>
      </c>
      <c r="F2931" s="7">
        <v>12</v>
      </c>
      <c r="G2931" s="7">
        <v>303077.66666666669</v>
      </c>
      <c r="H2931" s="7">
        <v>3636932</v>
      </c>
      <c r="I2931" s="7">
        <v>438057</v>
      </c>
      <c r="J2931" s="7">
        <v>0</v>
      </c>
      <c r="K2931">
        <f t="shared" si="45"/>
        <v>62</v>
      </c>
      <c r="L2931" s="8" t="str" cm="1">
        <f t="array" ref="L2931">_xlfn.IFS(
 AND(K2931&gt;=89,K2931&lt;=92),"3개월",
 AND(K2931&gt;=58,K2931&lt;=62),"2개월",
 AND(K2931&gt;=28,K2931&lt;=32),"1개월",
 AND(K2931=0),"당월",
 TRUE,"그외"
)</f>
        <v>2개월</v>
      </c>
    </row>
    <row r="2932" spans="1:12" x14ac:dyDescent="0.3">
      <c r="A2932" s="5">
        <v>46054</v>
      </c>
      <c r="B2932" s="6" t="s">
        <v>60</v>
      </c>
      <c r="C2932" s="6" t="s">
        <v>108</v>
      </c>
      <c r="D2932" s="5">
        <v>46023</v>
      </c>
      <c r="E2932" s="6" t="s">
        <v>14</v>
      </c>
      <c r="F2932" s="7">
        <v>386</v>
      </c>
      <c r="G2932" s="7">
        <v>556153.62694300513</v>
      </c>
      <c r="H2932" s="7">
        <v>214675300</v>
      </c>
      <c r="I2932" s="7">
        <v>2293300</v>
      </c>
      <c r="J2932" s="7">
        <v>0</v>
      </c>
      <c r="K2932">
        <f t="shared" si="45"/>
        <v>31</v>
      </c>
      <c r="L2932" s="8" t="str" cm="1">
        <f t="array" ref="L2932">_xlfn.IFS(
 AND(K2932&gt;=89,K2932&lt;=92),"3개월",
 AND(K2932&gt;=58,K2932&lt;=62),"2개월",
 AND(K2932&gt;=28,K2932&lt;=32),"1개월",
 AND(K2932=0),"당월",
 TRUE,"그외"
)</f>
        <v>1개월</v>
      </c>
    </row>
    <row r="2933" spans="1:12" x14ac:dyDescent="0.3">
      <c r="A2933" s="5">
        <v>46054</v>
      </c>
      <c r="B2933" s="6" t="s">
        <v>60</v>
      </c>
      <c r="C2933" s="6" t="s">
        <v>108</v>
      </c>
      <c r="D2933" s="5">
        <v>46023</v>
      </c>
      <c r="E2933" s="6" t="s">
        <v>15</v>
      </c>
      <c r="F2933" s="7">
        <v>355</v>
      </c>
      <c r="G2933" s="7">
        <v>149308.27323943659</v>
      </c>
      <c r="H2933" s="7">
        <v>53004437</v>
      </c>
      <c r="I2933" s="7">
        <v>13436971</v>
      </c>
      <c r="J2933" s="7">
        <v>0</v>
      </c>
      <c r="K2933">
        <f t="shared" si="45"/>
        <v>31</v>
      </c>
      <c r="L2933" s="8" t="str" cm="1">
        <f t="array" ref="L2933">_xlfn.IFS(
 AND(K2933&gt;=89,K2933&lt;=92),"3개월",
 AND(K2933&gt;=58,K2933&lt;=62),"2개월",
 AND(K2933&gt;=28,K2933&lt;=32),"1개월",
 AND(K2933=0),"당월",
 TRUE,"그외"
)</f>
        <v>1개월</v>
      </c>
    </row>
    <row r="2934" spans="1:12" x14ac:dyDescent="0.3">
      <c r="A2934" s="5">
        <v>46054</v>
      </c>
      <c r="B2934" s="6" t="s">
        <v>60</v>
      </c>
      <c r="C2934" s="6" t="s">
        <v>108</v>
      </c>
      <c r="D2934" s="5">
        <v>46054</v>
      </c>
      <c r="E2934" s="6" t="s">
        <v>14</v>
      </c>
      <c r="F2934" s="7">
        <v>1015</v>
      </c>
      <c r="G2934" s="7">
        <v>59746.798029556652</v>
      </c>
      <c r="H2934" s="7">
        <v>60643000</v>
      </c>
      <c r="I2934" s="7">
        <v>8052000</v>
      </c>
      <c r="J2934" s="7">
        <v>0</v>
      </c>
      <c r="K2934">
        <f t="shared" si="45"/>
        <v>0</v>
      </c>
      <c r="L2934" s="8" t="str" cm="1">
        <f t="array" ref="L2934">_xlfn.IFS(
 AND(K2934&gt;=89,K2934&lt;=92),"3개월",
 AND(K2934&gt;=58,K2934&lt;=62),"2개월",
 AND(K2934&gt;=28,K2934&lt;=32),"1개월",
 AND(K2934=0),"당월",
 TRUE,"그외"
)</f>
        <v>당월</v>
      </c>
    </row>
    <row r="2935" spans="1:12" x14ac:dyDescent="0.3">
      <c r="A2935" s="5">
        <v>46054</v>
      </c>
      <c r="B2935" s="6" t="s">
        <v>60</v>
      </c>
      <c r="C2935" s="6" t="s">
        <v>108</v>
      </c>
      <c r="D2935" s="5">
        <v>46054</v>
      </c>
      <c r="E2935" s="6" t="s">
        <v>15</v>
      </c>
      <c r="F2935" s="7">
        <v>480</v>
      </c>
      <c r="G2935" s="7">
        <v>184916.6854166667</v>
      </c>
      <c r="H2935" s="7">
        <v>88760009</v>
      </c>
      <c r="I2935" s="7">
        <v>17072979</v>
      </c>
      <c r="J2935" s="7">
        <v>0</v>
      </c>
      <c r="K2935">
        <f t="shared" si="45"/>
        <v>0</v>
      </c>
      <c r="L2935" s="8" t="str" cm="1">
        <f t="array" ref="L2935">_xlfn.IFS(
 AND(K2935&gt;=89,K2935&lt;=92),"3개월",
 AND(K2935&gt;=58,K2935&lt;=62),"2개월",
 AND(K2935&gt;=28,K2935&lt;=32),"1개월",
 AND(K2935=0),"당월",
 TRUE,"그외"
)</f>
        <v>당월</v>
      </c>
    </row>
    <row r="2936" spans="1:12" x14ac:dyDescent="0.3">
      <c r="A2936" s="5">
        <v>46054</v>
      </c>
      <c r="B2936" s="6" t="s">
        <v>60</v>
      </c>
      <c r="C2936" s="6" t="s">
        <v>120</v>
      </c>
      <c r="D2936" s="5">
        <v>46054</v>
      </c>
      <c r="E2936" s="6" t="s">
        <v>14</v>
      </c>
      <c r="F2936" s="7">
        <v>339</v>
      </c>
      <c r="G2936" s="7">
        <v>325958.70206489682</v>
      </c>
      <c r="H2936" s="7">
        <v>110500000</v>
      </c>
      <c r="I2936" s="7">
        <v>0</v>
      </c>
      <c r="J2936" s="7">
        <v>0</v>
      </c>
      <c r="K2936">
        <f t="shared" si="45"/>
        <v>0</v>
      </c>
      <c r="L2936" s="8" t="str" cm="1">
        <f t="array" ref="L2936">_xlfn.IFS(
 AND(K2936&gt;=89,K2936&lt;=92),"3개월",
 AND(K2936&gt;=58,K2936&lt;=62),"2개월",
 AND(K2936&gt;=28,K2936&lt;=32),"1개월",
 AND(K2936=0),"당월",
 TRUE,"그외"
)</f>
        <v>당월</v>
      </c>
    </row>
    <row r="2937" spans="1:12" x14ac:dyDescent="0.3">
      <c r="A2937" s="5">
        <v>46054</v>
      </c>
      <c r="B2937" s="6" t="s">
        <v>60</v>
      </c>
      <c r="C2937" s="6" t="s">
        <v>62</v>
      </c>
      <c r="D2937" s="5">
        <v>45839</v>
      </c>
      <c r="E2937" s="6" t="s">
        <v>15</v>
      </c>
      <c r="F2937" s="7">
        <v>6</v>
      </c>
      <c r="G2937" s="7">
        <v>325545.83333333331</v>
      </c>
      <c r="H2937" s="7">
        <v>1953275</v>
      </c>
      <c r="I2937" s="7">
        <v>286485</v>
      </c>
      <c r="J2937" s="7">
        <v>0</v>
      </c>
      <c r="K2937">
        <f t="shared" si="45"/>
        <v>215</v>
      </c>
      <c r="L2937" s="8" t="str" cm="1">
        <f t="array" ref="L2937">_xlfn.IFS(
 AND(K2937&gt;=89,K2937&lt;=92),"3개월",
 AND(K2937&gt;=58,K2937&lt;=62),"2개월",
 AND(K2937&gt;=28,K2937&lt;=32),"1개월",
 AND(K2937=0),"당월",
 TRUE,"그외"
)</f>
        <v>그외</v>
      </c>
    </row>
    <row r="2938" spans="1:12" x14ac:dyDescent="0.3">
      <c r="A2938" s="5">
        <v>46054</v>
      </c>
      <c r="B2938" s="6" t="s">
        <v>60</v>
      </c>
      <c r="C2938" s="6" t="s">
        <v>62</v>
      </c>
      <c r="D2938" s="5">
        <v>45870</v>
      </c>
      <c r="E2938" s="6" t="s">
        <v>15</v>
      </c>
      <c r="F2938" s="7">
        <v>13</v>
      </c>
      <c r="G2938" s="7">
        <v>226702.30769230769</v>
      </c>
      <c r="H2938" s="7">
        <v>2947130</v>
      </c>
      <c r="I2938" s="7">
        <v>383511</v>
      </c>
      <c r="J2938" s="7">
        <v>0</v>
      </c>
      <c r="K2938">
        <f t="shared" si="45"/>
        <v>184</v>
      </c>
      <c r="L2938" s="8" t="str" cm="1">
        <f t="array" ref="L2938">_xlfn.IFS(
 AND(K2938&gt;=89,K2938&lt;=92),"3개월",
 AND(K2938&gt;=58,K2938&lt;=62),"2개월",
 AND(K2938&gt;=28,K2938&lt;=32),"1개월",
 AND(K2938=0),"당월",
 TRUE,"그외"
)</f>
        <v>그외</v>
      </c>
    </row>
    <row r="2939" spans="1:12" x14ac:dyDescent="0.3">
      <c r="A2939" s="5">
        <v>46054</v>
      </c>
      <c r="B2939" s="6" t="s">
        <v>60</v>
      </c>
      <c r="C2939" s="6" t="s">
        <v>62</v>
      </c>
      <c r="D2939" s="5">
        <v>45901</v>
      </c>
      <c r="E2939" s="6" t="s">
        <v>15</v>
      </c>
      <c r="F2939" s="7">
        <v>20</v>
      </c>
      <c r="G2939" s="7">
        <v>427515.6</v>
      </c>
      <c r="H2939" s="7">
        <v>8550312</v>
      </c>
      <c r="I2939" s="7">
        <v>844892</v>
      </c>
      <c r="J2939" s="7">
        <v>0</v>
      </c>
      <c r="K2939">
        <f t="shared" si="45"/>
        <v>153</v>
      </c>
      <c r="L2939" s="8" t="str" cm="1">
        <f t="array" ref="L2939">_xlfn.IFS(
 AND(K2939&gt;=89,K2939&lt;=92),"3개월",
 AND(K2939&gt;=58,K2939&lt;=62),"2개월",
 AND(K2939&gt;=28,K2939&lt;=32),"1개월",
 AND(K2939=0),"당월",
 TRUE,"그외"
)</f>
        <v>그외</v>
      </c>
    </row>
    <row r="2940" spans="1:12" x14ac:dyDescent="0.3">
      <c r="A2940" s="5">
        <v>46054</v>
      </c>
      <c r="B2940" s="6" t="s">
        <v>60</v>
      </c>
      <c r="C2940" s="6" t="s">
        <v>62</v>
      </c>
      <c r="D2940" s="5">
        <v>45931</v>
      </c>
      <c r="E2940" s="6" t="s">
        <v>15</v>
      </c>
      <c r="F2940" s="7">
        <v>35</v>
      </c>
      <c r="G2940" s="7">
        <v>422537.14285714278</v>
      </c>
      <c r="H2940" s="7">
        <v>14788800</v>
      </c>
      <c r="I2940" s="7">
        <v>1133675</v>
      </c>
      <c r="J2940" s="7">
        <v>0</v>
      </c>
      <c r="K2940">
        <f t="shared" si="45"/>
        <v>123</v>
      </c>
      <c r="L2940" s="8" t="str" cm="1">
        <f t="array" ref="L2940">_xlfn.IFS(
 AND(K2940&gt;=89,K2940&lt;=92),"3개월",
 AND(K2940&gt;=58,K2940&lt;=62),"2개월",
 AND(K2940&gt;=28,K2940&lt;=32),"1개월",
 AND(K2940=0),"당월",
 TRUE,"그외"
)</f>
        <v>그외</v>
      </c>
    </row>
    <row r="2941" spans="1:12" x14ac:dyDescent="0.3">
      <c r="A2941" s="5">
        <v>46054</v>
      </c>
      <c r="B2941" s="6" t="s">
        <v>60</v>
      </c>
      <c r="C2941" s="6" t="s">
        <v>62</v>
      </c>
      <c r="D2941" s="5">
        <v>45962</v>
      </c>
      <c r="E2941" s="6" t="s">
        <v>14</v>
      </c>
      <c r="F2941" s="7">
        <v>3</v>
      </c>
      <c r="G2941" s="7">
        <v>239100</v>
      </c>
      <c r="H2941" s="7">
        <v>717300</v>
      </c>
      <c r="I2941" s="7">
        <v>84300</v>
      </c>
      <c r="J2941" s="7">
        <v>0</v>
      </c>
      <c r="K2941">
        <f t="shared" si="45"/>
        <v>92</v>
      </c>
      <c r="L2941" s="8" t="str" cm="1">
        <f t="array" ref="L2941">_xlfn.IFS(
 AND(K2941&gt;=89,K2941&lt;=92),"3개월",
 AND(K2941&gt;=58,K2941&lt;=62),"2개월",
 AND(K2941&gt;=28,K2941&lt;=32),"1개월",
 AND(K2941=0),"당월",
 TRUE,"그외"
)</f>
        <v>3개월</v>
      </c>
    </row>
    <row r="2942" spans="1:12" x14ac:dyDescent="0.3">
      <c r="A2942" s="5">
        <v>46054</v>
      </c>
      <c r="B2942" s="6" t="s">
        <v>60</v>
      </c>
      <c r="C2942" s="6" t="s">
        <v>62</v>
      </c>
      <c r="D2942" s="5">
        <v>45962</v>
      </c>
      <c r="E2942" s="6" t="s">
        <v>15</v>
      </c>
      <c r="F2942" s="7">
        <v>696</v>
      </c>
      <c r="G2942" s="7">
        <v>331257.7485632184</v>
      </c>
      <c r="H2942" s="7">
        <v>230555393</v>
      </c>
      <c r="I2942" s="7">
        <v>25154341</v>
      </c>
      <c r="J2942" s="7">
        <v>0</v>
      </c>
      <c r="K2942">
        <f t="shared" si="45"/>
        <v>92</v>
      </c>
      <c r="L2942" s="8" t="str" cm="1">
        <f t="array" ref="L2942">_xlfn.IFS(
 AND(K2942&gt;=89,K2942&lt;=92),"3개월",
 AND(K2942&gt;=58,K2942&lt;=62),"2개월",
 AND(K2942&gt;=28,K2942&lt;=32),"1개월",
 AND(K2942=0),"당월",
 TRUE,"그외"
)</f>
        <v>3개월</v>
      </c>
    </row>
    <row r="2943" spans="1:12" x14ac:dyDescent="0.3">
      <c r="A2943" s="5">
        <v>46054</v>
      </c>
      <c r="B2943" s="6" t="s">
        <v>60</v>
      </c>
      <c r="C2943" s="6" t="s">
        <v>62</v>
      </c>
      <c r="D2943" s="5">
        <v>45992</v>
      </c>
      <c r="E2943" s="6" t="s">
        <v>14</v>
      </c>
      <c r="F2943" s="7">
        <v>62</v>
      </c>
      <c r="G2943" s="7">
        <v>750109.67741935479</v>
      </c>
      <c r="H2943" s="7">
        <v>46506800</v>
      </c>
      <c r="I2943" s="7">
        <v>2006800</v>
      </c>
      <c r="J2943" s="7">
        <v>0</v>
      </c>
      <c r="K2943">
        <f t="shared" si="45"/>
        <v>62</v>
      </c>
      <c r="L2943" s="8" t="str" cm="1">
        <f t="array" ref="L2943">_xlfn.IFS(
 AND(K2943&gt;=89,K2943&lt;=92),"3개월",
 AND(K2943&gt;=58,K2943&lt;=62),"2개월",
 AND(K2943&gt;=28,K2943&lt;=32),"1개월",
 AND(K2943=0),"당월",
 TRUE,"그외"
)</f>
        <v>2개월</v>
      </c>
    </row>
    <row r="2944" spans="1:12" x14ac:dyDescent="0.3">
      <c r="A2944" s="5">
        <v>46054</v>
      </c>
      <c r="B2944" s="6" t="s">
        <v>60</v>
      </c>
      <c r="C2944" s="6" t="s">
        <v>62</v>
      </c>
      <c r="D2944" s="5">
        <v>45992</v>
      </c>
      <c r="E2944" s="6" t="s">
        <v>15</v>
      </c>
      <c r="F2944" s="7">
        <v>1699</v>
      </c>
      <c r="G2944" s="7">
        <v>343605.47675103002</v>
      </c>
      <c r="H2944" s="7">
        <v>583785705</v>
      </c>
      <c r="I2944" s="7">
        <v>70083135</v>
      </c>
      <c r="J2944" s="7">
        <v>0</v>
      </c>
      <c r="K2944">
        <f t="shared" si="45"/>
        <v>62</v>
      </c>
      <c r="L2944" s="8" t="str" cm="1">
        <f t="array" ref="L2944">_xlfn.IFS(
 AND(K2944&gt;=89,K2944&lt;=92),"3개월",
 AND(K2944&gt;=58,K2944&lt;=62),"2개월",
 AND(K2944&gt;=28,K2944&lt;=32),"1개월",
 AND(K2944=0),"당월",
 TRUE,"그외"
)</f>
        <v>2개월</v>
      </c>
    </row>
    <row r="2945" spans="1:12" x14ac:dyDescent="0.3">
      <c r="A2945" s="5">
        <v>46054</v>
      </c>
      <c r="B2945" s="6" t="s">
        <v>60</v>
      </c>
      <c r="C2945" s="6" t="s">
        <v>62</v>
      </c>
      <c r="D2945" s="5">
        <v>46023</v>
      </c>
      <c r="E2945" s="6" t="s">
        <v>14</v>
      </c>
      <c r="F2945" s="7">
        <v>1766</v>
      </c>
      <c r="G2945" s="7">
        <v>284919.95979614952</v>
      </c>
      <c r="H2945" s="7">
        <v>503168649</v>
      </c>
      <c r="I2945" s="7">
        <v>63875354</v>
      </c>
      <c r="J2945" s="7">
        <v>0</v>
      </c>
      <c r="K2945">
        <f t="shared" si="45"/>
        <v>31</v>
      </c>
      <c r="L2945" s="8" t="str" cm="1">
        <f t="array" ref="L2945">_xlfn.IFS(
 AND(K2945&gt;=89,K2945&lt;=92),"3개월",
 AND(K2945&gt;=58,K2945&lt;=62),"2개월",
 AND(K2945&gt;=28,K2945&lt;=32),"1개월",
 AND(K2945=0),"당월",
 TRUE,"그외"
)</f>
        <v>1개월</v>
      </c>
    </row>
    <row r="2946" spans="1:12" x14ac:dyDescent="0.3">
      <c r="A2946" s="5">
        <v>46054</v>
      </c>
      <c r="B2946" s="6" t="s">
        <v>60</v>
      </c>
      <c r="C2946" s="6" t="s">
        <v>62</v>
      </c>
      <c r="D2946" s="5">
        <v>46023</v>
      </c>
      <c r="E2946" s="6" t="s">
        <v>15</v>
      </c>
      <c r="F2946" s="7">
        <v>5814</v>
      </c>
      <c r="G2946" s="7">
        <v>299547.50670794642</v>
      </c>
      <c r="H2946" s="7">
        <v>1741569204</v>
      </c>
      <c r="I2946" s="7">
        <v>242347316</v>
      </c>
      <c r="J2946" s="7">
        <v>0</v>
      </c>
      <c r="K2946">
        <f t="shared" si="45"/>
        <v>31</v>
      </c>
      <c r="L2946" s="8" t="str" cm="1">
        <f t="array" ref="L2946">_xlfn.IFS(
 AND(K2946&gt;=89,K2946&lt;=92),"3개월",
 AND(K2946&gt;=58,K2946&lt;=62),"2개월",
 AND(K2946&gt;=28,K2946&lt;=32),"1개월",
 AND(K2946=0),"당월",
 TRUE,"그외"
)</f>
        <v>1개월</v>
      </c>
    </row>
    <row r="2947" spans="1:12" x14ac:dyDescent="0.3">
      <c r="A2947" s="5">
        <v>46054</v>
      </c>
      <c r="B2947" s="6" t="s">
        <v>60</v>
      </c>
      <c r="C2947" s="6" t="s">
        <v>62</v>
      </c>
      <c r="D2947" s="5">
        <v>46054</v>
      </c>
      <c r="E2947" s="6" t="s">
        <v>14</v>
      </c>
      <c r="F2947" s="7">
        <v>1704</v>
      </c>
      <c r="G2947" s="7">
        <v>134747.27230046951</v>
      </c>
      <c r="H2947" s="7">
        <v>229609352</v>
      </c>
      <c r="I2947" s="7">
        <v>42741564</v>
      </c>
      <c r="J2947" s="7">
        <v>0</v>
      </c>
      <c r="K2947">
        <f t="shared" si="45"/>
        <v>0</v>
      </c>
      <c r="L2947" s="8" t="str" cm="1">
        <f t="array" ref="L2947">_xlfn.IFS(
 AND(K2947&gt;=89,K2947&lt;=92),"3개월",
 AND(K2947&gt;=58,K2947&lt;=62),"2개월",
 AND(K2947&gt;=28,K2947&lt;=32),"1개월",
 AND(K2947=0),"당월",
 TRUE,"그외"
)</f>
        <v>당월</v>
      </c>
    </row>
    <row r="2948" spans="1:12" x14ac:dyDescent="0.3">
      <c r="A2948" s="5">
        <v>46054</v>
      </c>
      <c r="B2948" s="6" t="s">
        <v>60</v>
      </c>
      <c r="C2948" s="6" t="s">
        <v>62</v>
      </c>
      <c r="D2948" s="5">
        <v>46054</v>
      </c>
      <c r="E2948" s="6" t="s">
        <v>15</v>
      </c>
      <c r="F2948" s="7">
        <v>1132</v>
      </c>
      <c r="G2948" s="7">
        <v>444869.76236749109</v>
      </c>
      <c r="H2948" s="7">
        <v>503592571</v>
      </c>
      <c r="I2948" s="7">
        <v>44355630</v>
      </c>
      <c r="J2948" s="7">
        <v>0</v>
      </c>
      <c r="K2948">
        <f t="shared" si="45"/>
        <v>0</v>
      </c>
      <c r="L2948" s="8" t="str" cm="1">
        <f t="array" ref="L2948">_xlfn.IFS(
 AND(K2948&gt;=89,K2948&lt;=92),"3개월",
 AND(K2948&gt;=58,K2948&lt;=62),"2개월",
 AND(K2948&gt;=28,K2948&lt;=32),"1개월",
 AND(K2948=0),"당월",
 TRUE,"그외"
)</f>
        <v>당월</v>
      </c>
    </row>
    <row r="2949" spans="1:12" x14ac:dyDescent="0.3">
      <c r="A2949" s="5">
        <v>46054</v>
      </c>
      <c r="B2949" s="6" t="s">
        <v>60</v>
      </c>
      <c r="C2949" s="6" t="s">
        <v>63</v>
      </c>
      <c r="D2949" s="5">
        <v>45870</v>
      </c>
      <c r="E2949" s="6" t="s">
        <v>15</v>
      </c>
      <c r="F2949" s="7">
        <v>74</v>
      </c>
      <c r="G2949" s="7">
        <v>259689.4324324324</v>
      </c>
      <c r="H2949" s="7">
        <v>19217018</v>
      </c>
      <c r="I2949" s="7">
        <v>3281269</v>
      </c>
      <c r="J2949" s="7">
        <v>0</v>
      </c>
      <c r="K2949">
        <f t="shared" si="45"/>
        <v>184</v>
      </c>
      <c r="L2949" s="8" t="str" cm="1">
        <f t="array" ref="L2949">_xlfn.IFS(
 AND(K2949&gt;=89,K2949&lt;=92),"3개월",
 AND(K2949&gt;=58,K2949&lt;=62),"2개월",
 AND(K2949&gt;=28,K2949&lt;=32),"1개월",
 AND(K2949=0),"당월",
 TRUE,"그외"
)</f>
        <v>그외</v>
      </c>
    </row>
    <row r="2950" spans="1:12" x14ac:dyDescent="0.3">
      <c r="A2950" s="5">
        <v>46054</v>
      </c>
      <c r="B2950" s="6" t="s">
        <v>60</v>
      </c>
      <c r="C2950" s="6" t="s">
        <v>63</v>
      </c>
      <c r="D2950" s="5">
        <v>45901</v>
      </c>
      <c r="E2950" s="6" t="s">
        <v>14</v>
      </c>
      <c r="F2950" s="7">
        <v>10</v>
      </c>
      <c r="G2950" s="7">
        <v>217700</v>
      </c>
      <c r="H2950" s="7">
        <v>2177000</v>
      </c>
      <c r="I2950" s="7">
        <v>277000</v>
      </c>
      <c r="J2950" s="7">
        <v>0</v>
      </c>
      <c r="K2950">
        <f t="shared" si="45"/>
        <v>153</v>
      </c>
      <c r="L2950" s="8" t="str" cm="1">
        <f t="array" ref="L2950">_xlfn.IFS(
 AND(K2950&gt;=89,K2950&lt;=92),"3개월",
 AND(K2950&gt;=58,K2950&lt;=62),"2개월",
 AND(K2950&gt;=28,K2950&lt;=32),"1개월",
 AND(K2950=0),"당월",
 TRUE,"그외"
)</f>
        <v>그외</v>
      </c>
    </row>
    <row r="2951" spans="1:12" x14ac:dyDescent="0.3">
      <c r="A2951" s="5">
        <v>46054</v>
      </c>
      <c r="B2951" s="6" t="s">
        <v>60</v>
      </c>
      <c r="C2951" s="6" t="s">
        <v>63</v>
      </c>
      <c r="D2951" s="5">
        <v>45901</v>
      </c>
      <c r="E2951" s="6" t="s">
        <v>15</v>
      </c>
      <c r="F2951" s="7">
        <v>132</v>
      </c>
      <c r="G2951" s="7">
        <v>198058.90151515149</v>
      </c>
      <c r="H2951" s="7">
        <v>26143775</v>
      </c>
      <c r="I2951" s="7">
        <v>5641310</v>
      </c>
      <c r="J2951" s="7">
        <v>0</v>
      </c>
      <c r="K2951">
        <f t="shared" si="45"/>
        <v>153</v>
      </c>
      <c r="L2951" s="8" t="str" cm="1">
        <f t="array" ref="L2951">_xlfn.IFS(
 AND(K2951&gt;=89,K2951&lt;=92),"3개월",
 AND(K2951&gt;=58,K2951&lt;=62),"2개월",
 AND(K2951&gt;=28,K2951&lt;=32),"1개월",
 AND(K2951=0),"당월",
 TRUE,"그외"
)</f>
        <v>그외</v>
      </c>
    </row>
    <row r="2952" spans="1:12" x14ac:dyDescent="0.3">
      <c r="A2952" s="5">
        <v>46054</v>
      </c>
      <c r="B2952" s="6" t="s">
        <v>60</v>
      </c>
      <c r="C2952" s="6" t="s">
        <v>63</v>
      </c>
      <c r="D2952" s="5">
        <v>45931</v>
      </c>
      <c r="E2952" s="6" t="s">
        <v>15</v>
      </c>
      <c r="F2952" s="7">
        <v>421</v>
      </c>
      <c r="G2952" s="7">
        <v>226235.4560570071</v>
      </c>
      <c r="H2952" s="7">
        <v>95245127</v>
      </c>
      <c r="I2952" s="7">
        <v>18620218</v>
      </c>
      <c r="J2952" s="7">
        <v>0</v>
      </c>
      <c r="K2952">
        <f t="shared" si="45"/>
        <v>123</v>
      </c>
      <c r="L2952" s="8" t="str" cm="1">
        <f t="array" ref="L2952">_xlfn.IFS(
 AND(K2952&gt;=89,K2952&lt;=92),"3개월",
 AND(K2952&gt;=58,K2952&lt;=62),"2개월",
 AND(K2952&gt;=28,K2952&lt;=32),"1개월",
 AND(K2952=0),"당월",
 TRUE,"그외"
)</f>
        <v>그외</v>
      </c>
    </row>
    <row r="2953" spans="1:12" x14ac:dyDescent="0.3">
      <c r="A2953" s="5">
        <v>46054</v>
      </c>
      <c r="B2953" s="6" t="s">
        <v>60</v>
      </c>
      <c r="C2953" s="6" t="s">
        <v>63</v>
      </c>
      <c r="D2953" s="5">
        <v>45962</v>
      </c>
      <c r="E2953" s="6" t="s">
        <v>15</v>
      </c>
      <c r="F2953" s="7">
        <v>1056</v>
      </c>
      <c r="G2953" s="7">
        <v>216748.85700757569</v>
      </c>
      <c r="H2953" s="7">
        <v>228886793</v>
      </c>
      <c r="I2953" s="7">
        <v>46974754</v>
      </c>
      <c r="J2953" s="7">
        <v>0</v>
      </c>
      <c r="K2953">
        <f t="shared" si="45"/>
        <v>92</v>
      </c>
      <c r="L2953" s="8" t="str" cm="1">
        <f t="array" ref="L2953">_xlfn.IFS(
 AND(K2953&gt;=89,K2953&lt;=92),"3개월",
 AND(K2953&gt;=58,K2953&lt;=62),"2개월",
 AND(K2953&gt;=28,K2953&lt;=32),"1개월",
 AND(K2953=0),"당월",
 TRUE,"그외"
)</f>
        <v>3개월</v>
      </c>
    </row>
    <row r="2954" spans="1:12" x14ac:dyDescent="0.3">
      <c r="A2954" s="5">
        <v>46054</v>
      </c>
      <c r="B2954" s="6" t="s">
        <v>60</v>
      </c>
      <c r="C2954" s="6" t="s">
        <v>63</v>
      </c>
      <c r="D2954" s="5">
        <v>45992</v>
      </c>
      <c r="E2954" s="6" t="s">
        <v>14</v>
      </c>
      <c r="F2954" s="7">
        <v>19</v>
      </c>
      <c r="G2954" s="7">
        <v>144600</v>
      </c>
      <c r="H2954" s="7">
        <v>2747400</v>
      </c>
      <c r="I2954" s="7">
        <v>657400</v>
      </c>
      <c r="J2954" s="7">
        <v>0</v>
      </c>
      <c r="K2954">
        <f t="shared" ref="K2954:K3017" si="46">A2954-D2954</f>
        <v>62</v>
      </c>
      <c r="L2954" s="8" t="str" cm="1">
        <f t="array" ref="L2954">_xlfn.IFS(
 AND(K2954&gt;=89,K2954&lt;=92),"3개월",
 AND(K2954&gt;=58,K2954&lt;=62),"2개월",
 AND(K2954&gt;=28,K2954&lt;=32),"1개월",
 AND(K2954=0),"당월",
 TRUE,"그외"
)</f>
        <v>2개월</v>
      </c>
    </row>
    <row r="2955" spans="1:12" x14ac:dyDescent="0.3">
      <c r="A2955" s="5">
        <v>46054</v>
      </c>
      <c r="B2955" s="6" t="s">
        <v>60</v>
      </c>
      <c r="C2955" s="6" t="s">
        <v>63</v>
      </c>
      <c r="D2955" s="5">
        <v>45992</v>
      </c>
      <c r="E2955" s="6" t="s">
        <v>15</v>
      </c>
      <c r="F2955" s="7">
        <v>911</v>
      </c>
      <c r="G2955" s="7">
        <v>181282.15477497259</v>
      </c>
      <c r="H2955" s="7">
        <v>165148043</v>
      </c>
      <c r="I2955" s="7">
        <v>41515452</v>
      </c>
      <c r="J2955" s="7">
        <v>0</v>
      </c>
      <c r="K2955">
        <f t="shared" si="46"/>
        <v>62</v>
      </c>
      <c r="L2955" s="8" t="str" cm="1">
        <f t="array" ref="L2955">_xlfn.IFS(
 AND(K2955&gt;=89,K2955&lt;=92),"3개월",
 AND(K2955&gt;=58,K2955&lt;=62),"2개월",
 AND(K2955&gt;=28,K2955&lt;=32),"1개월",
 AND(K2955=0),"당월",
 TRUE,"그외"
)</f>
        <v>2개월</v>
      </c>
    </row>
    <row r="2956" spans="1:12" x14ac:dyDescent="0.3">
      <c r="A2956" s="5">
        <v>46054</v>
      </c>
      <c r="B2956" s="6" t="s">
        <v>60</v>
      </c>
      <c r="C2956" s="6" t="s">
        <v>63</v>
      </c>
      <c r="D2956" s="5">
        <v>46023</v>
      </c>
      <c r="E2956" s="6" t="s">
        <v>14</v>
      </c>
      <c r="F2956" s="7">
        <v>150</v>
      </c>
      <c r="G2956" s="7">
        <v>201565.5866666667</v>
      </c>
      <c r="H2956" s="7">
        <v>30234838</v>
      </c>
      <c r="I2956" s="7">
        <v>7277452</v>
      </c>
      <c r="J2956" s="7">
        <v>0</v>
      </c>
      <c r="K2956">
        <f t="shared" si="46"/>
        <v>31</v>
      </c>
      <c r="L2956" s="8" t="str" cm="1">
        <f t="array" ref="L2956">_xlfn.IFS(
 AND(K2956&gt;=89,K2956&lt;=92),"3개월",
 AND(K2956&gt;=58,K2956&lt;=62),"2개월",
 AND(K2956&gt;=28,K2956&lt;=32),"1개월",
 AND(K2956=0),"당월",
 TRUE,"그외"
)</f>
        <v>1개월</v>
      </c>
    </row>
    <row r="2957" spans="1:12" x14ac:dyDescent="0.3">
      <c r="A2957" s="5">
        <v>46054</v>
      </c>
      <c r="B2957" s="6" t="s">
        <v>60</v>
      </c>
      <c r="C2957" s="6" t="s">
        <v>63</v>
      </c>
      <c r="D2957" s="5">
        <v>46023</v>
      </c>
      <c r="E2957" s="6" t="s">
        <v>15</v>
      </c>
      <c r="F2957" s="7">
        <v>1581</v>
      </c>
      <c r="G2957" s="7">
        <v>193697.00506008859</v>
      </c>
      <c r="H2957" s="7">
        <v>306234965</v>
      </c>
      <c r="I2957" s="7">
        <v>73194017</v>
      </c>
      <c r="J2957" s="7">
        <v>0</v>
      </c>
      <c r="K2957">
        <f t="shared" si="46"/>
        <v>31</v>
      </c>
      <c r="L2957" s="8" t="str" cm="1">
        <f t="array" ref="L2957">_xlfn.IFS(
 AND(K2957&gt;=89,K2957&lt;=92),"3개월",
 AND(K2957&gt;=58,K2957&lt;=62),"2개월",
 AND(K2957&gt;=28,K2957&lt;=32),"1개월",
 AND(K2957=0),"당월",
 TRUE,"그외"
)</f>
        <v>1개월</v>
      </c>
    </row>
    <row r="2958" spans="1:12" x14ac:dyDescent="0.3">
      <c r="A2958" s="5">
        <v>46054</v>
      </c>
      <c r="B2958" s="6" t="s">
        <v>60</v>
      </c>
      <c r="C2958" s="6" t="s">
        <v>63</v>
      </c>
      <c r="D2958" s="5">
        <v>46054</v>
      </c>
      <c r="E2958" s="6" t="s">
        <v>14</v>
      </c>
      <c r="F2958" s="7">
        <v>243</v>
      </c>
      <c r="G2958" s="7">
        <v>136432.09876543211</v>
      </c>
      <c r="H2958" s="7">
        <v>33153000</v>
      </c>
      <c r="I2958" s="7">
        <v>6075000</v>
      </c>
      <c r="J2958" s="7">
        <v>0</v>
      </c>
      <c r="K2958">
        <f t="shared" si="46"/>
        <v>0</v>
      </c>
      <c r="L2958" s="8" t="str" cm="1">
        <f t="array" ref="L2958">_xlfn.IFS(
 AND(K2958&gt;=89,K2958&lt;=92),"3개월",
 AND(K2958&gt;=58,K2958&lt;=62),"2개월",
 AND(K2958&gt;=28,K2958&lt;=32),"1개월",
 AND(K2958=0),"당월",
 TRUE,"그외"
)</f>
        <v>당월</v>
      </c>
    </row>
    <row r="2959" spans="1:12" x14ac:dyDescent="0.3">
      <c r="A2959" s="5">
        <v>46054</v>
      </c>
      <c r="B2959" s="6" t="s">
        <v>60</v>
      </c>
      <c r="C2959" s="6" t="s">
        <v>63</v>
      </c>
      <c r="D2959" s="5">
        <v>46054</v>
      </c>
      <c r="E2959" s="6" t="s">
        <v>15</v>
      </c>
      <c r="F2959" s="7">
        <v>679</v>
      </c>
      <c r="G2959" s="7">
        <v>207160.32989690721</v>
      </c>
      <c r="H2959" s="7">
        <v>140661864</v>
      </c>
      <c r="I2959" s="7">
        <v>29750954</v>
      </c>
      <c r="J2959" s="7">
        <v>0</v>
      </c>
      <c r="K2959">
        <f t="shared" si="46"/>
        <v>0</v>
      </c>
      <c r="L2959" s="8" t="str" cm="1">
        <f t="array" ref="L2959">_xlfn.IFS(
 AND(K2959&gt;=89,K2959&lt;=92),"3개월",
 AND(K2959&gt;=58,K2959&lt;=62),"2개월",
 AND(K2959&gt;=28,K2959&lt;=32),"1개월",
 AND(K2959=0),"당월",
 TRUE,"그외"
)</f>
        <v>당월</v>
      </c>
    </row>
    <row r="2960" spans="1:12" x14ac:dyDescent="0.3">
      <c r="A2960" s="5">
        <v>46054</v>
      </c>
      <c r="B2960" s="6" t="s">
        <v>60</v>
      </c>
      <c r="C2960" s="6" t="s">
        <v>64</v>
      </c>
      <c r="D2960" s="5">
        <v>45839</v>
      </c>
      <c r="E2960" s="6" t="s">
        <v>15</v>
      </c>
      <c r="F2960" s="7">
        <v>108</v>
      </c>
      <c r="G2960" s="7">
        <v>326575.16666666669</v>
      </c>
      <c r="H2960" s="7">
        <v>35270118</v>
      </c>
      <c r="I2960" s="7">
        <v>1807257</v>
      </c>
      <c r="J2960" s="7">
        <v>0</v>
      </c>
      <c r="K2960">
        <f t="shared" si="46"/>
        <v>215</v>
      </c>
      <c r="L2960" s="8" t="str" cm="1">
        <f t="array" ref="L2960">_xlfn.IFS(
 AND(K2960&gt;=89,K2960&lt;=92),"3개월",
 AND(K2960&gt;=58,K2960&lt;=62),"2개월",
 AND(K2960&gt;=28,K2960&lt;=32),"1개월",
 AND(K2960=0),"당월",
 TRUE,"그외"
)</f>
        <v>그외</v>
      </c>
    </row>
    <row r="2961" spans="1:12" x14ac:dyDescent="0.3">
      <c r="A2961" s="5">
        <v>46054</v>
      </c>
      <c r="B2961" s="6" t="s">
        <v>60</v>
      </c>
      <c r="C2961" s="6" t="s">
        <v>64</v>
      </c>
      <c r="D2961" s="5">
        <v>45870</v>
      </c>
      <c r="E2961" s="6" t="s">
        <v>15</v>
      </c>
      <c r="F2961" s="7">
        <v>358</v>
      </c>
      <c r="G2961" s="7">
        <v>332315.53631284909</v>
      </c>
      <c r="H2961" s="7">
        <v>118968962</v>
      </c>
      <c r="I2961" s="7">
        <v>9470581</v>
      </c>
      <c r="J2961" s="7">
        <v>0</v>
      </c>
      <c r="K2961">
        <f t="shared" si="46"/>
        <v>184</v>
      </c>
      <c r="L2961" s="8" t="str" cm="1">
        <f t="array" ref="L2961">_xlfn.IFS(
 AND(K2961&gt;=89,K2961&lt;=92),"3개월",
 AND(K2961&gt;=58,K2961&lt;=62),"2개월",
 AND(K2961&gt;=28,K2961&lt;=32),"1개월",
 AND(K2961=0),"당월",
 TRUE,"그외"
)</f>
        <v>그외</v>
      </c>
    </row>
    <row r="2962" spans="1:12" x14ac:dyDescent="0.3">
      <c r="A2962" s="5">
        <v>46054</v>
      </c>
      <c r="B2962" s="6" t="s">
        <v>60</v>
      </c>
      <c r="C2962" s="6" t="s">
        <v>64</v>
      </c>
      <c r="D2962" s="5">
        <v>45901</v>
      </c>
      <c r="E2962" s="6" t="s">
        <v>15</v>
      </c>
      <c r="F2962" s="7">
        <v>345</v>
      </c>
      <c r="G2962" s="7">
        <v>298494.79420289863</v>
      </c>
      <c r="H2962" s="7">
        <v>102980704</v>
      </c>
      <c r="I2962" s="7">
        <v>9535870</v>
      </c>
      <c r="J2962" s="7">
        <v>0</v>
      </c>
      <c r="K2962">
        <f t="shared" si="46"/>
        <v>153</v>
      </c>
      <c r="L2962" s="8" t="str" cm="1">
        <f t="array" ref="L2962">_xlfn.IFS(
 AND(K2962&gt;=89,K2962&lt;=92),"3개월",
 AND(K2962&gt;=58,K2962&lt;=62),"2개월",
 AND(K2962&gt;=28,K2962&lt;=32),"1개월",
 AND(K2962=0),"당월",
 TRUE,"그외"
)</f>
        <v>그외</v>
      </c>
    </row>
    <row r="2963" spans="1:12" x14ac:dyDescent="0.3">
      <c r="A2963" s="5">
        <v>46054</v>
      </c>
      <c r="B2963" s="6" t="s">
        <v>60</v>
      </c>
      <c r="C2963" s="6" t="s">
        <v>64</v>
      </c>
      <c r="D2963" s="5">
        <v>45931</v>
      </c>
      <c r="E2963" s="6" t="s">
        <v>14</v>
      </c>
      <c r="F2963" s="7">
        <v>34</v>
      </c>
      <c r="G2963" s="7">
        <v>241400</v>
      </c>
      <c r="H2963" s="7">
        <v>8207600</v>
      </c>
      <c r="I2963" s="7">
        <v>897600</v>
      </c>
      <c r="J2963" s="7">
        <v>0</v>
      </c>
      <c r="K2963">
        <f t="shared" si="46"/>
        <v>123</v>
      </c>
      <c r="L2963" s="8" t="str" cm="1">
        <f t="array" ref="L2963">_xlfn.IFS(
 AND(K2963&gt;=89,K2963&lt;=92),"3개월",
 AND(K2963&gt;=58,K2963&lt;=62),"2개월",
 AND(K2963&gt;=28,K2963&lt;=32),"1개월",
 AND(K2963=0),"당월",
 TRUE,"그외"
)</f>
        <v>그외</v>
      </c>
    </row>
    <row r="2964" spans="1:12" x14ac:dyDescent="0.3">
      <c r="A2964" s="5">
        <v>46054</v>
      </c>
      <c r="B2964" s="6" t="s">
        <v>60</v>
      </c>
      <c r="C2964" s="6" t="s">
        <v>64</v>
      </c>
      <c r="D2964" s="5">
        <v>45931</v>
      </c>
      <c r="E2964" s="6" t="s">
        <v>15</v>
      </c>
      <c r="F2964" s="7">
        <v>503</v>
      </c>
      <c r="G2964" s="7">
        <v>303743.19284294237</v>
      </c>
      <c r="H2964" s="7">
        <v>152782826</v>
      </c>
      <c r="I2964" s="7">
        <v>13705836</v>
      </c>
      <c r="J2964" s="7">
        <v>0</v>
      </c>
      <c r="K2964">
        <f t="shared" si="46"/>
        <v>123</v>
      </c>
      <c r="L2964" s="8" t="str" cm="1">
        <f t="array" ref="L2964">_xlfn.IFS(
 AND(K2964&gt;=89,K2964&lt;=92),"3개월",
 AND(K2964&gt;=58,K2964&lt;=62),"2개월",
 AND(K2964&gt;=28,K2964&lt;=32),"1개월",
 AND(K2964=0),"당월",
 TRUE,"그외"
)</f>
        <v>그외</v>
      </c>
    </row>
    <row r="2965" spans="1:12" x14ac:dyDescent="0.3">
      <c r="A2965" s="5">
        <v>46054</v>
      </c>
      <c r="B2965" s="6" t="s">
        <v>60</v>
      </c>
      <c r="C2965" s="6" t="s">
        <v>64</v>
      </c>
      <c r="D2965" s="5">
        <v>45962</v>
      </c>
      <c r="E2965" s="6" t="s">
        <v>14</v>
      </c>
      <c r="F2965" s="7">
        <v>176</v>
      </c>
      <c r="G2965" s="7">
        <v>229472.72727272729</v>
      </c>
      <c r="H2965" s="7">
        <v>40387200</v>
      </c>
      <c r="I2965" s="7">
        <v>4699200</v>
      </c>
      <c r="J2965" s="7">
        <v>0</v>
      </c>
      <c r="K2965">
        <f t="shared" si="46"/>
        <v>92</v>
      </c>
      <c r="L2965" s="8" t="str" cm="1">
        <f t="array" ref="L2965">_xlfn.IFS(
 AND(K2965&gt;=89,K2965&lt;=92),"3개월",
 AND(K2965&gt;=58,K2965&lt;=62),"2개월",
 AND(K2965&gt;=28,K2965&lt;=32),"1개월",
 AND(K2965=0),"당월",
 TRUE,"그외"
)</f>
        <v>3개월</v>
      </c>
    </row>
    <row r="2966" spans="1:12" x14ac:dyDescent="0.3">
      <c r="A2966" s="5">
        <v>46054</v>
      </c>
      <c r="B2966" s="6" t="s">
        <v>60</v>
      </c>
      <c r="C2966" s="6" t="s">
        <v>64</v>
      </c>
      <c r="D2966" s="5">
        <v>45962</v>
      </c>
      <c r="E2966" s="6" t="s">
        <v>15</v>
      </c>
      <c r="F2966" s="7">
        <v>423</v>
      </c>
      <c r="G2966" s="7">
        <v>305485.38061465719</v>
      </c>
      <c r="H2966" s="7">
        <v>129220316</v>
      </c>
      <c r="I2966" s="7">
        <v>11713681</v>
      </c>
      <c r="J2966" s="7">
        <v>0</v>
      </c>
      <c r="K2966">
        <f t="shared" si="46"/>
        <v>92</v>
      </c>
      <c r="L2966" s="8" t="str" cm="1">
        <f t="array" ref="L2966">_xlfn.IFS(
 AND(K2966&gt;=89,K2966&lt;=92),"3개월",
 AND(K2966&gt;=58,K2966&lt;=62),"2개월",
 AND(K2966&gt;=28,K2966&lt;=32),"1개월",
 AND(K2966=0),"당월",
 TRUE,"그외"
)</f>
        <v>3개월</v>
      </c>
    </row>
    <row r="2967" spans="1:12" x14ac:dyDescent="0.3">
      <c r="A2967" s="5">
        <v>46054</v>
      </c>
      <c r="B2967" s="6" t="s">
        <v>60</v>
      </c>
      <c r="C2967" s="6" t="s">
        <v>64</v>
      </c>
      <c r="D2967" s="5">
        <v>45992</v>
      </c>
      <c r="E2967" s="6" t="s">
        <v>14</v>
      </c>
      <c r="F2967" s="7">
        <v>852</v>
      </c>
      <c r="G2967" s="7">
        <v>217114.3192488263</v>
      </c>
      <c r="H2967" s="7">
        <v>184981400</v>
      </c>
      <c r="I2967" s="7">
        <v>27008400</v>
      </c>
      <c r="J2967" s="7">
        <v>0</v>
      </c>
      <c r="K2967">
        <f t="shared" si="46"/>
        <v>62</v>
      </c>
      <c r="L2967" s="8" t="str" cm="1">
        <f t="array" ref="L2967">_xlfn.IFS(
 AND(K2967&gt;=89,K2967&lt;=92),"3개월",
 AND(K2967&gt;=58,K2967&lt;=62),"2개월",
 AND(K2967&gt;=28,K2967&lt;=32),"1개월",
 AND(K2967=0),"당월",
 TRUE,"그외"
)</f>
        <v>2개월</v>
      </c>
    </row>
    <row r="2968" spans="1:12" x14ac:dyDescent="0.3">
      <c r="A2968" s="5">
        <v>46054</v>
      </c>
      <c r="B2968" s="6" t="s">
        <v>60</v>
      </c>
      <c r="C2968" s="6" t="s">
        <v>64</v>
      </c>
      <c r="D2968" s="5">
        <v>45992</v>
      </c>
      <c r="E2968" s="6" t="s">
        <v>15</v>
      </c>
      <c r="F2968" s="7">
        <v>2392</v>
      </c>
      <c r="G2968" s="7">
        <v>282178.85200668889</v>
      </c>
      <c r="H2968" s="7">
        <v>674971814</v>
      </c>
      <c r="I2968" s="7">
        <v>75447123</v>
      </c>
      <c r="J2968" s="7">
        <v>0</v>
      </c>
      <c r="K2968">
        <f t="shared" si="46"/>
        <v>62</v>
      </c>
      <c r="L2968" s="8" t="str" cm="1">
        <f t="array" ref="L2968">_xlfn.IFS(
 AND(K2968&gt;=89,K2968&lt;=92),"3개월",
 AND(K2968&gt;=58,K2968&lt;=62),"2개월",
 AND(K2968&gt;=28,K2968&lt;=32),"1개월",
 AND(K2968=0),"당월",
 TRUE,"그외"
)</f>
        <v>2개월</v>
      </c>
    </row>
    <row r="2969" spans="1:12" x14ac:dyDescent="0.3">
      <c r="A2969" s="5">
        <v>46054</v>
      </c>
      <c r="B2969" s="6" t="s">
        <v>60</v>
      </c>
      <c r="C2969" s="6" t="s">
        <v>64</v>
      </c>
      <c r="D2969" s="5">
        <v>46023</v>
      </c>
      <c r="E2969" s="6" t="s">
        <v>14</v>
      </c>
      <c r="F2969" s="7">
        <v>2177</v>
      </c>
      <c r="G2969" s="7">
        <v>227133.89986219571</v>
      </c>
      <c r="H2969" s="7">
        <v>494470500</v>
      </c>
      <c r="I2969" s="7">
        <v>70303500</v>
      </c>
      <c r="J2969" s="7">
        <v>0</v>
      </c>
      <c r="K2969">
        <f t="shared" si="46"/>
        <v>31</v>
      </c>
      <c r="L2969" s="8" t="str" cm="1">
        <f t="array" ref="L2969">_xlfn.IFS(
 AND(K2969&gt;=89,K2969&lt;=92),"3개월",
 AND(K2969&gt;=58,K2969&lt;=62),"2개월",
 AND(K2969&gt;=28,K2969&lt;=32),"1개월",
 AND(K2969=0),"당월",
 TRUE,"그외"
)</f>
        <v>1개월</v>
      </c>
    </row>
    <row r="2970" spans="1:12" x14ac:dyDescent="0.3">
      <c r="A2970" s="5">
        <v>46054</v>
      </c>
      <c r="B2970" s="6" t="s">
        <v>60</v>
      </c>
      <c r="C2970" s="6" t="s">
        <v>64</v>
      </c>
      <c r="D2970" s="5">
        <v>46023</v>
      </c>
      <c r="E2970" s="6" t="s">
        <v>15</v>
      </c>
      <c r="F2970" s="7">
        <v>8668</v>
      </c>
      <c r="G2970" s="7">
        <v>240657.3640978311</v>
      </c>
      <c r="H2970" s="7">
        <v>2086018032</v>
      </c>
      <c r="I2970" s="7">
        <v>281595147</v>
      </c>
      <c r="J2970" s="7">
        <v>0</v>
      </c>
      <c r="K2970">
        <f t="shared" si="46"/>
        <v>31</v>
      </c>
      <c r="L2970" s="8" t="str" cm="1">
        <f t="array" ref="L2970">_xlfn.IFS(
 AND(K2970&gt;=89,K2970&lt;=92),"3개월",
 AND(K2970&gt;=58,K2970&lt;=62),"2개월",
 AND(K2970&gt;=28,K2970&lt;=32),"1개월",
 AND(K2970=0),"당월",
 TRUE,"그외"
)</f>
        <v>1개월</v>
      </c>
    </row>
    <row r="2971" spans="1:12" x14ac:dyDescent="0.3">
      <c r="A2971" s="5">
        <v>46054</v>
      </c>
      <c r="B2971" s="6" t="s">
        <v>60</v>
      </c>
      <c r="C2971" s="6" t="s">
        <v>64</v>
      </c>
      <c r="D2971" s="5">
        <v>46054</v>
      </c>
      <c r="E2971" s="6" t="s">
        <v>14</v>
      </c>
      <c r="F2971" s="7">
        <v>1036</v>
      </c>
      <c r="G2971" s="7">
        <v>252980.3088803089</v>
      </c>
      <c r="H2971" s="7">
        <v>262087600</v>
      </c>
      <c r="I2971" s="7">
        <v>22842600</v>
      </c>
      <c r="J2971" s="7">
        <v>0</v>
      </c>
      <c r="K2971">
        <f t="shared" si="46"/>
        <v>0</v>
      </c>
      <c r="L2971" s="8" t="str" cm="1">
        <f t="array" ref="L2971">_xlfn.IFS(
 AND(K2971&gt;=89,K2971&lt;=92),"3개월",
 AND(K2971&gt;=58,K2971&lt;=62),"2개월",
 AND(K2971&gt;=28,K2971&lt;=32),"1개월",
 AND(K2971=0),"당월",
 TRUE,"그외"
)</f>
        <v>당월</v>
      </c>
    </row>
    <row r="2972" spans="1:12" x14ac:dyDescent="0.3">
      <c r="A2972" s="5">
        <v>46054</v>
      </c>
      <c r="B2972" s="6" t="s">
        <v>60</v>
      </c>
      <c r="C2972" s="6" t="s">
        <v>64</v>
      </c>
      <c r="D2972" s="5">
        <v>46054</v>
      </c>
      <c r="E2972" s="6" t="s">
        <v>15</v>
      </c>
      <c r="F2972" s="7">
        <v>2231</v>
      </c>
      <c r="G2972" s="7">
        <v>282560.63783056918</v>
      </c>
      <c r="H2972" s="7">
        <v>630392783</v>
      </c>
      <c r="I2972" s="7">
        <v>57093395</v>
      </c>
      <c r="J2972" s="7">
        <v>0</v>
      </c>
      <c r="K2972">
        <f t="shared" si="46"/>
        <v>0</v>
      </c>
      <c r="L2972" s="8" t="str" cm="1">
        <f t="array" ref="L2972">_xlfn.IFS(
 AND(K2972&gt;=89,K2972&lt;=92),"3개월",
 AND(K2972&gt;=58,K2972&lt;=62),"2개월",
 AND(K2972&gt;=28,K2972&lt;=32),"1개월",
 AND(K2972=0),"당월",
 TRUE,"그외"
)</f>
        <v>당월</v>
      </c>
    </row>
    <row r="2973" spans="1:12" x14ac:dyDescent="0.3">
      <c r="A2973" s="5">
        <v>46054</v>
      </c>
      <c r="B2973" s="6" t="s">
        <v>60</v>
      </c>
      <c r="C2973" s="6" t="s">
        <v>65</v>
      </c>
      <c r="D2973" s="5">
        <v>45870</v>
      </c>
      <c r="E2973" s="6" t="s">
        <v>15</v>
      </c>
      <c r="F2973" s="7">
        <v>50</v>
      </c>
      <c r="G2973" s="7">
        <v>262856</v>
      </c>
      <c r="H2973" s="7">
        <v>13142800</v>
      </c>
      <c r="I2973" s="7">
        <v>1300000</v>
      </c>
      <c r="J2973" s="7">
        <v>0</v>
      </c>
      <c r="K2973">
        <f t="shared" si="46"/>
        <v>184</v>
      </c>
      <c r="L2973" s="8" t="str" cm="1">
        <f t="array" ref="L2973">_xlfn.IFS(
 AND(K2973&gt;=89,K2973&lt;=92),"3개월",
 AND(K2973&gt;=58,K2973&lt;=62),"2개월",
 AND(K2973&gt;=28,K2973&lt;=32),"1개월",
 AND(K2973=0),"당월",
 TRUE,"그외"
)</f>
        <v>그외</v>
      </c>
    </row>
    <row r="2974" spans="1:12" x14ac:dyDescent="0.3">
      <c r="A2974" s="5">
        <v>46054</v>
      </c>
      <c r="B2974" s="6" t="s">
        <v>60</v>
      </c>
      <c r="C2974" s="6" t="s">
        <v>65</v>
      </c>
      <c r="D2974" s="5">
        <v>45901</v>
      </c>
      <c r="E2974" s="6" t="s">
        <v>14</v>
      </c>
      <c r="F2974" s="7">
        <v>22</v>
      </c>
      <c r="G2974" s="7">
        <v>236300</v>
      </c>
      <c r="H2974" s="7">
        <v>5198600</v>
      </c>
      <c r="I2974" s="7">
        <v>578600</v>
      </c>
      <c r="J2974" s="7">
        <v>0</v>
      </c>
      <c r="K2974">
        <f t="shared" si="46"/>
        <v>153</v>
      </c>
      <c r="L2974" s="8" t="str" cm="1">
        <f t="array" ref="L2974">_xlfn.IFS(
 AND(K2974&gt;=89,K2974&lt;=92),"3개월",
 AND(K2974&gt;=58,K2974&lt;=62),"2개월",
 AND(K2974&gt;=28,K2974&lt;=32),"1개월",
 AND(K2974=0),"당월",
 TRUE,"그외"
)</f>
        <v>그외</v>
      </c>
    </row>
    <row r="2975" spans="1:12" x14ac:dyDescent="0.3">
      <c r="A2975" s="5">
        <v>46054</v>
      </c>
      <c r="B2975" s="6" t="s">
        <v>60</v>
      </c>
      <c r="C2975" s="6" t="s">
        <v>65</v>
      </c>
      <c r="D2975" s="5">
        <v>45901</v>
      </c>
      <c r="E2975" s="6" t="s">
        <v>15</v>
      </c>
      <c r="F2975" s="7">
        <v>27</v>
      </c>
      <c r="G2975" s="7">
        <v>269376.11111111112</v>
      </c>
      <c r="H2975" s="7">
        <v>7273155</v>
      </c>
      <c r="I2975" s="7">
        <v>772132</v>
      </c>
      <c r="J2975" s="7">
        <v>0</v>
      </c>
      <c r="K2975">
        <f t="shared" si="46"/>
        <v>153</v>
      </c>
      <c r="L2975" s="8" t="str" cm="1">
        <f t="array" ref="L2975">_xlfn.IFS(
 AND(K2975&gt;=89,K2975&lt;=92),"3개월",
 AND(K2975&gt;=58,K2975&lt;=62),"2개월",
 AND(K2975&gt;=28,K2975&lt;=32),"1개월",
 AND(K2975=0),"당월",
 TRUE,"그외"
)</f>
        <v>그외</v>
      </c>
    </row>
    <row r="2976" spans="1:12" x14ac:dyDescent="0.3">
      <c r="A2976" s="5">
        <v>46054</v>
      </c>
      <c r="B2976" s="6" t="s">
        <v>60</v>
      </c>
      <c r="C2976" s="6" t="s">
        <v>65</v>
      </c>
      <c r="D2976" s="5">
        <v>45931</v>
      </c>
      <c r="E2976" s="6" t="s">
        <v>14</v>
      </c>
      <c r="F2976" s="7">
        <v>44</v>
      </c>
      <c r="G2976" s="7">
        <v>237400</v>
      </c>
      <c r="H2976" s="7">
        <v>10445600</v>
      </c>
      <c r="I2976" s="7">
        <v>1161600</v>
      </c>
      <c r="J2976" s="7">
        <v>0</v>
      </c>
      <c r="K2976">
        <f t="shared" si="46"/>
        <v>123</v>
      </c>
      <c r="L2976" s="8" t="str" cm="1">
        <f t="array" ref="L2976">_xlfn.IFS(
 AND(K2976&gt;=89,K2976&lt;=92),"3개월",
 AND(K2976&gt;=58,K2976&lt;=62),"2개월",
 AND(K2976&gt;=28,K2976&lt;=32),"1개월",
 AND(K2976=0),"당월",
 TRUE,"그외"
)</f>
        <v>그외</v>
      </c>
    </row>
    <row r="2977" spans="1:12" x14ac:dyDescent="0.3">
      <c r="A2977" s="5">
        <v>46054</v>
      </c>
      <c r="B2977" s="6" t="s">
        <v>60</v>
      </c>
      <c r="C2977" s="6" t="s">
        <v>65</v>
      </c>
      <c r="D2977" s="5">
        <v>45931</v>
      </c>
      <c r="E2977" s="6" t="s">
        <v>15</v>
      </c>
      <c r="F2977" s="7">
        <v>169</v>
      </c>
      <c r="G2977" s="7">
        <v>268774.01183431951</v>
      </c>
      <c r="H2977" s="7">
        <v>45422808</v>
      </c>
      <c r="I2977" s="7">
        <v>4493160</v>
      </c>
      <c r="J2977" s="7">
        <v>0</v>
      </c>
      <c r="K2977">
        <f t="shared" si="46"/>
        <v>123</v>
      </c>
      <c r="L2977" s="8" t="str" cm="1">
        <f t="array" ref="L2977">_xlfn.IFS(
 AND(K2977&gt;=89,K2977&lt;=92),"3개월",
 AND(K2977&gt;=58,K2977&lt;=62),"2개월",
 AND(K2977&gt;=28,K2977&lt;=32),"1개월",
 AND(K2977=0),"당월",
 TRUE,"그외"
)</f>
        <v>그외</v>
      </c>
    </row>
    <row r="2978" spans="1:12" x14ac:dyDescent="0.3">
      <c r="A2978" s="5">
        <v>46054</v>
      </c>
      <c r="B2978" s="6" t="s">
        <v>60</v>
      </c>
      <c r="C2978" s="6" t="s">
        <v>65</v>
      </c>
      <c r="D2978" s="5">
        <v>45962</v>
      </c>
      <c r="E2978" s="6" t="s">
        <v>14</v>
      </c>
      <c r="F2978" s="7">
        <v>263</v>
      </c>
      <c r="G2978" s="7">
        <v>229095.43726235739</v>
      </c>
      <c r="H2978" s="7">
        <v>60252100</v>
      </c>
      <c r="I2978" s="7">
        <v>7022100</v>
      </c>
      <c r="J2978" s="7">
        <v>0</v>
      </c>
      <c r="K2978">
        <f t="shared" si="46"/>
        <v>92</v>
      </c>
      <c r="L2978" s="8" t="str" cm="1">
        <f t="array" ref="L2978">_xlfn.IFS(
 AND(K2978&gt;=89,K2978&lt;=92),"3개월",
 AND(K2978&gt;=58,K2978&lt;=62),"2개월",
 AND(K2978&gt;=28,K2978&lt;=32),"1개월",
 AND(K2978=0),"당월",
 TRUE,"그외"
)</f>
        <v>3개월</v>
      </c>
    </row>
    <row r="2979" spans="1:12" x14ac:dyDescent="0.3">
      <c r="A2979" s="5">
        <v>46054</v>
      </c>
      <c r="B2979" s="6" t="s">
        <v>60</v>
      </c>
      <c r="C2979" s="6" t="s">
        <v>65</v>
      </c>
      <c r="D2979" s="5">
        <v>45962</v>
      </c>
      <c r="E2979" s="6" t="s">
        <v>15</v>
      </c>
      <c r="F2979" s="7">
        <v>389</v>
      </c>
      <c r="G2979" s="7">
        <v>262443.12853470439</v>
      </c>
      <c r="H2979" s="7">
        <v>102090377</v>
      </c>
      <c r="I2979" s="7">
        <v>10231735</v>
      </c>
      <c r="J2979" s="7">
        <v>0</v>
      </c>
      <c r="K2979">
        <f t="shared" si="46"/>
        <v>92</v>
      </c>
      <c r="L2979" s="8" t="str" cm="1">
        <f t="array" ref="L2979">_xlfn.IFS(
 AND(K2979&gt;=89,K2979&lt;=92),"3개월",
 AND(K2979&gt;=58,K2979&lt;=62),"2개월",
 AND(K2979&gt;=28,K2979&lt;=32),"1개월",
 AND(K2979=0),"당월",
 TRUE,"그외"
)</f>
        <v>3개월</v>
      </c>
    </row>
    <row r="2980" spans="1:12" x14ac:dyDescent="0.3">
      <c r="A2980" s="5">
        <v>46054</v>
      </c>
      <c r="B2980" s="6" t="s">
        <v>60</v>
      </c>
      <c r="C2980" s="6" t="s">
        <v>65</v>
      </c>
      <c r="D2980" s="5">
        <v>45992</v>
      </c>
      <c r="E2980" s="6" t="s">
        <v>14</v>
      </c>
      <c r="F2980" s="7">
        <v>111</v>
      </c>
      <c r="G2980" s="7">
        <v>252799.09909909911</v>
      </c>
      <c r="H2980" s="7">
        <v>28060700</v>
      </c>
      <c r="I2980" s="7">
        <v>3518700</v>
      </c>
      <c r="J2980" s="7">
        <v>0</v>
      </c>
      <c r="K2980">
        <f t="shared" si="46"/>
        <v>62</v>
      </c>
      <c r="L2980" s="8" t="str" cm="1">
        <f t="array" ref="L2980">_xlfn.IFS(
 AND(K2980&gt;=89,K2980&lt;=92),"3개월",
 AND(K2980&gt;=58,K2980&lt;=62),"2개월",
 AND(K2980&gt;=28,K2980&lt;=32),"1개월",
 AND(K2980=0),"당월",
 TRUE,"그외"
)</f>
        <v>2개월</v>
      </c>
    </row>
    <row r="2981" spans="1:12" x14ac:dyDescent="0.3">
      <c r="A2981" s="5">
        <v>46054</v>
      </c>
      <c r="B2981" s="6" t="s">
        <v>60</v>
      </c>
      <c r="C2981" s="6" t="s">
        <v>65</v>
      </c>
      <c r="D2981" s="5">
        <v>45992</v>
      </c>
      <c r="E2981" s="6" t="s">
        <v>15</v>
      </c>
      <c r="F2981" s="7">
        <v>566</v>
      </c>
      <c r="G2981" s="7">
        <v>249132.65901060071</v>
      </c>
      <c r="H2981" s="7">
        <v>141009085</v>
      </c>
      <c r="I2981" s="7">
        <v>17959787</v>
      </c>
      <c r="J2981" s="7">
        <v>0</v>
      </c>
      <c r="K2981">
        <f t="shared" si="46"/>
        <v>62</v>
      </c>
      <c r="L2981" s="8" t="str" cm="1">
        <f t="array" ref="L2981">_xlfn.IFS(
 AND(K2981&gt;=89,K2981&lt;=92),"3개월",
 AND(K2981&gt;=58,K2981&lt;=62),"2개월",
 AND(K2981&gt;=28,K2981&lt;=32),"1개월",
 AND(K2981=0),"당월",
 TRUE,"그외"
)</f>
        <v>2개월</v>
      </c>
    </row>
    <row r="2982" spans="1:12" x14ac:dyDescent="0.3">
      <c r="A2982" s="5">
        <v>46054</v>
      </c>
      <c r="B2982" s="6" t="s">
        <v>60</v>
      </c>
      <c r="C2982" s="6" t="s">
        <v>65</v>
      </c>
      <c r="D2982" s="5">
        <v>46023</v>
      </c>
      <c r="E2982" s="6" t="s">
        <v>14</v>
      </c>
      <c r="F2982" s="7">
        <v>249</v>
      </c>
      <c r="G2982" s="7">
        <v>251504.01606425701</v>
      </c>
      <c r="H2982" s="7">
        <v>62624500</v>
      </c>
      <c r="I2982" s="7">
        <v>8013500</v>
      </c>
      <c r="J2982" s="7">
        <v>0</v>
      </c>
      <c r="K2982">
        <f t="shared" si="46"/>
        <v>31</v>
      </c>
      <c r="L2982" s="8" t="str" cm="1">
        <f t="array" ref="L2982">_xlfn.IFS(
 AND(K2982&gt;=89,K2982&lt;=92),"3개월",
 AND(K2982&gt;=58,K2982&lt;=62),"2개월",
 AND(K2982&gt;=28,K2982&lt;=32),"1개월",
 AND(K2982=0),"당월",
 TRUE,"그외"
)</f>
        <v>1개월</v>
      </c>
    </row>
    <row r="2983" spans="1:12" x14ac:dyDescent="0.3">
      <c r="A2983" s="5">
        <v>46054</v>
      </c>
      <c r="B2983" s="6" t="s">
        <v>60</v>
      </c>
      <c r="C2983" s="6" t="s">
        <v>65</v>
      </c>
      <c r="D2983" s="5">
        <v>46023</v>
      </c>
      <c r="E2983" s="6" t="s">
        <v>15</v>
      </c>
      <c r="F2983" s="7">
        <v>777</v>
      </c>
      <c r="G2983" s="7">
        <v>248883.70398970399</v>
      </c>
      <c r="H2983" s="7">
        <v>193382638</v>
      </c>
      <c r="I2983" s="7">
        <v>25302535</v>
      </c>
      <c r="J2983" s="7">
        <v>0</v>
      </c>
      <c r="K2983">
        <f t="shared" si="46"/>
        <v>31</v>
      </c>
      <c r="L2983" s="8" t="str" cm="1">
        <f t="array" ref="L2983">_xlfn.IFS(
 AND(K2983&gt;=89,K2983&lt;=92),"3개월",
 AND(K2983&gt;=58,K2983&lt;=62),"2개월",
 AND(K2983&gt;=28,K2983&lt;=32),"1개월",
 AND(K2983=0),"당월",
 TRUE,"그외"
)</f>
        <v>1개월</v>
      </c>
    </row>
    <row r="2984" spans="1:12" x14ac:dyDescent="0.3">
      <c r="A2984" s="5">
        <v>46054</v>
      </c>
      <c r="B2984" s="6" t="s">
        <v>60</v>
      </c>
      <c r="C2984" s="6" t="s">
        <v>65</v>
      </c>
      <c r="D2984" s="5">
        <v>46054</v>
      </c>
      <c r="E2984" s="6" t="s">
        <v>14</v>
      </c>
      <c r="F2984" s="7">
        <v>14</v>
      </c>
      <c r="G2984" s="7">
        <v>276285.71428571432</v>
      </c>
      <c r="H2984" s="7">
        <v>3868000</v>
      </c>
      <c r="I2984" s="7">
        <v>308000</v>
      </c>
      <c r="J2984" s="7">
        <v>0</v>
      </c>
      <c r="K2984">
        <f t="shared" si="46"/>
        <v>0</v>
      </c>
      <c r="L2984" s="8" t="str" cm="1">
        <f t="array" ref="L2984">_xlfn.IFS(
 AND(K2984&gt;=89,K2984&lt;=92),"3개월",
 AND(K2984&gt;=58,K2984&lt;=62),"2개월",
 AND(K2984&gt;=28,K2984&lt;=32),"1개월",
 AND(K2984=0),"당월",
 TRUE,"그외"
)</f>
        <v>당월</v>
      </c>
    </row>
    <row r="2985" spans="1:12" x14ac:dyDescent="0.3">
      <c r="A2985" s="5">
        <v>46054</v>
      </c>
      <c r="B2985" s="6" t="s">
        <v>60</v>
      </c>
      <c r="C2985" s="6" t="s">
        <v>65</v>
      </c>
      <c r="D2985" s="5">
        <v>46054</v>
      </c>
      <c r="E2985" s="6" t="s">
        <v>15</v>
      </c>
      <c r="F2985" s="7">
        <v>191</v>
      </c>
      <c r="G2985" s="7">
        <v>281449.62303664919</v>
      </c>
      <c r="H2985" s="7">
        <v>53756878</v>
      </c>
      <c r="I2985" s="7">
        <v>4712699</v>
      </c>
      <c r="J2985" s="7">
        <v>0</v>
      </c>
      <c r="K2985">
        <f t="shared" si="46"/>
        <v>0</v>
      </c>
      <c r="L2985" s="8" t="str" cm="1">
        <f t="array" ref="L2985">_xlfn.IFS(
 AND(K2985&gt;=89,K2985&lt;=92),"3개월",
 AND(K2985&gt;=58,K2985&lt;=62),"2개월",
 AND(K2985&gt;=28,K2985&lt;=32),"1개월",
 AND(K2985=0),"당월",
 TRUE,"그외"
)</f>
        <v>당월</v>
      </c>
    </row>
    <row r="2986" spans="1:12" x14ac:dyDescent="0.3">
      <c r="A2986" s="5">
        <v>46054</v>
      </c>
      <c r="B2986" s="6" t="s">
        <v>60</v>
      </c>
      <c r="C2986" s="6" t="s">
        <v>66</v>
      </c>
      <c r="D2986" s="5">
        <v>45839</v>
      </c>
      <c r="E2986" s="6" t="s">
        <v>15</v>
      </c>
      <c r="F2986" s="7">
        <v>4</v>
      </c>
      <c r="G2986" s="7">
        <v>247500</v>
      </c>
      <c r="H2986" s="7">
        <v>990000</v>
      </c>
      <c r="I2986" s="7">
        <v>66000</v>
      </c>
      <c r="J2986" s="7">
        <v>0</v>
      </c>
      <c r="K2986">
        <f t="shared" si="46"/>
        <v>215</v>
      </c>
      <c r="L2986" s="8" t="str" cm="1">
        <f t="array" ref="L2986">_xlfn.IFS(
 AND(K2986&gt;=89,K2986&lt;=92),"3개월",
 AND(K2986&gt;=58,K2986&lt;=62),"2개월",
 AND(K2986&gt;=28,K2986&lt;=32),"1개월",
 AND(K2986=0),"당월",
 TRUE,"그외"
)</f>
        <v>그외</v>
      </c>
    </row>
    <row r="2987" spans="1:12" x14ac:dyDescent="0.3">
      <c r="A2987" s="5">
        <v>46054</v>
      </c>
      <c r="B2987" s="6" t="s">
        <v>60</v>
      </c>
      <c r="C2987" s="6" t="s">
        <v>66</v>
      </c>
      <c r="D2987" s="5">
        <v>45870</v>
      </c>
      <c r="E2987" s="6" t="s">
        <v>15</v>
      </c>
      <c r="F2987" s="7">
        <v>18</v>
      </c>
      <c r="G2987" s="7">
        <v>377850</v>
      </c>
      <c r="H2987" s="7">
        <v>6801300</v>
      </c>
      <c r="I2987" s="7">
        <v>468000</v>
      </c>
      <c r="J2987" s="7">
        <v>0</v>
      </c>
      <c r="K2987">
        <f t="shared" si="46"/>
        <v>184</v>
      </c>
      <c r="L2987" s="8" t="str" cm="1">
        <f t="array" ref="L2987">_xlfn.IFS(
 AND(K2987&gt;=89,K2987&lt;=92),"3개월",
 AND(K2987&gt;=58,K2987&lt;=62),"2개월",
 AND(K2987&gt;=28,K2987&lt;=32),"1개월",
 AND(K2987=0),"당월",
 TRUE,"그외"
)</f>
        <v>그외</v>
      </c>
    </row>
    <row r="2988" spans="1:12" x14ac:dyDescent="0.3">
      <c r="A2988" s="5">
        <v>46054</v>
      </c>
      <c r="B2988" s="6" t="s">
        <v>60</v>
      </c>
      <c r="C2988" s="6" t="s">
        <v>66</v>
      </c>
      <c r="D2988" s="5">
        <v>45901</v>
      </c>
      <c r="E2988" s="6" t="s">
        <v>15</v>
      </c>
      <c r="F2988" s="7">
        <v>48</v>
      </c>
      <c r="G2988" s="7">
        <v>315117.91666666669</v>
      </c>
      <c r="H2988" s="7">
        <v>15125660</v>
      </c>
      <c r="I2988" s="7">
        <v>1323844</v>
      </c>
      <c r="J2988" s="7">
        <v>0</v>
      </c>
      <c r="K2988">
        <f t="shared" si="46"/>
        <v>153</v>
      </c>
      <c r="L2988" s="8" t="str" cm="1">
        <f t="array" ref="L2988">_xlfn.IFS(
 AND(K2988&gt;=89,K2988&lt;=92),"3개월",
 AND(K2988&gt;=58,K2988&lt;=62),"2개월",
 AND(K2988&gt;=28,K2988&lt;=32),"1개월",
 AND(K2988=0),"당월",
 TRUE,"그외"
)</f>
        <v>그외</v>
      </c>
    </row>
    <row r="2989" spans="1:12" x14ac:dyDescent="0.3">
      <c r="A2989" s="5">
        <v>46054</v>
      </c>
      <c r="B2989" s="6" t="s">
        <v>60</v>
      </c>
      <c r="C2989" s="6" t="s">
        <v>66</v>
      </c>
      <c r="D2989" s="5">
        <v>45931</v>
      </c>
      <c r="E2989" s="6" t="s">
        <v>15</v>
      </c>
      <c r="F2989" s="7">
        <v>143</v>
      </c>
      <c r="G2989" s="7">
        <v>293543.04195804201</v>
      </c>
      <c r="H2989" s="7">
        <v>41976655</v>
      </c>
      <c r="I2989" s="7">
        <v>3841532</v>
      </c>
      <c r="J2989" s="7">
        <v>0</v>
      </c>
      <c r="K2989">
        <f t="shared" si="46"/>
        <v>123</v>
      </c>
      <c r="L2989" s="8" t="str" cm="1">
        <f t="array" ref="L2989">_xlfn.IFS(
 AND(K2989&gt;=89,K2989&lt;=92),"3개월",
 AND(K2989&gt;=58,K2989&lt;=62),"2개월",
 AND(K2989&gt;=28,K2989&lt;=32),"1개월",
 AND(K2989=0),"당월",
 TRUE,"그외"
)</f>
        <v>그외</v>
      </c>
    </row>
    <row r="2990" spans="1:12" x14ac:dyDescent="0.3">
      <c r="A2990" s="5">
        <v>46054</v>
      </c>
      <c r="B2990" s="6" t="s">
        <v>60</v>
      </c>
      <c r="C2990" s="6" t="s">
        <v>66</v>
      </c>
      <c r="D2990" s="5">
        <v>45962</v>
      </c>
      <c r="E2990" s="6" t="s">
        <v>14</v>
      </c>
      <c r="F2990" s="7">
        <v>318</v>
      </c>
      <c r="G2990" s="7">
        <v>250715.72327044021</v>
      </c>
      <c r="H2990" s="7">
        <v>79727600</v>
      </c>
      <c r="I2990" s="7">
        <v>8490600</v>
      </c>
      <c r="J2990" s="7">
        <v>0</v>
      </c>
      <c r="K2990">
        <f t="shared" si="46"/>
        <v>92</v>
      </c>
      <c r="L2990" s="8" t="str" cm="1">
        <f t="array" ref="L2990">_xlfn.IFS(
 AND(K2990&gt;=89,K2990&lt;=92),"3개월",
 AND(K2990&gt;=58,K2990&lt;=62),"2개월",
 AND(K2990&gt;=28,K2990&lt;=32),"1개월",
 AND(K2990=0),"당월",
 TRUE,"그외"
)</f>
        <v>3개월</v>
      </c>
    </row>
    <row r="2991" spans="1:12" x14ac:dyDescent="0.3">
      <c r="A2991" s="5">
        <v>46054</v>
      </c>
      <c r="B2991" s="6" t="s">
        <v>60</v>
      </c>
      <c r="C2991" s="6" t="s">
        <v>66</v>
      </c>
      <c r="D2991" s="5">
        <v>45962</v>
      </c>
      <c r="E2991" s="6" t="s">
        <v>15</v>
      </c>
      <c r="F2991" s="7">
        <v>568</v>
      </c>
      <c r="G2991" s="7">
        <v>293726.34330985922</v>
      </c>
      <c r="H2991" s="7">
        <v>166836563</v>
      </c>
      <c r="I2991" s="7">
        <v>15332999</v>
      </c>
      <c r="J2991" s="7">
        <v>0</v>
      </c>
      <c r="K2991">
        <f t="shared" si="46"/>
        <v>92</v>
      </c>
      <c r="L2991" s="8" t="str" cm="1">
        <f t="array" ref="L2991">_xlfn.IFS(
 AND(K2991&gt;=89,K2991&lt;=92),"3개월",
 AND(K2991&gt;=58,K2991&lt;=62),"2개월",
 AND(K2991&gt;=28,K2991&lt;=32),"1개월",
 AND(K2991=0),"당월",
 TRUE,"그외"
)</f>
        <v>3개월</v>
      </c>
    </row>
    <row r="2992" spans="1:12" x14ac:dyDescent="0.3">
      <c r="A2992" s="5">
        <v>46054</v>
      </c>
      <c r="B2992" s="6" t="s">
        <v>60</v>
      </c>
      <c r="C2992" s="6" t="s">
        <v>66</v>
      </c>
      <c r="D2992" s="5">
        <v>45992</v>
      </c>
      <c r="E2992" s="6" t="s">
        <v>14</v>
      </c>
      <c r="F2992" s="7">
        <v>147</v>
      </c>
      <c r="G2992" s="7">
        <v>322740.81632653059</v>
      </c>
      <c r="H2992" s="7">
        <v>47442900</v>
      </c>
      <c r="I2992" s="7">
        <v>4629900</v>
      </c>
      <c r="J2992" s="7">
        <v>0</v>
      </c>
      <c r="K2992">
        <f t="shared" si="46"/>
        <v>62</v>
      </c>
      <c r="L2992" s="8" t="str" cm="1">
        <f t="array" ref="L2992">_xlfn.IFS(
 AND(K2992&gt;=89,K2992&lt;=92),"3개월",
 AND(K2992&gt;=58,K2992&lt;=62),"2개월",
 AND(K2992&gt;=28,K2992&lt;=32),"1개월",
 AND(K2992=0),"당월",
 TRUE,"그외"
)</f>
        <v>2개월</v>
      </c>
    </row>
    <row r="2993" spans="1:12" x14ac:dyDescent="0.3">
      <c r="A2993" s="5">
        <v>46054</v>
      </c>
      <c r="B2993" s="6" t="s">
        <v>60</v>
      </c>
      <c r="C2993" s="6" t="s">
        <v>66</v>
      </c>
      <c r="D2993" s="5">
        <v>45992</v>
      </c>
      <c r="E2993" s="6" t="s">
        <v>15</v>
      </c>
      <c r="F2993" s="7">
        <v>844</v>
      </c>
      <c r="G2993" s="7">
        <v>251700.1113744076</v>
      </c>
      <c r="H2993" s="7">
        <v>212434894</v>
      </c>
      <c r="I2993" s="7">
        <v>26837470</v>
      </c>
      <c r="J2993" s="7">
        <v>0</v>
      </c>
      <c r="K2993">
        <f t="shared" si="46"/>
        <v>62</v>
      </c>
      <c r="L2993" s="8" t="str" cm="1">
        <f t="array" ref="L2993">_xlfn.IFS(
 AND(K2993&gt;=89,K2993&lt;=92),"3개월",
 AND(K2993&gt;=58,K2993&lt;=62),"2개월",
 AND(K2993&gt;=28,K2993&lt;=32),"1개월",
 AND(K2993=0),"당월",
 TRUE,"그외"
)</f>
        <v>2개월</v>
      </c>
    </row>
    <row r="2994" spans="1:12" x14ac:dyDescent="0.3">
      <c r="A2994" s="5">
        <v>46054</v>
      </c>
      <c r="B2994" s="6" t="s">
        <v>60</v>
      </c>
      <c r="C2994" s="6" t="s">
        <v>66</v>
      </c>
      <c r="D2994" s="5">
        <v>46023</v>
      </c>
      <c r="E2994" s="6" t="s">
        <v>14</v>
      </c>
      <c r="F2994" s="7">
        <v>1742</v>
      </c>
      <c r="G2994" s="7">
        <v>223140.757749713</v>
      </c>
      <c r="H2994" s="7">
        <v>388711200</v>
      </c>
      <c r="I2994" s="7">
        <v>56216200</v>
      </c>
      <c r="J2994" s="7">
        <v>0</v>
      </c>
      <c r="K2994">
        <f t="shared" si="46"/>
        <v>31</v>
      </c>
      <c r="L2994" s="8" t="str" cm="1">
        <f t="array" ref="L2994">_xlfn.IFS(
 AND(K2994&gt;=89,K2994&lt;=92),"3개월",
 AND(K2994&gt;=58,K2994&lt;=62),"2개월",
 AND(K2994&gt;=28,K2994&lt;=32),"1개월",
 AND(K2994=0),"당월",
 TRUE,"그외"
)</f>
        <v>1개월</v>
      </c>
    </row>
    <row r="2995" spans="1:12" x14ac:dyDescent="0.3">
      <c r="A2995" s="5">
        <v>46054</v>
      </c>
      <c r="B2995" s="6" t="s">
        <v>60</v>
      </c>
      <c r="C2995" s="6" t="s">
        <v>66</v>
      </c>
      <c r="D2995" s="5">
        <v>46023</v>
      </c>
      <c r="E2995" s="6" t="s">
        <v>15</v>
      </c>
      <c r="F2995" s="7">
        <v>3326</v>
      </c>
      <c r="G2995" s="7">
        <v>213506.22880336741</v>
      </c>
      <c r="H2995" s="7">
        <v>710121717</v>
      </c>
      <c r="I2995" s="7">
        <v>108582317</v>
      </c>
      <c r="J2995" s="7">
        <v>0</v>
      </c>
      <c r="K2995">
        <f t="shared" si="46"/>
        <v>31</v>
      </c>
      <c r="L2995" s="8" t="str" cm="1">
        <f t="array" ref="L2995">_xlfn.IFS(
 AND(K2995&gt;=89,K2995&lt;=92),"3개월",
 AND(K2995&gt;=58,K2995&lt;=62),"2개월",
 AND(K2995&gt;=28,K2995&lt;=32),"1개월",
 AND(K2995=0),"당월",
 TRUE,"그외"
)</f>
        <v>1개월</v>
      </c>
    </row>
    <row r="2996" spans="1:12" x14ac:dyDescent="0.3">
      <c r="A2996" s="5">
        <v>46054</v>
      </c>
      <c r="B2996" s="6" t="s">
        <v>60</v>
      </c>
      <c r="C2996" s="6" t="s">
        <v>66</v>
      </c>
      <c r="D2996" s="5">
        <v>46054</v>
      </c>
      <c r="E2996" s="6" t="s">
        <v>14</v>
      </c>
      <c r="F2996" s="7">
        <v>2085</v>
      </c>
      <c r="G2996" s="7">
        <v>270171.36690647481</v>
      </c>
      <c r="H2996" s="7">
        <v>563307300</v>
      </c>
      <c r="I2996" s="7">
        <v>37476300</v>
      </c>
      <c r="J2996" s="7">
        <v>0</v>
      </c>
      <c r="K2996">
        <f t="shared" si="46"/>
        <v>0</v>
      </c>
      <c r="L2996" s="8" t="str" cm="1">
        <f t="array" ref="L2996">_xlfn.IFS(
 AND(K2996&gt;=89,K2996&lt;=92),"3개월",
 AND(K2996&gt;=58,K2996&lt;=62),"2개월",
 AND(K2996&gt;=28,K2996&lt;=32),"1개월",
 AND(K2996=0),"당월",
 TRUE,"그외"
)</f>
        <v>당월</v>
      </c>
    </row>
    <row r="2997" spans="1:12" x14ac:dyDescent="0.3">
      <c r="A2997" s="5">
        <v>46054</v>
      </c>
      <c r="B2997" s="6" t="s">
        <v>60</v>
      </c>
      <c r="C2997" s="6" t="s">
        <v>66</v>
      </c>
      <c r="D2997" s="5">
        <v>46054</v>
      </c>
      <c r="E2997" s="6" t="s">
        <v>15</v>
      </c>
      <c r="F2997" s="7">
        <v>1131</v>
      </c>
      <c r="G2997" s="7">
        <v>278665.32537577371</v>
      </c>
      <c r="H2997" s="7">
        <v>315170483</v>
      </c>
      <c r="I2997" s="7">
        <v>28839018</v>
      </c>
      <c r="J2997" s="7">
        <v>0</v>
      </c>
      <c r="K2997">
        <f t="shared" si="46"/>
        <v>0</v>
      </c>
      <c r="L2997" s="8" t="str" cm="1">
        <f t="array" ref="L2997">_xlfn.IFS(
 AND(K2997&gt;=89,K2997&lt;=92),"3개월",
 AND(K2997&gt;=58,K2997&lt;=62),"2개월",
 AND(K2997&gt;=28,K2997&lt;=32),"1개월",
 AND(K2997=0),"당월",
 TRUE,"그외"
)</f>
        <v>당월</v>
      </c>
    </row>
    <row r="2998" spans="1:12" x14ac:dyDescent="0.3">
      <c r="A2998" s="5">
        <v>46054</v>
      </c>
      <c r="B2998" s="6" t="s">
        <v>60</v>
      </c>
      <c r="C2998" s="6" t="s">
        <v>109</v>
      </c>
      <c r="D2998" s="5">
        <v>45962</v>
      </c>
      <c r="E2998" s="6" t="s">
        <v>15</v>
      </c>
      <c r="F2998" s="7">
        <v>1100</v>
      </c>
      <c r="G2998" s="7">
        <v>311443.57090909092</v>
      </c>
      <c r="H2998" s="7">
        <v>342587928</v>
      </c>
      <c r="I2998" s="7">
        <v>23939685</v>
      </c>
      <c r="J2998" s="7">
        <v>0</v>
      </c>
      <c r="K2998">
        <f t="shared" si="46"/>
        <v>92</v>
      </c>
      <c r="L2998" s="8" t="str" cm="1">
        <f t="array" ref="L2998">_xlfn.IFS(
 AND(K2998&gt;=89,K2998&lt;=92),"3개월",
 AND(K2998&gt;=58,K2998&lt;=62),"2개월",
 AND(K2998&gt;=28,K2998&lt;=32),"1개월",
 AND(K2998=0),"당월",
 TRUE,"그외"
)</f>
        <v>3개월</v>
      </c>
    </row>
    <row r="2999" spans="1:12" x14ac:dyDescent="0.3">
      <c r="A2999" s="5">
        <v>46054</v>
      </c>
      <c r="B2999" s="6" t="s">
        <v>60</v>
      </c>
      <c r="C2999" s="6" t="s">
        <v>109</v>
      </c>
      <c r="D2999" s="5">
        <v>45992</v>
      </c>
      <c r="E2999" s="6" t="s">
        <v>14</v>
      </c>
      <c r="F2999" s="7">
        <v>38</v>
      </c>
      <c r="G2999" s="7">
        <v>1998289.473684211</v>
      </c>
      <c r="H2999" s="7">
        <v>75935000</v>
      </c>
      <c r="I2999" s="7">
        <v>735000</v>
      </c>
      <c r="J2999" s="7">
        <v>0</v>
      </c>
      <c r="K2999">
        <f t="shared" si="46"/>
        <v>62</v>
      </c>
      <c r="L2999" s="8" t="str" cm="1">
        <f t="array" ref="L2999">_xlfn.IFS(
 AND(K2999&gt;=89,K2999&lt;=92),"3개월",
 AND(K2999&gt;=58,K2999&lt;=62),"2개월",
 AND(K2999&gt;=28,K2999&lt;=32),"1개월",
 AND(K2999=0),"당월",
 TRUE,"그외"
)</f>
        <v>2개월</v>
      </c>
    </row>
    <row r="3000" spans="1:12" x14ac:dyDescent="0.3">
      <c r="A3000" s="5">
        <v>46054</v>
      </c>
      <c r="B3000" s="6" t="s">
        <v>60</v>
      </c>
      <c r="C3000" s="6" t="s">
        <v>109</v>
      </c>
      <c r="D3000" s="5">
        <v>45992</v>
      </c>
      <c r="E3000" s="6" t="s">
        <v>15</v>
      </c>
      <c r="F3000" s="7">
        <v>880</v>
      </c>
      <c r="G3000" s="7">
        <v>309943.50340909092</v>
      </c>
      <c r="H3000" s="7">
        <v>272750283</v>
      </c>
      <c r="I3000" s="7">
        <v>22780146</v>
      </c>
      <c r="J3000" s="7">
        <v>0</v>
      </c>
      <c r="K3000">
        <f t="shared" si="46"/>
        <v>62</v>
      </c>
      <c r="L3000" s="8" t="str" cm="1">
        <f t="array" ref="L3000">_xlfn.IFS(
 AND(K3000&gt;=89,K3000&lt;=92),"3개월",
 AND(K3000&gt;=58,K3000&lt;=62),"2개월",
 AND(K3000&gt;=28,K3000&lt;=32),"1개월",
 AND(K3000=0),"당월",
 TRUE,"그외"
)</f>
        <v>2개월</v>
      </c>
    </row>
    <row r="3001" spans="1:12" x14ac:dyDescent="0.3">
      <c r="A3001" s="5">
        <v>46054</v>
      </c>
      <c r="B3001" s="6" t="s">
        <v>60</v>
      </c>
      <c r="C3001" s="6" t="s">
        <v>109</v>
      </c>
      <c r="D3001" s="5">
        <v>46023</v>
      </c>
      <c r="E3001" s="6" t="s">
        <v>14</v>
      </c>
      <c r="F3001" s="7">
        <v>1554</v>
      </c>
      <c r="G3001" s="7">
        <v>724035.39253539254</v>
      </c>
      <c r="H3001" s="7">
        <v>1125151000</v>
      </c>
      <c r="I3001" s="7">
        <v>36300000</v>
      </c>
      <c r="J3001" s="7">
        <v>0</v>
      </c>
      <c r="K3001">
        <f t="shared" si="46"/>
        <v>31</v>
      </c>
      <c r="L3001" s="8" t="str" cm="1">
        <f t="array" ref="L3001">_xlfn.IFS(
 AND(K3001&gt;=89,K3001&lt;=92),"3개월",
 AND(K3001&gt;=58,K3001&lt;=62),"2개월",
 AND(K3001&gt;=28,K3001&lt;=32),"1개월",
 AND(K3001=0),"당월",
 TRUE,"그외"
)</f>
        <v>1개월</v>
      </c>
    </row>
    <row r="3002" spans="1:12" x14ac:dyDescent="0.3">
      <c r="A3002" s="5">
        <v>46054</v>
      </c>
      <c r="B3002" s="6" t="s">
        <v>60</v>
      </c>
      <c r="C3002" s="6" t="s">
        <v>109</v>
      </c>
      <c r="D3002" s="5">
        <v>46023</v>
      </c>
      <c r="E3002" s="6" t="s">
        <v>15</v>
      </c>
      <c r="F3002" s="7">
        <v>2323</v>
      </c>
      <c r="G3002" s="7">
        <v>228412.97933706411</v>
      </c>
      <c r="H3002" s="7">
        <v>530603351</v>
      </c>
      <c r="I3002" s="7">
        <v>69088365</v>
      </c>
      <c r="J3002" s="7">
        <v>0</v>
      </c>
      <c r="K3002">
        <f t="shared" si="46"/>
        <v>31</v>
      </c>
      <c r="L3002" s="8" t="str" cm="1">
        <f t="array" ref="L3002">_xlfn.IFS(
 AND(K3002&gt;=89,K3002&lt;=92),"3개월",
 AND(K3002&gt;=58,K3002&lt;=62),"2개월",
 AND(K3002&gt;=28,K3002&lt;=32),"1개월",
 AND(K3002=0),"당월",
 TRUE,"그외"
)</f>
        <v>1개월</v>
      </c>
    </row>
    <row r="3003" spans="1:12" x14ac:dyDescent="0.3">
      <c r="A3003" s="5">
        <v>46054</v>
      </c>
      <c r="B3003" s="6" t="s">
        <v>60</v>
      </c>
      <c r="C3003" s="6" t="s">
        <v>109</v>
      </c>
      <c r="D3003" s="5">
        <v>46054</v>
      </c>
      <c r="E3003" s="6" t="s">
        <v>14</v>
      </c>
      <c r="F3003" s="7">
        <v>3195</v>
      </c>
      <c r="G3003" s="7">
        <v>24146.10328638498</v>
      </c>
      <c r="H3003" s="7">
        <v>77146800</v>
      </c>
      <c r="I3003" s="7">
        <v>56246800</v>
      </c>
      <c r="J3003" s="7">
        <v>0</v>
      </c>
      <c r="K3003">
        <f t="shared" si="46"/>
        <v>0</v>
      </c>
      <c r="L3003" s="8" t="str" cm="1">
        <f t="array" ref="L3003">_xlfn.IFS(
 AND(K3003&gt;=89,K3003&lt;=92),"3개월",
 AND(K3003&gt;=58,K3003&lt;=62),"2개월",
 AND(K3003&gt;=28,K3003&lt;=32),"1개월",
 AND(K3003=0),"당월",
 TRUE,"그외"
)</f>
        <v>당월</v>
      </c>
    </row>
    <row r="3004" spans="1:12" x14ac:dyDescent="0.3">
      <c r="A3004" s="5">
        <v>46054</v>
      </c>
      <c r="B3004" s="6" t="s">
        <v>60</v>
      </c>
      <c r="C3004" s="6" t="s">
        <v>109</v>
      </c>
      <c r="D3004" s="5">
        <v>46054</v>
      </c>
      <c r="E3004" s="6" t="s">
        <v>15</v>
      </c>
      <c r="F3004" s="7">
        <v>1068</v>
      </c>
      <c r="G3004" s="7">
        <v>306129.93445692892</v>
      </c>
      <c r="H3004" s="7">
        <v>326946770</v>
      </c>
      <c r="I3004" s="7">
        <v>28893340</v>
      </c>
      <c r="J3004" s="7">
        <v>0</v>
      </c>
      <c r="K3004">
        <f t="shared" si="46"/>
        <v>0</v>
      </c>
      <c r="L3004" s="8" t="str" cm="1">
        <f t="array" ref="L3004">_xlfn.IFS(
 AND(K3004&gt;=89,K3004&lt;=92),"3개월",
 AND(K3004&gt;=58,K3004&lt;=62),"2개월",
 AND(K3004&gt;=28,K3004&lt;=32),"1개월",
 AND(K3004=0),"당월",
 TRUE,"그외"
)</f>
        <v>당월</v>
      </c>
    </row>
    <row r="3005" spans="1:12" x14ac:dyDescent="0.3">
      <c r="A3005" s="5">
        <v>46054</v>
      </c>
      <c r="B3005" s="6" t="s">
        <v>60</v>
      </c>
      <c r="C3005" s="6" t="s">
        <v>110</v>
      </c>
      <c r="D3005" s="5">
        <v>45962</v>
      </c>
      <c r="E3005" s="6" t="s">
        <v>15</v>
      </c>
      <c r="F3005" s="7">
        <v>53</v>
      </c>
      <c r="G3005" s="7">
        <v>311105.28301886801</v>
      </c>
      <c r="H3005" s="7">
        <v>16488580</v>
      </c>
      <c r="I3005" s="7">
        <v>1141360</v>
      </c>
      <c r="J3005" s="7">
        <v>0</v>
      </c>
      <c r="K3005">
        <f t="shared" si="46"/>
        <v>92</v>
      </c>
      <c r="L3005" s="8" t="str" cm="1">
        <f t="array" ref="L3005">_xlfn.IFS(
 AND(K3005&gt;=89,K3005&lt;=92),"3개월",
 AND(K3005&gt;=58,K3005&lt;=62),"2개월",
 AND(K3005&gt;=28,K3005&lt;=32),"1개월",
 AND(K3005=0),"당월",
 TRUE,"그외"
)</f>
        <v>3개월</v>
      </c>
    </row>
    <row r="3006" spans="1:12" x14ac:dyDescent="0.3">
      <c r="A3006" s="5">
        <v>46054</v>
      </c>
      <c r="B3006" s="6" t="s">
        <v>60</v>
      </c>
      <c r="C3006" s="6" t="s">
        <v>110</v>
      </c>
      <c r="D3006" s="5">
        <v>45992</v>
      </c>
      <c r="E3006" s="6" t="s">
        <v>14</v>
      </c>
      <c r="F3006" s="7">
        <v>130</v>
      </c>
      <c r="G3006" s="7">
        <v>3756192.307692308</v>
      </c>
      <c r="H3006" s="7">
        <v>488305000</v>
      </c>
      <c r="I3006" s="7">
        <v>245000</v>
      </c>
      <c r="J3006" s="7">
        <v>0</v>
      </c>
      <c r="K3006">
        <f t="shared" si="46"/>
        <v>62</v>
      </c>
      <c r="L3006" s="8" t="str" cm="1">
        <f t="array" ref="L3006">_xlfn.IFS(
 AND(K3006&gt;=89,K3006&lt;=92),"3개월",
 AND(K3006&gt;=58,K3006&lt;=62),"2개월",
 AND(K3006&gt;=28,K3006&lt;=32),"1개월",
 AND(K3006=0),"당월",
 TRUE,"그외"
)</f>
        <v>2개월</v>
      </c>
    </row>
    <row r="3007" spans="1:12" x14ac:dyDescent="0.3">
      <c r="A3007" s="5">
        <v>46054</v>
      </c>
      <c r="B3007" s="6" t="s">
        <v>60</v>
      </c>
      <c r="C3007" s="6" t="s">
        <v>110</v>
      </c>
      <c r="D3007" s="5">
        <v>45992</v>
      </c>
      <c r="E3007" s="6" t="s">
        <v>15</v>
      </c>
      <c r="F3007" s="7">
        <v>185</v>
      </c>
      <c r="G3007" s="7">
        <v>342498.54054054047</v>
      </c>
      <c r="H3007" s="7">
        <v>63362230</v>
      </c>
      <c r="I3007" s="7">
        <v>4591501</v>
      </c>
      <c r="J3007" s="7">
        <v>0</v>
      </c>
      <c r="K3007">
        <f t="shared" si="46"/>
        <v>62</v>
      </c>
      <c r="L3007" s="8" t="str" cm="1">
        <f t="array" ref="L3007">_xlfn.IFS(
 AND(K3007&gt;=89,K3007&lt;=92),"3개월",
 AND(K3007&gt;=58,K3007&lt;=62),"2개월",
 AND(K3007&gt;=28,K3007&lt;=32),"1개월",
 AND(K3007=0),"당월",
 TRUE,"그외"
)</f>
        <v>2개월</v>
      </c>
    </row>
    <row r="3008" spans="1:12" x14ac:dyDescent="0.3">
      <c r="A3008" s="5">
        <v>46054</v>
      </c>
      <c r="B3008" s="6" t="s">
        <v>60</v>
      </c>
      <c r="C3008" s="6" t="s">
        <v>110</v>
      </c>
      <c r="D3008" s="5">
        <v>46023</v>
      </c>
      <c r="E3008" s="6" t="s">
        <v>14</v>
      </c>
      <c r="F3008" s="7">
        <v>595</v>
      </c>
      <c r="G3008" s="7">
        <v>38080.672268907561</v>
      </c>
      <c r="H3008" s="7">
        <v>22658000</v>
      </c>
      <c r="I3008" s="7">
        <v>2000000</v>
      </c>
      <c r="J3008" s="7">
        <v>0</v>
      </c>
      <c r="K3008">
        <f t="shared" si="46"/>
        <v>31</v>
      </c>
      <c r="L3008" s="8" t="str" cm="1">
        <f t="array" ref="L3008">_xlfn.IFS(
 AND(K3008&gt;=89,K3008&lt;=92),"3개월",
 AND(K3008&gt;=58,K3008&lt;=62),"2개월",
 AND(K3008&gt;=28,K3008&lt;=32),"1개월",
 AND(K3008=0),"당월",
 TRUE,"그외"
)</f>
        <v>1개월</v>
      </c>
    </row>
    <row r="3009" spans="1:12" x14ac:dyDescent="0.3">
      <c r="A3009" s="5">
        <v>46054</v>
      </c>
      <c r="B3009" s="6" t="s">
        <v>60</v>
      </c>
      <c r="C3009" s="6" t="s">
        <v>110</v>
      </c>
      <c r="D3009" s="5">
        <v>46023</v>
      </c>
      <c r="E3009" s="6" t="s">
        <v>15</v>
      </c>
      <c r="F3009" s="7">
        <v>245</v>
      </c>
      <c r="G3009" s="7">
        <v>265475.02040816331</v>
      </c>
      <c r="H3009" s="7">
        <v>65041380</v>
      </c>
      <c r="I3009" s="7">
        <v>7197893</v>
      </c>
      <c r="J3009" s="7">
        <v>0</v>
      </c>
      <c r="K3009">
        <f t="shared" si="46"/>
        <v>31</v>
      </c>
      <c r="L3009" s="8" t="str" cm="1">
        <f t="array" ref="L3009">_xlfn.IFS(
 AND(K3009&gt;=89,K3009&lt;=92),"3개월",
 AND(K3009&gt;=58,K3009&lt;=62),"2개월",
 AND(K3009&gt;=28,K3009&lt;=32),"1개월",
 AND(K3009=0),"당월",
 TRUE,"그외"
)</f>
        <v>1개월</v>
      </c>
    </row>
    <row r="3010" spans="1:12" x14ac:dyDescent="0.3">
      <c r="A3010" s="5">
        <v>46054</v>
      </c>
      <c r="B3010" s="6" t="s">
        <v>60</v>
      </c>
      <c r="C3010" s="6" t="s">
        <v>110</v>
      </c>
      <c r="D3010" s="5">
        <v>46054</v>
      </c>
      <c r="E3010" s="6" t="s">
        <v>14</v>
      </c>
      <c r="F3010" s="7">
        <v>1656</v>
      </c>
      <c r="G3010" s="7">
        <v>2204.8309178743962</v>
      </c>
      <c r="H3010" s="7">
        <v>3651200</v>
      </c>
      <c r="I3010" s="7">
        <v>211200</v>
      </c>
      <c r="J3010" s="7">
        <v>0</v>
      </c>
      <c r="K3010">
        <f t="shared" si="46"/>
        <v>0</v>
      </c>
      <c r="L3010" s="8" t="str" cm="1">
        <f t="array" ref="L3010">_xlfn.IFS(
 AND(K3010&gt;=89,K3010&lt;=92),"3개월",
 AND(K3010&gt;=58,K3010&lt;=62),"2개월",
 AND(K3010&gt;=28,K3010&lt;=32),"1개월",
 AND(K3010=0),"당월",
 TRUE,"그외"
)</f>
        <v>당월</v>
      </c>
    </row>
    <row r="3011" spans="1:12" x14ac:dyDescent="0.3">
      <c r="A3011" s="5">
        <v>46054</v>
      </c>
      <c r="B3011" s="6" t="s">
        <v>60</v>
      </c>
      <c r="C3011" s="6" t="s">
        <v>110</v>
      </c>
      <c r="D3011" s="5">
        <v>46054</v>
      </c>
      <c r="E3011" s="6" t="s">
        <v>15</v>
      </c>
      <c r="F3011" s="7">
        <v>98</v>
      </c>
      <c r="G3011" s="7">
        <v>294275.88775510201</v>
      </c>
      <c r="H3011" s="7">
        <v>28839037</v>
      </c>
      <c r="I3011" s="7">
        <v>2215766</v>
      </c>
      <c r="J3011" s="7">
        <v>0</v>
      </c>
      <c r="K3011">
        <f t="shared" si="46"/>
        <v>0</v>
      </c>
      <c r="L3011" s="8" t="str" cm="1">
        <f t="array" ref="L3011">_xlfn.IFS(
 AND(K3011&gt;=89,K3011&lt;=92),"3개월",
 AND(K3011&gt;=58,K3011&lt;=62),"2개월",
 AND(K3011&gt;=28,K3011&lt;=32),"1개월",
 AND(K3011=0),"당월",
 TRUE,"그외"
)</f>
        <v>당월</v>
      </c>
    </row>
    <row r="3012" spans="1:12" x14ac:dyDescent="0.3">
      <c r="A3012" s="5">
        <v>46054</v>
      </c>
      <c r="B3012" s="6" t="s">
        <v>60</v>
      </c>
      <c r="C3012" s="6" t="s">
        <v>111</v>
      </c>
      <c r="D3012" s="5">
        <v>45962</v>
      </c>
      <c r="E3012" s="6" t="s">
        <v>15</v>
      </c>
      <c r="F3012" s="7">
        <v>98</v>
      </c>
      <c r="G3012" s="7">
        <v>334117.75510204083</v>
      </c>
      <c r="H3012" s="7">
        <v>32743540</v>
      </c>
      <c r="I3012" s="7">
        <v>2160040</v>
      </c>
      <c r="J3012" s="7">
        <v>0</v>
      </c>
      <c r="K3012">
        <f t="shared" si="46"/>
        <v>92</v>
      </c>
      <c r="L3012" s="8" t="str" cm="1">
        <f t="array" ref="L3012">_xlfn.IFS(
 AND(K3012&gt;=89,K3012&lt;=92),"3개월",
 AND(K3012&gt;=58,K3012&lt;=62),"2개월",
 AND(K3012&gt;=28,K3012&lt;=32),"1개월",
 AND(K3012=0),"당월",
 TRUE,"그외"
)</f>
        <v>3개월</v>
      </c>
    </row>
    <row r="3013" spans="1:12" x14ac:dyDescent="0.3">
      <c r="A3013" s="5">
        <v>46054</v>
      </c>
      <c r="B3013" s="6" t="s">
        <v>60</v>
      </c>
      <c r="C3013" s="6" t="s">
        <v>111</v>
      </c>
      <c r="D3013" s="5">
        <v>45992</v>
      </c>
      <c r="E3013" s="6" t="s">
        <v>14</v>
      </c>
      <c r="F3013" s="7">
        <v>5</v>
      </c>
      <c r="G3013" s="7">
        <v>7810000</v>
      </c>
      <c r="H3013" s="7">
        <v>39050000</v>
      </c>
      <c r="I3013" s="7">
        <v>0</v>
      </c>
      <c r="J3013" s="7">
        <v>0</v>
      </c>
      <c r="K3013">
        <f t="shared" si="46"/>
        <v>62</v>
      </c>
      <c r="L3013" s="8" t="str" cm="1">
        <f t="array" ref="L3013">_xlfn.IFS(
 AND(K3013&gt;=89,K3013&lt;=92),"3개월",
 AND(K3013&gt;=58,K3013&lt;=62),"2개월",
 AND(K3013&gt;=28,K3013&lt;=32),"1개월",
 AND(K3013=0),"당월",
 TRUE,"그외"
)</f>
        <v>2개월</v>
      </c>
    </row>
    <row r="3014" spans="1:12" x14ac:dyDescent="0.3">
      <c r="A3014" s="5">
        <v>46054</v>
      </c>
      <c r="B3014" s="6" t="s">
        <v>60</v>
      </c>
      <c r="C3014" s="6" t="s">
        <v>111</v>
      </c>
      <c r="D3014" s="5">
        <v>45992</v>
      </c>
      <c r="E3014" s="6" t="s">
        <v>15</v>
      </c>
      <c r="F3014" s="7">
        <v>228</v>
      </c>
      <c r="G3014" s="7">
        <v>366002.69736842113</v>
      </c>
      <c r="H3014" s="7">
        <v>83448615</v>
      </c>
      <c r="I3014" s="7">
        <v>5722789</v>
      </c>
      <c r="J3014" s="7">
        <v>0</v>
      </c>
      <c r="K3014">
        <f t="shared" si="46"/>
        <v>62</v>
      </c>
      <c r="L3014" s="8" t="str" cm="1">
        <f t="array" ref="L3014">_xlfn.IFS(
 AND(K3014&gt;=89,K3014&lt;=92),"3개월",
 AND(K3014&gt;=58,K3014&lt;=62),"2개월",
 AND(K3014&gt;=28,K3014&lt;=32),"1개월",
 AND(K3014=0),"당월",
 TRUE,"그외"
)</f>
        <v>2개월</v>
      </c>
    </row>
    <row r="3015" spans="1:12" x14ac:dyDescent="0.3">
      <c r="A3015" s="5">
        <v>46054</v>
      </c>
      <c r="B3015" s="6" t="s">
        <v>60</v>
      </c>
      <c r="C3015" s="6" t="s">
        <v>111</v>
      </c>
      <c r="D3015" s="5">
        <v>46023</v>
      </c>
      <c r="E3015" s="6" t="s">
        <v>14</v>
      </c>
      <c r="F3015" s="7">
        <v>301</v>
      </c>
      <c r="G3015" s="7">
        <v>685059.80066445179</v>
      </c>
      <c r="H3015" s="7">
        <v>206203000</v>
      </c>
      <c r="I3015" s="7">
        <v>2525000</v>
      </c>
      <c r="J3015" s="7">
        <v>0</v>
      </c>
      <c r="K3015">
        <f t="shared" si="46"/>
        <v>31</v>
      </c>
      <c r="L3015" s="8" t="str" cm="1">
        <f t="array" ref="L3015">_xlfn.IFS(
 AND(K3015&gt;=89,K3015&lt;=92),"3개월",
 AND(K3015&gt;=58,K3015&lt;=62),"2개월",
 AND(K3015&gt;=28,K3015&lt;=32),"1개월",
 AND(K3015=0),"당월",
 TRUE,"그외"
)</f>
        <v>1개월</v>
      </c>
    </row>
    <row r="3016" spans="1:12" x14ac:dyDescent="0.3">
      <c r="A3016" s="5">
        <v>46054</v>
      </c>
      <c r="B3016" s="6" t="s">
        <v>60</v>
      </c>
      <c r="C3016" s="6" t="s">
        <v>111</v>
      </c>
      <c r="D3016" s="5">
        <v>46023</v>
      </c>
      <c r="E3016" s="6" t="s">
        <v>15</v>
      </c>
      <c r="F3016" s="7">
        <v>396</v>
      </c>
      <c r="G3016" s="7">
        <v>250553.31818181821</v>
      </c>
      <c r="H3016" s="7">
        <v>99219114</v>
      </c>
      <c r="I3016" s="7">
        <v>10827383</v>
      </c>
      <c r="J3016" s="7">
        <v>0</v>
      </c>
      <c r="K3016">
        <f t="shared" si="46"/>
        <v>31</v>
      </c>
      <c r="L3016" s="8" t="str" cm="1">
        <f t="array" ref="L3016">_xlfn.IFS(
 AND(K3016&gt;=89,K3016&lt;=92),"3개월",
 AND(K3016&gt;=58,K3016&lt;=62),"2개월",
 AND(K3016&gt;=28,K3016&lt;=32),"1개월",
 AND(K3016=0),"당월",
 TRUE,"그외"
)</f>
        <v>1개월</v>
      </c>
    </row>
    <row r="3017" spans="1:12" x14ac:dyDescent="0.3">
      <c r="A3017" s="5">
        <v>46054</v>
      </c>
      <c r="B3017" s="6" t="s">
        <v>60</v>
      </c>
      <c r="C3017" s="6" t="s">
        <v>111</v>
      </c>
      <c r="D3017" s="5">
        <v>46054</v>
      </c>
      <c r="E3017" s="6" t="s">
        <v>14</v>
      </c>
      <c r="F3017" s="7">
        <v>953</v>
      </c>
      <c r="G3017" s="7">
        <v>13571.0388247639</v>
      </c>
      <c r="H3017" s="7">
        <v>12933200</v>
      </c>
      <c r="I3017" s="7">
        <v>1443200</v>
      </c>
      <c r="J3017" s="7">
        <v>0</v>
      </c>
      <c r="K3017">
        <f t="shared" si="46"/>
        <v>0</v>
      </c>
      <c r="L3017" s="8" t="str" cm="1">
        <f t="array" ref="L3017">_xlfn.IFS(
 AND(K3017&gt;=89,K3017&lt;=92),"3개월",
 AND(K3017&gt;=58,K3017&lt;=62),"2개월",
 AND(K3017&gt;=28,K3017&lt;=32),"1개월",
 AND(K3017=0),"당월",
 TRUE,"그외"
)</f>
        <v>당월</v>
      </c>
    </row>
    <row r="3018" spans="1:12" x14ac:dyDescent="0.3">
      <c r="A3018" s="5">
        <v>46054</v>
      </c>
      <c r="B3018" s="6" t="s">
        <v>60</v>
      </c>
      <c r="C3018" s="6" t="s">
        <v>111</v>
      </c>
      <c r="D3018" s="5">
        <v>46054</v>
      </c>
      <c r="E3018" s="6" t="s">
        <v>15</v>
      </c>
      <c r="F3018" s="7">
        <v>322</v>
      </c>
      <c r="G3018" s="7">
        <v>320075.62111801241</v>
      </c>
      <c r="H3018" s="7">
        <v>103064350</v>
      </c>
      <c r="I3018" s="7">
        <v>9372440</v>
      </c>
      <c r="J3018" s="7">
        <v>0</v>
      </c>
      <c r="K3018">
        <f t="shared" ref="K3018:K3081" si="47">A3018-D3018</f>
        <v>0</v>
      </c>
      <c r="L3018" s="8" t="str" cm="1">
        <f t="array" ref="L3018">_xlfn.IFS(
 AND(K3018&gt;=89,K3018&lt;=92),"3개월",
 AND(K3018&gt;=58,K3018&lt;=62),"2개월",
 AND(K3018&gt;=28,K3018&lt;=32),"1개월",
 AND(K3018=0),"당월",
 TRUE,"그외"
)</f>
        <v>당월</v>
      </c>
    </row>
    <row r="3019" spans="1:12" x14ac:dyDescent="0.3">
      <c r="A3019" s="5">
        <v>46054</v>
      </c>
      <c r="B3019" s="6" t="s">
        <v>60</v>
      </c>
      <c r="C3019" s="6" t="s">
        <v>67</v>
      </c>
      <c r="D3019" s="5">
        <v>45839</v>
      </c>
      <c r="E3019" s="6" t="s">
        <v>15</v>
      </c>
      <c r="F3019" s="7">
        <v>88</v>
      </c>
      <c r="G3019" s="7">
        <v>363330.68181818182</v>
      </c>
      <c r="H3019" s="7">
        <v>31973100</v>
      </c>
      <c r="I3019" s="7">
        <v>1452000</v>
      </c>
      <c r="J3019" s="7">
        <v>0</v>
      </c>
      <c r="K3019">
        <f t="shared" si="47"/>
        <v>215</v>
      </c>
      <c r="L3019" s="8" t="str" cm="1">
        <f t="array" ref="L3019">_xlfn.IFS(
 AND(K3019&gt;=89,K3019&lt;=92),"3개월",
 AND(K3019&gt;=58,K3019&lt;=62),"2개월",
 AND(K3019&gt;=28,K3019&lt;=32),"1개월",
 AND(K3019=0),"당월",
 TRUE,"그외"
)</f>
        <v>그외</v>
      </c>
    </row>
    <row r="3020" spans="1:12" x14ac:dyDescent="0.3">
      <c r="A3020" s="5">
        <v>46054</v>
      </c>
      <c r="B3020" s="6" t="s">
        <v>60</v>
      </c>
      <c r="C3020" s="6" t="s">
        <v>67</v>
      </c>
      <c r="D3020" s="5">
        <v>45870</v>
      </c>
      <c r="E3020" s="6" t="s">
        <v>15</v>
      </c>
      <c r="F3020" s="7">
        <v>185</v>
      </c>
      <c r="G3020" s="7">
        <v>343761.71891891892</v>
      </c>
      <c r="H3020" s="7">
        <v>63595918</v>
      </c>
      <c r="I3020" s="7">
        <v>4840560</v>
      </c>
      <c r="J3020" s="7">
        <v>0</v>
      </c>
      <c r="K3020">
        <f t="shared" si="47"/>
        <v>184</v>
      </c>
      <c r="L3020" s="8" t="str" cm="1">
        <f t="array" ref="L3020">_xlfn.IFS(
 AND(K3020&gt;=89,K3020&lt;=92),"3개월",
 AND(K3020&gt;=58,K3020&lt;=62),"2개월",
 AND(K3020&gt;=28,K3020&lt;=32),"1개월",
 AND(K3020=0),"당월",
 TRUE,"그외"
)</f>
        <v>그외</v>
      </c>
    </row>
    <row r="3021" spans="1:12" x14ac:dyDescent="0.3">
      <c r="A3021" s="5">
        <v>46054</v>
      </c>
      <c r="B3021" s="6" t="s">
        <v>60</v>
      </c>
      <c r="C3021" s="6" t="s">
        <v>67</v>
      </c>
      <c r="D3021" s="5">
        <v>45901</v>
      </c>
      <c r="E3021" s="6" t="s">
        <v>15</v>
      </c>
      <c r="F3021" s="7">
        <v>441</v>
      </c>
      <c r="G3021" s="7">
        <v>274645.06349206349</v>
      </c>
      <c r="H3021" s="7">
        <v>121118473</v>
      </c>
      <c r="I3021" s="7">
        <v>11649026</v>
      </c>
      <c r="J3021" s="7">
        <v>0</v>
      </c>
      <c r="K3021">
        <f t="shared" si="47"/>
        <v>153</v>
      </c>
      <c r="L3021" s="8" t="str" cm="1">
        <f t="array" ref="L3021">_xlfn.IFS(
 AND(K3021&gt;=89,K3021&lt;=92),"3개월",
 AND(K3021&gt;=58,K3021&lt;=62),"2개월",
 AND(K3021&gt;=28,K3021&lt;=32),"1개월",
 AND(K3021=0),"당월",
 TRUE,"그외"
)</f>
        <v>그외</v>
      </c>
    </row>
    <row r="3022" spans="1:12" x14ac:dyDescent="0.3">
      <c r="A3022" s="5">
        <v>46054</v>
      </c>
      <c r="B3022" s="6" t="s">
        <v>60</v>
      </c>
      <c r="C3022" s="6" t="s">
        <v>67</v>
      </c>
      <c r="D3022" s="5">
        <v>45931</v>
      </c>
      <c r="E3022" s="6" t="s">
        <v>15</v>
      </c>
      <c r="F3022" s="7">
        <v>1005</v>
      </c>
      <c r="G3022" s="7">
        <v>319997.12736318412</v>
      </c>
      <c r="H3022" s="7">
        <v>321597113</v>
      </c>
      <c r="I3022" s="7">
        <v>26677726</v>
      </c>
      <c r="J3022" s="7">
        <v>0</v>
      </c>
      <c r="K3022">
        <f t="shared" si="47"/>
        <v>123</v>
      </c>
      <c r="L3022" s="8" t="str" cm="1">
        <f t="array" ref="L3022">_xlfn.IFS(
 AND(K3022&gt;=89,K3022&lt;=92),"3개월",
 AND(K3022&gt;=58,K3022&lt;=62),"2개월",
 AND(K3022&gt;=28,K3022&lt;=32),"1개월",
 AND(K3022=0),"당월",
 TRUE,"그외"
)</f>
        <v>그외</v>
      </c>
    </row>
    <row r="3023" spans="1:12" x14ac:dyDescent="0.3">
      <c r="A3023" s="5">
        <v>46054</v>
      </c>
      <c r="B3023" s="6" t="s">
        <v>60</v>
      </c>
      <c r="C3023" s="6" t="s">
        <v>67</v>
      </c>
      <c r="D3023" s="5">
        <v>45962</v>
      </c>
      <c r="E3023" s="6" t="s">
        <v>14</v>
      </c>
      <c r="F3023" s="7">
        <v>169</v>
      </c>
      <c r="G3023" s="7">
        <v>254646.74556213021</v>
      </c>
      <c r="H3023" s="7">
        <v>43035300</v>
      </c>
      <c r="I3023" s="7">
        <v>4512300</v>
      </c>
      <c r="J3023" s="7">
        <v>0</v>
      </c>
      <c r="K3023">
        <f t="shared" si="47"/>
        <v>92</v>
      </c>
      <c r="L3023" s="8" t="str" cm="1">
        <f t="array" ref="L3023">_xlfn.IFS(
 AND(K3023&gt;=89,K3023&lt;=92),"3개월",
 AND(K3023&gt;=58,K3023&lt;=62),"2개월",
 AND(K3023&gt;=28,K3023&lt;=32),"1개월",
 AND(K3023=0),"당월",
 TRUE,"그외"
)</f>
        <v>3개월</v>
      </c>
    </row>
    <row r="3024" spans="1:12" x14ac:dyDescent="0.3">
      <c r="A3024" s="5">
        <v>46054</v>
      </c>
      <c r="B3024" s="6" t="s">
        <v>60</v>
      </c>
      <c r="C3024" s="6" t="s">
        <v>67</v>
      </c>
      <c r="D3024" s="5">
        <v>45962</v>
      </c>
      <c r="E3024" s="6" t="s">
        <v>15</v>
      </c>
      <c r="F3024" s="7">
        <v>1361</v>
      </c>
      <c r="G3024" s="7">
        <v>295845.75753122702</v>
      </c>
      <c r="H3024" s="7">
        <v>402646076</v>
      </c>
      <c r="I3024" s="7">
        <v>36168484</v>
      </c>
      <c r="J3024" s="7">
        <v>0</v>
      </c>
      <c r="K3024">
        <f t="shared" si="47"/>
        <v>92</v>
      </c>
      <c r="L3024" s="8" t="str" cm="1">
        <f t="array" ref="L3024">_xlfn.IFS(
 AND(K3024&gt;=89,K3024&lt;=92),"3개월",
 AND(K3024&gt;=58,K3024&lt;=62),"2개월",
 AND(K3024&gt;=28,K3024&lt;=32),"1개월",
 AND(K3024=0),"당월",
 TRUE,"그외"
)</f>
        <v>3개월</v>
      </c>
    </row>
    <row r="3025" spans="1:12" x14ac:dyDescent="0.3">
      <c r="A3025" s="5">
        <v>46054</v>
      </c>
      <c r="B3025" s="6" t="s">
        <v>60</v>
      </c>
      <c r="C3025" s="6" t="s">
        <v>67</v>
      </c>
      <c r="D3025" s="5">
        <v>45992</v>
      </c>
      <c r="E3025" s="6" t="s">
        <v>14</v>
      </c>
      <c r="F3025" s="7">
        <v>312</v>
      </c>
      <c r="G3025" s="7">
        <v>425323.07692307688</v>
      </c>
      <c r="H3025" s="7">
        <v>132700800</v>
      </c>
      <c r="I3025" s="7">
        <v>9636800</v>
      </c>
      <c r="J3025" s="7">
        <v>0</v>
      </c>
      <c r="K3025">
        <f t="shared" si="47"/>
        <v>62</v>
      </c>
      <c r="L3025" s="8" t="str" cm="1">
        <f t="array" ref="L3025">_xlfn.IFS(
 AND(K3025&gt;=89,K3025&lt;=92),"3개월",
 AND(K3025&gt;=58,K3025&lt;=62),"2개월",
 AND(K3025&gt;=28,K3025&lt;=32),"1개월",
 AND(K3025=0),"당월",
 TRUE,"그외"
)</f>
        <v>2개월</v>
      </c>
    </row>
    <row r="3026" spans="1:12" x14ac:dyDescent="0.3">
      <c r="A3026" s="5">
        <v>46054</v>
      </c>
      <c r="B3026" s="6" t="s">
        <v>60</v>
      </c>
      <c r="C3026" s="6" t="s">
        <v>67</v>
      </c>
      <c r="D3026" s="5">
        <v>45992</v>
      </c>
      <c r="E3026" s="6" t="s">
        <v>15</v>
      </c>
      <c r="F3026" s="7">
        <v>3616</v>
      </c>
      <c r="G3026" s="7">
        <v>246532.99861725661</v>
      </c>
      <c r="H3026" s="7">
        <v>891463323</v>
      </c>
      <c r="I3026" s="7">
        <v>113799313</v>
      </c>
      <c r="J3026" s="7">
        <v>0</v>
      </c>
      <c r="K3026">
        <f t="shared" si="47"/>
        <v>62</v>
      </c>
      <c r="L3026" s="8" t="str" cm="1">
        <f t="array" ref="L3026">_xlfn.IFS(
 AND(K3026&gt;=89,K3026&lt;=92),"3개월",
 AND(K3026&gt;=58,K3026&lt;=62),"2개월",
 AND(K3026&gt;=28,K3026&lt;=32),"1개월",
 AND(K3026=0),"당월",
 TRUE,"그외"
)</f>
        <v>2개월</v>
      </c>
    </row>
    <row r="3027" spans="1:12" x14ac:dyDescent="0.3">
      <c r="A3027" s="5">
        <v>46054</v>
      </c>
      <c r="B3027" s="6" t="s">
        <v>60</v>
      </c>
      <c r="C3027" s="6" t="s">
        <v>67</v>
      </c>
      <c r="D3027" s="5">
        <v>46023</v>
      </c>
      <c r="E3027" s="6" t="s">
        <v>14</v>
      </c>
      <c r="F3027" s="7">
        <v>1371</v>
      </c>
      <c r="G3027" s="7">
        <v>568175.85703865788</v>
      </c>
      <c r="H3027" s="7">
        <v>778969100</v>
      </c>
      <c r="I3027" s="7">
        <v>40924100</v>
      </c>
      <c r="J3027" s="7">
        <v>0</v>
      </c>
      <c r="K3027">
        <f t="shared" si="47"/>
        <v>31</v>
      </c>
      <c r="L3027" s="8" t="str" cm="1">
        <f t="array" ref="L3027">_xlfn.IFS(
 AND(K3027&gt;=89,K3027&lt;=92),"3개월",
 AND(K3027&gt;=58,K3027&lt;=62),"2개월",
 AND(K3027&gt;=28,K3027&lt;=32),"1개월",
 AND(K3027=0),"당월",
 TRUE,"그외"
)</f>
        <v>1개월</v>
      </c>
    </row>
    <row r="3028" spans="1:12" x14ac:dyDescent="0.3">
      <c r="A3028" s="5">
        <v>46054</v>
      </c>
      <c r="B3028" s="6" t="s">
        <v>60</v>
      </c>
      <c r="C3028" s="6" t="s">
        <v>67</v>
      </c>
      <c r="D3028" s="5">
        <v>46023</v>
      </c>
      <c r="E3028" s="6" t="s">
        <v>15</v>
      </c>
      <c r="F3028" s="7">
        <v>6092</v>
      </c>
      <c r="G3028" s="7">
        <v>224529.70994747209</v>
      </c>
      <c r="H3028" s="7">
        <v>1367834993</v>
      </c>
      <c r="I3028" s="7">
        <v>195875208</v>
      </c>
      <c r="J3028" s="7">
        <v>0</v>
      </c>
      <c r="K3028">
        <f t="shared" si="47"/>
        <v>31</v>
      </c>
      <c r="L3028" s="8" t="str" cm="1">
        <f t="array" ref="L3028">_xlfn.IFS(
 AND(K3028&gt;=89,K3028&lt;=92),"3개월",
 AND(K3028&gt;=58,K3028&lt;=62),"2개월",
 AND(K3028&gt;=28,K3028&lt;=32),"1개월",
 AND(K3028=0),"당월",
 TRUE,"그외"
)</f>
        <v>1개월</v>
      </c>
    </row>
    <row r="3029" spans="1:12" x14ac:dyDescent="0.3">
      <c r="A3029" s="5">
        <v>46054</v>
      </c>
      <c r="B3029" s="6" t="s">
        <v>60</v>
      </c>
      <c r="C3029" s="6" t="s">
        <v>67</v>
      </c>
      <c r="D3029" s="5">
        <v>46054</v>
      </c>
      <c r="E3029" s="6" t="s">
        <v>14</v>
      </c>
      <c r="F3029" s="7">
        <v>2236</v>
      </c>
      <c r="G3029" s="7">
        <v>32536.046511627908</v>
      </c>
      <c r="H3029" s="7">
        <v>72750600</v>
      </c>
      <c r="I3029" s="7">
        <v>49212600</v>
      </c>
      <c r="J3029" s="7">
        <v>0</v>
      </c>
      <c r="K3029">
        <f t="shared" si="47"/>
        <v>0</v>
      </c>
      <c r="L3029" s="8" t="str" cm="1">
        <f t="array" ref="L3029">_xlfn.IFS(
 AND(K3029&gt;=89,K3029&lt;=92),"3개월",
 AND(K3029&gt;=58,K3029&lt;=62),"2개월",
 AND(K3029&gt;=28,K3029&lt;=32),"1개월",
 AND(K3029=0),"당월",
 TRUE,"그외"
)</f>
        <v>당월</v>
      </c>
    </row>
    <row r="3030" spans="1:12" x14ac:dyDescent="0.3">
      <c r="A3030" s="5">
        <v>46054</v>
      </c>
      <c r="B3030" s="6" t="s">
        <v>60</v>
      </c>
      <c r="C3030" s="6" t="s">
        <v>67</v>
      </c>
      <c r="D3030" s="5">
        <v>46054</v>
      </c>
      <c r="E3030" s="6" t="s">
        <v>15</v>
      </c>
      <c r="F3030" s="7">
        <v>1521</v>
      </c>
      <c r="G3030" s="7">
        <v>249933.9750164366</v>
      </c>
      <c r="H3030" s="7">
        <v>380149576</v>
      </c>
      <c r="I3030" s="7">
        <v>35456911</v>
      </c>
      <c r="J3030" s="7">
        <v>0</v>
      </c>
      <c r="K3030">
        <f t="shared" si="47"/>
        <v>0</v>
      </c>
      <c r="L3030" s="8" t="str" cm="1">
        <f t="array" ref="L3030">_xlfn.IFS(
 AND(K3030&gt;=89,K3030&lt;=92),"3개월",
 AND(K3030&gt;=58,K3030&lt;=62),"2개월",
 AND(K3030&gt;=28,K3030&lt;=32),"1개월",
 AND(K3030=0),"당월",
 TRUE,"그외"
)</f>
        <v>당월</v>
      </c>
    </row>
    <row r="3031" spans="1:12" x14ac:dyDescent="0.3">
      <c r="A3031" s="5">
        <v>46054</v>
      </c>
      <c r="B3031" s="6" t="s">
        <v>60</v>
      </c>
      <c r="C3031" s="6" t="s">
        <v>68</v>
      </c>
      <c r="D3031" s="5">
        <v>45839</v>
      </c>
      <c r="E3031" s="6" t="s">
        <v>15</v>
      </c>
      <c r="F3031" s="7">
        <v>75</v>
      </c>
      <c r="G3031" s="7">
        <v>261425.33333333331</v>
      </c>
      <c r="H3031" s="7">
        <v>19606900</v>
      </c>
      <c r="I3031" s="7">
        <v>1237500</v>
      </c>
      <c r="J3031" s="7">
        <v>0</v>
      </c>
      <c r="K3031">
        <f t="shared" si="47"/>
        <v>215</v>
      </c>
      <c r="L3031" s="8" t="str" cm="1">
        <f t="array" ref="L3031">_xlfn.IFS(
 AND(K3031&gt;=89,K3031&lt;=92),"3개월",
 AND(K3031&gt;=58,K3031&lt;=62),"2개월",
 AND(K3031&gt;=28,K3031&lt;=32),"1개월",
 AND(K3031=0),"당월",
 TRUE,"그외"
)</f>
        <v>그외</v>
      </c>
    </row>
    <row r="3032" spans="1:12" x14ac:dyDescent="0.3">
      <c r="A3032" s="5">
        <v>46054</v>
      </c>
      <c r="B3032" s="6" t="s">
        <v>60</v>
      </c>
      <c r="C3032" s="6" t="s">
        <v>68</v>
      </c>
      <c r="D3032" s="5">
        <v>45870</v>
      </c>
      <c r="E3032" s="6" t="s">
        <v>15</v>
      </c>
      <c r="F3032" s="7">
        <v>252</v>
      </c>
      <c r="G3032" s="7">
        <v>307805.95238095243</v>
      </c>
      <c r="H3032" s="7">
        <v>77567100</v>
      </c>
      <c r="I3032" s="7">
        <v>6552000</v>
      </c>
      <c r="J3032" s="7">
        <v>0</v>
      </c>
      <c r="K3032">
        <f t="shared" si="47"/>
        <v>184</v>
      </c>
      <c r="L3032" s="8" t="str" cm="1">
        <f t="array" ref="L3032">_xlfn.IFS(
 AND(K3032&gt;=89,K3032&lt;=92),"3개월",
 AND(K3032&gt;=58,K3032&lt;=62),"2개월",
 AND(K3032&gt;=28,K3032&lt;=32),"1개월",
 AND(K3032=0),"당월",
 TRUE,"그외"
)</f>
        <v>그외</v>
      </c>
    </row>
    <row r="3033" spans="1:12" x14ac:dyDescent="0.3">
      <c r="A3033" s="5">
        <v>46054</v>
      </c>
      <c r="B3033" s="6" t="s">
        <v>60</v>
      </c>
      <c r="C3033" s="6" t="s">
        <v>68</v>
      </c>
      <c r="D3033" s="5">
        <v>45901</v>
      </c>
      <c r="E3033" s="6" t="s">
        <v>14</v>
      </c>
      <c r="F3033" s="7">
        <v>44</v>
      </c>
      <c r="G3033" s="7">
        <v>230481.81818181821</v>
      </c>
      <c r="H3033" s="7">
        <v>10141200</v>
      </c>
      <c r="I3033" s="7">
        <v>1157200</v>
      </c>
      <c r="J3033" s="7">
        <v>0</v>
      </c>
      <c r="K3033">
        <f t="shared" si="47"/>
        <v>153</v>
      </c>
      <c r="L3033" s="8" t="str" cm="1">
        <f t="array" ref="L3033">_xlfn.IFS(
 AND(K3033&gt;=89,K3033&lt;=92),"3개월",
 AND(K3033&gt;=58,K3033&lt;=62),"2개월",
 AND(K3033&gt;=28,K3033&lt;=32),"1개월",
 AND(K3033=0),"당월",
 TRUE,"그외"
)</f>
        <v>그외</v>
      </c>
    </row>
    <row r="3034" spans="1:12" x14ac:dyDescent="0.3">
      <c r="A3034" s="5">
        <v>46054</v>
      </c>
      <c r="B3034" s="6" t="s">
        <v>60</v>
      </c>
      <c r="C3034" s="6" t="s">
        <v>68</v>
      </c>
      <c r="D3034" s="5">
        <v>45901</v>
      </c>
      <c r="E3034" s="6" t="s">
        <v>15</v>
      </c>
      <c r="F3034" s="7">
        <v>352</v>
      </c>
      <c r="G3034" s="7">
        <v>287843.30681818182</v>
      </c>
      <c r="H3034" s="7">
        <v>101320844</v>
      </c>
      <c r="I3034" s="7">
        <v>9288508</v>
      </c>
      <c r="J3034" s="7">
        <v>0</v>
      </c>
      <c r="K3034">
        <f t="shared" si="47"/>
        <v>153</v>
      </c>
      <c r="L3034" s="8" t="str" cm="1">
        <f t="array" ref="L3034">_xlfn.IFS(
 AND(K3034&gt;=89,K3034&lt;=92),"3개월",
 AND(K3034&gt;=58,K3034&lt;=62),"2개월",
 AND(K3034&gt;=28,K3034&lt;=32),"1개월",
 AND(K3034=0),"당월",
 TRUE,"그외"
)</f>
        <v>그외</v>
      </c>
    </row>
    <row r="3035" spans="1:12" x14ac:dyDescent="0.3">
      <c r="A3035" s="5">
        <v>46054</v>
      </c>
      <c r="B3035" s="6" t="s">
        <v>60</v>
      </c>
      <c r="C3035" s="6" t="s">
        <v>68</v>
      </c>
      <c r="D3035" s="5">
        <v>45931</v>
      </c>
      <c r="E3035" s="6" t="s">
        <v>14</v>
      </c>
      <c r="F3035" s="7">
        <v>66</v>
      </c>
      <c r="G3035" s="7">
        <v>247460.60606060599</v>
      </c>
      <c r="H3035" s="7">
        <v>16332400</v>
      </c>
      <c r="I3035" s="7">
        <v>1742400</v>
      </c>
      <c r="J3035" s="7">
        <v>0</v>
      </c>
      <c r="K3035">
        <f t="shared" si="47"/>
        <v>123</v>
      </c>
      <c r="L3035" s="8" t="str" cm="1">
        <f t="array" ref="L3035">_xlfn.IFS(
 AND(K3035&gt;=89,K3035&lt;=92),"3개월",
 AND(K3035&gt;=58,K3035&lt;=62),"2개월",
 AND(K3035&gt;=28,K3035&lt;=32),"1개월",
 AND(K3035=0),"당월",
 TRUE,"그외"
)</f>
        <v>그외</v>
      </c>
    </row>
    <row r="3036" spans="1:12" x14ac:dyDescent="0.3">
      <c r="A3036" s="5">
        <v>46054</v>
      </c>
      <c r="B3036" s="6" t="s">
        <v>60</v>
      </c>
      <c r="C3036" s="6" t="s">
        <v>68</v>
      </c>
      <c r="D3036" s="5">
        <v>45931</v>
      </c>
      <c r="E3036" s="6" t="s">
        <v>15</v>
      </c>
      <c r="F3036" s="7">
        <v>703</v>
      </c>
      <c r="G3036" s="7">
        <v>299140.00426742528</v>
      </c>
      <c r="H3036" s="7">
        <v>210295423</v>
      </c>
      <c r="I3036" s="7">
        <v>18591033</v>
      </c>
      <c r="J3036" s="7">
        <v>0</v>
      </c>
      <c r="K3036">
        <f t="shared" si="47"/>
        <v>123</v>
      </c>
      <c r="L3036" s="8" t="str" cm="1">
        <f t="array" ref="L3036">_xlfn.IFS(
 AND(K3036&gt;=89,K3036&lt;=92),"3개월",
 AND(K3036&gt;=58,K3036&lt;=62),"2개월",
 AND(K3036&gt;=28,K3036&lt;=32),"1개월",
 AND(K3036=0),"당월",
 TRUE,"그외"
)</f>
        <v>그외</v>
      </c>
    </row>
    <row r="3037" spans="1:12" x14ac:dyDescent="0.3">
      <c r="A3037" s="5">
        <v>46054</v>
      </c>
      <c r="B3037" s="6" t="s">
        <v>60</v>
      </c>
      <c r="C3037" s="6" t="s">
        <v>68</v>
      </c>
      <c r="D3037" s="5">
        <v>45962</v>
      </c>
      <c r="E3037" s="6" t="s">
        <v>14</v>
      </c>
      <c r="F3037" s="7">
        <v>310</v>
      </c>
      <c r="G3037" s="7">
        <v>272661.29032258072</v>
      </c>
      <c r="H3037" s="7">
        <v>84525000</v>
      </c>
      <c r="I3037" s="7">
        <v>8277000</v>
      </c>
      <c r="J3037" s="7">
        <v>0</v>
      </c>
      <c r="K3037">
        <f t="shared" si="47"/>
        <v>92</v>
      </c>
      <c r="L3037" s="8" t="str" cm="1">
        <f t="array" ref="L3037">_xlfn.IFS(
 AND(K3037&gt;=89,K3037&lt;=92),"3개월",
 AND(K3037&gt;=58,K3037&lt;=62),"2개월",
 AND(K3037&gt;=28,K3037&lt;=32),"1개월",
 AND(K3037=0),"당월",
 TRUE,"그외"
)</f>
        <v>3개월</v>
      </c>
    </row>
    <row r="3038" spans="1:12" x14ac:dyDescent="0.3">
      <c r="A3038" s="5">
        <v>46054</v>
      </c>
      <c r="B3038" s="6" t="s">
        <v>60</v>
      </c>
      <c r="C3038" s="6" t="s">
        <v>68</v>
      </c>
      <c r="D3038" s="5">
        <v>45962</v>
      </c>
      <c r="E3038" s="6" t="s">
        <v>15</v>
      </c>
      <c r="F3038" s="7">
        <v>1163</v>
      </c>
      <c r="G3038" s="7">
        <v>281350.76268271712</v>
      </c>
      <c r="H3038" s="7">
        <v>327210937</v>
      </c>
      <c r="I3038" s="7">
        <v>31063155</v>
      </c>
      <c r="J3038" s="7">
        <v>0</v>
      </c>
      <c r="K3038">
        <f t="shared" si="47"/>
        <v>92</v>
      </c>
      <c r="L3038" s="8" t="str" cm="1">
        <f t="array" ref="L3038">_xlfn.IFS(
 AND(K3038&gt;=89,K3038&lt;=92),"3개월",
 AND(K3038&gt;=58,K3038&lt;=62),"2개월",
 AND(K3038&gt;=28,K3038&lt;=32),"1개월",
 AND(K3038=0),"당월",
 TRUE,"그외"
)</f>
        <v>3개월</v>
      </c>
    </row>
    <row r="3039" spans="1:12" x14ac:dyDescent="0.3">
      <c r="A3039" s="5">
        <v>46054</v>
      </c>
      <c r="B3039" s="6" t="s">
        <v>60</v>
      </c>
      <c r="C3039" s="6" t="s">
        <v>68</v>
      </c>
      <c r="D3039" s="5">
        <v>45992</v>
      </c>
      <c r="E3039" s="6" t="s">
        <v>14</v>
      </c>
      <c r="F3039" s="7">
        <v>455</v>
      </c>
      <c r="G3039" s="7">
        <v>239878.02197802201</v>
      </c>
      <c r="H3039" s="7">
        <v>109144500</v>
      </c>
      <c r="I3039" s="7">
        <v>14423500</v>
      </c>
      <c r="J3039" s="7">
        <v>0</v>
      </c>
      <c r="K3039">
        <f t="shared" si="47"/>
        <v>62</v>
      </c>
      <c r="L3039" s="8" t="str" cm="1">
        <f t="array" ref="L3039">_xlfn.IFS(
 AND(K3039&gt;=89,K3039&lt;=92),"3개월",
 AND(K3039&gt;=58,K3039&lt;=62),"2개월",
 AND(K3039&gt;=28,K3039&lt;=32),"1개월",
 AND(K3039=0),"당월",
 TRUE,"그외"
)</f>
        <v>2개월</v>
      </c>
    </row>
    <row r="3040" spans="1:12" x14ac:dyDescent="0.3">
      <c r="A3040" s="5">
        <v>46054</v>
      </c>
      <c r="B3040" s="6" t="s">
        <v>60</v>
      </c>
      <c r="C3040" s="6" t="s">
        <v>68</v>
      </c>
      <c r="D3040" s="5">
        <v>45992</v>
      </c>
      <c r="E3040" s="6" t="s">
        <v>15</v>
      </c>
      <c r="F3040" s="7">
        <v>1961</v>
      </c>
      <c r="G3040" s="7">
        <v>261778.02651708311</v>
      </c>
      <c r="H3040" s="7">
        <v>513346710</v>
      </c>
      <c r="I3040" s="7">
        <v>62221256</v>
      </c>
      <c r="J3040" s="7">
        <v>0</v>
      </c>
      <c r="K3040">
        <f t="shared" si="47"/>
        <v>62</v>
      </c>
      <c r="L3040" s="8" t="str" cm="1">
        <f t="array" ref="L3040">_xlfn.IFS(
 AND(K3040&gt;=89,K3040&lt;=92),"3개월",
 AND(K3040&gt;=58,K3040&lt;=62),"2개월",
 AND(K3040&gt;=28,K3040&lt;=32),"1개월",
 AND(K3040=0),"당월",
 TRUE,"그외"
)</f>
        <v>2개월</v>
      </c>
    </row>
    <row r="3041" spans="1:12" x14ac:dyDescent="0.3">
      <c r="A3041" s="5">
        <v>46054</v>
      </c>
      <c r="B3041" s="6" t="s">
        <v>60</v>
      </c>
      <c r="C3041" s="6" t="s">
        <v>68</v>
      </c>
      <c r="D3041" s="5">
        <v>46023</v>
      </c>
      <c r="E3041" s="6" t="s">
        <v>14</v>
      </c>
      <c r="F3041" s="7">
        <v>1302</v>
      </c>
      <c r="G3041" s="7">
        <v>233030.03072196621</v>
      </c>
      <c r="H3041" s="7">
        <v>303405100</v>
      </c>
      <c r="I3041" s="7">
        <v>42019100</v>
      </c>
      <c r="J3041" s="7">
        <v>0</v>
      </c>
      <c r="K3041">
        <f t="shared" si="47"/>
        <v>31</v>
      </c>
      <c r="L3041" s="8" t="str" cm="1">
        <f t="array" ref="L3041">_xlfn.IFS(
 AND(K3041&gt;=89,K3041&lt;=92),"3개월",
 AND(K3041&gt;=58,K3041&lt;=62),"2개월",
 AND(K3041&gt;=28,K3041&lt;=32),"1개월",
 AND(K3041=0),"당월",
 TRUE,"그외"
)</f>
        <v>1개월</v>
      </c>
    </row>
    <row r="3042" spans="1:12" x14ac:dyDescent="0.3">
      <c r="A3042" s="5">
        <v>46054</v>
      </c>
      <c r="B3042" s="6" t="s">
        <v>60</v>
      </c>
      <c r="C3042" s="6" t="s">
        <v>68</v>
      </c>
      <c r="D3042" s="5">
        <v>46023</v>
      </c>
      <c r="E3042" s="6" t="s">
        <v>15</v>
      </c>
      <c r="F3042" s="7">
        <v>2529</v>
      </c>
      <c r="G3042" s="7">
        <v>252341.40608936339</v>
      </c>
      <c r="H3042" s="7">
        <v>638171416</v>
      </c>
      <c r="I3042" s="7">
        <v>81660245</v>
      </c>
      <c r="J3042" s="7">
        <v>0</v>
      </c>
      <c r="K3042">
        <f t="shared" si="47"/>
        <v>31</v>
      </c>
      <c r="L3042" s="8" t="str" cm="1">
        <f t="array" ref="L3042">_xlfn.IFS(
 AND(K3042&gt;=89,K3042&lt;=92),"3개월",
 AND(K3042&gt;=58,K3042&lt;=62),"2개월",
 AND(K3042&gt;=28,K3042&lt;=32),"1개월",
 AND(K3042=0),"당월",
 TRUE,"그외"
)</f>
        <v>1개월</v>
      </c>
    </row>
    <row r="3043" spans="1:12" x14ac:dyDescent="0.3">
      <c r="A3043" s="5">
        <v>46054</v>
      </c>
      <c r="B3043" s="6" t="s">
        <v>60</v>
      </c>
      <c r="C3043" s="6" t="s">
        <v>68</v>
      </c>
      <c r="D3043" s="5">
        <v>46054</v>
      </c>
      <c r="E3043" s="6" t="s">
        <v>14</v>
      </c>
      <c r="F3043" s="7">
        <v>82</v>
      </c>
      <c r="G3043" s="7">
        <v>250170.73170731711</v>
      </c>
      <c r="H3043" s="7">
        <v>20514000</v>
      </c>
      <c r="I3043" s="7">
        <v>1884000</v>
      </c>
      <c r="J3043" s="7">
        <v>0</v>
      </c>
      <c r="K3043">
        <f t="shared" si="47"/>
        <v>0</v>
      </c>
      <c r="L3043" s="8" t="str" cm="1">
        <f t="array" ref="L3043">_xlfn.IFS(
 AND(K3043&gt;=89,K3043&lt;=92),"3개월",
 AND(K3043&gt;=58,K3043&lt;=62),"2개월",
 AND(K3043&gt;=28,K3043&lt;=32),"1개월",
 AND(K3043=0),"당월",
 TRUE,"그외"
)</f>
        <v>당월</v>
      </c>
    </row>
    <row r="3044" spans="1:12" x14ac:dyDescent="0.3">
      <c r="A3044" s="5">
        <v>46054</v>
      </c>
      <c r="B3044" s="6" t="s">
        <v>60</v>
      </c>
      <c r="C3044" s="6" t="s">
        <v>68</v>
      </c>
      <c r="D3044" s="5">
        <v>46054</v>
      </c>
      <c r="E3044" s="6" t="s">
        <v>15</v>
      </c>
      <c r="F3044" s="7">
        <v>464</v>
      </c>
      <c r="G3044" s="7">
        <v>261942.0150862069</v>
      </c>
      <c r="H3044" s="7">
        <v>121541095</v>
      </c>
      <c r="I3044" s="7">
        <v>10774078</v>
      </c>
      <c r="J3044" s="7">
        <v>0</v>
      </c>
      <c r="K3044">
        <f t="shared" si="47"/>
        <v>0</v>
      </c>
      <c r="L3044" s="8" t="str" cm="1">
        <f t="array" ref="L3044">_xlfn.IFS(
 AND(K3044&gt;=89,K3044&lt;=92),"3개월",
 AND(K3044&gt;=58,K3044&lt;=62),"2개월",
 AND(K3044&gt;=28,K3044&lt;=32),"1개월",
 AND(K3044=0),"당월",
 TRUE,"그외"
)</f>
        <v>당월</v>
      </c>
    </row>
    <row r="3045" spans="1:12" x14ac:dyDescent="0.3">
      <c r="A3045" s="5">
        <v>46054</v>
      </c>
      <c r="B3045" s="6" t="s">
        <v>60</v>
      </c>
      <c r="C3045" s="6" t="s">
        <v>69</v>
      </c>
      <c r="D3045" s="5">
        <v>45870</v>
      </c>
      <c r="E3045" s="6" t="s">
        <v>15</v>
      </c>
      <c r="F3045" s="7">
        <v>2</v>
      </c>
      <c r="G3045" s="7">
        <v>317000</v>
      </c>
      <c r="H3045" s="7">
        <v>634000</v>
      </c>
      <c r="I3045" s="7">
        <v>52000</v>
      </c>
      <c r="J3045" s="7">
        <v>0</v>
      </c>
      <c r="K3045">
        <f t="shared" si="47"/>
        <v>184</v>
      </c>
      <c r="L3045" s="8" t="str" cm="1">
        <f t="array" ref="L3045">_xlfn.IFS(
 AND(K3045&gt;=89,K3045&lt;=92),"3개월",
 AND(K3045&gt;=58,K3045&lt;=62),"2개월",
 AND(K3045&gt;=28,K3045&lt;=32),"1개월",
 AND(K3045=0),"당월",
 TRUE,"그외"
)</f>
        <v>그외</v>
      </c>
    </row>
    <row r="3046" spans="1:12" x14ac:dyDescent="0.3">
      <c r="A3046" s="5">
        <v>46054</v>
      </c>
      <c r="B3046" s="6" t="s">
        <v>60</v>
      </c>
      <c r="C3046" s="6" t="s">
        <v>69</v>
      </c>
      <c r="D3046" s="5">
        <v>45901</v>
      </c>
      <c r="E3046" s="6" t="s">
        <v>15</v>
      </c>
      <c r="F3046" s="7">
        <v>51</v>
      </c>
      <c r="G3046" s="7">
        <v>238143.13725490199</v>
      </c>
      <c r="H3046" s="7">
        <v>12145300</v>
      </c>
      <c r="I3046" s="7">
        <v>1341300</v>
      </c>
      <c r="J3046" s="7">
        <v>0</v>
      </c>
      <c r="K3046">
        <f t="shared" si="47"/>
        <v>153</v>
      </c>
      <c r="L3046" s="8" t="str" cm="1">
        <f t="array" ref="L3046">_xlfn.IFS(
 AND(K3046&gt;=89,K3046&lt;=92),"3개월",
 AND(K3046&gt;=58,K3046&lt;=62),"2개월",
 AND(K3046&gt;=28,K3046&lt;=32),"1개월",
 AND(K3046=0),"당월",
 TRUE,"그외"
)</f>
        <v>그외</v>
      </c>
    </row>
    <row r="3047" spans="1:12" x14ac:dyDescent="0.3">
      <c r="A3047" s="5">
        <v>46054</v>
      </c>
      <c r="B3047" s="6" t="s">
        <v>60</v>
      </c>
      <c r="C3047" s="6" t="s">
        <v>69</v>
      </c>
      <c r="D3047" s="5">
        <v>45931</v>
      </c>
      <c r="E3047" s="6" t="s">
        <v>15</v>
      </c>
      <c r="F3047" s="7">
        <v>177</v>
      </c>
      <c r="G3047" s="7">
        <v>273514.9152542373</v>
      </c>
      <c r="H3047" s="7">
        <v>48412140</v>
      </c>
      <c r="I3047" s="7">
        <v>4717258</v>
      </c>
      <c r="J3047" s="7">
        <v>0</v>
      </c>
      <c r="K3047">
        <f t="shared" si="47"/>
        <v>123</v>
      </c>
      <c r="L3047" s="8" t="str" cm="1">
        <f t="array" ref="L3047">_xlfn.IFS(
 AND(K3047&gt;=89,K3047&lt;=92),"3개월",
 AND(K3047&gt;=58,K3047&lt;=62),"2개월",
 AND(K3047&gt;=28,K3047&lt;=32),"1개월",
 AND(K3047=0),"당월",
 TRUE,"그외"
)</f>
        <v>그외</v>
      </c>
    </row>
    <row r="3048" spans="1:12" x14ac:dyDescent="0.3">
      <c r="A3048" s="5">
        <v>46054</v>
      </c>
      <c r="B3048" s="6" t="s">
        <v>60</v>
      </c>
      <c r="C3048" s="6" t="s">
        <v>69</v>
      </c>
      <c r="D3048" s="5">
        <v>45962</v>
      </c>
      <c r="E3048" s="6" t="s">
        <v>14</v>
      </c>
      <c r="F3048" s="7">
        <v>72</v>
      </c>
      <c r="G3048" s="7">
        <v>259977.77777777781</v>
      </c>
      <c r="H3048" s="7">
        <v>18718400</v>
      </c>
      <c r="I3048" s="7">
        <v>1922400</v>
      </c>
      <c r="J3048" s="7">
        <v>0</v>
      </c>
      <c r="K3048">
        <f t="shared" si="47"/>
        <v>92</v>
      </c>
      <c r="L3048" s="8" t="str" cm="1">
        <f t="array" ref="L3048">_xlfn.IFS(
 AND(K3048&gt;=89,K3048&lt;=92),"3개월",
 AND(K3048&gt;=58,K3048&lt;=62),"2개월",
 AND(K3048&gt;=28,K3048&lt;=32),"1개월",
 AND(K3048=0),"당월",
 TRUE,"그외"
)</f>
        <v>3개월</v>
      </c>
    </row>
    <row r="3049" spans="1:12" x14ac:dyDescent="0.3">
      <c r="A3049" s="5">
        <v>46054</v>
      </c>
      <c r="B3049" s="6" t="s">
        <v>60</v>
      </c>
      <c r="C3049" s="6" t="s">
        <v>69</v>
      </c>
      <c r="D3049" s="5">
        <v>45962</v>
      </c>
      <c r="E3049" s="6" t="s">
        <v>15</v>
      </c>
      <c r="F3049" s="7">
        <v>326</v>
      </c>
      <c r="G3049" s="7">
        <v>312623.54294478532</v>
      </c>
      <c r="H3049" s="7">
        <v>101915275</v>
      </c>
      <c r="I3049" s="7">
        <v>8771880</v>
      </c>
      <c r="J3049" s="7">
        <v>0</v>
      </c>
      <c r="K3049">
        <f t="shared" si="47"/>
        <v>92</v>
      </c>
      <c r="L3049" s="8" t="str" cm="1">
        <f t="array" ref="L3049">_xlfn.IFS(
 AND(K3049&gt;=89,K3049&lt;=92),"3개월",
 AND(K3049&gt;=58,K3049&lt;=62),"2개월",
 AND(K3049&gt;=28,K3049&lt;=32),"1개월",
 AND(K3049=0),"당월",
 TRUE,"그외"
)</f>
        <v>3개월</v>
      </c>
    </row>
    <row r="3050" spans="1:12" x14ac:dyDescent="0.3">
      <c r="A3050" s="5">
        <v>46054</v>
      </c>
      <c r="B3050" s="6" t="s">
        <v>60</v>
      </c>
      <c r="C3050" s="6" t="s">
        <v>69</v>
      </c>
      <c r="D3050" s="5">
        <v>45992</v>
      </c>
      <c r="E3050" s="6" t="s">
        <v>14</v>
      </c>
      <c r="F3050" s="7">
        <v>288</v>
      </c>
      <c r="G3050" s="7">
        <v>293276.38888888888</v>
      </c>
      <c r="H3050" s="7">
        <v>84463600</v>
      </c>
      <c r="I3050" s="7">
        <v>9129600</v>
      </c>
      <c r="J3050" s="7">
        <v>0</v>
      </c>
      <c r="K3050">
        <f t="shared" si="47"/>
        <v>62</v>
      </c>
      <c r="L3050" s="8" t="str" cm="1">
        <f t="array" ref="L3050">_xlfn.IFS(
 AND(K3050&gt;=89,K3050&lt;=92),"3개월",
 AND(K3050&gt;=58,K3050&lt;=62),"2개월",
 AND(K3050&gt;=28,K3050&lt;=32),"1개월",
 AND(K3050=0),"당월",
 TRUE,"그외"
)</f>
        <v>2개월</v>
      </c>
    </row>
    <row r="3051" spans="1:12" x14ac:dyDescent="0.3">
      <c r="A3051" s="5">
        <v>46054</v>
      </c>
      <c r="B3051" s="6" t="s">
        <v>60</v>
      </c>
      <c r="C3051" s="6" t="s">
        <v>69</v>
      </c>
      <c r="D3051" s="5">
        <v>45992</v>
      </c>
      <c r="E3051" s="6" t="s">
        <v>15</v>
      </c>
      <c r="F3051" s="7">
        <v>662</v>
      </c>
      <c r="G3051" s="7">
        <v>221232.56646525679</v>
      </c>
      <c r="H3051" s="7">
        <v>146455959</v>
      </c>
      <c r="I3051" s="7">
        <v>20981198</v>
      </c>
      <c r="J3051" s="7">
        <v>0</v>
      </c>
      <c r="K3051">
        <f t="shared" si="47"/>
        <v>62</v>
      </c>
      <c r="L3051" s="8" t="str" cm="1">
        <f t="array" ref="L3051">_xlfn.IFS(
 AND(K3051&gt;=89,K3051&lt;=92),"3개월",
 AND(K3051&gt;=58,K3051&lt;=62),"2개월",
 AND(K3051&gt;=28,K3051&lt;=32),"1개월",
 AND(K3051=0),"당월",
 TRUE,"그외"
)</f>
        <v>2개월</v>
      </c>
    </row>
    <row r="3052" spans="1:12" x14ac:dyDescent="0.3">
      <c r="A3052" s="5">
        <v>46054</v>
      </c>
      <c r="B3052" s="6" t="s">
        <v>60</v>
      </c>
      <c r="C3052" s="6" t="s">
        <v>69</v>
      </c>
      <c r="D3052" s="5">
        <v>46023</v>
      </c>
      <c r="E3052" s="6" t="s">
        <v>14</v>
      </c>
      <c r="F3052" s="7">
        <v>1494</v>
      </c>
      <c r="G3052" s="7">
        <v>179188.35341365461</v>
      </c>
      <c r="H3052" s="7">
        <v>267707400</v>
      </c>
      <c r="I3052" s="7">
        <v>48254400</v>
      </c>
      <c r="J3052" s="7">
        <v>0</v>
      </c>
      <c r="K3052">
        <f t="shared" si="47"/>
        <v>31</v>
      </c>
      <c r="L3052" s="8" t="str" cm="1">
        <f t="array" ref="L3052">_xlfn.IFS(
 AND(K3052&gt;=89,K3052&lt;=92),"3개월",
 AND(K3052&gt;=58,K3052&lt;=62),"2개월",
 AND(K3052&gt;=28,K3052&lt;=32),"1개월",
 AND(K3052=0),"당월",
 TRUE,"그외"
)</f>
        <v>1개월</v>
      </c>
    </row>
    <row r="3053" spans="1:12" x14ac:dyDescent="0.3">
      <c r="A3053" s="5">
        <v>46054</v>
      </c>
      <c r="B3053" s="6" t="s">
        <v>60</v>
      </c>
      <c r="C3053" s="6" t="s">
        <v>69</v>
      </c>
      <c r="D3053" s="5">
        <v>46023</v>
      </c>
      <c r="E3053" s="6" t="s">
        <v>15</v>
      </c>
      <c r="F3053" s="7">
        <v>4330</v>
      </c>
      <c r="G3053" s="7">
        <v>201639.59676674369</v>
      </c>
      <c r="H3053" s="7">
        <v>873099454</v>
      </c>
      <c r="I3053" s="7">
        <v>142074492</v>
      </c>
      <c r="J3053" s="7">
        <v>0</v>
      </c>
      <c r="K3053">
        <f t="shared" si="47"/>
        <v>31</v>
      </c>
      <c r="L3053" s="8" t="str" cm="1">
        <f t="array" ref="L3053">_xlfn.IFS(
 AND(K3053&gt;=89,K3053&lt;=92),"3개월",
 AND(K3053&gt;=58,K3053&lt;=62),"2개월",
 AND(K3053&gt;=28,K3053&lt;=32),"1개월",
 AND(K3053=0),"당월",
 TRUE,"그외"
)</f>
        <v>1개월</v>
      </c>
    </row>
    <row r="3054" spans="1:12" x14ac:dyDescent="0.3">
      <c r="A3054" s="5">
        <v>46054</v>
      </c>
      <c r="B3054" s="6" t="s">
        <v>60</v>
      </c>
      <c r="C3054" s="6" t="s">
        <v>69</v>
      </c>
      <c r="D3054" s="5">
        <v>46054</v>
      </c>
      <c r="E3054" s="6" t="s">
        <v>14</v>
      </c>
      <c r="F3054" s="7">
        <v>1682</v>
      </c>
      <c r="G3054" s="7">
        <v>178367.18192627831</v>
      </c>
      <c r="H3054" s="7">
        <v>300013600</v>
      </c>
      <c r="I3054" s="7">
        <v>37234600</v>
      </c>
      <c r="J3054" s="7">
        <v>0</v>
      </c>
      <c r="K3054">
        <f t="shared" si="47"/>
        <v>0</v>
      </c>
      <c r="L3054" s="8" t="str" cm="1">
        <f t="array" ref="L3054">_xlfn.IFS(
 AND(K3054&gt;=89,K3054&lt;=92),"3개월",
 AND(K3054&gt;=58,K3054&lt;=62),"2개월",
 AND(K3054&gt;=28,K3054&lt;=32),"1개월",
 AND(K3054=0),"당월",
 TRUE,"그외"
)</f>
        <v>당월</v>
      </c>
    </row>
    <row r="3055" spans="1:12" x14ac:dyDescent="0.3">
      <c r="A3055" s="5">
        <v>46054</v>
      </c>
      <c r="B3055" s="6" t="s">
        <v>60</v>
      </c>
      <c r="C3055" s="6" t="s">
        <v>69</v>
      </c>
      <c r="D3055" s="5">
        <v>46054</v>
      </c>
      <c r="E3055" s="6" t="s">
        <v>15</v>
      </c>
      <c r="F3055" s="7">
        <v>906</v>
      </c>
      <c r="G3055" s="7">
        <v>256373.70529801329</v>
      </c>
      <c r="H3055" s="7">
        <v>232274577</v>
      </c>
      <c r="I3055" s="7">
        <v>21749345</v>
      </c>
      <c r="J3055" s="7">
        <v>0</v>
      </c>
      <c r="K3055">
        <f t="shared" si="47"/>
        <v>0</v>
      </c>
      <c r="L3055" s="8" t="str" cm="1">
        <f t="array" ref="L3055">_xlfn.IFS(
 AND(K3055&gt;=89,K3055&lt;=92),"3개월",
 AND(K3055&gt;=58,K3055&lt;=62),"2개월",
 AND(K3055&gt;=28,K3055&lt;=32),"1개월",
 AND(K3055=0),"당월",
 TRUE,"그외"
)</f>
        <v>당월</v>
      </c>
    </row>
    <row r="3056" spans="1:12" x14ac:dyDescent="0.3">
      <c r="A3056" s="5">
        <v>46054</v>
      </c>
      <c r="B3056" s="6" t="s">
        <v>60</v>
      </c>
      <c r="C3056" s="6" t="s">
        <v>70</v>
      </c>
      <c r="D3056" s="5">
        <v>45839</v>
      </c>
      <c r="E3056" s="6" t="s">
        <v>15</v>
      </c>
      <c r="F3056" s="7">
        <v>36</v>
      </c>
      <c r="G3056" s="7">
        <v>293722.22222222219</v>
      </c>
      <c r="H3056" s="7">
        <v>10574000</v>
      </c>
      <c r="I3056" s="7">
        <v>594000</v>
      </c>
      <c r="J3056" s="7">
        <v>0</v>
      </c>
      <c r="K3056">
        <f t="shared" si="47"/>
        <v>215</v>
      </c>
      <c r="L3056" s="8" t="str" cm="1">
        <f t="array" ref="L3056">_xlfn.IFS(
 AND(K3056&gt;=89,K3056&lt;=92),"3개월",
 AND(K3056&gt;=58,K3056&lt;=62),"2개월",
 AND(K3056&gt;=28,K3056&lt;=32),"1개월",
 AND(K3056=0),"당월",
 TRUE,"그외"
)</f>
        <v>그외</v>
      </c>
    </row>
    <row r="3057" spans="1:12" x14ac:dyDescent="0.3">
      <c r="A3057" s="5">
        <v>46054</v>
      </c>
      <c r="B3057" s="6" t="s">
        <v>60</v>
      </c>
      <c r="C3057" s="6" t="s">
        <v>70</v>
      </c>
      <c r="D3057" s="5">
        <v>45870</v>
      </c>
      <c r="E3057" s="6" t="s">
        <v>15</v>
      </c>
      <c r="F3057" s="7">
        <v>38</v>
      </c>
      <c r="G3057" s="7">
        <v>296394.73684210528</v>
      </c>
      <c r="H3057" s="7">
        <v>11263000</v>
      </c>
      <c r="I3057" s="7">
        <v>988000</v>
      </c>
      <c r="J3057" s="7">
        <v>0</v>
      </c>
      <c r="K3057">
        <f t="shared" si="47"/>
        <v>184</v>
      </c>
      <c r="L3057" s="8" t="str" cm="1">
        <f t="array" ref="L3057">_xlfn.IFS(
 AND(K3057&gt;=89,K3057&lt;=92),"3개월",
 AND(K3057&gt;=58,K3057&lt;=62),"2개월",
 AND(K3057&gt;=28,K3057&lt;=32),"1개월",
 AND(K3057=0),"당월",
 TRUE,"그외"
)</f>
        <v>그외</v>
      </c>
    </row>
    <row r="3058" spans="1:12" x14ac:dyDescent="0.3">
      <c r="A3058" s="5">
        <v>46054</v>
      </c>
      <c r="B3058" s="6" t="s">
        <v>60</v>
      </c>
      <c r="C3058" s="6" t="s">
        <v>70</v>
      </c>
      <c r="D3058" s="5">
        <v>45901</v>
      </c>
      <c r="E3058" s="6" t="s">
        <v>15</v>
      </c>
      <c r="F3058" s="7">
        <v>197</v>
      </c>
      <c r="G3058" s="7">
        <v>231661.7208121827</v>
      </c>
      <c r="H3058" s="7">
        <v>45637359</v>
      </c>
      <c r="I3058" s="7">
        <v>5201949</v>
      </c>
      <c r="J3058" s="7">
        <v>0</v>
      </c>
      <c r="K3058">
        <f t="shared" si="47"/>
        <v>153</v>
      </c>
      <c r="L3058" s="8" t="str" cm="1">
        <f t="array" ref="L3058">_xlfn.IFS(
 AND(K3058&gt;=89,K3058&lt;=92),"3개월",
 AND(K3058&gt;=58,K3058&lt;=62),"2개월",
 AND(K3058&gt;=28,K3058&lt;=32),"1개월",
 AND(K3058=0),"당월",
 TRUE,"그외"
)</f>
        <v>그외</v>
      </c>
    </row>
    <row r="3059" spans="1:12" x14ac:dyDescent="0.3">
      <c r="A3059" s="5">
        <v>46054</v>
      </c>
      <c r="B3059" s="6" t="s">
        <v>60</v>
      </c>
      <c r="C3059" s="6" t="s">
        <v>70</v>
      </c>
      <c r="D3059" s="5">
        <v>45931</v>
      </c>
      <c r="E3059" s="6" t="s">
        <v>15</v>
      </c>
      <c r="F3059" s="7">
        <v>286</v>
      </c>
      <c r="G3059" s="7">
        <v>265789.2972027972</v>
      </c>
      <c r="H3059" s="7">
        <v>76015739</v>
      </c>
      <c r="I3059" s="7">
        <v>7565948</v>
      </c>
      <c r="J3059" s="7">
        <v>0</v>
      </c>
      <c r="K3059">
        <f t="shared" si="47"/>
        <v>123</v>
      </c>
      <c r="L3059" s="8" t="str" cm="1">
        <f t="array" ref="L3059">_xlfn.IFS(
 AND(K3059&gt;=89,K3059&lt;=92),"3개월",
 AND(K3059&gt;=58,K3059&lt;=62),"2개월",
 AND(K3059&gt;=28,K3059&lt;=32),"1개월",
 AND(K3059=0),"당월",
 TRUE,"그외"
)</f>
        <v>그외</v>
      </c>
    </row>
    <row r="3060" spans="1:12" x14ac:dyDescent="0.3">
      <c r="A3060" s="5">
        <v>46054</v>
      </c>
      <c r="B3060" s="6" t="s">
        <v>60</v>
      </c>
      <c r="C3060" s="6" t="s">
        <v>70</v>
      </c>
      <c r="D3060" s="5">
        <v>45962</v>
      </c>
      <c r="E3060" s="6" t="s">
        <v>14</v>
      </c>
      <c r="F3060" s="7">
        <v>71</v>
      </c>
      <c r="G3060" s="7">
        <v>359700</v>
      </c>
      <c r="H3060" s="7">
        <v>25538700</v>
      </c>
      <c r="I3060" s="7">
        <v>1895700</v>
      </c>
      <c r="J3060" s="7">
        <v>0</v>
      </c>
      <c r="K3060">
        <f t="shared" si="47"/>
        <v>92</v>
      </c>
      <c r="L3060" s="8" t="str" cm="1">
        <f t="array" ref="L3060">_xlfn.IFS(
 AND(K3060&gt;=89,K3060&lt;=92),"3개월",
 AND(K3060&gt;=58,K3060&lt;=62),"2개월",
 AND(K3060&gt;=28,K3060&lt;=32),"1개월",
 AND(K3060=0),"당월",
 TRUE,"그외"
)</f>
        <v>3개월</v>
      </c>
    </row>
    <row r="3061" spans="1:12" x14ac:dyDescent="0.3">
      <c r="A3061" s="5">
        <v>46054</v>
      </c>
      <c r="B3061" s="6" t="s">
        <v>60</v>
      </c>
      <c r="C3061" s="6" t="s">
        <v>70</v>
      </c>
      <c r="D3061" s="5">
        <v>45962</v>
      </c>
      <c r="E3061" s="6" t="s">
        <v>15</v>
      </c>
      <c r="F3061" s="7">
        <v>275</v>
      </c>
      <c r="G3061" s="7">
        <v>259562.35636363641</v>
      </c>
      <c r="H3061" s="7">
        <v>71379648</v>
      </c>
      <c r="I3061" s="7">
        <v>7356178</v>
      </c>
      <c r="J3061" s="7">
        <v>0</v>
      </c>
      <c r="K3061">
        <f t="shared" si="47"/>
        <v>92</v>
      </c>
      <c r="L3061" s="8" t="str" cm="1">
        <f t="array" ref="L3061">_xlfn.IFS(
 AND(K3061&gt;=89,K3061&lt;=92),"3개월",
 AND(K3061&gt;=58,K3061&lt;=62),"2개월",
 AND(K3061&gt;=28,K3061&lt;=32),"1개월",
 AND(K3061=0),"당월",
 TRUE,"그외"
)</f>
        <v>3개월</v>
      </c>
    </row>
    <row r="3062" spans="1:12" x14ac:dyDescent="0.3">
      <c r="A3062" s="5">
        <v>46054</v>
      </c>
      <c r="B3062" s="6" t="s">
        <v>60</v>
      </c>
      <c r="C3062" s="6" t="s">
        <v>70</v>
      </c>
      <c r="D3062" s="5">
        <v>45992</v>
      </c>
      <c r="E3062" s="6" t="s">
        <v>14</v>
      </c>
      <c r="F3062" s="7">
        <v>262</v>
      </c>
      <c r="G3062" s="7">
        <v>219589.31297709921</v>
      </c>
      <c r="H3062" s="7">
        <v>57532400</v>
      </c>
      <c r="I3062" s="7">
        <v>8305400</v>
      </c>
      <c r="J3062" s="7">
        <v>0</v>
      </c>
      <c r="K3062">
        <f t="shared" si="47"/>
        <v>62</v>
      </c>
      <c r="L3062" s="8" t="str" cm="1">
        <f t="array" ref="L3062">_xlfn.IFS(
 AND(K3062&gt;=89,K3062&lt;=92),"3개월",
 AND(K3062&gt;=58,K3062&lt;=62),"2개월",
 AND(K3062&gt;=28,K3062&lt;=32),"1개월",
 AND(K3062=0),"당월",
 TRUE,"그외"
)</f>
        <v>2개월</v>
      </c>
    </row>
    <row r="3063" spans="1:12" x14ac:dyDescent="0.3">
      <c r="A3063" s="5">
        <v>46054</v>
      </c>
      <c r="B3063" s="6" t="s">
        <v>60</v>
      </c>
      <c r="C3063" s="6" t="s">
        <v>70</v>
      </c>
      <c r="D3063" s="5">
        <v>45992</v>
      </c>
      <c r="E3063" s="6" t="s">
        <v>15</v>
      </c>
      <c r="F3063" s="7">
        <v>534</v>
      </c>
      <c r="G3063" s="7">
        <v>278570.62734082399</v>
      </c>
      <c r="H3063" s="7">
        <v>148756715</v>
      </c>
      <c r="I3063" s="7">
        <v>16909765</v>
      </c>
      <c r="J3063" s="7">
        <v>0</v>
      </c>
      <c r="K3063">
        <f t="shared" si="47"/>
        <v>62</v>
      </c>
      <c r="L3063" s="8" t="str" cm="1">
        <f t="array" ref="L3063">_xlfn.IFS(
 AND(K3063&gt;=89,K3063&lt;=92),"3개월",
 AND(K3063&gt;=58,K3063&lt;=62),"2개월",
 AND(K3063&gt;=28,K3063&lt;=32),"1개월",
 AND(K3063=0),"당월",
 TRUE,"그외"
)</f>
        <v>2개월</v>
      </c>
    </row>
    <row r="3064" spans="1:12" x14ac:dyDescent="0.3">
      <c r="A3064" s="5">
        <v>46054</v>
      </c>
      <c r="B3064" s="6" t="s">
        <v>60</v>
      </c>
      <c r="C3064" s="6" t="s">
        <v>70</v>
      </c>
      <c r="D3064" s="5">
        <v>46023</v>
      </c>
      <c r="E3064" s="6" t="s">
        <v>14</v>
      </c>
      <c r="F3064" s="7">
        <v>1920</v>
      </c>
      <c r="G3064" s="7">
        <v>172347.91666666669</v>
      </c>
      <c r="H3064" s="7">
        <v>330908000</v>
      </c>
      <c r="I3064" s="7">
        <v>62016000</v>
      </c>
      <c r="J3064" s="7">
        <v>0</v>
      </c>
      <c r="K3064">
        <f t="shared" si="47"/>
        <v>31</v>
      </c>
      <c r="L3064" s="8" t="str" cm="1">
        <f t="array" ref="L3064">_xlfn.IFS(
 AND(K3064&gt;=89,K3064&lt;=92),"3개월",
 AND(K3064&gt;=58,K3064&lt;=62),"2개월",
 AND(K3064&gt;=28,K3064&lt;=32),"1개월",
 AND(K3064=0),"당월",
 TRUE,"그외"
)</f>
        <v>1개월</v>
      </c>
    </row>
    <row r="3065" spans="1:12" x14ac:dyDescent="0.3">
      <c r="A3065" s="5">
        <v>46054</v>
      </c>
      <c r="B3065" s="6" t="s">
        <v>60</v>
      </c>
      <c r="C3065" s="6" t="s">
        <v>70</v>
      </c>
      <c r="D3065" s="5">
        <v>46023</v>
      </c>
      <c r="E3065" s="6" t="s">
        <v>15</v>
      </c>
      <c r="F3065" s="7">
        <v>4721</v>
      </c>
      <c r="G3065" s="7">
        <v>180436.16437195509</v>
      </c>
      <c r="H3065" s="7">
        <v>851839132</v>
      </c>
      <c r="I3065" s="7">
        <v>155521343</v>
      </c>
      <c r="J3065" s="7">
        <v>0</v>
      </c>
      <c r="K3065">
        <f t="shared" si="47"/>
        <v>31</v>
      </c>
      <c r="L3065" s="8" t="str" cm="1">
        <f t="array" ref="L3065">_xlfn.IFS(
 AND(K3065&gt;=89,K3065&lt;=92),"3개월",
 AND(K3065&gt;=58,K3065&lt;=62),"2개월",
 AND(K3065&gt;=28,K3065&lt;=32),"1개월",
 AND(K3065=0),"당월",
 TRUE,"그외"
)</f>
        <v>1개월</v>
      </c>
    </row>
    <row r="3066" spans="1:12" x14ac:dyDescent="0.3">
      <c r="A3066" s="5">
        <v>46054</v>
      </c>
      <c r="B3066" s="6" t="s">
        <v>60</v>
      </c>
      <c r="C3066" s="6" t="s">
        <v>70</v>
      </c>
      <c r="D3066" s="5">
        <v>46054</v>
      </c>
      <c r="E3066" s="6" t="s">
        <v>14</v>
      </c>
      <c r="F3066" s="7">
        <v>82</v>
      </c>
      <c r="G3066" s="7">
        <v>208080.48780487801</v>
      </c>
      <c r="H3066" s="7">
        <v>17062600</v>
      </c>
      <c r="I3066" s="7">
        <v>1824600</v>
      </c>
      <c r="J3066" s="7">
        <v>0</v>
      </c>
      <c r="K3066">
        <f t="shared" si="47"/>
        <v>0</v>
      </c>
      <c r="L3066" s="8" t="str" cm="1">
        <f t="array" ref="L3066">_xlfn.IFS(
 AND(K3066&gt;=89,K3066&lt;=92),"3개월",
 AND(K3066&gt;=58,K3066&lt;=62),"2개월",
 AND(K3066&gt;=28,K3066&lt;=32),"1개월",
 AND(K3066=0),"당월",
 TRUE,"그외"
)</f>
        <v>당월</v>
      </c>
    </row>
    <row r="3067" spans="1:12" x14ac:dyDescent="0.3">
      <c r="A3067" s="5">
        <v>46054</v>
      </c>
      <c r="B3067" s="6" t="s">
        <v>60</v>
      </c>
      <c r="C3067" s="6" t="s">
        <v>70</v>
      </c>
      <c r="D3067" s="5">
        <v>46054</v>
      </c>
      <c r="E3067" s="6" t="s">
        <v>15</v>
      </c>
      <c r="F3067" s="7">
        <v>1449</v>
      </c>
      <c r="G3067" s="7">
        <v>236378.3871635611</v>
      </c>
      <c r="H3067" s="7">
        <v>342512283</v>
      </c>
      <c r="I3067" s="7">
        <v>35058083</v>
      </c>
      <c r="J3067" s="7">
        <v>0</v>
      </c>
      <c r="K3067">
        <f t="shared" si="47"/>
        <v>0</v>
      </c>
      <c r="L3067" s="8" t="str" cm="1">
        <f t="array" ref="L3067">_xlfn.IFS(
 AND(K3067&gt;=89,K3067&lt;=92),"3개월",
 AND(K3067&gt;=58,K3067&lt;=62),"2개월",
 AND(K3067&gt;=28,K3067&lt;=32),"1개월",
 AND(K3067=0),"당월",
 TRUE,"그외"
)</f>
        <v>당월</v>
      </c>
    </row>
    <row r="3068" spans="1:12" x14ac:dyDescent="0.3">
      <c r="A3068" s="5">
        <v>46054</v>
      </c>
      <c r="B3068" s="6" t="s">
        <v>60</v>
      </c>
      <c r="C3068" s="6" t="s">
        <v>71</v>
      </c>
      <c r="D3068" s="5">
        <v>45931</v>
      </c>
      <c r="E3068" s="6" t="s">
        <v>15</v>
      </c>
      <c r="F3068" s="7">
        <v>10</v>
      </c>
      <c r="G3068" s="7">
        <v>577400</v>
      </c>
      <c r="H3068" s="7">
        <v>5774000</v>
      </c>
      <c r="I3068" s="7">
        <v>264000</v>
      </c>
      <c r="J3068" s="7">
        <v>0</v>
      </c>
      <c r="K3068">
        <f t="shared" si="47"/>
        <v>123</v>
      </c>
      <c r="L3068" s="8" t="str" cm="1">
        <f t="array" ref="L3068">_xlfn.IFS(
 AND(K3068&gt;=89,K3068&lt;=92),"3개월",
 AND(K3068&gt;=58,K3068&lt;=62),"2개월",
 AND(K3068&gt;=28,K3068&lt;=32),"1개월",
 AND(K3068=0),"당월",
 TRUE,"그외"
)</f>
        <v>그외</v>
      </c>
    </row>
    <row r="3069" spans="1:12" x14ac:dyDescent="0.3">
      <c r="A3069" s="5">
        <v>46054</v>
      </c>
      <c r="B3069" s="6" t="s">
        <v>60</v>
      </c>
      <c r="C3069" s="6" t="s">
        <v>71</v>
      </c>
      <c r="D3069" s="5">
        <v>45962</v>
      </c>
      <c r="E3069" s="6" t="s">
        <v>14</v>
      </c>
      <c r="F3069" s="7">
        <v>80</v>
      </c>
      <c r="G3069" s="7">
        <v>109700</v>
      </c>
      <c r="H3069" s="7">
        <v>8776000</v>
      </c>
      <c r="I3069" s="7">
        <v>2136000</v>
      </c>
      <c r="J3069" s="7">
        <v>0</v>
      </c>
      <c r="K3069">
        <f t="shared" si="47"/>
        <v>92</v>
      </c>
      <c r="L3069" s="8" t="str" cm="1">
        <f t="array" ref="L3069">_xlfn.IFS(
 AND(K3069&gt;=89,K3069&lt;=92),"3개월",
 AND(K3069&gt;=58,K3069&lt;=62),"2개월",
 AND(K3069&gt;=28,K3069&lt;=32),"1개월",
 AND(K3069=0),"당월",
 TRUE,"그외"
)</f>
        <v>3개월</v>
      </c>
    </row>
    <row r="3070" spans="1:12" x14ac:dyDescent="0.3">
      <c r="A3070" s="5">
        <v>46054</v>
      </c>
      <c r="B3070" s="6" t="s">
        <v>60</v>
      </c>
      <c r="C3070" s="6" t="s">
        <v>71</v>
      </c>
      <c r="D3070" s="5">
        <v>45962</v>
      </c>
      <c r="E3070" s="6" t="s">
        <v>15</v>
      </c>
      <c r="F3070" s="7">
        <v>573</v>
      </c>
      <c r="G3070" s="7">
        <v>372577.11343804537</v>
      </c>
      <c r="H3070" s="7">
        <v>213486686</v>
      </c>
      <c r="I3070" s="7">
        <v>15333210</v>
      </c>
      <c r="J3070" s="7">
        <v>0</v>
      </c>
      <c r="K3070">
        <f t="shared" si="47"/>
        <v>92</v>
      </c>
      <c r="L3070" s="8" t="str" cm="1">
        <f t="array" ref="L3070">_xlfn.IFS(
 AND(K3070&gt;=89,K3070&lt;=92),"3개월",
 AND(K3070&gt;=58,K3070&lt;=62),"2개월",
 AND(K3070&gt;=28,K3070&lt;=32),"1개월",
 AND(K3070=0),"당월",
 TRUE,"그외"
)</f>
        <v>3개월</v>
      </c>
    </row>
    <row r="3071" spans="1:12" x14ac:dyDescent="0.3">
      <c r="A3071" s="5">
        <v>46054</v>
      </c>
      <c r="B3071" s="6" t="s">
        <v>60</v>
      </c>
      <c r="C3071" s="6" t="s">
        <v>71</v>
      </c>
      <c r="D3071" s="5">
        <v>45992</v>
      </c>
      <c r="E3071" s="6" t="s">
        <v>14</v>
      </c>
      <c r="F3071" s="7">
        <v>318</v>
      </c>
      <c r="G3071" s="7">
        <v>421657.54716981133</v>
      </c>
      <c r="H3071" s="7">
        <v>134087100</v>
      </c>
      <c r="I3071" s="7">
        <v>9605100</v>
      </c>
      <c r="J3071" s="7">
        <v>0</v>
      </c>
      <c r="K3071">
        <f t="shared" si="47"/>
        <v>62</v>
      </c>
      <c r="L3071" s="8" t="str" cm="1">
        <f t="array" ref="L3071">_xlfn.IFS(
 AND(K3071&gt;=89,K3071&lt;=92),"3개월",
 AND(K3071&gt;=58,K3071&lt;=62),"2개월",
 AND(K3071&gt;=28,K3071&lt;=32),"1개월",
 AND(K3071=0),"당월",
 TRUE,"그외"
)</f>
        <v>2개월</v>
      </c>
    </row>
    <row r="3072" spans="1:12" x14ac:dyDescent="0.3">
      <c r="A3072" s="5">
        <v>46054</v>
      </c>
      <c r="B3072" s="6" t="s">
        <v>60</v>
      </c>
      <c r="C3072" s="6" t="s">
        <v>71</v>
      </c>
      <c r="D3072" s="5">
        <v>45992</v>
      </c>
      <c r="E3072" s="6" t="s">
        <v>15</v>
      </c>
      <c r="F3072" s="7">
        <v>903</v>
      </c>
      <c r="G3072" s="7">
        <v>335030.41196013289</v>
      </c>
      <c r="H3072" s="7">
        <v>302532462</v>
      </c>
      <c r="I3072" s="7">
        <v>29006015</v>
      </c>
      <c r="J3072" s="7">
        <v>0</v>
      </c>
      <c r="K3072">
        <f t="shared" si="47"/>
        <v>62</v>
      </c>
      <c r="L3072" s="8" t="str" cm="1">
        <f t="array" ref="L3072">_xlfn.IFS(
 AND(K3072&gt;=89,K3072&lt;=92),"3개월",
 AND(K3072&gt;=58,K3072&lt;=62),"2개월",
 AND(K3072&gt;=28,K3072&lt;=32),"1개월",
 AND(K3072=0),"당월",
 TRUE,"그외"
)</f>
        <v>2개월</v>
      </c>
    </row>
    <row r="3073" spans="1:12" x14ac:dyDescent="0.3">
      <c r="A3073" s="5">
        <v>46054</v>
      </c>
      <c r="B3073" s="6" t="s">
        <v>60</v>
      </c>
      <c r="C3073" s="6" t="s">
        <v>71</v>
      </c>
      <c r="D3073" s="5">
        <v>46023</v>
      </c>
      <c r="E3073" s="6" t="s">
        <v>14</v>
      </c>
      <c r="F3073" s="7">
        <v>1829</v>
      </c>
      <c r="G3073" s="7">
        <v>641905.3034445052</v>
      </c>
      <c r="H3073" s="7">
        <v>1174044800</v>
      </c>
      <c r="I3073" s="7">
        <v>50827800</v>
      </c>
      <c r="J3073" s="7">
        <v>0</v>
      </c>
      <c r="K3073">
        <f t="shared" si="47"/>
        <v>31</v>
      </c>
      <c r="L3073" s="8" t="str" cm="1">
        <f t="array" ref="L3073">_xlfn.IFS(
 AND(K3073&gt;=89,K3073&lt;=92),"3개월",
 AND(K3073&gt;=58,K3073&lt;=62),"2개월",
 AND(K3073&gt;=28,K3073&lt;=32),"1개월",
 AND(K3073=0),"당월",
 TRUE,"그외"
)</f>
        <v>1개월</v>
      </c>
    </row>
    <row r="3074" spans="1:12" x14ac:dyDescent="0.3">
      <c r="A3074" s="5">
        <v>46054</v>
      </c>
      <c r="B3074" s="6" t="s">
        <v>60</v>
      </c>
      <c r="C3074" s="6" t="s">
        <v>71</v>
      </c>
      <c r="D3074" s="5">
        <v>46023</v>
      </c>
      <c r="E3074" s="6" t="s">
        <v>15</v>
      </c>
      <c r="F3074" s="7">
        <v>908</v>
      </c>
      <c r="G3074" s="7">
        <v>281132.60792951542</v>
      </c>
      <c r="H3074" s="7">
        <v>255268408</v>
      </c>
      <c r="I3074" s="7">
        <v>30009284</v>
      </c>
      <c r="J3074" s="7">
        <v>0</v>
      </c>
      <c r="K3074">
        <f t="shared" si="47"/>
        <v>31</v>
      </c>
      <c r="L3074" s="8" t="str" cm="1">
        <f t="array" ref="L3074">_xlfn.IFS(
 AND(K3074&gt;=89,K3074&lt;=92),"3개월",
 AND(K3074&gt;=58,K3074&lt;=62),"2개월",
 AND(K3074&gt;=28,K3074&lt;=32),"1개월",
 AND(K3074=0),"당월",
 TRUE,"그외"
)</f>
        <v>1개월</v>
      </c>
    </row>
    <row r="3075" spans="1:12" x14ac:dyDescent="0.3">
      <c r="A3075" s="5">
        <v>46054</v>
      </c>
      <c r="B3075" s="6" t="s">
        <v>60</v>
      </c>
      <c r="C3075" s="6" t="s">
        <v>71</v>
      </c>
      <c r="D3075" s="5">
        <v>46054</v>
      </c>
      <c r="E3075" s="6" t="s">
        <v>14</v>
      </c>
      <c r="F3075" s="7">
        <v>2858</v>
      </c>
      <c r="G3075" s="7">
        <v>53413.575927221827</v>
      </c>
      <c r="H3075" s="7">
        <v>152656000</v>
      </c>
      <c r="I3075" s="7">
        <v>62876000</v>
      </c>
      <c r="J3075" s="7">
        <v>0</v>
      </c>
      <c r="K3075">
        <f t="shared" si="47"/>
        <v>0</v>
      </c>
      <c r="L3075" s="8" t="str" cm="1">
        <f t="array" ref="L3075">_xlfn.IFS(
 AND(K3075&gt;=89,K3075&lt;=92),"3개월",
 AND(K3075&gt;=58,K3075&lt;=62),"2개월",
 AND(K3075&gt;=28,K3075&lt;=32),"1개월",
 AND(K3075=0),"당월",
 TRUE,"그외"
)</f>
        <v>당월</v>
      </c>
    </row>
    <row r="3076" spans="1:12" x14ac:dyDescent="0.3">
      <c r="A3076" s="5">
        <v>46054</v>
      </c>
      <c r="B3076" s="6" t="s">
        <v>60</v>
      </c>
      <c r="C3076" s="6" t="s">
        <v>71</v>
      </c>
      <c r="D3076" s="5">
        <v>46054</v>
      </c>
      <c r="E3076" s="6" t="s">
        <v>15</v>
      </c>
      <c r="F3076" s="7">
        <v>640</v>
      </c>
      <c r="G3076" s="7">
        <v>226381.90312500001</v>
      </c>
      <c r="H3076" s="7">
        <v>144884418</v>
      </c>
      <c r="I3076" s="7">
        <v>17569610</v>
      </c>
      <c r="J3076" s="7">
        <v>0</v>
      </c>
      <c r="K3076">
        <f t="shared" si="47"/>
        <v>0</v>
      </c>
      <c r="L3076" s="8" t="str" cm="1">
        <f t="array" ref="L3076">_xlfn.IFS(
 AND(K3076&gt;=89,K3076&lt;=92),"3개월",
 AND(K3076&gt;=58,K3076&lt;=62),"2개월",
 AND(K3076&gt;=28,K3076&lt;=32),"1개월",
 AND(K3076=0),"당월",
 TRUE,"그외"
)</f>
        <v>당월</v>
      </c>
    </row>
    <row r="3077" spans="1:12" x14ac:dyDescent="0.3">
      <c r="A3077" s="5">
        <v>46054</v>
      </c>
      <c r="B3077" s="6" t="s">
        <v>60</v>
      </c>
      <c r="C3077" s="6" t="s">
        <v>112</v>
      </c>
      <c r="D3077" s="5">
        <v>45839</v>
      </c>
      <c r="E3077" s="6" t="s">
        <v>15</v>
      </c>
      <c r="F3077" s="7">
        <v>12</v>
      </c>
      <c r="G3077" s="7">
        <v>376494.33333333331</v>
      </c>
      <c r="H3077" s="7">
        <v>4517932</v>
      </c>
      <c r="I3077" s="7">
        <v>510104</v>
      </c>
      <c r="J3077" s="7">
        <v>0</v>
      </c>
      <c r="K3077">
        <f t="shared" si="47"/>
        <v>215</v>
      </c>
      <c r="L3077" s="8" t="str" cm="1">
        <f t="array" ref="L3077">_xlfn.IFS(
 AND(K3077&gt;=89,K3077&lt;=92),"3개월",
 AND(K3077&gt;=58,K3077&lt;=62),"2개월",
 AND(K3077&gt;=28,K3077&lt;=32),"1개월",
 AND(K3077=0),"당월",
 TRUE,"그외"
)</f>
        <v>그외</v>
      </c>
    </row>
    <row r="3078" spans="1:12" x14ac:dyDescent="0.3">
      <c r="A3078" s="5">
        <v>46054</v>
      </c>
      <c r="B3078" s="6" t="s">
        <v>60</v>
      </c>
      <c r="C3078" s="6" t="s">
        <v>112</v>
      </c>
      <c r="D3078" s="5">
        <v>45870</v>
      </c>
      <c r="E3078" s="6" t="s">
        <v>15</v>
      </c>
      <c r="F3078" s="7">
        <v>68</v>
      </c>
      <c r="G3078" s="7">
        <v>230498.6617647059</v>
      </c>
      <c r="H3078" s="7">
        <v>15673909</v>
      </c>
      <c r="I3078" s="7">
        <v>2528526</v>
      </c>
      <c r="J3078" s="7">
        <v>0</v>
      </c>
      <c r="K3078">
        <f t="shared" si="47"/>
        <v>184</v>
      </c>
      <c r="L3078" s="8" t="str" cm="1">
        <f t="array" ref="L3078">_xlfn.IFS(
 AND(K3078&gt;=89,K3078&lt;=92),"3개월",
 AND(K3078&gt;=58,K3078&lt;=62),"2개월",
 AND(K3078&gt;=28,K3078&lt;=32),"1개월",
 AND(K3078=0),"당월",
 TRUE,"그외"
)</f>
        <v>그외</v>
      </c>
    </row>
    <row r="3079" spans="1:12" x14ac:dyDescent="0.3">
      <c r="A3079" s="5">
        <v>46054</v>
      </c>
      <c r="B3079" s="6" t="s">
        <v>60</v>
      </c>
      <c r="C3079" s="6" t="s">
        <v>112</v>
      </c>
      <c r="D3079" s="5">
        <v>45901</v>
      </c>
      <c r="E3079" s="6" t="s">
        <v>15</v>
      </c>
      <c r="F3079" s="7">
        <v>31</v>
      </c>
      <c r="G3079" s="7">
        <v>285093.93548387103</v>
      </c>
      <c r="H3079" s="7">
        <v>8837912</v>
      </c>
      <c r="I3079" s="7">
        <v>1299924</v>
      </c>
      <c r="J3079" s="7">
        <v>0</v>
      </c>
      <c r="K3079">
        <f t="shared" si="47"/>
        <v>153</v>
      </c>
      <c r="L3079" s="8" t="str" cm="1">
        <f t="array" ref="L3079">_xlfn.IFS(
 AND(K3079&gt;=89,K3079&lt;=92),"3개월",
 AND(K3079&gt;=58,K3079&lt;=62),"2개월",
 AND(K3079&gt;=28,K3079&lt;=32),"1개월",
 AND(K3079=0),"당월",
 TRUE,"그외"
)</f>
        <v>그외</v>
      </c>
    </row>
    <row r="3080" spans="1:12" x14ac:dyDescent="0.3">
      <c r="A3080" s="5">
        <v>46054</v>
      </c>
      <c r="B3080" s="6" t="s">
        <v>60</v>
      </c>
      <c r="C3080" s="6" t="s">
        <v>112</v>
      </c>
      <c r="D3080" s="5">
        <v>45931</v>
      </c>
      <c r="E3080" s="6" t="s">
        <v>14</v>
      </c>
      <c r="F3080" s="7">
        <v>4</v>
      </c>
      <c r="G3080" s="7">
        <v>257800</v>
      </c>
      <c r="H3080" s="7">
        <v>1031200</v>
      </c>
      <c r="I3080" s="7">
        <v>111200</v>
      </c>
      <c r="J3080" s="7">
        <v>0</v>
      </c>
      <c r="K3080">
        <f t="shared" si="47"/>
        <v>123</v>
      </c>
      <c r="L3080" s="8" t="str" cm="1">
        <f t="array" ref="L3080">_xlfn.IFS(
 AND(K3080&gt;=89,K3080&lt;=92),"3개월",
 AND(K3080&gt;=58,K3080&lt;=62),"2개월",
 AND(K3080&gt;=28,K3080&lt;=32),"1개월",
 AND(K3080=0),"당월",
 TRUE,"그외"
)</f>
        <v>그외</v>
      </c>
    </row>
    <row r="3081" spans="1:12" x14ac:dyDescent="0.3">
      <c r="A3081" s="5">
        <v>46054</v>
      </c>
      <c r="B3081" s="6" t="s">
        <v>60</v>
      </c>
      <c r="C3081" s="6" t="s">
        <v>112</v>
      </c>
      <c r="D3081" s="5">
        <v>45931</v>
      </c>
      <c r="E3081" s="6" t="s">
        <v>15</v>
      </c>
      <c r="F3081" s="7">
        <v>646</v>
      </c>
      <c r="G3081" s="7">
        <v>264972.66408668732</v>
      </c>
      <c r="H3081" s="7">
        <v>171172341</v>
      </c>
      <c r="I3081" s="7">
        <v>18564649</v>
      </c>
      <c r="J3081" s="7">
        <v>0</v>
      </c>
      <c r="K3081">
        <f t="shared" si="47"/>
        <v>123</v>
      </c>
      <c r="L3081" s="8" t="str" cm="1">
        <f t="array" ref="L3081">_xlfn.IFS(
 AND(K3081&gt;=89,K3081&lt;=92),"3개월",
 AND(K3081&gt;=58,K3081&lt;=62),"2개월",
 AND(K3081&gt;=28,K3081&lt;=32),"1개월",
 AND(K3081=0),"당월",
 TRUE,"그외"
)</f>
        <v>그외</v>
      </c>
    </row>
    <row r="3082" spans="1:12" x14ac:dyDescent="0.3">
      <c r="A3082" s="5">
        <v>46054</v>
      </c>
      <c r="B3082" s="6" t="s">
        <v>60</v>
      </c>
      <c r="C3082" s="6" t="s">
        <v>112</v>
      </c>
      <c r="D3082" s="5">
        <v>45962</v>
      </c>
      <c r="E3082" s="6" t="s">
        <v>14</v>
      </c>
      <c r="F3082" s="7">
        <v>167</v>
      </c>
      <c r="G3082" s="7">
        <v>250070.05988023951</v>
      </c>
      <c r="H3082" s="7">
        <v>41761700</v>
      </c>
      <c r="I3082" s="7">
        <v>4457700</v>
      </c>
      <c r="J3082" s="7">
        <v>0</v>
      </c>
      <c r="K3082">
        <f t="shared" ref="K3082:K3145" si="48">A3082-D3082</f>
        <v>92</v>
      </c>
      <c r="L3082" s="8" t="str" cm="1">
        <f t="array" ref="L3082">_xlfn.IFS(
 AND(K3082&gt;=89,K3082&lt;=92),"3개월",
 AND(K3082&gt;=58,K3082&lt;=62),"2개월",
 AND(K3082&gt;=28,K3082&lt;=32),"1개월",
 AND(K3082=0),"당월",
 TRUE,"그외"
)</f>
        <v>3개월</v>
      </c>
    </row>
    <row r="3083" spans="1:12" x14ac:dyDescent="0.3">
      <c r="A3083" s="5">
        <v>46054</v>
      </c>
      <c r="B3083" s="6" t="s">
        <v>60</v>
      </c>
      <c r="C3083" s="6" t="s">
        <v>112</v>
      </c>
      <c r="D3083" s="5">
        <v>45962</v>
      </c>
      <c r="E3083" s="6" t="s">
        <v>15</v>
      </c>
      <c r="F3083" s="7">
        <v>834</v>
      </c>
      <c r="G3083" s="7">
        <v>327769.90407673857</v>
      </c>
      <c r="H3083" s="7">
        <v>273360100</v>
      </c>
      <c r="I3083" s="7">
        <v>25721625</v>
      </c>
      <c r="J3083" s="7">
        <v>0</v>
      </c>
      <c r="K3083">
        <f t="shared" si="48"/>
        <v>92</v>
      </c>
      <c r="L3083" s="8" t="str" cm="1">
        <f t="array" ref="L3083">_xlfn.IFS(
 AND(K3083&gt;=89,K3083&lt;=92),"3개월",
 AND(K3083&gt;=58,K3083&lt;=62),"2개월",
 AND(K3083&gt;=28,K3083&lt;=32),"1개월",
 AND(K3083=0),"당월",
 TRUE,"그외"
)</f>
        <v>3개월</v>
      </c>
    </row>
    <row r="3084" spans="1:12" x14ac:dyDescent="0.3">
      <c r="A3084" s="5">
        <v>46054</v>
      </c>
      <c r="B3084" s="6" t="s">
        <v>60</v>
      </c>
      <c r="C3084" s="6" t="s">
        <v>112</v>
      </c>
      <c r="D3084" s="5">
        <v>45992</v>
      </c>
      <c r="E3084" s="6" t="s">
        <v>14</v>
      </c>
      <c r="F3084" s="7">
        <v>436</v>
      </c>
      <c r="G3084" s="7">
        <v>353604.58715596329</v>
      </c>
      <c r="H3084" s="7">
        <v>154171600</v>
      </c>
      <c r="I3084" s="7">
        <v>13557600</v>
      </c>
      <c r="J3084" s="7">
        <v>0</v>
      </c>
      <c r="K3084">
        <f t="shared" si="48"/>
        <v>62</v>
      </c>
      <c r="L3084" s="8" t="str" cm="1">
        <f t="array" ref="L3084">_xlfn.IFS(
 AND(K3084&gt;=89,K3084&lt;=92),"3개월",
 AND(K3084&gt;=58,K3084&lt;=62),"2개월",
 AND(K3084&gt;=28,K3084&lt;=32),"1개월",
 AND(K3084=0),"당월",
 TRUE,"그외"
)</f>
        <v>2개월</v>
      </c>
    </row>
    <row r="3085" spans="1:12" x14ac:dyDescent="0.3">
      <c r="A3085" s="5">
        <v>46054</v>
      </c>
      <c r="B3085" s="6" t="s">
        <v>60</v>
      </c>
      <c r="C3085" s="6" t="s">
        <v>112</v>
      </c>
      <c r="D3085" s="5">
        <v>45992</v>
      </c>
      <c r="E3085" s="6" t="s">
        <v>15</v>
      </c>
      <c r="F3085" s="7">
        <v>887</v>
      </c>
      <c r="G3085" s="7">
        <v>340768.90868094697</v>
      </c>
      <c r="H3085" s="7">
        <v>302262022</v>
      </c>
      <c r="I3085" s="7">
        <v>38848485</v>
      </c>
      <c r="J3085" s="7">
        <v>0</v>
      </c>
      <c r="K3085">
        <f t="shared" si="48"/>
        <v>62</v>
      </c>
      <c r="L3085" s="8" t="str" cm="1">
        <f t="array" ref="L3085">_xlfn.IFS(
 AND(K3085&gt;=89,K3085&lt;=92),"3개월",
 AND(K3085&gt;=58,K3085&lt;=62),"2개월",
 AND(K3085&gt;=28,K3085&lt;=32),"1개월",
 AND(K3085=0),"당월",
 TRUE,"그외"
)</f>
        <v>2개월</v>
      </c>
    </row>
    <row r="3086" spans="1:12" x14ac:dyDescent="0.3">
      <c r="A3086" s="5">
        <v>46054</v>
      </c>
      <c r="B3086" s="6" t="s">
        <v>60</v>
      </c>
      <c r="C3086" s="6" t="s">
        <v>112</v>
      </c>
      <c r="D3086" s="5">
        <v>46023</v>
      </c>
      <c r="E3086" s="6" t="s">
        <v>14</v>
      </c>
      <c r="F3086" s="7">
        <v>1382</v>
      </c>
      <c r="G3086" s="7">
        <v>535381.18668596237</v>
      </c>
      <c r="H3086" s="7">
        <v>739896800</v>
      </c>
      <c r="I3086" s="7">
        <v>41342800</v>
      </c>
      <c r="J3086" s="7">
        <v>0</v>
      </c>
      <c r="K3086">
        <f t="shared" si="48"/>
        <v>31</v>
      </c>
      <c r="L3086" s="8" t="str" cm="1">
        <f t="array" ref="L3086">_xlfn.IFS(
 AND(K3086&gt;=89,K3086&lt;=92),"3개월",
 AND(K3086&gt;=58,K3086&lt;=62),"2개월",
 AND(K3086&gt;=28,K3086&lt;=32),"1개월",
 AND(K3086=0),"당월",
 TRUE,"그외"
)</f>
        <v>1개월</v>
      </c>
    </row>
    <row r="3087" spans="1:12" x14ac:dyDescent="0.3">
      <c r="A3087" s="5">
        <v>46054</v>
      </c>
      <c r="B3087" s="6" t="s">
        <v>60</v>
      </c>
      <c r="C3087" s="6" t="s">
        <v>112</v>
      </c>
      <c r="D3087" s="5">
        <v>46023</v>
      </c>
      <c r="E3087" s="6" t="s">
        <v>15</v>
      </c>
      <c r="F3087" s="7">
        <v>1060</v>
      </c>
      <c r="G3087" s="7">
        <v>269063.93396226421</v>
      </c>
      <c r="H3087" s="7">
        <v>285207770</v>
      </c>
      <c r="I3087" s="7">
        <v>49354036</v>
      </c>
      <c r="J3087" s="7">
        <v>0</v>
      </c>
      <c r="K3087">
        <f t="shared" si="48"/>
        <v>31</v>
      </c>
      <c r="L3087" s="8" t="str" cm="1">
        <f t="array" ref="L3087">_xlfn.IFS(
 AND(K3087&gt;=89,K3087&lt;=92),"3개월",
 AND(K3087&gt;=58,K3087&lt;=62),"2개월",
 AND(K3087&gt;=28,K3087&lt;=32),"1개월",
 AND(K3087=0),"당월",
 TRUE,"그외"
)</f>
        <v>1개월</v>
      </c>
    </row>
    <row r="3088" spans="1:12" x14ac:dyDescent="0.3">
      <c r="A3088" s="5">
        <v>46054</v>
      </c>
      <c r="B3088" s="6" t="s">
        <v>60</v>
      </c>
      <c r="C3088" s="6" t="s">
        <v>112</v>
      </c>
      <c r="D3088" s="5">
        <v>46054</v>
      </c>
      <c r="E3088" s="6" t="s">
        <v>14</v>
      </c>
      <c r="F3088" s="7">
        <v>2351</v>
      </c>
      <c r="G3088" s="7">
        <v>25919.948957890261</v>
      </c>
      <c r="H3088" s="7">
        <v>60937800</v>
      </c>
      <c r="I3088" s="7">
        <v>51783800</v>
      </c>
      <c r="J3088" s="7">
        <v>0</v>
      </c>
      <c r="K3088">
        <f t="shared" si="48"/>
        <v>0</v>
      </c>
      <c r="L3088" s="8" t="str" cm="1">
        <f t="array" ref="L3088">_xlfn.IFS(
 AND(K3088&gt;=89,K3088&lt;=92),"3개월",
 AND(K3088&gt;=58,K3088&lt;=62),"2개월",
 AND(K3088&gt;=28,K3088&lt;=32),"1개월",
 AND(K3088=0),"당월",
 TRUE,"그외"
)</f>
        <v>당월</v>
      </c>
    </row>
    <row r="3089" spans="1:12" x14ac:dyDescent="0.3">
      <c r="A3089" s="5">
        <v>46054</v>
      </c>
      <c r="B3089" s="6" t="s">
        <v>60</v>
      </c>
      <c r="C3089" s="6" t="s">
        <v>112</v>
      </c>
      <c r="D3089" s="5">
        <v>46054</v>
      </c>
      <c r="E3089" s="6" t="s">
        <v>15</v>
      </c>
      <c r="F3089" s="7">
        <v>1080</v>
      </c>
      <c r="G3089" s="7">
        <v>208444.41574074069</v>
      </c>
      <c r="H3089" s="7">
        <v>225119969</v>
      </c>
      <c r="I3089" s="7">
        <v>36910652</v>
      </c>
      <c r="J3089" s="7">
        <v>0</v>
      </c>
      <c r="K3089">
        <f t="shared" si="48"/>
        <v>0</v>
      </c>
      <c r="L3089" s="8" t="str" cm="1">
        <f t="array" ref="L3089">_xlfn.IFS(
 AND(K3089&gt;=89,K3089&lt;=92),"3개월",
 AND(K3089&gt;=58,K3089&lt;=62),"2개월",
 AND(K3089&gt;=28,K3089&lt;=32),"1개월",
 AND(K3089=0),"당월",
 TRUE,"그외"
)</f>
        <v>당월</v>
      </c>
    </row>
    <row r="3090" spans="1:12" x14ac:dyDescent="0.3">
      <c r="A3090" s="5">
        <v>46054</v>
      </c>
      <c r="B3090" s="6" t="s">
        <v>60</v>
      </c>
      <c r="C3090" s="6" t="s">
        <v>113</v>
      </c>
      <c r="D3090" s="5">
        <v>45992</v>
      </c>
      <c r="E3090" s="6" t="s">
        <v>14</v>
      </c>
      <c r="F3090" s="7">
        <v>3</v>
      </c>
      <c r="G3090" s="7">
        <v>18066666.666666672</v>
      </c>
      <c r="H3090" s="7">
        <v>54200000</v>
      </c>
      <c r="I3090" s="7">
        <v>0</v>
      </c>
      <c r="J3090" s="7">
        <v>0</v>
      </c>
      <c r="K3090">
        <f t="shared" si="48"/>
        <v>62</v>
      </c>
      <c r="L3090" s="8" t="str" cm="1">
        <f t="array" ref="L3090">_xlfn.IFS(
 AND(K3090&gt;=89,K3090&lt;=92),"3개월",
 AND(K3090&gt;=58,K3090&lt;=62),"2개월",
 AND(K3090&gt;=28,K3090&lt;=32),"1개월",
 AND(K3090=0),"당월",
 TRUE,"그외"
)</f>
        <v>2개월</v>
      </c>
    </row>
    <row r="3091" spans="1:12" x14ac:dyDescent="0.3">
      <c r="A3091" s="5">
        <v>46054</v>
      </c>
      <c r="B3091" s="6" t="s">
        <v>60</v>
      </c>
      <c r="C3091" s="6" t="s">
        <v>113</v>
      </c>
      <c r="D3091" s="5">
        <v>45992</v>
      </c>
      <c r="E3091" s="6" t="s">
        <v>15</v>
      </c>
      <c r="F3091" s="7">
        <v>59</v>
      </c>
      <c r="G3091" s="7">
        <v>368236</v>
      </c>
      <c r="H3091" s="7">
        <v>21725924</v>
      </c>
      <c r="I3091" s="7">
        <v>2588251</v>
      </c>
      <c r="J3091" s="7">
        <v>0</v>
      </c>
      <c r="K3091">
        <f t="shared" si="48"/>
        <v>62</v>
      </c>
      <c r="L3091" s="8" t="str" cm="1">
        <f t="array" ref="L3091">_xlfn.IFS(
 AND(K3091&gt;=89,K3091&lt;=92),"3개월",
 AND(K3091&gt;=58,K3091&lt;=62),"2개월",
 AND(K3091&gt;=28,K3091&lt;=32),"1개월",
 AND(K3091=0),"당월",
 TRUE,"그외"
)</f>
        <v>2개월</v>
      </c>
    </row>
    <row r="3092" spans="1:12" x14ac:dyDescent="0.3">
      <c r="A3092" s="5">
        <v>46054</v>
      </c>
      <c r="B3092" s="6" t="s">
        <v>60</v>
      </c>
      <c r="C3092" s="6" t="s">
        <v>113</v>
      </c>
      <c r="D3092" s="5">
        <v>46023</v>
      </c>
      <c r="E3092" s="6" t="s">
        <v>14</v>
      </c>
      <c r="F3092" s="7">
        <v>631</v>
      </c>
      <c r="G3092" s="7">
        <v>644349.60380348656</v>
      </c>
      <c r="H3092" s="7">
        <v>406584600</v>
      </c>
      <c r="I3092" s="7">
        <v>1356600</v>
      </c>
      <c r="J3092" s="7">
        <v>0</v>
      </c>
      <c r="K3092">
        <f t="shared" si="48"/>
        <v>31</v>
      </c>
      <c r="L3092" s="8" t="str" cm="1">
        <f t="array" ref="L3092">_xlfn.IFS(
 AND(K3092&gt;=89,K3092&lt;=92),"3개월",
 AND(K3092&gt;=58,K3092&lt;=62),"2개월",
 AND(K3092&gt;=28,K3092&lt;=32),"1개월",
 AND(K3092=0),"당월",
 TRUE,"그외"
)</f>
        <v>1개월</v>
      </c>
    </row>
    <row r="3093" spans="1:12" x14ac:dyDescent="0.3">
      <c r="A3093" s="5">
        <v>46054</v>
      </c>
      <c r="B3093" s="6" t="s">
        <v>60</v>
      </c>
      <c r="C3093" s="6" t="s">
        <v>113</v>
      </c>
      <c r="D3093" s="5">
        <v>46023</v>
      </c>
      <c r="E3093" s="6" t="s">
        <v>15</v>
      </c>
      <c r="F3093" s="7">
        <v>313</v>
      </c>
      <c r="G3093" s="7">
        <v>259716.3993610224</v>
      </c>
      <c r="H3093" s="7">
        <v>81291233</v>
      </c>
      <c r="I3093" s="7">
        <v>13901551</v>
      </c>
      <c r="J3093" s="7">
        <v>0</v>
      </c>
      <c r="K3093">
        <f t="shared" si="48"/>
        <v>31</v>
      </c>
      <c r="L3093" s="8" t="str" cm="1">
        <f t="array" ref="L3093">_xlfn.IFS(
 AND(K3093&gt;=89,K3093&lt;=92),"3개월",
 AND(K3093&gt;=58,K3093&lt;=62),"2개월",
 AND(K3093&gt;=28,K3093&lt;=32),"1개월",
 AND(K3093=0),"당월",
 TRUE,"그외"
)</f>
        <v>1개월</v>
      </c>
    </row>
    <row r="3094" spans="1:12" x14ac:dyDescent="0.3">
      <c r="A3094" s="5">
        <v>46054</v>
      </c>
      <c r="B3094" s="6" t="s">
        <v>60</v>
      </c>
      <c r="C3094" s="6" t="s">
        <v>113</v>
      </c>
      <c r="D3094" s="5">
        <v>46054</v>
      </c>
      <c r="E3094" s="6" t="s">
        <v>14</v>
      </c>
      <c r="F3094" s="7">
        <v>1237</v>
      </c>
      <c r="G3094" s="7">
        <v>8528.6984640258688</v>
      </c>
      <c r="H3094" s="7">
        <v>10550000</v>
      </c>
      <c r="I3094" s="7">
        <v>1100000</v>
      </c>
      <c r="J3094" s="7">
        <v>0</v>
      </c>
      <c r="K3094">
        <f t="shared" si="48"/>
        <v>0</v>
      </c>
      <c r="L3094" s="8" t="str" cm="1">
        <f t="array" ref="L3094">_xlfn.IFS(
 AND(K3094&gt;=89,K3094&lt;=92),"3개월",
 AND(K3094&gt;=58,K3094&lt;=62),"2개월",
 AND(K3094&gt;=28,K3094&lt;=32),"1개월",
 AND(K3094=0),"당월",
 TRUE,"그외"
)</f>
        <v>당월</v>
      </c>
    </row>
    <row r="3095" spans="1:12" x14ac:dyDescent="0.3">
      <c r="A3095" s="5">
        <v>46054</v>
      </c>
      <c r="B3095" s="6" t="s">
        <v>60</v>
      </c>
      <c r="C3095" s="6" t="s">
        <v>113</v>
      </c>
      <c r="D3095" s="5">
        <v>46054</v>
      </c>
      <c r="E3095" s="6" t="s">
        <v>15</v>
      </c>
      <c r="F3095" s="7">
        <v>253</v>
      </c>
      <c r="G3095" s="7">
        <v>187469.70750988141</v>
      </c>
      <c r="H3095" s="7">
        <v>47429836</v>
      </c>
      <c r="I3095" s="7">
        <v>9469813</v>
      </c>
      <c r="J3095" s="7">
        <v>0</v>
      </c>
      <c r="K3095">
        <f t="shared" si="48"/>
        <v>0</v>
      </c>
      <c r="L3095" s="8" t="str" cm="1">
        <f t="array" ref="L3095">_xlfn.IFS(
 AND(K3095&gt;=89,K3095&lt;=92),"3개월",
 AND(K3095&gt;=58,K3095&lt;=62),"2개월",
 AND(K3095&gt;=28,K3095&lt;=32),"1개월",
 AND(K3095=0),"당월",
 TRUE,"그외"
)</f>
        <v>당월</v>
      </c>
    </row>
    <row r="3096" spans="1:12" x14ac:dyDescent="0.3">
      <c r="A3096" s="5">
        <v>46054</v>
      </c>
      <c r="B3096" s="6" t="s">
        <v>60</v>
      </c>
      <c r="C3096" s="6" t="s">
        <v>114</v>
      </c>
      <c r="D3096" s="5">
        <v>45839</v>
      </c>
      <c r="E3096" s="6" t="s">
        <v>15</v>
      </c>
      <c r="F3096" s="7">
        <v>130</v>
      </c>
      <c r="G3096" s="7">
        <v>197311.77692307689</v>
      </c>
      <c r="H3096" s="7">
        <v>25650531</v>
      </c>
      <c r="I3096" s="7">
        <v>2128905</v>
      </c>
      <c r="J3096" s="7">
        <v>0</v>
      </c>
      <c r="K3096">
        <f t="shared" si="48"/>
        <v>215</v>
      </c>
      <c r="L3096" s="8" t="str" cm="1">
        <f t="array" ref="L3096">_xlfn.IFS(
 AND(K3096&gt;=89,K3096&lt;=92),"3개월",
 AND(K3096&gt;=58,K3096&lt;=62),"2개월",
 AND(K3096&gt;=28,K3096&lt;=32),"1개월",
 AND(K3096=0),"당월",
 TRUE,"그외"
)</f>
        <v>그외</v>
      </c>
    </row>
    <row r="3097" spans="1:12" x14ac:dyDescent="0.3">
      <c r="A3097" s="5">
        <v>46054</v>
      </c>
      <c r="B3097" s="6" t="s">
        <v>60</v>
      </c>
      <c r="C3097" s="6" t="s">
        <v>114</v>
      </c>
      <c r="D3097" s="5">
        <v>45870</v>
      </c>
      <c r="E3097" s="6" t="s">
        <v>15</v>
      </c>
      <c r="F3097" s="7">
        <v>308</v>
      </c>
      <c r="G3097" s="7">
        <v>297348.1655844156</v>
      </c>
      <c r="H3097" s="7">
        <v>91583235</v>
      </c>
      <c r="I3097" s="7">
        <v>7802033</v>
      </c>
      <c r="J3097" s="7">
        <v>0</v>
      </c>
      <c r="K3097">
        <f t="shared" si="48"/>
        <v>184</v>
      </c>
      <c r="L3097" s="8" t="str" cm="1">
        <f t="array" ref="L3097">_xlfn.IFS(
 AND(K3097&gt;=89,K3097&lt;=92),"3개월",
 AND(K3097&gt;=58,K3097&lt;=62),"2개월",
 AND(K3097&gt;=28,K3097&lt;=32),"1개월",
 AND(K3097=0),"당월",
 TRUE,"그외"
)</f>
        <v>그외</v>
      </c>
    </row>
    <row r="3098" spans="1:12" x14ac:dyDescent="0.3">
      <c r="A3098" s="5">
        <v>46054</v>
      </c>
      <c r="B3098" s="6" t="s">
        <v>60</v>
      </c>
      <c r="C3098" s="6" t="s">
        <v>114</v>
      </c>
      <c r="D3098" s="5">
        <v>45901</v>
      </c>
      <c r="E3098" s="6" t="s">
        <v>15</v>
      </c>
      <c r="F3098" s="7">
        <v>774</v>
      </c>
      <c r="G3098" s="7">
        <v>253207.9573643411</v>
      </c>
      <c r="H3098" s="7">
        <v>195982959</v>
      </c>
      <c r="I3098" s="7">
        <v>19916307</v>
      </c>
      <c r="J3098" s="7">
        <v>0</v>
      </c>
      <c r="K3098">
        <f t="shared" si="48"/>
        <v>153</v>
      </c>
      <c r="L3098" s="8" t="str" cm="1">
        <f t="array" ref="L3098">_xlfn.IFS(
 AND(K3098&gt;=89,K3098&lt;=92),"3개월",
 AND(K3098&gt;=58,K3098&lt;=62),"2개월",
 AND(K3098&gt;=28,K3098&lt;=32),"1개월",
 AND(K3098=0),"당월",
 TRUE,"그외"
)</f>
        <v>그외</v>
      </c>
    </row>
    <row r="3099" spans="1:12" x14ac:dyDescent="0.3">
      <c r="A3099" s="5">
        <v>46054</v>
      </c>
      <c r="B3099" s="6" t="s">
        <v>60</v>
      </c>
      <c r="C3099" s="6" t="s">
        <v>114</v>
      </c>
      <c r="D3099" s="5">
        <v>45931</v>
      </c>
      <c r="E3099" s="6" t="s">
        <v>15</v>
      </c>
      <c r="F3099" s="7">
        <v>781</v>
      </c>
      <c r="G3099" s="7">
        <v>279255.14596670942</v>
      </c>
      <c r="H3099" s="7">
        <v>218098269</v>
      </c>
      <c r="I3099" s="7">
        <v>19991012</v>
      </c>
      <c r="J3099" s="7">
        <v>0</v>
      </c>
      <c r="K3099">
        <f t="shared" si="48"/>
        <v>123</v>
      </c>
      <c r="L3099" s="8" t="str" cm="1">
        <f t="array" ref="L3099">_xlfn.IFS(
 AND(K3099&gt;=89,K3099&lt;=92),"3개월",
 AND(K3099&gt;=58,K3099&lt;=62),"2개월",
 AND(K3099&gt;=28,K3099&lt;=32),"1개월",
 AND(K3099=0),"당월",
 TRUE,"그외"
)</f>
        <v>그외</v>
      </c>
    </row>
    <row r="3100" spans="1:12" x14ac:dyDescent="0.3">
      <c r="A3100" s="5">
        <v>46054</v>
      </c>
      <c r="B3100" s="6" t="s">
        <v>60</v>
      </c>
      <c r="C3100" s="6" t="s">
        <v>114</v>
      </c>
      <c r="D3100" s="5">
        <v>45962</v>
      </c>
      <c r="E3100" s="6" t="s">
        <v>14</v>
      </c>
      <c r="F3100" s="7">
        <v>146</v>
      </c>
      <c r="G3100" s="7">
        <v>215254.7945205479</v>
      </c>
      <c r="H3100" s="7">
        <v>31427200</v>
      </c>
      <c r="I3100" s="7">
        <v>3898200</v>
      </c>
      <c r="J3100" s="7">
        <v>0</v>
      </c>
      <c r="K3100">
        <f t="shared" si="48"/>
        <v>92</v>
      </c>
      <c r="L3100" s="8" t="str" cm="1">
        <f t="array" ref="L3100">_xlfn.IFS(
 AND(K3100&gt;=89,K3100&lt;=92),"3개월",
 AND(K3100&gt;=58,K3100&lt;=62),"2개월",
 AND(K3100&gt;=28,K3100&lt;=32),"1개월",
 AND(K3100=0),"당월",
 TRUE,"그외"
)</f>
        <v>3개월</v>
      </c>
    </row>
    <row r="3101" spans="1:12" x14ac:dyDescent="0.3">
      <c r="A3101" s="5">
        <v>46054</v>
      </c>
      <c r="B3101" s="6" t="s">
        <v>60</v>
      </c>
      <c r="C3101" s="6" t="s">
        <v>114</v>
      </c>
      <c r="D3101" s="5">
        <v>45962</v>
      </c>
      <c r="E3101" s="6" t="s">
        <v>15</v>
      </c>
      <c r="F3101" s="7">
        <v>970</v>
      </c>
      <c r="G3101" s="7">
        <v>251804.618556701</v>
      </c>
      <c r="H3101" s="7">
        <v>244250480</v>
      </c>
      <c r="I3101" s="7">
        <v>25255548</v>
      </c>
      <c r="J3101" s="7">
        <v>0</v>
      </c>
      <c r="K3101">
        <f t="shared" si="48"/>
        <v>92</v>
      </c>
      <c r="L3101" s="8" t="str" cm="1">
        <f t="array" ref="L3101">_xlfn.IFS(
 AND(K3101&gt;=89,K3101&lt;=92),"3개월",
 AND(K3101&gt;=58,K3101&lt;=62),"2개월",
 AND(K3101&gt;=28,K3101&lt;=32),"1개월",
 AND(K3101=0),"당월",
 TRUE,"그외"
)</f>
        <v>3개월</v>
      </c>
    </row>
    <row r="3102" spans="1:12" x14ac:dyDescent="0.3">
      <c r="A3102" s="5">
        <v>46054</v>
      </c>
      <c r="B3102" s="6" t="s">
        <v>60</v>
      </c>
      <c r="C3102" s="6" t="s">
        <v>114</v>
      </c>
      <c r="D3102" s="5">
        <v>45992</v>
      </c>
      <c r="E3102" s="6" t="s">
        <v>14</v>
      </c>
      <c r="F3102" s="7">
        <v>175</v>
      </c>
      <c r="G3102" s="7">
        <v>250220</v>
      </c>
      <c r="H3102" s="7">
        <v>43788500</v>
      </c>
      <c r="I3102" s="7">
        <v>5547500</v>
      </c>
      <c r="J3102" s="7">
        <v>0</v>
      </c>
      <c r="K3102">
        <f t="shared" si="48"/>
        <v>62</v>
      </c>
      <c r="L3102" s="8" t="str" cm="1">
        <f t="array" ref="L3102">_xlfn.IFS(
 AND(K3102&gt;=89,K3102&lt;=92),"3개월",
 AND(K3102&gt;=58,K3102&lt;=62),"2개월",
 AND(K3102&gt;=28,K3102&lt;=32),"1개월",
 AND(K3102=0),"당월",
 TRUE,"그외"
)</f>
        <v>2개월</v>
      </c>
    </row>
    <row r="3103" spans="1:12" x14ac:dyDescent="0.3">
      <c r="A3103" s="5">
        <v>46054</v>
      </c>
      <c r="B3103" s="6" t="s">
        <v>60</v>
      </c>
      <c r="C3103" s="6" t="s">
        <v>114</v>
      </c>
      <c r="D3103" s="5">
        <v>45992</v>
      </c>
      <c r="E3103" s="6" t="s">
        <v>15</v>
      </c>
      <c r="F3103" s="7">
        <v>1130</v>
      </c>
      <c r="G3103" s="7">
        <v>249782.77168141591</v>
      </c>
      <c r="H3103" s="7">
        <v>282254532</v>
      </c>
      <c r="I3103" s="7">
        <v>33096383</v>
      </c>
      <c r="J3103" s="7">
        <v>0</v>
      </c>
      <c r="K3103">
        <f t="shared" si="48"/>
        <v>62</v>
      </c>
      <c r="L3103" s="8" t="str" cm="1">
        <f t="array" ref="L3103">_xlfn.IFS(
 AND(K3103&gt;=89,K3103&lt;=92),"3개월",
 AND(K3103&gt;=58,K3103&lt;=62),"2개월",
 AND(K3103&gt;=28,K3103&lt;=32),"1개월",
 AND(K3103=0),"당월",
 TRUE,"그외"
)</f>
        <v>2개월</v>
      </c>
    </row>
    <row r="3104" spans="1:12" x14ac:dyDescent="0.3">
      <c r="A3104" s="5">
        <v>46054</v>
      </c>
      <c r="B3104" s="6" t="s">
        <v>60</v>
      </c>
      <c r="C3104" s="6" t="s">
        <v>114</v>
      </c>
      <c r="D3104" s="5">
        <v>46023</v>
      </c>
      <c r="E3104" s="6" t="s">
        <v>14</v>
      </c>
      <c r="F3104" s="7">
        <v>456</v>
      </c>
      <c r="G3104" s="7">
        <v>273619.73684210528</v>
      </c>
      <c r="H3104" s="7">
        <v>124770600</v>
      </c>
      <c r="I3104" s="7">
        <v>14663600</v>
      </c>
      <c r="J3104" s="7">
        <v>0</v>
      </c>
      <c r="K3104">
        <f t="shared" si="48"/>
        <v>31</v>
      </c>
      <c r="L3104" s="8" t="str" cm="1">
        <f t="array" ref="L3104">_xlfn.IFS(
 AND(K3104&gt;=89,K3104&lt;=92),"3개월",
 AND(K3104&gt;=58,K3104&lt;=62),"2개월",
 AND(K3104&gt;=28,K3104&lt;=32),"1개월",
 AND(K3104=0),"당월",
 TRUE,"그외"
)</f>
        <v>1개월</v>
      </c>
    </row>
    <row r="3105" spans="1:12" x14ac:dyDescent="0.3">
      <c r="A3105" s="5">
        <v>46054</v>
      </c>
      <c r="B3105" s="6" t="s">
        <v>60</v>
      </c>
      <c r="C3105" s="6" t="s">
        <v>114</v>
      </c>
      <c r="D3105" s="5">
        <v>46023</v>
      </c>
      <c r="E3105" s="6" t="s">
        <v>15</v>
      </c>
      <c r="F3105" s="7">
        <v>3311</v>
      </c>
      <c r="G3105" s="7">
        <v>244562.55632739351</v>
      </c>
      <c r="H3105" s="7">
        <v>809746624</v>
      </c>
      <c r="I3105" s="7">
        <v>98597033</v>
      </c>
      <c r="J3105" s="7">
        <v>0</v>
      </c>
      <c r="K3105">
        <f t="shared" si="48"/>
        <v>31</v>
      </c>
      <c r="L3105" s="8" t="str" cm="1">
        <f t="array" ref="L3105">_xlfn.IFS(
 AND(K3105&gt;=89,K3105&lt;=92),"3개월",
 AND(K3105&gt;=58,K3105&lt;=62),"2개월",
 AND(K3105&gt;=28,K3105&lt;=32),"1개월",
 AND(K3105=0),"당월",
 TRUE,"그외"
)</f>
        <v>1개월</v>
      </c>
    </row>
    <row r="3106" spans="1:12" x14ac:dyDescent="0.3">
      <c r="A3106" s="5">
        <v>46054</v>
      </c>
      <c r="B3106" s="6" t="s">
        <v>60</v>
      </c>
      <c r="C3106" s="6" t="s">
        <v>114</v>
      </c>
      <c r="D3106" s="5">
        <v>46054</v>
      </c>
      <c r="E3106" s="6" t="s">
        <v>14</v>
      </c>
      <c r="F3106" s="7">
        <v>378</v>
      </c>
      <c r="G3106" s="7">
        <v>200119.0476190476</v>
      </c>
      <c r="H3106" s="7">
        <v>75645000</v>
      </c>
      <c r="I3106" s="7">
        <v>8316000</v>
      </c>
      <c r="J3106" s="7">
        <v>0</v>
      </c>
      <c r="K3106">
        <f t="shared" si="48"/>
        <v>0</v>
      </c>
      <c r="L3106" s="8" t="str" cm="1">
        <f t="array" ref="L3106">_xlfn.IFS(
 AND(K3106&gt;=89,K3106&lt;=92),"3개월",
 AND(K3106&gt;=58,K3106&lt;=62),"2개월",
 AND(K3106&gt;=28,K3106&lt;=32),"1개월",
 AND(K3106=0),"당월",
 TRUE,"그외"
)</f>
        <v>당월</v>
      </c>
    </row>
    <row r="3107" spans="1:12" x14ac:dyDescent="0.3">
      <c r="A3107" s="5">
        <v>46054</v>
      </c>
      <c r="B3107" s="6" t="s">
        <v>60</v>
      </c>
      <c r="C3107" s="6" t="s">
        <v>114</v>
      </c>
      <c r="D3107" s="5">
        <v>46054</v>
      </c>
      <c r="E3107" s="6" t="s">
        <v>15</v>
      </c>
      <c r="F3107" s="7">
        <v>1044</v>
      </c>
      <c r="G3107" s="7">
        <v>245726.49425287361</v>
      </c>
      <c r="H3107" s="7">
        <v>256538460</v>
      </c>
      <c r="I3107" s="7">
        <v>22989012</v>
      </c>
      <c r="J3107" s="7">
        <v>0</v>
      </c>
      <c r="K3107">
        <f t="shared" si="48"/>
        <v>0</v>
      </c>
      <c r="L3107" s="8" t="str" cm="1">
        <f t="array" ref="L3107">_xlfn.IFS(
 AND(K3107&gt;=89,K3107&lt;=92),"3개월",
 AND(K3107&gt;=58,K3107&lt;=62),"2개월",
 AND(K3107&gt;=28,K3107&lt;=32),"1개월",
 AND(K3107=0),"당월",
 TRUE,"그외"
)</f>
        <v>당월</v>
      </c>
    </row>
    <row r="3108" spans="1:12" x14ac:dyDescent="0.3">
      <c r="A3108" s="5">
        <v>46054</v>
      </c>
      <c r="B3108" s="6" t="s">
        <v>60</v>
      </c>
      <c r="C3108" s="6" t="s">
        <v>72</v>
      </c>
      <c r="D3108" s="5">
        <v>45839</v>
      </c>
      <c r="E3108" s="6" t="s">
        <v>15</v>
      </c>
      <c r="F3108" s="7">
        <v>199</v>
      </c>
      <c r="G3108" s="7">
        <v>324080.40201005031</v>
      </c>
      <c r="H3108" s="7">
        <v>64492000</v>
      </c>
      <c r="I3108" s="7">
        <v>2467600</v>
      </c>
      <c r="J3108" s="7">
        <v>0</v>
      </c>
      <c r="K3108">
        <f t="shared" si="48"/>
        <v>215</v>
      </c>
      <c r="L3108" s="8" t="str" cm="1">
        <f t="array" ref="L3108">_xlfn.IFS(
 AND(K3108&gt;=89,K3108&lt;=92),"3개월",
 AND(K3108&gt;=58,K3108&lt;=62),"2개월",
 AND(K3108&gt;=28,K3108&lt;=32),"1개월",
 AND(K3108=0),"당월",
 TRUE,"그외"
)</f>
        <v>그외</v>
      </c>
    </row>
    <row r="3109" spans="1:12" x14ac:dyDescent="0.3">
      <c r="A3109" s="5">
        <v>46054</v>
      </c>
      <c r="B3109" s="6" t="s">
        <v>60</v>
      </c>
      <c r="C3109" s="6" t="s">
        <v>72</v>
      </c>
      <c r="D3109" s="5">
        <v>45870</v>
      </c>
      <c r="E3109" s="6" t="s">
        <v>15</v>
      </c>
      <c r="F3109" s="7">
        <v>311</v>
      </c>
      <c r="G3109" s="7">
        <v>327741.80064308678</v>
      </c>
      <c r="H3109" s="7">
        <v>101927700</v>
      </c>
      <c r="I3109" s="7">
        <v>6375500</v>
      </c>
      <c r="J3109" s="7">
        <v>0</v>
      </c>
      <c r="K3109">
        <f t="shared" si="48"/>
        <v>184</v>
      </c>
      <c r="L3109" s="8" t="str" cm="1">
        <f t="array" ref="L3109">_xlfn.IFS(
 AND(K3109&gt;=89,K3109&lt;=92),"3개월",
 AND(K3109&gt;=58,K3109&lt;=62),"2개월",
 AND(K3109&gt;=28,K3109&lt;=32),"1개월",
 AND(K3109=0),"당월",
 TRUE,"그외"
)</f>
        <v>그외</v>
      </c>
    </row>
    <row r="3110" spans="1:12" x14ac:dyDescent="0.3">
      <c r="A3110" s="5">
        <v>46054</v>
      </c>
      <c r="B3110" s="6" t="s">
        <v>60</v>
      </c>
      <c r="C3110" s="6" t="s">
        <v>72</v>
      </c>
      <c r="D3110" s="5">
        <v>45901</v>
      </c>
      <c r="E3110" s="6" t="s">
        <v>14</v>
      </c>
      <c r="F3110" s="7">
        <v>20</v>
      </c>
      <c r="G3110" s="7">
        <v>269200</v>
      </c>
      <c r="H3110" s="7">
        <v>5384000</v>
      </c>
      <c r="I3110" s="7">
        <v>416000</v>
      </c>
      <c r="J3110" s="7">
        <v>0</v>
      </c>
      <c r="K3110">
        <f t="shared" si="48"/>
        <v>153</v>
      </c>
      <c r="L3110" s="8" t="str" cm="1">
        <f t="array" ref="L3110">_xlfn.IFS(
 AND(K3110&gt;=89,K3110&lt;=92),"3개월",
 AND(K3110&gt;=58,K3110&lt;=62),"2개월",
 AND(K3110&gt;=28,K3110&lt;=32),"1개월",
 AND(K3110=0),"당월",
 TRUE,"그외"
)</f>
        <v>그외</v>
      </c>
    </row>
    <row r="3111" spans="1:12" x14ac:dyDescent="0.3">
      <c r="A3111" s="5">
        <v>46054</v>
      </c>
      <c r="B3111" s="6" t="s">
        <v>60</v>
      </c>
      <c r="C3111" s="6" t="s">
        <v>72</v>
      </c>
      <c r="D3111" s="5">
        <v>45901</v>
      </c>
      <c r="E3111" s="6" t="s">
        <v>15</v>
      </c>
      <c r="F3111" s="7">
        <v>336</v>
      </c>
      <c r="G3111" s="7">
        <v>302650.19642857142</v>
      </c>
      <c r="H3111" s="7">
        <v>101690466</v>
      </c>
      <c r="I3111" s="7">
        <v>6977820</v>
      </c>
      <c r="J3111" s="7">
        <v>0</v>
      </c>
      <c r="K3111">
        <f t="shared" si="48"/>
        <v>153</v>
      </c>
      <c r="L3111" s="8" t="str" cm="1">
        <f t="array" ref="L3111">_xlfn.IFS(
 AND(K3111&gt;=89,K3111&lt;=92),"3개월",
 AND(K3111&gt;=58,K3111&lt;=62),"2개월",
 AND(K3111&gt;=28,K3111&lt;=32),"1개월",
 AND(K3111=0),"당월",
 TRUE,"그외"
)</f>
        <v>그외</v>
      </c>
    </row>
    <row r="3112" spans="1:12" x14ac:dyDescent="0.3">
      <c r="A3112" s="5">
        <v>46054</v>
      </c>
      <c r="B3112" s="6" t="s">
        <v>60</v>
      </c>
      <c r="C3112" s="6" t="s">
        <v>72</v>
      </c>
      <c r="D3112" s="5">
        <v>45931</v>
      </c>
      <c r="E3112" s="6" t="s">
        <v>14</v>
      </c>
      <c r="F3112" s="7">
        <v>4</v>
      </c>
      <c r="G3112" s="7">
        <v>391900</v>
      </c>
      <c r="H3112" s="7">
        <v>1567600</v>
      </c>
      <c r="I3112" s="7">
        <v>83600</v>
      </c>
      <c r="J3112" s="7">
        <v>0</v>
      </c>
      <c r="K3112">
        <f t="shared" si="48"/>
        <v>123</v>
      </c>
      <c r="L3112" s="8" t="str" cm="1">
        <f t="array" ref="L3112">_xlfn.IFS(
 AND(K3112&gt;=89,K3112&lt;=92),"3개월",
 AND(K3112&gt;=58,K3112&lt;=62),"2개월",
 AND(K3112&gt;=28,K3112&lt;=32),"1개월",
 AND(K3112=0),"당월",
 TRUE,"그외"
)</f>
        <v>그외</v>
      </c>
    </row>
    <row r="3113" spans="1:12" x14ac:dyDescent="0.3">
      <c r="A3113" s="5">
        <v>46054</v>
      </c>
      <c r="B3113" s="6" t="s">
        <v>60</v>
      </c>
      <c r="C3113" s="6" t="s">
        <v>72</v>
      </c>
      <c r="D3113" s="5">
        <v>45931</v>
      </c>
      <c r="E3113" s="6" t="s">
        <v>15</v>
      </c>
      <c r="F3113" s="7">
        <v>299</v>
      </c>
      <c r="G3113" s="7">
        <v>344497.77926421398</v>
      </c>
      <c r="H3113" s="7">
        <v>103004836</v>
      </c>
      <c r="I3113" s="7">
        <v>6238530</v>
      </c>
      <c r="J3113" s="7">
        <v>0</v>
      </c>
      <c r="K3113">
        <f t="shared" si="48"/>
        <v>123</v>
      </c>
      <c r="L3113" s="8" t="str" cm="1">
        <f t="array" ref="L3113">_xlfn.IFS(
 AND(K3113&gt;=89,K3113&lt;=92),"3개월",
 AND(K3113&gt;=58,K3113&lt;=62),"2개월",
 AND(K3113&gt;=28,K3113&lt;=32),"1개월",
 AND(K3113=0),"당월",
 TRUE,"그외"
)</f>
        <v>그외</v>
      </c>
    </row>
    <row r="3114" spans="1:12" x14ac:dyDescent="0.3">
      <c r="A3114" s="5">
        <v>46054</v>
      </c>
      <c r="B3114" s="6" t="s">
        <v>60</v>
      </c>
      <c r="C3114" s="6" t="s">
        <v>72</v>
      </c>
      <c r="D3114" s="5">
        <v>45962</v>
      </c>
      <c r="E3114" s="6" t="s">
        <v>14</v>
      </c>
      <c r="F3114" s="7">
        <v>279</v>
      </c>
      <c r="G3114" s="7">
        <v>288544.44444444438</v>
      </c>
      <c r="H3114" s="7">
        <v>80503900</v>
      </c>
      <c r="I3114" s="7">
        <v>5886900</v>
      </c>
      <c r="J3114" s="7">
        <v>0</v>
      </c>
      <c r="K3114">
        <f t="shared" si="48"/>
        <v>92</v>
      </c>
      <c r="L3114" s="8" t="str" cm="1">
        <f t="array" ref="L3114">_xlfn.IFS(
 AND(K3114&gt;=89,K3114&lt;=92),"3개월",
 AND(K3114&gt;=58,K3114&lt;=62),"2개월",
 AND(K3114&gt;=28,K3114&lt;=32),"1개월",
 AND(K3114=0),"당월",
 TRUE,"그외"
)</f>
        <v>3개월</v>
      </c>
    </row>
    <row r="3115" spans="1:12" x14ac:dyDescent="0.3">
      <c r="A3115" s="5">
        <v>46054</v>
      </c>
      <c r="B3115" s="6" t="s">
        <v>60</v>
      </c>
      <c r="C3115" s="6" t="s">
        <v>72</v>
      </c>
      <c r="D3115" s="5">
        <v>45962</v>
      </c>
      <c r="E3115" s="6" t="s">
        <v>15</v>
      </c>
      <c r="F3115" s="7">
        <v>1058</v>
      </c>
      <c r="G3115" s="7">
        <v>339828.381852552</v>
      </c>
      <c r="H3115" s="7">
        <v>359538428</v>
      </c>
      <c r="I3115" s="7">
        <v>22176654</v>
      </c>
      <c r="J3115" s="7">
        <v>0</v>
      </c>
      <c r="K3115">
        <f t="shared" si="48"/>
        <v>92</v>
      </c>
      <c r="L3115" s="8" t="str" cm="1">
        <f t="array" ref="L3115">_xlfn.IFS(
 AND(K3115&gt;=89,K3115&lt;=92),"3개월",
 AND(K3115&gt;=58,K3115&lt;=62),"2개월",
 AND(K3115&gt;=28,K3115&lt;=32),"1개월",
 AND(K3115=0),"당월",
 TRUE,"그외"
)</f>
        <v>3개월</v>
      </c>
    </row>
    <row r="3116" spans="1:12" x14ac:dyDescent="0.3">
      <c r="A3116" s="5">
        <v>46054</v>
      </c>
      <c r="B3116" s="6" t="s">
        <v>60</v>
      </c>
      <c r="C3116" s="6" t="s">
        <v>72</v>
      </c>
      <c r="D3116" s="5">
        <v>45992</v>
      </c>
      <c r="E3116" s="6" t="s">
        <v>14</v>
      </c>
      <c r="F3116" s="7">
        <v>218</v>
      </c>
      <c r="G3116" s="7">
        <v>361633.48623853212</v>
      </c>
      <c r="H3116" s="7">
        <v>78836100</v>
      </c>
      <c r="I3116" s="7">
        <v>5264100</v>
      </c>
      <c r="J3116" s="7">
        <v>0</v>
      </c>
      <c r="K3116">
        <f t="shared" si="48"/>
        <v>62</v>
      </c>
      <c r="L3116" s="8" t="str" cm="1">
        <f t="array" ref="L3116">_xlfn.IFS(
 AND(K3116&gt;=89,K3116&lt;=92),"3개월",
 AND(K3116&gt;=58,K3116&lt;=62),"2개월",
 AND(K3116&gt;=28,K3116&lt;=32),"1개월",
 AND(K3116=0),"당월",
 TRUE,"그외"
)</f>
        <v>2개월</v>
      </c>
    </row>
    <row r="3117" spans="1:12" x14ac:dyDescent="0.3">
      <c r="A3117" s="5">
        <v>46054</v>
      </c>
      <c r="B3117" s="6" t="s">
        <v>60</v>
      </c>
      <c r="C3117" s="6" t="s">
        <v>72</v>
      </c>
      <c r="D3117" s="5">
        <v>45992</v>
      </c>
      <c r="E3117" s="6" t="s">
        <v>15</v>
      </c>
      <c r="F3117" s="7">
        <v>1493</v>
      </c>
      <c r="G3117" s="7">
        <v>294365.11922304088</v>
      </c>
      <c r="H3117" s="7">
        <v>439487123</v>
      </c>
      <c r="I3117" s="7">
        <v>36467509</v>
      </c>
      <c r="J3117" s="7">
        <v>0</v>
      </c>
      <c r="K3117">
        <f t="shared" si="48"/>
        <v>62</v>
      </c>
      <c r="L3117" s="8" t="str" cm="1">
        <f t="array" ref="L3117">_xlfn.IFS(
 AND(K3117&gt;=89,K3117&lt;=92),"3개월",
 AND(K3117&gt;=58,K3117&lt;=62),"2개월",
 AND(K3117&gt;=28,K3117&lt;=32),"1개월",
 AND(K3117=0),"당월",
 TRUE,"그외"
)</f>
        <v>2개월</v>
      </c>
    </row>
    <row r="3118" spans="1:12" x14ac:dyDescent="0.3">
      <c r="A3118" s="5">
        <v>46054</v>
      </c>
      <c r="B3118" s="6" t="s">
        <v>60</v>
      </c>
      <c r="C3118" s="6" t="s">
        <v>72</v>
      </c>
      <c r="D3118" s="5">
        <v>46023</v>
      </c>
      <c r="E3118" s="6" t="s">
        <v>14</v>
      </c>
      <c r="F3118" s="7">
        <v>745</v>
      </c>
      <c r="G3118" s="7">
        <v>497927.65100671141</v>
      </c>
      <c r="H3118" s="7">
        <v>370956100</v>
      </c>
      <c r="I3118" s="7">
        <v>17296100</v>
      </c>
      <c r="J3118" s="7">
        <v>0</v>
      </c>
      <c r="K3118">
        <f t="shared" si="48"/>
        <v>31</v>
      </c>
      <c r="L3118" s="8" t="str" cm="1">
        <f t="array" ref="L3118">_xlfn.IFS(
 AND(K3118&gt;=89,K3118&lt;=92),"3개월",
 AND(K3118&gt;=58,K3118&lt;=62),"2개월",
 AND(K3118&gt;=28,K3118&lt;=32),"1개월",
 AND(K3118=0),"당월",
 TRUE,"그외"
)</f>
        <v>1개월</v>
      </c>
    </row>
    <row r="3119" spans="1:12" x14ac:dyDescent="0.3">
      <c r="A3119" s="5">
        <v>46054</v>
      </c>
      <c r="B3119" s="6" t="s">
        <v>60</v>
      </c>
      <c r="C3119" s="6" t="s">
        <v>72</v>
      </c>
      <c r="D3119" s="5">
        <v>46023</v>
      </c>
      <c r="E3119" s="6" t="s">
        <v>15</v>
      </c>
      <c r="F3119" s="7">
        <v>2598</v>
      </c>
      <c r="G3119" s="7">
        <v>261147.1597382602</v>
      </c>
      <c r="H3119" s="7">
        <v>678460321</v>
      </c>
      <c r="I3119" s="7">
        <v>63458246</v>
      </c>
      <c r="J3119" s="7">
        <v>0</v>
      </c>
      <c r="K3119">
        <f t="shared" si="48"/>
        <v>31</v>
      </c>
      <c r="L3119" s="8" t="str" cm="1">
        <f t="array" ref="L3119">_xlfn.IFS(
 AND(K3119&gt;=89,K3119&lt;=92),"3개월",
 AND(K3119&gt;=58,K3119&lt;=62),"2개월",
 AND(K3119&gt;=28,K3119&lt;=32),"1개월",
 AND(K3119=0),"당월",
 TRUE,"그외"
)</f>
        <v>1개월</v>
      </c>
    </row>
    <row r="3120" spans="1:12" x14ac:dyDescent="0.3">
      <c r="A3120" s="5">
        <v>46054</v>
      </c>
      <c r="B3120" s="6" t="s">
        <v>60</v>
      </c>
      <c r="C3120" s="6" t="s">
        <v>72</v>
      </c>
      <c r="D3120" s="5">
        <v>46054</v>
      </c>
      <c r="E3120" s="6" t="s">
        <v>14</v>
      </c>
      <c r="F3120" s="7">
        <v>1138</v>
      </c>
      <c r="G3120" s="7">
        <v>74131.810193321624</v>
      </c>
      <c r="H3120" s="7">
        <v>84362000</v>
      </c>
      <c r="I3120" s="7">
        <v>20051000</v>
      </c>
      <c r="J3120" s="7">
        <v>0</v>
      </c>
      <c r="K3120">
        <f t="shared" si="48"/>
        <v>0</v>
      </c>
      <c r="L3120" s="8" t="str" cm="1">
        <f t="array" ref="L3120">_xlfn.IFS(
 AND(K3120&gt;=89,K3120&lt;=92),"3개월",
 AND(K3120&gt;=58,K3120&lt;=62),"2개월",
 AND(K3120&gt;=28,K3120&lt;=32),"1개월",
 AND(K3120=0),"당월",
 TRUE,"그외"
)</f>
        <v>당월</v>
      </c>
    </row>
    <row r="3121" spans="1:12" x14ac:dyDescent="0.3">
      <c r="A3121" s="5">
        <v>46054</v>
      </c>
      <c r="B3121" s="6" t="s">
        <v>60</v>
      </c>
      <c r="C3121" s="6" t="s">
        <v>72</v>
      </c>
      <c r="D3121" s="5">
        <v>46054</v>
      </c>
      <c r="E3121" s="6" t="s">
        <v>15</v>
      </c>
      <c r="F3121" s="7">
        <v>893</v>
      </c>
      <c r="G3121" s="7">
        <v>327151.64837625978</v>
      </c>
      <c r="H3121" s="7">
        <v>292146422</v>
      </c>
      <c r="I3121" s="7">
        <v>15934075</v>
      </c>
      <c r="J3121" s="7">
        <v>0</v>
      </c>
      <c r="K3121">
        <f t="shared" si="48"/>
        <v>0</v>
      </c>
      <c r="L3121" s="8" t="str" cm="1">
        <f t="array" ref="L3121">_xlfn.IFS(
 AND(K3121&gt;=89,K3121&lt;=92),"3개월",
 AND(K3121&gt;=58,K3121&lt;=62),"2개월",
 AND(K3121&gt;=28,K3121&lt;=32),"1개월",
 AND(K3121=0),"당월",
 TRUE,"그외"
)</f>
        <v>당월</v>
      </c>
    </row>
    <row r="3122" spans="1:12" x14ac:dyDescent="0.3">
      <c r="A3122" s="5">
        <v>46054</v>
      </c>
      <c r="B3122" s="6" t="s">
        <v>60</v>
      </c>
      <c r="C3122" s="6" t="s">
        <v>115</v>
      </c>
      <c r="D3122" s="5">
        <v>45870</v>
      </c>
      <c r="E3122" s="6" t="s">
        <v>15</v>
      </c>
      <c r="F3122" s="7">
        <v>48</v>
      </c>
      <c r="G3122" s="7">
        <v>263708.33333333331</v>
      </c>
      <c r="H3122" s="7">
        <v>12658000</v>
      </c>
      <c r="I3122" s="7">
        <v>1248000</v>
      </c>
      <c r="J3122" s="7">
        <v>0</v>
      </c>
      <c r="K3122">
        <f t="shared" si="48"/>
        <v>184</v>
      </c>
      <c r="L3122" s="8" t="str" cm="1">
        <f t="array" ref="L3122">_xlfn.IFS(
 AND(K3122&gt;=89,K3122&lt;=92),"3개월",
 AND(K3122&gt;=58,K3122&lt;=62),"2개월",
 AND(K3122&gt;=28,K3122&lt;=32),"1개월",
 AND(K3122=0),"당월",
 TRUE,"그외"
)</f>
        <v>그외</v>
      </c>
    </row>
    <row r="3123" spans="1:12" x14ac:dyDescent="0.3">
      <c r="A3123" s="5">
        <v>46054</v>
      </c>
      <c r="B3123" s="6" t="s">
        <v>60</v>
      </c>
      <c r="C3123" s="6" t="s">
        <v>115</v>
      </c>
      <c r="D3123" s="5">
        <v>45901</v>
      </c>
      <c r="E3123" s="6" t="s">
        <v>14</v>
      </c>
      <c r="F3123" s="7">
        <v>5</v>
      </c>
      <c r="G3123" s="7">
        <v>266300</v>
      </c>
      <c r="H3123" s="7">
        <v>1331500</v>
      </c>
      <c r="I3123" s="7">
        <v>131500</v>
      </c>
      <c r="J3123" s="7">
        <v>0</v>
      </c>
      <c r="K3123">
        <f t="shared" si="48"/>
        <v>153</v>
      </c>
      <c r="L3123" s="8" t="str" cm="1">
        <f t="array" ref="L3123">_xlfn.IFS(
 AND(K3123&gt;=89,K3123&lt;=92),"3개월",
 AND(K3123&gt;=58,K3123&lt;=62),"2개월",
 AND(K3123&gt;=28,K3123&lt;=32),"1개월",
 AND(K3123=0),"당월",
 TRUE,"그외"
)</f>
        <v>그외</v>
      </c>
    </row>
    <row r="3124" spans="1:12" x14ac:dyDescent="0.3">
      <c r="A3124" s="5">
        <v>46054</v>
      </c>
      <c r="B3124" s="6" t="s">
        <v>60</v>
      </c>
      <c r="C3124" s="6" t="s">
        <v>115</v>
      </c>
      <c r="D3124" s="5">
        <v>45901</v>
      </c>
      <c r="E3124" s="6" t="s">
        <v>15</v>
      </c>
      <c r="F3124" s="7">
        <v>176</v>
      </c>
      <c r="G3124" s="7">
        <v>356698.29545454553</v>
      </c>
      <c r="H3124" s="7">
        <v>62778900</v>
      </c>
      <c r="I3124" s="7">
        <v>4628800</v>
      </c>
      <c r="J3124" s="7">
        <v>0</v>
      </c>
      <c r="K3124">
        <f t="shared" si="48"/>
        <v>153</v>
      </c>
      <c r="L3124" s="8" t="str" cm="1">
        <f t="array" ref="L3124">_xlfn.IFS(
 AND(K3124&gt;=89,K3124&lt;=92),"3개월",
 AND(K3124&gt;=58,K3124&lt;=62),"2개월",
 AND(K3124&gt;=28,K3124&lt;=32),"1개월",
 AND(K3124=0),"당월",
 TRUE,"그외"
)</f>
        <v>그외</v>
      </c>
    </row>
    <row r="3125" spans="1:12" x14ac:dyDescent="0.3">
      <c r="A3125" s="5">
        <v>46054</v>
      </c>
      <c r="B3125" s="6" t="s">
        <v>60</v>
      </c>
      <c r="C3125" s="6" t="s">
        <v>115</v>
      </c>
      <c r="D3125" s="5">
        <v>45931</v>
      </c>
      <c r="E3125" s="6" t="s">
        <v>14</v>
      </c>
      <c r="F3125" s="7">
        <v>12</v>
      </c>
      <c r="G3125" s="7">
        <v>269733.33333333331</v>
      </c>
      <c r="H3125" s="7">
        <v>3236800</v>
      </c>
      <c r="I3125" s="7">
        <v>316800</v>
      </c>
      <c r="J3125" s="7">
        <v>0</v>
      </c>
      <c r="K3125">
        <f t="shared" si="48"/>
        <v>123</v>
      </c>
      <c r="L3125" s="8" t="str" cm="1">
        <f t="array" ref="L3125">_xlfn.IFS(
 AND(K3125&gt;=89,K3125&lt;=92),"3개월",
 AND(K3125&gt;=58,K3125&lt;=62),"2개월",
 AND(K3125&gt;=28,K3125&lt;=32),"1개월",
 AND(K3125=0),"당월",
 TRUE,"그외"
)</f>
        <v>그외</v>
      </c>
    </row>
    <row r="3126" spans="1:12" x14ac:dyDescent="0.3">
      <c r="A3126" s="5">
        <v>46054</v>
      </c>
      <c r="B3126" s="6" t="s">
        <v>60</v>
      </c>
      <c r="C3126" s="6" t="s">
        <v>115</v>
      </c>
      <c r="D3126" s="5">
        <v>45931</v>
      </c>
      <c r="E3126" s="6" t="s">
        <v>15</v>
      </c>
      <c r="F3126" s="7">
        <v>187</v>
      </c>
      <c r="G3126" s="7">
        <v>302399.72727272729</v>
      </c>
      <c r="H3126" s="7">
        <v>56548749</v>
      </c>
      <c r="I3126" s="7">
        <v>5118964</v>
      </c>
      <c r="J3126" s="7">
        <v>0</v>
      </c>
      <c r="K3126">
        <f t="shared" si="48"/>
        <v>123</v>
      </c>
      <c r="L3126" s="8" t="str" cm="1">
        <f t="array" ref="L3126">_xlfn.IFS(
 AND(K3126&gt;=89,K3126&lt;=92),"3개월",
 AND(K3126&gt;=58,K3126&lt;=62),"2개월",
 AND(K3126&gt;=28,K3126&lt;=32),"1개월",
 AND(K3126=0),"당월",
 TRUE,"그외"
)</f>
        <v>그외</v>
      </c>
    </row>
    <row r="3127" spans="1:12" x14ac:dyDescent="0.3">
      <c r="A3127" s="5">
        <v>46054</v>
      </c>
      <c r="B3127" s="6" t="s">
        <v>60</v>
      </c>
      <c r="C3127" s="6" t="s">
        <v>115</v>
      </c>
      <c r="D3127" s="5">
        <v>45962</v>
      </c>
      <c r="E3127" s="6" t="s">
        <v>14</v>
      </c>
      <c r="F3127" s="7">
        <v>93</v>
      </c>
      <c r="G3127" s="7">
        <v>269613.97849462368</v>
      </c>
      <c r="H3127" s="7">
        <v>25074100</v>
      </c>
      <c r="I3127" s="7">
        <v>2483100</v>
      </c>
      <c r="J3127" s="7">
        <v>0</v>
      </c>
      <c r="K3127">
        <f t="shared" si="48"/>
        <v>92</v>
      </c>
      <c r="L3127" s="8" t="str" cm="1">
        <f t="array" ref="L3127">_xlfn.IFS(
 AND(K3127&gt;=89,K3127&lt;=92),"3개월",
 AND(K3127&gt;=58,K3127&lt;=62),"2개월",
 AND(K3127&gt;=28,K3127&lt;=32),"1개월",
 AND(K3127=0),"당월",
 TRUE,"그외"
)</f>
        <v>3개월</v>
      </c>
    </row>
    <row r="3128" spans="1:12" x14ac:dyDescent="0.3">
      <c r="A3128" s="5">
        <v>46054</v>
      </c>
      <c r="B3128" s="6" t="s">
        <v>60</v>
      </c>
      <c r="C3128" s="6" t="s">
        <v>115</v>
      </c>
      <c r="D3128" s="5">
        <v>45962</v>
      </c>
      <c r="E3128" s="6" t="s">
        <v>15</v>
      </c>
      <c r="F3128" s="7">
        <v>351</v>
      </c>
      <c r="G3128" s="7">
        <v>261837.37037037039</v>
      </c>
      <c r="H3128" s="7">
        <v>91904917</v>
      </c>
      <c r="I3128" s="7">
        <v>10068908</v>
      </c>
      <c r="J3128" s="7">
        <v>0</v>
      </c>
      <c r="K3128">
        <f t="shared" si="48"/>
        <v>92</v>
      </c>
      <c r="L3128" s="8" t="str" cm="1">
        <f t="array" ref="L3128">_xlfn.IFS(
 AND(K3128&gt;=89,K3128&lt;=92),"3개월",
 AND(K3128&gt;=58,K3128&lt;=62),"2개월",
 AND(K3128&gt;=28,K3128&lt;=32),"1개월",
 AND(K3128=0),"당월",
 TRUE,"그외"
)</f>
        <v>3개월</v>
      </c>
    </row>
    <row r="3129" spans="1:12" x14ac:dyDescent="0.3">
      <c r="A3129" s="5">
        <v>46054</v>
      </c>
      <c r="B3129" s="6" t="s">
        <v>60</v>
      </c>
      <c r="C3129" s="6" t="s">
        <v>115</v>
      </c>
      <c r="D3129" s="5">
        <v>45992</v>
      </c>
      <c r="E3129" s="6" t="s">
        <v>14</v>
      </c>
      <c r="F3129" s="7">
        <v>207</v>
      </c>
      <c r="G3129" s="7">
        <v>226878.74396135271</v>
      </c>
      <c r="H3129" s="7">
        <v>46963900</v>
      </c>
      <c r="I3129" s="7">
        <v>6561900</v>
      </c>
      <c r="J3129" s="7">
        <v>0</v>
      </c>
      <c r="K3129">
        <f t="shared" si="48"/>
        <v>62</v>
      </c>
      <c r="L3129" s="8" t="str" cm="1">
        <f t="array" ref="L3129">_xlfn.IFS(
 AND(K3129&gt;=89,K3129&lt;=92),"3개월",
 AND(K3129&gt;=58,K3129&lt;=62),"2개월",
 AND(K3129&gt;=28,K3129&lt;=32),"1개월",
 AND(K3129=0),"당월",
 TRUE,"그외"
)</f>
        <v>2개월</v>
      </c>
    </row>
    <row r="3130" spans="1:12" x14ac:dyDescent="0.3">
      <c r="A3130" s="5">
        <v>46054</v>
      </c>
      <c r="B3130" s="6" t="s">
        <v>60</v>
      </c>
      <c r="C3130" s="6" t="s">
        <v>115</v>
      </c>
      <c r="D3130" s="5">
        <v>45992</v>
      </c>
      <c r="E3130" s="6" t="s">
        <v>15</v>
      </c>
      <c r="F3130" s="7">
        <v>1187</v>
      </c>
      <c r="G3130" s="7">
        <v>231614.24768323501</v>
      </c>
      <c r="H3130" s="7">
        <v>274926112</v>
      </c>
      <c r="I3130" s="7">
        <v>38349745</v>
      </c>
      <c r="J3130" s="7">
        <v>0</v>
      </c>
      <c r="K3130">
        <f t="shared" si="48"/>
        <v>62</v>
      </c>
      <c r="L3130" s="8" t="str" cm="1">
        <f t="array" ref="L3130">_xlfn.IFS(
 AND(K3130&gt;=89,K3130&lt;=92),"3개월",
 AND(K3130&gt;=58,K3130&lt;=62),"2개월",
 AND(K3130&gt;=28,K3130&lt;=32),"1개월",
 AND(K3130=0),"당월",
 TRUE,"그외"
)</f>
        <v>2개월</v>
      </c>
    </row>
    <row r="3131" spans="1:12" x14ac:dyDescent="0.3">
      <c r="A3131" s="5">
        <v>46054</v>
      </c>
      <c r="B3131" s="6" t="s">
        <v>60</v>
      </c>
      <c r="C3131" s="6" t="s">
        <v>115</v>
      </c>
      <c r="D3131" s="5">
        <v>46023</v>
      </c>
      <c r="E3131" s="6" t="s">
        <v>14</v>
      </c>
      <c r="F3131" s="7">
        <v>1439</v>
      </c>
      <c r="G3131" s="7">
        <v>177481.9874913134</v>
      </c>
      <c r="H3131" s="7">
        <v>255396580</v>
      </c>
      <c r="I3131" s="7">
        <v>47323516</v>
      </c>
      <c r="J3131" s="7">
        <v>0</v>
      </c>
      <c r="K3131">
        <f t="shared" si="48"/>
        <v>31</v>
      </c>
      <c r="L3131" s="8" t="str" cm="1">
        <f t="array" ref="L3131">_xlfn.IFS(
 AND(K3131&gt;=89,K3131&lt;=92),"3개월",
 AND(K3131&gt;=58,K3131&lt;=62),"2개월",
 AND(K3131&gt;=28,K3131&lt;=32),"1개월",
 AND(K3131=0),"당월",
 TRUE,"그외"
)</f>
        <v>1개월</v>
      </c>
    </row>
    <row r="3132" spans="1:12" x14ac:dyDescent="0.3">
      <c r="A3132" s="5">
        <v>46054</v>
      </c>
      <c r="B3132" s="6" t="s">
        <v>60</v>
      </c>
      <c r="C3132" s="6" t="s">
        <v>115</v>
      </c>
      <c r="D3132" s="5">
        <v>46023</v>
      </c>
      <c r="E3132" s="6" t="s">
        <v>15</v>
      </c>
      <c r="F3132" s="7">
        <v>3712</v>
      </c>
      <c r="G3132" s="7">
        <v>176194.4620150862</v>
      </c>
      <c r="H3132" s="7">
        <v>654033843</v>
      </c>
      <c r="I3132" s="7">
        <v>126027900</v>
      </c>
      <c r="J3132" s="7">
        <v>0</v>
      </c>
      <c r="K3132">
        <f t="shared" si="48"/>
        <v>31</v>
      </c>
      <c r="L3132" s="8" t="str" cm="1">
        <f t="array" ref="L3132">_xlfn.IFS(
 AND(K3132&gt;=89,K3132&lt;=92),"3개월",
 AND(K3132&gt;=58,K3132&lt;=62),"2개월",
 AND(K3132&gt;=28,K3132&lt;=32),"1개월",
 AND(K3132=0),"당월",
 TRUE,"그외"
)</f>
        <v>1개월</v>
      </c>
    </row>
    <row r="3133" spans="1:12" x14ac:dyDescent="0.3">
      <c r="A3133" s="5">
        <v>46054</v>
      </c>
      <c r="B3133" s="6" t="s">
        <v>60</v>
      </c>
      <c r="C3133" s="6" t="s">
        <v>115</v>
      </c>
      <c r="D3133" s="5">
        <v>46054</v>
      </c>
      <c r="E3133" s="6" t="s">
        <v>14</v>
      </c>
      <c r="F3133" s="7">
        <v>570</v>
      </c>
      <c r="G3133" s="7">
        <v>214263.69824561401</v>
      </c>
      <c r="H3133" s="7">
        <v>122130308</v>
      </c>
      <c r="I3133" s="7">
        <v>19511292</v>
      </c>
      <c r="J3133" s="7">
        <v>0</v>
      </c>
      <c r="K3133">
        <f t="shared" si="48"/>
        <v>0</v>
      </c>
      <c r="L3133" s="8" t="str" cm="1">
        <f t="array" ref="L3133">_xlfn.IFS(
 AND(K3133&gt;=89,K3133&lt;=92),"3개월",
 AND(K3133&gt;=58,K3133&lt;=62),"2개월",
 AND(K3133&gt;=28,K3133&lt;=32),"1개월",
 AND(K3133=0),"당월",
 TRUE,"그외"
)</f>
        <v>당월</v>
      </c>
    </row>
    <row r="3134" spans="1:12" x14ac:dyDescent="0.3">
      <c r="A3134" s="5">
        <v>46054</v>
      </c>
      <c r="B3134" s="6" t="s">
        <v>60</v>
      </c>
      <c r="C3134" s="6" t="s">
        <v>115</v>
      </c>
      <c r="D3134" s="5">
        <v>46054</v>
      </c>
      <c r="E3134" s="6" t="s">
        <v>15</v>
      </c>
      <c r="F3134" s="7">
        <v>1888</v>
      </c>
      <c r="G3134" s="7">
        <v>197602.96980932201</v>
      </c>
      <c r="H3134" s="7">
        <v>373074407</v>
      </c>
      <c r="I3134" s="7">
        <v>52838901</v>
      </c>
      <c r="J3134" s="7">
        <v>0</v>
      </c>
      <c r="K3134">
        <f t="shared" si="48"/>
        <v>0</v>
      </c>
      <c r="L3134" s="8" t="str" cm="1">
        <f t="array" ref="L3134">_xlfn.IFS(
 AND(K3134&gt;=89,K3134&lt;=92),"3개월",
 AND(K3134&gt;=58,K3134&lt;=62),"2개월",
 AND(K3134&gt;=28,K3134&lt;=32),"1개월",
 AND(K3134=0),"당월",
 TRUE,"그외"
)</f>
        <v>당월</v>
      </c>
    </row>
    <row r="3135" spans="1:12" x14ac:dyDescent="0.3">
      <c r="A3135" s="5">
        <v>46054</v>
      </c>
      <c r="B3135" s="6" t="s">
        <v>60</v>
      </c>
      <c r="C3135" s="6" t="s">
        <v>74</v>
      </c>
      <c r="D3135" s="5">
        <v>45870</v>
      </c>
      <c r="E3135" s="6" t="s">
        <v>15</v>
      </c>
      <c r="F3135" s="7">
        <v>2</v>
      </c>
      <c r="G3135" s="7">
        <v>288400</v>
      </c>
      <c r="H3135" s="7">
        <v>576800</v>
      </c>
      <c r="I3135" s="7">
        <v>54800</v>
      </c>
      <c r="J3135" s="7">
        <v>0</v>
      </c>
      <c r="K3135">
        <f t="shared" si="48"/>
        <v>184</v>
      </c>
      <c r="L3135" s="8" t="str" cm="1">
        <f t="array" ref="L3135">_xlfn.IFS(
 AND(K3135&gt;=89,K3135&lt;=92),"3개월",
 AND(K3135&gt;=58,K3135&lt;=62),"2개월",
 AND(K3135&gt;=28,K3135&lt;=32),"1개월",
 AND(K3135=0),"당월",
 TRUE,"그외"
)</f>
        <v>그외</v>
      </c>
    </row>
    <row r="3136" spans="1:12" x14ac:dyDescent="0.3">
      <c r="A3136" s="5">
        <v>46054</v>
      </c>
      <c r="B3136" s="6" t="s">
        <v>60</v>
      </c>
      <c r="C3136" s="6" t="s">
        <v>74</v>
      </c>
      <c r="D3136" s="5">
        <v>45901</v>
      </c>
      <c r="E3136" s="6" t="s">
        <v>15</v>
      </c>
      <c r="F3136" s="7">
        <v>8</v>
      </c>
      <c r="G3136" s="7">
        <v>261450</v>
      </c>
      <c r="H3136" s="7">
        <v>2091600</v>
      </c>
      <c r="I3136" s="7">
        <v>221600</v>
      </c>
      <c r="J3136" s="7">
        <v>0</v>
      </c>
      <c r="K3136">
        <f t="shared" si="48"/>
        <v>153</v>
      </c>
      <c r="L3136" s="8" t="str" cm="1">
        <f t="array" ref="L3136">_xlfn.IFS(
 AND(K3136&gt;=89,K3136&lt;=92),"3개월",
 AND(K3136&gt;=58,K3136&lt;=62),"2개월",
 AND(K3136&gt;=28,K3136&lt;=32),"1개월",
 AND(K3136=0),"당월",
 TRUE,"그외"
)</f>
        <v>그외</v>
      </c>
    </row>
    <row r="3137" spans="1:12" x14ac:dyDescent="0.3">
      <c r="A3137" s="5">
        <v>46054</v>
      </c>
      <c r="B3137" s="6" t="s">
        <v>60</v>
      </c>
      <c r="C3137" s="6" t="s">
        <v>74</v>
      </c>
      <c r="D3137" s="5">
        <v>45931</v>
      </c>
      <c r="E3137" s="6" t="s">
        <v>15</v>
      </c>
      <c r="F3137" s="7">
        <v>72</v>
      </c>
      <c r="G3137" s="7">
        <v>322475.54166666669</v>
      </c>
      <c r="H3137" s="7">
        <v>23218239</v>
      </c>
      <c r="I3137" s="7">
        <v>2915097</v>
      </c>
      <c r="J3137" s="7">
        <v>0</v>
      </c>
      <c r="K3137">
        <f t="shared" si="48"/>
        <v>123</v>
      </c>
      <c r="L3137" s="8" t="str" cm="1">
        <f t="array" ref="L3137">_xlfn.IFS(
 AND(K3137&gt;=89,K3137&lt;=92),"3개월",
 AND(K3137&gt;=58,K3137&lt;=62),"2개월",
 AND(K3137&gt;=28,K3137&lt;=32),"1개월",
 AND(K3137=0),"당월",
 TRUE,"그외"
)</f>
        <v>그외</v>
      </c>
    </row>
    <row r="3138" spans="1:12" x14ac:dyDescent="0.3">
      <c r="A3138" s="5">
        <v>46054</v>
      </c>
      <c r="B3138" s="6" t="s">
        <v>60</v>
      </c>
      <c r="C3138" s="6" t="s">
        <v>74</v>
      </c>
      <c r="D3138" s="5">
        <v>45962</v>
      </c>
      <c r="E3138" s="6" t="s">
        <v>14</v>
      </c>
      <c r="F3138" s="7">
        <v>19</v>
      </c>
      <c r="G3138" s="7">
        <v>248626.31578947371</v>
      </c>
      <c r="H3138" s="7">
        <v>4723900</v>
      </c>
      <c r="I3138" s="7">
        <v>533900</v>
      </c>
      <c r="J3138" s="7">
        <v>0</v>
      </c>
      <c r="K3138">
        <f t="shared" si="48"/>
        <v>92</v>
      </c>
      <c r="L3138" s="8" t="str" cm="1">
        <f t="array" ref="L3138">_xlfn.IFS(
 AND(K3138&gt;=89,K3138&lt;=92),"3개월",
 AND(K3138&gt;=58,K3138&lt;=62),"2개월",
 AND(K3138&gt;=28,K3138&lt;=32),"1개월",
 AND(K3138=0),"당월",
 TRUE,"그외"
)</f>
        <v>3개월</v>
      </c>
    </row>
    <row r="3139" spans="1:12" x14ac:dyDescent="0.3">
      <c r="A3139" s="5">
        <v>46054</v>
      </c>
      <c r="B3139" s="6" t="s">
        <v>60</v>
      </c>
      <c r="C3139" s="6" t="s">
        <v>74</v>
      </c>
      <c r="D3139" s="5">
        <v>45962</v>
      </c>
      <c r="E3139" s="6" t="s">
        <v>15</v>
      </c>
      <c r="F3139" s="7">
        <v>76</v>
      </c>
      <c r="G3139" s="7">
        <v>207623.56578947371</v>
      </c>
      <c r="H3139" s="7">
        <v>15779391</v>
      </c>
      <c r="I3139" s="7">
        <v>2019178</v>
      </c>
      <c r="J3139" s="7">
        <v>0</v>
      </c>
      <c r="K3139">
        <f t="shared" si="48"/>
        <v>92</v>
      </c>
      <c r="L3139" s="8" t="str" cm="1">
        <f t="array" ref="L3139">_xlfn.IFS(
 AND(K3139&gt;=89,K3139&lt;=92),"3개월",
 AND(K3139&gt;=58,K3139&lt;=62),"2개월",
 AND(K3139&gt;=28,K3139&lt;=32),"1개월",
 AND(K3139=0),"당월",
 TRUE,"그외"
)</f>
        <v>3개월</v>
      </c>
    </row>
    <row r="3140" spans="1:12" x14ac:dyDescent="0.3">
      <c r="A3140" s="5">
        <v>46054</v>
      </c>
      <c r="B3140" s="6" t="s">
        <v>60</v>
      </c>
      <c r="C3140" s="6" t="s">
        <v>74</v>
      </c>
      <c r="D3140" s="5">
        <v>45992</v>
      </c>
      <c r="E3140" s="6" t="s">
        <v>14</v>
      </c>
      <c r="F3140" s="7">
        <v>53</v>
      </c>
      <c r="G3140" s="7">
        <v>228977.358490566</v>
      </c>
      <c r="H3140" s="7">
        <v>12135800</v>
      </c>
      <c r="I3140" s="7">
        <v>1833800</v>
      </c>
      <c r="J3140" s="7">
        <v>0</v>
      </c>
      <c r="K3140">
        <f t="shared" si="48"/>
        <v>62</v>
      </c>
      <c r="L3140" s="8" t="str" cm="1">
        <f t="array" ref="L3140">_xlfn.IFS(
 AND(K3140&gt;=89,K3140&lt;=92),"3개월",
 AND(K3140&gt;=58,K3140&lt;=62),"2개월",
 AND(K3140&gt;=28,K3140&lt;=32),"1개월",
 AND(K3140=0),"당월",
 TRUE,"그외"
)</f>
        <v>2개월</v>
      </c>
    </row>
    <row r="3141" spans="1:12" x14ac:dyDescent="0.3">
      <c r="A3141" s="5">
        <v>46054</v>
      </c>
      <c r="B3141" s="6" t="s">
        <v>60</v>
      </c>
      <c r="C3141" s="6" t="s">
        <v>74</v>
      </c>
      <c r="D3141" s="5">
        <v>45992</v>
      </c>
      <c r="E3141" s="6" t="s">
        <v>15</v>
      </c>
      <c r="F3141" s="7">
        <v>163</v>
      </c>
      <c r="G3141" s="7">
        <v>207089.77914110431</v>
      </c>
      <c r="H3141" s="7">
        <v>33755634</v>
      </c>
      <c r="I3141" s="7">
        <v>5699893</v>
      </c>
      <c r="J3141" s="7">
        <v>0</v>
      </c>
      <c r="K3141">
        <f t="shared" si="48"/>
        <v>62</v>
      </c>
      <c r="L3141" s="8" t="str" cm="1">
        <f t="array" ref="L3141">_xlfn.IFS(
 AND(K3141&gt;=89,K3141&lt;=92),"3개월",
 AND(K3141&gt;=58,K3141&lt;=62),"2개월",
 AND(K3141&gt;=28,K3141&lt;=32),"1개월",
 AND(K3141=0),"당월",
 TRUE,"그외"
)</f>
        <v>2개월</v>
      </c>
    </row>
    <row r="3142" spans="1:12" x14ac:dyDescent="0.3">
      <c r="A3142" s="5">
        <v>46054</v>
      </c>
      <c r="B3142" s="6" t="s">
        <v>60</v>
      </c>
      <c r="C3142" s="6" t="s">
        <v>74</v>
      </c>
      <c r="D3142" s="5">
        <v>46023</v>
      </c>
      <c r="E3142" s="6" t="s">
        <v>14</v>
      </c>
      <c r="F3142" s="7">
        <v>63</v>
      </c>
      <c r="G3142" s="7">
        <v>225177.77777777781</v>
      </c>
      <c r="H3142" s="7">
        <v>14186200</v>
      </c>
      <c r="I3142" s="7">
        <v>2223200</v>
      </c>
      <c r="J3142" s="7">
        <v>0</v>
      </c>
      <c r="K3142">
        <f t="shared" si="48"/>
        <v>31</v>
      </c>
      <c r="L3142" s="8" t="str" cm="1">
        <f t="array" ref="L3142">_xlfn.IFS(
 AND(K3142&gt;=89,K3142&lt;=92),"3개월",
 AND(K3142&gt;=58,K3142&lt;=62),"2개월",
 AND(K3142&gt;=28,K3142&lt;=32),"1개월",
 AND(K3142=0),"당월",
 TRUE,"그외"
)</f>
        <v>1개월</v>
      </c>
    </row>
    <row r="3143" spans="1:12" x14ac:dyDescent="0.3">
      <c r="A3143" s="5">
        <v>46054</v>
      </c>
      <c r="B3143" s="6" t="s">
        <v>60</v>
      </c>
      <c r="C3143" s="6" t="s">
        <v>74</v>
      </c>
      <c r="D3143" s="5">
        <v>46023</v>
      </c>
      <c r="E3143" s="6" t="s">
        <v>15</v>
      </c>
      <c r="F3143" s="7">
        <v>377</v>
      </c>
      <c r="G3143" s="7">
        <v>168456.32891246691</v>
      </c>
      <c r="H3143" s="7">
        <v>63508036</v>
      </c>
      <c r="I3143" s="7">
        <v>13237956</v>
      </c>
      <c r="J3143" s="7">
        <v>0</v>
      </c>
      <c r="K3143">
        <f t="shared" si="48"/>
        <v>31</v>
      </c>
      <c r="L3143" s="8" t="str" cm="1">
        <f t="array" ref="L3143">_xlfn.IFS(
 AND(K3143&gt;=89,K3143&lt;=92),"3개월",
 AND(K3143&gt;=58,K3143&lt;=62),"2개월",
 AND(K3143&gt;=28,K3143&lt;=32),"1개월",
 AND(K3143=0),"당월",
 TRUE,"그외"
)</f>
        <v>1개월</v>
      </c>
    </row>
    <row r="3144" spans="1:12" x14ac:dyDescent="0.3">
      <c r="A3144" s="5">
        <v>46054</v>
      </c>
      <c r="B3144" s="6" t="s">
        <v>60</v>
      </c>
      <c r="C3144" s="6" t="s">
        <v>74</v>
      </c>
      <c r="D3144" s="5">
        <v>46054</v>
      </c>
      <c r="E3144" s="6" t="s">
        <v>15</v>
      </c>
      <c r="F3144" s="7">
        <v>40</v>
      </c>
      <c r="G3144" s="7">
        <v>110324.05</v>
      </c>
      <c r="H3144" s="7">
        <v>4412962</v>
      </c>
      <c r="I3144" s="7">
        <v>1066390</v>
      </c>
      <c r="J3144" s="7">
        <v>0</v>
      </c>
      <c r="K3144">
        <f t="shared" si="48"/>
        <v>0</v>
      </c>
      <c r="L3144" s="8" t="str" cm="1">
        <f t="array" ref="L3144">_xlfn.IFS(
 AND(K3144&gt;=89,K3144&lt;=92),"3개월",
 AND(K3144&gt;=58,K3144&lt;=62),"2개월",
 AND(K3144&gt;=28,K3144&lt;=32),"1개월",
 AND(K3144=0),"당월",
 TRUE,"그외"
)</f>
        <v>당월</v>
      </c>
    </row>
    <row r="3145" spans="1:12" x14ac:dyDescent="0.3">
      <c r="A3145" s="5">
        <v>46054</v>
      </c>
      <c r="B3145" s="6" t="s">
        <v>60</v>
      </c>
      <c r="C3145" s="6" t="s">
        <v>117</v>
      </c>
      <c r="D3145" s="5">
        <v>45992</v>
      </c>
      <c r="E3145" s="6" t="s">
        <v>14</v>
      </c>
      <c r="F3145" s="7">
        <v>3</v>
      </c>
      <c r="G3145" s="7">
        <v>0</v>
      </c>
      <c r="H3145" s="7">
        <v>0</v>
      </c>
      <c r="I3145" s="7">
        <v>0</v>
      </c>
      <c r="J3145" s="7">
        <v>0</v>
      </c>
      <c r="K3145">
        <f t="shared" si="48"/>
        <v>62</v>
      </c>
      <c r="L3145" s="8" t="str" cm="1">
        <f t="array" ref="L3145">_xlfn.IFS(
 AND(K3145&gt;=89,K3145&lt;=92),"3개월",
 AND(K3145&gt;=58,K3145&lt;=62),"2개월",
 AND(K3145&gt;=28,K3145&lt;=32),"1개월",
 AND(K3145=0),"당월",
 TRUE,"그외"
)</f>
        <v>2개월</v>
      </c>
    </row>
    <row r="3146" spans="1:12" x14ac:dyDescent="0.3">
      <c r="A3146" s="5">
        <v>46054</v>
      </c>
      <c r="B3146" s="6" t="s">
        <v>60</v>
      </c>
      <c r="C3146" s="6" t="s">
        <v>117</v>
      </c>
      <c r="D3146" s="5">
        <v>46023</v>
      </c>
      <c r="E3146" s="6" t="s">
        <v>14</v>
      </c>
      <c r="F3146" s="7">
        <v>240</v>
      </c>
      <c r="G3146" s="7">
        <v>491666.66666666669</v>
      </c>
      <c r="H3146" s="7">
        <v>118000000</v>
      </c>
      <c r="I3146" s="7">
        <v>0</v>
      </c>
      <c r="J3146" s="7">
        <v>0</v>
      </c>
      <c r="K3146">
        <f t="shared" ref="K3146:K3209" si="49">A3146-D3146</f>
        <v>31</v>
      </c>
      <c r="L3146" s="8" t="str" cm="1">
        <f t="array" ref="L3146">_xlfn.IFS(
 AND(K3146&gt;=89,K3146&lt;=92),"3개월",
 AND(K3146&gt;=58,K3146&lt;=62),"2개월",
 AND(K3146&gt;=28,K3146&lt;=32),"1개월",
 AND(K3146=0),"당월",
 TRUE,"그외"
)</f>
        <v>1개월</v>
      </c>
    </row>
    <row r="3147" spans="1:12" x14ac:dyDescent="0.3">
      <c r="A3147" s="5">
        <v>46054</v>
      </c>
      <c r="B3147" s="6" t="s">
        <v>60</v>
      </c>
      <c r="C3147" s="6" t="s">
        <v>117</v>
      </c>
      <c r="D3147" s="5">
        <v>46023</v>
      </c>
      <c r="E3147" s="6" t="s">
        <v>15</v>
      </c>
      <c r="F3147" s="7">
        <v>33</v>
      </c>
      <c r="G3147" s="7">
        <v>0</v>
      </c>
      <c r="H3147" s="7">
        <v>0</v>
      </c>
      <c r="I3147" s="7">
        <v>0</v>
      </c>
      <c r="J3147" s="7">
        <v>0</v>
      </c>
      <c r="K3147">
        <f t="shared" si="49"/>
        <v>31</v>
      </c>
      <c r="L3147" s="8" t="str" cm="1">
        <f t="array" ref="L3147">_xlfn.IFS(
 AND(K3147&gt;=89,K3147&lt;=92),"3개월",
 AND(K3147&gt;=58,K3147&lt;=62),"2개월",
 AND(K3147&gt;=28,K3147&lt;=32),"1개월",
 AND(K3147=0),"당월",
 TRUE,"그외"
)</f>
        <v>1개월</v>
      </c>
    </row>
    <row r="3148" spans="1:12" x14ac:dyDescent="0.3">
      <c r="A3148" s="5">
        <v>46054</v>
      </c>
      <c r="B3148" s="6" t="s">
        <v>60</v>
      </c>
      <c r="C3148" s="6" t="s">
        <v>117</v>
      </c>
      <c r="D3148" s="5">
        <v>46054</v>
      </c>
      <c r="E3148" s="6" t="s">
        <v>14</v>
      </c>
      <c r="F3148" s="7">
        <v>495</v>
      </c>
      <c r="G3148" s="7">
        <v>476767.67676767678</v>
      </c>
      <c r="H3148" s="7">
        <v>236000000</v>
      </c>
      <c r="I3148" s="7">
        <v>0</v>
      </c>
      <c r="J3148" s="7">
        <v>0</v>
      </c>
      <c r="K3148">
        <f t="shared" si="49"/>
        <v>0</v>
      </c>
      <c r="L3148" s="8" t="str" cm="1">
        <f t="array" ref="L3148">_xlfn.IFS(
 AND(K3148&gt;=89,K3148&lt;=92),"3개월",
 AND(K3148&gt;=58,K3148&lt;=62),"2개월",
 AND(K3148&gt;=28,K3148&lt;=32),"1개월",
 AND(K3148=0),"당월",
 TRUE,"그외"
)</f>
        <v>당월</v>
      </c>
    </row>
    <row r="3149" spans="1:12" x14ac:dyDescent="0.3">
      <c r="A3149" s="5">
        <v>46054</v>
      </c>
      <c r="B3149" s="6" t="s">
        <v>60</v>
      </c>
      <c r="C3149" s="6" t="s">
        <v>117</v>
      </c>
      <c r="D3149" s="5">
        <v>46054</v>
      </c>
      <c r="E3149" s="6" t="s">
        <v>15</v>
      </c>
      <c r="F3149" s="7">
        <v>4</v>
      </c>
      <c r="G3149" s="7">
        <v>0</v>
      </c>
      <c r="H3149" s="7">
        <v>0</v>
      </c>
      <c r="I3149" s="7">
        <v>0</v>
      </c>
      <c r="J3149" s="7">
        <v>0</v>
      </c>
      <c r="K3149">
        <f t="shared" si="49"/>
        <v>0</v>
      </c>
      <c r="L3149" s="8" t="str" cm="1">
        <f t="array" ref="L3149">_xlfn.IFS(
 AND(K3149&gt;=89,K3149&lt;=92),"3개월",
 AND(K3149&gt;=58,K3149&lt;=62),"2개월",
 AND(K3149&gt;=28,K3149&lt;=32),"1개월",
 AND(K3149=0),"당월",
 TRUE,"그외"
)</f>
        <v>당월</v>
      </c>
    </row>
    <row r="3150" spans="1:12" x14ac:dyDescent="0.3">
      <c r="A3150" s="5">
        <v>46054</v>
      </c>
      <c r="B3150" s="6" t="s">
        <v>75</v>
      </c>
      <c r="C3150" s="6" t="s">
        <v>76</v>
      </c>
      <c r="D3150" s="5">
        <v>45839</v>
      </c>
      <c r="E3150" s="6" t="s">
        <v>15</v>
      </c>
      <c r="F3150" s="7">
        <v>6</v>
      </c>
      <c r="G3150" s="7">
        <v>380833.33333333331</v>
      </c>
      <c r="H3150" s="7">
        <v>2285000</v>
      </c>
      <c r="I3150" s="7">
        <v>99000</v>
      </c>
      <c r="J3150" s="7">
        <v>0</v>
      </c>
      <c r="K3150">
        <f t="shared" si="49"/>
        <v>215</v>
      </c>
      <c r="L3150" s="8" t="str" cm="1">
        <f t="array" ref="L3150">_xlfn.IFS(
 AND(K3150&gt;=89,K3150&lt;=92),"3개월",
 AND(K3150&gt;=58,K3150&lt;=62),"2개월",
 AND(K3150&gt;=28,K3150&lt;=32),"1개월",
 AND(K3150=0),"당월",
 TRUE,"그외"
)</f>
        <v>그외</v>
      </c>
    </row>
    <row r="3151" spans="1:12" x14ac:dyDescent="0.3">
      <c r="A3151" s="5">
        <v>46054</v>
      </c>
      <c r="B3151" s="6" t="s">
        <v>75</v>
      </c>
      <c r="C3151" s="6" t="s">
        <v>76</v>
      </c>
      <c r="D3151" s="5">
        <v>45870</v>
      </c>
      <c r="E3151" s="6" t="s">
        <v>15</v>
      </c>
      <c r="F3151" s="7">
        <v>16</v>
      </c>
      <c r="G3151" s="7">
        <v>391406.25</v>
      </c>
      <c r="H3151" s="7">
        <v>6262500</v>
      </c>
      <c r="I3151" s="7">
        <v>416000</v>
      </c>
      <c r="J3151" s="7">
        <v>0</v>
      </c>
      <c r="K3151">
        <f t="shared" si="49"/>
        <v>184</v>
      </c>
      <c r="L3151" s="8" t="str" cm="1">
        <f t="array" ref="L3151">_xlfn.IFS(
 AND(K3151&gt;=89,K3151&lt;=92),"3개월",
 AND(K3151&gt;=58,K3151&lt;=62),"2개월",
 AND(K3151&gt;=28,K3151&lt;=32),"1개월",
 AND(K3151=0),"당월",
 TRUE,"그외"
)</f>
        <v>그외</v>
      </c>
    </row>
    <row r="3152" spans="1:12" x14ac:dyDescent="0.3">
      <c r="A3152" s="5">
        <v>46054</v>
      </c>
      <c r="B3152" s="6" t="s">
        <v>75</v>
      </c>
      <c r="C3152" s="6" t="s">
        <v>76</v>
      </c>
      <c r="D3152" s="5">
        <v>45901</v>
      </c>
      <c r="E3152" s="6" t="s">
        <v>15</v>
      </c>
      <c r="F3152" s="7">
        <v>2</v>
      </c>
      <c r="G3152" s="7">
        <v>444300</v>
      </c>
      <c r="H3152" s="7">
        <v>888600</v>
      </c>
      <c r="I3152" s="7">
        <v>52600</v>
      </c>
      <c r="J3152" s="7">
        <v>0</v>
      </c>
      <c r="K3152">
        <f t="shared" si="49"/>
        <v>153</v>
      </c>
      <c r="L3152" s="8" t="str" cm="1">
        <f t="array" ref="L3152">_xlfn.IFS(
 AND(K3152&gt;=89,K3152&lt;=92),"3개월",
 AND(K3152&gt;=58,K3152&lt;=62),"2개월",
 AND(K3152&gt;=28,K3152&lt;=32),"1개월",
 AND(K3152=0),"당월",
 TRUE,"그외"
)</f>
        <v>그외</v>
      </c>
    </row>
    <row r="3153" spans="1:12" x14ac:dyDescent="0.3">
      <c r="A3153" s="5">
        <v>46054</v>
      </c>
      <c r="B3153" s="6" t="s">
        <v>75</v>
      </c>
      <c r="C3153" s="6" t="s">
        <v>76</v>
      </c>
      <c r="D3153" s="5">
        <v>45931</v>
      </c>
      <c r="E3153" s="6" t="s">
        <v>15</v>
      </c>
      <c r="F3153" s="7">
        <v>14</v>
      </c>
      <c r="G3153" s="7">
        <v>399007.14285714278</v>
      </c>
      <c r="H3153" s="7">
        <v>5586100</v>
      </c>
      <c r="I3153" s="7">
        <v>369600</v>
      </c>
      <c r="J3153" s="7">
        <v>0</v>
      </c>
      <c r="K3153">
        <f t="shared" si="49"/>
        <v>123</v>
      </c>
      <c r="L3153" s="8" t="str" cm="1">
        <f t="array" ref="L3153">_xlfn.IFS(
 AND(K3153&gt;=89,K3153&lt;=92),"3개월",
 AND(K3153&gt;=58,K3153&lt;=62),"2개월",
 AND(K3153&gt;=28,K3153&lt;=32),"1개월",
 AND(K3153=0),"당월",
 TRUE,"그외"
)</f>
        <v>그외</v>
      </c>
    </row>
    <row r="3154" spans="1:12" x14ac:dyDescent="0.3">
      <c r="A3154" s="5">
        <v>46054</v>
      </c>
      <c r="B3154" s="6" t="s">
        <v>75</v>
      </c>
      <c r="C3154" s="6" t="s">
        <v>76</v>
      </c>
      <c r="D3154" s="5">
        <v>45962</v>
      </c>
      <c r="E3154" s="6" t="s">
        <v>15</v>
      </c>
      <c r="F3154" s="7">
        <v>20</v>
      </c>
      <c r="G3154" s="7">
        <v>391750</v>
      </c>
      <c r="H3154" s="7">
        <v>7835000</v>
      </c>
      <c r="I3154" s="7">
        <v>534000</v>
      </c>
      <c r="J3154" s="7">
        <v>0</v>
      </c>
      <c r="K3154">
        <f t="shared" si="49"/>
        <v>92</v>
      </c>
      <c r="L3154" s="8" t="str" cm="1">
        <f t="array" ref="L3154">_xlfn.IFS(
 AND(K3154&gt;=89,K3154&lt;=92),"3개월",
 AND(K3154&gt;=58,K3154&lt;=62),"2개월",
 AND(K3154&gt;=28,K3154&lt;=32),"1개월",
 AND(K3154=0),"당월",
 TRUE,"그외"
)</f>
        <v>3개월</v>
      </c>
    </row>
    <row r="3155" spans="1:12" x14ac:dyDescent="0.3">
      <c r="A3155" s="5">
        <v>46054</v>
      </c>
      <c r="B3155" s="6" t="s">
        <v>75</v>
      </c>
      <c r="C3155" s="6" t="s">
        <v>76</v>
      </c>
      <c r="D3155" s="5">
        <v>45992</v>
      </c>
      <c r="E3155" s="6" t="s">
        <v>15</v>
      </c>
      <c r="F3155" s="7">
        <v>2</v>
      </c>
      <c r="G3155" s="7">
        <v>361700</v>
      </c>
      <c r="H3155" s="7">
        <v>723400</v>
      </c>
      <c r="I3155" s="7">
        <v>63400</v>
      </c>
      <c r="J3155" s="7">
        <v>0</v>
      </c>
      <c r="K3155">
        <f t="shared" si="49"/>
        <v>62</v>
      </c>
      <c r="L3155" s="8" t="str" cm="1">
        <f t="array" ref="L3155">_xlfn.IFS(
 AND(K3155&gt;=89,K3155&lt;=92),"3개월",
 AND(K3155&gt;=58,K3155&lt;=62),"2개월",
 AND(K3155&gt;=28,K3155&lt;=32),"1개월",
 AND(K3155=0),"당월",
 TRUE,"그외"
)</f>
        <v>2개월</v>
      </c>
    </row>
    <row r="3156" spans="1:12" x14ac:dyDescent="0.3">
      <c r="A3156" s="5">
        <v>46054</v>
      </c>
      <c r="B3156" s="6" t="s">
        <v>75</v>
      </c>
      <c r="C3156" s="6" t="s">
        <v>76</v>
      </c>
      <c r="D3156" s="5">
        <v>46023</v>
      </c>
      <c r="E3156" s="6" t="s">
        <v>15</v>
      </c>
      <c r="F3156" s="7">
        <v>36</v>
      </c>
      <c r="G3156" s="7">
        <v>360041.66666666669</v>
      </c>
      <c r="H3156" s="7">
        <v>12961500</v>
      </c>
      <c r="I3156" s="7">
        <v>1161000</v>
      </c>
      <c r="J3156" s="7">
        <v>0</v>
      </c>
      <c r="K3156">
        <f t="shared" si="49"/>
        <v>31</v>
      </c>
      <c r="L3156" s="8" t="str" cm="1">
        <f t="array" ref="L3156">_xlfn.IFS(
 AND(K3156&gt;=89,K3156&lt;=92),"3개월",
 AND(K3156&gt;=58,K3156&lt;=62),"2개월",
 AND(K3156&gt;=28,K3156&lt;=32),"1개월",
 AND(K3156=0),"당월",
 TRUE,"그외"
)</f>
        <v>1개월</v>
      </c>
    </row>
    <row r="3157" spans="1:12" x14ac:dyDescent="0.3">
      <c r="A3157" s="5">
        <v>46054</v>
      </c>
      <c r="B3157" s="6" t="s">
        <v>75</v>
      </c>
      <c r="C3157" s="6" t="s">
        <v>76</v>
      </c>
      <c r="D3157" s="5">
        <v>46054</v>
      </c>
      <c r="E3157" s="6" t="s">
        <v>15</v>
      </c>
      <c r="F3157" s="7">
        <v>5</v>
      </c>
      <c r="G3157" s="7">
        <v>419980</v>
      </c>
      <c r="H3157" s="7">
        <v>2099900</v>
      </c>
      <c r="I3157" s="7">
        <v>114400</v>
      </c>
      <c r="J3157" s="7">
        <v>0</v>
      </c>
      <c r="K3157">
        <f t="shared" si="49"/>
        <v>0</v>
      </c>
      <c r="L3157" s="8" t="str" cm="1">
        <f t="array" ref="L3157">_xlfn.IFS(
 AND(K3157&gt;=89,K3157&lt;=92),"3개월",
 AND(K3157&gt;=58,K3157&lt;=62),"2개월",
 AND(K3157&gt;=28,K3157&lt;=32),"1개월",
 AND(K3157=0),"당월",
 TRUE,"그외"
)</f>
        <v>당월</v>
      </c>
    </row>
    <row r="3158" spans="1:12" x14ac:dyDescent="0.3">
      <c r="A3158" s="5">
        <v>46054</v>
      </c>
      <c r="B3158" s="6" t="s">
        <v>75</v>
      </c>
      <c r="C3158" s="6" t="s">
        <v>77</v>
      </c>
      <c r="D3158" s="5">
        <v>45839</v>
      </c>
      <c r="E3158" s="6" t="s">
        <v>15</v>
      </c>
      <c r="F3158" s="7">
        <v>19</v>
      </c>
      <c r="G3158" s="7">
        <v>287726.31578947371</v>
      </c>
      <c r="H3158" s="7">
        <v>5466800</v>
      </c>
      <c r="I3158" s="7">
        <v>1739095</v>
      </c>
      <c r="J3158" s="7">
        <v>0</v>
      </c>
      <c r="K3158">
        <f t="shared" si="49"/>
        <v>215</v>
      </c>
      <c r="L3158" s="8" t="str" cm="1">
        <f t="array" ref="L3158">_xlfn.IFS(
 AND(K3158&gt;=89,K3158&lt;=92),"3개월",
 AND(K3158&gt;=58,K3158&lt;=62),"2개월",
 AND(K3158&gt;=28,K3158&lt;=32),"1개월",
 AND(K3158=0),"당월",
 TRUE,"그외"
)</f>
        <v>그외</v>
      </c>
    </row>
    <row r="3159" spans="1:12" x14ac:dyDescent="0.3">
      <c r="A3159" s="5">
        <v>46054</v>
      </c>
      <c r="B3159" s="6" t="s">
        <v>75</v>
      </c>
      <c r="C3159" s="6" t="s">
        <v>77</v>
      </c>
      <c r="D3159" s="5">
        <v>45870</v>
      </c>
      <c r="E3159" s="6" t="s">
        <v>15</v>
      </c>
      <c r="F3159" s="7">
        <v>35</v>
      </c>
      <c r="G3159" s="7">
        <v>348095.45714285708</v>
      </c>
      <c r="H3159" s="7">
        <v>12183341</v>
      </c>
      <c r="I3159" s="7">
        <v>2352810</v>
      </c>
      <c r="J3159" s="7">
        <v>0</v>
      </c>
      <c r="K3159">
        <f t="shared" si="49"/>
        <v>184</v>
      </c>
      <c r="L3159" s="8" t="str" cm="1">
        <f t="array" ref="L3159">_xlfn.IFS(
 AND(K3159&gt;=89,K3159&lt;=92),"3개월",
 AND(K3159&gt;=58,K3159&lt;=62),"2개월",
 AND(K3159&gt;=28,K3159&lt;=32),"1개월",
 AND(K3159=0),"당월",
 TRUE,"그외"
)</f>
        <v>그외</v>
      </c>
    </row>
    <row r="3160" spans="1:12" x14ac:dyDescent="0.3">
      <c r="A3160" s="5">
        <v>46054</v>
      </c>
      <c r="B3160" s="6" t="s">
        <v>75</v>
      </c>
      <c r="C3160" s="6" t="s">
        <v>77</v>
      </c>
      <c r="D3160" s="5">
        <v>45901</v>
      </c>
      <c r="E3160" s="6" t="s">
        <v>14</v>
      </c>
      <c r="F3160" s="7">
        <v>12</v>
      </c>
      <c r="G3160" s="7">
        <v>201763</v>
      </c>
      <c r="H3160" s="7">
        <v>2421156</v>
      </c>
      <c r="I3160" s="7">
        <v>259560</v>
      </c>
      <c r="J3160" s="7">
        <v>0</v>
      </c>
      <c r="K3160">
        <f t="shared" si="49"/>
        <v>153</v>
      </c>
      <c r="L3160" s="8" t="str" cm="1">
        <f t="array" ref="L3160">_xlfn.IFS(
 AND(K3160&gt;=89,K3160&lt;=92),"3개월",
 AND(K3160&gt;=58,K3160&lt;=62),"2개월",
 AND(K3160&gt;=28,K3160&lt;=32),"1개월",
 AND(K3160=0),"당월",
 TRUE,"그외"
)</f>
        <v>그외</v>
      </c>
    </row>
    <row r="3161" spans="1:12" x14ac:dyDescent="0.3">
      <c r="A3161" s="5">
        <v>46054</v>
      </c>
      <c r="B3161" s="6" t="s">
        <v>75</v>
      </c>
      <c r="C3161" s="6" t="s">
        <v>77</v>
      </c>
      <c r="D3161" s="5">
        <v>45901</v>
      </c>
      <c r="E3161" s="6" t="s">
        <v>15</v>
      </c>
      <c r="F3161" s="7">
        <v>250</v>
      </c>
      <c r="G3161" s="7">
        <v>277434.408</v>
      </c>
      <c r="H3161" s="7">
        <v>69358602</v>
      </c>
      <c r="I3161" s="7">
        <v>8462205</v>
      </c>
      <c r="J3161" s="7">
        <v>0</v>
      </c>
      <c r="K3161">
        <f t="shared" si="49"/>
        <v>153</v>
      </c>
      <c r="L3161" s="8" t="str" cm="1">
        <f t="array" ref="L3161">_xlfn.IFS(
 AND(K3161&gt;=89,K3161&lt;=92),"3개월",
 AND(K3161&gt;=58,K3161&lt;=62),"2개월",
 AND(K3161&gt;=28,K3161&lt;=32),"1개월",
 AND(K3161=0),"당월",
 TRUE,"그외"
)</f>
        <v>그외</v>
      </c>
    </row>
    <row r="3162" spans="1:12" x14ac:dyDescent="0.3">
      <c r="A3162" s="5">
        <v>46054</v>
      </c>
      <c r="B3162" s="6" t="s">
        <v>75</v>
      </c>
      <c r="C3162" s="6" t="s">
        <v>77</v>
      </c>
      <c r="D3162" s="5">
        <v>45931</v>
      </c>
      <c r="E3162" s="6" t="s">
        <v>14</v>
      </c>
      <c r="F3162" s="7">
        <v>1</v>
      </c>
      <c r="G3162" s="7">
        <v>215675</v>
      </c>
      <c r="H3162" s="7">
        <v>215675</v>
      </c>
      <c r="I3162" s="7">
        <v>75022</v>
      </c>
      <c r="J3162" s="7">
        <v>0</v>
      </c>
      <c r="K3162">
        <f t="shared" si="49"/>
        <v>123</v>
      </c>
      <c r="L3162" s="8" t="str" cm="1">
        <f t="array" ref="L3162">_xlfn.IFS(
 AND(K3162&gt;=89,K3162&lt;=92),"3개월",
 AND(K3162&gt;=58,K3162&lt;=62),"2개월",
 AND(K3162&gt;=28,K3162&lt;=32),"1개월",
 AND(K3162=0),"당월",
 TRUE,"그외"
)</f>
        <v>그외</v>
      </c>
    </row>
    <row r="3163" spans="1:12" x14ac:dyDescent="0.3">
      <c r="A3163" s="5">
        <v>46054</v>
      </c>
      <c r="B3163" s="6" t="s">
        <v>75</v>
      </c>
      <c r="C3163" s="6" t="s">
        <v>77</v>
      </c>
      <c r="D3163" s="5">
        <v>45931</v>
      </c>
      <c r="E3163" s="6" t="s">
        <v>15</v>
      </c>
      <c r="F3163" s="7">
        <v>374</v>
      </c>
      <c r="G3163" s="7">
        <v>315294.14438502671</v>
      </c>
      <c r="H3163" s="7">
        <v>117920010</v>
      </c>
      <c r="I3163" s="7">
        <v>28262499</v>
      </c>
      <c r="J3163" s="7">
        <v>0</v>
      </c>
      <c r="K3163">
        <f t="shared" si="49"/>
        <v>123</v>
      </c>
      <c r="L3163" s="8" t="str" cm="1">
        <f t="array" ref="L3163">_xlfn.IFS(
 AND(K3163&gt;=89,K3163&lt;=92),"3개월",
 AND(K3163&gt;=58,K3163&lt;=62),"2개월",
 AND(K3163&gt;=28,K3163&lt;=32),"1개월",
 AND(K3163=0),"당월",
 TRUE,"그외"
)</f>
        <v>그외</v>
      </c>
    </row>
    <row r="3164" spans="1:12" x14ac:dyDescent="0.3">
      <c r="A3164" s="5">
        <v>46054</v>
      </c>
      <c r="B3164" s="6" t="s">
        <v>75</v>
      </c>
      <c r="C3164" s="6" t="s">
        <v>77</v>
      </c>
      <c r="D3164" s="5">
        <v>45962</v>
      </c>
      <c r="E3164" s="6" t="s">
        <v>14</v>
      </c>
      <c r="F3164" s="7">
        <v>18</v>
      </c>
      <c r="G3164" s="7">
        <v>275355.55555555562</v>
      </c>
      <c r="H3164" s="7">
        <v>4956400</v>
      </c>
      <c r="I3164" s="7">
        <v>1351094</v>
      </c>
      <c r="J3164" s="7">
        <v>0</v>
      </c>
      <c r="K3164">
        <f t="shared" si="49"/>
        <v>92</v>
      </c>
      <c r="L3164" s="8" t="str" cm="1">
        <f t="array" ref="L3164">_xlfn.IFS(
 AND(K3164&gt;=89,K3164&lt;=92),"3개월",
 AND(K3164&gt;=58,K3164&lt;=62),"2개월",
 AND(K3164&gt;=28,K3164&lt;=32),"1개월",
 AND(K3164=0),"당월",
 TRUE,"그외"
)</f>
        <v>3개월</v>
      </c>
    </row>
    <row r="3165" spans="1:12" x14ac:dyDescent="0.3">
      <c r="A3165" s="5">
        <v>46054</v>
      </c>
      <c r="B3165" s="6" t="s">
        <v>75</v>
      </c>
      <c r="C3165" s="6" t="s">
        <v>77</v>
      </c>
      <c r="D3165" s="5">
        <v>45962</v>
      </c>
      <c r="E3165" s="6" t="s">
        <v>15</v>
      </c>
      <c r="F3165" s="7">
        <v>598</v>
      </c>
      <c r="G3165" s="7">
        <v>340578.39966555178</v>
      </c>
      <c r="H3165" s="7">
        <v>203665883</v>
      </c>
      <c r="I3165" s="7">
        <v>44918376</v>
      </c>
      <c r="J3165" s="7">
        <v>0</v>
      </c>
      <c r="K3165">
        <f t="shared" si="49"/>
        <v>92</v>
      </c>
      <c r="L3165" s="8" t="str" cm="1">
        <f t="array" ref="L3165">_xlfn.IFS(
 AND(K3165&gt;=89,K3165&lt;=92),"3개월",
 AND(K3165&gt;=58,K3165&lt;=62),"2개월",
 AND(K3165&gt;=28,K3165&lt;=32),"1개월",
 AND(K3165=0),"당월",
 TRUE,"그외"
)</f>
        <v>3개월</v>
      </c>
    </row>
    <row r="3166" spans="1:12" x14ac:dyDescent="0.3">
      <c r="A3166" s="5">
        <v>46054</v>
      </c>
      <c r="B3166" s="6" t="s">
        <v>75</v>
      </c>
      <c r="C3166" s="6" t="s">
        <v>77</v>
      </c>
      <c r="D3166" s="5">
        <v>45992</v>
      </c>
      <c r="E3166" s="6" t="s">
        <v>14</v>
      </c>
      <c r="F3166" s="7">
        <v>402</v>
      </c>
      <c r="G3166" s="7">
        <v>269338.75373134331</v>
      </c>
      <c r="H3166" s="7">
        <v>108274179</v>
      </c>
      <c r="I3166" s="7">
        <v>30193752</v>
      </c>
      <c r="J3166" s="7">
        <v>0</v>
      </c>
      <c r="K3166">
        <f t="shared" si="49"/>
        <v>62</v>
      </c>
      <c r="L3166" s="8" t="str" cm="1">
        <f t="array" ref="L3166">_xlfn.IFS(
 AND(K3166&gt;=89,K3166&lt;=92),"3개월",
 AND(K3166&gt;=58,K3166&lt;=62),"2개월",
 AND(K3166&gt;=28,K3166&lt;=32),"1개월",
 AND(K3166=0),"당월",
 TRUE,"그외"
)</f>
        <v>2개월</v>
      </c>
    </row>
    <row r="3167" spans="1:12" x14ac:dyDescent="0.3">
      <c r="A3167" s="5">
        <v>46054</v>
      </c>
      <c r="B3167" s="6" t="s">
        <v>75</v>
      </c>
      <c r="C3167" s="6" t="s">
        <v>77</v>
      </c>
      <c r="D3167" s="5">
        <v>45992</v>
      </c>
      <c r="E3167" s="6" t="s">
        <v>15</v>
      </c>
      <c r="F3167" s="7">
        <v>907</v>
      </c>
      <c r="G3167" s="7">
        <v>360125.07607497252</v>
      </c>
      <c r="H3167" s="7">
        <v>326633444</v>
      </c>
      <c r="I3167" s="7">
        <v>68420839</v>
      </c>
      <c r="J3167" s="7">
        <v>0</v>
      </c>
      <c r="K3167">
        <f t="shared" si="49"/>
        <v>62</v>
      </c>
      <c r="L3167" s="8" t="str" cm="1">
        <f t="array" ref="L3167">_xlfn.IFS(
 AND(K3167&gt;=89,K3167&lt;=92),"3개월",
 AND(K3167&gt;=58,K3167&lt;=62),"2개월",
 AND(K3167&gt;=28,K3167&lt;=32),"1개월",
 AND(K3167=0),"당월",
 TRUE,"그외"
)</f>
        <v>2개월</v>
      </c>
    </row>
    <row r="3168" spans="1:12" x14ac:dyDescent="0.3">
      <c r="A3168" s="5">
        <v>46054</v>
      </c>
      <c r="B3168" s="6" t="s">
        <v>75</v>
      </c>
      <c r="C3168" s="6" t="s">
        <v>77</v>
      </c>
      <c r="D3168" s="5">
        <v>46023</v>
      </c>
      <c r="E3168" s="6" t="s">
        <v>14</v>
      </c>
      <c r="F3168" s="7">
        <v>2709</v>
      </c>
      <c r="G3168" s="7">
        <v>333219.97009966779</v>
      </c>
      <c r="H3168" s="7">
        <v>902692899</v>
      </c>
      <c r="I3168" s="7">
        <v>201211829</v>
      </c>
      <c r="J3168" s="7">
        <v>0</v>
      </c>
      <c r="K3168">
        <f t="shared" si="49"/>
        <v>31</v>
      </c>
      <c r="L3168" s="8" t="str" cm="1">
        <f t="array" ref="L3168">_xlfn.IFS(
 AND(K3168&gt;=89,K3168&lt;=92),"3개월",
 AND(K3168&gt;=58,K3168&lt;=62),"2개월",
 AND(K3168&gt;=28,K3168&lt;=32),"1개월",
 AND(K3168=0),"당월",
 TRUE,"그외"
)</f>
        <v>1개월</v>
      </c>
    </row>
    <row r="3169" spans="1:12" x14ac:dyDescent="0.3">
      <c r="A3169" s="5">
        <v>46054</v>
      </c>
      <c r="B3169" s="6" t="s">
        <v>75</v>
      </c>
      <c r="C3169" s="6" t="s">
        <v>77</v>
      </c>
      <c r="D3169" s="5">
        <v>46023</v>
      </c>
      <c r="E3169" s="6" t="s">
        <v>15</v>
      </c>
      <c r="F3169" s="7">
        <v>2138</v>
      </c>
      <c r="G3169" s="7">
        <v>274937.39943872782</v>
      </c>
      <c r="H3169" s="7">
        <v>587816160</v>
      </c>
      <c r="I3169" s="7">
        <v>156942465</v>
      </c>
      <c r="J3169" s="7">
        <v>0</v>
      </c>
      <c r="K3169">
        <f t="shared" si="49"/>
        <v>31</v>
      </c>
      <c r="L3169" s="8" t="str" cm="1">
        <f t="array" ref="L3169">_xlfn.IFS(
 AND(K3169&gt;=89,K3169&lt;=92),"3개월",
 AND(K3169&gt;=58,K3169&lt;=62),"2개월",
 AND(K3169&gt;=28,K3169&lt;=32),"1개월",
 AND(K3169=0),"당월",
 TRUE,"그외"
)</f>
        <v>1개월</v>
      </c>
    </row>
    <row r="3170" spans="1:12" x14ac:dyDescent="0.3">
      <c r="A3170" s="5">
        <v>46054</v>
      </c>
      <c r="B3170" s="6" t="s">
        <v>75</v>
      </c>
      <c r="C3170" s="6" t="s">
        <v>77</v>
      </c>
      <c r="D3170" s="5">
        <v>46054</v>
      </c>
      <c r="E3170" s="6" t="s">
        <v>14</v>
      </c>
      <c r="F3170" s="7">
        <v>111</v>
      </c>
      <c r="G3170" s="7">
        <v>308490.09909909911</v>
      </c>
      <c r="H3170" s="7">
        <v>34242401</v>
      </c>
      <c r="I3170" s="7">
        <v>9717013</v>
      </c>
      <c r="J3170" s="7">
        <v>0</v>
      </c>
      <c r="K3170">
        <f t="shared" si="49"/>
        <v>0</v>
      </c>
      <c r="L3170" s="8" t="str" cm="1">
        <f t="array" ref="L3170">_xlfn.IFS(
 AND(K3170&gt;=89,K3170&lt;=92),"3개월",
 AND(K3170&gt;=58,K3170&lt;=62),"2개월",
 AND(K3170&gt;=28,K3170&lt;=32),"1개월",
 AND(K3170=0),"당월",
 TRUE,"그외"
)</f>
        <v>당월</v>
      </c>
    </row>
    <row r="3171" spans="1:12" x14ac:dyDescent="0.3">
      <c r="A3171" s="5">
        <v>46054</v>
      </c>
      <c r="B3171" s="6" t="s">
        <v>75</v>
      </c>
      <c r="C3171" s="6" t="s">
        <v>77</v>
      </c>
      <c r="D3171" s="5">
        <v>46054</v>
      </c>
      <c r="E3171" s="6" t="s">
        <v>15</v>
      </c>
      <c r="F3171" s="7">
        <v>373</v>
      </c>
      <c r="G3171" s="7">
        <v>384024.63538873987</v>
      </c>
      <c r="H3171" s="7">
        <v>143241189</v>
      </c>
      <c r="I3171" s="7">
        <v>31425871</v>
      </c>
      <c r="J3171" s="7">
        <v>0</v>
      </c>
      <c r="K3171">
        <f t="shared" si="49"/>
        <v>0</v>
      </c>
      <c r="L3171" s="8" t="str" cm="1">
        <f t="array" ref="L3171">_xlfn.IFS(
 AND(K3171&gt;=89,K3171&lt;=92),"3개월",
 AND(K3171&gt;=58,K3171&lt;=62),"2개월",
 AND(K3171&gt;=28,K3171&lt;=32),"1개월",
 AND(K3171=0),"당월",
 TRUE,"그외"
)</f>
        <v>당월</v>
      </c>
    </row>
    <row r="3172" spans="1:12" x14ac:dyDescent="0.3">
      <c r="A3172" s="5">
        <v>46054</v>
      </c>
      <c r="B3172" s="6" t="s">
        <v>75</v>
      </c>
      <c r="C3172" s="6" t="s">
        <v>78</v>
      </c>
      <c r="D3172" s="5">
        <v>46023</v>
      </c>
      <c r="E3172" s="6" t="s">
        <v>14</v>
      </c>
      <c r="F3172" s="7">
        <v>312</v>
      </c>
      <c r="G3172" s="7">
        <v>249145.59615384621</v>
      </c>
      <c r="H3172" s="7">
        <v>77733426</v>
      </c>
      <c r="I3172" s="7">
        <v>0</v>
      </c>
      <c r="J3172" s="7">
        <v>0</v>
      </c>
      <c r="K3172">
        <f t="shared" si="49"/>
        <v>31</v>
      </c>
      <c r="L3172" s="8" t="str" cm="1">
        <f t="array" ref="L3172">_xlfn.IFS(
 AND(K3172&gt;=89,K3172&lt;=92),"3개월",
 AND(K3172&gt;=58,K3172&lt;=62),"2개월",
 AND(K3172&gt;=28,K3172&lt;=32),"1개월",
 AND(K3172=0),"당월",
 TRUE,"그외"
)</f>
        <v>1개월</v>
      </c>
    </row>
    <row r="3173" spans="1:12" x14ac:dyDescent="0.3">
      <c r="A3173" s="5">
        <v>46054</v>
      </c>
      <c r="B3173" s="6" t="s">
        <v>75</v>
      </c>
      <c r="C3173" s="6" t="s">
        <v>78</v>
      </c>
      <c r="D3173" s="5">
        <v>46023</v>
      </c>
      <c r="E3173" s="6" t="s">
        <v>15</v>
      </c>
      <c r="F3173" s="7">
        <v>1032</v>
      </c>
      <c r="G3173" s="7">
        <v>89849.374031007756</v>
      </c>
      <c r="H3173" s="7">
        <v>92724554</v>
      </c>
      <c r="I3173" s="7">
        <v>0</v>
      </c>
      <c r="J3173" s="7">
        <v>0</v>
      </c>
      <c r="K3173">
        <f t="shared" si="49"/>
        <v>31</v>
      </c>
      <c r="L3173" s="8" t="str" cm="1">
        <f t="array" ref="L3173">_xlfn.IFS(
 AND(K3173&gt;=89,K3173&lt;=92),"3개월",
 AND(K3173&gt;=58,K3173&lt;=62),"2개월",
 AND(K3173&gt;=28,K3173&lt;=32),"1개월",
 AND(K3173=0),"당월",
 TRUE,"그외"
)</f>
        <v>1개월</v>
      </c>
    </row>
    <row r="3174" spans="1:12" x14ac:dyDescent="0.3">
      <c r="A3174" s="5">
        <v>46054</v>
      </c>
      <c r="B3174" s="6" t="s">
        <v>75</v>
      </c>
      <c r="C3174" s="6" t="s">
        <v>78</v>
      </c>
      <c r="D3174" s="5">
        <v>46054</v>
      </c>
      <c r="E3174" s="6" t="s">
        <v>14</v>
      </c>
      <c r="F3174" s="7">
        <v>1039</v>
      </c>
      <c r="G3174" s="7">
        <v>249025.7353224254</v>
      </c>
      <c r="H3174" s="7">
        <v>258737739</v>
      </c>
      <c r="I3174" s="7">
        <v>0</v>
      </c>
      <c r="J3174" s="7">
        <v>0</v>
      </c>
      <c r="K3174">
        <f t="shared" si="49"/>
        <v>0</v>
      </c>
      <c r="L3174" s="8" t="str" cm="1">
        <f t="array" ref="L3174">_xlfn.IFS(
 AND(K3174&gt;=89,K3174&lt;=92),"3개월",
 AND(K3174&gt;=58,K3174&lt;=62),"2개월",
 AND(K3174&gt;=28,K3174&lt;=32),"1개월",
 AND(K3174=0),"당월",
 TRUE,"그외"
)</f>
        <v>당월</v>
      </c>
    </row>
    <row r="3175" spans="1:12" x14ac:dyDescent="0.3">
      <c r="A3175" s="5">
        <v>46054</v>
      </c>
      <c r="B3175" s="6" t="s">
        <v>75</v>
      </c>
      <c r="C3175" s="6" t="s">
        <v>78</v>
      </c>
      <c r="D3175" s="5">
        <v>46054</v>
      </c>
      <c r="E3175" s="6" t="s">
        <v>15</v>
      </c>
      <c r="F3175" s="7">
        <v>4048</v>
      </c>
      <c r="G3175" s="7">
        <v>342594.33374505932</v>
      </c>
      <c r="H3175" s="7">
        <v>1386821863</v>
      </c>
      <c r="I3175" s="7">
        <v>0</v>
      </c>
      <c r="J3175" s="7">
        <v>0</v>
      </c>
      <c r="K3175">
        <f t="shared" si="49"/>
        <v>0</v>
      </c>
      <c r="L3175" s="8" t="str" cm="1">
        <f t="array" ref="L3175">_xlfn.IFS(
 AND(K3175&gt;=89,K3175&lt;=92),"3개월",
 AND(K3175&gt;=58,K3175&lt;=62),"2개월",
 AND(K3175&gt;=28,K3175&lt;=32),"1개월",
 AND(K3175=0),"당월",
 TRUE,"그외"
)</f>
        <v>당월</v>
      </c>
    </row>
    <row r="3176" spans="1:12" x14ac:dyDescent="0.3">
      <c r="A3176" s="5">
        <v>46054</v>
      </c>
      <c r="B3176" s="6" t="s">
        <v>75</v>
      </c>
      <c r="C3176" s="6" t="s">
        <v>79</v>
      </c>
      <c r="D3176" s="5">
        <v>45839</v>
      </c>
      <c r="E3176" s="6" t="s">
        <v>15</v>
      </c>
      <c r="F3176" s="7">
        <v>20</v>
      </c>
      <c r="G3176" s="7">
        <v>202620</v>
      </c>
      <c r="H3176" s="7">
        <v>4052400</v>
      </c>
      <c r="I3176" s="7">
        <v>330000</v>
      </c>
      <c r="J3176" s="7">
        <v>0</v>
      </c>
      <c r="K3176">
        <f t="shared" si="49"/>
        <v>215</v>
      </c>
      <c r="L3176" s="8" t="str" cm="1">
        <f t="array" ref="L3176">_xlfn.IFS(
 AND(K3176&gt;=89,K3176&lt;=92),"3개월",
 AND(K3176&gt;=58,K3176&lt;=62),"2개월",
 AND(K3176&gt;=28,K3176&lt;=32),"1개월",
 AND(K3176=0),"당월",
 TRUE,"그외"
)</f>
        <v>그외</v>
      </c>
    </row>
    <row r="3177" spans="1:12" x14ac:dyDescent="0.3">
      <c r="A3177" s="5">
        <v>46054</v>
      </c>
      <c r="B3177" s="6" t="s">
        <v>75</v>
      </c>
      <c r="C3177" s="6" t="s">
        <v>79</v>
      </c>
      <c r="D3177" s="5">
        <v>45870</v>
      </c>
      <c r="E3177" s="6" t="s">
        <v>15</v>
      </c>
      <c r="F3177" s="7">
        <v>37</v>
      </c>
      <c r="G3177" s="7">
        <v>197632.10810810811</v>
      </c>
      <c r="H3177" s="7">
        <v>7312388</v>
      </c>
      <c r="I3177" s="7">
        <v>962000</v>
      </c>
      <c r="J3177" s="7">
        <v>0</v>
      </c>
      <c r="K3177">
        <f t="shared" si="49"/>
        <v>184</v>
      </c>
      <c r="L3177" s="8" t="str" cm="1">
        <f t="array" ref="L3177">_xlfn.IFS(
 AND(K3177&gt;=89,K3177&lt;=92),"3개월",
 AND(K3177&gt;=58,K3177&lt;=62),"2개월",
 AND(K3177&gt;=28,K3177&lt;=32),"1개월",
 AND(K3177=0),"당월",
 TRUE,"그외"
)</f>
        <v>그외</v>
      </c>
    </row>
    <row r="3178" spans="1:12" x14ac:dyDescent="0.3">
      <c r="A3178" s="5">
        <v>46054</v>
      </c>
      <c r="B3178" s="6" t="s">
        <v>75</v>
      </c>
      <c r="C3178" s="6" t="s">
        <v>79</v>
      </c>
      <c r="D3178" s="5">
        <v>45901</v>
      </c>
      <c r="E3178" s="6" t="s">
        <v>15</v>
      </c>
      <c r="F3178" s="7">
        <v>90</v>
      </c>
      <c r="G3178" s="7">
        <v>218395.55555555559</v>
      </c>
      <c r="H3178" s="7">
        <v>19655600</v>
      </c>
      <c r="I3178" s="7">
        <v>2367000</v>
      </c>
      <c r="J3178" s="7">
        <v>0</v>
      </c>
      <c r="K3178">
        <f t="shared" si="49"/>
        <v>153</v>
      </c>
      <c r="L3178" s="8" t="str" cm="1">
        <f t="array" ref="L3178">_xlfn.IFS(
 AND(K3178&gt;=89,K3178&lt;=92),"3개월",
 AND(K3178&gt;=58,K3178&lt;=62),"2개월",
 AND(K3178&gt;=28,K3178&lt;=32),"1개월",
 AND(K3178=0),"당월",
 TRUE,"그외"
)</f>
        <v>그외</v>
      </c>
    </row>
    <row r="3179" spans="1:12" x14ac:dyDescent="0.3">
      <c r="A3179" s="5">
        <v>46054</v>
      </c>
      <c r="B3179" s="6" t="s">
        <v>75</v>
      </c>
      <c r="C3179" s="6" t="s">
        <v>79</v>
      </c>
      <c r="D3179" s="5">
        <v>45931</v>
      </c>
      <c r="E3179" s="6" t="s">
        <v>14</v>
      </c>
      <c r="F3179" s="7">
        <v>3</v>
      </c>
      <c r="G3179" s="7">
        <v>264733.33333333331</v>
      </c>
      <c r="H3179" s="7">
        <v>794200</v>
      </c>
      <c r="I3179" s="7">
        <v>79200</v>
      </c>
      <c r="J3179" s="7">
        <v>0</v>
      </c>
      <c r="K3179">
        <f t="shared" si="49"/>
        <v>123</v>
      </c>
      <c r="L3179" s="8" t="str" cm="1">
        <f t="array" ref="L3179">_xlfn.IFS(
 AND(K3179&gt;=89,K3179&lt;=92),"3개월",
 AND(K3179&gt;=58,K3179&lt;=62),"2개월",
 AND(K3179&gt;=28,K3179&lt;=32),"1개월",
 AND(K3179=0),"당월",
 TRUE,"그외"
)</f>
        <v>그외</v>
      </c>
    </row>
    <row r="3180" spans="1:12" x14ac:dyDescent="0.3">
      <c r="A3180" s="5">
        <v>46054</v>
      </c>
      <c r="B3180" s="6" t="s">
        <v>75</v>
      </c>
      <c r="C3180" s="6" t="s">
        <v>79</v>
      </c>
      <c r="D3180" s="5">
        <v>45931</v>
      </c>
      <c r="E3180" s="6" t="s">
        <v>15</v>
      </c>
      <c r="F3180" s="7">
        <v>59</v>
      </c>
      <c r="G3180" s="7">
        <v>226109.1525423729</v>
      </c>
      <c r="H3180" s="7">
        <v>13340440</v>
      </c>
      <c r="I3180" s="7">
        <v>1918496</v>
      </c>
      <c r="J3180" s="7">
        <v>0</v>
      </c>
      <c r="K3180">
        <f t="shared" si="49"/>
        <v>123</v>
      </c>
      <c r="L3180" s="8" t="str" cm="1">
        <f t="array" ref="L3180">_xlfn.IFS(
 AND(K3180&gt;=89,K3180&lt;=92),"3개월",
 AND(K3180&gt;=58,K3180&lt;=62),"2개월",
 AND(K3180&gt;=28,K3180&lt;=32),"1개월",
 AND(K3180=0),"당월",
 TRUE,"그외"
)</f>
        <v>그외</v>
      </c>
    </row>
    <row r="3181" spans="1:12" x14ac:dyDescent="0.3">
      <c r="A3181" s="5">
        <v>46054</v>
      </c>
      <c r="B3181" s="6" t="s">
        <v>75</v>
      </c>
      <c r="C3181" s="6" t="s">
        <v>79</v>
      </c>
      <c r="D3181" s="5">
        <v>45962</v>
      </c>
      <c r="E3181" s="6" t="s">
        <v>14</v>
      </c>
      <c r="F3181" s="7">
        <v>60</v>
      </c>
      <c r="G3181" s="7">
        <v>208158.33333333331</v>
      </c>
      <c r="H3181" s="7">
        <v>12489500</v>
      </c>
      <c r="I3181" s="7">
        <v>1600500</v>
      </c>
      <c r="J3181" s="7">
        <v>0</v>
      </c>
      <c r="K3181">
        <f t="shared" si="49"/>
        <v>92</v>
      </c>
      <c r="L3181" s="8" t="str" cm="1">
        <f t="array" ref="L3181">_xlfn.IFS(
 AND(K3181&gt;=89,K3181&lt;=92),"3개월",
 AND(K3181&gt;=58,K3181&lt;=62),"2개월",
 AND(K3181&gt;=28,K3181&lt;=32),"1개월",
 AND(K3181=0),"당월",
 TRUE,"그외"
)</f>
        <v>3개월</v>
      </c>
    </row>
    <row r="3182" spans="1:12" x14ac:dyDescent="0.3">
      <c r="A3182" s="5">
        <v>46054</v>
      </c>
      <c r="B3182" s="6" t="s">
        <v>75</v>
      </c>
      <c r="C3182" s="6" t="s">
        <v>79</v>
      </c>
      <c r="D3182" s="5">
        <v>45962</v>
      </c>
      <c r="E3182" s="6" t="s">
        <v>15</v>
      </c>
      <c r="F3182" s="7">
        <v>609</v>
      </c>
      <c r="G3182" s="7">
        <v>256014.84400656811</v>
      </c>
      <c r="H3182" s="7">
        <v>155913040</v>
      </c>
      <c r="I3182" s="7">
        <v>17232712</v>
      </c>
      <c r="J3182" s="7">
        <v>0</v>
      </c>
      <c r="K3182">
        <f t="shared" si="49"/>
        <v>92</v>
      </c>
      <c r="L3182" s="8" t="str" cm="1">
        <f t="array" ref="L3182">_xlfn.IFS(
 AND(K3182&gt;=89,K3182&lt;=92),"3개월",
 AND(K3182&gt;=58,K3182&lt;=62),"2개월",
 AND(K3182&gt;=28,K3182&lt;=32),"1개월",
 AND(K3182=0),"당월",
 TRUE,"그외"
)</f>
        <v>3개월</v>
      </c>
    </row>
    <row r="3183" spans="1:12" x14ac:dyDescent="0.3">
      <c r="A3183" s="5">
        <v>46054</v>
      </c>
      <c r="B3183" s="6" t="s">
        <v>75</v>
      </c>
      <c r="C3183" s="6" t="s">
        <v>79</v>
      </c>
      <c r="D3183" s="5">
        <v>45992</v>
      </c>
      <c r="E3183" s="6" t="s">
        <v>14</v>
      </c>
      <c r="F3183" s="7">
        <v>142</v>
      </c>
      <c r="G3183" s="7">
        <v>198837.32394366199</v>
      </c>
      <c r="H3183" s="7">
        <v>28234900</v>
      </c>
      <c r="I3183" s="7">
        <v>4501400</v>
      </c>
      <c r="J3183" s="7">
        <v>0</v>
      </c>
      <c r="K3183">
        <f t="shared" si="49"/>
        <v>62</v>
      </c>
      <c r="L3183" s="8" t="str" cm="1">
        <f t="array" ref="L3183">_xlfn.IFS(
 AND(K3183&gt;=89,K3183&lt;=92),"3개월",
 AND(K3183&gt;=58,K3183&lt;=62),"2개월",
 AND(K3183&gt;=28,K3183&lt;=32),"1개월",
 AND(K3183=0),"당월",
 TRUE,"그외"
)</f>
        <v>2개월</v>
      </c>
    </row>
    <row r="3184" spans="1:12" x14ac:dyDescent="0.3">
      <c r="A3184" s="5">
        <v>46054</v>
      </c>
      <c r="B3184" s="6" t="s">
        <v>75</v>
      </c>
      <c r="C3184" s="6" t="s">
        <v>79</v>
      </c>
      <c r="D3184" s="5">
        <v>45992</v>
      </c>
      <c r="E3184" s="6" t="s">
        <v>15</v>
      </c>
      <c r="F3184" s="7">
        <v>750</v>
      </c>
      <c r="G3184" s="7">
        <v>299200.82400000002</v>
      </c>
      <c r="H3184" s="7">
        <v>224400618</v>
      </c>
      <c r="I3184" s="7">
        <v>25313711</v>
      </c>
      <c r="J3184" s="7">
        <v>0</v>
      </c>
      <c r="K3184">
        <f t="shared" si="49"/>
        <v>62</v>
      </c>
      <c r="L3184" s="8" t="str" cm="1">
        <f t="array" ref="L3184">_xlfn.IFS(
 AND(K3184&gt;=89,K3184&lt;=92),"3개월",
 AND(K3184&gt;=58,K3184&lt;=62),"2개월",
 AND(K3184&gt;=28,K3184&lt;=32),"1개월",
 AND(K3184=0),"당월",
 TRUE,"그외"
)</f>
        <v>2개월</v>
      </c>
    </row>
    <row r="3185" spans="1:12" x14ac:dyDescent="0.3">
      <c r="A3185" s="5">
        <v>46054</v>
      </c>
      <c r="B3185" s="6" t="s">
        <v>75</v>
      </c>
      <c r="C3185" s="6" t="s">
        <v>79</v>
      </c>
      <c r="D3185" s="5">
        <v>46023</v>
      </c>
      <c r="E3185" s="6" t="s">
        <v>14</v>
      </c>
      <c r="F3185" s="7">
        <v>4036</v>
      </c>
      <c r="G3185" s="7">
        <v>155061.39742319129</v>
      </c>
      <c r="H3185" s="7">
        <v>625827800</v>
      </c>
      <c r="I3185" s="7">
        <v>80782300</v>
      </c>
      <c r="J3185" s="7">
        <v>0</v>
      </c>
      <c r="K3185">
        <f t="shared" si="49"/>
        <v>31</v>
      </c>
      <c r="L3185" s="8" t="str" cm="1">
        <f t="array" ref="L3185">_xlfn.IFS(
 AND(K3185&gt;=89,K3185&lt;=92),"3개월",
 AND(K3185&gt;=58,K3185&lt;=62),"2개월",
 AND(K3185&gt;=28,K3185&lt;=32),"1개월",
 AND(K3185=0),"당월",
 TRUE,"그외"
)</f>
        <v>1개월</v>
      </c>
    </row>
    <row r="3186" spans="1:12" x14ac:dyDescent="0.3">
      <c r="A3186" s="5">
        <v>46054</v>
      </c>
      <c r="B3186" s="6" t="s">
        <v>75</v>
      </c>
      <c r="C3186" s="6" t="s">
        <v>79</v>
      </c>
      <c r="D3186" s="5">
        <v>46023</v>
      </c>
      <c r="E3186" s="6" t="s">
        <v>15</v>
      </c>
      <c r="F3186" s="7">
        <v>2891</v>
      </c>
      <c r="G3186" s="7">
        <v>236217.4240747146</v>
      </c>
      <c r="H3186" s="7">
        <v>682904573</v>
      </c>
      <c r="I3186" s="7">
        <v>103832739</v>
      </c>
      <c r="J3186" s="7">
        <v>0</v>
      </c>
      <c r="K3186">
        <f t="shared" si="49"/>
        <v>31</v>
      </c>
      <c r="L3186" s="8" t="str" cm="1">
        <f t="array" ref="L3186">_xlfn.IFS(
 AND(K3186&gt;=89,K3186&lt;=92),"3개월",
 AND(K3186&gt;=58,K3186&lt;=62),"2개월",
 AND(K3186&gt;=28,K3186&lt;=32),"1개월",
 AND(K3186=0),"당월",
 TRUE,"그외"
)</f>
        <v>1개월</v>
      </c>
    </row>
    <row r="3187" spans="1:12" x14ac:dyDescent="0.3">
      <c r="A3187" s="5">
        <v>46054</v>
      </c>
      <c r="B3187" s="6" t="s">
        <v>75</v>
      </c>
      <c r="C3187" s="6" t="s">
        <v>79</v>
      </c>
      <c r="D3187" s="5">
        <v>46054</v>
      </c>
      <c r="E3187" s="6" t="s">
        <v>14</v>
      </c>
      <c r="F3187" s="7">
        <v>1966</v>
      </c>
      <c r="G3187" s="7">
        <v>319539.97965411999</v>
      </c>
      <c r="H3187" s="7">
        <v>628215600</v>
      </c>
      <c r="I3187" s="7">
        <v>15000600</v>
      </c>
      <c r="J3187" s="7">
        <v>0</v>
      </c>
      <c r="K3187">
        <f t="shared" si="49"/>
        <v>0</v>
      </c>
      <c r="L3187" s="8" t="str" cm="1">
        <f t="array" ref="L3187">_xlfn.IFS(
 AND(K3187&gt;=89,K3187&lt;=92),"3개월",
 AND(K3187&gt;=58,K3187&lt;=62),"2개월",
 AND(K3187&gt;=28,K3187&lt;=32),"1개월",
 AND(K3187=0),"당월",
 TRUE,"그외"
)</f>
        <v>당월</v>
      </c>
    </row>
    <row r="3188" spans="1:12" x14ac:dyDescent="0.3">
      <c r="A3188" s="5">
        <v>46054</v>
      </c>
      <c r="B3188" s="6" t="s">
        <v>75</v>
      </c>
      <c r="C3188" s="6" t="s">
        <v>79</v>
      </c>
      <c r="D3188" s="5">
        <v>46054</v>
      </c>
      <c r="E3188" s="6" t="s">
        <v>15</v>
      </c>
      <c r="F3188" s="7">
        <v>1284</v>
      </c>
      <c r="G3188" s="7">
        <v>251869.2975077882</v>
      </c>
      <c r="H3188" s="7">
        <v>323400178</v>
      </c>
      <c r="I3188" s="7">
        <v>39938546</v>
      </c>
      <c r="J3188" s="7">
        <v>0</v>
      </c>
      <c r="K3188">
        <f t="shared" si="49"/>
        <v>0</v>
      </c>
      <c r="L3188" s="8" t="str" cm="1">
        <f t="array" ref="L3188">_xlfn.IFS(
 AND(K3188&gt;=89,K3188&lt;=92),"3개월",
 AND(K3188&gt;=58,K3188&lt;=62),"2개월",
 AND(K3188&gt;=28,K3188&lt;=32),"1개월",
 AND(K3188=0),"당월",
 TRUE,"그외"
)</f>
        <v>당월</v>
      </c>
    </row>
    <row r="3189" spans="1:12" x14ac:dyDescent="0.3">
      <c r="A3189" s="5">
        <v>46054</v>
      </c>
      <c r="B3189" s="6" t="s">
        <v>75</v>
      </c>
      <c r="C3189" s="6" t="s">
        <v>80</v>
      </c>
      <c r="D3189" s="5">
        <v>45748</v>
      </c>
      <c r="E3189" s="6" t="s">
        <v>15</v>
      </c>
      <c r="F3189" s="7">
        <v>25</v>
      </c>
      <c r="G3189" s="7">
        <v>894724.68</v>
      </c>
      <c r="H3189" s="7">
        <v>22368117</v>
      </c>
      <c r="I3189" s="7">
        <v>1065600</v>
      </c>
      <c r="J3189" s="7">
        <v>0</v>
      </c>
      <c r="K3189">
        <f t="shared" si="49"/>
        <v>306</v>
      </c>
      <c r="L3189" s="8" t="str" cm="1">
        <f t="array" ref="L3189">_xlfn.IFS(
 AND(K3189&gt;=89,K3189&lt;=92),"3개월",
 AND(K3189&gt;=58,K3189&lt;=62),"2개월",
 AND(K3189&gt;=28,K3189&lt;=32),"1개월",
 AND(K3189=0),"당월",
 TRUE,"그외"
)</f>
        <v>그외</v>
      </c>
    </row>
    <row r="3190" spans="1:12" x14ac:dyDescent="0.3">
      <c r="A3190" s="5">
        <v>46054</v>
      </c>
      <c r="B3190" s="6" t="s">
        <v>75</v>
      </c>
      <c r="C3190" s="6" t="s">
        <v>80</v>
      </c>
      <c r="D3190" s="5">
        <v>45778</v>
      </c>
      <c r="E3190" s="6" t="s">
        <v>15</v>
      </c>
      <c r="F3190" s="7">
        <v>42</v>
      </c>
      <c r="G3190" s="7">
        <v>684866.97619047621</v>
      </c>
      <c r="H3190" s="7">
        <v>28764413</v>
      </c>
      <c r="I3190" s="7">
        <v>1617000</v>
      </c>
      <c r="J3190" s="7">
        <v>0</v>
      </c>
      <c r="K3190">
        <f t="shared" si="49"/>
        <v>276</v>
      </c>
      <c r="L3190" s="8" t="str" cm="1">
        <f t="array" ref="L3190">_xlfn.IFS(
 AND(K3190&gt;=89,K3190&lt;=92),"3개월",
 AND(K3190&gt;=58,K3190&lt;=62),"2개월",
 AND(K3190&gt;=28,K3190&lt;=32),"1개월",
 AND(K3190=0),"당월",
 TRUE,"그외"
)</f>
        <v>그외</v>
      </c>
    </row>
    <row r="3191" spans="1:12" x14ac:dyDescent="0.3">
      <c r="A3191" s="5">
        <v>46054</v>
      </c>
      <c r="B3191" s="6" t="s">
        <v>75</v>
      </c>
      <c r="C3191" s="6" t="s">
        <v>80</v>
      </c>
      <c r="D3191" s="5">
        <v>45809</v>
      </c>
      <c r="E3191" s="6" t="s">
        <v>15</v>
      </c>
      <c r="F3191" s="7">
        <v>36</v>
      </c>
      <c r="G3191" s="7">
        <v>622242.08333333337</v>
      </c>
      <c r="H3191" s="7">
        <v>22400715</v>
      </c>
      <c r="I3191" s="7">
        <v>616500</v>
      </c>
      <c r="J3191" s="7">
        <v>0</v>
      </c>
      <c r="K3191">
        <f t="shared" si="49"/>
        <v>245</v>
      </c>
      <c r="L3191" s="8" t="str" cm="1">
        <f t="array" ref="L3191">_xlfn.IFS(
 AND(K3191&gt;=89,K3191&lt;=92),"3개월",
 AND(K3191&gt;=58,K3191&lt;=62),"2개월",
 AND(K3191&gt;=28,K3191&lt;=32),"1개월",
 AND(K3191=0),"당월",
 TRUE,"그외"
)</f>
        <v>그외</v>
      </c>
    </row>
    <row r="3192" spans="1:12" x14ac:dyDescent="0.3">
      <c r="A3192" s="5">
        <v>46054</v>
      </c>
      <c r="B3192" s="6" t="s">
        <v>75</v>
      </c>
      <c r="C3192" s="6" t="s">
        <v>80</v>
      </c>
      <c r="D3192" s="5">
        <v>45839</v>
      </c>
      <c r="E3192" s="6" t="s">
        <v>15</v>
      </c>
      <c r="F3192" s="7">
        <v>117</v>
      </c>
      <c r="G3192" s="7">
        <v>524691.094017094</v>
      </c>
      <c r="H3192" s="7">
        <v>61388858</v>
      </c>
      <c r="I3192" s="7">
        <v>2743606</v>
      </c>
      <c r="J3192" s="7">
        <v>0</v>
      </c>
      <c r="K3192">
        <f t="shared" si="49"/>
        <v>215</v>
      </c>
      <c r="L3192" s="8" t="str" cm="1">
        <f t="array" ref="L3192">_xlfn.IFS(
 AND(K3192&gt;=89,K3192&lt;=92),"3개월",
 AND(K3192&gt;=58,K3192&lt;=62),"2개월",
 AND(K3192&gt;=28,K3192&lt;=32),"1개월",
 AND(K3192=0),"당월",
 TRUE,"그외"
)</f>
        <v>그외</v>
      </c>
    </row>
    <row r="3193" spans="1:12" x14ac:dyDescent="0.3">
      <c r="A3193" s="5">
        <v>46054</v>
      </c>
      <c r="B3193" s="6" t="s">
        <v>75</v>
      </c>
      <c r="C3193" s="6" t="s">
        <v>80</v>
      </c>
      <c r="D3193" s="5">
        <v>45870</v>
      </c>
      <c r="E3193" s="6" t="s">
        <v>15</v>
      </c>
      <c r="F3193" s="7">
        <v>159</v>
      </c>
      <c r="G3193" s="7">
        <v>595013.22012578615</v>
      </c>
      <c r="H3193" s="7">
        <v>94607102</v>
      </c>
      <c r="I3193" s="7">
        <v>4025600</v>
      </c>
      <c r="J3193" s="7">
        <v>0</v>
      </c>
      <c r="K3193">
        <f t="shared" si="49"/>
        <v>184</v>
      </c>
      <c r="L3193" s="8" t="str" cm="1">
        <f t="array" ref="L3193">_xlfn.IFS(
 AND(K3193&gt;=89,K3193&lt;=92),"3개월",
 AND(K3193&gt;=58,K3193&lt;=62),"2개월",
 AND(K3193&gt;=28,K3193&lt;=32),"1개월",
 AND(K3193=0),"당월",
 TRUE,"그외"
)</f>
        <v>그외</v>
      </c>
    </row>
    <row r="3194" spans="1:12" x14ac:dyDescent="0.3">
      <c r="A3194" s="5">
        <v>46054</v>
      </c>
      <c r="B3194" s="6" t="s">
        <v>75</v>
      </c>
      <c r="C3194" s="6" t="s">
        <v>80</v>
      </c>
      <c r="D3194" s="5">
        <v>45901</v>
      </c>
      <c r="E3194" s="6" t="s">
        <v>15</v>
      </c>
      <c r="F3194" s="7">
        <v>196</v>
      </c>
      <c r="G3194" s="7">
        <v>618749.20408163266</v>
      </c>
      <c r="H3194" s="7">
        <v>121274844</v>
      </c>
      <c r="I3194" s="7">
        <v>6252400</v>
      </c>
      <c r="J3194" s="7">
        <v>0</v>
      </c>
      <c r="K3194">
        <f t="shared" si="49"/>
        <v>153</v>
      </c>
      <c r="L3194" s="8" t="str" cm="1">
        <f t="array" ref="L3194">_xlfn.IFS(
 AND(K3194&gt;=89,K3194&lt;=92),"3개월",
 AND(K3194&gt;=58,K3194&lt;=62),"2개월",
 AND(K3194&gt;=28,K3194&lt;=32),"1개월",
 AND(K3194=0),"당월",
 TRUE,"그외"
)</f>
        <v>그외</v>
      </c>
    </row>
    <row r="3195" spans="1:12" x14ac:dyDescent="0.3">
      <c r="A3195" s="5">
        <v>46054</v>
      </c>
      <c r="B3195" s="6" t="s">
        <v>75</v>
      </c>
      <c r="C3195" s="6" t="s">
        <v>80</v>
      </c>
      <c r="D3195" s="5">
        <v>45931</v>
      </c>
      <c r="E3195" s="6" t="s">
        <v>15</v>
      </c>
      <c r="F3195" s="7">
        <v>342</v>
      </c>
      <c r="G3195" s="7">
        <v>674044.23684210528</v>
      </c>
      <c r="H3195" s="7">
        <v>230523129</v>
      </c>
      <c r="I3195" s="7">
        <v>13475400</v>
      </c>
      <c r="J3195" s="7">
        <v>0</v>
      </c>
      <c r="K3195">
        <f t="shared" si="49"/>
        <v>123</v>
      </c>
      <c r="L3195" s="8" t="str" cm="1">
        <f t="array" ref="L3195">_xlfn.IFS(
 AND(K3195&gt;=89,K3195&lt;=92),"3개월",
 AND(K3195&gt;=58,K3195&lt;=62),"2개월",
 AND(K3195&gt;=28,K3195&lt;=32),"1개월",
 AND(K3195=0),"당월",
 TRUE,"그외"
)</f>
        <v>그외</v>
      </c>
    </row>
    <row r="3196" spans="1:12" x14ac:dyDescent="0.3">
      <c r="A3196" s="5">
        <v>46054</v>
      </c>
      <c r="B3196" s="6" t="s">
        <v>75</v>
      </c>
      <c r="C3196" s="6" t="s">
        <v>80</v>
      </c>
      <c r="D3196" s="5">
        <v>45962</v>
      </c>
      <c r="E3196" s="6" t="s">
        <v>14</v>
      </c>
      <c r="F3196" s="7">
        <v>18</v>
      </c>
      <c r="G3196" s="7">
        <v>714600</v>
      </c>
      <c r="H3196" s="7">
        <v>12862800</v>
      </c>
      <c r="I3196" s="7">
        <v>1162800</v>
      </c>
      <c r="J3196" s="7">
        <v>0</v>
      </c>
      <c r="K3196">
        <f t="shared" si="49"/>
        <v>92</v>
      </c>
      <c r="L3196" s="8" t="str" cm="1">
        <f t="array" ref="L3196">_xlfn.IFS(
 AND(K3196&gt;=89,K3196&lt;=92),"3개월",
 AND(K3196&gt;=58,K3196&lt;=62),"2개월",
 AND(K3196&gt;=28,K3196&lt;=32),"1개월",
 AND(K3196=0),"당월",
 TRUE,"그외"
)</f>
        <v>3개월</v>
      </c>
    </row>
    <row r="3197" spans="1:12" x14ac:dyDescent="0.3">
      <c r="A3197" s="5">
        <v>46054</v>
      </c>
      <c r="B3197" s="6" t="s">
        <v>75</v>
      </c>
      <c r="C3197" s="6" t="s">
        <v>80</v>
      </c>
      <c r="D3197" s="5">
        <v>45962</v>
      </c>
      <c r="E3197" s="6" t="s">
        <v>15</v>
      </c>
      <c r="F3197" s="7">
        <v>856</v>
      </c>
      <c r="G3197" s="7">
        <v>678806.89719626168</v>
      </c>
      <c r="H3197" s="7">
        <v>581058704</v>
      </c>
      <c r="I3197" s="7">
        <v>36349518</v>
      </c>
      <c r="J3197" s="7">
        <v>0</v>
      </c>
      <c r="K3197">
        <f t="shared" si="49"/>
        <v>92</v>
      </c>
      <c r="L3197" s="8" t="str" cm="1">
        <f t="array" ref="L3197">_xlfn.IFS(
 AND(K3197&gt;=89,K3197&lt;=92),"3개월",
 AND(K3197&gt;=58,K3197&lt;=62),"2개월",
 AND(K3197&gt;=28,K3197&lt;=32),"1개월",
 AND(K3197=0),"당월",
 TRUE,"그외"
)</f>
        <v>3개월</v>
      </c>
    </row>
    <row r="3198" spans="1:12" x14ac:dyDescent="0.3">
      <c r="A3198" s="5">
        <v>46054</v>
      </c>
      <c r="B3198" s="6" t="s">
        <v>75</v>
      </c>
      <c r="C3198" s="6" t="s">
        <v>80</v>
      </c>
      <c r="D3198" s="5">
        <v>45992</v>
      </c>
      <c r="E3198" s="6" t="s">
        <v>14</v>
      </c>
      <c r="F3198" s="7">
        <v>3</v>
      </c>
      <c r="G3198" s="7">
        <v>11500000</v>
      </c>
      <c r="H3198" s="7">
        <v>34500000</v>
      </c>
      <c r="I3198" s="7">
        <v>0</v>
      </c>
      <c r="J3198" s="7">
        <v>0</v>
      </c>
      <c r="K3198">
        <f t="shared" si="49"/>
        <v>62</v>
      </c>
      <c r="L3198" s="8" t="str" cm="1">
        <f t="array" ref="L3198">_xlfn.IFS(
 AND(K3198&gt;=89,K3198&lt;=92),"3개월",
 AND(K3198&gt;=58,K3198&lt;=62),"2개월",
 AND(K3198&gt;=28,K3198&lt;=32),"1개월",
 AND(K3198=0),"당월",
 TRUE,"그외"
)</f>
        <v>2개월</v>
      </c>
    </row>
    <row r="3199" spans="1:12" x14ac:dyDescent="0.3">
      <c r="A3199" s="5">
        <v>46054</v>
      </c>
      <c r="B3199" s="6" t="s">
        <v>75</v>
      </c>
      <c r="C3199" s="6" t="s">
        <v>80</v>
      </c>
      <c r="D3199" s="5">
        <v>45992</v>
      </c>
      <c r="E3199" s="6" t="s">
        <v>15</v>
      </c>
      <c r="F3199" s="7">
        <v>2110</v>
      </c>
      <c r="G3199" s="7">
        <v>636683.63033175352</v>
      </c>
      <c r="H3199" s="7">
        <v>1343402460</v>
      </c>
      <c r="I3199" s="7">
        <v>107891321</v>
      </c>
      <c r="J3199" s="7">
        <v>0</v>
      </c>
      <c r="K3199">
        <f t="shared" si="49"/>
        <v>62</v>
      </c>
      <c r="L3199" s="8" t="str" cm="1">
        <f t="array" ref="L3199">_xlfn.IFS(
 AND(K3199&gt;=89,K3199&lt;=92),"3개월",
 AND(K3199&gt;=58,K3199&lt;=62),"2개월",
 AND(K3199&gt;=28,K3199&lt;=32),"1개월",
 AND(K3199=0),"당월",
 TRUE,"그외"
)</f>
        <v>2개월</v>
      </c>
    </row>
    <row r="3200" spans="1:12" x14ac:dyDescent="0.3">
      <c r="A3200" s="5">
        <v>46054</v>
      </c>
      <c r="B3200" s="6" t="s">
        <v>75</v>
      </c>
      <c r="C3200" s="6" t="s">
        <v>80</v>
      </c>
      <c r="D3200" s="5">
        <v>46023</v>
      </c>
      <c r="E3200" s="6" t="s">
        <v>14</v>
      </c>
      <c r="F3200" s="7">
        <v>1194</v>
      </c>
      <c r="G3200" s="7">
        <v>982656.28140703519</v>
      </c>
      <c r="H3200" s="7">
        <v>1173291600</v>
      </c>
      <c r="I3200" s="7">
        <v>90833600</v>
      </c>
      <c r="J3200" s="7">
        <v>0</v>
      </c>
      <c r="K3200">
        <f t="shared" si="49"/>
        <v>31</v>
      </c>
      <c r="L3200" s="8" t="str" cm="1">
        <f t="array" ref="L3200">_xlfn.IFS(
 AND(K3200&gt;=89,K3200&lt;=92),"3개월",
 AND(K3200&gt;=58,K3200&lt;=62),"2개월",
 AND(K3200&gt;=28,K3200&lt;=32),"1개월",
 AND(K3200=0),"당월",
 TRUE,"그외"
)</f>
        <v>1개월</v>
      </c>
    </row>
    <row r="3201" spans="1:12" x14ac:dyDescent="0.3">
      <c r="A3201" s="5">
        <v>46054</v>
      </c>
      <c r="B3201" s="6" t="s">
        <v>75</v>
      </c>
      <c r="C3201" s="6" t="s">
        <v>80</v>
      </c>
      <c r="D3201" s="5">
        <v>46023</v>
      </c>
      <c r="E3201" s="6" t="s">
        <v>15</v>
      </c>
      <c r="F3201" s="7">
        <v>4054</v>
      </c>
      <c r="G3201" s="7">
        <v>568102.20424272318</v>
      </c>
      <c r="H3201" s="7">
        <v>2303086336</v>
      </c>
      <c r="I3201" s="7">
        <v>221378762</v>
      </c>
      <c r="J3201" s="7">
        <v>0</v>
      </c>
      <c r="K3201">
        <f t="shared" si="49"/>
        <v>31</v>
      </c>
      <c r="L3201" s="8" t="str" cm="1">
        <f t="array" ref="L3201">_xlfn.IFS(
 AND(K3201&gt;=89,K3201&lt;=92),"3개월",
 AND(K3201&gt;=58,K3201&lt;=62),"2개월",
 AND(K3201&gt;=28,K3201&lt;=32),"1개월",
 AND(K3201=0),"당월",
 TRUE,"그외"
)</f>
        <v>1개월</v>
      </c>
    </row>
    <row r="3202" spans="1:12" x14ac:dyDescent="0.3">
      <c r="A3202" s="5">
        <v>46054</v>
      </c>
      <c r="B3202" s="6" t="s">
        <v>75</v>
      </c>
      <c r="C3202" s="6" t="s">
        <v>80</v>
      </c>
      <c r="D3202" s="5">
        <v>46054</v>
      </c>
      <c r="E3202" s="6" t="s">
        <v>14</v>
      </c>
      <c r="F3202" s="7">
        <v>977</v>
      </c>
      <c r="G3202" s="7">
        <v>71168.679631525083</v>
      </c>
      <c r="H3202" s="7">
        <v>69531800</v>
      </c>
      <c r="I3202" s="7">
        <v>53148800</v>
      </c>
      <c r="J3202" s="7">
        <v>0</v>
      </c>
      <c r="K3202">
        <f t="shared" si="49"/>
        <v>0</v>
      </c>
      <c r="L3202" s="8" t="str" cm="1">
        <f t="array" ref="L3202">_xlfn.IFS(
 AND(K3202&gt;=89,K3202&lt;=92),"3개월",
 AND(K3202&gt;=58,K3202&lt;=62),"2개월",
 AND(K3202&gt;=28,K3202&lt;=32),"1개월",
 AND(K3202=0),"당월",
 TRUE,"그외"
)</f>
        <v>당월</v>
      </c>
    </row>
    <row r="3203" spans="1:12" x14ac:dyDescent="0.3">
      <c r="A3203" s="5">
        <v>46054</v>
      </c>
      <c r="B3203" s="6" t="s">
        <v>75</v>
      </c>
      <c r="C3203" s="6" t="s">
        <v>80</v>
      </c>
      <c r="D3203" s="5">
        <v>46054</v>
      </c>
      <c r="E3203" s="6" t="s">
        <v>15</v>
      </c>
      <c r="F3203" s="7">
        <v>1361</v>
      </c>
      <c r="G3203" s="7">
        <v>630347.9772226304</v>
      </c>
      <c r="H3203" s="7">
        <v>857903597</v>
      </c>
      <c r="I3203" s="7">
        <v>51679548</v>
      </c>
      <c r="J3203" s="7">
        <v>0</v>
      </c>
      <c r="K3203">
        <f t="shared" si="49"/>
        <v>0</v>
      </c>
      <c r="L3203" s="8" t="str" cm="1">
        <f t="array" ref="L3203">_xlfn.IFS(
 AND(K3203&gt;=89,K3203&lt;=92),"3개월",
 AND(K3203&gt;=58,K3203&lt;=62),"2개월",
 AND(K3203&gt;=28,K3203&lt;=32),"1개월",
 AND(K3203=0),"당월",
 TRUE,"그외"
)</f>
        <v>당월</v>
      </c>
    </row>
    <row r="3204" spans="1:12" x14ac:dyDescent="0.3">
      <c r="A3204" s="5">
        <v>46054</v>
      </c>
      <c r="B3204" s="6" t="s">
        <v>81</v>
      </c>
      <c r="C3204" s="6" t="s">
        <v>94</v>
      </c>
      <c r="D3204" s="5">
        <v>45870</v>
      </c>
      <c r="E3204" s="6" t="s">
        <v>15</v>
      </c>
      <c r="F3204" s="7">
        <v>4</v>
      </c>
      <c r="G3204" s="7">
        <v>314591.5</v>
      </c>
      <c r="H3204" s="7">
        <v>1258366</v>
      </c>
      <c r="I3204" s="7">
        <v>109600</v>
      </c>
      <c r="J3204" s="7">
        <v>0</v>
      </c>
      <c r="K3204">
        <f t="shared" si="49"/>
        <v>184</v>
      </c>
      <c r="L3204" s="8" t="str" cm="1">
        <f t="array" ref="L3204">_xlfn.IFS(
 AND(K3204&gt;=89,K3204&lt;=92),"3개월",
 AND(K3204&gt;=58,K3204&lt;=62),"2개월",
 AND(K3204&gt;=28,K3204&lt;=32),"1개월",
 AND(K3204=0),"당월",
 TRUE,"그외"
)</f>
        <v>그외</v>
      </c>
    </row>
    <row r="3205" spans="1:12" x14ac:dyDescent="0.3">
      <c r="A3205" s="5">
        <v>46054</v>
      </c>
      <c r="B3205" s="6" t="s">
        <v>81</v>
      </c>
      <c r="C3205" s="6" t="s">
        <v>94</v>
      </c>
      <c r="D3205" s="5">
        <v>45901</v>
      </c>
      <c r="E3205" s="6" t="s">
        <v>15</v>
      </c>
      <c r="F3205" s="7">
        <v>8</v>
      </c>
      <c r="G3205" s="7">
        <v>313574</v>
      </c>
      <c r="H3205" s="7">
        <v>2508592</v>
      </c>
      <c r="I3205" s="7">
        <v>221600</v>
      </c>
      <c r="J3205" s="7">
        <v>0</v>
      </c>
      <c r="K3205">
        <f t="shared" si="49"/>
        <v>153</v>
      </c>
      <c r="L3205" s="8" t="str" cm="1">
        <f t="array" ref="L3205">_xlfn.IFS(
 AND(K3205&gt;=89,K3205&lt;=92),"3개월",
 AND(K3205&gt;=58,K3205&lt;=62),"2개월",
 AND(K3205&gt;=28,K3205&lt;=32),"1개월",
 AND(K3205=0),"당월",
 TRUE,"그외"
)</f>
        <v>그외</v>
      </c>
    </row>
    <row r="3206" spans="1:12" x14ac:dyDescent="0.3">
      <c r="A3206" s="5">
        <v>46054</v>
      </c>
      <c r="B3206" s="6" t="s">
        <v>81</v>
      </c>
      <c r="C3206" s="6" t="s">
        <v>94</v>
      </c>
      <c r="D3206" s="5">
        <v>45931</v>
      </c>
      <c r="E3206" s="6" t="s">
        <v>14</v>
      </c>
      <c r="F3206" s="7">
        <v>9</v>
      </c>
      <c r="G3206" s="7">
        <v>0</v>
      </c>
      <c r="H3206" s="7">
        <v>0</v>
      </c>
      <c r="I3206" s="7">
        <v>0</v>
      </c>
      <c r="J3206" s="7">
        <v>0</v>
      </c>
      <c r="K3206">
        <f t="shared" si="49"/>
        <v>123</v>
      </c>
      <c r="L3206" s="8" t="str" cm="1">
        <f t="array" ref="L3206">_xlfn.IFS(
 AND(K3206&gt;=89,K3206&lt;=92),"3개월",
 AND(K3206&gt;=58,K3206&lt;=62),"2개월",
 AND(K3206&gt;=28,K3206&lt;=32),"1개월",
 AND(K3206=0),"당월",
 TRUE,"그외"
)</f>
        <v>그외</v>
      </c>
    </row>
    <row r="3207" spans="1:12" x14ac:dyDescent="0.3">
      <c r="A3207" s="5">
        <v>46054</v>
      </c>
      <c r="B3207" s="6" t="s">
        <v>81</v>
      </c>
      <c r="C3207" s="6" t="s">
        <v>94</v>
      </c>
      <c r="D3207" s="5">
        <v>45931</v>
      </c>
      <c r="E3207" s="6" t="s">
        <v>15</v>
      </c>
      <c r="F3207" s="7">
        <v>25</v>
      </c>
      <c r="G3207" s="7">
        <v>392000.44</v>
      </c>
      <c r="H3207" s="7">
        <v>9800011</v>
      </c>
      <c r="I3207" s="7">
        <v>999987</v>
      </c>
      <c r="J3207" s="7">
        <v>0</v>
      </c>
      <c r="K3207">
        <f t="shared" si="49"/>
        <v>123</v>
      </c>
      <c r="L3207" s="8" t="str" cm="1">
        <f t="array" ref="L3207">_xlfn.IFS(
 AND(K3207&gt;=89,K3207&lt;=92),"3개월",
 AND(K3207&gt;=58,K3207&lt;=62),"2개월",
 AND(K3207&gt;=28,K3207&lt;=32),"1개월",
 AND(K3207=0),"당월",
 TRUE,"그외"
)</f>
        <v>그외</v>
      </c>
    </row>
    <row r="3208" spans="1:12" x14ac:dyDescent="0.3">
      <c r="A3208" s="5">
        <v>46054</v>
      </c>
      <c r="B3208" s="6" t="s">
        <v>81</v>
      </c>
      <c r="C3208" s="6" t="s">
        <v>94</v>
      </c>
      <c r="D3208" s="5">
        <v>45962</v>
      </c>
      <c r="E3208" s="6" t="s">
        <v>14</v>
      </c>
      <c r="F3208" s="7">
        <v>8</v>
      </c>
      <c r="G3208" s="7">
        <v>0</v>
      </c>
      <c r="H3208" s="7">
        <v>0</v>
      </c>
      <c r="I3208" s="7">
        <v>0</v>
      </c>
      <c r="J3208" s="7">
        <v>0</v>
      </c>
      <c r="K3208">
        <f t="shared" si="49"/>
        <v>92</v>
      </c>
      <c r="L3208" s="8" t="str" cm="1">
        <f t="array" ref="L3208">_xlfn.IFS(
 AND(K3208&gt;=89,K3208&lt;=92),"3개월",
 AND(K3208&gt;=58,K3208&lt;=62),"2개월",
 AND(K3208&gt;=28,K3208&lt;=32),"1개월",
 AND(K3208=0),"당월",
 TRUE,"그외"
)</f>
        <v>3개월</v>
      </c>
    </row>
    <row r="3209" spans="1:12" x14ac:dyDescent="0.3">
      <c r="A3209" s="5">
        <v>46054</v>
      </c>
      <c r="B3209" s="6" t="s">
        <v>81</v>
      </c>
      <c r="C3209" s="6" t="s">
        <v>94</v>
      </c>
      <c r="D3209" s="5">
        <v>45962</v>
      </c>
      <c r="E3209" s="6" t="s">
        <v>15</v>
      </c>
      <c r="F3209" s="7">
        <v>79</v>
      </c>
      <c r="G3209" s="7">
        <v>285048.44303797471</v>
      </c>
      <c r="H3209" s="7">
        <v>22518827</v>
      </c>
      <c r="I3209" s="7">
        <v>2004531</v>
      </c>
      <c r="J3209" s="7">
        <v>0</v>
      </c>
      <c r="K3209">
        <f t="shared" si="49"/>
        <v>92</v>
      </c>
      <c r="L3209" s="8" t="str" cm="1">
        <f t="array" ref="L3209">_xlfn.IFS(
 AND(K3209&gt;=89,K3209&lt;=92),"3개월",
 AND(K3209&gt;=58,K3209&lt;=62),"2개월",
 AND(K3209&gt;=28,K3209&lt;=32),"1개월",
 AND(K3209=0),"당월",
 TRUE,"그외"
)</f>
        <v>3개월</v>
      </c>
    </row>
    <row r="3210" spans="1:12" x14ac:dyDescent="0.3">
      <c r="A3210" s="5">
        <v>46054</v>
      </c>
      <c r="B3210" s="6" t="s">
        <v>81</v>
      </c>
      <c r="C3210" s="6" t="s">
        <v>94</v>
      </c>
      <c r="D3210" s="5">
        <v>45992</v>
      </c>
      <c r="E3210" s="6" t="s">
        <v>14</v>
      </c>
      <c r="F3210" s="7">
        <v>98</v>
      </c>
      <c r="G3210" s="7">
        <v>225039.28571428571</v>
      </c>
      <c r="H3210" s="7">
        <v>22053850</v>
      </c>
      <c r="I3210" s="7">
        <v>2327050</v>
      </c>
      <c r="J3210" s="7">
        <v>0</v>
      </c>
      <c r="K3210">
        <f t="shared" ref="K3210:K3273" si="50">A3210-D3210</f>
        <v>62</v>
      </c>
      <c r="L3210" s="8" t="str" cm="1">
        <f t="array" ref="L3210">_xlfn.IFS(
 AND(K3210&gt;=89,K3210&lt;=92),"3개월",
 AND(K3210&gt;=58,K3210&lt;=62),"2개월",
 AND(K3210&gt;=28,K3210&lt;=32),"1개월",
 AND(K3210=0),"당월",
 TRUE,"그외"
)</f>
        <v>2개월</v>
      </c>
    </row>
    <row r="3211" spans="1:12" x14ac:dyDescent="0.3">
      <c r="A3211" s="5">
        <v>46054</v>
      </c>
      <c r="B3211" s="6" t="s">
        <v>81</v>
      </c>
      <c r="C3211" s="6" t="s">
        <v>94</v>
      </c>
      <c r="D3211" s="5">
        <v>45992</v>
      </c>
      <c r="E3211" s="6" t="s">
        <v>15</v>
      </c>
      <c r="F3211" s="7">
        <v>91</v>
      </c>
      <c r="G3211" s="7">
        <v>407856.74725274718</v>
      </c>
      <c r="H3211" s="7">
        <v>37114964</v>
      </c>
      <c r="I3211" s="7">
        <v>3485534</v>
      </c>
      <c r="J3211" s="7">
        <v>0</v>
      </c>
      <c r="K3211">
        <f t="shared" si="50"/>
        <v>62</v>
      </c>
      <c r="L3211" s="8" t="str" cm="1">
        <f t="array" ref="L3211">_xlfn.IFS(
 AND(K3211&gt;=89,K3211&lt;=92),"3개월",
 AND(K3211&gt;=58,K3211&lt;=62),"2개월",
 AND(K3211&gt;=28,K3211&lt;=32),"1개월",
 AND(K3211=0),"당월",
 TRUE,"그외"
)</f>
        <v>2개월</v>
      </c>
    </row>
    <row r="3212" spans="1:12" x14ac:dyDescent="0.3">
      <c r="A3212" s="5">
        <v>46054</v>
      </c>
      <c r="B3212" s="6" t="s">
        <v>81</v>
      </c>
      <c r="C3212" s="6" t="s">
        <v>94</v>
      </c>
      <c r="D3212" s="5">
        <v>46023</v>
      </c>
      <c r="E3212" s="6" t="s">
        <v>14</v>
      </c>
      <c r="F3212" s="7">
        <v>150</v>
      </c>
      <c r="G3212" s="7">
        <v>690309.14666666661</v>
      </c>
      <c r="H3212" s="7">
        <v>103546372</v>
      </c>
      <c r="I3212" s="7">
        <v>4554500</v>
      </c>
      <c r="J3212" s="7">
        <v>0</v>
      </c>
      <c r="K3212">
        <f t="shared" si="50"/>
        <v>31</v>
      </c>
      <c r="L3212" s="8" t="str" cm="1">
        <f t="array" ref="L3212">_xlfn.IFS(
 AND(K3212&gt;=89,K3212&lt;=92),"3개월",
 AND(K3212&gt;=58,K3212&lt;=62),"2개월",
 AND(K3212&gt;=28,K3212&lt;=32),"1개월",
 AND(K3212=0),"당월",
 TRUE,"그외"
)</f>
        <v>1개월</v>
      </c>
    </row>
    <row r="3213" spans="1:12" x14ac:dyDescent="0.3">
      <c r="A3213" s="5">
        <v>46054</v>
      </c>
      <c r="B3213" s="6" t="s">
        <v>81</v>
      </c>
      <c r="C3213" s="6" t="s">
        <v>94</v>
      </c>
      <c r="D3213" s="5">
        <v>46023</v>
      </c>
      <c r="E3213" s="6" t="s">
        <v>15</v>
      </c>
      <c r="F3213" s="7">
        <v>472</v>
      </c>
      <c r="G3213" s="7">
        <v>366129.96398305078</v>
      </c>
      <c r="H3213" s="7">
        <v>172813343</v>
      </c>
      <c r="I3213" s="7">
        <v>17921068</v>
      </c>
      <c r="J3213" s="7">
        <v>0</v>
      </c>
      <c r="K3213">
        <f t="shared" si="50"/>
        <v>31</v>
      </c>
      <c r="L3213" s="8" t="str" cm="1">
        <f t="array" ref="L3213">_xlfn.IFS(
 AND(K3213&gt;=89,K3213&lt;=92),"3개월",
 AND(K3213&gt;=58,K3213&lt;=62),"2개월",
 AND(K3213&gt;=28,K3213&lt;=32),"1개월",
 AND(K3213=0),"당월",
 TRUE,"그외"
)</f>
        <v>1개월</v>
      </c>
    </row>
    <row r="3214" spans="1:12" x14ac:dyDescent="0.3">
      <c r="A3214" s="5">
        <v>46054</v>
      </c>
      <c r="B3214" s="6" t="s">
        <v>81</v>
      </c>
      <c r="C3214" s="6" t="s">
        <v>94</v>
      </c>
      <c r="D3214" s="5">
        <v>46054</v>
      </c>
      <c r="E3214" s="6" t="s">
        <v>14</v>
      </c>
      <c r="F3214" s="7">
        <v>547</v>
      </c>
      <c r="G3214" s="7">
        <v>238356.18464351009</v>
      </c>
      <c r="H3214" s="7">
        <v>130380833</v>
      </c>
      <c r="I3214" s="7">
        <v>12602762</v>
      </c>
      <c r="J3214" s="7">
        <v>0</v>
      </c>
      <c r="K3214">
        <f t="shared" si="50"/>
        <v>0</v>
      </c>
      <c r="L3214" s="8" t="str" cm="1">
        <f t="array" ref="L3214">_xlfn.IFS(
 AND(K3214&gt;=89,K3214&lt;=92),"3개월",
 AND(K3214&gt;=58,K3214&lt;=62),"2개월",
 AND(K3214&gt;=28,K3214&lt;=32),"1개월",
 AND(K3214=0),"당월",
 TRUE,"그외"
)</f>
        <v>당월</v>
      </c>
    </row>
    <row r="3215" spans="1:12" x14ac:dyDescent="0.3">
      <c r="A3215" s="5">
        <v>46054</v>
      </c>
      <c r="B3215" s="6" t="s">
        <v>81</v>
      </c>
      <c r="C3215" s="6" t="s">
        <v>94</v>
      </c>
      <c r="D3215" s="5">
        <v>46054</v>
      </c>
      <c r="E3215" s="6" t="s">
        <v>15</v>
      </c>
      <c r="F3215" s="7">
        <v>385</v>
      </c>
      <c r="G3215" s="7">
        <v>470695.34805194812</v>
      </c>
      <c r="H3215" s="7">
        <v>181217709</v>
      </c>
      <c r="I3215" s="7">
        <v>15164315</v>
      </c>
      <c r="J3215" s="7">
        <v>0</v>
      </c>
      <c r="K3215">
        <f t="shared" si="50"/>
        <v>0</v>
      </c>
      <c r="L3215" s="8" t="str" cm="1">
        <f t="array" ref="L3215">_xlfn.IFS(
 AND(K3215&gt;=89,K3215&lt;=92),"3개월",
 AND(K3215&gt;=58,K3215&lt;=62),"2개월",
 AND(K3215&gt;=28,K3215&lt;=32),"1개월",
 AND(K3215=0),"당월",
 TRUE,"그외"
)</f>
        <v>당월</v>
      </c>
    </row>
    <row r="3216" spans="1:12" x14ac:dyDescent="0.3">
      <c r="A3216" s="5">
        <v>46054</v>
      </c>
      <c r="B3216" s="6" t="s">
        <v>81</v>
      </c>
      <c r="C3216" s="6" t="s">
        <v>118</v>
      </c>
      <c r="D3216" s="5">
        <v>45870</v>
      </c>
      <c r="E3216" s="6" t="s">
        <v>15</v>
      </c>
      <c r="F3216" s="7">
        <v>2</v>
      </c>
      <c r="G3216" s="7">
        <v>254049</v>
      </c>
      <c r="H3216" s="7">
        <v>508098</v>
      </c>
      <c r="I3216" s="7">
        <v>72034</v>
      </c>
      <c r="J3216" s="7">
        <v>0</v>
      </c>
      <c r="K3216">
        <f t="shared" si="50"/>
        <v>184</v>
      </c>
      <c r="L3216" s="8" t="str" cm="1">
        <f t="array" ref="L3216">_xlfn.IFS(
 AND(K3216&gt;=89,K3216&lt;=92),"3개월",
 AND(K3216&gt;=58,K3216&lt;=62),"2개월",
 AND(K3216&gt;=28,K3216&lt;=32),"1개월",
 AND(K3216=0),"당월",
 TRUE,"그외"
)</f>
        <v>그외</v>
      </c>
    </row>
    <row r="3217" spans="1:12" x14ac:dyDescent="0.3">
      <c r="A3217" s="5">
        <v>46054</v>
      </c>
      <c r="B3217" s="6" t="s">
        <v>81</v>
      </c>
      <c r="C3217" s="6" t="s">
        <v>118</v>
      </c>
      <c r="D3217" s="5">
        <v>45901</v>
      </c>
      <c r="E3217" s="6" t="s">
        <v>15</v>
      </c>
      <c r="F3217" s="7">
        <v>11</v>
      </c>
      <c r="G3217" s="7">
        <v>288641.54545454553</v>
      </c>
      <c r="H3217" s="7">
        <v>3175057</v>
      </c>
      <c r="I3217" s="7">
        <v>329916</v>
      </c>
      <c r="J3217" s="7">
        <v>0</v>
      </c>
      <c r="K3217">
        <f t="shared" si="50"/>
        <v>153</v>
      </c>
      <c r="L3217" s="8" t="str" cm="1">
        <f t="array" ref="L3217">_xlfn.IFS(
 AND(K3217&gt;=89,K3217&lt;=92),"3개월",
 AND(K3217&gt;=58,K3217&lt;=62),"2개월",
 AND(K3217&gt;=28,K3217&lt;=32),"1개월",
 AND(K3217=0),"당월",
 TRUE,"그외"
)</f>
        <v>그외</v>
      </c>
    </row>
    <row r="3218" spans="1:12" x14ac:dyDescent="0.3">
      <c r="A3218" s="5">
        <v>46054</v>
      </c>
      <c r="B3218" s="6" t="s">
        <v>81</v>
      </c>
      <c r="C3218" s="6" t="s">
        <v>118</v>
      </c>
      <c r="D3218" s="5">
        <v>45931</v>
      </c>
      <c r="E3218" s="6" t="s">
        <v>15</v>
      </c>
      <c r="F3218" s="7">
        <v>73</v>
      </c>
      <c r="G3218" s="7">
        <v>337352.76712328772</v>
      </c>
      <c r="H3218" s="7">
        <v>24626752</v>
      </c>
      <c r="I3218" s="7">
        <v>2079809</v>
      </c>
      <c r="J3218" s="7">
        <v>0</v>
      </c>
      <c r="K3218">
        <f t="shared" si="50"/>
        <v>123</v>
      </c>
      <c r="L3218" s="8" t="str" cm="1">
        <f t="array" ref="L3218">_xlfn.IFS(
 AND(K3218&gt;=89,K3218&lt;=92),"3개월",
 AND(K3218&gt;=58,K3218&lt;=62),"2개월",
 AND(K3218&gt;=28,K3218&lt;=32),"1개월",
 AND(K3218=0),"당월",
 TRUE,"그외"
)</f>
        <v>그외</v>
      </c>
    </row>
    <row r="3219" spans="1:12" x14ac:dyDescent="0.3">
      <c r="A3219" s="5">
        <v>46054</v>
      </c>
      <c r="B3219" s="6" t="s">
        <v>81</v>
      </c>
      <c r="C3219" s="6" t="s">
        <v>118</v>
      </c>
      <c r="D3219" s="5">
        <v>45962</v>
      </c>
      <c r="E3219" s="6" t="s">
        <v>14</v>
      </c>
      <c r="F3219" s="7">
        <v>3</v>
      </c>
      <c r="G3219" s="7">
        <v>363677</v>
      </c>
      <c r="H3219" s="7">
        <v>1091031</v>
      </c>
      <c r="I3219" s="7">
        <v>85020</v>
      </c>
      <c r="J3219" s="7">
        <v>0</v>
      </c>
      <c r="K3219">
        <f t="shared" si="50"/>
        <v>92</v>
      </c>
      <c r="L3219" s="8" t="str" cm="1">
        <f t="array" ref="L3219">_xlfn.IFS(
 AND(K3219&gt;=89,K3219&lt;=92),"3개월",
 AND(K3219&gt;=58,K3219&lt;=62),"2개월",
 AND(K3219&gt;=28,K3219&lt;=32),"1개월",
 AND(K3219=0),"당월",
 TRUE,"그외"
)</f>
        <v>3개월</v>
      </c>
    </row>
    <row r="3220" spans="1:12" x14ac:dyDescent="0.3">
      <c r="A3220" s="5">
        <v>46054</v>
      </c>
      <c r="B3220" s="6" t="s">
        <v>81</v>
      </c>
      <c r="C3220" s="6" t="s">
        <v>118</v>
      </c>
      <c r="D3220" s="5">
        <v>45962</v>
      </c>
      <c r="E3220" s="6" t="s">
        <v>15</v>
      </c>
      <c r="F3220" s="7">
        <v>177</v>
      </c>
      <c r="G3220" s="7">
        <v>355524.29378531082</v>
      </c>
      <c r="H3220" s="7">
        <v>62927800</v>
      </c>
      <c r="I3220" s="7">
        <v>5042889</v>
      </c>
      <c r="J3220" s="7">
        <v>0</v>
      </c>
      <c r="K3220">
        <f t="shared" si="50"/>
        <v>92</v>
      </c>
      <c r="L3220" s="8" t="str" cm="1">
        <f t="array" ref="L3220">_xlfn.IFS(
 AND(K3220&gt;=89,K3220&lt;=92),"3개월",
 AND(K3220&gt;=58,K3220&lt;=62),"2개월",
 AND(K3220&gt;=28,K3220&lt;=32),"1개월",
 AND(K3220=0),"당월",
 TRUE,"그외"
)</f>
        <v>3개월</v>
      </c>
    </row>
    <row r="3221" spans="1:12" x14ac:dyDescent="0.3">
      <c r="A3221" s="5">
        <v>46054</v>
      </c>
      <c r="B3221" s="6" t="s">
        <v>81</v>
      </c>
      <c r="C3221" s="6" t="s">
        <v>118</v>
      </c>
      <c r="D3221" s="5">
        <v>45992</v>
      </c>
      <c r="E3221" s="6" t="s">
        <v>14</v>
      </c>
      <c r="F3221" s="7">
        <v>60</v>
      </c>
      <c r="G3221" s="7">
        <v>324519.13333333342</v>
      </c>
      <c r="H3221" s="7">
        <v>19471148</v>
      </c>
      <c r="I3221" s="7">
        <v>2076614</v>
      </c>
      <c r="J3221" s="7">
        <v>0</v>
      </c>
      <c r="K3221">
        <f t="shared" si="50"/>
        <v>62</v>
      </c>
      <c r="L3221" s="8" t="str" cm="1">
        <f t="array" ref="L3221">_xlfn.IFS(
 AND(K3221&gt;=89,K3221&lt;=92),"3개월",
 AND(K3221&gt;=58,K3221&lt;=62),"2개월",
 AND(K3221&gt;=28,K3221&lt;=32),"1개월",
 AND(K3221=0),"당월",
 TRUE,"그외"
)</f>
        <v>2개월</v>
      </c>
    </row>
    <row r="3222" spans="1:12" x14ac:dyDescent="0.3">
      <c r="A3222" s="5">
        <v>46054</v>
      </c>
      <c r="B3222" s="6" t="s">
        <v>81</v>
      </c>
      <c r="C3222" s="6" t="s">
        <v>118</v>
      </c>
      <c r="D3222" s="5">
        <v>45992</v>
      </c>
      <c r="E3222" s="6" t="s">
        <v>15</v>
      </c>
      <c r="F3222" s="7">
        <v>319</v>
      </c>
      <c r="G3222" s="7">
        <v>367220.03761755477</v>
      </c>
      <c r="H3222" s="7">
        <v>117143192</v>
      </c>
      <c r="I3222" s="7">
        <v>10817894</v>
      </c>
      <c r="J3222" s="7">
        <v>0</v>
      </c>
      <c r="K3222">
        <f t="shared" si="50"/>
        <v>62</v>
      </c>
      <c r="L3222" s="8" t="str" cm="1">
        <f t="array" ref="L3222">_xlfn.IFS(
 AND(K3222&gt;=89,K3222&lt;=92),"3개월",
 AND(K3222&gt;=58,K3222&lt;=62),"2개월",
 AND(K3222&gt;=28,K3222&lt;=32),"1개월",
 AND(K3222=0),"당월",
 TRUE,"그외"
)</f>
        <v>2개월</v>
      </c>
    </row>
    <row r="3223" spans="1:12" x14ac:dyDescent="0.3">
      <c r="A3223" s="5">
        <v>46054</v>
      </c>
      <c r="B3223" s="6" t="s">
        <v>81</v>
      </c>
      <c r="C3223" s="6" t="s">
        <v>118</v>
      </c>
      <c r="D3223" s="5">
        <v>46023</v>
      </c>
      <c r="E3223" s="6" t="s">
        <v>14</v>
      </c>
      <c r="F3223" s="7">
        <v>303</v>
      </c>
      <c r="G3223" s="7">
        <v>332151.26402640261</v>
      </c>
      <c r="H3223" s="7">
        <v>100641833</v>
      </c>
      <c r="I3223" s="7">
        <v>10728044</v>
      </c>
      <c r="J3223" s="7">
        <v>0</v>
      </c>
      <c r="K3223">
        <f t="shared" si="50"/>
        <v>31</v>
      </c>
      <c r="L3223" s="8" t="str" cm="1">
        <f t="array" ref="L3223">_xlfn.IFS(
 AND(K3223&gt;=89,K3223&lt;=92),"3개월",
 AND(K3223&gt;=58,K3223&lt;=62),"2개월",
 AND(K3223&gt;=28,K3223&lt;=32),"1개월",
 AND(K3223=0),"당월",
 TRUE,"그외"
)</f>
        <v>1개월</v>
      </c>
    </row>
    <row r="3224" spans="1:12" x14ac:dyDescent="0.3">
      <c r="A3224" s="5">
        <v>46054</v>
      </c>
      <c r="B3224" s="6" t="s">
        <v>81</v>
      </c>
      <c r="C3224" s="6" t="s">
        <v>118</v>
      </c>
      <c r="D3224" s="5">
        <v>46023</v>
      </c>
      <c r="E3224" s="6" t="s">
        <v>15</v>
      </c>
      <c r="F3224" s="7">
        <v>969</v>
      </c>
      <c r="G3224" s="7">
        <v>375996.48297213617</v>
      </c>
      <c r="H3224" s="7">
        <v>364340592</v>
      </c>
      <c r="I3224" s="7">
        <v>30068545</v>
      </c>
      <c r="J3224" s="7">
        <v>0</v>
      </c>
      <c r="K3224">
        <f t="shared" si="50"/>
        <v>31</v>
      </c>
      <c r="L3224" s="8" t="str" cm="1">
        <f t="array" ref="L3224">_xlfn.IFS(
 AND(K3224&gt;=89,K3224&lt;=92),"3개월",
 AND(K3224&gt;=58,K3224&lt;=62),"2개월",
 AND(K3224&gt;=28,K3224&lt;=32),"1개월",
 AND(K3224=0),"당월",
 TRUE,"그외"
)</f>
        <v>1개월</v>
      </c>
    </row>
    <row r="3225" spans="1:12" x14ac:dyDescent="0.3">
      <c r="A3225" s="5">
        <v>46054</v>
      </c>
      <c r="B3225" s="6" t="s">
        <v>81</v>
      </c>
      <c r="C3225" s="6" t="s">
        <v>118</v>
      </c>
      <c r="D3225" s="5">
        <v>46054</v>
      </c>
      <c r="E3225" s="6" t="s">
        <v>14</v>
      </c>
      <c r="F3225" s="7">
        <v>72</v>
      </c>
      <c r="G3225" s="7">
        <v>410469.66666666669</v>
      </c>
      <c r="H3225" s="7">
        <v>29553816</v>
      </c>
      <c r="I3225" s="7">
        <v>1850108</v>
      </c>
      <c r="J3225" s="7">
        <v>0</v>
      </c>
      <c r="K3225">
        <f t="shared" si="50"/>
        <v>0</v>
      </c>
      <c r="L3225" s="8" t="str" cm="1">
        <f t="array" ref="L3225">_xlfn.IFS(
 AND(K3225&gt;=89,K3225&lt;=92),"3개월",
 AND(K3225&gt;=58,K3225&lt;=62),"2개월",
 AND(K3225&gt;=28,K3225&lt;=32),"1개월",
 AND(K3225=0),"당월",
 TRUE,"그외"
)</f>
        <v>당월</v>
      </c>
    </row>
    <row r="3226" spans="1:12" x14ac:dyDescent="0.3">
      <c r="A3226" s="5">
        <v>46054</v>
      </c>
      <c r="B3226" s="6" t="s">
        <v>81</v>
      </c>
      <c r="C3226" s="6" t="s">
        <v>118</v>
      </c>
      <c r="D3226" s="5">
        <v>46054</v>
      </c>
      <c r="E3226" s="6" t="s">
        <v>15</v>
      </c>
      <c r="F3226" s="7">
        <v>950</v>
      </c>
      <c r="G3226" s="7">
        <v>532166.17473684205</v>
      </c>
      <c r="H3226" s="7">
        <v>505557866</v>
      </c>
      <c r="I3226" s="7">
        <v>24548967</v>
      </c>
      <c r="J3226" s="7">
        <v>0</v>
      </c>
      <c r="K3226">
        <f t="shared" si="50"/>
        <v>0</v>
      </c>
      <c r="L3226" s="8" t="str" cm="1">
        <f t="array" ref="L3226">_xlfn.IFS(
 AND(K3226&gt;=89,K3226&lt;=92),"3개월",
 AND(K3226&gt;=58,K3226&lt;=62),"2개월",
 AND(K3226&gt;=28,K3226&lt;=32),"1개월",
 AND(K3226=0),"당월",
 TRUE,"그외"
)</f>
        <v>당월</v>
      </c>
    </row>
    <row r="3227" spans="1:12" x14ac:dyDescent="0.3">
      <c r="A3227" s="5">
        <v>46054</v>
      </c>
      <c r="B3227" s="6" t="s">
        <v>84</v>
      </c>
      <c r="C3227" s="6" t="s">
        <v>85</v>
      </c>
      <c r="D3227" s="5">
        <v>45717</v>
      </c>
      <c r="E3227" s="6" t="s">
        <v>15</v>
      </c>
      <c r="F3227" s="7">
        <v>17</v>
      </c>
      <c r="G3227" s="7">
        <v>964265.9411764706</v>
      </c>
      <c r="H3227" s="7">
        <v>16392521</v>
      </c>
      <c r="I3227" s="7">
        <v>1789500</v>
      </c>
      <c r="J3227" s="7">
        <v>0</v>
      </c>
      <c r="K3227">
        <f t="shared" si="50"/>
        <v>337</v>
      </c>
      <c r="L3227" s="8" t="str" cm="1">
        <f t="array" ref="L3227">_xlfn.IFS(
 AND(K3227&gt;=89,K3227&lt;=92),"3개월",
 AND(K3227&gt;=58,K3227&lt;=62),"2개월",
 AND(K3227&gt;=28,K3227&lt;=32),"1개월",
 AND(K3227=0),"당월",
 TRUE,"그외"
)</f>
        <v>그외</v>
      </c>
    </row>
    <row r="3228" spans="1:12" x14ac:dyDescent="0.3">
      <c r="A3228" s="5">
        <v>46054</v>
      </c>
      <c r="B3228" s="6" t="s">
        <v>84</v>
      </c>
      <c r="C3228" s="6" t="s">
        <v>85</v>
      </c>
      <c r="D3228" s="5">
        <v>45748</v>
      </c>
      <c r="E3228" s="6" t="s">
        <v>15</v>
      </c>
      <c r="F3228" s="7">
        <v>132</v>
      </c>
      <c r="G3228" s="7">
        <v>762936.43939393945</v>
      </c>
      <c r="H3228" s="7">
        <v>100707610</v>
      </c>
      <c r="I3228" s="7">
        <v>11641518</v>
      </c>
      <c r="J3228" s="7">
        <v>0</v>
      </c>
      <c r="K3228">
        <f t="shared" si="50"/>
        <v>306</v>
      </c>
      <c r="L3228" s="8" t="str" cm="1">
        <f t="array" ref="L3228">_xlfn.IFS(
 AND(K3228&gt;=89,K3228&lt;=92),"3개월",
 AND(K3228&gt;=58,K3228&lt;=62),"2개월",
 AND(K3228&gt;=28,K3228&lt;=32),"1개월",
 AND(K3228=0),"당월",
 TRUE,"그외"
)</f>
        <v>그외</v>
      </c>
    </row>
    <row r="3229" spans="1:12" x14ac:dyDescent="0.3">
      <c r="A3229" s="5">
        <v>46054</v>
      </c>
      <c r="B3229" s="6" t="s">
        <v>84</v>
      </c>
      <c r="C3229" s="6" t="s">
        <v>85</v>
      </c>
      <c r="D3229" s="5">
        <v>45778</v>
      </c>
      <c r="E3229" s="6" t="s">
        <v>15</v>
      </c>
      <c r="F3229" s="7">
        <v>193</v>
      </c>
      <c r="G3229" s="7">
        <v>721837.90673575131</v>
      </c>
      <c r="H3229" s="7">
        <v>139314716</v>
      </c>
      <c r="I3229" s="7">
        <v>14411417</v>
      </c>
      <c r="J3229" s="7">
        <v>0</v>
      </c>
      <c r="K3229">
        <f t="shared" si="50"/>
        <v>276</v>
      </c>
      <c r="L3229" s="8" t="str" cm="1">
        <f t="array" ref="L3229">_xlfn.IFS(
 AND(K3229&gt;=89,K3229&lt;=92),"3개월",
 AND(K3229&gt;=58,K3229&lt;=62),"2개월",
 AND(K3229&gt;=28,K3229&lt;=32),"1개월",
 AND(K3229=0),"당월",
 TRUE,"그외"
)</f>
        <v>그외</v>
      </c>
    </row>
    <row r="3230" spans="1:12" x14ac:dyDescent="0.3">
      <c r="A3230" s="5">
        <v>46054</v>
      </c>
      <c r="B3230" s="6" t="s">
        <v>84</v>
      </c>
      <c r="C3230" s="6" t="s">
        <v>85</v>
      </c>
      <c r="D3230" s="5">
        <v>45809</v>
      </c>
      <c r="E3230" s="6" t="s">
        <v>15</v>
      </c>
      <c r="F3230" s="7">
        <v>137</v>
      </c>
      <c r="G3230" s="7">
        <v>725784.19708029192</v>
      </c>
      <c r="H3230" s="7">
        <v>99432435</v>
      </c>
      <c r="I3230" s="7">
        <v>8747483</v>
      </c>
      <c r="J3230" s="7">
        <v>0</v>
      </c>
      <c r="K3230">
        <f t="shared" si="50"/>
        <v>245</v>
      </c>
      <c r="L3230" s="8" t="str" cm="1">
        <f t="array" ref="L3230">_xlfn.IFS(
 AND(K3230&gt;=89,K3230&lt;=92),"3개월",
 AND(K3230&gt;=58,K3230&lt;=62),"2개월",
 AND(K3230&gt;=28,K3230&lt;=32),"1개월",
 AND(K3230=0),"당월",
 TRUE,"그외"
)</f>
        <v>그외</v>
      </c>
    </row>
    <row r="3231" spans="1:12" x14ac:dyDescent="0.3">
      <c r="A3231" s="5">
        <v>46054</v>
      </c>
      <c r="B3231" s="6" t="s">
        <v>84</v>
      </c>
      <c r="C3231" s="6" t="s">
        <v>85</v>
      </c>
      <c r="D3231" s="5">
        <v>45839</v>
      </c>
      <c r="E3231" s="6" t="s">
        <v>15</v>
      </c>
      <c r="F3231" s="7">
        <v>220</v>
      </c>
      <c r="G3231" s="7">
        <v>941961.81818181823</v>
      </c>
      <c r="H3231" s="7">
        <v>207231600</v>
      </c>
      <c r="I3231" s="7">
        <v>15475402</v>
      </c>
      <c r="J3231" s="7">
        <v>0</v>
      </c>
      <c r="K3231">
        <f t="shared" si="50"/>
        <v>215</v>
      </c>
      <c r="L3231" s="8" t="str" cm="1">
        <f t="array" ref="L3231">_xlfn.IFS(
 AND(K3231&gt;=89,K3231&lt;=92),"3개월",
 AND(K3231&gt;=58,K3231&lt;=62),"2개월",
 AND(K3231&gt;=28,K3231&lt;=32),"1개월",
 AND(K3231=0),"당월",
 TRUE,"그외"
)</f>
        <v>그외</v>
      </c>
    </row>
    <row r="3232" spans="1:12" x14ac:dyDescent="0.3">
      <c r="A3232" s="5">
        <v>46054</v>
      </c>
      <c r="B3232" s="6" t="s">
        <v>84</v>
      </c>
      <c r="C3232" s="6" t="s">
        <v>85</v>
      </c>
      <c r="D3232" s="5">
        <v>45870</v>
      </c>
      <c r="E3232" s="6" t="s">
        <v>15</v>
      </c>
      <c r="F3232" s="7">
        <v>182</v>
      </c>
      <c r="G3232" s="7">
        <v>820139.60989010986</v>
      </c>
      <c r="H3232" s="7">
        <v>149265409</v>
      </c>
      <c r="I3232" s="7">
        <v>17599907</v>
      </c>
      <c r="J3232" s="7">
        <v>0</v>
      </c>
      <c r="K3232">
        <f t="shared" si="50"/>
        <v>184</v>
      </c>
      <c r="L3232" s="8" t="str" cm="1">
        <f t="array" ref="L3232">_xlfn.IFS(
 AND(K3232&gt;=89,K3232&lt;=92),"3개월",
 AND(K3232&gt;=58,K3232&lt;=62),"2개월",
 AND(K3232&gt;=28,K3232&lt;=32),"1개월",
 AND(K3232=0),"당월",
 TRUE,"그외"
)</f>
        <v>그외</v>
      </c>
    </row>
    <row r="3233" spans="1:12" x14ac:dyDescent="0.3">
      <c r="A3233" s="5">
        <v>46054</v>
      </c>
      <c r="B3233" s="6" t="s">
        <v>84</v>
      </c>
      <c r="C3233" s="6" t="s">
        <v>85</v>
      </c>
      <c r="D3233" s="5">
        <v>45901</v>
      </c>
      <c r="E3233" s="6" t="s">
        <v>15</v>
      </c>
      <c r="F3233" s="7">
        <v>359</v>
      </c>
      <c r="G3233" s="7">
        <v>762203.55153203348</v>
      </c>
      <c r="H3233" s="7">
        <v>273631075</v>
      </c>
      <c r="I3233" s="7">
        <v>29048542</v>
      </c>
      <c r="J3233" s="7">
        <v>0</v>
      </c>
      <c r="K3233">
        <f t="shared" si="50"/>
        <v>153</v>
      </c>
      <c r="L3233" s="8" t="str" cm="1">
        <f t="array" ref="L3233">_xlfn.IFS(
 AND(K3233&gt;=89,K3233&lt;=92),"3개월",
 AND(K3233&gt;=58,K3233&lt;=62),"2개월",
 AND(K3233&gt;=28,K3233&lt;=32),"1개월",
 AND(K3233=0),"당월",
 TRUE,"그외"
)</f>
        <v>그외</v>
      </c>
    </row>
    <row r="3234" spans="1:12" x14ac:dyDescent="0.3">
      <c r="A3234" s="5">
        <v>46054</v>
      </c>
      <c r="B3234" s="6" t="s">
        <v>84</v>
      </c>
      <c r="C3234" s="6" t="s">
        <v>85</v>
      </c>
      <c r="D3234" s="5">
        <v>45931</v>
      </c>
      <c r="E3234" s="6" t="s">
        <v>15</v>
      </c>
      <c r="F3234" s="7">
        <v>486</v>
      </c>
      <c r="G3234" s="7">
        <v>991833.73251028801</v>
      </c>
      <c r="H3234" s="7">
        <v>482031194</v>
      </c>
      <c r="I3234" s="7">
        <v>40299547</v>
      </c>
      <c r="J3234" s="7">
        <v>0</v>
      </c>
      <c r="K3234">
        <f t="shared" si="50"/>
        <v>123</v>
      </c>
      <c r="L3234" s="8" t="str" cm="1">
        <f t="array" ref="L3234">_xlfn.IFS(
 AND(K3234&gt;=89,K3234&lt;=92),"3개월",
 AND(K3234&gt;=58,K3234&lt;=62),"2개월",
 AND(K3234&gt;=28,K3234&lt;=32),"1개월",
 AND(K3234=0),"당월",
 TRUE,"그외"
)</f>
        <v>그외</v>
      </c>
    </row>
    <row r="3235" spans="1:12" x14ac:dyDescent="0.3">
      <c r="A3235" s="5">
        <v>46054</v>
      </c>
      <c r="B3235" s="6" t="s">
        <v>84</v>
      </c>
      <c r="C3235" s="6" t="s">
        <v>85</v>
      </c>
      <c r="D3235" s="5">
        <v>45962</v>
      </c>
      <c r="E3235" s="6" t="s">
        <v>15</v>
      </c>
      <c r="F3235" s="7">
        <v>755</v>
      </c>
      <c r="G3235" s="7">
        <v>961615.80794701981</v>
      </c>
      <c r="H3235" s="7">
        <v>726019935</v>
      </c>
      <c r="I3235" s="7">
        <v>62421162</v>
      </c>
      <c r="J3235" s="7">
        <v>0</v>
      </c>
      <c r="K3235">
        <f t="shared" si="50"/>
        <v>92</v>
      </c>
      <c r="L3235" s="8" t="str" cm="1">
        <f t="array" ref="L3235">_xlfn.IFS(
 AND(K3235&gt;=89,K3235&lt;=92),"3개월",
 AND(K3235&gt;=58,K3235&lt;=62),"2개월",
 AND(K3235&gt;=28,K3235&lt;=32),"1개월",
 AND(K3235=0),"당월",
 TRUE,"그외"
)</f>
        <v>3개월</v>
      </c>
    </row>
    <row r="3236" spans="1:12" x14ac:dyDescent="0.3">
      <c r="A3236" s="5">
        <v>46054</v>
      </c>
      <c r="B3236" s="6" t="s">
        <v>84</v>
      </c>
      <c r="C3236" s="6" t="s">
        <v>85</v>
      </c>
      <c r="D3236" s="5">
        <v>45992</v>
      </c>
      <c r="E3236" s="6" t="s">
        <v>14</v>
      </c>
      <c r="F3236" s="7">
        <v>1</v>
      </c>
      <c r="G3236" s="7">
        <v>577700</v>
      </c>
      <c r="H3236" s="7">
        <v>577700</v>
      </c>
      <c r="I3236" s="7">
        <v>77700</v>
      </c>
      <c r="J3236" s="7">
        <v>0</v>
      </c>
      <c r="K3236">
        <f t="shared" si="50"/>
        <v>62</v>
      </c>
      <c r="L3236" s="8" t="str" cm="1">
        <f t="array" ref="L3236">_xlfn.IFS(
 AND(K3236&gt;=89,K3236&lt;=92),"3개월",
 AND(K3236&gt;=58,K3236&lt;=62),"2개월",
 AND(K3236&gt;=28,K3236&lt;=32),"1개월",
 AND(K3236=0),"당월",
 TRUE,"그외"
)</f>
        <v>2개월</v>
      </c>
    </row>
    <row r="3237" spans="1:12" x14ac:dyDescent="0.3">
      <c r="A3237" s="5">
        <v>46054</v>
      </c>
      <c r="B3237" s="6" t="s">
        <v>84</v>
      </c>
      <c r="C3237" s="6" t="s">
        <v>85</v>
      </c>
      <c r="D3237" s="5">
        <v>45992</v>
      </c>
      <c r="E3237" s="6" t="s">
        <v>15</v>
      </c>
      <c r="F3237" s="7">
        <v>1256</v>
      </c>
      <c r="G3237" s="7">
        <v>845958.02229299361</v>
      </c>
      <c r="H3237" s="7">
        <v>1062523276</v>
      </c>
      <c r="I3237" s="7">
        <v>117163118</v>
      </c>
      <c r="J3237" s="7">
        <v>0</v>
      </c>
      <c r="K3237">
        <f t="shared" si="50"/>
        <v>62</v>
      </c>
      <c r="L3237" s="8" t="str" cm="1">
        <f t="array" ref="L3237">_xlfn.IFS(
 AND(K3237&gt;=89,K3237&lt;=92),"3개월",
 AND(K3237&gt;=58,K3237&lt;=62),"2개월",
 AND(K3237&gt;=28,K3237&lt;=32),"1개월",
 AND(K3237=0),"당월",
 TRUE,"그외"
)</f>
        <v>2개월</v>
      </c>
    </row>
    <row r="3238" spans="1:12" x14ac:dyDescent="0.3">
      <c r="A3238" s="5">
        <v>46054</v>
      </c>
      <c r="B3238" s="6" t="s">
        <v>84</v>
      </c>
      <c r="C3238" s="6" t="s">
        <v>85</v>
      </c>
      <c r="D3238" s="5">
        <v>46023</v>
      </c>
      <c r="E3238" s="6" t="s">
        <v>14</v>
      </c>
      <c r="F3238" s="7">
        <v>937</v>
      </c>
      <c r="G3238" s="7">
        <v>729758.16435432236</v>
      </c>
      <c r="H3238" s="7">
        <v>683783400</v>
      </c>
      <c r="I3238" s="7">
        <v>42558400</v>
      </c>
      <c r="J3238" s="7">
        <v>0</v>
      </c>
      <c r="K3238">
        <f t="shared" si="50"/>
        <v>31</v>
      </c>
      <c r="L3238" s="8" t="str" cm="1">
        <f t="array" ref="L3238">_xlfn.IFS(
 AND(K3238&gt;=89,K3238&lt;=92),"3개월",
 AND(K3238&gt;=58,K3238&lt;=62),"2개월",
 AND(K3238&gt;=28,K3238&lt;=32),"1개월",
 AND(K3238=0),"당월",
 TRUE,"그외"
)</f>
        <v>1개월</v>
      </c>
    </row>
    <row r="3239" spans="1:12" x14ac:dyDescent="0.3">
      <c r="A3239" s="5">
        <v>46054</v>
      </c>
      <c r="B3239" s="6" t="s">
        <v>84</v>
      </c>
      <c r="C3239" s="6" t="s">
        <v>85</v>
      </c>
      <c r="D3239" s="5">
        <v>46023</v>
      </c>
      <c r="E3239" s="6" t="s">
        <v>15</v>
      </c>
      <c r="F3239" s="7">
        <v>1801</v>
      </c>
      <c r="G3239" s="7">
        <v>908253.00111049414</v>
      </c>
      <c r="H3239" s="7">
        <v>1635763655</v>
      </c>
      <c r="I3239" s="7">
        <v>168005642</v>
      </c>
      <c r="J3239" s="7">
        <v>0</v>
      </c>
      <c r="K3239">
        <f t="shared" si="50"/>
        <v>31</v>
      </c>
      <c r="L3239" s="8" t="str" cm="1">
        <f t="array" ref="L3239">_xlfn.IFS(
 AND(K3239&gt;=89,K3239&lt;=92),"3개월",
 AND(K3239&gt;=58,K3239&lt;=62),"2개월",
 AND(K3239&gt;=28,K3239&lt;=32),"1개월",
 AND(K3239=0),"당월",
 TRUE,"그외"
)</f>
        <v>1개월</v>
      </c>
    </row>
    <row r="3240" spans="1:12" x14ac:dyDescent="0.3">
      <c r="A3240" s="5">
        <v>46054</v>
      </c>
      <c r="B3240" s="6" t="s">
        <v>84</v>
      </c>
      <c r="C3240" s="6" t="s">
        <v>85</v>
      </c>
      <c r="D3240" s="5">
        <v>46054</v>
      </c>
      <c r="E3240" s="6" t="s">
        <v>14</v>
      </c>
      <c r="F3240" s="7">
        <v>463</v>
      </c>
      <c r="G3240" s="7">
        <v>581675.90712742985</v>
      </c>
      <c r="H3240" s="7">
        <v>269315945</v>
      </c>
      <c r="I3240" s="7">
        <v>10734445</v>
      </c>
      <c r="J3240" s="7">
        <v>0</v>
      </c>
      <c r="K3240">
        <f t="shared" si="50"/>
        <v>0</v>
      </c>
      <c r="L3240" s="8" t="str" cm="1">
        <f t="array" ref="L3240">_xlfn.IFS(
 AND(K3240&gt;=89,K3240&lt;=92),"3개월",
 AND(K3240&gt;=58,K3240&lt;=62),"2개월",
 AND(K3240&gt;=28,K3240&lt;=32),"1개월",
 AND(K3240=0),"당월",
 TRUE,"그외"
)</f>
        <v>당월</v>
      </c>
    </row>
    <row r="3241" spans="1:12" x14ac:dyDescent="0.3">
      <c r="A3241" s="5">
        <v>46054</v>
      </c>
      <c r="B3241" s="6" t="s">
        <v>84</v>
      </c>
      <c r="C3241" s="6" t="s">
        <v>85</v>
      </c>
      <c r="D3241" s="5">
        <v>46054</v>
      </c>
      <c r="E3241" s="6" t="s">
        <v>15</v>
      </c>
      <c r="F3241" s="7">
        <v>807</v>
      </c>
      <c r="G3241" s="7">
        <v>878014.96778190834</v>
      </c>
      <c r="H3241" s="7">
        <v>708558079</v>
      </c>
      <c r="I3241" s="7">
        <v>66041766</v>
      </c>
      <c r="J3241" s="7">
        <v>0</v>
      </c>
      <c r="K3241">
        <f t="shared" si="50"/>
        <v>0</v>
      </c>
      <c r="L3241" s="8" t="str" cm="1">
        <f t="array" ref="L3241">_xlfn.IFS(
 AND(K3241&gt;=89,K3241&lt;=92),"3개월",
 AND(K3241&gt;=58,K3241&lt;=62),"2개월",
 AND(K3241&gt;=28,K3241&lt;=32),"1개월",
 AND(K3241=0),"당월",
 TRUE,"그외"
)</f>
        <v>당월</v>
      </c>
    </row>
    <row r="3242" spans="1:12" x14ac:dyDescent="0.3">
      <c r="A3242" s="5">
        <v>46054</v>
      </c>
      <c r="B3242" s="6" t="s">
        <v>84</v>
      </c>
      <c r="C3242" s="6" t="s">
        <v>86</v>
      </c>
      <c r="D3242" s="5">
        <v>45717</v>
      </c>
      <c r="E3242" s="6" t="s">
        <v>15</v>
      </c>
      <c r="F3242" s="7">
        <v>21</v>
      </c>
      <c r="G3242" s="7">
        <v>624867.04761904757</v>
      </c>
      <c r="H3242" s="7">
        <v>13122208</v>
      </c>
      <c r="I3242" s="7">
        <v>2307680</v>
      </c>
      <c r="J3242" s="7">
        <v>0</v>
      </c>
      <c r="K3242">
        <f t="shared" si="50"/>
        <v>337</v>
      </c>
      <c r="L3242" s="8" t="str" cm="1">
        <f t="array" ref="L3242">_xlfn.IFS(
 AND(K3242&gt;=89,K3242&lt;=92),"3개월",
 AND(K3242&gt;=58,K3242&lt;=62),"2개월",
 AND(K3242&gt;=28,K3242&lt;=32),"1개월",
 AND(K3242=0),"당월",
 TRUE,"그외"
)</f>
        <v>그외</v>
      </c>
    </row>
    <row r="3243" spans="1:12" x14ac:dyDescent="0.3">
      <c r="A3243" s="5">
        <v>46054</v>
      </c>
      <c r="B3243" s="6" t="s">
        <v>84</v>
      </c>
      <c r="C3243" s="6" t="s">
        <v>86</v>
      </c>
      <c r="D3243" s="5">
        <v>45748</v>
      </c>
      <c r="E3243" s="6" t="s">
        <v>15</v>
      </c>
      <c r="F3243" s="7">
        <v>67</v>
      </c>
      <c r="G3243" s="7">
        <v>794640.64179104473</v>
      </c>
      <c r="H3243" s="7">
        <v>53240923</v>
      </c>
      <c r="I3243" s="7">
        <v>5880510</v>
      </c>
      <c r="J3243" s="7">
        <v>0</v>
      </c>
      <c r="K3243">
        <f t="shared" si="50"/>
        <v>306</v>
      </c>
      <c r="L3243" s="8" t="str" cm="1">
        <f t="array" ref="L3243">_xlfn.IFS(
 AND(K3243&gt;=89,K3243&lt;=92),"3개월",
 AND(K3243&gt;=58,K3243&lt;=62),"2개월",
 AND(K3243&gt;=28,K3243&lt;=32),"1개월",
 AND(K3243=0),"당월",
 TRUE,"그외"
)</f>
        <v>그외</v>
      </c>
    </row>
    <row r="3244" spans="1:12" x14ac:dyDescent="0.3">
      <c r="A3244" s="5">
        <v>46054</v>
      </c>
      <c r="B3244" s="6" t="s">
        <v>84</v>
      </c>
      <c r="C3244" s="6" t="s">
        <v>86</v>
      </c>
      <c r="D3244" s="5">
        <v>45778</v>
      </c>
      <c r="E3244" s="6" t="s">
        <v>15</v>
      </c>
      <c r="F3244" s="7">
        <v>74</v>
      </c>
      <c r="G3244" s="7">
        <v>668373.78378378379</v>
      </c>
      <c r="H3244" s="7">
        <v>49459660</v>
      </c>
      <c r="I3244" s="7">
        <v>5562376</v>
      </c>
      <c r="J3244" s="7">
        <v>0</v>
      </c>
      <c r="K3244">
        <f t="shared" si="50"/>
        <v>276</v>
      </c>
      <c r="L3244" s="8" t="str" cm="1">
        <f t="array" ref="L3244">_xlfn.IFS(
 AND(K3244&gt;=89,K3244&lt;=92),"3개월",
 AND(K3244&gt;=58,K3244&lt;=62),"2개월",
 AND(K3244&gt;=28,K3244&lt;=32),"1개월",
 AND(K3244=0),"당월",
 TRUE,"그외"
)</f>
        <v>그외</v>
      </c>
    </row>
    <row r="3245" spans="1:12" x14ac:dyDescent="0.3">
      <c r="A3245" s="5">
        <v>46054</v>
      </c>
      <c r="B3245" s="6" t="s">
        <v>84</v>
      </c>
      <c r="C3245" s="6" t="s">
        <v>86</v>
      </c>
      <c r="D3245" s="5">
        <v>45809</v>
      </c>
      <c r="E3245" s="6" t="s">
        <v>15</v>
      </c>
      <c r="F3245" s="7">
        <v>163</v>
      </c>
      <c r="G3245" s="7">
        <v>528239.66257668717</v>
      </c>
      <c r="H3245" s="7">
        <v>86103065</v>
      </c>
      <c r="I3245" s="7">
        <v>9079791</v>
      </c>
      <c r="J3245" s="7">
        <v>0</v>
      </c>
      <c r="K3245">
        <f t="shared" si="50"/>
        <v>245</v>
      </c>
      <c r="L3245" s="8" t="str" cm="1">
        <f t="array" ref="L3245">_xlfn.IFS(
 AND(K3245&gt;=89,K3245&lt;=92),"3개월",
 AND(K3245&gt;=58,K3245&lt;=62),"2개월",
 AND(K3245&gt;=28,K3245&lt;=32),"1개월",
 AND(K3245=0),"당월",
 TRUE,"그외"
)</f>
        <v>그외</v>
      </c>
    </row>
    <row r="3246" spans="1:12" x14ac:dyDescent="0.3">
      <c r="A3246" s="5">
        <v>46054</v>
      </c>
      <c r="B3246" s="6" t="s">
        <v>84</v>
      </c>
      <c r="C3246" s="6" t="s">
        <v>86</v>
      </c>
      <c r="D3246" s="5">
        <v>45839</v>
      </c>
      <c r="E3246" s="6" t="s">
        <v>15</v>
      </c>
      <c r="F3246" s="7">
        <v>162</v>
      </c>
      <c r="G3246" s="7">
        <v>749249.1481481482</v>
      </c>
      <c r="H3246" s="7">
        <v>121378362</v>
      </c>
      <c r="I3246" s="7">
        <v>11567586</v>
      </c>
      <c r="J3246" s="7">
        <v>0</v>
      </c>
      <c r="K3246">
        <f t="shared" si="50"/>
        <v>215</v>
      </c>
      <c r="L3246" s="8" t="str" cm="1">
        <f t="array" ref="L3246">_xlfn.IFS(
 AND(K3246&gt;=89,K3246&lt;=92),"3개월",
 AND(K3246&gt;=58,K3246&lt;=62),"2개월",
 AND(K3246&gt;=28,K3246&lt;=32),"1개월",
 AND(K3246=0),"당월",
 TRUE,"그외"
)</f>
        <v>그외</v>
      </c>
    </row>
    <row r="3247" spans="1:12" x14ac:dyDescent="0.3">
      <c r="A3247" s="5">
        <v>46054</v>
      </c>
      <c r="B3247" s="6" t="s">
        <v>84</v>
      </c>
      <c r="C3247" s="6" t="s">
        <v>86</v>
      </c>
      <c r="D3247" s="5">
        <v>45870</v>
      </c>
      <c r="E3247" s="6" t="s">
        <v>15</v>
      </c>
      <c r="F3247" s="7">
        <v>172</v>
      </c>
      <c r="G3247" s="7">
        <v>789734.48837209307</v>
      </c>
      <c r="H3247" s="7">
        <v>135834332</v>
      </c>
      <c r="I3247" s="7">
        <v>16386087</v>
      </c>
      <c r="J3247" s="7">
        <v>0</v>
      </c>
      <c r="K3247">
        <f t="shared" si="50"/>
        <v>184</v>
      </c>
      <c r="L3247" s="8" t="str" cm="1">
        <f t="array" ref="L3247">_xlfn.IFS(
 AND(K3247&gt;=89,K3247&lt;=92),"3개월",
 AND(K3247&gt;=58,K3247&lt;=62),"2개월",
 AND(K3247&gt;=28,K3247&lt;=32),"1개월",
 AND(K3247=0),"당월",
 TRUE,"그외"
)</f>
        <v>그외</v>
      </c>
    </row>
    <row r="3248" spans="1:12" x14ac:dyDescent="0.3">
      <c r="A3248" s="5">
        <v>46054</v>
      </c>
      <c r="B3248" s="6" t="s">
        <v>84</v>
      </c>
      <c r="C3248" s="6" t="s">
        <v>86</v>
      </c>
      <c r="D3248" s="5">
        <v>45901</v>
      </c>
      <c r="E3248" s="6" t="s">
        <v>15</v>
      </c>
      <c r="F3248" s="7">
        <v>258</v>
      </c>
      <c r="G3248" s="7">
        <v>814099.34108527133</v>
      </c>
      <c r="H3248" s="7">
        <v>210037630</v>
      </c>
      <c r="I3248" s="7">
        <v>22661685</v>
      </c>
      <c r="J3248" s="7">
        <v>0</v>
      </c>
      <c r="K3248">
        <f t="shared" si="50"/>
        <v>153</v>
      </c>
      <c r="L3248" s="8" t="str" cm="1">
        <f t="array" ref="L3248">_xlfn.IFS(
 AND(K3248&gt;=89,K3248&lt;=92),"3개월",
 AND(K3248&gt;=58,K3248&lt;=62),"2개월",
 AND(K3248&gt;=28,K3248&lt;=32),"1개월",
 AND(K3248=0),"당월",
 TRUE,"그외"
)</f>
        <v>그외</v>
      </c>
    </row>
    <row r="3249" spans="1:12" x14ac:dyDescent="0.3">
      <c r="A3249" s="5">
        <v>46054</v>
      </c>
      <c r="B3249" s="6" t="s">
        <v>84</v>
      </c>
      <c r="C3249" s="6" t="s">
        <v>86</v>
      </c>
      <c r="D3249" s="5">
        <v>45931</v>
      </c>
      <c r="E3249" s="6" t="s">
        <v>15</v>
      </c>
      <c r="F3249" s="7">
        <v>308</v>
      </c>
      <c r="G3249" s="7">
        <v>808430.53896103892</v>
      </c>
      <c r="H3249" s="7">
        <v>248996606</v>
      </c>
      <c r="I3249" s="7">
        <v>27226517</v>
      </c>
      <c r="J3249" s="7">
        <v>0</v>
      </c>
      <c r="K3249">
        <f t="shared" si="50"/>
        <v>123</v>
      </c>
      <c r="L3249" s="8" t="str" cm="1">
        <f t="array" ref="L3249">_xlfn.IFS(
 AND(K3249&gt;=89,K3249&lt;=92),"3개월",
 AND(K3249&gt;=58,K3249&lt;=62),"2개월",
 AND(K3249&gt;=28,K3249&lt;=32),"1개월",
 AND(K3249=0),"당월",
 TRUE,"그외"
)</f>
        <v>그외</v>
      </c>
    </row>
    <row r="3250" spans="1:12" x14ac:dyDescent="0.3">
      <c r="A3250" s="5">
        <v>46054</v>
      </c>
      <c r="B3250" s="6" t="s">
        <v>84</v>
      </c>
      <c r="C3250" s="6" t="s">
        <v>86</v>
      </c>
      <c r="D3250" s="5">
        <v>45962</v>
      </c>
      <c r="E3250" s="6" t="s">
        <v>15</v>
      </c>
      <c r="F3250" s="7">
        <v>596</v>
      </c>
      <c r="G3250" s="7">
        <v>772628.52013422817</v>
      </c>
      <c r="H3250" s="7">
        <v>460486598</v>
      </c>
      <c r="I3250" s="7">
        <v>52285177</v>
      </c>
      <c r="J3250" s="7">
        <v>0</v>
      </c>
      <c r="K3250">
        <f t="shared" si="50"/>
        <v>92</v>
      </c>
      <c r="L3250" s="8" t="str" cm="1">
        <f t="array" ref="L3250">_xlfn.IFS(
 AND(K3250&gt;=89,K3250&lt;=92),"3개월",
 AND(K3250&gt;=58,K3250&lt;=62),"2개월",
 AND(K3250&gt;=28,K3250&lt;=32),"1개월",
 AND(K3250=0),"당월",
 TRUE,"그외"
)</f>
        <v>3개월</v>
      </c>
    </row>
    <row r="3251" spans="1:12" x14ac:dyDescent="0.3">
      <c r="A3251" s="5">
        <v>46054</v>
      </c>
      <c r="B3251" s="6" t="s">
        <v>84</v>
      </c>
      <c r="C3251" s="6" t="s">
        <v>86</v>
      </c>
      <c r="D3251" s="5">
        <v>45992</v>
      </c>
      <c r="E3251" s="6" t="s">
        <v>15</v>
      </c>
      <c r="F3251" s="7">
        <v>1161</v>
      </c>
      <c r="G3251" s="7">
        <v>649695.40223944874</v>
      </c>
      <c r="H3251" s="7">
        <v>754296362</v>
      </c>
      <c r="I3251" s="7">
        <v>105681409</v>
      </c>
      <c r="J3251" s="7">
        <v>0</v>
      </c>
      <c r="K3251">
        <f t="shared" si="50"/>
        <v>62</v>
      </c>
      <c r="L3251" s="8" t="str" cm="1">
        <f t="array" ref="L3251">_xlfn.IFS(
 AND(K3251&gt;=89,K3251&lt;=92),"3개월",
 AND(K3251&gt;=58,K3251&lt;=62),"2개월",
 AND(K3251&gt;=28,K3251&lt;=32),"1개월",
 AND(K3251=0),"당월",
 TRUE,"그외"
)</f>
        <v>2개월</v>
      </c>
    </row>
    <row r="3252" spans="1:12" x14ac:dyDescent="0.3">
      <c r="A3252" s="5">
        <v>46054</v>
      </c>
      <c r="B3252" s="6" t="s">
        <v>84</v>
      </c>
      <c r="C3252" s="6" t="s">
        <v>86</v>
      </c>
      <c r="D3252" s="5">
        <v>46023</v>
      </c>
      <c r="E3252" s="6" t="s">
        <v>14</v>
      </c>
      <c r="F3252" s="7">
        <v>1814</v>
      </c>
      <c r="G3252" s="7">
        <v>556397.93550165382</v>
      </c>
      <c r="H3252" s="7">
        <v>1009305855</v>
      </c>
      <c r="I3252" s="7">
        <v>143714000</v>
      </c>
      <c r="J3252" s="7">
        <v>0</v>
      </c>
      <c r="K3252">
        <f t="shared" si="50"/>
        <v>31</v>
      </c>
      <c r="L3252" s="8" t="str" cm="1">
        <f t="array" ref="L3252">_xlfn.IFS(
 AND(K3252&gt;=89,K3252&lt;=92),"3개월",
 AND(K3252&gt;=58,K3252&lt;=62),"2개월",
 AND(K3252&gt;=28,K3252&lt;=32),"1개월",
 AND(K3252=0),"당월",
 TRUE,"그외"
)</f>
        <v>1개월</v>
      </c>
    </row>
    <row r="3253" spans="1:12" x14ac:dyDescent="0.3">
      <c r="A3253" s="5">
        <v>46054</v>
      </c>
      <c r="B3253" s="6" t="s">
        <v>84</v>
      </c>
      <c r="C3253" s="6" t="s">
        <v>86</v>
      </c>
      <c r="D3253" s="5">
        <v>46023</v>
      </c>
      <c r="E3253" s="6" t="s">
        <v>15</v>
      </c>
      <c r="F3253" s="7">
        <v>1635</v>
      </c>
      <c r="G3253" s="7">
        <v>732362.06605504593</v>
      </c>
      <c r="H3253" s="7">
        <v>1197411978</v>
      </c>
      <c r="I3253" s="7">
        <v>150853412</v>
      </c>
      <c r="J3253" s="7">
        <v>0</v>
      </c>
      <c r="K3253">
        <f t="shared" si="50"/>
        <v>31</v>
      </c>
      <c r="L3253" s="8" t="str" cm="1">
        <f t="array" ref="L3253">_xlfn.IFS(
 AND(K3253&gt;=89,K3253&lt;=92),"3개월",
 AND(K3253&gt;=58,K3253&lt;=62),"2개월",
 AND(K3253&gt;=28,K3253&lt;=32),"1개월",
 AND(K3253=0),"당월",
 TRUE,"그외"
)</f>
        <v>1개월</v>
      </c>
    </row>
    <row r="3254" spans="1:12" x14ac:dyDescent="0.3">
      <c r="A3254" s="5">
        <v>46054</v>
      </c>
      <c r="B3254" s="6" t="s">
        <v>84</v>
      </c>
      <c r="C3254" s="6" t="s">
        <v>86</v>
      </c>
      <c r="D3254" s="5">
        <v>46054</v>
      </c>
      <c r="E3254" s="6" t="s">
        <v>14</v>
      </c>
      <c r="F3254" s="7">
        <v>1251</v>
      </c>
      <c r="G3254" s="7">
        <v>494748.32693844917</v>
      </c>
      <c r="H3254" s="7">
        <v>618930157</v>
      </c>
      <c r="I3254" s="7">
        <v>69029400</v>
      </c>
      <c r="J3254" s="7">
        <v>0</v>
      </c>
      <c r="K3254">
        <f t="shared" si="50"/>
        <v>0</v>
      </c>
      <c r="L3254" s="8" t="str" cm="1">
        <f t="array" ref="L3254">_xlfn.IFS(
 AND(K3254&gt;=89,K3254&lt;=92),"3개월",
 AND(K3254&gt;=58,K3254&lt;=62),"2개월",
 AND(K3254&gt;=28,K3254&lt;=32),"1개월",
 AND(K3254=0),"당월",
 TRUE,"그외"
)</f>
        <v>당월</v>
      </c>
    </row>
    <row r="3255" spans="1:12" x14ac:dyDescent="0.3">
      <c r="A3255" s="5">
        <v>46054</v>
      </c>
      <c r="B3255" s="6" t="s">
        <v>84</v>
      </c>
      <c r="C3255" s="6" t="s">
        <v>86</v>
      </c>
      <c r="D3255" s="5">
        <v>46054</v>
      </c>
      <c r="E3255" s="6" t="s">
        <v>15</v>
      </c>
      <c r="F3255" s="7">
        <v>889</v>
      </c>
      <c r="G3255" s="7">
        <v>627041.63892013498</v>
      </c>
      <c r="H3255" s="7">
        <v>557440017</v>
      </c>
      <c r="I3255" s="7">
        <v>66927438</v>
      </c>
      <c r="J3255" s="7">
        <v>0</v>
      </c>
      <c r="K3255">
        <f t="shared" si="50"/>
        <v>0</v>
      </c>
      <c r="L3255" s="8" t="str" cm="1">
        <f t="array" ref="L3255">_xlfn.IFS(
 AND(K3255&gt;=89,K3255&lt;=92),"3개월",
 AND(K3255&gt;=58,K3255&lt;=62),"2개월",
 AND(K3255&gt;=28,K3255&lt;=32),"1개월",
 AND(K3255=0),"당월",
 TRUE,"그외"
)</f>
        <v>당월</v>
      </c>
    </row>
    <row r="3256" spans="1:12" x14ac:dyDescent="0.3">
      <c r="A3256" s="5">
        <v>46054</v>
      </c>
      <c r="B3256" s="6" t="s">
        <v>84</v>
      </c>
      <c r="C3256" s="6" t="s">
        <v>87</v>
      </c>
      <c r="D3256" s="5">
        <v>45748</v>
      </c>
      <c r="E3256" s="6" t="s">
        <v>15</v>
      </c>
      <c r="F3256" s="7">
        <v>3</v>
      </c>
      <c r="G3256" s="7">
        <v>398884.66666666669</v>
      </c>
      <c r="H3256" s="7">
        <v>1196654</v>
      </c>
      <c r="I3256" s="7">
        <v>275594</v>
      </c>
      <c r="J3256" s="7">
        <v>0</v>
      </c>
      <c r="K3256">
        <f t="shared" si="50"/>
        <v>306</v>
      </c>
      <c r="L3256" s="8" t="str" cm="1">
        <f t="array" ref="L3256">_xlfn.IFS(
 AND(K3256&gt;=89,K3256&lt;=92),"3개월",
 AND(K3256&gt;=58,K3256&lt;=62),"2개월",
 AND(K3256&gt;=28,K3256&lt;=32),"1개월",
 AND(K3256=0),"당월",
 TRUE,"그외"
)</f>
        <v>그외</v>
      </c>
    </row>
    <row r="3257" spans="1:12" x14ac:dyDescent="0.3">
      <c r="A3257" s="5">
        <v>46054</v>
      </c>
      <c r="B3257" s="6" t="s">
        <v>84</v>
      </c>
      <c r="C3257" s="6" t="s">
        <v>87</v>
      </c>
      <c r="D3257" s="5">
        <v>45778</v>
      </c>
      <c r="E3257" s="6" t="s">
        <v>15</v>
      </c>
      <c r="F3257" s="7">
        <v>13</v>
      </c>
      <c r="G3257" s="7">
        <v>403092.53846153838</v>
      </c>
      <c r="H3257" s="7">
        <v>5240203</v>
      </c>
      <c r="I3257" s="7">
        <v>1139300</v>
      </c>
      <c r="J3257" s="7">
        <v>0</v>
      </c>
      <c r="K3257">
        <f t="shared" si="50"/>
        <v>276</v>
      </c>
      <c r="L3257" s="8" t="str" cm="1">
        <f t="array" ref="L3257">_xlfn.IFS(
 AND(K3257&gt;=89,K3257&lt;=92),"3개월",
 AND(K3257&gt;=58,K3257&lt;=62),"2개월",
 AND(K3257&gt;=28,K3257&lt;=32),"1개월",
 AND(K3257=0),"당월",
 TRUE,"그외"
)</f>
        <v>그외</v>
      </c>
    </row>
    <row r="3258" spans="1:12" x14ac:dyDescent="0.3">
      <c r="A3258" s="5">
        <v>46054</v>
      </c>
      <c r="B3258" s="6" t="s">
        <v>84</v>
      </c>
      <c r="C3258" s="6" t="s">
        <v>87</v>
      </c>
      <c r="D3258" s="5">
        <v>45809</v>
      </c>
      <c r="E3258" s="6" t="s">
        <v>15</v>
      </c>
      <c r="F3258" s="7">
        <v>23</v>
      </c>
      <c r="G3258" s="7">
        <v>397290.78260869568</v>
      </c>
      <c r="H3258" s="7">
        <v>9137688</v>
      </c>
      <c r="I3258" s="7">
        <v>1744765</v>
      </c>
      <c r="J3258" s="7">
        <v>0</v>
      </c>
      <c r="K3258">
        <f t="shared" si="50"/>
        <v>245</v>
      </c>
      <c r="L3258" s="8" t="str" cm="1">
        <f t="array" ref="L3258">_xlfn.IFS(
 AND(K3258&gt;=89,K3258&lt;=92),"3개월",
 AND(K3258&gt;=58,K3258&lt;=62),"2개월",
 AND(K3258&gt;=28,K3258&lt;=32),"1개월",
 AND(K3258=0),"당월",
 TRUE,"그외"
)</f>
        <v>그외</v>
      </c>
    </row>
    <row r="3259" spans="1:12" x14ac:dyDescent="0.3">
      <c r="A3259" s="5">
        <v>46054</v>
      </c>
      <c r="B3259" s="6" t="s">
        <v>84</v>
      </c>
      <c r="C3259" s="6" t="s">
        <v>87</v>
      </c>
      <c r="D3259" s="5">
        <v>45839</v>
      </c>
      <c r="E3259" s="6" t="s">
        <v>15</v>
      </c>
      <c r="F3259" s="7">
        <v>41</v>
      </c>
      <c r="G3259" s="7">
        <v>500537.02439024393</v>
      </c>
      <c r="H3259" s="7">
        <v>20522018</v>
      </c>
      <c r="I3259" s="7">
        <v>3530814</v>
      </c>
      <c r="J3259" s="7">
        <v>0</v>
      </c>
      <c r="K3259">
        <f t="shared" si="50"/>
        <v>215</v>
      </c>
      <c r="L3259" s="8" t="str" cm="1">
        <f t="array" ref="L3259">_xlfn.IFS(
 AND(K3259&gt;=89,K3259&lt;=92),"3개월",
 AND(K3259&gt;=58,K3259&lt;=62),"2개월",
 AND(K3259&gt;=28,K3259&lt;=32),"1개월",
 AND(K3259=0),"당월",
 TRUE,"그외"
)</f>
        <v>그외</v>
      </c>
    </row>
    <row r="3260" spans="1:12" x14ac:dyDescent="0.3">
      <c r="A3260" s="5">
        <v>46054</v>
      </c>
      <c r="B3260" s="6" t="s">
        <v>84</v>
      </c>
      <c r="C3260" s="6" t="s">
        <v>87</v>
      </c>
      <c r="D3260" s="5">
        <v>45870</v>
      </c>
      <c r="E3260" s="6" t="s">
        <v>15</v>
      </c>
      <c r="F3260" s="7">
        <v>45</v>
      </c>
      <c r="G3260" s="7">
        <v>406217.33333333331</v>
      </c>
      <c r="H3260" s="7">
        <v>18279780</v>
      </c>
      <c r="I3260" s="7">
        <v>4413293</v>
      </c>
      <c r="J3260" s="7">
        <v>0</v>
      </c>
      <c r="K3260">
        <f t="shared" si="50"/>
        <v>184</v>
      </c>
      <c r="L3260" s="8" t="str" cm="1">
        <f t="array" ref="L3260">_xlfn.IFS(
 AND(K3260&gt;=89,K3260&lt;=92),"3개월",
 AND(K3260&gt;=58,K3260&lt;=62),"2개월",
 AND(K3260&gt;=28,K3260&lt;=32),"1개월",
 AND(K3260=0),"당월",
 TRUE,"그외"
)</f>
        <v>그외</v>
      </c>
    </row>
    <row r="3261" spans="1:12" x14ac:dyDescent="0.3">
      <c r="A3261" s="5">
        <v>46054</v>
      </c>
      <c r="B3261" s="6" t="s">
        <v>84</v>
      </c>
      <c r="C3261" s="6" t="s">
        <v>87</v>
      </c>
      <c r="D3261" s="5">
        <v>45901</v>
      </c>
      <c r="E3261" s="6" t="s">
        <v>15</v>
      </c>
      <c r="F3261" s="7">
        <v>92</v>
      </c>
      <c r="G3261" s="7">
        <v>424906.82608695648</v>
      </c>
      <c r="H3261" s="7">
        <v>39091428</v>
      </c>
      <c r="I3261" s="7">
        <v>8437994</v>
      </c>
      <c r="J3261" s="7">
        <v>0</v>
      </c>
      <c r="K3261">
        <f t="shared" si="50"/>
        <v>153</v>
      </c>
      <c r="L3261" s="8" t="str" cm="1">
        <f t="array" ref="L3261">_xlfn.IFS(
 AND(K3261&gt;=89,K3261&lt;=92),"3개월",
 AND(K3261&gt;=58,K3261&lt;=62),"2개월",
 AND(K3261&gt;=28,K3261&lt;=32),"1개월",
 AND(K3261=0),"당월",
 TRUE,"그외"
)</f>
        <v>그외</v>
      </c>
    </row>
    <row r="3262" spans="1:12" x14ac:dyDescent="0.3">
      <c r="A3262" s="5">
        <v>46054</v>
      </c>
      <c r="B3262" s="6" t="s">
        <v>84</v>
      </c>
      <c r="C3262" s="6" t="s">
        <v>87</v>
      </c>
      <c r="D3262" s="5">
        <v>45931</v>
      </c>
      <c r="E3262" s="6" t="s">
        <v>15</v>
      </c>
      <c r="F3262" s="7">
        <v>254</v>
      </c>
      <c r="G3262" s="7">
        <v>456769.53937007883</v>
      </c>
      <c r="H3262" s="7">
        <v>116019463</v>
      </c>
      <c r="I3262" s="7">
        <v>21499383</v>
      </c>
      <c r="J3262" s="7">
        <v>0</v>
      </c>
      <c r="K3262">
        <f t="shared" si="50"/>
        <v>123</v>
      </c>
      <c r="L3262" s="8" t="str" cm="1">
        <f t="array" ref="L3262">_xlfn.IFS(
 AND(K3262&gt;=89,K3262&lt;=92),"3개월",
 AND(K3262&gt;=58,K3262&lt;=62),"2개월",
 AND(K3262&gt;=28,K3262&lt;=32),"1개월",
 AND(K3262=0),"당월",
 TRUE,"그외"
)</f>
        <v>그외</v>
      </c>
    </row>
    <row r="3263" spans="1:12" x14ac:dyDescent="0.3">
      <c r="A3263" s="5">
        <v>46054</v>
      </c>
      <c r="B3263" s="6" t="s">
        <v>84</v>
      </c>
      <c r="C3263" s="6" t="s">
        <v>87</v>
      </c>
      <c r="D3263" s="5">
        <v>45962</v>
      </c>
      <c r="E3263" s="6" t="s">
        <v>15</v>
      </c>
      <c r="F3263" s="7">
        <v>695</v>
      </c>
      <c r="G3263" s="7">
        <v>405618.48920863308</v>
      </c>
      <c r="H3263" s="7">
        <v>281904850</v>
      </c>
      <c r="I3263" s="7">
        <v>64135736</v>
      </c>
      <c r="J3263" s="7">
        <v>0</v>
      </c>
      <c r="K3263">
        <f t="shared" si="50"/>
        <v>92</v>
      </c>
      <c r="L3263" s="8" t="str" cm="1">
        <f t="array" ref="L3263">_xlfn.IFS(
 AND(K3263&gt;=89,K3263&lt;=92),"3개월",
 AND(K3263&gt;=58,K3263&lt;=62),"2개월",
 AND(K3263&gt;=28,K3263&lt;=32),"1개월",
 AND(K3263=0),"당월",
 TRUE,"그외"
)</f>
        <v>3개월</v>
      </c>
    </row>
    <row r="3264" spans="1:12" x14ac:dyDescent="0.3">
      <c r="A3264" s="5">
        <v>46054</v>
      </c>
      <c r="B3264" s="6" t="s">
        <v>84</v>
      </c>
      <c r="C3264" s="6" t="s">
        <v>87</v>
      </c>
      <c r="D3264" s="5">
        <v>45992</v>
      </c>
      <c r="E3264" s="6" t="s">
        <v>15</v>
      </c>
      <c r="F3264" s="7">
        <v>1544</v>
      </c>
      <c r="G3264" s="7">
        <v>447739.32512953371</v>
      </c>
      <c r="H3264" s="7">
        <v>691309518</v>
      </c>
      <c r="I3264" s="7">
        <v>160291038</v>
      </c>
      <c r="J3264" s="7">
        <v>0</v>
      </c>
      <c r="K3264">
        <f t="shared" si="50"/>
        <v>62</v>
      </c>
      <c r="L3264" s="8" t="str" cm="1">
        <f t="array" ref="L3264">_xlfn.IFS(
 AND(K3264&gt;=89,K3264&lt;=92),"3개월",
 AND(K3264&gt;=58,K3264&lt;=62),"2개월",
 AND(K3264&gt;=28,K3264&lt;=32),"1개월",
 AND(K3264=0),"당월",
 TRUE,"그외"
)</f>
        <v>2개월</v>
      </c>
    </row>
    <row r="3265" spans="1:12" x14ac:dyDescent="0.3">
      <c r="A3265" s="5">
        <v>46054</v>
      </c>
      <c r="B3265" s="6" t="s">
        <v>84</v>
      </c>
      <c r="C3265" s="6" t="s">
        <v>87</v>
      </c>
      <c r="D3265" s="5">
        <v>46023</v>
      </c>
      <c r="E3265" s="6" t="s">
        <v>14</v>
      </c>
      <c r="F3265" s="7">
        <v>1463</v>
      </c>
      <c r="G3265" s="7">
        <v>281658.67259056732</v>
      </c>
      <c r="H3265" s="7">
        <v>412066638</v>
      </c>
      <c r="I3265" s="7">
        <v>116162200</v>
      </c>
      <c r="J3265" s="7">
        <v>0</v>
      </c>
      <c r="K3265">
        <f t="shared" si="50"/>
        <v>31</v>
      </c>
      <c r="L3265" s="8" t="str" cm="1">
        <f t="array" ref="L3265">_xlfn.IFS(
 AND(K3265&gt;=89,K3265&lt;=92),"3개월",
 AND(K3265&gt;=58,K3265&lt;=62),"2개월",
 AND(K3265&gt;=28,K3265&lt;=32),"1개월",
 AND(K3265=0),"당월",
 TRUE,"그외"
)</f>
        <v>1개월</v>
      </c>
    </row>
    <row r="3266" spans="1:12" x14ac:dyDescent="0.3">
      <c r="A3266" s="5">
        <v>46054</v>
      </c>
      <c r="B3266" s="6" t="s">
        <v>84</v>
      </c>
      <c r="C3266" s="6" t="s">
        <v>87</v>
      </c>
      <c r="D3266" s="5">
        <v>46023</v>
      </c>
      <c r="E3266" s="6" t="s">
        <v>15</v>
      </c>
      <c r="F3266" s="7">
        <v>1503</v>
      </c>
      <c r="G3266" s="7">
        <v>585276.6879574185</v>
      </c>
      <c r="H3266" s="7">
        <v>879670862</v>
      </c>
      <c r="I3266" s="7">
        <v>167137668</v>
      </c>
      <c r="J3266" s="7">
        <v>0</v>
      </c>
      <c r="K3266">
        <f t="shared" si="50"/>
        <v>31</v>
      </c>
      <c r="L3266" s="8" t="str" cm="1">
        <f t="array" ref="L3266">_xlfn.IFS(
 AND(K3266&gt;=89,K3266&lt;=92),"3개월",
 AND(K3266&gt;=58,K3266&lt;=62),"2개월",
 AND(K3266&gt;=28,K3266&lt;=32),"1개월",
 AND(K3266=0),"당월",
 TRUE,"그외"
)</f>
        <v>1개월</v>
      </c>
    </row>
    <row r="3267" spans="1:12" x14ac:dyDescent="0.3">
      <c r="A3267" s="5">
        <v>46054</v>
      </c>
      <c r="B3267" s="6" t="s">
        <v>84</v>
      </c>
      <c r="C3267" s="6" t="s">
        <v>87</v>
      </c>
      <c r="D3267" s="5">
        <v>46054</v>
      </c>
      <c r="E3267" s="6" t="s">
        <v>14</v>
      </c>
      <c r="F3267" s="7">
        <v>156</v>
      </c>
      <c r="G3267" s="7">
        <v>452420.51282051281</v>
      </c>
      <c r="H3267" s="7">
        <v>70577600</v>
      </c>
      <c r="I3267" s="7">
        <v>8427600</v>
      </c>
      <c r="J3267" s="7">
        <v>0</v>
      </c>
      <c r="K3267">
        <f t="shared" si="50"/>
        <v>0</v>
      </c>
      <c r="L3267" s="8" t="str" cm="1">
        <f t="array" ref="L3267">_xlfn.IFS(
 AND(K3267&gt;=89,K3267&lt;=92),"3개월",
 AND(K3267&gt;=58,K3267&lt;=62),"2개월",
 AND(K3267&gt;=28,K3267&lt;=32),"1개월",
 AND(K3267=0),"당월",
 TRUE,"그외"
)</f>
        <v>당월</v>
      </c>
    </row>
    <row r="3268" spans="1:12" x14ac:dyDescent="0.3">
      <c r="A3268" s="5">
        <v>46054</v>
      </c>
      <c r="B3268" s="6" t="s">
        <v>84</v>
      </c>
      <c r="C3268" s="6" t="s">
        <v>87</v>
      </c>
      <c r="D3268" s="5">
        <v>46054</v>
      </c>
      <c r="E3268" s="6" t="s">
        <v>15</v>
      </c>
      <c r="F3268" s="7">
        <v>882</v>
      </c>
      <c r="G3268" s="7">
        <v>576580.23129251704</v>
      </c>
      <c r="H3268" s="7">
        <v>508543764</v>
      </c>
      <c r="I3268" s="7">
        <v>82395426</v>
      </c>
      <c r="J3268" s="7">
        <v>0</v>
      </c>
      <c r="K3268">
        <f t="shared" si="50"/>
        <v>0</v>
      </c>
      <c r="L3268" s="8" t="str" cm="1">
        <f t="array" ref="L3268">_xlfn.IFS(
 AND(K3268&gt;=89,K3268&lt;=92),"3개월",
 AND(K3268&gt;=58,K3268&lt;=62),"2개월",
 AND(K3268&gt;=28,K3268&lt;=32),"1개월",
 AND(K3268=0),"당월",
 TRUE,"그외"
)</f>
        <v>당월</v>
      </c>
    </row>
    <row r="3269" spans="1:12" x14ac:dyDescent="0.3">
      <c r="A3269" s="5">
        <v>46054</v>
      </c>
      <c r="B3269" s="6" t="s">
        <v>84</v>
      </c>
      <c r="C3269" s="6" t="s">
        <v>88</v>
      </c>
      <c r="D3269" s="5">
        <v>45717</v>
      </c>
      <c r="E3269" s="6" t="s">
        <v>15</v>
      </c>
      <c r="F3269" s="7">
        <v>11</v>
      </c>
      <c r="G3269" s="7">
        <v>772460</v>
      </c>
      <c r="H3269" s="7">
        <v>8497060</v>
      </c>
      <c r="I3269" s="7">
        <v>1251900</v>
      </c>
      <c r="J3269" s="7">
        <v>0</v>
      </c>
      <c r="K3269">
        <f t="shared" si="50"/>
        <v>337</v>
      </c>
      <c r="L3269" s="8" t="str" cm="1">
        <f t="array" ref="L3269">_xlfn.IFS(
 AND(K3269&gt;=89,K3269&lt;=92),"3개월",
 AND(K3269&gt;=58,K3269&lt;=62),"2개월",
 AND(K3269&gt;=28,K3269&lt;=32),"1개월",
 AND(K3269=0),"당월",
 TRUE,"그외"
)</f>
        <v>그외</v>
      </c>
    </row>
    <row r="3270" spans="1:12" x14ac:dyDescent="0.3">
      <c r="A3270" s="5">
        <v>46054</v>
      </c>
      <c r="B3270" s="6" t="s">
        <v>84</v>
      </c>
      <c r="C3270" s="6" t="s">
        <v>88</v>
      </c>
      <c r="D3270" s="5">
        <v>45748</v>
      </c>
      <c r="E3270" s="6" t="s">
        <v>15</v>
      </c>
      <c r="F3270" s="7">
        <v>48</v>
      </c>
      <c r="G3270" s="7">
        <v>590201.70833333337</v>
      </c>
      <c r="H3270" s="7">
        <v>28329682</v>
      </c>
      <c r="I3270" s="7">
        <v>4512073</v>
      </c>
      <c r="J3270" s="7">
        <v>0</v>
      </c>
      <c r="K3270">
        <f t="shared" si="50"/>
        <v>306</v>
      </c>
      <c r="L3270" s="8" t="str" cm="1">
        <f t="array" ref="L3270">_xlfn.IFS(
 AND(K3270&gt;=89,K3270&lt;=92),"3개월",
 AND(K3270&gt;=58,K3270&lt;=62),"2개월",
 AND(K3270&gt;=28,K3270&lt;=32),"1개월",
 AND(K3270=0),"당월",
 TRUE,"그외"
)</f>
        <v>그외</v>
      </c>
    </row>
    <row r="3271" spans="1:12" x14ac:dyDescent="0.3">
      <c r="A3271" s="5">
        <v>46054</v>
      </c>
      <c r="B3271" s="6" t="s">
        <v>84</v>
      </c>
      <c r="C3271" s="6" t="s">
        <v>88</v>
      </c>
      <c r="D3271" s="5">
        <v>45778</v>
      </c>
      <c r="E3271" s="6" t="s">
        <v>15</v>
      </c>
      <c r="F3271" s="7">
        <v>43</v>
      </c>
      <c r="G3271" s="7">
        <v>593283.81395348837</v>
      </c>
      <c r="H3271" s="7">
        <v>25511204</v>
      </c>
      <c r="I3271" s="7">
        <v>3576600</v>
      </c>
      <c r="J3271" s="7">
        <v>0</v>
      </c>
      <c r="K3271">
        <f t="shared" si="50"/>
        <v>276</v>
      </c>
      <c r="L3271" s="8" t="str" cm="1">
        <f t="array" ref="L3271">_xlfn.IFS(
 AND(K3271&gt;=89,K3271&lt;=92),"3개월",
 AND(K3271&gt;=58,K3271&lt;=62),"2개월",
 AND(K3271&gt;=28,K3271&lt;=32),"1개월",
 AND(K3271=0),"당월",
 TRUE,"그외"
)</f>
        <v>그외</v>
      </c>
    </row>
    <row r="3272" spans="1:12" x14ac:dyDescent="0.3">
      <c r="A3272" s="5">
        <v>46054</v>
      </c>
      <c r="B3272" s="6" t="s">
        <v>84</v>
      </c>
      <c r="C3272" s="6" t="s">
        <v>88</v>
      </c>
      <c r="D3272" s="5">
        <v>45809</v>
      </c>
      <c r="E3272" s="6" t="s">
        <v>15</v>
      </c>
      <c r="F3272" s="7">
        <v>228</v>
      </c>
      <c r="G3272" s="7">
        <v>522643.80263157887</v>
      </c>
      <c r="H3272" s="7">
        <v>119162787</v>
      </c>
      <c r="I3272" s="7">
        <v>14026023</v>
      </c>
      <c r="J3272" s="7">
        <v>0</v>
      </c>
      <c r="K3272">
        <f t="shared" si="50"/>
        <v>245</v>
      </c>
      <c r="L3272" s="8" t="str" cm="1">
        <f t="array" ref="L3272">_xlfn.IFS(
 AND(K3272&gt;=89,K3272&lt;=92),"3개월",
 AND(K3272&gt;=58,K3272&lt;=62),"2개월",
 AND(K3272&gt;=28,K3272&lt;=32),"1개월",
 AND(K3272=0),"당월",
 TRUE,"그외"
)</f>
        <v>그외</v>
      </c>
    </row>
    <row r="3273" spans="1:12" x14ac:dyDescent="0.3">
      <c r="A3273" s="5">
        <v>46054</v>
      </c>
      <c r="B3273" s="6" t="s">
        <v>84</v>
      </c>
      <c r="C3273" s="6" t="s">
        <v>88</v>
      </c>
      <c r="D3273" s="5">
        <v>45839</v>
      </c>
      <c r="E3273" s="6" t="s">
        <v>15</v>
      </c>
      <c r="F3273" s="7">
        <v>117</v>
      </c>
      <c r="G3273" s="7">
        <v>689057.31623931625</v>
      </c>
      <c r="H3273" s="7">
        <v>80619706</v>
      </c>
      <c r="I3273" s="7">
        <v>7172398</v>
      </c>
      <c r="J3273" s="7">
        <v>0</v>
      </c>
      <c r="K3273">
        <f t="shared" si="50"/>
        <v>215</v>
      </c>
      <c r="L3273" s="8" t="str" cm="1">
        <f t="array" ref="L3273">_xlfn.IFS(
 AND(K3273&gt;=89,K3273&lt;=92),"3개월",
 AND(K3273&gt;=58,K3273&lt;=62),"2개월",
 AND(K3273&gt;=28,K3273&lt;=32),"1개월",
 AND(K3273=0),"당월",
 TRUE,"그외"
)</f>
        <v>그외</v>
      </c>
    </row>
    <row r="3274" spans="1:12" x14ac:dyDescent="0.3">
      <c r="A3274" s="5">
        <v>46054</v>
      </c>
      <c r="B3274" s="6" t="s">
        <v>84</v>
      </c>
      <c r="C3274" s="6" t="s">
        <v>88</v>
      </c>
      <c r="D3274" s="5">
        <v>45870</v>
      </c>
      <c r="E3274" s="6" t="s">
        <v>15</v>
      </c>
      <c r="F3274" s="7">
        <v>110</v>
      </c>
      <c r="G3274" s="7">
        <v>715449.57272727275</v>
      </c>
      <c r="H3274" s="7">
        <v>78699453</v>
      </c>
      <c r="I3274" s="7">
        <v>9066250</v>
      </c>
      <c r="J3274" s="7">
        <v>0</v>
      </c>
      <c r="K3274">
        <f t="shared" ref="K3274:K3337" si="51">A3274-D3274</f>
        <v>184</v>
      </c>
      <c r="L3274" s="8" t="str" cm="1">
        <f t="array" ref="L3274">_xlfn.IFS(
 AND(K3274&gt;=89,K3274&lt;=92),"3개월",
 AND(K3274&gt;=58,K3274&lt;=62),"2개월",
 AND(K3274&gt;=28,K3274&lt;=32),"1개월",
 AND(K3274=0),"당월",
 TRUE,"그외"
)</f>
        <v>그외</v>
      </c>
    </row>
    <row r="3275" spans="1:12" x14ac:dyDescent="0.3">
      <c r="A3275" s="5">
        <v>46054</v>
      </c>
      <c r="B3275" s="6" t="s">
        <v>84</v>
      </c>
      <c r="C3275" s="6" t="s">
        <v>88</v>
      </c>
      <c r="D3275" s="5">
        <v>45901</v>
      </c>
      <c r="E3275" s="6" t="s">
        <v>15</v>
      </c>
      <c r="F3275" s="7">
        <v>116</v>
      </c>
      <c r="G3275" s="7">
        <v>966413.98275862064</v>
      </c>
      <c r="H3275" s="7">
        <v>112104022</v>
      </c>
      <c r="I3275" s="7">
        <v>12442743</v>
      </c>
      <c r="J3275" s="7">
        <v>0</v>
      </c>
      <c r="K3275">
        <f t="shared" si="51"/>
        <v>153</v>
      </c>
      <c r="L3275" s="8" t="str" cm="1">
        <f t="array" ref="L3275">_xlfn.IFS(
 AND(K3275&gt;=89,K3275&lt;=92),"3개월",
 AND(K3275&gt;=58,K3275&lt;=62),"2개월",
 AND(K3275&gt;=28,K3275&lt;=32),"1개월",
 AND(K3275=0),"당월",
 TRUE,"그외"
)</f>
        <v>그외</v>
      </c>
    </row>
    <row r="3276" spans="1:12" x14ac:dyDescent="0.3">
      <c r="A3276" s="5">
        <v>46054</v>
      </c>
      <c r="B3276" s="6" t="s">
        <v>84</v>
      </c>
      <c r="C3276" s="6" t="s">
        <v>88</v>
      </c>
      <c r="D3276" s="5">
        <v>45931</v>
      </c>
      <c r="E3276" s="6" t="s">
        <v>15</v>
      </c>
      <c r="F3276" s="7">
        <v>236</v>
      </c>
      <c r="G3276" s="7">
        <v>649331.66949152539</v>
      </c>
      <c r="H3276" s="7">
        <v>153242274</v>
      </c>
      <c r="I3276" s="7">
        <v>20392526</v>
      </c>
      <c r="J3276" s="7">
        <v>0</v>
      </c>
      <c r="K3276">
        <f t="shared" si="51"/>
        <v>123</v>
      </c>
      <c r="L3276" s="8" t="str" cm="1">
        <f t="array" ref="L3276">_xlfn.IFS(
 AND(K3276&gt;=89,K3276&lt;=92),"3개월",
 AND(K3276&gt;=58,K3276&lt;=62),"2개월",
 AND(K3276&gt;=28,K3276&lt;=32),"1개월",
 AND(K3276=0),"당월",
 TRUE,"그외"
)</f>
        <v>그외</v>
      </c>
    </row>
    <row r="3277" spans="1:12" x14ac:dyDescent="0.3">
      <c r="A3277" s="5">
        <v>46054</v>
      </c>
      <c r="B3277" s="6" t="s">
        <v>84</v>
      </c>
      <c r="C3277" s="6" t="s">
        <v>88</v>
      </c>
      <c r="D3277" s="5">
        <v>45962</v>
      </c>
      <c r="E3277" s="6" t="s">
        <v>15</v>
      </c>
      <c r="F3277" s="7">
        <v>946</v>
      </c>
      <c r="G3277" s="7">
        <v>537300.74524312897</v>
      </c>
      <c r="H3277" s="7">
        <v>508286505</v>
      </c>
      <c r="I3277" s="7">
        <v>88473514</v>
      </c>
      <c r="J3277" s="7">
        <v>0</v>
      </c>
      <c r="K3277">
        <f t="shared" si="51"/>
        <v>92</v>
      </c>
      <c r="L3277" s="8" t="str" cm="1">
        <f t="array" ref="L3277">_xlfn.IFS(
 AND(K3277&gt;=89,K3277&lt;=92),"3개월",
 AND(K3277&gt;=58,K3277&lt;=62),"2개월",
 AND(K3277&gt;=28,K3277&lt;=32),"1개월",
 AND(K3277=0),"당월",
 TRUE,"그외"
)</f>
        <v>3개월</v>
      </c>
    </row>
    <row r="3278" spans="1:12" x14ac:dyDescent="0.3">
      <c r="A3278" s="5">
        <v>46054</v>
      </c>
      <c r="B3278" s="6" t="s">
        <v>84</v>
      </c>
      <c r="C3278" s="6" t="s">
        <v>88</v>
      </c>
      <c r="D3278" s="5">
        <v>45992</v>
      </c>
      <c r="E3278" s="6" t="s">
        <v>15</v>
      </c>
      <c r="F3278" s="7">
        <v>1605</v>
      </c>
      <c r="G3278" s="7">
        <v>513969.04236760119</v>
      </c>
      <c r="H3278" s="7">
        <v>824920313</v>
      </c>
      <c r="I3278" s="7">
        <v>158060994</v>
      </c>
      <c r="J3278" s="7">
        <v>0</v>
      </c>
      <c r="K3278">
        <f t="shared" si="51"/>
        <v>62</v>
      </c>
      <c r="L3278" s="8" t="str" cm="1">
        <f t="array" ref="L3278">_xlfn.IFS(
 AND(K3278&gt;=89,K3278&lt;=92),"3개월",
 AND(K3278&gt;=58,K3278&lt;=62),"2개월",
 AND(K3278&gt;=28,K3278&lt;=32),"1개월",
 AND(K3278=0),"당월",
 TRUE,"그외"
)</f>
        <v>2개월</v>
      </c>
    </row>
    <row r="3279" spans="1:12" x14ac:dyDescent="0.3">
      <c r="A3279" s="5">
        <v>46054</v>
      </c>
      <c r="B3279" s="6" t="s">
        <v>84</v>
      </c>
      <c r="C3279" s="6" t="s">
        <v>88</v>
      </c>
      <c r="D3279" s="5">
        <v>46023</v>
      </c>
      <c r="E3279" s="6" t="s">
        <v>14</v>
      </c>
      <c r="F3279" s="7">
        <v>513</v>
      </c>
      <c r="G3279" s="7">
        <v>536742.58089668618</v>
      </c>
      <c r="H3279" s="7">
        <v>275348944</v>
      </c>
      <c r="I3279" s="7">
        <v>40732200</v>
      </c>
      <c r="J3279" s="7">
        <v>0</v>
      </c>
      <c r="K3279">
        <f t="shared" si="51"/>
        <v>31</v>
      </c>
      <c r="L3279" s="8" t="str" cm="1">
        <f t="array" ref="L3279">_xlfn.IFS(
 AND(K3279&gt;=89,K3279&lt;=92),"3개월",
 AND(K3279&gt;=58,K3279&lt;=62),"2개월",
 AND(K3279&gt;=28,K3279&lt;=32),"1개월",
 AND(K3279=0),"당월",
 TRUE,"그외"
)</f>
        <v>1개월</v>
      </c>
    </row>
    <row r="3280" spans="1:12" x14ac:dyDescent="0.3">
      <c r="A3280" s="5">
        <v>46054</v>
      </c>
      <c r="B3280" s="6" t="s">
        <v>84</v>
      </c>
      <c r="C3280" s="6" t="s">
        <v>88</v>
      </c>
      <c r="D3280" s="5">
        <v>46023</v>
      </c>
      <c r="E3280" s="6" t="s">
        <v>15</v>
      </c>
      <c r="F3280" s="7">
        <v>2230</v>
      </c>
      <c r="G3280" s="7">
        <v>622980.75739910314</v>
      </c>
      <c r="H3280" s="7">
        <v>1389247089</v>
      </c>
      <c r="I3280" s="7">
        <v>226668542</v>
      </c>
      <c r="J3280" s="7">
        <v>0</v>
      </c>
      <c r="K3280">
        <f t="shared" si="51"/>
        <v>31</v>
      </c>
      <c r="L3280" s="8" t="str" cm="1">
        <f t="array" ref="L3280">_xlfn.IFS(
 AND(K3280&gt;=89,K3280&lt;=92),"3개월",
 AND(K3280&gt;=58,K3280&lt;=62),"2개월",
 AND(K3280&gt;=28,K3280&lt;=32),"1개월",
 AND(K3280=0),"당월",
 TRUE,"그외"
)</f>
        <v>1개월</v>
      </c>
    </row>
    <row r="3281" spans="1:12" x14ac:dyDescent="0.3">
      <c r="A3281" s="5">
        <v>46054</v>
      </c>
      <c r="B3281" s="6" t="s">
        <v>84</v>
      </c>
      <c r="C3281" s="6" t="s">
        <v>88</v>
      </c>
      <c r="D3281" s="5">
        <v>46054</v>
      </c>
      <c r="E3281" s="6" t="s">
        <v>14</v>
      </c>
      <c r="F3281" s="7">
        <v>224</v>
      </c>
      <c r="G3281" s="7">
        <v>487969.24107142858</v>
      </c>
      <c r="H3281" s="7">
        <v>109305110</v>
      </c>
      <c r="I3281" s="7">
        <v>12210600</v>
      </c>
      <c r="J3281" s="7">
        <v>0</v>
      </c>
      <c r="K3281">
        <f t="shared" si="51"/>
        <v>0</v>
      </c>
      <c r="L3281" s="8" t="str" cm="1">
        <f t="array" ref="L3281">_xlfn.IFS(
 AND(K3281&gt;=89,K3281&lt;=92),"3개월",
 AND(K3281&gt;=58,K3281&lt;=62),"2개월",
 AND(K3281&gt;=28,K3281&lt;=32),"1개월",
 AND(K3281=0),"당월",
 TRUE,"그외"
)</f>
        <v>당월</v>
      </c>
    </row>
    <row r="3282" spans="1:12" x14ac:dyDescent="0.3">
      <c r="A3282" s="5">
        <v>46054</v>
      </c>
      <c r="B3282" s="6" t="s">
        <v>84</v>
      </c>
      <c r="C3282" s="6" t="s">
        <v>88</v>
      </c>
      <c r="D3282" s="5">
        <v>46054</v>
      </c>
      <c r="E3282" s="6" t="s">
        <v>15</v>
      </c>
      <c r="F3282" s="7">
        <v>1212</v>
      </c>
      <c r="G3282" s="7">
        <v>651897.34983498347</v>
      </c>
      <c r="H3282" s="7">
        <v>790099588</v>
      </c>
      <c r="I3282" s="7">
        <v>122537601</v>
      </c>
      <c r="J3282" s="7">
        <v>0</v>
      </c>
      <c r="K3282">
        <f t="shared" si="51"/>
        <v>0</v>
      </c>
      <c r="L3282" s="8" t="str" cm="1">
        <f t="array" ref="L3282">_xlfn.IFS(
 AND(K3282&gt;=89,K3282&lt;=92),"3개월",
 AND(K3282&gt;=58,K3282&lt;=62),"2개월",
 AND(K3282&gt;=28,K3282&lt;=32),"1개월",
 AND(K3282=0),"당월",
 TRUE,"그외"
)</f>
        <v>당월</v>
      </c>
    </row>
    <row r="3283" spans="1:12" x14ac:dyDescent="0.3">
      <c r="A3283" s="5">
        <v>46054</v>
      </c>
      <c r="B3283" s="6" t="s">
        <v>84</v>
      </c>
      <c r="C3283" s="6" t="s">
        <v>88</v>
      </c>
      <c r="D3283" s="5">
        <v>46082</v>
      </c>
      <c r="E3283" s="6" t="s">
        <v>15</v>
      </c>
      <c r="F3283" s="7">
        <v>1</v>
      </c>
      <c r="G3283" s="7">
        <v>1829133</v>
      </c>
      <c r="H3283" s="7">
        <v>1829133</v>
      </c>
      <c r="I3283" s="7">
        <v>0</v>
      </c>
      <c r="J3283" s="7">
        <v>0</v>
      </c>
      <c r="K3283">
        <f t="shared" si="51"/>
        <v>-28</v>
      </c>
      <c r="L3283" s="8" t="str" cm="1">
        <f t="array" ref="L3283">_xlfn.IFS(
 AND(K3283&gt;=89,K3283&lt;=92),"3개월",
 AND(K3283&gt;=58,K3283&lt;=62),"2개월",
 AND(K3283&gt;=28,K3283&lt;=32),"1개월",
 AND(K3283=0),"당월",
 TRUE,"그외"
)</f>
        <v>그외</v>
      </c>
    </row>
    <row r="3284" spans="1:12" x14ac:dyDescent="0.3">
      <c r="A3284" s="5">
        <v>46054</v>
      </c>
      <c r="B3284" s="6" t="s">
        <v>89</v>
      </c>
      <c r="C3284" s="6" t="s">
        <v>90</v>
      </c>
      <c r="D3284" s="5">
        <v>45839</v>
      </c>
      <c r="E3284" s="6" t="s">
        <v>15</v>
      </c>
      <c r="F3284" s="7">
        <v>6</v>
      </c>
      <c r="G3284" s="7">
        <v>1051641.5</v>
      </c>
      <c r="H3284" s="7">
        <v>6309849</v>
      </c>
      <c r="I3284" s="7">
        <v>251373</v>
      </c>
      <c r="J3284" s="7">
        <v>0</v>
      </c>
      <c r="K3284">
        <f t="shared" si="51"/>
        <v>215</v>
      </c>
      <c r="L3284" s="8" t="str" cm="1">
        <f t="array" ref="L3284">_xlfn.IFS(
 AND(K3284&gt;=89,K3284&lt;=92),"3개월",
 AND(K3284&gt;=58,K3284&lt;=62),"2개월",
 AND(K3284&gt;=28,K3284&lt;=32),"1개월",
 AND(K3284=0),"당월",
 TRUE,"그외"
)</f>
        <v>그외</v>
      </c>
    </row>
    <row r="3285" spans="1:12" x14ac:dyDescent="0.3">
      <c r="A3285" s="5">
        <v>46054</v>
      </c>
      <c r="B3285" s="6" t="s">
        <v>89</v>
      </c>
      <c r="C3285" s="6" t="s">
        <v>90</v>
      </c>
      <c r="D3285" s="5">
        <v>45870</v>
      </c>
      <c r="E3285" s="6" t="s">
        <v>15</v>
      </c>
      <c r="F3285" s="7">
        <v>13</v>
      </c>
      <c r="G3285" s="7">
        <v>675044.15384615387</v>
      </c>
      <c r="H3285" s="7">
        <v>8775574</v>
      </c>
      <c r="I3285" s="7">
        <v>1212938</v>
      </c>
      <c r="J3285" s="7">
        <v>0</v>
      </c>
      <c r="K3285">
        <f t="shared" si="51"/>
        <v>184</v>
      </c>
      <c r="L3285" s="8" t="str" cm="1">
        <f t="array" ref="L3285">_xlfn.IFS(
 AND(K3285&gt;=89,K3285&lt;=92),"3개월",
 AND(K3285&gt;=58,K3285&lt;=62),"2개월",
 AND(K3285&gt;=28,K3285&lt;=32),"1개월",
 AND(K3285=0),"당월",
 TRUE,"그외"
)</f>
        <v>그외</v>
      </c>
    </row>
    <row r="3286" spans="1:12" x14ac:dyDescent="0.3">
      <c r="A3286" s="5">
        <v>46054</v>
      </c>
      <c r="B3286" s="6" t="s">
        <v>89</v>
      </c>
      <c r="C3286" s="6" t="s">
        <v>90</v>
      </c>
      <c r="D3286" s="5">
        <v>45901</v>
      </c>
      <c r="E3286" s="6" t="s">
        <v>15</v>
      </c>
      <c r="F3286" s="7">
        <v>13</v>
      </c>
      <c r="G3286" s="7">
        <v>591323.07692307688</v>
      </c>
      <c r="H3286" s="7">
        <v>7687200</v>
      </c>
      <c r="I3286" s="7">
        <v>903119</v>
      </c>
      <c r="J3286" s="7">
        <v>0</v>
      </c>
      <c r="K3286">
        <f t="shared" si="51"/>
        <v>153</v>
      </c>
      <c r="L3286" s="8" t="str" cm="1">
        <f t="array" ref="L3286">_xlfn.IFS(
 AND(K3286&gt;=89,K3286&lt;=92),"3개월",
 AND(K3286&gt;=58,K3286&lt;=62),"2개월",
 AND(K3286&gt;=28,K3286&lt;=32),"1개월",
 AND(K3286=0),"당월",
 TRUE,"그외"
)</f>
        <v>그외</v>
      </c>
    </row>
    <row r="3287" spans="1:12" x14ac:dyDescent="0.3">
      <c r="A3287" s="5">
        <v>46054</v>
      </c>
      <c r="B3287" s="6" t="s">
        <v>89</v>
      </c>
      <c r="C3287" s="6" t="s">
        <v>90</v>
      </c>
      <c r="D3287" s="5">
        <v>45931</v>
      </c>
      <c r="E3287" s="6" t="s">
        <v>15</v>
      </c>
      <c r="F3287" s="7">
        <v>99</v>
      </c>
      <c r="G3287" s="7">
        <v>475057.28282828291</v>
      </c>
      <c r="H3287" s="7">
        <v>47030671</v>
      </c>
      <c r="I3287" s="7">
        <v>9300852</v>
      </c>
      <c r="J3287" s="7">
        <v>0</v>
      </c>
      <c r="K3287">
        <f t="shared" si="51"/>
        <v>123</v>
      </c>
      <c r="L3287" s="8" t="str" cm="1">
        <f t="array" ref="L3287">_xlfn.IFS(
 AND(K3287&gt;=89,K3287&lt;=92),"3개월",
 AND(K3287&gt;=58,K3287&lt;=62),"2개월",
 AND(K3287&gt;=28,K3287&lt;=32),"1개월",
 AND(K3287=0),"당월",
 TRUE,"그외"
)</f>
        <v>그외</v>
      </c>
    </row>
    <row r="3288" spans="1:12" x14ac:dyDescent="0.3">
      <c r="A3288" s="5">
        <v>46054</v>
      </c>
      <c r="B3288" s="6" t="s">
        <v>89</v>
      </c>
      <c r="C3288" s="6" t="s">
        <v>90</v>
      </c>
      <c r="D3288" s="5">
        <v>45962</v>
      </c>
      <c r="E3288" s="6" t="s">
        <v>14</v>
      </c>
      <c r="F3288" s="7">
        <v>38</v>
      </c>
      <c r="G3288" s="7">
        <v>301442.10526315792</v>
      </c>
      <c r="H3288" s="7">
        <v>11454800</v>
      </c>
      <c r="I3288" s="7">
        <v>2454800</v>
      </c>
      <c r="J3288" s="7">
        <v>0</v>
      </c>
      <c r="K3288">
        <f t="shared" si="51"/>
        <v>92</v>
      </c>
      <c r="L3288" s="8" t="str" cm="1">
        <f t="array" ref="L3288">_xlfn.IFS(
 AND(K3288&gt;=89,K3288&lt;=92),"3개월",
 AND(K3288&gt;=58,K3288&lt;=62),"2개월",
 AND(K3288&gt;=28,K3288&lt;=32),"1개월",
 AND(K3288=0),"당월",
 TRUE,"그외"
)</f>
        <v>3개월</v>
      </c>
    </row>
    <row r="3289" spans="1:12" x14ac:dyDescent="0.3">
      <c r="A3289" s="5">
        <v>46054</v>
      </c>
      <c r="B3289" s="6" t="s">
        <v>89</v>
      </c>
      <c r="C3289" s="6" t="s">
        <v>90</v>
      </c>
      <c r="D3289" s="5">
        <v>45962</v>
      </c>
      <c r="E3289" s="6" t="s">
        <v>15</v>
      </c>
      <c r="F3289" s="7">
        <v>673</v>
      </c>
      <c r="G3289" s="7">
        <v>398147.80089153053</v>
      </c>
      <c r="H3289" s="7">
        <v>267953470</v>
      </c>
      <c r="I3289" s="7">
        <v>62467604</v>
      </c>
      <c r="J3289" s="7">
        <v>0</v>
      </c>
      <c r="K3289">
        <f t="shared" si="51"/>
        <v>92</v>
      </c>
      <c r="L3289" s="8" t="str" cm="1">
        <f t="array" ref="L3289">_xlfn.IFS(
 AND(K3289&gt;=89,K3289&lt;=92),"3개월",
 AND(K3289&gt;=58,K3289&lt;=62),"2개월",
 AND(K3289&gt;=28,K3289&lt;=32),"1개월",
 AND(K3289=0),"당월",
 TRUE,"그외"
)</f>
        <v>3개월</v>
      </c>
    </row>
    <row r="3290" spans="1:12" x14ac:dyDescent="0.3">
      <c r="A3290" s="5">
        <v>46054</v>
      </c>
      <c r="B3290" s="6" t="s">
        <v>89</v>
      </c>
      <c r="C3290" s="6" t="s">
        <v>90</v>
      </c>
      <c r="D3290" s="5">
        <v>45992</v>
      </c>
      <c r="E3290" s="6" t="s">
        <v>14</v>
      </c>
      <c r="F3290" s="7">
        <v>8</v>
      </c>
      <c r="G3290" s="7">
        <v>302700</v>
      </c>
      <c r="H3290" s="7">
        <v>2421600</v>
      </c>
      <c r="I3290" s="7">
        <v>621600</v>
      </c>
      <c r="J3290" s="7">
        <v>0</v>
      </c>
      <c r="K3290">
        <f t="shared" si="51"/>
        <v>62</v>
      </c>
      <c r="L3290" s="8" t="str" cm="1">
        <f t="array" ref="L3290">_xlfn.IFS(
 AND(K3290&gt;=89,K3290&lt;=92),"3개월",
 AND(K3290&gt;=58,K3290&lt;=62),"2개월",
 AND(K3290&gt;=28,K3290&lt;=32),"1개월",
 AND(K3290=0),"당월",
 TRUE,"그외"
)</f>
        <v>2개월</v>
      </c>
    </row>
    <row r="3291" spans="1:12" x14ac:dyDescent="0.3">
      <c r="A3291" s="5">
        <v>46054</v>
      </c>
      <c r="B3291" s="6" t="s">
        <v>89</v>
      </c>
      <c r="C3291" s="6" t="s">
        <v>90</v>
      </c>
      <c r="D3291" s="5">
        <v>45992</v>
      </c>
      <c r="E3291" s="6" t="s">
        <v>15</v>
      </c>
      <c r="F3291" s="7">
        <v>1232</v>
      </c>
      <c r="G3291" s="7">
        <v>458373.74837662338</v>
      </c>
      <c r="H3291" s="7">
        <v>564716458</v>
      </c>
      <c r="I3291" s="7">
        <v>124874758</v>
      </c>
      <c r="J3291" s="7">
        <v>0</v>
      </c>
      <c r="K3291">
        <f t="shared" si="51"/>
        <v>62</v>
      </c>
      <c r="L3291" s="8" t="str" cm="1">
        <f t="array" ref="L3291">_xlfn.IFS(
 AND(K3291&gt;=89,K3291&lt;=92),"3개월",
 AND(K3291&gt;=58,K3291&lt;=62),"2개월",
 AND(K3291&gt;=28,K3291&lt;=32),"1개월",
 AND(K3291=0),"당월",
 TRUE,"그외"
)</f>
        <v>2개월</v>
      </c>
    </row>
    <row r="3292" spans="1:12" x14ac:dyDescent="0.3">
      <c r="A3292" s="5">
        <v>46054</v>
      </c>
      <c r="B3292" s="6" t="s">
        <v>89</v>
      </c>
      <c r="C3292" s="6" t="s">
        <v>90</v>
      </c>
      <c r="D3292" s="5">
        <v>46023</v>
      </c>
      <c r="E3292" s="6" t="s">
        <v>14</v>
      </c>
      <c r="F3292" s="7">
        <v>126</v>
      </c>
      <c r="G3292" s="7">
        <v>363898.52380952379</v>
      </c>
      <c r="H3292" s="7">
        <v>45851214</v>
      </c>
      <c r="I3292" s="7">
        <v>10749462</v>
      </c>
      <c r="J3292" s="7">
        <v>0</v>
      </c>
      <c r="K3292">
        <f t="shared" si="51"/>
        <v>31</v>
      </c>
      <c r="L3292" s="8" t="str" cm="1">
        <f t="array" ref="L3292">_xlfn.IFS(
 AND(K3292&gt;=89,K3292&lt;=92),"3개월",
 AND(K3292&gt;=58,K3292&lt;=62),"2개월",
 AND(K3292&gt;=28,K3292&lt;=32),"1개월",
 AND(K3292=0),"당월",
 TRUE,"그외"
)</f>
        <v>1개월</v>
      </c>
    </row>
    <row r="3293" spans="1:12" x14ac:dyDescent="0.3">
      <c r="A3293" s="5">
        <v>46054</v>
      </c>
      <c r="B3293" s="6" t="s">
        <v>89</v>
      </c>
      <c r="C3293" s="6" t="s">
        <v>90</v>
      </c>
      <c r="D3293" s="5">
        <v>46023</v>
      </c>
      <c r="E3293" s="6" t="s">
        <v>15</v>
      </c>
      <c r="F3293" s="7">
        <v>2994</v>
      </c>
      <c r="G3293" s="7">
        <v>493995.9505678023</v>
      </c>
      <c r="H3293" s="7">
        <v>1479023876</v>
      </c>
      <c r="I3293" s="7">
        <v>346702969</v>
      </c>
      <c r="J3293" s="7">
        <v>0</v>
      </c>
      <c r="K3293">
        <f t="shared" si="51"/>
        <v>31</v>
      </c>
      <c r="L3293" s="8" t="str" cm="1">
        <f t="array" ref="L3293">_xlfn.IFS(
 AND(K3293&gt;=89,K3293&lt;=92),"3개월",
 AND(K3293&gt;=58,K3293&lt;=62),"2개월",
 AND(K3293&gt;=28,K3293&lt;=32),"1개월",
 AND(K3293=0),"당월",
 TRUE,"그외"
)</f>
        <v>1개월</v>
      </c>
    </row>
    <row r="3294" spans="1:12" x14ac:dyDescent="0.3">
      <c r="A3294" s="5">
        <v>46054</v>
      </c>
      <c r="B3294" s="6" t="s">
        <v>89</v>
      </c>
      <c r="C3294" s="6" t="s">
        <v>90</v>
      </c>
      <c r="D3294" s="5">
        <v>46054</v>
      </c>
      <c r="E3294" s="6" t="s">
        <v>14</v>
      </c>
      <c r="F3294" s="7">
        <v>94</v>
      </c>
      <c r="G3294" s="7">
        <v>537278.13829787239</v>
      </c>
      <c r="H3294" s="7">
        <v>50504145</v>
      </c>
      <c r="I3294" s="7">
        <v>12924935</v>
      </c>
      <c r="J3294" s="7">
        <v>0</v>
      </c>
      <c r="K3294">
        <f t="shared" si="51"/>
        <v>0</v>
      </c>
      <c r="L3294" s="8" t="str" cm="1">
        <f t="array" ref="L3294">_xlfn.IFS(
 AND(K3294&gt;=89,K3294&lt;=92),"3개월",
 AND(K3294&gt;=58,K3294&lt;=62),"2개월",
 AND(K3294&gt;=28,K3294&lt;=32),"1개월",
 AND(K3294=0),"당월",
 TRUE,"그외"
)</f>
        <v>당월</v>
      </c>
    </row>
    <row r="3295" spans="1:12" x14ac:dyDescent="0.3">
      <c r="A3295" s="5">
        <v>46054</v>
      </c>
      <c r="B3295" s="6" t="s">
        <v>89</v>
      </c>
      <c r="C3295" s="6" t="s">
        <v>90</v>
      </c>
      <c r="D3295" s="5">
        <v>46054</v>
      </c>
      <c r="E3295" s="6" t="s">
        <v>15</v>
      </c>
      <c r="F3295" s="7">
        <v>1437</v>
      </c>
      <c r="G3295" s="7">
        <v>568301.80167014617</v>
      </c>
      <c r="H3295" s="7">
        <v>816649689</v>
      </c>
      <c r="I3295" s="7">
        <v>175088562</v>
      </c>
      <c r="J3295" s="7">
        <v>0</v>
      </c>
      <c r="K3295">
        <f t="shared" si="51"/>
        <v>0</v>
      </c>
      <c r="L3295" s="8" t="str" cm="1">
        <f t="array" ref="L3295">_xlfn.IFS(
 AND(K3295&gt;=89,K3295&lt;=92),"3개월",
 AND(K3295&gt;=58,K3295&lt;=62),"2개월",
 AND(K3295&gt;=28,K3295&lt;=32),"1개월",
 AND(K3295=0),"당월",
 TRUE,"그외"
)</f>
        <v>당월</v>
      </c>
    </row>
    <row r="3296" spans="1:12" x14ac:dyDescent="0.3">
      <c r="A3296" s="5">
        <v>46054</v>
      </c>
      <c r="B3296" s="6" t="s">
        <v>89</v>
      </c>
      <c r="C3296" s="6" t="s">
        <v>90</v>
      </c>
      <c r="D3296" s="5">
        <v>46082</v>
      </c>
      <c r="E3296" s="6" t="s">
        <v>15</v>
      </c>
      <c r="F3296" s="7">
        <v>4</v>
      </c>
      <c r="G3296" s="7">
        <v>470205.5</v>
      </c>
      <c r="H3296" s="7">
        <v>1880822</v>
      </c>
      <c r="I3296" s="7">
        <v>0</v>
      </c>
      <c r="J3296" s="7">
        <v>0</v>
      </c>
      <c r="K3296">
        <f t="shared" si="51"/>
        <v>-28</v>
      </c>
      <c r="L3296" s="8" t="str" cm="1">
        <f t="array" ref="L3296">_xlfn.IFS(
 AND(K3296&gt;=89,K3296&lt;=92),"3개월",
 AND(K3296&gt;=58,K3296&lt;=62),"2개월",
 AND(K3296&gt;=28,K3296&lt;=32),"1개월",
 AND(K3296=0),"당월",
 TRUE,"그외"
)</f>
        <v>그외</v>
      </c>
    </row>
    <row r="3297" spans="1:12" x14ac:dyDescent="0.3">
      <c r="A3297" s="5">
        <v>46082</v>
      </c>
      <c r="B3297" s="6" t="s">
        <v>12</v>
      </c>
      <c r="C3297" s="6" t="s">
        <v>13</v>
      </c>
      <c r="D3297" s="5">
        <v>45839</v>
      </c>
      <c r="E3297" s="6" t="s">
        <v>15</v>
      </c>
      <c r="F3297" s="7">
        <v>27</v>
      </c>
      <c r="G3297" s="7">
        <v>94283.296296296292</v>
      </c>
      <c r="H3297" s="7">
        <v>2545649</v>
      </c>
      <c r="I3297" s="7">
        <v>178200</v>
      </c>
      <c r="J3297" s="7">
        <v>16200</v>
      </c>
      <c r="K3297">
        <f t="shared" si="51"/>
        <v>243</v>
      </c>
      <c r="L3297" s="8" t="str" cm="1">
        <f t="array" ref="L3297">_xlfn.IFS(
 AND(K3297&gt;=89,K3297&lt;=92),"3개월",
 AND(K3297&gt;=58,K3297&lt;=62),"2개월",
 AND(K3297&gt;=28,K3297&lt;=32),"1개월",
 AND(K3297=0),"당월",
 TRUE,"그외"
)</f>
        <v>그외</v>
      </c>
    </row>
    <row r="3298" spans="1:12" x14ac:dyDescent="0.3">
      <c r="A3298" s="5">
        <v>46082</v>
      </c>
      <c r="B3298" s="6" t="s">
        <v>12</v>
      </c>
      <c r="C3298" s="6" t="s">
        <v>13</v>
      </c>
      <c r="D3298" s="5">
        <v>45870</v>
      </c>
      <c r="E3298" s="6" t="s">
        <v>15</v>
      </c>
      <c r="F3298" s="7">
        <v>33</v>
      </c>
      <c r="G3298" s="7">
        <v>75397.15151515152</v>
      </c>
      <c r="H3298" s="7">
        <v>2488106</v>
      </c>
      <c r="I3298" s="7">
        <v>290400</v>
      </c>
      <c r="J3298" s="7">
        <v>26400</v>
      </c>
      <c r="K3298">
        <f t="shared" si="51"/>
        <v>212</v>
      </c>
      <c r="L3298" s="8" t="str" cm="1">
        <f t="array" ref="L3298">_xlfn.IFS(
 AND(K3298&gt;=89,K3298&lt;=92),"3개월",
 AND(K3298&gt;=58,K3298&lt;=62),"2개월",
 AND(K3298&gt;=28,K3298&lt;=32),"1개월",
 AND(K3298=0),"당월",
 TRUE,"그외"
)</f>
        <v>그외</v>
      </c>
    </row>
    <row r="3299" spans="1:12" x14ac:dyDescent="0.3">
      <c r="A3299" s="5">
        <v>46082</v>
      </c>
      <c r="B3299" s="6" t="s">
        <v>12</v>
      </c>
      <c r="C3299" s="6" t="s">
        <v>13</v>
      </c>
      <c r="D3299" s="5">
        <v>45901</v>
      </c>
      <c r="E3299" s="6" t="s">
        <v>15</v>
      </c>
      <c r="F3299" s="7">
        <v>54</v>
      </c>
      <c r="G3299" s="7">
        <v>93981.907407407401</v>
      </c>
      <c r="H3299" s="7">
        <v>5075023</v>
      </c>
      <c r="I3299" s="7">
        <v>475200</v>
      </c>
      <c r="J3299" s="7">
        <v>43200</v>
      </c>
      <c r="K3299">
        <f t="shared" si="51"/>
        <v>181</v>
      </c>
      <c r="L3299" s="8" t="str" cm="1">
        <f t="array" ref="L3299">_xlfn.IFS(
 AND(K3299&gt;=89,K3299&lt;=92),"3개월",
 AND(K3299&gt;=58,K3299&lt;=62),"2개월",
 AND(K3299&gt;=28,K3299&lt;=32),"1개월",
 AND(K3299=0),"당월",
 TRUE,"그외"
)</f>
        <v>그외</v>
      </c>
    </row>
    <row r="3300" spans="1:12" x14ac:dyDescent="0.3">
      <c r="A3300" s="5">
        <v>46082</v>
      </c>
      <c r="B3300" s="6" t="s">
        <v>12</v>
      </c>
      <c r="C3300" s="6" t="s">
        <v>13</v>
      </c>
      <c r="D3300" s="5">
        <v>45931</v>
      </c>
      <c r="E3300" s="6" t="s">
        <v>15</v>
      </c>
      <c r="F3300" s="7">
        <v>147</v>
      </c>
      <c r="G3300" s="7">
        <v>88794.489795918373</v>
      </c>
      <c r="H3300" s="7">
        <v>13052790</v>
      </c>
      <c r="I3300" s="7">
        <v>1293600</v>
      </c>
      <c r="J3300" s="7">
        <v>117600</v>
      </c>
      <c r="K3300">
        <f t="shared" si="51"/>
        <v>151</v>
      </c>
      <c r="L3300" s="8" t="str" cm="1">
        <f t="array" ref="L3300">_xlfn.IFS(
 AND(K3300&gt;=89,K3300&lt;=92),"3개월",
 AND(K3300&gt;=58,K3300&lt;=62),"2개월",
 AND(K3300&gt;=28,K3300&lt;=32),"1개월",
 AND(K3300=0),"당월",
 TRUE,"그외"
)</f>
        <v>그외</v>
      </c>
    </row>
    <row r="3301" spans="1:12" x14ac:dyDescent="0.3">
      <c r="A3301" s="5">
        <v>46082</v>
      </c>
      <c r="B3301" s="6" t="s">
        <v>12</v>
      </c>
      <c r="C3301" s="6" t="s">
        <v>13</v>
      </c>
      <c r="D3301" s="5">
        <v>45962</v>
      </c>
      <c r="E3301" s="6" t="s">
        <v>15</v>
      </c>
      <c r="F3301" s="7">
        <v>358</v>
      </c>
      <c r="G3301" s="7">
        <v>94764.16201117319</v>
      </c>
      <c r="H3301" s="7">
        <v>33925570</v>
      </c>
      <c r="I3301" s="7">
        <v>3115200</v>
      </c>
      <c r="J3301" s="7">
        <v>283200</v>
      </c>
      <c r="K3301">
        <f t="shared" si="51"/>
        <v>120</v>
      </c>
      <c r="L3301" s="8" t="str" cm="1">
        <f t="array" ref="L3301">_xlfn.IFS(
 AND(K3301&gt;=89,K3301&lt;=92),"3개월",
 AND(K3301&gt;=58,K3301&lt;=62),"2개월",
 AND(K3301&gt;=28,K3301&lt;=32),"1개월",
 AND(K3301=0),"당월",
 TRUE,"그외"
)</f>
        <v>그외</v>
      </c>
    </row>
    <row r="3302" spans="1:12" x14ac:dyDescent="0.3">
      <c r="A3302" s="5">
        <v>46082</v>
      </c>
      <c r="B3302" s="6" t="s">
        <v>12</v>
      </c>
      <c r="C3302" s="6" t="s">
        <v>13</v>
      </c>
      <c r="D3302" s="5">
        <v>45992</v>
      </c>
      <c r="E3302" s="6" t="s">
        <v>14</v>
      </c>
      <c r="F3302" s="7">
        <v>69</v>
      </c>
      <c r="G3302" s="7">
        <v>60806.710144927543</v>
      </c>
      <c r="H3302" s="7">
        <v>4195663</v>
      </c>
      <c r="I3302" s="7">
        <v>607200</v>
      </c>
      <c r="J3302" s="7">
        <v>55200</v>
      </c>
      <c r="K3302">
        <f t="shared" si="51"/>
        <v>90</v>
      </c>
      <c r="L3302" s="8" t="str" cm="1">
        <f t="array" ref="L3302">_xlfn.IFS(
 AND(K3302&gt;=89,K3302&lt;=92),"3개월",
 AND(K3302&gt;=58,K3302&lt;=62),"2개월",
 AND(K3302&gt;=28,K3302&lt;=32),"1개월",
 AND(K3302=0),"당월",
 TRUE,"그외"
)</f>
        <v>3개월</v>
      </c>
    </row>
    <row r="3303" spans="1:12" x14ac:dyDescent="0.3">
      <c r="A3303" s="5">
        <v>46082</v>
      </c>
      <c r="B3303" s="6" t="s">
        <v>12</v>
      </c>
      <c r="C3303" s="6" t="s">
        <v>13</v>
      </c>
      <c r="D3303" s="5">
        <v>45992</v>
      </c>
      <c r="E3303" s="6" t="s">
        <v>15</v>
      </c>
      <c r="F3303" s="7">
        <v>1585</v>
      </c>
      <c r="G3303" s="7">
        <v>77609.37665615142</v>
      </c>
      <c r="H3303" s="7">
        <v>123010862</v>
      </c>
      <c r="I3303" s="7">
        <v>13472800</v>
      </c>
      <c r="J3303" s="7">
        <v>1224800</v>
      </c>
      <c r="K3303">
        <f t="shared" si="51"/>
        <v>90</v>
      </c>
      <c r="L3303" s="8" t="str" cm="1">
        <f t="array" ref="L3303">_xlfn.IFS(
 AND(K3303&gt;=89,K3303&lt;=92),"3개월",
 AND(K3303&gt;=58,K3303&lt;=62),"2개월",
 AND(K3303&gt;=28,K3303&lt;=32),"1개월",
 AND(K3303=0),"당월",
 TRUE,"그외"
)</f>
        <v>3개월</v>
      </c>
    </row>
    <row r="3304" spans="1:12" x14ac:dyDescent="0.3">
      <c r="A3304" s="5">
        <v>46082</v>
      </c>
      <c r="B3304" s="6" t="s">
        <v>12</v>
      </c>
      <c r="C3304" s="6" t="s">
        <v>13</v>
      </c>
      <c r="D3304" s="5">
        <v>46023</v>
      </c>
      <c r="E3304" s="6" t="s">
        <v>14</v>
      </c>
      <c r="F3304" s="7">
        <v>155</v>
      </c>
      <c r="G3304" s="7">
        <v>69243.903225806454</v>
      </c>
      <c r="H3304" s="7">
        <v>10732805</v>
      </c>
      <c r="I3304" s="7">
        <v>1705000</v>
      </c>
      <c r="J3304" s="7">
        <v>155000</v>
      </c>
      <c r="K3304">
        <f t="shared" si="51"/>
        <v>59</v>
      </c>
      <c r="L3304" s="8" t="str" cm="1">
        <f t="array" ref="L3304">_xlfn.IFS(
 AND(K3304&gt;=89,K3304&lt;=92),"3개월",
 AND(K3304&gt;=58,K3304&lt;=62),"2개월",
 AND(K3304&gt;=28,K3304&lt;=32),"1개월",
 AND(K3304=0),"당월",
 TRUE,"그외"
)</f>
        <v>2개월</v>
      </c>
    </row>
    <row r="3305" spans="1:12" x14ac:dyDescent="0.3">
      <c r="A3305" s="5">
        <v>46082</v>
      </c>
      <c r="B3305" s="6" t="s">
        <v>12</v>
      </c>
      <c r="C3305" s="6" t="s">
        <v>13</v>
      </c>
      <c r="D3305" s="5">
        <v>46023</v>
      </c>
      <c r="E3305" s="6" t="s">
        <v>15</v>
      </c>
      <c r="F3305" s="7">
        <v>13239</v>
      </c>
      <c r="G3305" s="7">
        <v>64145.955434700503</v>
      </c>
      <c r="H3305" s="7">
        <v>849228304</v>
      </c>
      <c r="I3305" s="7">
        <v>142461000</v>
      </c>
      <c r="J3305" s="7">
        <v>12951000</v>
      </c>
      <c r="K3305">
        <f t="shared" si="51"/>
        <v>59</v>
      </c>
      <c r="L3305" s="8" t="str" cm="1">
        <f t="array" ref="L3305">_xlfn.IFS(
 AND(K3305&gt;=89,K3305&lt;=92),"3개월",
 AND(K3305&gt;=58,K3305&lt;=62),"2개월",
 AND(K3305&gt;=28,K3305&lt;=32),"1개월",
 AND(K3305=0),"당월",
 TRUE,"그외"
)</f>
        <v>2개월</v>
      </c>
    </row>
    <row r="3306" spans="1:12" x14ac:dyDescent="0.3">
      <c r="A3306" s="5">
        <v>46082</v>
      </c>
      <c r="B3306" s="6" t="s">
        <v>12</v>
      </c>
      <c r="C3306" s="6" t="s">
        <v>13</v>
      </c>
      <c r="D3306" s="5">
        <v>46054</v>
      </c>
      <c r="E3306" s="6" t="s">
        <v>14</v>
      </c>
      <c r="F3306" s="7">
        <v>1787</v>
      </c>
      <c r="G3306" s="7">
        <v>83090.159485170676</v>
      </c>
      <c r="H3306" s="7">
        <v>148482115</v>
      </c>
      <c r="I3306" s="7">
        <v>14801600</v>
      </c>
      <c r="J3306" s="7">
        <v>1345600</v>
      </c>
      <c r="K3306">
        <f t="shared" si="51"/>
        <v>28</v>
      </c>
      <c r="L3306" s="8" t="str" cm="1">
        <f t="array" ref="L3306">_xlfn.IFS(
 AND(K3306&gt;=89,K3306&lt;=92),"3개월",
 AND(K3306&gt;=58,K3306&lt;=62),"2개월",
 AND(K3306&gt;=28,K3306&lt;=32),"1개월",
 AND(K3306=0),"당월",
 TRUE,"그외"
)</f>
        <v>1개월</v>
      </c>
    </row>
    <row r="3307" spans="1:12" x14ac:dyDescent="0.3">
      <c r="A3307" s="5">
        <v>46082</v>
      </c>
      <c r="B3307" s="6" t="s">
        <v>12</v>
      </c>
      <c r="C3307" s="6" t="s">
        <v>13</v>
      </c>
      <c r="D3307" s="5">
        <v>46054</v>
      </c>
      <c r="E3307" s="6" t="s">
        <v>15</v>
      </c>
      <c r="F3307" s="7">
        <v>36110</v>
      </c>
      <c r="G3307" s="7">
        <v>43186.367765162002</v>
      </c>
      <c r="H3307" s="7">
        <v>1559459740</v>
      </c>
      <c r="I3307" s="7">
        <v>310640600</v>
      </c>
      <c r="J3307" s="7">
        <v>28240054</v>
      </c>
      <c r="K3307">
        <f t="shared" si="51"/>
        <v>28</v>
      </c>
      <c r="L3307" s="8" t="str" cm="1">
        <f t="array" ref="L3307">_xlfn.IFS(
 AND(K3307&gt;=89,K3307&lt;=92),"3개월",
 AND(K3307&gt;=58,K3307&lt;=62),"2개월",
 AND(K3307&gt;=28,K3307&lt;=32),"1개월",
 AND(K3307=0),"당월",
 TRUE,"그외"
)</f>
        <v>1개월</v>
      </c>
    </row>
    <row r="3308" spans="1:12" x14ac:dyDescent="0.3">
      <c r="A3308" s="5">
        <v>46082</v>
      </c>
      <c r="B3308" s="6" t="s">
        <v>12</v>
      </c>
      <c r="C3308" s="6" t="s">
        <v>13</v>
      </c>
      <c r="D3308" s="5">
        <v>46082</v>
      </c>
      <c r="E3308" s="6" t="s">
        <v>14</v>
      </c>
      <c r="F3308" s="7">
        <v>12856</v>
      </c>
      <c r="G3308" s="7">
        <v>34920.482498444297</v>
      </c>
      <c r="H3308" s="7">
        <v>448937723</v>
      </c>
      <c r="I3308" s="7">
        <v>95250100</v>
      </c>
      <c r="J3308" s="7">
        <v>8659100</v>
      </c>
      <c r="K3308">
        <f t="shared" si="51"/>
        <v>0</v>
      </c>
      <c r="L3308" s="8" t="str" cm="1">
        <f t="array" ref="L3308">_xlfn.IFS(
 AND(K3308&gt;=89,K3308&lt;=92),"3개월",
 AND(K3308&gt;=58,K3308&lt;=62),"2개월",
 AND(K3308&gt;=28,K3308&lt;=32),"1개월",
 AND(K3308=0),"당월",
 TRUE,"그외"
)</f>
        <v>당월</v>
      </c>
    </row>
    <row r="3309" spans="1:12" x14ac:dyDescent="0.3">
      <c r="A3309" s="5">
        <v>46082</v>
      </c>
      <c r="B3309" s="6" t="s">
        <v>12</v>
      </c>
      <c r="C3309" s="6" t="s">
        <v>13</v>
      </c>
      <c r="D3309" s="5">
        <v>46082</v>
      </c>
      <c r="E3309" s="6" t="s">
        <v>15</v>
      </c>
      <c r="F3309" s="7">
        <v>67276</v>
      </c>
      <c r="G3309" s="7">
        <v>43313.577724597177</v>
      </c>
      <c r="H3309" s="7">
        <v>2913964255</v>
      </c>
      <c r="I3309" s="7">
        <v>514668794</v>
      </c>
      <c r="J3309" s="7">
        <v>46786000</v>
      </c>
      <c r="K3309">
        <f t="shared" si="51"/>
        <v>0</v>
      </c>
      <c r="L3309" s="8" t="str" cm="1">
        <f t="array" ref="L3309">_xlfn.IFS(
 AND(K3309&gt;=89,K3309&lt;=92),"3개월",
 AND(K3309&gt;=58,K3309&lt;=62),"2개월",
 AND(K3309&gt;=28,K3309&lt;=32),"1개월",
 AND(K3309=0),"당월",
 TRUE,"그외"
)</f>
        <v>당월</v>
      </c>
    </row>
    <row r="3310" spans="1:12" x14ac:dyDescent="0.3">
      <c r="A3310" s="5">
        <v>46082</v>
      </c>
      <c r="B3310" s="6" t="s">
        <v>12</v>
      </c>
      <c r="C3310" s="6" t="s">
        <v>16</v>
      </c>
      <c r="D3310" s="5">
        <v>45839</v>
      </c>
      <c r="E3310" s="6" t="s">
        <v>15</v>
      </c>
      <c r="F3310" s="7">
        <v>21</v>
      </c>
      <c r="G3310" s="7">
        <v>83394.761904761908</v>
      </c>
      <c r="H3310" s="7">
        <v>1751290</v>
      </c>
      <c r="I3310" s="7">
        <v>138600</v>
      </c>
      <c r="J3310" s="7">
        <v>12600</v>
      </c>
      <c r="K3310">
        <f t="shared" si="51"/>
        <v>243</v>
      </c>
      <c r="L3310" s="8" t="str" cm="1">
        <f t="array" ref="L3310">_xlfn.IFS(
 AND(K3310&gt;=89,K3310&lt;=92),"3개월",
 AND(K3310&gt;=58,K3310&lt;=62),"2개월",
 AND(K3310&gt;=28,K3310&lt;=32),"1개월",
 AND(K3310=0),"당월",
 TRUE,"그외"
)</f>
        <v>그외</v>
      </c>
    </row>
    <row r="3311" spans="1:12" x14ac:dyDescent="0.3">
      <c r="A3311" s="5">
        <v>46082</v>
      </c>
      <c r="B3311" s="6" t="s">
        <v>12</v>
      </c>
      <c r="C3311" s="6" t="s">
        <v>16</v>
      </c>
      <c r="D3311" s="5">
        <v>45870</v>
      </c>
      <c r="E3311" s="6" t="s">
        <v>15</v>
      </c>
      <c r="F3311" s="7">
        <v>58</v>
      </c>
      <c r="G3311" s="7">
        <v>75267.379310344826</v>
      </c>
      <c r="H3311" s="7">
        <v>4365508</v>
      </c>
      <c r="I3311" s="7">
        <v>510400</v>
      </c>
      <c r="J3311" s="7">
        <v>46400</v>
      </c>
      <c r="K3311">
        <f t="shared" si="51"/>
        <v>212</v>
      </c>
      <c r="L3311" s="8" t="str" cm="1">
        <f t="array" ref="L3311">_xlfn.IFS(
 AND(K3311&gt;=89,K3311&lt;=92),"3개월",
 AND(K3311&gt;=58,K3311&lt;=62),"2개월",
 AND(K3311&gt;=28,K3311&lt;=32),"1개월",
 AND(K3311=0),"당월",
 TRUE,"그외"
)</f>
        <v>그외</v>
      </c>
    </row>
    <row r="3312" spans="1:12" x14ac:dyDescent="0.3">
      <c r="A3312" s="5">
        <v>46082</v>
      </c>
      <c r="B3312" s="6" t="s">
        <v>12</v>
      </c>
      <c r="C3312" s="6" t="s">
        <v>16</v>
      </c>
      <c r="D3312" s="5">
        <v>45901</v>
      </c>
      <c r="E3312" s="6" t="s">
        <v>15</v>
      </c>
      <c r="F3312" s="7">
        <v>115</v>
      </c>
      <c r="G3312" s="7">
        <v>84589.695652173919</v>
      </c>
      <c r="H3312" s="7">
        <v>9727815</v>
      </c>
      <c r="I3312" s="7">
        <v>1012000</v>
      </c>
      <c r="J3312" s="7">
        <v>92000</v>
      </c>
      <c r="K3312">
        <f t="shared" si="51"/>
        <v>181</v>
      </c>
      <c r="L3312" s="8" t="str" cm="1">
        <f t="array" ref="L3312">_xlfn.IFS(
 AND(K3312&gt;=89,K3312&lt;=92),"3개월",
 AND(K3312&gt;=58,K3312&lt;=62),"2개월",
 AND(K3312&gt;=28,K3312&lt;=32),"1개월",
 AND(K3312=0),"당월",
 TRUE,"그외"
)</f>
        <v>그외</v>
      </c>
    </row>
    <row r="3313" spans="1:12" x14ac:dyDescent="0.3">
      <c r="A3313" s="5">
        <v>46082</v>
      </c>
      <c r="B3313" s="6" t="s">
        <v>12</v>
      </c>
      <c r="C3313" s="6" t="s">
        <v>16</v>
      </c>
      <c r="D3313" s="5">
        <v>45931</v>
      </c>
      <c r="E3313" s="6" t="s">
        <v>14</v>
      </c>
      <c r="F3313" s="7">
        <v>82</v>
      </c>
      <c r="G3313" s="7">
        <v>89819</v>
      </c>
      <c r="H3313" s="7">
        <v>7365158</v>
      </c>
      <c r="I3313" s="7">
        <v>721600</v>
      </c>
      <c r="J3313" s="7">
        <v>65600</v>
      </c>
      <c r="K3313">
        <f t="shared" si="51"/>
        <v>151</v>
      </c>
      <c r="L3313" s="8" t="str" cm="1">
        <f t="array" ref="L3313">_xlfn.IFS(
 AND(K3313&gt;=89,K3313&lt;=92),"3개월",
 AND(K3313&gt;=58,K3313&lt;=62),"2개월",
 AND(K3313&gt;=28,K3313&lt;=32),"1개월",
 AND(K3313=0),"당월",
 TRUE,"그외"
)</f>
        <v>그외</v>
      </c>
    </row>
    <row r="3314" spans="1:12" x14ac:dyDescent="0.3">
      <c r="A3314" s="5">
        <v>46082</v>
      </c>
      <c r="B3314" s="6" t="s">
        <v>12</v>
      </c>
      <c r="C3314" s="6" t="s">
        <v>16</v>
      </c>
      <c r="D3314" s="5">
        <v>45931</v>
      </c>
      <c r="E3314" s="6" t="s">
        <v>15</v>
      </c>
      <c r="F3314" s="7">
        <v>347</v>
      </c>
      <c r="G3314" s="7">
        <v>77531.78097982709</v>
      </c>
      <c r="H3314" s="7">
        <v>26903528</v>
      </c>
      <c r="I3314" s="7">
        <v>3053600</v>
      </c>
      <c r="J3314" s="7">
        <v>277600</v>
      </c>
      <c r="K3314">
        <f t="shared" si="51"/>
        <v>151</v>
      </c>
      <c r="L3314" s="8" t="str" cm="1">
        <f t="array" ref="L3314">_xlfn.IFS(
 AND(K3314&gt;=89,K3314&lt;=92),"3개월",
 AND(K3314&gt;=58,K3314&lt;=62),"2개월",
 AND(K3314&gt;=28,K3314&lt;=32),"1개월",
 AND(K3314=0),"당월",
 TRUE,"그외"
)</f>
        <v>그외</v>
      </c>
    </row>
    <row r="3315" spans="1:12" x14ac:dyDescent="0.3">
      <c r="A3315" s="5">
        <v>46082</v>
      </c>
      <c r="B3315" s="6" t="s">
        <v>12</v>
      </c>
      <c r="C3315" s="6" t="s">
        <v>16</v>
      </c>
      <c r="D3315" s="5">
        <v>45962</v>
      </c>
      <c r="E3315" s="6" t="s">
        <v>14</v>
      </c>
      <c r="F3315" s="7">
        <v>2</v>
      </c>
      <c r="G3315" s="7">
        <v>89819</v>
      </c>
      <c r="H3315" s="7">
        <v>179638</v>
      </c>
      <c r="I3315" s="7">
        <v>17600</v>
      </c>
      <c r="J3315" s="7">
        <v>1600</v>
      </c>
      <c r="K3315">
        <f t="shared" si="51"/>
        <v>120</v>
      </c>
      <c r="L3315" s="8" t="str" cm="1">
        <f t="array" ref="L3315">_xlfn.IFS(
 AND(K3315&gt;=89,K3315&lt;=92),"3개월",
 AND(K3315&gt;=58,K3315&lt;=62),"2개월",
 AND(K3315&gt;=28,K3315&lt;=32),"1개월",
 AND(K3315=0),"당월",
 TRUE,"그외"
)</f>
        <v>그외</v>
      </c>
    </row>
    <row r="3316" spans="1:12" x14ac:dyDescent="0.3">
      <c r="A3316" s="5">
        <v>46082</v>
      </c>
      <c r="B3316" s="6" t="s">
        <v>12</v>
      </c>
      <c r="C3316" s="6" t="s">
        <v>16</v>
      </c>
      <c r="D3316" s="5">
        <v>45962</v>
      </c>
      <c r="E3316" s="6" t="s">
        <v>15</v>
      </c>
      <c r="F3316" s="7">
        <v>480</v>
      </c>
      <c r="G3316" s="7">
        <v>77818.616666666669</v>
      </c>
      <c r="H3316" s="7">
        <v>37352936</v>
      </c>
      <c r="I3316" s="7">
        <v>4224000</v>
      </c>
      <c r="J3316" s="7">
        <v>384000</v>
      </c>
      <c r="K3316">
        <f t="shared" si="51"/>
        <v>120</v>
      </c>
      <c r="L3316" s="8" t="str" cm="1">
        <f t="array" ref="L3316">_xlfn.IFS(
 AND(K3316&gt;=89,K3316&lt;=92),"3개월",
 AND(K3316&gt;=58,K3316&lt;=62),"2개월",
 AND(K3316&gt;=28,K3316&lt;=32),"1개월",
 AND(K3316=0),"당월",
 TRUE,"그외"
)</f>
        <v>그외</v>
      </c>
    </row>
    <row r="3317" spans="1:12" x14ac:dyDescent="0.3">
      <c r="A3317" s="5">
        <v>46082</v>
      </c>
      <c r="B3317" s="6" t="s">
        <v>12</v>
      </c>
      <c r="C3317" s="6" t="s">
        <v>16</v>
      </c>
      <c r="D3317" s="5">
        <v>45992</v>
      </c>
      <c r="E3317" s="6" t="s">
        <v>14</v>
      </c>
      <c r="F3317" s="7">
        <v>68</v>
      </c>
      <c r="G3317" s="7">
        <v>73909.5</v>
      </c>
      <c r="H3317" s="7">
        <v>5025846</v>
      </c>
      <c r="I3317" s="7">
        <v>598400</v>
      </c>
      <c r="J3317" s="7">
        <v>54400</v>
      </c>
      <c r="K3317">
        <f t="shared" si="51"/>
        <v>90</v>
      </c>
      <c r="L3317" s="8" t="str" cm="1">
        <f t="array" ref="L3317">_xlfn.IFS(
 AND(K3317&gt;=89,K3317&lt;=92),"3개월",
 AND(K3317&gt;=58,K3317&lt;=62),"2개월",
 AND(K3317&gt;=28,K3317&lt;=32),"1개월",
 AND(K3317=0),"당월",
 TRUE,"그외"
)</f>
        <v>3개월</v>
      </c>
    </row>
    <row r="3318" spans="1:12" x14ac:dyDescent="0.3">
      <c r="A3318" s="5">
        <v>46082</v>
      </c>
      <c r="B3318" s="6" t="s">
        <v>12</v>
      </c>
      <c r="C3318" s="6" t="s">
        <v>16</v>
      </c>
      <c r="D3318" s="5">
        <v>45992</v>
      </c>
      <c r="E3318" s="6" t="s">
        <v>15</v>
      </c>
      <c r="F3318" s="7">
        <v>1539</v>
      </c>
      <c r="G3318" s="7">
        <v>75948.658219623132</v>
      </c>
      <c r="H3318" s="7">
        <v>116884985</v>
      </c>
      <c r="I3318" s="7">
        <v>13508000</v>
      </c>
      <c r="J3318" s="7">
        <v>1228000</v>
      </c>
      <c r="K3318">
        <f t="shared" si="51"/>
        <v>90</v>
      </c>
      <c r="L3318" s="8" t="str" cm="1">
        <f t="array" ref="L3318">_xlfn.IFS(
 AND(K3318&gt;=89,K3318&lt;=92),"3개월",
 AND(K3318&gt;=58,K3318&lt;=62),"2개월",
 AND(K3318&gt;=28,K3318&lt;=32),"1개월",
 AND(K3318=0),"당월",
 TRUE,"그외"
)</f>
        <v>3개월</v>
      </c>
    </row>
    <row r="3319" spans="1:12" x14ac:dyDescent="0.3">
      <c r="A3319" s="5">
        <v>46082</v>
      </c>
      <c r="B3319" s="6" t="s">
        <v>12</v>
      </c>
      <c r="C3319" s="6" t="s">
        <v>16</v>
      </c>
      <c r="D3319" s="5">
        <v>46023</v>
      </c>
      <c r="E3319" s="6" t="s">
        <v>14</v>
      </c>
      <c r="F3319" s="7">
        <v>321</v>
      </c>
      <c r="G3319" s="7">
        <v>76756.909657320866</v>
      </c>
      <c r="H3319" s="7">
        <v>24638968</v>
      </c>
      <c r="I3319" s="7">
        <v>3526600</v>
      </c>
      <c r="J3319" s="7">
        <v>320600</v>
      </c>
      <c r="K3319">
        <f t="shared" si="51"/>
        <v>59</v>
      </c>
      <c r="L3319" s="8" t="str" cm="1">
        <f t="array" ref="L3319">_xlfn.IFS(
 AND(K3319&gt;=89,K3319&lt;=92),"3개월",
 AND(K3319&gt;=58,K3319&lt;=62),"2개월",
 AND(K3319&gt;=28,K3319&lt;=32),"1개월",
 AND(K3319=0),"당월",
 TRUE,"그외"
)</f>
        <v>2개월</v>
      </c>
    </row>
    <row r="3320" spans="1:12" x14ac:dyDescent="0.3">
      <c r="A3320" s="5">
        <v>46082</v>
      </c>
      <c r="B3320" s="6" t="s">
        <v>12</v>
      </c>
      <c r="C3320" s="6" t="s">
        <v>16</v>
      </c>
      <c r="D3320" s="5">
        <v>46023</v>
      </c>
      <c r="E3320" s="6" t="s">
        <v>15</v>
      </c>
      <c r="F3320" s="7">
        <v>7349</v>
      </c>
      <c r="G3320" s="7">
        <v>72736.847326166826</v>
      </c>
      <c r="H3320" s="7">
        <v>534543091</v>
      </c>
      <c r="I3320" s="7">
        <v>80187974</v>
      </c>
      <c r="J3320" s="7">
        <v>7287800</v>
      </c>
      <c r="K3320">
        <f t="shared" si="51"/>
        <v>59</v>
      </c>
      <c r="L3320" s="8" t="str" cm="1">
        <f t="array" ref="L3320">_xlfn.IFS(
 AND(K3320&gt;=89,K3320&lt;=92),"3개월",
 AND(K3320&gt;=58,K3320&lt;=62),"2개월",
 AND(K3320&gt;=28,K3320&lt;=32),"1개월",
 AND(K3320=0),"당월",
 TRUE,"그외"
)</f>
        <v>2개월</v>
      </c>
    </row>
    <row r="3321" spans="1:12" x14ac:dyDescent="0.3">
      <c r="A3321" s="5">
        <v>46082</v>
      </c>
      <c r="B3321" s="6" t="s">
        <v>12</v>
      </c>
      <c r="C3321" s="6" t="s">
        <v>16</v>
      </c>
      <c r="D3321" s="5">
        <v>46054</v>
      </c>
      <c r="E3321" s="6" t="s">
        <v>14</v>
      </c>
      <c r="F3321" s="7">
        <v>1167</v>
      </c>
      <c r="G3321" s="7">
        <v>68945.646101113962</v>
      </c>
      <c r="H3321" s="7">
        <v>80459569</v>
      </c>
      <c r="I3321" s="7">
        <v>10269600</v>
      </c>
      <c r="J3321" s="7">
        <v>933600</v>
      </c>
      <c r="K3321">
        <f t="shared" si="51"/>
        <v>28</v>
      </c>
      <c r="L3321" s="8" t="str" cm="1">
        <f t="array" ref="L3321">_xlfn.IFS(
 AND(K3321&gt;=89,K3321&lt;=92),"3개월",
 AND(K3321&gt;=58,K3321&lt;=62),"2개월",
 AND(K3321&gt;=28,K3321&lt;=32),"1개월",
 AND(K3321=0),"당월",
 TRUE,"그외"
)</f>
        <v>1개월</v>
      </c>
    </row>
    <row r="3322" spans="1:12" x14ac:dyDescent="0.3">
      <c r="A3322" s="5">
        <v>46082</v>
      </c>
      <c r="B3322" s="6" t="s">
        <v>12</v>
      </c>
      <c r="C3322" s="6" t="s">
        <v>16</v>
      </c>
      <c r="D3322" s="5">
        <v>46054</v>
      </c>
      <c r="E3322" s="6" t="s">
        <v>15</v>
      </c>
      <c r="F3322" s="7">
        <v>18147</v>
      </c>
      <c r="G3322" s="7">
        <v>47856.449716206538</v>
      </c>
      <c r="H3322" s="7">
        <v>868450993</v>
      </c>
      <c r="I3322" s="7">
        <v>158611220</v>
      </c>
      <c r="J3322" s="7">
        <v>14410600</v>
      </c>
      <c r="K3322">
        <f t="shared" si="51"/>
        <v>28</v>
      </c>
      <c r="L3322" s="8" t="str" cm="1">
        <f t="array" ref="L3322">_xlfn.IFS(
 AND(K3322&gt;=89,K3322&lt;=92),"3개월",
 AND(K3322&gt;=58,K3322&lt;=62),"2개월",
 AND(K3322&gt;=28,K3322&lt;=32),"1개월",
 AND(K3322=0),"당월",
 TRUE,"그외"
)</f>
        <v>1개월</v>
      </c>
    </row>
    <row r="3323" spans="1:12" x14ac:dyDescent="0.3">
      <c r="A3323" s="5">
        <v>46082</v>
      </c>
      <c r="B3323" s="6" t="s">
        <v>12</v>
      </c>
      <c r="C3323" s="6" t="s">
        <v>16</v>
      </c>
      <c r="D3323" s="5">
        <v>46082</v>
      </c>
      <c r="E3323" s="6" t="s">
        <v>14</v>
      </c>
      <c r="F3323" s="7">
        <v>709</v>
      </c>
      <c r="G3323" s="7">
        <v>68005.121297602251</v>
      </c>
      <c r="H3323" s="7">
        <v>48215631</v>
      </c>
      <c r="I3323" s="7">
        <v>5528600</v>
      </c>
      <c r="J3323" s="7">
        <v>502600</v>
      </c>
      <c r="K3323">
        <f t="shared" si="51"/>
        <v>0</v>
      </c>
      <c r="L3323" s="8" t="str" cm="1">
        <f t="array" ref="L3323">_xlfn.IFS(
 AND(K3323&gt;=89,K3323&lt;=92),"3개월",
 AND(K3323&gt;=58,K3323&lt;=62),"2개월",
 AND(K3323&gt;=28,K3323&lt;=32),"1개월",
 AND(K3323=0),"당월",
 TRUE,"그외"
)</f>
        <v>당월</v>
      </c>
    </row>
    <row r="3324" spans="1:12" x14ac:dyDescent="0.3">
      <c r="A3324" s="5">
        <v>46082</v>
      </c>
      <c r="B3324" s="6" t="s">
        <v>12</v>
      </c>
      <c r="C3324" s="6" t="s">
        <v>16</v>
      </c>
      <c r="D3324" s="5">
        <v>46082</v>
      </c>
      <c r="E3324" s="6" t="s">
        <v>15</v>
      </c>
      <c r="F3324" s="7">
        <v>30453</v>
      </c>
      <c r="G3324" s="7">
        <v>38387.705283551702</v>
      </c>
      <c r="H3324" s="7">
        <v>1169020789</v>
      </c>
      <c r="I3324" s="7">
        <v>235009984</v>
      </c>
      <c r="J3324" s="7">
        <v>21354063</v>
      </c>
      <c r="K3324">
        <f t="shared" si="51"/>
        <v>0</v>
      </c>
      <c r="L3324" s="8" t="str" cm="1">
        <f t="array" ref="L3324">_xlfn.IFS(
 AND(K3324&gt;=89,K3324&lt;=92),"3개월",
 AND(K3324&gt;=58,K3324&lt;=62),"2개월",
 AND(K3324&gt;=28,K3324&lt;=32),"1개월",
 AND(K3324=0),"당월",
 TRUE,"그외"
)</f>
        <v>당월</v>
      </c>
    </row>
    <row r="3325" spans="1:12" x14ac:dyDescent="0.3">
      <c r="A3325" s="5">
        <v>46082</v>
      </c>
      <c r="B3325" s="6" t="s">
        <v>12</v>
      </c>
      <c r="C3325" s="6" t="s">
        <v>17</v>
      </c>
      <c r="D3325" s="5">
        <v>45839</v>
      </c>
      <c r="E3325" s="6" t="s">
        <v>15</v>
      </c>
      <c r="F3325" s="7">
        <v>8</v>
      </c>
      <c r="G3325" s="7">
        <v>69739.125</v>
      </c>
      <c r="H3325" s="7">
        <v>557913</v>
      </c>
      <c r="I3325" s="7">
        <v>52800</v>
      </c>
      <c r="J3325" s="7">
        <v>4800</v>
      </c>
      <c r="K3325">
        <f t="shared" si="51"/>
        <v>243</v>
      </c>
      <c r="L3325" s="8" t="str" cm="1">
        <f t="array" ref="L3325">_xlfn.IFS(
 AND(K3325&gt;=89,K3325&lt;=92),"3개월",
 AND(K3325&gt;=58,K3325&lt;=62),"2개월",
 AND(K3325&gt;=28,K3325&lt;=32),"1개월",
 AND(K3325=0),"당월",
 TRUE,"그외"
)</f>
        <v>그외</v>
      </c>
    </row>
    <row r="3326" spans="1:12" x14ac:dyDescent="0.3">
      <c r="A3326" s="5">
        <v>46082</v>
      </c>
      <c r="B3326" s="6" t="s">
        <v>12</v>
      </c>
      <c r="C3326" s="6" t="s">
        <v>17</v>
      </c>
      <c r="D3326" s="5">
        <v>45870</v>
      </c>
      <c r="E3326" s="6" t="s">
        <v>15</v>
      </c>
      <c r="F3326" s="7">
        <v>26</v>
      </c>
      <c r="G3326" s="7">
        <v>54217.269230769227</v>
      </c>
      <c r="H3326" s="7">
        <v>1409649</v>
      </c>
      <c r="I3326" s="7">
        <v>228800</v>
      </c>
      <c r="J3326" s="7">
        <v>20800</v>
      </c>
      <c r="K3326">
        <f t="shared" si="51"/>
        <v>212</v>
      </c>
      <c r="L3326" s="8" t="str" cm="1">
        <f t="array" ref="L3326">_xlfn.IFS(
 AND(K3326&gt;=89,K3326&lt;=92),"3개월",
 AND(K3326&gt;=58,K3326&lt;=62),"2개월",
 AND(K3326&gt;=28,K3326&lt;=32),"1개월",
 AND(K3326=0),"당월",
 TRUE,"그외"
)</f>
        <v>그외</v>
      </c>
    </row>
    <row r="3327" spans="1:12" x14ac:dyDescent="0.3">
      <c r="A3327" s="5">
        <v>46082</v>
      </c>
      <c r="B3327" s="6" t="s">
        <v>12</v>
      </c>
      <c r="C3327" s="6" t="s">
        <v>17</v>
      </c>
      <c r="D3327" s="5">
        <v>45901</v>
      </c>
      <c r="E3327" s="6" t="s">
        <v>15</v>
      </c>
      <c r="F3327" s="7">
        <v>68</v>
      </c>
      <c r="G3327" s="7">
        <v>61898.867647058833</v>
      </c>
      <c r="H3327" s="7">
        <v>4209123</v>
      </c>
      <c r="I3327" s="7">
        <v>598400</v>
      </c>
      <c r="J3327" s="7">
        <v>54400</v>
      </c>
      <c r="K3327">
        <f t="shared" si="51"/>
        <v>181</v>
      </c>
      <c r="L3327" s="8" t="str" cm="1">
        <f t="array" ref="L3327">_xlfn.IFS(
 AND(K3327&gt;=89,K3327&lt;=92),"3개월",
 AND(K3327&gt;=58,K3327&lt;=62),"2개월",
 AND(K3327&gt;=28,K3327&lt;=32),"1개월",
 AND(K3327=0),"당월",
 TRUE,"그외"
)</f>
        <v>그외</v>
      </c>
    </row>
    <row r="3328" spans="1:12" x14ac:dyDescent="0.3">
      <c r="A3328" s="5">
        <v>46082</v>
      </c>
      <c r="B3328" s="6" t="s">
        <v>12</v>
      </c>
      <c r="C3328" s="6" t="s">
        <v>17</v>
      </c>
      <c r="D3328" s="5">
        <v>45931</v>
      </c>
      <c r="E3328" s="6" t="s">
        <v>15</v>
      </c>
      <c r="F3328" s="7">
        <v>166</v>
      </c>
      <c r="G3328" s="7">
        <v>59514.927710843367</v>
      </c>
      <c r="H3328" s="7">
        <v>9879478</v>
      </c>
      <c r="I3328" s="7">
        <v>1460800</v>
      </c>
      <c r="J3328" s="7">
        <v>132800</v>
      </c>
      <c r="K3328">
        <f t="shared" si="51"/>
        <v>151</v>
      </c>
      <c r="L3328" s="8" t="str" cm="1">
        <f t="array" ref="L3328">_xlfn.IFS(
 AND(K3328&gt;=89,K3328&lt;=92),"3개월",
 AND(K3328&gt;=58,K3328&lt;=62),"2개월",
 AND(K3328&gt;=28,K3328&lt;=32),"1개월",
 AND(K3328=0),"당월",
 TRUE,"그외"
)</f>
        <v>그외</v>
      </c>
    </row>
    <row r="3329" spans="1:12" x14ac:dyDescent="0.3">
      <c r="A3329" s="5">
        <v>46082</v>
      </c>
      <c r="B3329" s="6" t="s">
        <v>12</v>
      </c>
      <c r="C3329" s="6" t="s">
        <v>17</v>
      </c>
      <c r="D3329" s="5">
        <v>45962</v>
      </c>
      <c r="E3329" s="6" t="s">
        <v>15</v>
      </c>
      <c r="F3329" s="7">
        <v>450</v>
      </c>
      <c r="G3329" s="7">
        <v>62976.333333333343</v>
      </c>
      <c r="H3329" s="7">
        <v>28339350</v>
      </c>
      <c r="I3329" s="7">
        <v>3960000</v>
      </c>
      <c r="J3329" s="7">
        <v>360000</v>
      </c>
      <c r="K3329">
        <f t="shared" si="51"/>
        <v>120</v>
      </c>
      <c r="L3329" s="8" t="str" cm="1">
        <f t="array" ref="L3329">_xlfn.IFS(
 AND(K3329&gt;=89,K3329&lt;=92),"3개월",
 AND(K3329&gt;=58,K3329&lt;=62),"2개월",
 AND(K3329&gt;=28,K3329&lt;=32),"1개월",
 AND(K3329=0),"당월",
 TRUE,"그외"
)</f>
        <v>그외</v>
      </c>
    </row>
    <row r="3330" spans="1:12" x14ac:dyDescent="0.3">
      <c r="A3330" s="5">
        <v>46082</v>
      </c>
      <c r="B3330" s="6" t="s">
        <v>12</v>
      </c>
      <c r="C3330" s="6" t="s">
        <v>17</v>
      </c>
      <c r="D3330" s="5">
        <v>45992</v>
      </c>
      <c r="E3330" s="6" t="s">
        <v>14</v>
      </c>
      <c r="F3330" s="7">
        <v>13</v>
      </c>
      <c r="G3330" s="7">
        <v>74364</v>
      </c>
      <c r="H3330" s="7">
        <v>966732</v>
      </c>
      <c r="I3330" s="7">
        <v>114400</v>
      </c>
      <c r="J3330" s="7">
        <v>10400</v>
      </c>
      <c r="K3330">
        <f t="shared" si="51"/>
        <v>90</v>
      </c>
      <c r="L3330" s="8" t="str" cm="1">
        <f t="array" ref="L3330">_xlfn.IFS(
 AND(K3330&gt;=89,K3330&lt;=92),"3개월",
 AND(K3330&gt;=58,K3330&lt;=62),"2개월",
 AND(K3330&gt;=28,K3330&lt;=32),"1개월",
 AND(K3330=0),"당월",
 TRUE,"그외"
)</f>
        <v>3개월</v>
      </c>
    </row>
    <row r="3331" spans="1:12" x14ac:dyDescent="0.3">
      <c r="A3331" s="5">
        <v>46082</v>
      </c>
      <c r="B3331" s="6" t="s">
        <v>12</v>
      </c>
      <c r="C3331" s="6" t="s">
        <v>17</v>
      </c>
      <c r="D3331" s="5">
        <v>45992</v>
      </c>
      <c r="E3331" s="6" t="s">
        <v>15</v>
      </c>
      <c r="F3331" s="7">
        <v>1183</v>
      </c>
      <c r="G3331" s="7">
        <v>58066.267962806422</v>
      </c>
      <c r="H3331" s="7">
        <v>68692395</v>
      </c>
      <c r="I3331" s="7">
        <v>10392800</v>
      </c>
      <c r="J3331" s="7">
        <v>944800</v>
      </c>
      <c r="K3331">
        <f t="shared" si="51"/>
        <v>90</v>
      </c>
      <c r="L3331" s="8" t="str" cm="1">
        <f t="array" ref="L3331">_xlfn.IFS(
 AND(K3331&gt;=89,K3331&lt;=92),"3개월",
 AND(K3331&gt;=58,K3331&lt;=62),"2개월",
 AND(K3331&gt;=28,K3331&lt;=32),"1개월",
 AND(K3331=0),"당월",
 TRUE,"그외"
)</f>
        <v>3개월</v>
      </c>
    </row>
    <row r="3332" spans="1:12" x14ac:dyDescent="0.3">
      <c r="A3332" s="5">
        <v>46082</v>
      </c>
      <c r="B3332" s="6" t="s">
        <v>12</v>
      </c>
      <c r="C3332" s="6" t="s">
        <v>17</v>
      </c>
      <c r="D3332" s="5">
        <v>46023</v>
      </c>
      <c r="E3332" s="6" t="s">
        <v>14</v>
      </c>
      <c r="F3332" s="7">
        <v>635</v>
      </c>
      <c r="G3332" s="7">
        <v>63401.905511811026</v>
      </c>
      <c r="H3332" s="7">
        <v>40260210</v>
      </c>
      <c r="I3332" s="7">
        <v>6985000</v>
      </c>
      <c r="J3332" s="7">
        <v>635000</v>
      </c>
      <c r="K3332">
        <f t="shared" si="51"/>
        <v>59</v>
      </c>
      <c r="L3332" s="8" t="str" cm="1">
        <f t="array" ref="L3332">_xlfn.IFS(
 AND(K3332&gt;=89,K3332&lt;=92),"3개월",
 AND(K3332&gt;=58,K3332&lt;=62),"2개월",
 AND(K3332&gt;=28,K3332&lt;=32),"1개월",
 AND(K3332=0),"당월",
 TRUE,"그외"
)</f>
        <v>2개월</v>
      </c>
    </row>
    <row r="3333" spans="1:12" x14ac:dyDescent="0.3">
      <c r="A3333" s="5">
        <v>46082</v>
      </c>
      <c r="B3333" s="6" t="s">
        <v>12</v>
      </c>
      <c r="C3333" s="6" t="s">
        <v>17</v>
      </c>
      <c r="D3333" s="5">
        <v>46023</v>
      </c>
      <c r="E3333" s="6" t="s">
        <v>15</v>
      </c>
      <c r="F3333" s="7">
        <v>5093</v>
      </c>
      <c r="G3333" s="7">
        <v>57125.318476340071</v>
      </c>
      <c r="H3333" s="7">
        <v>290939247</v>
      </c>
      <c r="I3333" s="7">
        <v>55851400</v>
      </c>
      <c r="J3333" s="7">
        <v>5077400</v>
      </c>
      <c r="K3333">
        <f t="shared" si="51"/>
        <v>59</v>
      </c>
      <c r="L3333" s="8" t="str" cm="1">
        <f t="array" ref="L3333">_xlfn.IFS(
 AND(K3333&gt;=89,K3333&lt;=92),"3개월",
 AND(K3333&gt;=58,K3333&lt;=62),"2개월",
 AND(K3333&gt;=28,K3333&lt;=32),"1개월",
 AND(K3333=0),"당월",
 TRUE,"그외"
)</f>
        <v>2개월</v>
      </c>
    </row>
    <row r="3334" spans="1:12" x14ac:dyDescent="0.3">
      <c r="A3334" s="5">
        <v>46082</v>
      </c>
      <c r="B3334" s="6" t="s">
        <v>12</v>
      </c>
      <c r="C3334" s="6" t="s">
        <v>17</v>
      </c>
      <c r="D3334" s="5">
        <v>46054</v>
      </c>
      <c r="E3334" s="6" t="s">
        <v>14</v>
      </c>
      <c r="F3334" s="7">
        <v>415</v>
      </c>
      <c r="G3334" s="7">
        <v>50083.96626506024</v>
      </c>
      <c r="H3334" s="7">
        <v>20784846</v>
      </c>
      <c r="I3334" s="7">
        <v>3654200</v>
      </c>
      <c r="J3334" s="7">
        <v>332200</v>
      </c>
      <c r="K3334">
        <f t="shared" si="51"/>
        <v>28</v>
      </c>
      <c r="L3334" s="8" t="str" cm="1">
        <f t="array" ref="L3334">_xlfn.IFS(
 AND(K3334&gt;=89,K3334&lt;=92),"3개월",
 AND(K3334&gt;=58,K3334&lt;=62),"2개월",
 AND(K3334&gt;=28,K3334&lt;=32),"1개월",
 AND(K3334=0),"당월",
 TRUE,"그외"
)</f>
        <v>1개월</v>
      </c>
    </row>
    <row r="3335" spans="1:12" x14ac:dyDescent="0.3">
      <c r="A3335" s="5">
        <v>46082</v>
      </c>
      <c r="B3335" s="6" t="s">
        <v>12</v>
      </c>
      <c r="C3335" s="6" t="s">
        <v>17</v>
      </c>
      <c r="D3335" s="5">
        <v>46054</v>
      </c>
      <c r="E3335" s="6" t="s">
        <v>15</v>
      </c>
      <c r="F3335" s="7">
        <v>10376</v>
      </c>
      <c r="G3335" s="7">
        <v>38314.187162683113</v>
      </c>
      <c r="H3335" s="7">
        <v>397548006</v>
      </c>
      <c r="I3335" s="7">
        <v>91180204</v>
      </c>
      <c r="J3335" s="7">
        <v>8287400</v>
      </c>
      <c r="K3335">
        <f t="shared" si="51"/>
        <v>28</v>
      </c>
      <c r="L3335" s="8" t="str" cm="1">
        <f t="array" ref="L3335">_xlfn.IFS(
 AND(K3335&gt;=89,K3335&lt;=92),"3개월",
 AND(K3335&gt;=58,K3335&lt;=62),"2개월",
 AND(K3335&gt;=28,K3335&lt;=32),"1개월",
 AND(K3335=0),"당월",
 TRUE,"그외"
)</f>
        <v>1개월</v>
      </c>
    </row>
    <row r="3336" spans="1:12" x14ac:dyDescent="0.3">
      <c r="A3336" s="5">
        <v>46082</v>
      </c>
      <c r="B3336" s="6" t="s">
        <v>12</v>
      </c>
      <c r="C3336" s="6" t="s">
        <v>17</v>
      </c>
      <c r="D3336" s="5">
        <v>46082</v>
      </c>
      <c r="E3336" s="6" t="s">
        <v>14</v>
      </c>
      <c r="F3336" s="7">
        <v>243</v>
      </c>
      <c r="G3336" s="7">
        <v>54655.028806584363</v>
      </c>
      <c r="H3336" s="7">
        <v>13281172</v>
      </c>
      <c r="I3336" s="7">
        <v>2059200</v>
      </c>
      <c r="J3336" s="7">
        <v>187200</v>
      </c>
      <c r="K3336">
        <f t="shared" si="51"/>
        <v>0</v>
      </c>
      <c r="L3336" s="8" t="str" cm="1">
        <f t="array" ref="L3336">_xlfn.IFS(
 AND(K3336&gt;=89,K3336&lt;=92),"3개월",
 AND(K3336&gt;=58,K3336&lt;=62),"2개월",
 AND(K3336&gt;=28,K3336&lt;=32),"1개월",
 AND(K3336=0),"당월",
 TRUE,"그외"
)</f>
        <v>당월</v>
      </c>
    </row>
    <row r="3337" spans="1:12" x14ac:dyDescent="0.3">
      <c r="A3337" s="5">
        <v>46082</v>
      </c>
      <c r="B3337" s="6" t="s">
        <v>12</v>
      </c>
      <c r="C3337" s="6" t="s">
        <v>17</v>
      </c>
      <c r="D3337" s="5">
        <v>46082</v>
      </c>
      <c r="E3337" s="6" t="s">
        <v>15</v>
      </c>
      <c r="F3337" s="7">
        <v>22201</v>
      </c>
      <c r="G3337" s="7">
        <v>29982.765686230348</v>
      </c>
      <c r="H3337" s="7">
        <v>665647381</v>
      </c>
      <c r="I3337" s="7">
        <v>171363838</v>
      </c>
      <c r="J3337" s="7">
        <v>15577900</v>
      </c>
      <c r="K3337">
        <f t="shared" si="51"/>
        <v>0</v>
      </c>
      <c r="L3337" s="8" t="str" cm="1">
        <f t="array" ref="L3337">_xlfn.IFS(
 AND(K3337&gt;=89,K3337&lt;=92),"3개월",
 AND(K3337&gt;=58,K3337&lt;=62),"2개월",
 AND(K3337&gt;=28,K3337&lt;=32),"1개월",
 AND(K3337=0),"당월",
 TRUE,"그외"
)</f>
        <v>당월</v>
      </c>
    </row>
    <row r="3338" spans="1:12" x14ac:dyDescent="0.3">
      <c r="A3338" s="5">
        <v>46082</v>
      </c>
      <c r="B3338" s="6" t="s">
        <v>12</v>
      </c>
      <c r="C3338" s="6" t="s">
        <v>18</v>
      </c>
      <c r="D3338" s="5">
        <v>45839</v>
      </c>
      <c r="E3338" s="6" t="s">
        <v>15</v>
      </c>
      <c r="F3338" s="7">
        <v>10</v>
      </c>
      <c r="G3338" s="7">
        <v>93273</v>
      </c>
      <c r="H3338" s="7">
        <v>932730</v>
      </c>
      <c r="I3338" s="7">
        <v>66000</v>
      </c>
      <c r="J3338" s="7">
        <v>6000</v>
      </c>
      <c r="K3338">
        <f t="shared" ref="K3338:K3401" si="52">A3338-D3338</f>
        <v>243</v>
      </c>
      <c r="L3338" s="8" t="str" cm="1">
        <f t="array" ref="L3338">_xlfn.IFS(
 AND(K3338&gt;=89,K3338&lt;=92),"3개월",
 AND(K3338&gt;=58,K3338&lt;=62),"2개월",
 AND(K3338&gt;=28,K3338&lt;=32),"1개월",
 AND(K3338=0),"당월",
 TRUE,"그외"
)</f>
        <v>그외</v>
      </c>
    </row>
    <row r="3339" spans="1:12" x14ac:dyDescent="0.3">
      <c r="A3339" s="5">
        <v>46082</v>
      </c>
      <c r="B3339" s="6" t="s">
        <v>12</v>
      </c>
      <c r="C3339" s="6" t="s">
        <v>18</v>
      </c>
      <c r="D3339" s="5">
        <v>45870</v>
      </c>
      <c r="E3339" s="6" t="s">
        <v>15</v>
      </c>
      <c r="F3339" s="7">
        <v>97</v>
      </c>
      <c r="G3339" s="7">
        <v>60474.329896907213</v>
      </c>
      <c r="H3339" s="7">
        <v>5866010</v>
      </c>
      <c r="I3339" s="7">
        <v>853600</v>
      </c>
      <c r="J3339" s="7">
        <v>77600</v>
      </c>
      <c r="K3339">
        <f t="shared" si="52"/>
        <v>212</v>
      </c>
      <c r="L3339" s="8" t="str" cm="1">
        <f t="array" ref="L3339">_xlfn.IFS(
 AND(K3339&gt;=89,K3339&lt;=92),"3개월",
 AND(K3339&gt;=58,K3339&lt;=62),"2개월",
 AND(K3339&gt;=28,K3339&lt;=32),"1개월",
 AND(K3339=0),"당월",
 TRUE,"그외"
)</f>
        <v>그외</v>
      </c>
    </row>
    <row r="3340" spans="1:12" x14ac:dyDescent="0.3">
      <c r="A3340" s="5">
        <v>46082</v>
      </c>
      <c r="B3340" s="6" t="s">
        <v>12</v>
      </c>
      <c r="C3340" s="6" t="s">
        <v>18</v>
      </c>
      <c r="D3340" s="5">
        <v>45901</v>
      </c>
      <c r="E3340" s="6" t="s">
        <v>15</v>
      </c>
      <c r="F3340" s="7">
        <v>205</v>
      </c>
      <c r="G3340" s="7">
        <v>56829.253658536589</v>
      </c>
      <c r="H3340" s="7">
        <v>11649997</v>
      </c>
      <c r="I3340" s="7">
        <v>1804000</v>
      </c>
      <c r="J3340" s="7">
        <v>164000</v>
      </c>
      <c r="K3340">
        <f t="shared" si="52"/>
        <v>181</v>
      </c>
      <c r="L3340" s="8" t="str" cm="1">
        <f t="array" ref="L3340">_xlfn.IFS(
 AND(K3340&gt;=89,K3340&lt;=92),"3개월",
 AND(K3340&gt;=58,K3340&lt;=62),"2개월",
 AND(K3340&gt;=28,K3340&lt;=32),"1개월",
 AND(K3340=0),"당월",
 TRUE,"그외"
)</f>
        <v>그외</v>
      </c>
    </row>
    <row r="3341" spans="1:12" x14ac:dyDescent="0.3">
      <c r="A3341" s="5">
        <v>46082</v>
      </c>
      <c r="B3341" s="6" t="s">
        <v>12</v>
      </c>
      <c r="C3341" s="6" t="s">
        <v>18</v>
      </c>
      <c r="D3341" s="5">
        <v>45931</v>
      </c>
      <c r="E3341" s="6" t="s">
        <v>15</v>
      </c>
      <c r="F3341" s="7">
        <v>292</v>
      </c>
      <c r="G3341" s="7">
        <v>66451.198630136991</v>
      </c>
      <c r="H3341" s="7">
        <v>19403750</v>
      </c>
      <c r="I3341" s="7">
        <v>2569600</v>
      </c>
      <c r="J3341" s="7">
        <v>233600</v>
      </c>
      <c r="K3341">
        <f t="shared" si="52"/>
        <v>151</v>
      </c>
      <c r="L3341" s="8" t="str" cm="1">
        <f t="array" ref="L3341">_xlfn.IFS(
 AND(K3341&gt;=89,K3341&lt;=92),"3개월",
 AND(K3341&gt;=58,K3341&lt;=62),"2개월",
 AND(K3341&gt;=28,K3341&lt;=32),"1개월",
 AND(K3341=0),"당월",
 TRUE,"그외"
)</f>
        <v>그외</v>
      </c>
    </row>
    <row r="3342" spans="1:12" x14ac:dyDescent="0.3">
      <c r="A3342" s="5">
        <v>46082</v>
      </c>
      <c r="B3342" s="6" t="s">
        <v>12</v>
      </c>
      <c r="C3342" s="6" t="s">
        <v>18</v>
      </c>
      <c r="D3342" s="5">
        <v>45962</v>
      </c>
      <c r="E3342" s="6" t="s">
        <v>14</v>
      </c>
      <c r="F3342" s="7">
        <v>32</v>
      </c>
      <c r="G3342" s="7">
        <v>42091.25</v>
      </c>
      <c r="H3342" s="7">
        <v>1346920</v>
      </c>
      <c r="I3342" s="7">
        <v>281600</v>
      </c>
      <c r="J3342" s="7">
        <v>25600</v>
      </c>
      <c r="K3342">
        <f t="shared" si="52"/>
        <v>120</v>
      </c>
      <c r="L3342" s="8" t="str" cm="1">
        <f t="array" ref="L3342">_xlfn.IFS(
 AND(K3342&gt;=89,K3342&lt;=92),"3개월",
 AND(K3342&gt;=58,K3342&lt;=62),"2개월",
 AND(K3342&gt;=28,K3342&lt;=32),"1개월",
 AND(K3342=0),"당월",
 TRUE,"그외"
)</f>
        <v>그외</v>
      </c>
    </row>
    <row r="3343" spans="1:12" x14ac:dyDescent="0.3">
      <c r="A3343" s="5">
        <v>46082</v>
      </c>
      <c r="B3343" s="6" t="s">
        <v>12</v>
      </c>
      <c r="C3343" s="6" t="s">
        <v>18</v>
      </c>
      <c r="D3343" s="5">
        <v>45962</v>
      </c>
      <c r="E3343" s="6" t="s">
        <v>15</v>
      </c>
      <c r="F3343" s="7">
        <v>924</v>
      </c>
      <c r="G3343" s="7">
        <v>66029.935064935067</v>
      </c>
      <c r="H3343" s="7">
        <v>61011660</v>
      </c>
      <c r="I3343" s="7">
        <v>8131200</v>
      </c>
      <c r="J3343" s="7">
        <v>739200</v>
      </c>
      <c r="K3343">
        <f t="shared" si="52"/>
        <v>120</v>
      </c>
      <c r="L3343" s="8" t="str" cm="1">
        <f t="array" ref="L3343">_xlfn.IFS(
 AND(K3343&gt;=89,K3343&lt;=92),"3개월",
 AND(K3343&gt;=58,K3343&lt;=62),"2개월",
 AND(K3343&gt;=28,K3343&lt;=32),"1개월",
 AND(K3343=0),"당월",
 TRUE,"그외"
)</f>
        <v>그외</v>
      </c>
    </row>
    <row r="3344" spans="1:12" x14ac:dyDescent="0.3">
      <c r="A3344" s="5">
        <v>46082</v>
      </c>
      <c r="B3344" s="6" t="s">
        <v>12</v>
      </c>
      <c r="C3344" s="6" t="s">
        <v>18</v>
      </c>
      <c r="D3344" s="5">
        <v>45992</v>
      </c>
      <c r="E3344" s="6" t="s">
        <v>14</v>
      </c>
      <c r="F3344" s="7">
        <v>214</v>
      </c>
      <c r="G3344" s="7">
        <v>87499.056074766355</v>
      </c>
      <c r="H3344" s="7">
        <v>18724798</v>
      </c>
      <c r="I3344" s="7">
        <v>1883200</v>
      </c>
      <c r="J3344" s="7">
        <v>171200</v>
      </c>
      <c r="K3344">
        <f t="shared" si="52"/>
        <v>90</v>
      </c>
      <c r="L3344" s="8" t="str" cm="1">
        <f t="array" ref="L3344">_xlfn.IFS(
 AND(K3344&gt;=89,K3344&lt;=92),"3개월",
 AND(K3344&gt;=58,K3344&lt;=62),"2개월",
 AND(K3344&gt;=28,K3344&lt;=32),"1개월",
 AND(K3344=0),"당월",
 TRUE,"그외"
)</f>
        <v>3개월</v>
      </c>
    </row>
    <row r="3345" spans="1:12" x14ac:dyDescent="0.3">
      <c r="A3345" s="5">
        <v>46082</v>
      </c>
      <c r="B3345" s="6" t="s">
        <v>12</v>
      </c>
      <c r="C3345" s="6" t="s">
        <v>18</v>
      </c>
      <c r="D3345" s="5">
        <v>45992</v>
      </c>
      <c r="E3345" s="6" t="s">
        <v>15</v>
      </c>
      <c r="F3345" s="7">
        <v>2466</v>
      </c>
      <c r="G3345" s="7">
        <v>68968.778994322784</v>
      </c>
      <c r="H3345" s="7">
        <v>170077009</v>
      </c>
      <c r="I3345" s="7">
        <v>21630400</v>
      </c>
      <c r="J3345" s="7">
        <v>1966400</v>
      </c>
      <c r="K3345">
        <f t="shared" si="52"/>
        <v>90</v>
      </c>
      <c r="L3345" s="8" t="str" cm="1">
        <f t="array" ref="L3345">_xlfn.IFS(
 AND(K3345&gt;=89,K3345&lt;=92),"3개월",
 AND(K3345&gt;=58,K3345&lt;=62),"2개월",
 AND(K3345&gt;=28,K3345&lt;=32),"1개월",
 AND(K3345=0),"당월",
 TRUE,"그외"
)</f>
        <v>3개월</v>
      </c>
    </row>
    <row r="3346" spans="1:12" x14ac:dyDescent="0.3">
      <c r="A3346" s="5">
        <v>46082</v>
      </c>
      <c r="B3346" s="6" t="s">
        <v>12</v>
      </c>
      <c r="C3346" s="6" t="s">
        <v>18</v>
      </c>
      <c r="D3346" s="5">
        <v>46023</v>
      </c>
      <c r="E3346" s="6" t="s">
        <v>14</v>
      </c>
      <c r="F3346" s="7">
        <v>444</v>
      </c>
      <c r="G3346" s="7">
        <v>67549.639639639645</v>
      </c>
      <c r="H3346" s="7">
        <v>29992040</v>
      </c>
      <c r="I3346" s="7">
        <v>4884000</v>
      </c>
      <c r="J3346" s="7">
        <v>444000</v>
      </c>
      <c r="K3346">
        <f t="shared" si="52"/>
        <v>59</v>
      </c>
      <c r="L3346" s="8" t="str" cm="1">
        <f t="array" ref="L3346">_xlfn.IFS(
 AND(K3346&gt;=89,K3346&lt;=92),"3개월",
 AND(K3346&gt;=58,K3346&lt;=62),"2개월",
 AND(K3346&gt;=28,K3346&lt;=32),"1개월",
 AND(K3346=0),"당월",
 TRUE,"그외"
)</f>
        <v>2개월</v>
      </c>
    </row>
    <row r="3347" spans="1:12" x14ac:dyDescent="0.3">
      <c r="A3347" s="5">
        <v>46082</v>
      </c>
      <c r="B3347" s="6" t="s">
        <v>12</v>
      </c>
      <c r="C3347" s="6" t="s">
        <v>18</v>
      </c>
      <c r="D3347" s="5">
        <v>46023</v>
      </c>
      <c r="E3347" s="6" t="s">
        <v>15</v>
      </c>
      <c r="F3347" s="7">
        <v>11617</v>
      </c>
      <c r="G3347" s="7">
        <v>70515.826977705088</v>
      </c>
      <c r="H3347" s="7">
        <v>819182362</v>
      </c>
      <c r="I3347" s="7">
        <v>127368790</v>
      </c>
      <c r="J3347" s="7">
        <v>11578400</v>
      </c>
      <c r="K3347">
        <f t="shared" si="52"/>
        <v>59</v>
      </c>
      <c r="L3347" s="8" t="str" cm="1">
        <f t="array" ref="L3347">_xlfn.IFS(
 AND(K3347&gt;=89,K3347&lt;=92),"3개월",
 AND(K3347&gt;=58,K3347&lt;=62),"2개월",
 AND(K3347&gt;=28,K3347&lt;=32),"1개월",
 AND(K3347=0),"당월",
 TRUE,"그외"
)</f>
        <v>2개월</v>
      </c>
    </row>
    <row r="3348" spans="1:12" x14ac:dyDescent="0.3">
      <c r="A3348" s="5">
        <v>46082</v>
      </c>
      <c r="B3348" s="6" t="s">
        <v>12</v>
      </c>
      <c r="C3348" s="6" t="s">
        <v>18</v>
      </c>
      <c r="D3348" s="5">
        <v>46054</v>
      </c>
      <c r="E3348" s="6" t="s">
        <v>14</v>
      </c>
      <c r="F3348" s="7">
        <v>1850</v>
      </c>
      <c r="G3348" s="7">
        <v>65769.143243243248</v>
      </c>
      <c r="H3348" s="7">
        <v>121672915</v>
      </c>
      <c r="I3348" s="7">
        <v>16324000</v>
      </c>
      <c r="J3348" s="7">
        <v>1484000</v>
      </c>
      <c r="K3348">
        <f t="shared" si="52"/>
        <v>28</v>
      </c>
      <c r="L3348" s="8" t="str" cm="1">
        <f t="array" ref="L3348">_xlfn.IFS(
 AND(K3348&gt;=89,K3348&lt;=92),"3개월",
 AND(K3348&gt;=58,K3348&lt;=62),"2개월",
 AND(K3348&gt;=28,K3348&lt;=32),"1개월",
 AND(K3348=0),"당월",
 TRUE,"그외"
)</f>
        <v>1개월</v>
      </c>
    </row>
    <row r="3349" spans="1:12" x14ac:dyDescent="0.3">
      <c r="A3349" s="5">
        <v>46082</v>
      </c>
      <c r="B3349" s="6" t="s">
        <v>12</v>
      </c>
      <c r="C3349" s="6" t="s">
        <v>18</v>
      </c>
      <c r="D3349" s="5">
        <v>46054</v>
      </c>
      <c r="E3349" s="6" t="s">
        <v>15</v>
      </c>
      <c r="F3349" s="7">
        <v>21651</v>
      </c>
      <c r="G3349" s="7">
        <v>52007.961341277543</v>
      </c>
      <c r="H3349" s="7">
        <v>1126024371</v>
      </c>
      <c r="I3349" s="7">
        <v>190237168</v>
      </c>
      <c r="J3349" s="7">
        <v>17293600</v>
      </c>
      <c r="K3349">
        <f t="shared" si="52"/>
        <v>28</v>
      </c>
      <c r="L3349" s="8" t="str" cm="1">
        <f t="array" ref="L3349">_xlfn.IFS(
 AND(K3349&gt;=89,K3349&lt;=92),"3개월",
 AND(K3349&gt;=58,K3349&lt;=62),"2개월",
 AND(K3349&gt;=28,K3349&lt;=32),"1개월",
 AND(K3349=0),"당월",
 TRUE,"그외"
)</f>
        <v>1개월</v>
      </c>
    </row>
    <row r="3350" spans="1:12" x14ac:dyDescent="0.3">
      <c r="A3350" s="5">
        <v>46082</v>
      </c>
      <c r="B3350" s="6" t="s">
        <v>12</v>
      </c>
      <c r="C3350" s="6" t="s">
        <v>18</v>
      </c>
      <c r="D3350" s="5">
        <v>46082</v>
      </c>
      <c r="E3350" s="6" t="s">
        <v>14</v>
      </c>
      <c r="F3350" s="7">
        <v>1084</v>
      </c>
      <c r="G3350" s="7">
        <v>62536.812730627309</v>
      </c>
      <c r="H3350" s="7">
        <v>67789905</v>
      </c>
      <c r="I3350" s="7">
        <v>8411700</v>
      </c>
      <c r="J3350" s="7">
        <v>764700</v>
      </c>
      <c r="K3350">
        <f t="shared" si="52"/>
        <v>0</v>
      </c>
      <c r="L3350" s="8" t="str" cm="1">
        <f t="array" ref="L3350">_xlfn.IFS(
 AND(K3350&gt;=89,K3350&lt;=92),"3개월",
 AND(K3350&gt;=58,K3350&lt;=62),"2개월",
 AND(K3350&gt;=28,K3350&lt;=32),"1개월",
 AND(K3350=0),"당월",
 TRUE,"그외"
)</f>
        <v>당월</v>
      </c>
    </row>
    <row r="3351" spans="1:12" x14ac:dyDescent="0.3">
      <c r="A3351" s="5">
        <v>46082</v>
      </c>
      <c r="B3351" s="6" t="s">
        <v>12</v>
      </c>
      <c r="C3351" s="6" t="s">
        <v>18</v>
      </c>
      <c r="D3351" s="5">
        <v>46082</v>
      </c>
      <c r="E3351" s="6" t="s">
        <v>15</v>
      </c>
      <c r="F3351" s="7">
        <v>28723</v>
      </c>
      <c r="G3351" s="7">
        <v>42039.84813564043</v>
      </c>
      <c r="H3351" s="7">
        <v>1207510558</v>
      </c>
      <c r="I3351" s="7">
        <v>222109600</v>
      </c>
      <c r="J3351" s="7">
        <v>20191781</v>
      </c>
      <c r="K3351">
        <f t="shared" si="52"/>
        <v>0</v>
      </c>
      <c r="L3351" s="8" t="str" cm="1">
        <f t="array" ref="L3351">_xlfn.IFS(
 AND(K3351&gt;=89,K3351&lt;=92),"3개월",
 AND(K3351&gt;=58,K3351&lt;=62),"2개월",
 AND(K3351&gt;=28,K3351&lt;=32),"1개월",
 AND(K3351=0),"당월",
 TRUE,"그외"
)</f>
        <v>당월</v>
      </c>
    </row>
    <row r="3352" spans="1:12" x14ac:dyDescent="0.3">
      <c r="A3352" s="5">
        <v>46082</v>
      </c>
      <c r="B3352" s="6" t="s">
        <v>12</v>
      </c>
      <c r="C3352" s="6" t="s">
        <v>19</v>
      </c>
      <c r="D3352" s="5">
        <v>45870</v>
      </c>
      <c r="E3352" s="6" t="s">
        <v>15</v>
      </c>
      <c r="F3352" s="7">
        <v>10</v>
      </c>
      <c r="G3352" s="7">
        <v>53582.2</v>
      </c>
      <c r="H3352" s="7">
        <v>535822</v>
      </c>
      <c r="I3352" s="7">
        <v>88000</v>
      </c>
      <c r="J3352" s="7">
        <v>8000</v>
      </c>
      <c r="K3352">
        <f t="shared" si="52"/>
        <v>212</v>
      </c>
      <c r="L3352" s="8" t="str" cm="1">
        <f t="array" ref="L3352">_xlfn.IFS(
 AND(K3352&gt;=89,K3352&lt;=92),"3개월",
 AND(K3352&gt;=58,K3352&lt;=62),"2개월",
 AND(K3352&gt;=28,K3352&lt;=32),"1개월",
 AND(K3352=0),"당월",
 TRUE,"그외"
)</f>
        <v>그외</v>
      </c>
    </row>
    <row r="3353" spans="1:12" x14ac:dyDescent="0.3">
      <c r="A3353" s="5">
        <v>46082</v>
      </c>
      <c r="B3353" s="6" t="s">
        <v>12</v>
      </c>
      <c r="C3353" s="6" t="s">
        <v>19</v>
      </c>
      <c r="D3353" s="5">
        <v>45901</v>
      </c>
      <c r="E3353" s="6" t="s">
        <v>15</v>
      </c>
      <c r="F3353" s="7">
        <v>3</v>
      </c>
      <c r="G3353" s="7">
        <v>67303.333333333328</v>
      </c>
      <c r="H3353" s="7">
        <v>201910</v>
      </c>
      <c r="I3353" s="7">
        <v>26400</v>
      </c>
      <c r="J3353" s="7">
        <v>2400</v>
      </c>
      <c r="K3353">
        <f t="shared" si="52"/>
        <v>181</v>
      </c>
      <c r="L3353" s="8" t="str" cm="1">
        <f t="array" ref="L3353">_xlfn.IFS(
 AND(K3353&gt;=89,K3353&lt;=92),"3개월",
 AND(K3353&gt;=58,K3353&lt;=62),"2개월",
 AND(K3353&gt;=28,K3353&lt;=32),"1개월",
 AND(K3353=0),"당월",
 TRUE,"그외"
)</f>
        <v>그외</v>
      </c>
    </row>
    <row r="3354" spans="1:12" x14ac:dyDescent="0.3">
      <c r="A3354" s="5">
        <v>46082</v>
      </c>
      <c r="B3354" s="6" t="s">
        <v>12</v>
      </c>
      <c r="C3354" s="6" t="s">
        <v>19</v>
      </c>
      <c r="D3354" s="5">
        <v>45931</v>
      </c>
      <c r="E3354" s="6" t="s">
        <v>15</v>
      </c>
      <c r="F3354" s="7">
        <v>6</v>
      </c>
      <c r="G3354" s="7">
        <v>62455</v>
      </c>
      <c r="H3354" s="7">
        <v>374730</v>
      </c>
      <c r="I3354" s="7">
        <v>52800</v>
      </c>
      <c r="J3354" s="7">
        <v>4800</v>
      </c>
      <c r="K3354">
        <f t="shared" si="52"/>
        <v>151</v>
      </c>
      <c r="L3354" s="8" t="str" cm="1">
        <f t="array" ref="L3354">_xlfn.IFS(
 AND(K3354&gt;=89,K3354&lt;=92),"3개월",
 AND(K3354&gt;=58,K3354&lt;=62),"2개월",
 AND(K3354&gt;=28,K3354&lt;=32),"1개월",
 AND(K3354=0),"당월",
 TRUE,"그외"
)</f>
        <v>그외</v>
      </c>
    </row>
    <row r="3355" spans="1:12" x14ac:dyDescent="0.3">
      <c r="A3355" s="5">
        <v>46082</v>
      </c>
      <c r="B3355" s="6" t="s">
        <v>12</v>
      </c>
      <c r="C3355" s="6" t="s">
        <v>19</v>
      </c>
      <c r="D3355" s="5">
        <v>45962</v>
      </c>
      <c r="E3355" s="6" t="s">
        <v>15</v>
      </c>
      <c r="F3355" s="7">
        <v>5</v>
      </c>
      <c r="G3355" s="7">
        <v>65727.600000000006</v>
      </c>
      <c r="H3355" s="7">
        <v>328638</v>
      </c>
      <c r="I3355" s="7">
        <v>44000</v>
      </c>
      <c r="J3355" s="7">
        <v>4000</v>
      </c>
      <c r="K3355">
        <f t="shared" si="52"/>
        <v>120</v>
      </c>
      <c r="L3355" s="8" t="str" cm="1">
        <f t="array" ref="L3355">_xlfn.IFS(
 AND(K3355&gt;=89,K3355&lt;=92),"3개월",
 AND(K3355&gt;=58,K3355&lt;=62),"2개월",
 AND(K3355&gt;=28,K3355&lt;=32),"1개월",
 AND(K3355=0),"당월",
 TRUE,"그외"
)</f>
        <v>그외</v>
      </c>
    </row>
    <row r="3356" spans="1:12" x14ac:dyDescent="0.3">
      <c r="A3356" s="5">
        <v>46082</v>
      </c>
      <c r="B3356" s="6" t="s">
        <v>12</v>
      </c>
      <c r="C3356" s="6" t="s">
        <v>19</v>
      </c>
      <c r="D3356" s="5">
        <v>45992</v>
      </c>
      <c r="E3356" s="6" t="s">
        <v>15</v>
      </c>
      <c r="F3356" s="7">
        <v>18</v>
      </c>
      <c r="G3356" s="7">
        <v>42379.388888888891</v>
      </c>
      <c r="H3356" s="7">
        <v>762829</v>
      </c>
      <c r="I3356" s="7">
        <v>114400</v>
      </c>
      <c r="J3356" s="7">
        <v>10400</v>
      </c>
      <c r="K3356">
        <f t="shared" si="52"/>
        <v>90</v>
      </c>
      <c r="L3356" s="8" t="str" cm="1">
        <f t="array" ref="L3356">_xlfn.IFS(
 AND(K3356&gt;=89,K3356&lt;=92),"3개월",
 AND(K3356&gt;=58,K3356&lt;=62),"2개월",
 AND(K3356&gt;=28,K3356&lt;=32),"1개월",
 AND(K3356=0),"당월",
 TRUE,"그외"
)</f>
        <v>3개월</v>
      </c>
    </row>
    <row r="3357" spans="1:12" x14ac:dyDescent="0.3">
      <c r="A3357" s="5">
        <v>46082</v>
      </c>
      <c r="B3357" s="6" t="s">
        <v>12</v>
      </c>
      <c r="C3357" s="6" t="s">
        <v>19</v>
      </c>
      <c r="D3357" s="5">
        <v>46023</v>
      </c>
      <c r="E3357" s="6" t="s">
        <v>15</v>
      </c>
      <c r="F3357" s="7">
        <v>340</v>
      </c>
      <c r="G3357" s="7">
        <v>44182.352941176468</v>
      </c>
      <c r="H3357" s="7">
        <v>15022000</v>
      </c>
      <c r="I3357" s="7">
        <v>3406980</v>
      </c>
      <c r="J3357" s="7">
        <v>308000</v>
      </c>
      <c r="K3357">
        <f t="shared" si="52"/>
        <v>59</v>
      </c>
      <c r="L3357" s="8" t="str" cm="1">
        <f t="array" ref="L3357">_xlfn.IFS(
 AND(K3357&gt;=89,K3357&lt;=92),"3개월",
 AND(K3357&gt;=58,K3357&lt;=62),"2개월",
 AND(K3357&gt;=28,K3357&lt;=32),"1개월",
 AND(K3357=0),"당월",
 TRUE,"그외"
)</f>
        <v>2개월</v>
      </c>
    </row>
    <row r="3358" spans="1:12" x14ac:dyDescent="0.3">
      <c r="A3358" s="5">
        <v>46082</v>
      </c>
      <c r="B3358" s="6" t="s">
        <v>12</v>
      </c>
      <c r="C3358" s="6" t="s">
        <v>19</v>
      </c>
      <c r="D3358" s="5">
        <v>46054</v>
      </c>
      <c r="E3358" s="6" t="s">
        <v>15</v>
      </c>
      <c r="F3358" s="7">
        <v>2367</v>
      </c>
      <c r="G3358" s="7">
        <v>37869.683988170676</v>
      </c>
      <c r="H3358" s="7">
        <v>89637542</v>
      </c>
      <c r="I3358" s="7">
        <v>19080600</v>
      </c>
      <c r="J3358" s="7">
        <v>1734600</v>
      </c>
      <c r="K3358">
        <f t="shared" si="52"/>
        <v>28</v>
      </c>
      <c r="L3358" s="8" t="str" cm="1">
        <f t="array" ref="L3358">_xlfn.IFS(
 AND(K3358&gt;=89,K3358&lt;=92),"3개월",
 AND(K3358&gt;=58,K3358&lt;=62),"2개월",
 AND(K3358&gt;=28,K3358&lt;=32),"1개월",
 AND(K3358=0),"당월",
 TRUE,"그외"
)</f>
        <v>1개월</v>
      </c>
    </row>
    <row r="3359" spans="1:12" x14ac:dyDescent="0.3">
      <c r="A3359" s="5">
        <v>46082</v>
      </c>
      <c r="B3359" s="6" t="s">
        <v>12</v>
      </c>
      <c r="C3359" s="6" t="s">
        <v>19</v>
      </c>
      <c r="D3359" s="5">
        <v>46082</v>
      </c>
      <c r="E3359" s="6" t="s">
        <v>15</v>
      </c>
      <c r="F3359" s="7">
        <v>15475</v>
      </c>
      <c r="G3359" s="7">
        <v>41989.302229402259</v>
      </c>
      <c r="H3359" s="7">
        <v>649784452</v>
      </c>
      <c r="I3359" s="7">
        <v>116614300</v>
      </c>
      <c r="J3359" s="7">
        <v>10601300</v>
      </c>
      <c r="K3359">
        <f t="shared" si="52"/>
        <v>0</v>
      </c>
      <c r="L3359" s="8" t="str" cm="1">
        <f t="array" ref="L3359">_xlfn.IFS(
 AND(K3359&gt;=89,K3359&lt;=92),"3개월",
 AND(K3359&gt;=58,K3359&lt;=62),"2개월",
 AND(K3359&gt;=28,K3359&lt;=32),"1개월",
 AND(K3359=0),"당월",
 TRUE,"그외"
)</f>
        <v>당월</v>
      </c>
    </row>
    <row r="3360" spans="1:12" x14ac:dyDescent="0.3">
      <c r="A3360" s="5">
        <v>46082</v>
      </c>
      <c r="B3360" s="6" t="s">
        <v>20</v>
      </c>
      <c r="C3360" s="6" t="s">
        <v>22</v>
      </c>
      <c r="D3360" s="5">
        <v>45839</v>
      </c>
      <c r="E3360" s="6" t="s">
        <v>15</v>
      </c>
      <c r="F3360" s="7">
        <v>40</v>
      </c>
      <c r="G3360" s="7">
        <v>131462.375</v>
      </c>
      <c r="H3360" s="7">
        <v>5258495</v>
      </c>
      <c r="I3360" s="7">
        <v>685097</v>
      </c>
      <c r="J3360" s="7">
        <v>0</v>
      </c>
      <c r="K3360">
        <f t="shared" si="52"/>
        <v>243</v>
      </c>
      <c r="L3360" s="8" t="str" cm="1">
        <f t="array" ref="L3360">_xlfn.IFS(
 AND(K3360&gt;=89,K3360&lt;=92),"3개월",
 AND(K3360&gt;=58,K3360&lt;=62),"2개월",
 AND(K3360&gt;=28,K3360&lt;=32),"1개월",
 AND(K3360=0),"당월",
 TRUE,"그외"
)</f>
        <v>그외</v>
      </c>
    </row>
    <row r="3361" spans="1:12" x14ac:dyDescent="0.3">
      <c r="A3361" s="5">
        <v>46082</v>
      </c>
      <c r="B3361" s="6" t="s">
        <v>20</v>
      </c>
      <c r="C3361" s="6" t="s">
        <v>22</v>
      </c>
      <c r="D3361" s="5">
        <v>45870</v>
      </c>
      <c r="E3361" s="6" t="s">
        <v>15</v>
      </c>
      <c r="F3361" s="7">
        <v>241</v>
      </c>
      <c r="G3361" s="7">
        <v>100689.54356846469</v>
      </c>
      <c r="H3361" s="7">
        <v>24266180</v>
      </c>
      <c r="I3361" s="7">
        <v>3036731</v>
      </c>
      <c r="J3361" s="7">
        <v>0</v>
      </c>
      <c r="K3361">
        <f t="shared" si="52"/>
        <v>212</v>
      </c>
      <c r="L3361" s="8" t="str" cm="1">
        <f t="array" ref="L3361">_xlfn.IFS(
 AND(K3361&gt;=89,K3361&lt;=92),"3개월",
 AND(K3361&gt;=58,K3361&lt;=62),"2개월",
 AND(K3361&gt;=28,K3361&lt;=32),"1개월",
 AND(K3361=0),"당월",
 TRUE,"그외"
)</f>
        <v>그외</v>
      </c>
    </row>
    <row r="3362" spans="1:12" x14ac:dyDescent="0.3">
      <c r="A3362" s="5">
        <v>46082</v>
      </c>
      <c r="B3362" s="6" t="s">
        <v>20</v>
      </c>
      <c r="C3362" s="6" t="s">
        <v>22</v>
      </c>
      <c r="D3362" s="5">
        <v>45901</v>
      </c>
      <c r="E3362" s="6" t="s">
        <v>15</v>
      </c>
      <c r="F3362" s="7">
        <v>608</v>
      </c>
      <c r="G3362" s="7">
        <v>118701.1825657895</v>
      </c>
      <c r="H3362" s="7">
        <v>72170319</v>
      </c>
      <c r="I3362" s="7">
        <v>8238154</v>
      </c>
      <c r="J3362" s="7">
        <v>0</v>
      </c>
      <c r="K3362">
        <f t="shared" si="52"/>
        <v>181</v>
      </c>
      <c r="L3362" s="8" t="str" cm="1">
        <f t="array" ref="L3362">_xlfn.IFS(
 AND(K3362&gt;=89,K3362&lt;=92),"3개월",
 AND(K3362&gt;=58,K3362&lt;=62),"2개월",
 AND(K3362&gt;=28,K3362&lt;=32),"1개월",
 AND(K3362=0),"당월",
 TRUE,"그외"
)</f>
        <v>그외</v>
      </c>
    </row>
    <row r="3363" spans="1:12" x14ac:dyDescent="0.3">
      <c r="A3363" s="5">
        <v>46082</v>
      </c>
      <c r="B3363" s="6" t="s">
        <v>20</v>
      </c>
      <c r="C3363" s="6" t="s">
        <v>22</v>
      </c>
      <c r="D3363" s="5">
        <v>45931</v>
      </c>
      <c r="E3363" s="6" t="s">
        <v>15</v>
      </c>
      <c r="F3363" s="7">
        <v>1392</v>
      </c>
      <c r="G3363" s="7">
        <v>123278.54885057471</v>
      </c>
      <c r="H3363" s="7">
        <v>171603740</v>
      </c>
      <c r="I3363" s="7">
        <v>19403824</v>
      </c>
      <c r="J3363" s="7">
        <v>0</v>
      </c>
      <c r="K3363">
        <f t="shared" si="52"/>
        <v>151</v>
      </c>
      <c r="L3363" s="8" t="str" cm="1">
        <f t="array" ref="L3363">_xlfn.IFS(
 AND(K3363&gt;=89,K3363&lt;=92),"3개월",
 AND(K3363&gt;=58,K3363&lt;=62),"2개월",
 AND(K3363&gt;=28,K3363&lt;=32),"1개월",
 AND(K3363=0),"당월",
 TRUE,"그외"
)</f>
        <v>그외</v>
      </c>
    </row>
    <row r="3364" spans="1:12" x14ac:dyDescent="0.3">
      <c r="A3364" s="5">
        <v>46082</v>
      </c>
      <c r="B3364" s="6" t="s">
        <v>20</v>
      </c>
      <c r="C3364" s="6" t="s">
        <v>22</v>
      </c>
      <c r="D3364" s="5">
        <v>45962</v>
      </c>
      <c r="E3364" s="6" t="s">
        <v>14</v>
      </c>
      <c r="F3364" s="7">
        <v>7</v>
      </c>
      <c r="G3364" s="7">
        <v>85136</v>
      </c>
      <c r="H3364" s="7">
        <v>595952</v>
      </c>
      <c r="I3364" s="7">
        <v>204611</v>
      </c>
      <c r="J3364" s="7">
        <v>0</v>
      </c>
      <c r="K3364">
        <f t="shared" si="52"/>
        <v>120</v>
      </c>
      <c r="L3364" s="8" t="str" cm="1">
        <f t="array" ref="L3364">_xlfn.IFS(
 AND(K3364&gt;=89,K3364&lt;=92),"3개월",
 AND(K3364&gt;=58,K3364&lt;=62),"2개월",
 AND(K3364&gt;=28,K3364&lt;=32),"1개월",
 AND(K3364=0),"당월",
 TRUE,"그외"
)</f>
        <v>그외</v>
      </c>
    </row>
    <row r="3365" spans="1:12" x14ac:dyDescent="0.3">
      <c r="A3365" s="5">
        <v>46082</v>
      </c>
      <c r="B3365" s="6" t="s">
        <v>20</v>
      </c>
      <c r="C3365" s="6" t="s">
        <v>22</v>
      </c>
      <c r="D3365" s="5">
        <v>45962</v>
      </c>
      <c r="E3365" s="6" t="s">
        <v>15</v>
      </c>
      <c r="F3365" s="7">
        <v>1770</v>
      </c>
      <c r="G3365" s="7">
        <v>124296.4265536723</v>
      </c>
      <c r="H3365" s="7">
        <v>220004675</v>
      </c>
      <c r="I3365" s="7">
        <v>27212096</v>
      </c>
      <c r="J3365" s="7">
        <v>0</v>
      </c>
      <c r="K3365">
        <f t="shared" si="52"/>
        <v>120</v>
      </c>
      <c r="L3365" s="8" t="str" cm="1">
        <f t="array" ref="L3365">_xlfn.IFS(
 AND(K3365&gt;=89,K3365&lt;=92),"3개월",
 AND(K3365&gt;=58,K3365&lt;=62),"2개월",
 AND(K3365&gt;=28,K3365&lt;=32),"1개월",
 AND(K3365=0),"당월",
 TRUE,"그외"
)</f>
        <v>그외</v>
      </c>
    </row>
    <row r="3366" spans="1:12" x14ac:dyDescent="0.3">
      <c r="A3366" s="5">
        <v>46082</v>
      </c>
      <c r="B3366" s="6" t="s">
        <v>20</v>
      </c>
      <c r="C3366" s="6" t="s">
        <v>22</v>
      </c>
      <c r="D3366" s="5">
        <v>45992</v>
      </c>
      <c r="E3366" s="6" t="s">
        <v>14</v>
      </c>
      <c r="F3366" s="7">
        <v>288</v>
      </c>
      <c r="G3366" s="7">
        <v>166364.89583333331</v>
      </c>
      <c r="H3366" s="7">
        <v>47913090</v>
      </c>
      <c r="I3366" s="7">
        <v>4018441</v>
      </c>
      <c r="J3366" s="7">
        <v>0</v>
      </c>
      <c r="K3366">
        <f t="shared" si="52"/>
        <v>90</v>
      </c>
      <c r="L3366" s="8" t="str" cm="1">
        <f t="array" ref="L3366">_xlfn.IFS(
 AND(K3366&gt;=89,K3366&lt;=92),"3개월",
 AND(K3366&gt;=58,K3366&lt;=62),"2개월",
 AND(K3366&gt;=28,K3366&lt;=32),"1개월",
 AND(K3366=0),"당월",
 TRUE,"그외"
)</f>
        <v>3개월</v>
      </c>
    </row>
    <row r="3367" spans="1:12" x14ac:dyDescent="0.3">
      <c r="A3367" s="5">
        <v>46082</v>
      </c>
      <c r="B3367" s="6" t="s">
        <v>20</v>
      </c>
      <c r="C3367" s="6" t="s">
        <v>22</v>
      </c>
      <c r="D3367" s="5">
        <v>45992</v>
      </c>
      <c r="E3367" s="6" t="s">
        <v>15</v>
      </c>
      <c r="F3367" s="7">
        <v>3546</v>
      </c>
      <c r="G3367" s="7">
        <v>127263.4261139312</v>
      </c>
      <c r="H3367" s="7">
        <v>451276109</v>
      </c>
      <c r="I3367" s="7">
        <v>58995087</v>
      </c>
      <c r="J3367" s="7">
        <v>0</v>
      </c>
      <c r="K3367">
        <f t="shared" si="52"/>
        <v>90</v>
      </c>
      <c r="L3367" s="8" t="str" cm="1">
        <f t="array" ref="L3367">_xlfn.IFS(
 AND(K3367&gt;=89,K3367&lt;=92),"3개월",
 AND(K3367&gt;=58,K3367&lt;=62),"2개월",
 AND(K3367&gt;=28,K3367&lt;=32),"1개월",
 AND(K3367=0),"당월",
 TRUE,"그외"
)</f>
        <v>3개월</v>
      </c>
    </row>
    <row r="3368" spans="1:12" x14ac:dyDescent="0.3">
      <c r="A3368" s="5">
        <v>46082</v>
      </c>
      <c r="B3368" s="6" t="s">
        <v>20</v>
      </c>
      <c r="C3368" s="6" t="s">
        <v>22</v>
      </c>
      <c r="D3368" s="5">
        <v>46023</v>
      </c>
      <c r="E3368" s="6" t="s">
        <v>14</v>
      </c>
      <c r="F3368" s="7">
        <v>937</v>
      </c>
      <c r="G3368" s="7">
        <v>99997.680896478123</v>
      </c>
      <c r="H3368" s="7">
        <v>93697827</v>
      </c>
      <c r="I3368" s="7">
        <v>26642336</v>
      </c>
      <c r="J3368" s="7">
        <v>0</v>
      </c>
      <c r="K3368">
        <f t="shared" si="52"/>
        <v>59</v>
      </c>
      <c r="L3368" s="8" t="str" cm="1">
        <f t="array" ref="L3368">_xlfn.IFS(
 AND(K3368&gt;=89,K3368&lt;=92),"3개월",
 AND(K3368&gt;=58,K3368&lt;=62),"2개월",
 AND(K3368&gt;=28,K3368&lt;=32),"1개월",
 AND(K3368=0),"당월",
 TRUE,"그외"
)</f>
        <v>2개월</v>
      </c>
    </row>
    <row r="3369" spans="1:12" x14ac:dyDescent="0.3">
      <c r="A3369" s="5">
        <v>46082</v>
      </c>
      <c r="B3369" s="6" t="s">
        <v>20</v>
      </c>
      <c r="C3369" s="6" t="s">
        <v>22</v>
      </c>
      <c r="D3369" s="5">
        <v>46023</v>
      </c>
      <c r="E3369" s="6" t="s">
        <v>15</v>
      </c>
      <c r="F3369" s="7">
        <v>7550</v>
      </c>
      <c r="G3369" s="7">
        <v>149546.97192052979</v>
      </c>
      <c r="H3369" s="7">
        <v>1129079638</v>
      </c>
      <c r="I3369" s="7">
        <v>123549164</v>
      </c>
      <c r="J3369" s="7">
        <v>0</v>
      </c>
      <c r="K3369">
        <f t="shared" si="52"/>
        <v>59</v>
      </c>
      <c r="L3369" s="8" t="str" cm="1">
        <f t="array" ref="L3369">_xlfn.IFS(
 AND(K3369&gt;=89,K3369&lt;=92),"3개월",
 AND(K3369&gt;=58,K3369&lt;=62),"2개월",
 AND(K3369&gt;=28,K3369&lt;=32),"1개월",
 AND(K3369=0),"당월",
 TRUE,"그외"
)</f>
        <v>2개월</v>
      </c>
    </row>
    <row r="3370" spans="1:12" x14ac:dyDescent="0.3">
      <c r="A3370" s="5">
        <v>46082</v>
      </c>
      <c r="B3370" s="6" t="s">
        <v>20</v>
      </c>
      <c r="C3370" s="6" t="s">
        <v>22</v>
      </c>
      <c r="D3370" s="5">
        <v>46054</v>
      </c>
      <c r="E3370" s="6" t="s">
        <v>14</v>
      </c>
      <c r="F3370" s="7">
        <v>2742</v>
      </c>
      <c r="G3370" s="7">
        <v>140007.9223194748</v>
      </c>
      <c r="H3370" s="7">
        <v>383901723</v>
      </c>
      <c r="I3370" s="7">
        <v>38187696</v>
      </c>
      <c r="J3370" s="7">
        <v>0</v>
      </c>
      <c r="K3370">
        <f t="shared" si="52"/>
        <v>28</v>
      </c>
      <c r="L3370" s="8" t="str" cm="1">
        <f t="array" ref="L3370">_xlfn.IFS(
 AND(K3370&gt;=89,K3370&lt;=92),"3개월",
 AND(K3370&gt;=58,K3370&lt;=62),"2개월",
 AND(K3370&gt;=28,K3370&lt;=32),"1개월",
 AND(K3370=0),"당월",
 TRUE,"그외"
)</f>
        <v>1개월</v>
      </c>
    </row>
    <row r="3371" spans="1:12" x14ac:dyDescent="0.3">
      <c r="A3371" s="5">
        <v>46082</v>
      </c>
      <c r="B3371" s="6" t="s">
        <v>20</v>
      </c>
      <c r="C3371" s="6" t="s">
        <v>22</v>
      </c>
      <c r="D3371" s="5">
        <v>46054</v>
      </c>
      <c r="E3371" s="6" t="s">
        <v>15</v>
      </c>
      <c r="F3371" s="7">
        <v>16099</v>
      </c>
      <c r="G3371" s="7">
        <v>163020.0665879868</v>
      </c>
      <c r="H3371" s="7">
        <v>2624460052</v>
      </c>
      <c r="I3371" s="7">
        <v>208567259</v>
      </c>
      <c r="J3371" s="7">
        <v>0</v>
      </c>
      <c r="K3371">
        <f t="shared" si="52"/>
        <v>28</v>
      </c>
      <c r="L3371" s="8" t="str" cm="1">
        <f t="array" ref="L3371">_xlfn.IFS(
 AND(K3371&gt;=89,K3371&lt;=92),"3개월",
 AND(K3371&gt;=58,K3371&lt;=62),"2개월",
 AND(K3371&gt;=28,K3371&lt;=32),"1개월",
 AND(K3371=0),"당월",
 TRUE,"그외"
)</f>
        <v>1개월</v>
      </c>
    </row>
    <row r="3372" spans="1:12" x14ac:dyDescent="0.3">
      <c r="A3372" s="5">
        <v>46082</v>
      </c>
      <c r="B3372" s="6" t="s">
        <v>20</v>
      </c>
      <c r="C3372" s="6" t="s">
        <v>22</v>
      </c>
      <c r="D3372" s="5">
        <v>46082</v>
      </c>
      <c r="E3372" s="6" t="s">
        <v>14</v>
      </c>
      <c r="F3372" s="7">
        <v>3144</v>
      </c>
      <c r="G3372" s="7">
        <v>139118.63931297709</v>
      </c>
      <c r="H3372" s="7">
        <v>437389002</v>
      </c>
      <c r="I3372" s="7">
        <v>37511647</v>
      </c>
      <c r="J3372" s="7">
        <v>0</v>
      </c>
      <c r="K3372">
        <f t="shared" si="52"/>
        <v>0</v>
      </c>
      <c r="L3372" s="8" t="str" cm="1">
        <f t="array" ref="L3372">_xlfn.IFS(
 AND(K3372&gt;=89,K3372&lt;=92),"3개월",
 AND(K3372&gt;=58,K3372&lt;=62),"2개월",
 AND(K3372&gt;=28,K3372&lt;=32),"1개월",
 AND(K3372=0),"당월",
 TRUE,"그외"
)</f>
        <v>당월</v>
      </c>
    </row>
    <row r="3373" spans="1:12" x14ac:dyDescent="0.3">
      <c r="A3373" s="5">
        <v>46082</v>
      </c>
      <c r="B3373" s="6" t="s">
        <v>20</v>
      </c>
      <c r="C3373" s="6" t="s">
        <v>22</v>
      </c>
      <c r="D3373" s="5">
        <v>46082</v>
      </c>
      <c r="E3373" s="6" t="s">
        <v>15</v>
      </c>
      <c r="F3373" s="7">
        <v>9256</v>
      </c>
      <c r="G3373" s="7">
        <v>173244.84399308561</v>
      </c>
      <c r="H3373" s="7">
        <v>1603554276</v>
      </c>
      <c r="I3373" s="7">
        <v>148151909</v>
      </c>
      <c r="J3373" s="7">
        <v>0</v>
      </c>
      <c r="K3373">
        <f t="shared" si="52"/>
        <v>0</v>
      </c>
      <c r="L3373" s="8" t="str" cm="1">
        <f t="array" ref="L3373">_xlfn.IFS(
 AND(K3373&gt;=89,K3373&lt;=92),"3개월",
 AND(K3373&gt;=58,K3373&lt;=62),"2개월",
 AND(K3373&gt;=28,K3373&lt;=32),"1개월",
 AND(K3373=0),"당월",
 TRUE,"그외"
)</f>
        <v>당월</v>
      </c>
    </row>
    <row r="3374" spans="1:12" x14ac:dyDescent="0.3">
      <c r="A3374" s="5">
        <v>46082</v>
      </c>
      <c r="B3374" s="6" t="s">
        <v>20</v>
      </c>
      <c r="C3374" s="6" t="s">
        <v>23</v>
      </c>
      <c r="D3374" s="5">
        <v>45839</v>
      </c>
      <c r="E3374" s="6" t="s">
        <v>15</v>
      </c>
      <c r="F3374" s="7">
        <v>11</v>
      </c>
      <c r="G3374" s="7">
        <v>183773.72727272729</v>
      </c>
      <c r="H3374" s="7">
        <v>2021511</v>
      </c>
      <c r="I3374" s="7">
        <v>321410</v>
      </c>
      <c r="J3374" s="7">
        <v>0</v>
      </c>
      <c r="K3374">
        <f t="shared" si="52"/>
        <v>243</v>
      </c>
      <c r="L3374" s="8" t="str" cm="1">
        <f t="array" ref="L3374">_xlfn.IFS(
 AND(K3374&gt;=89,K3374&lt;=92),"3개월",
 AND(K3374&gt;=58,K3374&lt;=62),"2개월",
 AND(K3374&gt;=28,K3374&lt;=32),"1개월",
 AND(K3374=0),"당월",
 TRUE,"그외"
)</f>
        <v>그외</v>
      </c>
    </row>
    <row r="3375" spans="1:12" x14ac:dyDescent="0.3">
      <c r="A3375" s="5">
        <v>46082</v>
      </c>
      <c r="B3375" s="6" t="s">
        <v>20</v>
      </c>
      <c r="C3375" s="6" t="s">
        <v>23</v>
      </c>
      <c r="D3375" s="5">
        <v>45870</v>
      </c>
      <c r="E3375" s="6" t="s">
        <v>15</v>
      </c>
      <c r="F3375" s="7">
        <v>13</v>
      </c>
      <c r="G3375" s="7">
        <v>174099.3846153846</v>
      </c>
      <c r="H3375" s="7">
        <v>2263292</v>
      </c>
      <c r="I3375" s="7">
        <v>209381</v>
      </c>
      <c r="J3375" s="7">
        <v>0</v>
      </c>
      <c r="K3375">
        <f t="shared" si="52"/>
        <v>212</v>
      </c>
      <c r="L3375" s="8" t="str" cm="1">
        <f t="array" ref="L3375">_xlfn.IFS(
 AND(K3375&gt;=89,K3375&lt;=92),"3개월",
 AND(K3375&gt;=58,K3375&lt;=62),"2개월",
 AND(K3375&gt;=28,K3375&lt;=32),"1개월",
 AND(K3375=0),"당월",
 TRUE,"그외"
)</f>
        <v>그외</v>
      </c>
    </row>
    <row r="3376" spans="1:12" x14ac:dyDescent="0.3">
      <c r="A3376" s="5">
        <v>46082</v>
      </c>
      <c r="B3376" s="6" t="s">
        <v>20</v>
      </c>
      <c r="C3376" s="6" t="s">
        <v>23</v>
      </c>
      <c r="D3376" s="5">
        <v>45901</v>
      </c>
      <c r="E3376" s="6" t="s">
        <v>15</v>
      </c>
      <c r="F3376" s="7">
        <v>44</v>
      </c>
      <c r="G3376" s="7">
        <v>117218.06818181821</v>
      </c>
      <c r="H3376" s="7">
        <v>5157595</v>
      </c>
      <c r="I3376" s="7">
        <v>486750</v>
      </c>
      <c r="J3376" s="7">
        <v>0</v>
      </c>
      <c r="K3376">
        <f t="shared" si="52"/>
        <v>181</v>
      </c>
      <c r="L3376" s="8" t="str" cm="1">
        <f t="array" ref="L3376">_xlfn.IFS(
 AND(K3376&gt;=89,K3376&lt;=92),"3개월",
 AND(K3376&gt;=58,K3376&lt;=62),"2개월",
 AND(K3376&gt;=28,K3376&lt;=32),"1개월",
 AND(K3376=0),"당월",
 TRUE,"그외"
)</f>
        <v>그외</v>
      </c>
    </row>
    <row r="3377" spans="1:12" x14ac:dyDescent="0.3">
      <c r="A3377" s="5">
        <v>46082</v>
      </c>
      <c r="B3377" s="6" t="s">
        <v>20</v>
      </c>
      <c r="C3377" s="6" t="s">
        <v>23</v>
      </c>
      <c r="D3377" s="5">
        <v>45931</v>
      </c>
      <c r="E3377" s="6" t="s">
        <v>14</v>
      </c>
      <c r="F3377" s="7">
        <v>12</v>
      </c>
      <c r="G3377" s="7">
        <v>149700</v>
      </c>
      <c r="H3377" s="7">
        <v>1796400</v>
      </c>
      <c r="I3377" s="7">
        <v>116400</v>
      </c>
      <c r="J3377" s="7">
        <v>0</v>
      </c>
      <c r="K3377">
        <f t="shared" si="52"/>
        <v>151</v>
      </c>
      <c r="L3377" s="8" t="str" cm="1">
        <f t="array" ref="L3377">_xlfn.IFS(
 AND(K3377&gt;=89,K3377&lt;=92),"3개월",
 AND(K3377&gt;=58,K3377&lt;=62),"2개월",
 AND(K3377&gt;=28,K3377&lt;=32),"1개월",
 AND(K3377=0),"당월",
 TRUE,"그외"
)</f>
        <v>그외</v>
      </c>
    </row>
    <row r="3378" spans="1:12" x14ac:dyDescent="0.3">
      <c r="A3378" s="5">
        <v>46082</v>
      </c>
      <c r="B3378" s="6" t="s">
        <v>20</v>
      </c>
      <c r="C3378" s="6" t="s">
        <v>23</v>
      </c>
      <c r="D3378" s="5">
        <v>45931</v>
      </c>
      <c r="E3378" s="6" t="s">
        <v>15</v>
      </c>
      <c r="F3378" s="7">
        <v>213</v>
      </c>
      <c r="G3378" s="7">
        <v>126254.3474178404</v>
      </c>
      <c r="H3378" s="7">
        <v>26892176</v>
      </c>
      <c r="I3378" s="7">
        <v>2319005</v>
      </c>
      <c r="J3378" s="7">
        <v>0</v>
      </c>
      <c r="K3378">
        <f t="shared" si="52"/>
        <v>151</v>
      </c>
      <c r="L3378" s="8" t="str" cm="1">
        <f t="array" ref="L3378">_xlfn.IFS(
 AND(K3378&gt;=89,K3378&lt;=92),"3개월",
 AND(K3378&gt;=58,K3378&lt;=62),"2개월",
 AND(K3378&gt;=28,K3378&lt;=32),"1개월",
 AND(K3378=0),"당월",
 TRUE,"그외"
)</f>
        <v>그외</v>
      </c>
    </row>
    <row r="3379" spans="1:12" x14ac:dyDescent="0.3">
      <c r="A3379" s="5">
        <v>46082</v>
      </c>
      <c r="B3379" s="6" t="s">
        <v>20</v>
      </c>
      <c r="C3379" s="6" t="s">
        <v>23</v>
      </c>
      <c r="D3379" s="5">
        <v>45962</v>
      </c>
      <c r="E3379" s="6" t="s">
        <v>14</v>
      </c>
      <c r="F3379" s="7">
        <v>140</v>
      </c>
      <c r="G3379" s="7">
        <v>95942.857142857145</v>
      </c>
      <c r="H3379" s="7">
        <v>13432000</v>
      </c>
      <c r="I3379" s="7">
        <v>1372000</v>
      </c>
      <c r="J3379" s="7">
        <v>0</v>
      </c>
      <c r="K3379">
        <f t="shared" si="52"/>
        <v>120</v>
      </c>
      <c r="L3379" s="8" t="str" cm="1">
        <f t="array" ref="L3379">_xlfn.IFS(
 AND(K3379&gt;=89,K3379&lt;=92),"3개월",
 AND(K3379&gt;=58,K3379&lt;=62),"2개월",
 AND(K3379&gt;=28,K3379&lt;=32),"1개월",
 AND(K3379=0),"당월",
 TRUE,"그외"
)</f>
        <v>그외</v>
      </c>
    </row>
    <row r="3380" spans="1:12" x14ac:dyDescent="0.3">
      <c r="A3380" s="5">
        <v>46082</v>
      </c>
      <c r="B3380" s="6" t="s">
        <v>20</v>
      </c>
      <c r="C3380" s="6" t="s">
        <v>23</v>
      </c>
      <c r="D3380" s="5">
        <v>45962</v>
      </c>
      <c r="E3380" s="6" t="s">
        <v>15</v>
      </c>
      <c r="F3380" s="7">
        <v>755</v>
      </c>
      <c r="G3380" s="7">
        <v>134541.9682119205</v>
      </c>
      <c r="H3380" s="7">
        <v>101579186</v>
      </c>
      <c r="I3380" s="7">
        <v>9103191</v>
      </c>
      <c r="J3380" s="7">
        <v>0</v>
      </c>
      <c r="K3380">
        <f t="shared" si="52"/>
        <v>120</v>
      </c>
      <c r="L3380" s="8" t="str" cm="1">
        <f t="array" ref="L3380">_xlfn.IFS(
 AND(K3380&gt;=89,K3380&lt;=92),"3개월",
 AND(K3380&gt;=58,K3380&lt;=62),"2개월",
 AND(K3380&gt;=28,K3380&lt;=32),"1개월",
 AND(K3380=0),"당월",
 TRUE,"그외"
)</f>
        <v>그외</v>
      </c>
    </row>
    <row r="3381" spans="1:12" x14ac:dyDescent="0.3">
      <c r="A3381" s="5">
        <v>46082</v>
      </c>
      <c r="B3381" s="6" t="s">
        <v>20</v>
      </c>
      <c r="C3381" s="6" t="s">
        <v>23</v>
      </c>
      <c r="D3381" s="5">
        <v>45992</v>
      </c>
      <c r="E3381" s="6" t="s">
        <v>14</v>
      </c>
      <c r="F3381" s="7">
        <v>370</v>
      </c>
      <c r="G3381" s="7">
        <v>101121.6216216216</v>
      </c>
      <c r="H3381" s="7">
        <v>37415000</v>
      </c>
      <c r="I3381" s="7">
        <v>4255000</v>
      </c>
      <c r="J3381" s="7">
        <v>0</v>
      </c>
      <c r="K3381">
        <f t="shared" si="52"/>
        <v>90</v>
      </c>
      <c r="L3381" s="8" t="str" cm="1">
        <f t="array" ref="L3381">_xlfn.IFS(
 AND(K3381&gt;=89,K3381&lt;=92),"3개월",
 AND(K3381&gt;=58,K3381&lt;=62),"2개월",
 AND(K3381&gt;=28,K3381&lt;=32),"1개월",
 AND(K3381=0),"당월",
 TRUE,"그외"
)</f>
        <v>3개월</v>
      </c>
    </row>
    <row r="3382" spans="1:12" x14ac:dyDescent="0.3">
      <c r="A3382" s="5">
        <v>46082</v>
      </c>
      <c r="B3382" s="6" t="s">
        <v>20</v>
      </c>
      <c r="C3382" s="6" t="s">
        <v>23</v>
      </c>
      <c r="D3382" s="5">
        <v>45992</v>
      </c>
      <c r="E3382" s="6" t="s">
        <v>15</v>
      </c>
      <c r="F3382" s="7">
        <v>1103</v>
      </c>
      <c r="G3382" s="7">
        <v>150464.48594741611</v>
      </c>
      <c r="H3382" s="7">
        <v>165962328</v>
      </c>
      <c r="I3382" s="7">
        <v>18613678</v>
      </c>
      <c r="J3382" s="7">
        <v>0</v>
      </c>
      <c r="K3382">
        <f t="shared" si="52"/>
        <v>90</v>
      </c>
      <c r="L3382" s="8" t="str" cm="1">
        <f t="array" ref="L3382">_xlfn.IFS(
 AND(K3382&gt;=89,K3382&lt;=92),"3개월",
 AND(K3382&gt;=58,K3382&lt;=62),"2개월",
 AND(K3382&gt;=28,K3382&lt;=32),"1개월",
 AND(K3382=0),"당월",
 TRUE,"그외"
)</f>
        <v>3개월</v>
      </c>
    </row>
    <row r="3383" spans="1:12" x14ac:dyDescent="0.3">
      <c r="A3383" s="5">
        <v>46082</v>
      </c>
      <c r="B3383" s="6" t="s">
        <v>20</v>
      </c>
      <c r="C3383" s="6" t="s">
        <v>23</v>
      </c>
      <c r="D3383" s="5">
        <v>46023</v>
      </c>
      <c r="E3383" s="6" t="s">
        <v>14</v>
      </c>
      <c r="F3383" s="7">
        <v>218</v>
      </c>
      <c r="G3383" s="7">
        <v>128864.22018348621</v>
      </c>
      <c r="H3383" s="7">
        <v>28092400</v>
      </c>
      <c r="I3383" s="7">
        <v>2572400</v>
      </c>
      <c r="J3383" s="7">
        <v>0</v>
      </c>
      <c r="K3383">
        <f t="shared" si="52"/>
        <v>59</v>
      </c>
      <c r="L3383" s="8" t="str" cm="1">
        <f t="array" ref="L3383">_xlfn.IFS(
 AND(K3383&gt;=89,K3383&lt;=92),"3개월",
 AND(K3383&gt;=58,K3383&lt;=62),"2개월",
 AND(K3383&gt;=28,K3383&lt;=32),"1개월",
 AND(K3383=0),"당월",
 TRUE,"그외"
)</f>
        <v>2개월</v>
      </c>
    </row>
    <row r="3384" spans="1:12" x14ac:dyDescent="0.3">
      <c r="A3384" s="5">
        <v>46082</v>
      </c>
      <c r="B3384" s="6" t="s">
        <v>20</v>
      </c>
      <c r="C3384" s="6" t="s">
        <v>23</v>
      </c>
      <c r="D3384" s="5">
        <v>46023</v>
      </c>
      <c r="E3384" s="6" t="s">
        <v>15</v>
      </c>
      <c r="F3384" s="7">
        <v>2725</v>
      </c>
      <c r="G3384" s="7">
        <v>158502.21651376149</v>
      </c>
      <c r="H3384" s="7">
        <v>431918540</v>
      </c>
      <c r="I3384" s="7">
        <v>41188816</v>
      </c>
      <c r="J3384" s="7">
        <v>0</v>
      </c>
      <c r="K3384">
        <f t="shared" si="52"/>
        <v>59</v>
      </c>
      <c r="L3384" s="8" t="str" cm="1">
        <f t="array" ref="L3384">_xlfn.IFS(
 AND(K3384&gt;=89,K3384&lt;=92),"3개월",
 AND(K3384&gt;=58,K3384&lt;=62),"2개월",
 AND(K3384&gt;=28,K3384&lt;=32),"1개월",
 AND(K3384=0),"당월",
 TRUE,"그외"
)</f>
        <v>2개월</v>
      </c>
    </row>
    <row r="3385" spans="1:12" x14ac:dyDescent="0.3">
      <c r="A3385" s="5">
        <v>46082</v>
      </c>
      <c r="B3385" s="6" t="s">
        <v>20</v>
      </c>
      <c r="C3385" s="6" t="s">
        <v>23</v>
      </c>
      <c r="D3385" s="5">
        <v>46054</v>
      </c>
      <c r="E3385" s="6" t="s">
        <v>14</v>
      </c>
      <c r="F3385" s="7">
        <v>1233</v>
      </c>
      <c r="G3385" s="7">
        <v>117659.5490673155</v>
      </c>
      <c r="H3385" s="7">
        <v>145074224</v>
      </c>
      <c r="I3385" s="7">
        <v>10454880</v>
      </c>
      <c r="J3385" s="7">
        <v>0</v>
      </c>
      <c r="K3385">
        <f t="shared" si="52"/>
        <v>28</v>
      </c>
      <c r="L3385" s="8" t="str" cm="1">
        <f t="array" ref="L3385">_xlfn.IFS(
 AND(K3385&gt;=89,K3385&lt;=92),"3개월",
 AND(K3385&gt;=58,K3385&lt;=62),"2개월",
 AND(K3385&gt;=28,K3385&lt;=32),"1개월",
 AND(K3385=0),"당월",
 TRUE,"그외"
)</f>
        <v>1개월</v>
      </c>
    </row>
    <row r="3386" spans="1:12" x14ac:dyDescent="0.3">
      <c r="A3386" s="5">
        <v>46082</v>
      </c>
      <c r="B3386" s="6" t="s">
        <v>20</v>
      </c>
      <c r="C3386" s="6" t="s">
        <v>23</v>
      </c>
      <c r="D3386" s="5">
        <v>46054</v>
      </c>
      <c r="E3386" s="6" t="s">
        <v>15</v>
      </c>
      <c r="F3386" s="7">
        <v>2096</v>
      </c>
      <c r="G3386" s="7">
        <v>160186.6617366412</v>
      </c>
      <c r="H3386" s="7">
        <v>335751243</v>
      </c>
      <c r="I3386" s="7">
        <v>24988853</v>
      </c>
      <c r="J3386" s="7">
        <v>0</v>
      </c>
      <c r="K3386">
        <f t="shared" si="52"/>
        <v>28</v>
      </c>
      <c r="L3386" s="8" t="str" cm="1">
        <f t="array" ref="L3386">_xlfn.IFS(
 AND(K3386&gt;=89,K3386&lt;=92),"3개월",
 AND(K3386&gt;=58,K3386&lt;=62),"2개월",
 AND(K3386&gt;=28,K3386&lt;=32),"1개월",
 AND(K3386=0),"당월",
 TRUE,"그외"
)</f>
        <v>1개월</v>
      </c>
    </row>
    <row r="3387" spans="1:12" x14ac:dyDescent="0.3">
      <c r="A3387" s="5">
        <v>46082</v>
      </c>
      <c r="B3387" s="6" t="s">
        <v>20</v>
      </c>
      <c r="C3387" s="6" t="s">
        <v>23</v>
      </c>
      <c r="D3387" s="5">
        <v>46082</v>
      </c>
      <c r="E3387" s="6" t="s">
        <v>14</v>
      </c>
      <c r="F3387" s="7">
        <v>853</v>
      </c>
      <c r="G3387" s="7">
        <v>109838.56975381009</v>
      </c>
      <c r="H3387" s="7">
        <v>93692300</v>
      </c>
      <c r="I3387" s="7">
        <v>8752300</v>
      </c>
      <c r="J3387" s="7">
        <v>0</v>
      </c>
      <c r="K3387">
        <f t="shared" si="52"/>
        <v>0</v>
      </c>
      <c r="L3387" s="8" t="str" cm="1">
        <f t="array" ref="L3387">_xlfn.IFS(
 AND(K3387&gt;=89,K3387&lt;=92),"3개월",
 AND(K3387&gt;=58,K3387&lt;=62),"2개월",
 AND(K3387&gt;=28,K3387&lt;=32),"1개월",
 AND(K3387=0),"당월",
 TRUE,"그외"
)</f>
        <v>당월</v>
      </c>
    </row>
    <row r="3388" spans="1:12" x14ac:dyDescent="0.3">
      <c r="A3388" s="5">
        <v>46082</v>
      </c>
      <c r="B3388" s="6" t="s">
        <v>20</v>
      </c>
      <c r="C3388" s="6" t="s">
        <v>23</v>
      </c>
      <c r="D3388" s="5">
        <v>46082</v>
      </c>
      <c r="E3388" s="6" t="s">
        <v>15</v>
      </c>
      <c r="F3388" s="7">
        <v>1296</v>
      </c>
      <c r="G3388" s="7">
        <v>156552.10648148149</v>
      </c>
      <c r="H3388" s="7">
        <v>202891530</v>
      </c>
      <c r="I3388" s="7">
        <v>17471335</v>
      </c>
      <c r="J3388" s="7">
        <v>0</v>
      </c>
      <c r="K3388">
        <f t="shared" si="52"/>
        <v>0</v>
      </c>
      <c r="L3388" s="8" t="str" cm="1">
        <f t="array" ref="L3388">_xlfn.IFS(
 AND(K3388&gt;=89,K3388&lt;=92),"3개월",
 AND(K3388&gt;=58,K3388&lt;=62),"2개월",
 AND(K3388&gt;=28,K3388&lt;=32),"1개월",
 AND(K3388=0),"당월",
 TRUE,"그외"
)</f>
        <v>당월</v>
      </c>
    </row>
    <row r="3389" spans="1:12" x14ac:dyDescent="0.3">
      <c r="A3389" s="5">
        <v>46082</v>
      </c>
      <c r="B3389" s="6" t="s">
        <v>20</v>
      </c>
      <c r="C3389" s="6" t="s">
        <v>24</v>
      </c>
      <c r="D3389" s="5">
        <v>45839</v>
      </c>
      <c r="E3389" s="6" t="s">
        <v>15</v>
      </c>
      <c r="F3389" s="7">
        <v>9</v>
      </c>
      <c r="G3389" s="7">
        <v>85106.888888888891</v>
      </c>
      <c r="H3389" s="7">
        <v>765962</v>
      </c>
      <c r="I3389" s="7">
        <v>49500</v>
      </c>
      <c r="J3389" s="7">
        <v>0</v>
      </c>
      <c r="K3389">
        <f t="shared" si="52"/>
        <v>243</v>
      </c>
      <c r="L3389" s="8" t="str" cm="1">
        <f t="array" ref="L3389">_xlfn.IFS(
 AND(K3389&gt;=89,K3389&lt;=92),"3개월",
 AND(K3389&gt;=58,K3389&lt;=62),"2개월",
 AND(K3389&gt;=28,K3389&lt;=32),"1개월",
 AND(K3389=0),"당월",
 TRUE,"그외"
)</f>
        <v>그외</v>
      </c>
    </row>
    <row r="3390" spans="1:12" x14ac:dyDescent="0.3">
      <c r="A3390" s="5">
        <v>46082</v>
      </c>
      <c r="B3390" s="6" t="s">
        <v>20</v>
      </c>
      <c r="C3390" s="6" t="s">
        <v>24</v>
      </c>
      <c r="D3390" s="5">
        <v>45870</v>
      </c>
      <c r="E3390" s="6" t="s">
        <v>15</v>
      </c>
      <c r="F3390" s="7">
        <v>157</v>
      </c>
      <c r="G3390" s="7">
        <v>146378.91082802549</v>
      </c>
      <c r="H3390" s="7">
        <v>22981489</v>
      </c>
      <c r="I3390" s="7">
        <v>2012844</v>
      </c>
      <c r="J3390" s="7">
        <v>0</v>
      </c>
      <c r="K3390">
        <f t="shared" si="52"/>
        <v>212</v>
      </c>
      <c r="L3390" s="8" t="str" cm="1">
        <f t="array" ref="L3390">_xlfn.IFS(
 AND(K3390&gt;=89,K3390&lt;=92),"3개월",
 AND(K3390&gt;=58,K3390&lt;=62),"2개월",
 AND(K3390&gt;=28,K3390&lt;=32),"1개월",
 AND(K3390=0),"당월",
 TRUE,"그외"
)</f>
        <v>그외</v>
      </c>
    </row>
    <row r="3391" spans="1:12" x14ac:dyDescent="0.3">
      <c r="A3391" s="5">
        <v>46082</v>
      </c>
      <c r="B3391" s="6" t="s">
        <v>20</v>
      </c>
      <c r="C3391" s="6" t="s">
        <v>24</v>
      </c>
      <c r="D3391" s="5">
        <v>45901</v>
      </c>
      <c r="E3391" s="6" t="s">
        <v>15</v>
      </c>
      <c r="F3391" s="7">
        <v>150</v>
      </c>
      <c r="G3391" s="7">
        <v>123316.8866666667</v>
      </c>
      <c r="H3391" s="7">
        <v>18497533</v>
      </c>
      <c r="I3391" s="7">
        <v>1646816</v>
      </c>
      <c r="J3391" s="7">
        <v>0</v>
      </c>
      <c r="K3391">
        <f t="shared" si="52"/>
        <v>181</v>
      </c>
      <c r="L3391" s="8" t="str" cm="1">
        <f t="array" ref="L3391">_xlfn.IFS(
 AND(K3391&gt;=89,K3391&lt;=92),"3개월",
 AND(K3391&gt;=58,K3391&lt;=62),"2개월",
 AND(K3391&gt;=28,K3391&lt;=32),"1개월",
 AND(K3391=0),"당월",
 TRUE,"그외"
)</f>
        <v>그외</v>
      </c>
    </row>
    <row r="3392" spans="1:12" x14ac:dyDescent="0.3">
      <c r="A3392" s="5">
        <v>46082</v>
      </c>
      <c r="B3392" s="6" t="s">
        <v>20</v>
      </c>
      <c r="C3392" s="6" t="s">
        <v>24</v>
      </c>
      <c r="D3392" s="5">
        <v>45931</v>
      </c>
      <c r="E3392" s="6" t="s">
        <v>15</v>
      </c>
      <c r="F3392" s="7">
        <v>451</v>
      </c>
      <c r="G3392" s="7">
        <v>132443.39911308201</v>
      </c>
      <c r="H3392" s="7">
        <v>59731973</v>
      </c>
      <c r="I3392" s="7">
        <v>5060162</v>
      </c>
      <c r="J3392" s="7">
        <v>0</v>
      </c>
      <c r="K3392">
        <f t="shared" si="52"/>
        <v>151</v>
      </c>
      <c r="L3392" s="8" t="str" cm="1">
        <f t="array" ref="L3392">_xlfn.IFS(
 AND(K3392&gt;=89,K3392&lt;=92),"3개월",
 AND(K3392&gt;=58,K3392&lt;=62),"2개월",
 AND(K3392&gt;=28,K3392&lt;=32),"1개월",
 AND(K3392=0),"당월",
 TRUE,"그외"
)</f>
        <v>그외</v>
      </c>
    </row>
    <row r="3393" spans="1:12" x14ac:dyDescent="0.3">
      <c r="A3393" s="5">
        <v>46082</v>
      </c>
      <c r="B3393" s="6" t="s">
        <v>20</v>
      </c>
      <c r="C3393" s="6" t="s">
        <v>24</v>
      </c>
      <c r="D3393" s="5">
        <v>45962</v>
      </c>
      <c r="E3393" s="6" t="s">
        <v>15</v>
      </c>
      <c r="F3393" s="7">
        <v>1187</v>
      </c>
      <c r="G3393" s="7">
        <v>123306.32518955351</v>
      </c>
      <c r="H3393" s="7">
        <v>146364608</v>
      </c>
      <c r="I3393" s="7">
        <v>13266977</v>
      </c>
      <c r="J3393" s="7">
        <v>0</v>
      </c>
      <c r="K3393">
        <f t="shared" si="52"/>
        <v>120</v>
      </c>
      <c r="L3393" s="8" t="str" cm="1">
        <f t="array" ref="L3393">_xlfn.IFS(
 AND(K3393&gt;=89,K3393&lt;=92),"3개월",
 AND(K3393&gt;=58,K3393&lt;=62),"2개월",
 AND(K3393&gt;=28,K3393&lt;=32),"1개월",
 AND(K3393=0),"당월",
 TRUE,"그외"
)</f>
        <v>그외</v>
      </c>
    </row>
    <row r="3394" spans="1:12" x14ac:dyDescent="0.3">
      <c r="A3394" s="5">
        <v>46082</v>
      </c>
      <c r="B3394" s="6" t="s">
        <v>20</v>
      </c>
      <c r="C3394" s="6" t="s">
        <v>24</v>
      </c>
      <c r="D3394" s="5">
        <v>45992</v>
      </c>
      <c r="E3394" s="6" t="s">
        <v>15</v>
      </c>
      <c r="F3394" s="7">
        <v>1800</v>
      </c>
      <c r="G3394" s="7">
        <v>127687.4355555556</v>
      </c>
      <c r="H3394" s="7">
        <v>229837384</v>
      </c>
      <c r="I3394" s="7">
        <v>22967789</v>
      </c>
      <c r="J3394" s="7">
        <v>0</v>
      </c>
      <c r="K3394">
        <f t="shared" si="52"/>
        <v>90</v>
      </c>
      <c r="L3394" s="8" t="str" cm="1">
        <f t="array" ref="L3394">_xlfn.IFS(
 AND(K3394&gt;=89,K3394&lt;=92),"3개월",
 AND(K3394&gt;=58,K3394&lt;=62),"2개월",
 AND(K3394&gt;=28,K3394&lt;=32),"1개월",
 AND(K3394=0),"당월",
 TRUE,"그외"
)</f>
        <v>3개월</v>
      </c>
    </row>
    <row r="3395" spans="1:12" x14ac:dyDescent="0.3">
      <c r="A3395" s="5">
        <v>46082</v>
      </c>
      <c r="B3395" s="6" t="s">
        <v>20</v>
      </c>
      <c r="C3395" s="6" t="s">
        <v>24</v>
      </c>
      <c r="D3395" s="5">
        <v>46023</v>
      </c>
      <c r="E3395" s="6" t="s">
        <v>14</v>
      </c>
      <c r="F3395" s="7">
        <v>32</v>
      </c>
      <c r="G3395" s="7">
        <v>149341.875</v>
      </c>
      <c r="H3395" s="7">
        <v>4778940</v>
      </c>
      <c r="I3395" s="7">
        <v>765130</v>
      </c>
      <c r="J3395" s="7">
        <v>0</v>
      </c>
      <c r="K3395">
        <f t="shared" si="52"/>
        <v>59</v>
      </c>
      <c r="L3395" s="8" t="str" cm="1">
        <f t="array" ref="L3395">_xlfn.IFS(
 AND(K3395&gt;=89,K3395&lt;=92),"3개월",
 AND(K3395&gt;=58,K3395&lt;=62),"2개월",
 AND(K3395&gt;=28,K3395&lt;=32),"1개월",
 AND(K3395=0),"당월",
 TRUE,"그외"
)</f>
        <v>2개월</v>
      </c>
    </row>
    <row r="3396" spans="1:12" x14ac:dyDescent="0.3">
      <c r="A3396" s="5">
        <v>46082</v>
      </c>
      <c r="B3396" s="6" t="s">
        <v>20</v>
      </c>
      <c r="C3396" s="6" t="s">
        <v>24</v>
      </c>
      <c r="D3396" s="5">
        <v>46023</v>
      </c>
      <c r="E3396" s="6" t="s">
        <v>15</v>
      </c>
      <c r="F3396" s="7">
        <v>3959</v>
      </c>
      <c r="G3396" s="7">
        <v>148154.7322556201</v>
      </c>
      <c r="H3396" s="7">
        <v>586544585</v>
      </c>
      <c r="I3396" s="7">
        <v>52142858</v>
      </c>
      <c r="J3396" s="7">
        <v>0</v>
      </c>
      <c r="K3396">
        <f t="shared" si="52"/>
        <v>59</v>
      </c>
      <c r="L3396" s="8" t="str" cm="1">
        <f t="array" ref="L3396">_xlfn.IFS(
 AND(K3396&gt;=89,K3396&lt;=92),"3개월",
 AND(K3396&gt;=58,K3396&lt;=62),"2개월",
 AND(K3396&gt;=28,K3396&lt;=32),"1개월",
 AND(K3396=0),"당월",
 TRUE,"그외"
)</f>
        <v>2개월</v>
      </c>
    </row>
    <row r="3397" spans="1:12" x14ac:dyDescent="0.3">
      <c r="A3397" s="5">
        <v>46082</v>
      </c>
      <c r="B3397" s="6" t="s">
        <v>20</v>
      </c>
      <c r="C3397" s="6" t="s">
        <v>24</v>
      </c>
      <c r="D3397" s="5">
        <v>46054</v>
      </c>
      <c r="E3397" s="6" t="s">
        <v>14</v>
      </c>
      <c r="F3397" s="7">
        <v>1744</v>
      </c>
      <c r="G3397" s="7">
        <v>141824.65596330279</v>
      </c>
      <c r="H3397" s="7">
        <v>247342200</v>
      </c>
      <c r="I3397" s="7">
        <v>13046200</v>
      </c>
      <c r="J3397" s="7">
        <v>0</v>
      </c>
      <c r="K3397">
        <f t="shared" si="52"/>
        <v>28</v>
      </c>
      <c r="L3397" s="8" t="str" cm="1">
        <f t="array" ref="L3397">_xlfn.IFS(
 AND(K3397&gt;=89,K3397&lt;=92),"3개월",
 AND(K3397&gt;=58,K3397&lt;=62),"2개월",
 AND(K3397&gt;=28,K3397&lt;=32),"1개월",
 AND(K3397=0),"당월",
 TRUE,"그외"
)</f>
        <v>1개월</v>
      </c>
    </row>
    <row r="3398" spans="1:12" x14ac:dyDescent="0.3">
      <c r="A3398" s="5">
        <v>46082</v>
      </c>
      <c r="B3398" s="6" t="s">
        <v>20</v>
      </c>
      <c r="C3398" s="6" t="s">
        <v>24</v>
      </c>
      <c r="D3398" s="5">
        <v>46054</v>
      </c>
      <c r="E3398" s="6" t="s">
        <v>15</v>
      </c>
      <c r="F3398" s="7">
        <v>6477</v>
      </c>
      <c r="G3398" s="7">
        <v>143858.3807318203</v>
      </c>
      <c r="H3398" s="7">
        <v>931770732</v>
      </c>
      <c r="I3398" s="7">
        <v>60545721</v>
      </c>
      <c r="J3398" s="7">
        <v>0</v>
      </c>
      <c r="K3398">
        <f t="shared" si="52"/>
        <v>28</v>
      </c>
      <c r="L3398" s="8" t="str" cm="1">
        <f t="array" ref="L3398">_xlfn.IFS(
 AND(K3398&gt;=89,K3398&lt;=92),"3개월",
 AND(K3398&gt;=58,K3398&lt;=62),"2개월",
 AND(K3398&gt;=28,K3398&lt;=32),"1개월",
 AND(K3398=0),"당월",
 TRUE,"그외"
)</f>
        <v>1개월</v>
      </c>
    </row>
    <row r="3399" spans="1:12" x14ac:dyDescent="0.3">
      <c r="A3399" s="5">
        <v>46082</v>
      </c>
      <c r="B3399" s="6" t="s">
        <v>20</v>
      </c>
      <c r="C3399" s="6" t="s">
        <v>24</v>
      </c>
      <c r="D3399" s="5">
        <v>46082</v>
      </c>
      <c r="E3399" s="6" t="s">
        <v>14</v>
      </c>
      <c r="F3399" s="7">
        <v>1565</v>
      </c>
      <c r="G3399" s="7">
        <v>128891.69329073479</v>
      </c>
      <c r="H3399" s="7">
        <v>201715500</v>
      </c>
      <c r="I3399" s="7">
        <v>16077960</v>
      </c>
      <c r="J3399" s="7">
        <v>0</v>
      </c>
      <c r="K3399">
        <f t="shared" si="52"/>
        <v>0</v>
      </c>
      <c r="L3399" s="8" t="str" cm="1">
        <f t="array" ref="L3399">_xlfn.IFS(
 AND(K3399&gt;=89,K3399&lt;=92),"3개월",
 AND(K3399&gt;=58,K3399&lt;=62),"2개월",
 AND(K3399&gt;=28,K3399&lt;=32),"1개월",
 AND(K3399=0),"당월",
 TRUE,"그외"
)</f>
        <v>당월</v>
      </c>
    </row>
    <row r="3400" spans="1:12" x14ac:dyDescent="0.3">
      <c r="A3400" s="5">
        <v>46082</v>
      </c>
      <c r="B3400" s="6" t="s">
        <v>20</v>
      </c>
      <c r="C3400" s="6" t="s">
        <v>24</v>
      </c>
      <c r="D3400" s="5">
        <v>46082</v>
      </c>
      <c r="E3400" s="6" t="s">
        <v>15</v>
      </c>
      <c r="F3400" s="7">
        <v>4245</v>
      </c>
      <c r="G3400" s="7">
        <v>144650.55382803301</v>
      </c>
      <c r="H3400" s="7">
        <v>614041601</v>
      </c>
      <c r="I3400" s="7">
        <v>54111458</v>
      </c>
      <c r="J3400" s="7">
        <v>0</v>
      </c>
      <c r="K3400">
        <f t="shared" si="52"/>
        <v>0</v>
      </c>
      <c r="L3400" s="8" t="str" cm="1">
        <f t="array" ref="L3400">_xlfn.IFS(
 AND(K3400&gt;=89,K3400&lt;=92),"3개월",
 AND(K3400&gt;=58,K3400&lt;=62),"2개월",
 AND(K3400&gt;=28,K3400&lt;=32),"1개월",
 AND(K3400=0),"당월",
 TRUE,"그외"
)</f>
        <v>당월</v>
      </c>
    </row>
    <row r="3401" spans="1:12" x14ac:dyDescent="0.3">
      <c r="A3401" s="5">
        <v>46082</v>
      </c>
      <c r="B3401" s="6" t="s">
        <v>20</v>
      </c>
      <c r="C3401" s="6" t="s">
        <v>25</v>
      </c>
      <c r="D3401" s="5">
        <v>45901</v>
      </c>
      <c r="E3401" s="6" t="s">
        <v>15</v>
      </c>
      <c r="F3401" s="7">
        <v>152</v>
      </c>
      <c r="G3401" s="7">
        <v>104356.06578947369</v>
      </c>
      <c r="H3401" s="7">
        <v>15862122</v>
      </c>
      <c r="I3401" s="7">
        <v>1988090</v>
      </c>
      <c r="J3401" s="7">
        <v>0</v>
      </c>
      <c r="K3401">
        <f t="shared" si="52"/>
        <v>181</v>
      </c>
      <c r="L3401" s="8" t="str" cm="1">
        <f t="array" ref="L3401">_xlfn.IFS(
 AND(K3401&gt;=89,K3401&lt;=92),"3개월",
 AND(K3401&gt;=58,K3401&lt;=62),"2개월",
 AND(K3401&gt;=28,K3401&lt;=32),"1개월",
 AND(K3401=0),"당월",
 TRUE,"그외"
)</f>
        <v>그외</v>
      </c>
    </row>
    <row r="3402" spans="1:12" x14ac:dyDescent="0.3">
      <c r="A3402" s="5">
        <v>46082</v>
      </c>
      <c r="B3402" s="6" t="s">
        <v>20</v>
      </c>
      <c r="C3402" s="6" t="s">
        <v>25</v>
      </c>
      <c r="D3402" s="5">
        <v>45931</v>
      </c>
      <c r="E3402" s="6" t="s">
        <v>15</v>
      </c>
      <c r="F3402" s="7">
        <v>751</v>
      </c>
      <c r="G3402" s="7">
        <v>82710.544607190415</v>
      </c>
      <c r="H3402" s="7">
        <v>62115619</v>
      </c>
      <c r="I3402" s="7">
        <v>9961504</v>
      </c>
      <c r="J3402" s="7">
        <v>0</v>
      </c>
      <c r="K3402">
        <f t="shared" ref="K3402:K3465" si="53">A3402-D3402</f>
        <v>151</v>
      </c>
      <c r="L3402" s="8" t="str" cm="1">
        <f t="array" ref="L3402">_xlfn.IFS(
 AND(K3402&gt;=89,K3402&lt;=92),"3개월",
 AND(K3402&gt;=58,K3402&lt;=62),"2개월",
 AND(K3402&gt;=28,K3402&lt;=32),"1개월",
 AND(K3402=0),"당월",
 TRUE,"그외"
)</f>
        <v>그외</v>
      </c>
    </row>
    <row r="3403" spans="1:12" x14ac:dyDescent="0.3">
      <c r="A3403" s="5">
        <v>46082</v>
      </c>
      <c r="B3403" s="6" t="s">
        <v>20</v>
      </c>
      <c r="C3403" s="6" t="s">
        <v>25</v>
      </c>
      <c r="D3403" s="5">
        <v>45962</v>
      </c>
      <c r="E3403" s="6" t="s">
        <v>15</v>
      </c>
      <c r="F3403" s="7">
        <v>1869</v>
      </c>
      <c r="G3403" s="7">
        <v>94606.087212413055</v>
      </c>
      <c r="H3403" s="7">
        <v>176818777</v>
      </c>
      <c r="I3403" s="7">
        <v>25397106</v>
      </c>
      <c r="J3403" s="7">
        <v>0</v>
      </c>
      <c r="K3403">
        <f t="shared" si="53"/>
        <v>120</v>
      </c>
      <c r="L3403" s="8" t="str" cm="1">
        <f t="array" ref="L3403">_xlfn.IFS(
 AND(K3403&gt;=89,K3403&lt;=92),"3개월",
 AND(K3403&gt;=58,K3403&lt;=62),"2개월",
 AND(K3403&gt;=28,K3403&lt;=32),"1개월",
 AND(K3403=0),"당월",
 TRUE,"그외"
)</f>
        <v>그외</v>
      </c>
    </row>
    <row r="3404" spans="1:12" x14ac:dyDescent="0.3">
      <c r="A3404" s="5">
        <v>46082</v>
      </c>
      <c r="B3404" s="6" t="s">
        <v>20</v>
      </c>
      <c r="C3404" s="6" t="s">
        <v>25</v>
      </c>
      <c r="D3404" s="5">
        <v>45992</v>
      </c>
      <c r="E3404" s="6" t="s">
        <v>14</v>
      </c>
      <c r="F3404" s="7">
        <v>8</v>
      </c>
      <c r="G3404" s="7">
        <v>188800</v>
      </c>
      <c r="H3404" s="7">
        <v>1510400</v>
      </c>
      <c r="I3404" s="7">
        <v>92000</v>
      </c>
      <c r="J3404" s="7">
        <v>0</v>
      </c>
      <c r="K3404">
        <f t="shared" si="53"/>
        <v>90</v>
      </c>
      <c r="L3404" s="8" t="str" cm="1">
        <f t="array" ref="L3404">_xlfn.IFS(
 AND(K3404&gt;=89,K3404&lt;=92),"3개월",
 AND(K3404&gt;=58,K3404&lt;=62),"2개월",
 AND(K3404&gt;=28,K3404&lt;=32),"1개월",
 AND(K3404=0),"당월",
 TRUE,"그외"
)</f>
        <v>3개월</v>
      </c>
    </row>
    <row r="3405" spans="1:12" x14ac:dyDescent="0.3">
      <c r="A3405" s="5">
        <v>46082</v>
      </c>
      <c r="B3405" s="6" t="s">
        <v>20</v>
      </c>
      <c r="C3405" s="6" t="s">
        <v>25</v>
      </c>
      <c r="D3405" s="5">
        <v>45992</v>
      </c>
      <c r="E3405" s="6" t="s">
        <v>15</v>
      </c>
      <c r="F3405" s="7">
        <v>2536</v>
      </c>
      <c r="G3405" s="7">
        <v>119396.37223974759</v>
      </c>
      <c r="H3405" s="7">
        <v>302789200</v>
      </c>
      <c r="I3405" s="7">
        <v>38973154</v>
      </c>
      <c r="J3405" s="7">
        <v>0</v>
      </c>
      <c r="K3405">
        <f t="shared" si="53"/>
        <v>90</v>
      </c>
      <c r="L3405" s="8" t="str" cm="1">
        <f t="array" ref="L3405">_xlfn.IFS(
 AND(K3405&gt;=89,K3405&lt;=92),"3개월",
 AND(K3405&gt;=58,K3405&lt;=62),"2개월",
 AND(K3405&gt;=28,K3405&lt;=32),"1개월",
 AND(K3405=0),"당월",
 TRUE,"그외"
)</f>
        <v>3개월</v>
      </c>
    </row>
    <row r="3406" spans="1:12" x14ac:dyDescent="0.3">
      <c r="A3406" s="5">
        <v>46082</v>
      </c>
      <c r="B3406" s="6" t="s">
        <v>20</v>
      </c>
      <c r="C3406" s="6" t="s">
        <v>25</v>
      </c>
      <c r="D3406" s="5">
        <v>46023</v>
      </c>
      <c r="E3406" s="6" t="s">
        <v>14</v>
      </c>
      <c r="F3406" s="7">
        <v>516</v>
      </c>
      <c r="G3406" s="7">
        <v>103761.8837209302</v>
      </c>
      <c r="H3406" s="7">
        <v>53541132</v>
      </c>
      <c r="I3406" s="7">
        <v>10304893</v>
      </c>
      <c r="J3406" s="7">
        <v>0</v>
      </c>
      <c r="K3406">
        <f t="shared" si="53"/>
        <v>59</v>
      </c>
      <c r="L3406" s="8" t="str" cm="1">
        <f t="array" ref="L3406">_xlfn.IFS(
 AND(K3406&gt;=89,K3406&lt;=92),"3개월",
 AND(K3406&gt;=58,K3406&lt;=62),"2개월",
 AND(K3406&gt;=28,K3406&lt;=32),"1개월",
 AND(K3406=0),"당월",
 TRUE,"그외"
)</f>
        <v>2개월</v>
      </c>
    </row>
    <row r="3407" spans="1:12" x14ac:dyDescent="0.3">
      <c r="A3407" s="5">
        <v>46082</v>
      </c>
      <c r="B3407" s="6" t="s">
        <v>20</v>
      </c>
      <c r="C3407" s="6" t="s">
        <v>25</v>
      </c>
      <c r="D3407" s="5">
        <v>46023</v>
      </c>
      <c r="E3407" s="6" t="s">
        <v>15</v>
      </c>
      <c r="F3407" s="7">
        <v>4092</v>
      </c>
      <c r="G3407" s="7">
        <v>134360.1869501466</v>
      </c>
      <c r="H3407" s="7">
        <v>549801885</v>
      </c>
      <c r="I3407" s="7">
        <v>70379952</v>
      </c>
      <c r="J3407" s="7">
        <v>0</v>
      </c>
      <c r="K3407">
        <f t="shared" si="53"/>
        <v>59</v>
      </c>
      <c r="L3407" s="8" t="str" cm="1">
        <f t="array" ref="L3407">_xlfn.IFS(
 AND(K3407&gt;=89,K3407&lt;=92),"3개월",
 AND(K3407&gt;=58,K3407&lt;=62),"2개월",
 AND(K3407&gt;=28,K3407&lt;=32),"1개월",
 AND(K3407=0),"당월",
 TRUE,"그외"
)</f>
        <v>2개월</v>
      </c>
    </row>
    <row r="3408" spans="1:12" x14ac:dyDescent="0.3">
      <c r="A3408" s="5">
        <v>46082</v>
      </c>
      <c r="B3408" s="6" t="s">
        <v>20</v>
      </c>
      <c r="C3408" s="6" t="s">
        <v>25</v>
      </c>
      <c r="D3408" s="5">
        <v>46054</v>
      </c>
      <c r="E3408" s="6" t="s">
        <v>14</v>
      </c>
      <c r="F3408" s="7">
        <v>1158</v>
      </c>
      <c r="G3408" s="7">
        <v>101918.7176165803</v>
      </c>
      <c r="H3408" s="7">
        <v>118021875</v>
      </c>
      <c r="I3408" s="7">
        <v>14280999</v>
      </c>
      <c r="J3408" s="7">
        <v>0</v>
      </c>
      <c r="K3408">
        <f t="shared" si="53"/>
        <v>28</v>
      </c>
      <c r="L3408" s="8" t="str" cm="1">
        <f t="array" ref="L3408">_xlfn.IFS(
 AND(K3408&gt;=89,K3408&lt;=92),"3개월",
 AND(K3408&gt;=58,K3408&lt;=62),"2개월",
 AND(K3408&gt;=28,K3408&lt;=32),"1개월",
 AND(K3408=0),"당월",
 TRUE,"그외"
)</f>
        <v>1개월</v>
      </c>
    </row>
    <row r="3409" spans="1:12" x14ac:dyDescent="0.3">
      <c r="A3409" s="5">
        <v>46082</v>
      </c>
      <c r="B3409" s="6" t="s">
        <v>20</v>
      </c>
      <c r="C3409" s="6" t="s">
        <v>25</v>
      </c>
      <c r="D3409" s="5">
        <v>46054</v>
      </c>
      <c r="E3409" s="6" t="s">
        <v>15</v>
      </c>
      <c r="F3409" s="7">
        <v>4793</v>
      </c>
      <c r="G3409" s="7">
        <v>143643.036720217</v>
      </c>
      <c r="H3409" s="7">
        <v>688481075</v>
      </c>
      <c r="I3409" s="7">
        <v>81269001</v>
      </c>
      <c r="J3409" s="7">
        <v>0</v>
      </c>
      <c r="K3409">
        <f t="shared" si="53"/>
        <v>28</v>
      </c>
      <c r="L3409" s="8" t="str" cm="1">
        <f t="array" ref="L3409">_xlfn.IFS(
 AND(K3409&gt;=89,K3409&lt;=92),"3개월",
 AND(K3409&gt;=58,K3409&lt;=62),"2개월",
 AND(K3409&gt;=28,K3409&lt;=32),"1개월",
 AND(K3409=0),"당월",
 TRUE,"그외"
)</f>
        <v>1개월</v>
      </c>
    </row>
    <row r="3410" spans="1:12" x14ac:dyDescent="0.3">
      <c r="A3410" s="5">
        <v>46082</v>
      </c>
      <c r="B3410" s="6" t="s">
        <v>20</v>
      </c>
      <c r="C3410" s="6" t="s">
        <v>25</v>
      </c>
      <c r="D3410" s="5">
        <v>46082</v>
      </c>
      <c r="E3410" s="6" t="s">
        <v>14</v>
      </c>
      <c r="F3410" s="7">
        <v>1020</v>
      </c>
      <c r="G3410" s="7">
        <v>97055.146078431368</v>
      </c>
      <c r="H3410" s="7">
        <v>98996249</v>
      </c>
      <c r="I3410" s="7">
        <v>12837706</v>
      </c>
      <c r="J3410" s="7">
        <v>0</v>
      </c>
      <c r="K3410">
        <f t="shared" si="53"/>
        <v>0</v>
      </c>
      <c r="L3410" s="8" t="str" cm="1">
        <f t="array" ref="L3410">_xlfn.IFS(
 AND(K3410&gt;=89,K3410&lt;=92),"3개월",
 AND(K3410&gt;=58,K3410&lt;=62),"2개월",
 AND(K3410&gt;=28,K3410&lt;=32),"1개월",
 AND(K3410=0),"당월",
 TRUE,"그외"
)</f>
        <v>당월</v>
      </c>
    </row>
    <row r="3411" spans="1:12" x14ac:dyDescent="0.3">
      <c r="A3411" s="5">
        <v>46082</v>
      </c>
      <c r="B3411" s="6" t="s">
        <v>20</v>
      </c>
      <c r="C3411" s="6" t="s">
        <v>25</v>
      </c>
      <c r="D3411" s="5">
        <v>46082</v>
      </c>
      <c r="E3411" s="6" t="s">
        <v>15</v>
      </c>
      <c r="F3411" s="7">
        <v>4523</v>
      </c>
      <c r="G3411" s="7">
        <v>152154.36369666149</v>
      </c>
      <c r="H3411" s="7">
        <v>688194187</v>
      </c>
      <c r="I3411" s="7">
        <v>87775614</v>
      </c>
      <c r="J3411" s="7">
        <v>0</v>
      </c>
      <c r="K3411">
        <f t="shared" si="53"/>
        <v>0</v>
      </c>
      <c r="L3411" s="8" t="str" cm="1">
        <f t="array" ref="L3411">_xlfn.IFS(
 AND(K3411&gt;=89,K3411&lt;=92),"3개월",
 AND(K3411&gt;=58,K3411&lt;=62),"2개월",
 AND(K3411&gt;=28,K3411&lt;=32),"1개월",
 AND(K3411=0),"당월",
 TRUE,"그외"
)</f>
        <v>당월</v>
      </c>
    </row>
    <row r="3412" spans="1:12" x14ac:dyDescent="0.3">
      <c r="A3412" s="5">
        <v>46082</v>
      </c>
      <c r="B3412" s="6" t="s">
        <v>20</v>
      </c>
      <c r="C3412" s="6" t="s">
        <v>26</v>
      </c>
      <c r="D3412" s="5">
        <v>45962</v>
      </c>
      <c r="E3412" s="6" t="s">
        <v>15</v>
      </c>
      <c r="F3412" s="7">
        <v>630</v>
      </c>
      <c r="G3412" s="7">
        <v>99109.980952380953</v>
      </c>
      <c r="H3412" s="7">
        <v>62439288</v>
      </c>
      <c r="I3412" s="7">
        <v>7064352</v>
      </c>
      <c r="J3412" s="7">
        <v>0</v>
      </c>
      <c r="K3412">
        <f t="shared" si="53"/>
        <v>120</v>
      </c>
      <c r="L3412" s="8" t="str" cm="1">
        <f t="array" ref="L3412">_xlfn.IFS(
 AND(K3412&gt;=89,K3412&lt;=92),"3개월",
 AND(K3412&gt;=58,K3412&lt;=62),"2개월",
 AND(K3412&gt;=28,K3412&lt;=32),"1개월",
 AND(K3412=0),"당월",
 TRUE,"그외"
)</f>
        <v>그외</v>
      </c>
    </row>
    <row r="3413" spans="1:12" x14ac:dyDescent="0.3">
      <c r="A3413" s="5">
        <v>46082</v>
      </c>
      <c r="B3413" s="6" t="s">
        <v>20</v>
      </c>
      <c r="C3413" s="6" t="s">
        <v>26</v>
      </c>
      <c r="D3413" s="5">
        <v>45992</v>
      </c>
      <c r="E3413" s="6" t="s">
        <v>15</v>
      </c>
      <c r="F3413" s="7">
        <v>692</v>
      </c>
      <c r="G3413" s="7">
        <v>123151.2413294798</v>
      </c>
      <c r="H3413" s="7">
        <v>85220659</v>
      </c>
      <c r="I3413" s="7">
        <v>10452134</v>
      </c>
      <c r="J3413" s="7">
        <v>0</v>
      </c>
      <c r="K3413">
        <f t="shared" si="53"/>
        <v>90</v>
      </c>
      <c r="L3413" s="8" t="str" cm="1">
        <f t="array" ref="L3413">_xlfn.IFS(
 AND(K3413&gt;=89,K3413&lt;=92),"3개월",
 AND(K3413&gt;=58,K3413&lt;=62),"2개월",
 AND(K3413&gt;=28,K3413&lt;=32),"1개월",
 AND(K3413=0),"당월",
 TRUE,"그외"
)</f>
        <v>3개월</v>
      </c>
    </row>
    <row r="3414" spans="1:12" x14ac:dyDescent="0.3">
      <c r="A3414" s="5">
        <v>46082</v>
      </c>
      <c r="B3414" s="6" t="s">
        <v>20</v>
      </c>
      <c r="C3414" s="6" t="s">
        <v>26</v>
      </c>
      <c r="D3414" s="5">
        <v>46023</v>
      </c>
      <c r="E3414" s="6" t="s">
        <v>14</v>
      </c>
      <c r="F3414" s="7">
        <v>166</v>
      </c>
      <c r="G3414" s="7">
        <v>127272.09036144579</v>
      </c>
      <c r="H3414" s="7">
        <v>21127167</v>
      </c>
      <c r="I3414" s="7">
        <v>4015346</v>
      </c>
      <c r="J3414" s="7">
        <v>0</v>
      </c>
      <c r="K3414">
        <f t="shared" si="53"/>
        <v>59</v>
      </c>
      <c r="L3414" s="8" t="str" cm="1">
        <f t="array" ref="L3414">_xlfn.IFS(
 AND(K3414&gt;=89,K3414&lt;=92),"3개월",
 AND(K3414&gt;=58,K3414&lt;=62),"2개월",
 AND(K3414&gt;=28,K3414&lt;=32),"1개월",
 AND(K3414=0),"당월",
 TRUE,"그외"
)</f>
        <v>2개월</v>
      </c>
    </row>
    <row r="3415" spans="1:12" x14ac:dyDescent="0.3">
      <c r="A3415" s="5">
        <v>46082</v>
      </c>
      <c r="B3415" s="6" t="s">
        <v>20</v>
      </c>
      <c r="C3415" s="6" t="s">
        <v>26</v>
      </c>
      <c r="D3415" s="5">
        <v>46023</v>
      </c>
      <c r="E3415" s="6" t="s">
        <v>15</v>
      </c>
      <c r="F3415" s="7">
        <v>1678</v>
      </c>
      <c r="G3415" s="7">
        <v>147821.28605482719</v>
      </c>
      <c r="H3415" s="7">
        <v>248044118</v>
      </c>
      <c r="I3415" s="7">
        <v>26051307</v>
      </c>
      <c r="J3415" s="7">
        <v>0</v>
      </c>
      <c r="K3415">
        <f t="shared" si="53"/>
        <v>59</v>
      </c>
      <c r="L3415" s="8" t="str" cm="1">
        <f t="array" ref="L3415">_xlfn.IFS(
 AND(K3415&gt;=89,K3415&lt;=92),"3개월",
 AND(K3415&gt;=58,K3415&lt;=62),"2개월",
 AND(K3415&gt;=28,K3415&lt;=32),"1개월",
 AND(K3415=0),"당월",
 TRUE,"그외"
)</f>
        <v>2개월</v>
      </c>
    </row>
    <row r="3416" spans="1:12" x14ac:dyDescent="0.3">
      <c r="A3416" s="5">
        <v>46082</v>
      </c>
      <c r="B3416" s="6" t="s">
        <v>20</v>
      </c>
      <c r="C3416" s="6" t="s">
        <v>26</v>
      </c>
      <c r="D3416" s="5">
        <v>46054</v>
      </c>
      <c r="E3416" s="6" t="s">
        <v>14</v>
      </c>
      <c r="F3416" s="7">
        <v>926</v>
      </c>
      <c r="G3416" s="7">
        <v>117521.8844492441</v>
      </c>
      <c r="H3416" s="7">
        <v>108825265</v>
      </c>
      <c r="I3416" s="7">
        <v>14514801</v>
      </c>
      <c r="J3416" s="7">
        <v>0</v>
      </c>
      <c r="K3416">
        <f t="shared" si="53"/>
        <v>28</v>
      </c>
      <c r="L3416" s="8" t="str" cm="1">
        <f t="array" ref="L3416">_xlfn.IFS(
 AND(K3416&gt;=89,K3416&lt;=92),"3개월",
 AND(K3416&gt;=58,K3416&lt;=62),"2개월",
 AND(K3416&gt;=28,K3416&lt;=32),"1개월",
 AND(K3416=0),"당월",
 TRUE,"그외"
)</f>
        <v>1개월</v>
      </c>
    </row>
    <row r="3417" spans="1:12" x14ac:dyDescent="0.3">
      <c r="A3417" s="5">
        <v>46082</v>
      </c>
      <c r="B3417" s="6" t="s">
        <v>20</v>
      </c>
      <c r="C3417" s="6" t="s">
        <v>26</v>
      </c>
      <c r="D3417" s="5">
        <v>46054</v>
      </c>
      <c r="E3417" s="6" t="s">
        <v>15</v>
      </c>
      <c r="F3417" s="7">
        <v>1761</v>
      </c>
      <c r="G3417" s="7">
        <v>163011.06303236799</v>
      </c>
      <c r="H3417" s="7">
        <v>287062482</v>
      </c>
      <c r="I3417" s="7">
        <v>24070192</v>
      </c>
      <c r="J3417" s="7">
        <v>0</v>
      </c>
      <c r="K3417">
        <f t="shared" si="53"/>
        <v>28</v>
      </c>
      <c r="L3417" s="8" t="str" cm="1">
        <f t="array" ref="L3417">_xlfn.IFS(
 AND(K3417&gt;=89,K3417&lt;=92),"3개월",
 AND(K3417&gt;=58,K3417&lt;=62),"2개월",
 AND(K3417&gt;=28,K3417&lt;=32),"1개월",
 AND(K3417=0),"당월",
 TRUE,"그외"
)</f>
        <v>1개월</v>
      </c>
    </row>
    <row r="3418" spans="1:12" x14ac:dyDescent="0.3">
      <c r="A3418" s="5">
        <v>46082</v>
      </c>
      <c r="B3418" s="6" t="s">
        <v>20</v>
      </c>
      <c r="C3418" s="6" t="s">
        <v>26</v>
      </c>
      <c r="D3418" s="5">
        <v>46082</v>
      </c>
      <c r="E3418" s="6" t="s">
        <v>14</v>
      </c>
      <c r="F3418" s="7">
        <v>655</v>
      </c>
      <c r="G3418" s="7">
        <v>115113.14656488549</v>
      </c>
      <c r="H3418" s="7">
        <v>75399111</v>
      </c>
      <c r="I3418" s="7">
        <v>12175718</v>
      </c>
      <c r="J3418" s="7">
        <v>0</v>
      </c>
      <c r="K3418">
        <f t="shared" si="53"/>
        <v>0</v>
      </c>
      <c r="L3418" s="8" t="str" cm="1">
        <f t="array" ref="L3418">_xlfn.IFS(
 AND(K3418&gt;=89,K3418&lt;=92),"3개월",
 AND(K3418&gt;=58,K3418&lt;=62),"2개월",
 AND(K3418&gt;=28,K3418&lt;=32),"1개월",
 AND(K3418=0),"당월",
 TRUE,"그외"
)</f>
        <v>당월</v>
      </c>
    </row>
    <row r="3419" spans="1:12" x14ac:dyDescent="0.3">
      <c r="A3419" s="5">
        <v>46082</v>
      </c>
      <c r="B3419" s="6" t="s">
        <v>20</v>
      </c>
      <c r="C3419" s="6" t="s">
        <v>26</v>
      </c>
      <c r="D3419" s="5">
        <v>46082</v>
      </c>
      <c r="E3419" s="6" t="s">
        <v>15</v>
      </c>
      <c r="F3419" s="7">
        <v>1154</v>
      </c>
      <c r="G3419" s="7">
        <v>143335.1568457539</v>
      </c>
      <c r="H3419" s="7">
        <v>165408771</v>
      </c>
      <c r="I3419" s="7">
        <v>18784895</v>
      </c>
      <c r="J3419" s="7">
        <v>0</v>
      </c>
      <c r="K3419">
        <f t="shared" si="53"/>
        <v>0</v>
      </c>
      <c r="L3419" s="8" t="str" cm="1">
        <f t="array" ref="L3419">_xlfn.IFS(
 AND(K3419&gt;=89,K3419&lt;=92),"3개월",
 AND(K3419&gt;=58,K3419&lt;=62),"2개월",
 AND(K3419&gt;=28,K3419&lt;=32),"1개월",
 AND(K3419=0),"당월",
 TRUE,"그외"
)</f>
        <v>당월</v>
      </c>
    </row>
    <row r="3420" spans="1:12" x14ac:dyDescent="0.3">
      <c r="A3420" s="5">
        <v>46082</v>
      </c>
      <c r="B3420" s="6" t="s">
        <v>20</v>
      </c>
      <c r="C3420" s="6" t="s">
        <v>27</v>
      </c>
      <c r="D3420" s="5">
        <v>45839</v>
      </c>
      <c r="E3420" s="6" t="s">
        <v>15</v>
      </c>
      <c r="F3420" s="7">
        <v>40</v>
      </c>
      <c r="G3420" s="7">
        <v>112502.75</v>
      </c>
      <c r="H3420" s="7">
        <v>4500110</v>
      </c>
      <c r="I3420" s="7">
        <v>1039086</v>
      </c>
      <c r="J3420" s="7">
        <v>0</v>
      </c>
      <c r="K3420">
        <f t="shared" si="53"/>
        <v>243</v>
      </c>
      <c r="L3420" s="8" t="str" cm="1">
        <f t="array" ref="L3420">_xlfn.IFS(
 AND(K3420&gt;=89,K3420&lt;=92),"3개월",
 AND(K3420&gt;=58,K3420&lt;=62),"2개월",
 AND(K3420&gt;=28,K3420&lt;=32),"1개월",
 AND(K3420=0),"당월",
 TRUE,"그외"
)</f>
        <v>그외</v>
      </c>
    </row>
    <row r="3421" spans="1:12" x14ac:dyDescent="0.3">
      <c r="A3421" s="5">
        <v>46082</v>
      </c>
      <c r="B3421" s="6" t="s">
        <v>20</v>
      </c>
      <c r="C3421" s="6" t="s">
        <v>27</v>
      </c>
      <c r="D3421" s="5">
        <v>45870</v>
      </c>
      <c r="E3421" s="6" t="s">
        <v>15</v>
      </c>
      <c r="F3421" s="7">
        <v>128</v>
      </c>
      <c r="G3421" s="7">
        <v>91549.2109375</v>
      </c>
      <c r="H3421" s="7">
        <v>11718299</v>
      </c>
      <c r="I3421" s="7">
        <v>1858970</v>
      </c>
      <c r="J3421" s="7">
        <v>0</v>
      </c>
      <c r="K3421">
        <f t="shared" si="53"/>
        <v>212</v>
      </c>
      <c r="L3421" s="8" t="str" cm="1">
        <f t="array" ref="L3421">_xlfn.IFS(
 AND(K3421&gt;=89,K3421&lt;=92),"3개월",
 AND(K3421&gt;=58,K3421&lt;=62),"2개월",
 AND(K3421&gt;=28,K3421&lt;=32),"1개월",
 AND(K3421=0),"당월",
 TRUE,"그외"
)</f>
        <v>그외</v>
      </c>
    </row>
    <row r="3422" spans="1:12" x14ac:dyDescent="0.3">
      <c r="A3422" s="5">
        <v>46082</v>
      </c>
      <c r="B3422" s="6" t="s">
        <v>20</v>
      </c>
      <c r="C3422" s="6" t="s">
        <v>27</v>
      </c>
      <c r="D3422" s="5">
        <v>45901</v>
      </c>
      <c r="E3422" s="6" t="s">
        <v>15</v>
      </c>
      <c r="F3422" s="7">
        <v>169</v>
      </c>
      <c r="G3422" s="7">
        <v>99271.360946745568</v>
      </c>
      <c r="H3422" s="7">
        <v>16776860</v>
      </c>
      <c r="I3422" s="7">
        <v>2507443</v>
      </c>
      <c r="J3422" s="7">
        <v>0</v>
      </c>
      <c r="K3422">
        <f t="shared" si="53"/>
        <v>181</v>
      </c>
      <c r="L3422" s="8" t="str" cm="1">
        <f t="array" ref="L3422">_xlfn.IFS(
 AND(K3422&gt;=89,K3422&lt;=92),"3개월",
 AND(K3422&gt;=58,K3422&lt;=62),"2개월",
 AND(K3422&gt;=28,K3422&lt;=32),"1개월",
 AND(K3422=0),"당월",
 TRUE,"그외"
)</f>
        <v>그외</v>
      </c>
    </row>
    <row r="3423" spans="1:12" x14ac:dyDescent="0.3">
      <c r="A3423" s="5">
        <v>46082</v>
      </c>
      <c r="B3423" s="6" t="s">
        <v>20</v>
      </c>
      <c r="C3423" s="6" t="s">
        <v>27</v>
      </c>
      <c r="D3423" s="5">
        <v>45931</v>
      </c>
      <c r="E3423" s="6" t="s">
        <v>14</v>
      </c>
      <c r="F3423" s="7">
        <v>8</v>
      </c>
      <c r="G3423" s="7">
        <v>92357.25</v>
      </c>
      <c r="H3423" s="7">
        <v>738858</v>
      </c>
      <c r="I3423" s="7">
        <v>232568</v>
      </c>
      <c r="J3423" s="7">
        <v>0</v>
      </c>
      <c r="K3423">
        <f t="shared" si="53"/>
        <v>151</v>
      </c>
      <c r="L3423" s="8" t="str" cm="1">
        <f t="array" ref="L3423">_xlfn.IFS(
 AND(K3423&gt;=89,K3423&lt;=92),"3개월",
 AND(K3423&gt;=58,K3423&lt;=62),"2개월",
 AND(K3423&gt;=28,K3423&lt;=32),"1개월",
 AND(K3423=0),"당월",
 TRUE,"그외"
)</f>
        <v>그외</v>
      </c>
    </row>
    <row r="3424" spans="1:12" x14ac:dyDescent="0.3">
      <c r="A3424" s="5">
        <v>46082</v>
      </c>
      <c r="B3424" s="6" t="s">
        <v>20</v>
      </c>
      <c r="C3424" s="6" t="s">
        <v>27</v>
      </c>
      <c r="D3424" s="5">
        <v>45931</v>
      </c>
      <c r="E3424" s="6" t="s">
        <v>15</v>
      </c>
      <c r="F3424" s="7">
        <v>541</v>
      </c>
      <c r="G3424" s="7">
        <v>107602.7097966728</v>
      </c>
      <c r="H3424" s="7">
        <v>58213066</v>
      </c>
      <c r="I3424" s="7">
        <v>9798401</v>
      </c>
      <c r="J3424" s="7">
        <v>0</v>
      </c>
      <c r="K3424">
        <f t="shared" si="53"/>
        <v>151</v>
      </c>
      <c r="L3424" s="8" t="str" cm="1">
        <f t="array" ref="L3424">_xlfn.IFS(
 AND(K3424&gt;=89,K3424&lt;=92),"3개월",
 AND(K3424&gt;=58,K3424&lt;=62),"2개월",
 AND(K3424&gt;=28,K3424&lt;=32),"1개월",
 AND(K3424=0),"당월",
 TRUE,"그외"
)</f>
        <v>그외</v>
      </c>
    </row>
    <row r="3425" spans="1:12" x14ac:dyDescent="0.3">
      <c r="A3425" s="5">
        <v>46082</v>
      </c>
      <c r="B3425" s="6" t="s">
        <v>20</v>
      </c>
      <c r="C3425" s="6" t="s">
        <v>27</v>
      </c>
      <c r="D3425" s="5">
        <v>45962</v>
      </c>
      <c r="E3425" s="6" t="s">
        <v>14</v>
      </c>
      <c r="F3425" s="7">
        <v>103</v>
      </c>
      <c r="G3425" s="7">
        <v>94766.223300970873</v>
      </c>
      <c r="H3425" s="7">
        <v>9760921</v>
      </c>
      <c r="I3425" s="7">
        <v>2183397</v>
      </c>
      <c r="J3425" s="7">
        <v>0</v>
      </c>
      <c r="K3425">
        <f t="shared" si="53"/>
        <v>120</v>
      </c>
      <c r="L3425" s="8" t="str" cm="1">
        <f t="array" ref="L3425">_xlfn.IFS(
 AND(K3425&gt;=89,K3425&lt;=92),"3개월",
 AND(K3425&gt;=58,K3425&lt;=62),"2개월",
 AND(K3425&gt;=28,K3425&lt;=32),"1개월",
 AND(K3425=0),"당월",
 TRUE,"그외"
)</f>
        <v>그외</v>
      </c>
    </row>
    <row r="3426" spans="1:12" x14ac:dyDescent="0.3">
      <c r="A3426" s="5">
        <v>46082</v>
      </c>
      <c r="B3426" s="6" t="s">
        <v>20</v>
      </c>
      <c r="C3426" s="6" t="s">
        <v>27</v>
      </c>
      <c r="D3426" s="5">
        <v>45962</v>
      </c>
      <c r="E3426" s="6" t="s">
        <v>15</v>
      </c>
      <c r="F3426" s="7">
        <v>741</v>
      </c>
      <c r="G3426" s="7">
        <v>139437.62483130899</v>
      </c>
      <c r="H3426" s="7">
        <v>103323280</v>
      </c>
      <c r="I3426" s="7">
        <v>14829232</v>
      </c>
      <c r="J3426" s="7">
        <v>0</v>
      </c>
      <c r="K3426">
        <f t="shared" si="53"/>
        <v>120</v>
      </c>
      <c r="L3426" s="8" t="str" cm="1">
        <f t="array" ref="L3426">_xlfn.IFS(
 AND(K3426&gt;=89,K3426&lt;=92),"3개월",
 AND(K3426&gt;=58,K3426&lt;=62),"2개월",
 AND(K3426&gt;=28,K3426&lt;=32),"1개월",
 AND(K3426=0),"당월",
 TRUE,"그외"
)</f>
        <v>그외</v>
      </c>
    </row>
    <row r="3427" spans="1:12" x14ac:dyDescent="0.3">
      <c r="A3427" s="5">
        <v>46082</v>
      </c>
      <c r="B3427" s="6" t="s">
        <v>20</v>
      </c>
      <c r="C3427" s="6" t="s">
        <v>27</v>
      </c>
      <c r="D3427" s="5">
        <v>45992</v>
      </c>
      <c r="E3427" s="6" t="s">
        <v>14</v>
      </c>
      <c r="F3427" s="7">
        <v>85</v>
      </c>
      <c r="G3427" s="7">
        <v>120645.6</v>
      </c>
      <c r="H3427" s="7">
        <v>10254876</v>
      </c>
      <c r="I3427" s="7">
        <v>2486238</v>
      </c>
      <c r="J3427" s="7">
        <v>0</v>
      </c>
      <c r="K3427">
        <f t="shared" si="53"/>
        <v>90</v>
      </c>
      <c r="L3427" s="8" t="str" cm="1">
        <f t="array" ref="L3427">_xlfn.IFS(
 AND(K3427&gt;=89,K3427&lt;=92),"3개월",
 AND(K3427&gt;=58,K3427&lt;=62),"2개월",
 AND(K3427&gt;=28,K3427&lt;=32),"1개월",
 AND(K3427=0),"당월",
 TRUE,"그외"
)</f>
        <v>3개월</v>
      </c>
    </row>
    <row r="3428" spans="1:12" x14ac:dyDescent="0.3">
      <c r="A3428" s="5">
        <v>46082</v>
      </c>
      <c r="B3428" s="6" t="s">
        <v>20</v>
      </c>
      <c r="C3428" s="6" t="s">
        <v>27</v>
      </c>
      <c r="D3428" s="5">
        <v>45992</v>
      </c>
      <c r="E3428" s="6" t="s">
        <v>15</v>
      </c>
      <c r="F3428" s="7">
        <v>3438</v>
      </c>
      <c r="G3428" s="7">
        <v>133825.1073298429</v>
      </c>
      <c r="H3428" s="7">
        <v>460090719</v>
      </c>
      <c r="I3428" s="7">
        <v>56277328</v>
      </c>
      <c r="J3428" s="7">
        <v>0</v>
      </c>
      <c r="K3428">
        <f t="shared" si="53"/>
        <v>90</v>
      </c>
      <c r="L3428" s="8" t="str" cm="1">
        <f t="array" ref="L3428">_xlfn.IFS(
 AND(K3428&gt;=89,K3428&lt;=92),"3개월",
 AND(K3428&gt;=58,K3428&lt;=62),"2개월",
 AND(K3428&gt;=28,K3428&lt;=32),"1개월",
 AND(K3428=0),"당월",
 TRUE,"그외"
)</f>
        <v>3개월</v>
      </c>
    </row>
    <row r="3429" spans="1:12" x14ac:dyDescent="0.3">
      <c r="A3429" s="5">
        <v>46082</v>
      </c>
      <c r="B3429" s="6" t="s">
        <v>20</v>
      </c>
      <c r="C3429" s="6" t="s">
        <v>27</v>
      </c>
      <c r="D3429" s="5">
        <v>46023</v>
      </c>
      <c r="E3429" s="6" t="s">
        <v>14</v>
      </c>
      <c r="F3429" s="7">
        <v>392</v>
      </c>
      <c r="G3429" s="7">
        <v>117184.7831632653</v>
      </c>
      <c r="H3429" s="7">
        <v>45936435</v>
      </c>
      <c r="I3429" s="7">
        <v>7083327</v>
      </c>
      <c r="J3429" s="7">
        <v>0</v>
      </c>
      <c r="K3429">
        <f t="shared" si="53"/>
        <v>59</v>
      </c>
      <c r="L3429" s="8" t="str" cm="1">
        <f t="array" ref="L3429">_xlfn.IFS(
 AND(K3429&gt;=89,K3429&lt;=92),"3개월",
 AND(K3429&gt;=58,K3429&lt;=62),"2개월",
 AND(K3429&gt;=28,K3429&lt;=32),"1개월",
 AND(K3429=0),"당월",
 TRUE,"그외"
)</f>
        <v>2개월</v>
      </c>
    </row>
    <row r="3430" spans="1:12" x14ac:dyDescent="0.3">
      <c r="A3430" s="5">
        <v>46082</v>
      </c>
      <c r="B3430" s="6" t="s">
        <v>20</v>
      </c>
      <c r="C3430" s="6" t="s">
        <v>27</v>
      </c>
      <c r="D3430" s="5">
        <v>46023</v>
      </c>
      <c r="E3430" s="6" t="s">
        <v>15</v>
      </c>
      <c r="F3430" s="7">
        <v>11304</v>
      </c>
      <c r="G3430" s="7">
        <v>145549.52114295831</v>
      </c>
      <c r="H3430" s="7">
        <v>1645291787</v>
      </c>
      <c r="I3430" s="7">
        <v>184949056</v>
      </c>
      <c r="J3430" s="7">
        <v>0</v>
      </c>
      <c r="K3430">
        <f t="shared" si="53"/>
        <v>59</v>
      </c>
      <c r="L3430" s="8" t="str" cm="1">
        <f t="array" ref="L3430">_xlfn.IFS(
 AND(K3430&gt;=89,K3430&lt;=92),"3개월",
 AND(K3430&gt;=58,K3430&lt;=62),"2개월",
 AND(K3430&gt;=28,K3430&lt;=32),"1개월",
 AND(K3430=0),"당월",
 TRUE,"그외"
)</f>
        <v>2개월</v>
      </c>
    </row>
    <row r="3431" spans="1:12" x14ac:dyDescent="0.3">
      <c r="A3431" s="5">
        <v>46082</v>
      </c>
      <c r="B3431" s="6" t="s">
        <v>20</v>
      </c>
      <c r="C3431" s="6" t="s">
        <v>27</v>
      </c>
      <c r="D3431" s="5">
        <v>46054</v>
      </c>
      <c r="E3431" s="6" t="s">
        <v>14</v>
      </c>
      <c r="F3431" s="7">
        <v>4102</v>
      </c>
      <c r="G3431" s="7">
        <v>130910.55168210631</v>
      </c>
      <c r="H3431" s="7">
        <v>536995083</v>
      </c>
      <c r="I3431" s="7">
        <v>47291387</v>
      </c>
      <c r="J3431" s="7">
        <v>0</v>
      </c>
      <c r="K3431">
        <f t="shared" si="53"/>
        <v>28</v>
      </c>
      <c r="L3431" s="8" t="str" cm="1">
        <f t="array" ref="L3431">_xlfn.IFS(
 AND(K3431&gt;=89,K3431&lt;=92),"3개월",
 AND(K3431&gt;=58,K3431&lt;=62),"2개월",
 AND(K3431&gt;=28,K3431&lt;=32),"1개월",
 AND(K3431=0),"당월",
 TRUE,"그외"
)</f>
        <v>1개월</v>
      </c>
    </row>
    <row r="3432" spans="1:12" x14ac:dyDescent="0.3">
      <c r="A3432" s="5">
        <v>46082</v>
      </c>
      <c r="B3432" s="6" t="s">
        <v>20</v>
      </c>
      <c r="C3432" s="6" t="s">
        <v>27</v>
      </c>
      <c r="D3432" s="5">
        <v>46054</v>
      </c>
      <c r="E3432" s="6" t="s">
        <v>15</v>
      </c>
      <c r="F3432" s="7">
        <v>12044</v>
      </c>
      <c r="G3432" s="7">
        <v>169241.05396878111</v>
      </c>
      <c r="H3432" s="7">
        <v>2038339254</v>
      </c>
      <c r="I3432" s="7">
        <v>182539548</v>
      </c>
      <c r="J3432" s="7">
        <v>0</v>
      </c>
      <c r="K3432">
        <f t="shared" si="53"/>
        <v>28</v>
      </c>
      <c r="L3432" s="8" t="str" cm="1">
        <f t="array" ref="L3432">_xlfn.IFS(
 AND(K3432&gt;=89,K3432&lt;=92),"3개월",
 AND(K3432&gt;=58,K3432&lt;=62),"2개월",
 AND(K3432&gt;=28,K3432&lt;=32),"1개월",
 AND(K3432=0),"당월",
 TRUE,"그외"
)</f>
        <v>1개월</v>
      </c>
    </row>
    <row r="3433" spans="1:12" x14ac:dyDescent="0.3">
      <c r="A3433" s="5">
        <v>46082</v>
      </c>
      <c r="B3433" s="6" t="s">
        <v>20</v>
      </c>
      <c r="C3433" s="6" t="s">
        <v>27</v>
      </c>
      <c r="D3433" s="5">
        <v>46082</v>
      </c>
      <c r="E3433" s="6" t="s">
        <v>14</v>
      </c>
      <c r="F3433" s="7">
        <v>5900</v>
      </c>
      <c r="G3433" s="7">
        <v>108033.47152542369</v>
      </c>
      <c r="H3433" s="7">
        <v>637397482</v>
      </c>
      <c r="I3433" s="7">
        <v>27365969</v>
      </c>
      <c r="J3433" s="7">
        <v>0</v>
      </c>
      <c r="K3433">
        <f t="shared" si="53"/>
        <v>0</v>
      </c>
      <c r="L3433" s="8" t="str" cm="1">
        <f t="array" ref="L3433">_xlfn.IFS(
 AND(K3433&gt;=89,K3433&lt;=92),"3개월",
 AND(K3433&gt;=58,K3433&lt;=62),"2개월",
 AND(K3433&gt;=28,K3433&lt;=32),"1개월",
 AND(K3433=0),"당월",
 TRUE,"그외"
)</f>
        <v>당월</v>
      </c>
    </row>
    <row r="3434" spans="1:12" x14ac:dyDescent="0.3">
      <c r="A3434" s="5">
        <v>46082</v>
      </c>
      <c r="B3434" s="6" t="s">
        <v>20</v>
      </c>
      <c r="C3434" s="6" t="s">
        <v>27</v>
      </c>
      <c r="D3434" s="5">
        <v>46082</v>
      </c>
      <c r="E3434" s="6" t="s">
        <v>15</v>
      </c>
      <c r="F3434" s="7">
        <v>4954</v>
      </c>
      <c r="G3434" s="7">
        <v>207717.66491723861</v>
      </c>
      <c r="H3434" s="7">
        <v>1029033312</v>
      </c>
      <c r="I3434" s="7">
        <v>96301797</v>
      </c>
      <c r="J3434" s="7">
        <v>0</v>
      </c>
      <c r="K3434">
        <f t="shared" si="53"/>
        <v>0</v>
      </c>
      <c r="L3434" s="8" t="str" cm="1">
        <f t="array" ref="L3434">_xlfn.IFS(
 AND(K3434&gt;=89,K3434&lt;=92),"3개월",
 AND(K3434&gt;=58,K3434&lt;=62),"2개월",
 AND(K3434&gt;=28,K3434&lt;=32),"1개월",
 AND(K3434=0),"당월",
 TRUE,"그외"
)</f>
        <v>당월</v>
      </c>
    </row>
    <row r="3435" spans="1:12" x14ac:dyDescent="0.3">
      <c r="A3435" s="5">
        <v>46082</v>
      </c>
      <c r="B3435" s="6" t="s">
        <v>20</v>
      </c>
      <c r="C3435" s="6" t="s">
        <v>28</v>
      </c>
      <c r="D3435" s="5">
        <v>45870</v>
      </c>
      <c r="E3435" s="6" t="s">
        <v>15</v>
      </c>
      <c r="F3435" s="7">
        <v>14</v>
      </c>
      <c r="G3435" s="7">
        <v>133828.57142857139</v>
      </c>
      <c r="H3435" s="7">
        <v>1873600</v>
      </c>
      <c r="I3435" s="7">
        <v>134400</v>
      </c>
      <c r="J3435" s="7">
        <v>0</v>
      </c>
      <c r="K3435">
        <f t="shared" si="53"/>
        <v>212</v>
      </c>
      <c r="L3435" s="8" t="str" cm="1">
        <f t="array" ref="L3435">_xlfn.IFS(
 AND(K3435&gt;=89,K3435&lt;=92),"3개월",
 AND(K3435&gt;=58,K3435&lt;=62),"2개월",
 AND(K3435&gt;=28,K3435&lt;=32),"1개월",
 AND(K3435=0),"당월",
 TRUE,"그외"
)</f>
        <v>그외</v>
      </c>
    </row>
    <row r="3436" spans="1:12" x14ac:dyDescent="0.3">
      <c r="A3436" s="5">
        <v>46082</v>
      </c>
      <c r="B3436" s="6" t="s">
        <v>20</v>
      </c>
      <c r="C3436" s="6" t="s">
        <v>28</v>
      </c>
      <c r="D3436" s="5">
        <v>45901</v>
      </c>
      <c r="E3436" s="6" t="s">
        <v>15</v>
      </c>
      <c r="F3436" s="7">
        <v>36</v>
      </c>
      <c r="G3436" s="7">
        <v>141749.44444444441</v>
      </c>
      <c r="H3436" s="7">
        <v>5102980</v>
      </c>
      <c r="I3436" s="7">
        <v>516780</v>
      </c>
      <c r="J3436" s="7">
        <v>0</v>
      </c>
      <c r="K3436">
        <f t="shared" si="53"/>
        <v>181</v>
      </c>
      <c r="L3436" s="8" t="str" cm="1">
        <f t="array" ref="L3436">_xlfn.IFS(
 AND(K3436&gt;=89,K3436&lt;=92),"3개월",
 AND(K3436&gt;=58,K3436&lt;=62),"2개월",
 AND(K3436&gt;=28,K3436&lt;=32),"1개월",
 AND(K3436=0),"당월",
 TRUE,"그외"
)</f>
        <v>그외</v>
      </c>
    </row>
    <row r="3437" spans="1:12" x14ac:dyDescent="0.3">
      <c r="A3437" s="5">
        <v>46082</v>
      </c>
      <c r="B3437" s="6" t="s">
        <v>20</v>
      </c>
      <c r="C3437" s="6" t="s">
        <v>28</v>
      </c>
      <c r="D3437" s="5">
        <v>45931</v>
      </c>
      <c r="E3437" s="6" t="s">
        <v>15</v>
      </c>
      <c r="F3437" s="7">
        <v>140</v>
      </c>
      <c r="G3437" s="7">
        <v>125937.95714285711</v>
      </c>
      <c r="H3437" s="7">
        <v>17631314</v>
      </c>
      <c r="I3437" s="7">
        <v>1726672</v>
      </c>
      <c r="J3437" s="7">
        <v>0</v>
      </c>
      <c r="K3437">
        <f t="shared" si="53"/>
        <v>151</v>
      </c>
      <c r="L3437" s="8" t="str" cm="1">
        <f t="array" ref="L3437">_xlfn.IFS(
 AND(K3437&gt;=89,K3437&lt;=92),"3개월",
 AND(K3437&gt;=58,K3437&lt;=62),"2개월",
 AND(K3437&gt;=28,K3437&lt;=32),"1개월",
 AND(K3437=0),"당월",
 TRUE,"그외"
)</f>
        <v>그외</v>
      </c>
    </row>
    <row r="3438" spans="1:12" x14ac:dyDescent="0.3">
      <c r="A3438" s="5">
        <v>46082</v>
      </c>
      <c r="B3438" s="6" t="s">
        <v>20</v>
      </c>
      <c r="C3438" s="6" t="s">
        <v>28</v>
      </c>
      <c r="D3438" s="5">
        <v>45962</v>
      </c>
      <c r="E3438" s="6" t="s">
        <v>15</v>
      </c>
      <c r="F3438" s="7">
        <v>321</v>
      </c>
      <c r="G3438" s="7">
        <v>143845.89096573211</v>
      </c>
      <c r="H3438" s="7">
        <v>46174531</v>
      </c>
      <c r="I3438" s="7">
        <v>3939714</v>
      </c>
      <c r="J3438" s="7">
        <v>0</v>
      </c>
      <c r="K3438">
        <f t="shared" si="53"/>
        <v>120</v>
      </c>
      <c r="L3438" s="8" t="str" cm="1">
        <f t="array" ref="L3438">_xlfn.IFS(
 AND(K3438&gt;=89,K3438&lt;=92),"3개월",
 AND(K3438&gt;=58,K3438&lt;=62),"2개월",
 AND(K3438&gt;=28,K3438&lt;=32),"1개월",
 AND(K3438=0),"당월",
 TRUE,"그외"
)</f>
        <v>그외</v>
      </c>
    </row>
    <row r="3439" spans="1:12" x14ac:dyDescent="0.3">
      <c r="A3439" s="5">
        <v>46082</v>
      </c>
      <c r="B3439" s="6" t="s">
        <v>20</v>
      </c>
      <c r="C3439" s="6" t="s">
        <v>28</v>
      </c>
      <c r="D3439" s="5">
        <v>45992</v>
      </c>
      <c r="E3439" s="6" t="s">
        <v>14</v>
      </c>
      <c r="F3439" s="7">
        <v>13</v>
      </c>
      <c r="G3439" s="7">
        <v>151500</v>
      </c>
      <c r="H3439" s="7">
        <v>1969500</v>
      </c>
      <c r="I3439" s="7">
        <v>149500</v>
      </c>
      <c r="J3439" s="7">
        <v>0</v>
      </c>
      <c r="K3439">
        <f t="shared" si="53"/>
        <v>90</v>
      </c>
      <c r="L3439" s="8" t="str" cm="1">
        <f t="array" ref="L3439">_xlfn.IFS(
 AND(K3439&gt;=89,K3439&lt;=92),"3개월",
 AND(K3439&gt;=58,K3439&lt;=62),"2개월",
 AND(K3439&gt;=28,K3439&lt;=32),"1개월",
 AND(K3439=0),"당월",
 TRUE,"그외"
)</f>
        <v>3개월</v>
      </c>
    </row>
    <row r="3440" spans="1:12" x14ac:dyDescent="0.3">
      <c r="A3440" s="5">
        <v>46082</v>
      </c>
      <c r="B3440" s="6" t="s">
        <v>20</v>
      </c>
      <c r="C3440" s="6" t="s">
        <v>28</v>
      </c>
      <c r="D3440" s="5">
        <v>45992</v>
      </c>
      <c r="E3440" s="6" t="s">
        <v>15</v>
      </c>
      <c r="F3440" s="7">
        <v>1137</v>
      </c>
      <c r="G3440" s="7">
        <v>141838.32541776609</v>
      </c>
      <c r="H3440" s="7">
        <v>161270176</v>
      </c>
      <c r="I3440" s="7">
        <v>14499379</v>
      </c>
      <c r="J3440" s="7">
        <v>0</v>
      </c>
      <c r="K3440">
        <f t="shared" si="53"/>
        <v>90</v>
      </c>
      <c r="L3440" s="8" t="str" cm="1">
        <f t="array" ref="L3440">_xlfn.IFS(
 AND(K3440&gt;=89,K3440&lt;=92),"3개월",
 AND(K3440&gt;=58,K3440&lt;=62),"2개월",
 AND(K3440&gt;=28,K3440&lt;=32),"1개월",
 AND(K3440=0),"당월",
 TRUE,"그외"
)</f>
        <v>3개월</v>
      </c>
    </row>
    <row r="3441" spans="1:12" x14ac:dyDescent="0.3">
      <c r="A3441" s="5">
        <v>46082</v>
      </c>
      <c r="B3441" s="6" t="s">
        <v>20</v>
      </c>
      <c r="C3441" s="6" t="s">
        <v>28</v>
      </c>
      <c r="D3441" s="5">
        <v>46023</v>
      </c>
      <c r="E3441" s="6" t="s">
        <v>14</v>
      </c>
      <c r="F3441" s="7">
        <v>224</v>
      </c>
      <c r="G3441" s="7">
        <v>100862.5</v>
      </c>
      <c r="H3441" s="7">
        <v>22593200</v>
      </c>
      <c r="I3441" s="7">
        <v>2643200</v>
      </c>
      <c r="J3441" s="7">
        <v>0</v>
      </c>
      <c r="K3441">
        <f t="shared" si="53"/>
        <v>59</v>
      </c>
      <c r="L3441" s="8" t="str" cm="1">
        <f t="array" ref="L3441">_xlfn.IFS(
 AND(K3441&gt;=89,K3441&lt;=92),"3개월",
 AND(K3441&gt;=58,K3441&lt;=62),"2개월",
 AND(K3441&gt;=28,K3441&lt;=32),"1개월",
 AND(K3441=0),"당월",
 TRUE,"그외"
)</f>
        <v>2개월</v>
      </c>
    </row>
    <row r="3442" spans="1:12" x14ac:dyDescent="0.3">
      <c r="A3442" s="5">
        <v>46082</v>
      </c>
      <c r="B3442" s="6" t="s">
        <v>20</v>
      </c>
      <c r="C3442" s="6" t="s">
        <v>28</v>
      </c>
      <c r="D3442" s="5">
        <v>46023</v>
      </c>
      <c r="E3442" s="6" t="s">
        <v>15</v>
      </c>
      <c r="F3442" s="7">
        <v>1970</v>
      </c>
      <c r="G3442" s="7">
        <v>146753.19695431471</v>
      </c>
      <c r="H3442" s="7">
        <v>289103798</v>
      </c>
      <c r="I3442" s="7">
        <v>28176507</v>
      </c>
      <c r="J3442" s="7">
        <v>0</v>
      </c>
      <c r="K3442">
        <f t="shared" si="53"/>
        <v>59</v>
      </c>
      <c r="L3442" s="8" t="str" cm="1">
        <f t="array" ref="L3442">_xlfn.IFS(
 AND(K3442&gt;=89,K3442&lt;=92),"3개월",
 AND(K3442&gt;=58,K3442&lt;=62),"2개월",
 AND(K3442&gt;=28,K3442&lt;=32),"1개월",
 AND(K3442=0),"당월",
 TRUE,"그외"
)</f>
        <v>2개월</v>
      </c>
    </row>
    <row r="3443" spans="1:12" x14ac:dyDescent="0.3">
      <c r="A3443" s="5">
        <v>46082</v>
      </c>
      <c r="B3443" s="6" t="s">
        <v>20</v>
      </c>
      <c r="C3443" s="6" t="s">
        <v>28</v>
      </c>
      <c r="D3443" s="5">
        <v>46054</v>
      </c>
      <c r="E3443" s="6" t="s">
        <v>14</v>
      </c>
      <c r="F3443" s="7">
        <v>1050</v>
      </c>
      <c r="G3443" s="7">
        <v>130909.2819047619</v>
      </c>
      <c r="H3443" s="7">
        <v>137454746</v>
      </c>
      <c r="I3443" s="7">
        <v>8054996</v>
      </c>
      <c r="J3443" s="7">
        <v>0</v>
      </c>
      <c r="K3443">
        <f t="shared" si="53"/>
        <v>28</v>
      </c>
      <c r="L3443" s="8" t="str" cm="1">
        <f t="array" ref="L3443">_xlfn.IFS(
 AND(K3443&gt;=89,K3443&lt;=92),"3개월",
 AND(K3443&gt;=58,K3443&lt;=62),"2개월",
 AND(K3443&gt;=28,K3443&lt;=32),"1개월",
 AND(K3443=0),"당월",
 TRUE,"그외"
)</f>
        <v>1개월</v>
      </c>
    </row>
    <row r="3444" spans="1:12" x14ac:dyDescent="0.3">
      <c r="A3444" s="5">
        <v>46082</v>
      </c>
      <c r="B3444" s="6" t="s">
        <v>20</v>
      </c>
      <c r="C3444" s="6" t="s">
        <v>28</v>
      </c>
      <c r="D3444" s="5">
        <v>46054</v>
      </c>
      <c r="E3444" s="6" t="s">
        <v>15</v>
      </c>
      <c r="F3444" s="7">
        <v>3739</v>
      </c>
      <c r="G3444" s="7">
        <v>150830.3329767317</v>
      </c>
      <c r="H3444" s="7">
        <v>563954615</v>
      </c>
      <c r="I3444" s="7">
        <v>44185361</v>
      </c>
      <c r="J3444" s="7">
        <v>0</v>
      </c>
      <c r="K3444">
        <f t="shared" si="53"/>
        <v>28</v>
      </c>
      <c r="L3444" s="8" t="str" cm="1">
        <f t="array" ref="L3444">_xlfn.IFS(
 AND(K3444&gt;=89,K3444&lt;=92),"3개월",
 AND(K3444&gt;=58,K3444&lt;=62),"2개월",
 AND(K3444&gt;=28,K3444&lt;=32),"1개월",
 AND(K3444=0),"당월",
 TRUE,"그외"
)</f>
        <v>1개월</v>
      </c>
    </row>
    <row r="3445" spans="1:12" x14ac:dyDescent="0.3">
      <c r="A3445" s="5">
        <v>46082</v>
      </c>
      <c r="B3445" s="6" t="s">
        <v>20</v>
      </c>
      <c r="C3445" s="6" t="s">
        <v>28</v>
      </c>
      <c r="D3445" s="5">
        <v>46082</v>
      </c>
      <c r="E3445" s="6" t="s">
        <v>14</v>
      </c>
      <c r="F3445" s="7">
        <v>579</v>
      </c>
      <c r="G3445" s="7">
        <v>134360.44905008629</v>
      </c>
      <c r="H3445" s="7">
        <v>77794700</v>
      </c>
      <c r="I3445" s="7">
        <v>5924700</v>
      </c>
      <c r="J3445" s="7">
        <v>0</v>
      </c>
      <c r="K3445">
        <f t="shared" si="53"/>
        <v>0</v>
      </c>
      <c r="L3445" s="8" t="str" cm="1">
        <f t="array" ref="L3445">_xlfn.IFS(
 AND(K3445&gt;=89,K3445&lt;=92),"3개월",
 AND(K3445&gt;=58,K3445&lt;=62),"2개월",
 AND(K3445&gt;=28,K3445&lt;=32),"1개월",
 AND(K3445=0),"당월",
 TRUE,"그외"
)</f>
        <v>당월</v>
      </c>
    </row>
    <row r="3446" spans="1:12" x14ac:dyDescent="0.3">
      <c r="A3446" s="5">
        <v>46082</v>
      </c>
      <c r="B3446" s="6" t="s">
        <v>20</v>
      </c>
      <c r="C3446" s="6" t="s">
        <v>28</v>
      </c>
      <c r="D3446" s="5">
        <v>46082</v>
      </c>
      <c r="E3446" s="6" t="s">
        <v>15</v>
      </c>
      <c r="F3446" s="7">
        <v>1977</v>
      </c>
      <c r="G3446" s="7">
        <v>179618.35255437531</v>
      </c>
      <c r="H3446" s="7">
        <v>355105483</v>
      </c>
      <c r="I3446" s="7">
        <v>32085305</v>
      </c>
      <c r="J3446" s="7">
        <v>0</v>
      </c>
      <c r="K3446">
        <f t="shared" si="53"/>
        <v>0</v>
      </c>
      <c r="L3446" s="8" t="str" cm="1">
        <f t="array" ref="L3446">_xlfn.IFS(
 AND(K3446&gt;=89,K3446&lt;=92),"3개월",
 AND(K3446&gt;=58,K3446&lt;=62),"2개월",
 AND(K3446&gt;=28,K3446&lt;=32),"1개월",
 AND(K3446=0),"당월",
 TRUE,"그외"
)</f>
        <v>당월</v>
      </c>
    </row>
    <row r="3447" spans="1:12" x14ac:dyDescent="0.3">
      <c r="A3447" s="5">
        <v>46082</v>
      </c>
      <c r="B3447" s="6" t="s">
        <v>20</v>
      </c>
      <c r="C3447" s="6" t="s">
        <v>29</v>
      </c>
      <c r="D3447" s="5">
        <v>45839</v>
      </c>
      <c r="E3447" s="6" t="s">
        <v>15</v>
      </c>
      <c r="F3447" s="7">
        <v>25</v>
      </c>
      <c r="G3447" s="7">
        <v>167543.72</v>
      </c>
      <c r="H3447" s="7">
        <v>4188593</v>
      </c>
      <c r="I3447" s="7">
        <v>178062</v>
      </c>
      <c r="J3447" s="7">
        <v>0</v>
      </c>
      <c r="K3447">
        <f t="shared" si="53"/>
        <v>243</v>
      </c>
      <c r="L3447" s="8" t="str" cm="1">
        <f t="array" ref="L3447">_xlfn.IFS(
 AND(K3447&gt;=89,K3447&lt;=92),"3개월",
 AND(K3447&gt;=58,K3447&lt;=62),"2개월",
 AND(K3447&gt;=28,K3447&lt;=32),"1개월",
 AND(K3447=0),"당월",
 TRUE,"그외"
)</f>
        <v>그외</v>
      </c>
    </row>
    <row r="3448" spans="1:12" x14ac:dyDescent="0.3">
      <c r="A3448" s="5">
        <v>46082</v>
      </c>
      <c r="B3448" s="6" t="s">
        <v>20</v>
      </c>
      <c r="C3448" s="6" t="s">
        <v>29</v>
      </c>
      <c r="D3448" s="5">
        <v>45870</v>
      </c>
      <c r="E3448" s="6" t="s">
        <v>15</v>
      </c>
      <c r="F3448" s="7">
        <v>190</v>
      </c>
      <c r="G3448" s="7">
        <v>93610.031578947368</v>
      </c>
      <c r="H3448" s="7">
        <v>17785906</v>
      </c>
      <c r="I3448" s="7">
        <v>1897114</v>
      </c>
      <c r="J3448" s="7">
        <v>0</v>
      </c>
      <c r="K3448">
        <f t="shared" si="53"/>
        <v>212</v>
      </c>
      <c r="L3448" s="8" t="str" cm="1">
        <f t="array" ref="L3448">_xlfn.IFS(
 AND(K3448&gt;=89,K3448&lt;=92),"3개월",
 AND(K3448&gt;=58,K3448&lt;=62),"2개월",
 AND(K3448&gt;=28,K3448&lt;=32),"1개월",
 AND(K3448=0),"당월",
 TRUE,"그외"
)</f>
        <v>그외</v>
      </c>
    </row>
    <row r="3449" spans="1:12" x14ac:dyDescent="0.3">
      <c r="A3449" s="5">
        <v>46082</v>
      </c>
      <c r="B3449" s="6" t="s">
        <v>20</v>
      </c>
      <c r="C3449" s="6" t="s">
        <v>29</v>
      </c>
      <c r="D3449" s="5">
        <v>45901</v>
      </c>
      <c r="E3449" s="6" t="s">
        <v>15</v>
      </c>
      <c r="F3449" s="7">
        <v>205</v>
      </c>
      <c r="G3449" s="7">
        <v>120587.6292682927</v>
      </c>
      <c r="H3449" s="7">
        <v>24720464</v>
      </c>
      <c r="I3449" s="7">
        <v>2271518</v>
      </c>
      <c r="J3449" s="7">
        <v>0</v>
      </c>
      <c r="K3449">
        <f t="shared" si="53"/>
        <v>181</v>
      </c>
      <c r="L3449" s="8" t="str" cm="1">
        <f t="array" ref="L3449">_xlfn.IFS(
 AND(K3449&gt;=89,K3449&lt;=92),"3개월",
 AND(K3449&gt;=58,K3449&lt;=62),"2개월",
 AND(K3449&gt;=28,K3449&lt;=32),"1개월",
 AND(K3449=0),"당월",
 TRUE,"그외"
)</f>
        <v>그외</v>
      </c>
    </row>
    <row r="3450" spans="1:12" x14ac:dyDescent="0.3">
      <c r="A3450" s="5">
        <v>46082</v>
      </c>
      <c r="B3450" s="6" t="s">
        <v>20</v>
      </c>
      <c r="C3450" s="6" t="s">
        <v>29</v>
      </c>
      <c r="D3450" s="5">
        <v>45931</v>
      </c>
      <c r="E3450" s="6" t="s">
        <v>15</v>
      </c>
      <c r="F3450" s="7">
        <v>733</v>
      </c>
      <c r="G3450" s="7">
        <v>116810.35061391541</v>
      </c>
      <c r="H3450" s="7">
        <v>85621987</v>
      </c>
      <c r="I3450" s="7">
        <v>7682351</v>
      </c>
      <c r="J3450" s="7">
        <v>0</v>
      </c>
      <c r="K3450">
        <f t="shared" si="53"/>
        <v>151</v>
      </c>
      <c r="L3450" s="8" t="str" cm="1">
        <f t="array" ref="L3450">_xlfn.IFS(
 AND(K3450&gt;=89,K3450&lt;=92),"3개월",
 AND(K3450&gt;=58,K3450&lt;=62),"2개월",
 AND(K3450&gt;=28,K3450&lt;=32),"1개월",
 AND(K3450=0),"당월",
 TRUE,"그외"
)</f>
        <v>그외</v>
      </c>
    </row>
    <row r="3451" spans="1:12" x14ac:dyDescent="0.3">
      <c r="A3451" s="5">
        <v>46082</v>
      </c>
      <c r="B3451" s="6" t="s">
        <v>20</v>
      </c>
      <c r="C3451" s="6" t="s">
        <v>29</v>
      </c>
      <c r="D3451" s="5">
        <v>45962</v>
      </c>
      <c r="E3451" s="6" t="s">
        <v>15</v>
      </c>
      <c r="F3451" s="7">
        <v>1339</v>
      </c>
      <c r="G3451" s="7">
        <v>119645.1837191934</v>
      </c>
      <c r="H3451" s="7">
        <v>160204901</v>
      </c>
      <c r="I3451" s="7">
        <v>15122322</v>
      </c>
      <c r="J3451" s="7">
        <v>0</v>
      </c>
      <c r="K3451">
        <f t="shared" si="53"/>
        <v>120</v>
      </c>
      <c r="L3451" s="8" t="str" cm="1">
        <f t="array" ref="L3451">_xlfn.IFS(
 AND(K3451&gt;=89,K3451&lt;=92),"3개월",
 AND(K3451&gt;=58,K3451&lt;=62),"2개월",
 AND(K3451&gt;=28,K3451&lt;=32),"1개월",
 AND(K3451=0),"당월",
 TRUE,"그외"
)</f>
        <v>그외</v>
      </c>
    </row>
    <row r="3452" spans="1:12" x14ac:dyDescent="0.3">
      <c r="A3452" s="5">
        <v>46082</v>
      </c>
      <c r="B3452" s="6" t="s">
        <v>20</v>
      </c>
      <c r="C3452" s="6" t="s">
        <v>29</v>
      </c>
      <c r="D3452" s="5">
        <v>45992</v>
      </c>
      <c r="E3452" s="6" t="s">
        <v>15</v>
      </c>
      <c r="F3452" s="7">
        <v>2269</v>
      </c>
      <c r="G3452" s="7">
        <v>124099.1705597179</v>
      </c>
      <c r="H3452" s="7">
        <v>281581018</v>
      </c>
      <c r="I3452" s="7">
        <v>29337060</v>
      </c>
      <c r="J3452" s="7">
        <v>0</v>
      </c>
      <c r="K3452">
        <f t="shared" si="53"/>
        <v>90</v>
      </c>
      <c r="L3452" s="8" t="str" cm="1">
        <f t="array" ref="L3452">_xlfn.IFS(
 AND(K3452&gt;=89,K3452&lt;=92),"3개월",
 AND(K3452&gt;=58,K3452&lt;=62),"2개월",
 AND(K3452&gt;=28,K3452&lt;=32),"1개월",
 AND(K3452=0),"당월",
 TRUE,"그외"
)</f>
        <v>3개월</v>
      </c>
    </row>
    <row r="3453" spans="1:12" x14ac:dyDescent="0.3">
      <c r="A3453" s="5">
        <v>46082</v>
      </c>
      <c r="B3453" s="6" t="s">
        <v>20</v>
      </c>
      <c r="C3453" s="6" t="s">
        <v>29</v>
      </c>
      <c r="D3453" s="5">
        <v>46023</v>
      </c>
      <c r="E3453" s="6" t="s">
        <v>14</v>
      </c>
      <c r="F3453" s="7">
        <v>120</v>
      </c>
      <c r="G3453" s="7">
        <v>188696</v>
      </c>
      <c r="H3453" s="7">
        <v>22643520</v>
      </c>
      <c r="I3453" s="7">
        <v>2543360</v>
      </c>
      <c r="J3453" s="7">
        <v>0</v>
      </c>
      <c r="K3453">
        <f t="shared" si="53"/>
        <v>59</v>
      </c>
      <c r="L3453" s="8" t="str" cm="1">
        <f t="array" ref="L3453">_xlfn.IFS(
 AND(K3453&gt;=89,K3453&lt;=92),"3개월",
 AND(K3453&gt;=58,K3453&lt;=62),"2개월",
 AND(K3453&gt;=28,K3453&lt;=32),"1개월",
 AND(K3453=0),"당월",
 TRUE,"그외"
)</f>
        <v>2개월</v>
      </c>
    </row>
    <row r="3454" spans="1:12" x14ac:dyDescent="0.3">
      <c r="A3454" s="5">
        <v>46082</v>
      </c>
      <c r="B3454" s="6" t="s">
        <v>20</v>
      </c>
      <c r="C3454" s="6" t="s">
        <v>29</v>
      </c>
      <c r="D3454" s="5">
        <v>46023</v>
      </c>
      <c r="E3454" s="6" t="s">
        <v>15</v>
      </c>
      <c r="F3454" s="7">
        <v>3985</v>
      </c>
      <c r="G3454" s="7">
        <v>146554.73826850689</v>
      </c>
      <c r="H3454" s="7">
        <v>584020632</v>
      </c>
      <c r="I3454" s="7">
        <v>55373618</v>
      </c>
      <c r="J3454" s="7">
        <v>0</v>
      </c>
      <c r="K3454">
        <f t="shared" si="53"/>
        <v>59</v>
      </c>
      <c r="L3454" s="8" t="str" cm="1">
        <f t="array" ref="L3454">_xlfn.IFS(
 AND(K3454&gt;=89,K3454&lt;=92),"3개월",
 AND(K3454&gt;=58,K3454&lt;=62),"2개월",
 AND(K3454&gt;=28,K3454&lt;=32),"1개월",
 AND(K3454=0),"당월",
 TRUE,"그외"
)</f>
        <v>2개월</v>
      </c>
    </row>
    <row r="3455" spans="1:12" x14ac:dyDescent="0.3">
      <c r="A3455" s="5">
        <v>46082</v>
      </c>
      <c r="B3455" s="6" t="s">
        <v>20</v>
      </c>
      <c r="C3455" s="6" t="s">
        <v>29</v>
      </c>
      <c r="D3455" s="5">
        <v>46054</v>
      </c>
      <c r="E3455" s="6" t="s">
        <v>14</v>
      </c>
      <c r="F3455" s="7">
        <v>2421</v>
      </c>
      <c r="G3455" s="7">
        <v>166034.63857909961</v>
      </c>
      <c r="H3455" s="7">
        <v>401969860</v>
      </c>
      <c r="I3455" s="7">
        <v>18748820</v>
      </c>
      <c r="J3455" s="7">
        <v>0</v>
      </c>
      <c r="K3455">
        <f t="shared" si="53"/>
        <v>28</v>
      </c>
      <c r="L3455" s="8" t="str" cm="1">
        <f t="array" ref="L3455">_xlfn.IFS(
 AND(K3455&gt;=89,K3455&lt;=92),"3개월",
 AND(K3455&gt;=58,K3455&lt;=62),"2개월",
 AND(K3455&gt;=28,K3455&lt;=32),"1개월",
 AND(K3455=0),"당월",
 TRUE,"그외"
)</f>
        <v>1개월</v>
      </c>
    </row>
    <row r="3456" spans="1:12" x14ac:dyDescent="0.3">
      <c r="A3456" s="5">
        <v>46082</v>
      </c>
      <c r="B3456" s="6" t="s">
        <v>20</v>
      </c>
      <c r="C3456" s="6" t="s">
        <v>29</v>
      </c>
      <c r="D3456" s="5">
        <v>46054</v>
      </c>
      <c r="E3456" s="6" t="s">
        <v>15</v>
      </c>
      <c r="F3456" s="7">
        <v>7442</v>
      </c>
      <c r="G3456" s="7">
        <v>145781.74039236759</v>
      </c>
      <c r="H3456" s="7">
        <v>1084907712</v>
      </c>
      <c r="I3456" s="7">
        <v>81841442</v>
      </c>
      <c r="J3456" s="7">
        <v>0</v>
      </c>
      <c r="K3456">
        <f t="shared" si="53"/>
        <v>28</v>
      </c>
      <c r="L3456" s="8" t="str" cm="1">
        <f t="array" ref="L3456">_xlfn.IFS(
 AND(K3456&gt;=89,K3456&lt;=92),"3개월",
 AND(K3456&gt;=58,K3456&lt;=62),"2개월",
 AND(K3456&gt;=28,K3456&lt;=32),"1개월",
 AND(K3456=0),"당월",
 TRUE,"그외"
)</f>
        <v>1개월</v>
      </c>
    </row>
    <row r="3457" spans="1:12" x14ac:dyDescent="0.3">
      <c r="A3457" s="5">
        <v>46082</v>
      </c>
      <c r="B3457" s="6" t="s">
        <v>20</v>
      </c>
      <c r="C3457" s="6" t="s">
        <v>29</v>
      </c>
      <c r="D3457" s="5">
        <v>46082</v>
      </c>
      <c r="E3457" s="6" t="s">
        <v>14</v>
      </c>
      <c r="F3457" s="7">
        <v>2407</v>
      </c>
      <c r="G3457" s="7">
        <v>140540.96385542169</v>
      </c>
      <c r="H3457" s="7">
        <v>338282100</v>
      </c>
      <c r="I3457" s="7">
        <v>24744100</v>
      </c>
      <c r="J3457" s="7">
        <v>0</v>
      </c>
      <c r="K3457">
        <f t="shared" si="53"/>
        <v>0</v>
      </c>
      <c r="L3457" s="8" t="str" cm="1">
        <f t="array" ref="L3457">_xlfn.IFS(
 AND(K3457&gt;=89,K3457&lt;=92),"3개월",
 AND(K3457&gt;=58,K3457&lt;=62),"2개월",
 AND(K3457&gt;=28,K3457&lt;=32),"1개월",
 AND(K3457=0),"당월",
 TRUE,"그외"
)</f>
        <v>당월</v>
      </c>
    </row>
    <row r="3458" spans="1:12" x14ac:dyDescent="0.3">
      <c r="A3458" s="5">
        <v>46082</v>
      </c>
      <c r="B3458" s="6" t="s">
        <v>20</v>
      </c>
      <c r="C3458" s="6" t="s">
        <v>29</v>
      </c>
      <c r="D3458" s="5">
        <v>46082</v>
      </c>
      <c r="E3458" s="6" t="s">
        <v>15</v>
      </c>
      <c r="F3458" s="7">
        <v>4529</v>
      </c>
      <c r="G3458" s="7">
        <v>163823.17708103341</v>
      </c>
      <c r="H3458" s="7">
        <v>741955169</v>
      </c>
      <c r="I3458" s="7">
        <v>64378899</v>
      </c>
      <c r="J3458" s="7">
        <v>0</v>
      </c>
      <c r="K3458">
        <f t="shared" si="53"/>
        <v>0</v>
      </c>
      <c r="L3458" s="8" t="str" cm="1">
        <f t="array" ref="L3458">_xlfn.IFS(
 AND(K3458&gt;=89,K3458&lt;=92),"3개월",
 AND(K3458&gt;=58,K3458&lt;=62),"2개월",
 AND(K3458&gt;=28,K3458&lt;=32),"1개월",
 AND(K3458=0),"당월",
 TRUE,"그외"
)</f>
        <v>당월</v>
      </c>
    </row>
    <row r="3459" spans="1:12" x14ac:dyDescent="0.3">
      <c r="A3459" s="5">
        <v>46082</v>
      </c>
      <c r="B3459" s="6" t="s">
        <v>20</v>
      </c>
      <c r="C3459" s="6" t="s">
        <v>30</v>
      </c>
      <c r="D3459" s="5">
        <v>45839</v>
      </c>
      <c r="E3459" s="6" t="s">
        <v>15</v>
      </c>
      <c r="F3459" s="7">
        <v>3</v>
      </c>
      <c r="G3459" s="7">
        <v>168300</v>
      </c>
      <c r="H3459" s="7">
        <v>504900</v>
      </c>
      <c r="I3459" s="7">
        <v>16500</v>
      </c>
      <c r="J3459" s="7">
        <v>0</v>
      </c>
      <c r="K3459">
        <f t="shared" si="53"/>
        <v>243</v>
      </c>
      <c r="L3459" s="8" t="str" cm="1">
        <f t="array" ref="L3459">_xlfn.IFS(
 AND(K3459&gt;=89,K3459&lt;=92),"3개월",
 AND(K3459&gt;=58,K3459&lt;=62),"2개월",
 AND(K3459&gt;=28,K3459&lt;=32),"1개월",
 AND(K3459=0),"당월",
 TRUE,"그외"
)</f>
        <v>그외</v>
      </c>
    </row>
    <row r="3460" spans="1:12" x14ac:dyDescent="0.3">
      <c r="A3460" s="5">
        <v>46082</v>
      </c>
      <c r="B3460" s="6" t="s">
        <v>20</v>
      </c>
      <c r="C3460" s="6" t="s">
        <v>30</v>
      </c>
      <c r="D3460" s="5">
        <v>45870</v>
      </c>
      <c r="E3460" s="6" t="s">
        <v>15</v>
      </c>
      <c r="F3460" s="7">
        <v>67</v>
      </c>
      <c r="G3460" s="7">
        <v>150020.8656716418</v>
      </c>
      <c r="H3460" s="7">
        <v>10051398</v>
      </c>
      <c r="I3460" s="7">
        <v>691347</v>
      </c>
      <c r="J3460" s="7">
        <v>0</v>
      </c>
      <c r="K3460">
        <f t="shared" si="53"/>
        <v>212</v>
      </c>
      <c r="L3460" s="8" t="str" cm="1">
        <f t="array" ref="L3460">_xlfn.IFS(
 AND(K3460&gt;=89,K3460&lt;=92),"3개월",
 AND(K3460&gt;=58,K3460&lt;=62),"2개월",
 AND(K3460&gt;=28,K3460&lt;=32),"1개월",
 AND(K3460=0),"당월",
 TRUE,"그외"
)</f>
        <v>그외</v>
      </c>
    </row>
    <row r="3461" spans="1:12" x14ac:dyDescent="0.3">
      <c r="A3461" s="5">
        <v>46082</v>
      </c>
      <c r="B3461" s="6" t="s">
        <v>20</v>
      </c>
      <c r="C3461" s="6" t="s">
        <v>30</v>
      </c>
      <c r="D3461" s="5">
        <v>45901</v>
      </c>
      <c r="E3461" s="6" t="s">
        <v>15</v>
      </c>
      <c r="F3461" s="7">
        <v>98</v>
      </c>
      <c r="G3461" s="7">
        <v>145395.77551020411</v>
      </c>
      <c r="H3461" s="7">
        <v>14248786</v>
      </c>
      <c r="I3461" s="7">
        <v>1189538</v>
      </c>
      <c r="J3461" s="7">
        <v>0</v>
      </c>
      <c r="K3461">
        <f t="shared" si="53"/>
        <v>181</v>
      </c>
      <c r="L3461" s="8" t="str" cm="1">
        <f t="array" ref="L3461">_xlfn.IFS(
 AND(K3461&gt;=89,K3461&lt;=92),"3개월",
 AND(K3461&gt;=58,K3461&lt;=62),"2개월",
 AND(K3461&gt;=28,K3461&lt;=32),"1개월",
 AND(K3461=0),"당월",
 TRUE,"그외"
)</f>
        <v>그외</v>
      </c>
    </row>
    <row r="3462" spans="1:12" x14ac:dyDescent="0.3">
      <c r="A3462" s="5">
        <v>46082</v>
      </c>
      <c r="B3462" s="6" t="s">
        <v>20</v>
      </c>
      <c r="C3462" s="6" t="s">
        <v>30</v>
      </c>
      <c r="D3462" s="5">
        <v>45931</v>
      </c>
      <c r="E3462" s="6" t="s">
        <v>15</v>
      </c>
      <c r="F3462" s="7">
        <v>306</v>
      </c>
      <c r="G3462" s="7">
        <v>139166</v>
      </c>
      <c r="H3462" s="7">
        <v>42584796</v>
      </c>
      <c r="I3462" s="7">
        <v>4659850</v>
      </c>
      <c r="J3462" s="7">
        <v>0</v>
      </c>
      <c r="K3462">
        <f t="shared" si="53"/>
        <v>151</v>
      </c>
      <c r="L3462" s="8" t="str" cm="1">
        <f t="array" ref="L3462">_xlfn.IFS(
 AND(K3462&gt;=89,K3462&lt;=92),"3개월",
 AND(K3462&gt;=58,K3462&lt;=62),"2개월",
 AND(K3462&gt;=28,K3462&lt;=32),"1개월",
 AND(K3462=0),"당월",
 TRUE,"그외"
)</f>
        <v>그외</v>
      </c>
    </row>
    <row r="3463" spans="1:12" x14ac:dyDescent="0.3">
      <c r="A3463" s="5">
        <v>46082</v>
      </c>
      <c r="B3463" s="6" t="s">
        <v>20</v>
      </c>
      <c r="C3463" s="6" t="s">
        <v>30</v>
      </c>
      <c r="D3463" s="5">
        <v>45962</v>
      </c>
      <c r="E3463" s="6" t="s">
        <v>15</v>
      </c>
      <c r="F3463" s="7">
        <v>506</v>
      </c>
      <c r="G3463" s="7">
        <v>140655.1679841897</v>
      </c>
      <c r="H3463" s="7">
        <v>71171515</v>
      </c>
      <c r="I3463" s="7">
        <v>7226138</v>
      </c>
      <c r="J3463" s="7">
        <v>0</v>
      </c>
      <c r="K3463">
        <f t="shared" si="53"/>
        <v>120</v>
      </c>
      <c r="L3463" s="8" t="str" cm="1">
        <f t="array" ref="L3463">_xlfn.IFS(
 AND(K3463&gt;=89,K3463&lt;=92),"3개월",
 AND(K3463&gt;=58,K3463&lt;=62),"2개월",
 AND(K3463&gt;=28,K3463&lt;=32),"1개월",
 AND(K3463=0),"당월",
 TRUE,"그외"
)</f>
        <v>그외</v>
      </c>
    </row>
    <row r="3464" spans="1:12" x14ac:dyDescent="0.3">
      <c r="A3464" s="5">
        <v>46082</v>
      </c>
      <c r="B3464" s="6" t="s">
        <v>20</v>
      </c>
      <c r="C3464" s="6" t="s">
        <v>30</v>
      </c>
      <c r="D3464" s="5">
        <v>45992</v>
      </c>
      <c r="E3464" s="6" t="s">
        <v>14</v>
      </c>
      <c r="F3464" s="7">
        <v>6</v>
      </c>
      <c r="G3464" s="7">
        <v>99394</v>
      </c>
      <c r="H3464" s="7">
        <v>596364</v>
      </c>
      <c r="I3464" s="7">
        <v>174426</v>
      </c>
      <c r="J3464" s="7">
        <v>0</v>
      </c>
      <c r="K3464">
        <f t="shared" si="53"/>
        <v>90</v>
      </c>
      <c r="L3464" s="8" t="str" cm="1">
        <f t="array" ref="L3464">_xlfn.IFS(
 AND(K3464&gt;=89,K3464&lt;=92),"3개월",
 AND(K3464&gt;=58,K3464&lt;=62),"2개월",
 AND(K3464&gt;=28,K3464&lt;=32),"1개월",
 AND(K3464=0),"당월",
 TRUE,"그외"
)</f>
        <v>3개월</v>
      </c>
    </row>
    <row r="3465" spans="1:12" x14ac:dyDescent="0.3">
      <c r="A3465" s="5">
        <v>46082</v>
      </c>
      <c r="B3465" s="6" t="s">
        <v>20</v>
      </c>
      <c r="C3465" s="6" t="s">
        <v>30</v>
      </c>
      <c r="D3465" s="5">
        <v>45992</v>
      </c>
      <c r="E3465" s="6" t="s">
        <v>15</v>
      </c>
      <c r="F3465" s="7">
        <v>1371</v>
      </c>
      <c r="G3465" s="7">
        <v>143885.2231947484</v>
      </c>
      <c r="H3465" s="7">
        <v>197266641</v>
      </c>
      <c r="I3465" s="7">
        <v>19626553</v>
      </c>
      <c r="J3465" s="7">
        <v>0</v>
      </c>
      <c r="K3465">
        <f t="shared" si="53"/>
        <v>90</v>
      </c>
      <c r="L3465" s="8" t="str" cm="1">
        <f t="array" ref="L3465">_xlfn.IFS(
 AND(K3465&gt;=89,K3465&lt;=92),"3개월",
 AND(K3465&gt;=58,K3465&lt;=62),"2개월",
 AND(K3465&gt;=28,K3465&lt;=32),"1개월",
 AND(K3465=0),"당월",
 TRUE,"그외"
)</f>
        <v>3개월</v>
      </c>
    </row>
    <row r="3466" spans="1:12" x14ac:dyDescent="0.3">
      <c r="A3466" s="5">
        <v>46082</v>
      </c>
      <c r="B3466" s="6" t="s">
        <v>20</v>
      </c>
      <c r="C3466" s="6" t="s">
        <v>30</v>
      </c>
      <c r="D3466" s="5">
        <v>46023</v>
      </c>
      <c r="E3466" s="6" t="s">
        <v>14</v>
      </c>
      <c r="F3466" s="7">
        <v>4</v>
      </c>
      <c r="G3466" s="7">
        <v>93994</v>
      </c>
      <c r="H3466" s="7">
        <v>375976</v>
      </c>
      <c r="I3466" s="7">
        <v>64815</v>
      </c>
      <c r="J3466" s="7">
        <v>0</v>
      </c>
      <c r="K3466">
        <f t="shared" ref="K3466:K3529" si="54">A3466-D3466</f>
        <v>59</v>
      </c>
      <c r="L3466" s="8" t="str" cm="1">
        <f t="array" ref="L3466">_xlfn.IFS(
 AND(K3466&gt;=89,K3466&lt;=92),"3개월",
 AND(K3466&gt;=58,K3466&lt;=62),"2개월",
 AND(K3466&gt;=28,K3466&lt;=32),"1개월",
 AND(K3466=0),"당월",
 TRUE,"그외"
)</f>
        <v>2개월</v>
      </c>
    </row>
    <row r="3467" spans="1:12" x14ac:dyDescent="0.3">
      <c r="A3467" s="5">
        <v>46082</v>
      </c>
      <c r="B3467" s="6" t="s">
        <v>20</v>
      </c>
      <c r="C3467" s="6" t="s">
        <v>30</v>
      </c>
      <c r="D3467" s="5">
        <v>46023</v>
      </c>
      <c r="E3467" s="6" t="s">
        <v>15</v>
      </c>
      <c r="F3467" s="7">
        <v>2220</v>
      </c>
      <c r="G3467" s="7">
        <v>143395.14819819821</v>
      </c>
      <c r="H3467" s="7">
        <v>318337229</v>
      </c>
      <c r="I3467" s="7">
        <v>32734765</v>
      </c>
      <c r="J3467" s="7">
        <v>0</v>
      </c>
      <c r="K3467">
        <f t="shared" si="54"/>
        <v>59</v>
      </c>
      <c r="L3467" s="8" t="str" cm="1">
        <f t="array" ref="L3467">_xlfn.IFS(
 AND(K3467&gt;=89,K3467&lt;=92),"3개월",
 AND(K3467&gt;=58,K3467&lt;=62),"2개월",
 AND(K3467&gt;=28,K3467&lt;=32),"1개월",
 AND(K3467=0),"당월",
 TRUE,"그외"
)</f>
        <v>2개월</v>
      </c>
    </row>
    <row r="3468" spans="1:12" x14ac:dyDescent="0.3">
      <c r="A3468" s="5">
        <v>46082</v>
      </c>
      <c r="B3468" s="6" t="s">
        <v>20</v>
      </c>
      <c r="C3468" s="6" t="s">
        <v>30</v>
      </c>
      <c r="D3468" s="5">
        <v>46054</v>
      </c>
      <c r="E3468" s="6" t="s">
        <v>14</v>
      </c>
      <c r="F3468" s="7">
        <v>769</v>
      </c>
      <c r="G3468" s="7">
        <v>123122.5370611183</v>
      </c>
      <c r="H3468" s="7">
        <v>94681231</v>
      </c>
      <c r="I3468" s="7">
        <v>6217294</v>
      </c>
      <c r="J3468" s="7">
        <v>0</v>
      </c>
      <c r="K3468">
        <f t="shared" si="54"/>
        <v>28</v>
      </c>
      <c r="L3468" s="8" t="str" cm="1">
        <f t="array" ref="L3468">_xlfn.IFS(
 AND(K3468&gt;=89,K3468&lt;=92),"3개월",
 AND(K3468&gt;=58,K3468&lt;=62),"2개월",
 AND(K3468&gt;=28,K3468&lt;=32),"1개월",
 AND(K3468=0),"당월",
 TRUE,"그외"
)</f>
        <v>1개월</v>
      </c>
    </row>
    <row r="3469" spans="1:12" x14ac:dyDescent="0.3">
      <c r="A3469" s="5">
        <v>46082</v>
      </c>
      <c r="B3469" s="6" t="s">
        <v>20</v>
      </c>
      <c r="C3469" s="6" t="s">
        <v>30</v>
      </c>
      <c r="D3469" s="5">
        <v>46054</v>
      </c>
      <c r="E3469" s="6" t="s">
        <v>15</v>
      </c>
      <c r="F3469" s="7">
        <v>9536</v>
      </c>
      <c r="G3469" s="7">
        <v>125033.7239932886</v>
      </c>
      <c r="H3469" s="7">
        <v>1192321592</v>
      </c>
      <c r="I3469" s="7">
        <v>113650069</v>
      </c>
      <c r="J3469" s="7">
        <v>0</v>
      </c>
      <c r="K3469">
        <f t="shared" si="54"/>
        <v>28</v>
      </c>
      <c r="L3469" s="8" t="str" cm="1">
        <f t="array" ref="L3469">_xlfn.IFS(
 AND(K3469&gt;=89,K3469&lt;=92),"3개월",
 AND(K3469&gt;=58,K3469&lt;=62),"2개월",
 AND(K3469&gt;=28,K3469&lt;=32),"1개월",
 AND(K3469=0),"당월",
 TRUE,"그외"
)</f>
        <v>1개월</v>
      </c>
    </row>
    <row r="3470" spans="1:12" x14ac:dyDescent="0.3">
      <c r="A3470" s="5">
        <v>46082</v>
      </c>
      <c r="B3470" s="6" t="s">
        <v>20</v>
      </c>
      <c r="C3470" s="6" t="s">
        <v>30</v>
      </c>
      <c r="D3470" s="5">
        <v>46082</v>
      </c>
      <c r="E3470" s="6" t="s">
        <v>14</v>
      </c>
      <c r="F3470" s="7">
        <v>1815</v>
      </c>
      <c r="G3470" s="7">
        <v>134176.9829201102</v>
      </c>
      <c r="H3470" s="7">
        <v>243531224</v>
      </c>
      <c r="I3470" s="7">
        <v>19124880</v>
      </c>
      <c r="J3470" s="7">
        <v>0</v>
      </c>
      <c r="K3470">
        <f t="shared" si="54"/>
        <v>0</v>
      </c>
      <c r="L3470" s="8" t="str" cm="1">
        <f t="array" ref="L3470">_xlfn.IFS(
 AND(K3470&gt;=89,K3470&lt;=92),"3개월",
 AND(K3470&gt;=58,K3470&lt;=62),"2개월",
 AND(K3470&gt;=28,K3470&lt;=32),"1개월",
 AND(K3470=0),"당월",
 TRUE,"그외"
)</f>
        <v>당월</v>
      </c>
    </row>
    <row r="3471" spans="1:12" x14ac:dyDescent="0.3">
      <c r="A3471" s="5">
        <v>46082</v>
      </c>
      <c r="B3471" s="6" t="s">
        <v>20</v>
      </c>
      <c r="C3471" s="6" t="s">
        <v>30</v>
      </c>
      <c r="D3471" s="5">
        <v>46082</v>
      </c>
      <c r="E3471" s="6" t="s">
        <v>15</v>
      </c>
      <c r="F3471" s="7">
        <v>5090</v>
      </c>
      <c r="G3471" s="7">
        <v>143838.89430255399</v>
      </c>
      <c r="H3471" s="7">
        <v>732139972</v>
      </c>
      <c r="I3471" s="7">
        <v>88438949</v>
      </c>
      <c r="J3471" s="7">
        <v>0</v>
      </c>
      <c r="K3471">
        <f t="shared" si="54"/>
        <v>0</v>
      </c>
      <c r="L3471" s="8" t="str" cm="1">
        <f t="array" ref="L3471">_xlfn.IFS(
 AND(K3471&gt;=89,K3471&lt;=92),"3개월",
 AND(K3471&gt;=58,K3471&lt;=62),"2개월",
 AND(K3471&gt;=28,K3471&lt;=32),"1개월",
 AND(K3471=0),"당월",
 TRUE,"그외"
)</f>
        <v>당월</v>
      </c>
    </row>
    <row r="3472" spans="1:12" x14ac:dyDescent="0.3">
      <c r="A3472" s="5">
        <v>46082</v>
      </c>
      <c r="B3472" s="6" t="s">
        <v>20</v>
      </c>
      <c r="C3472" s="6" t="s">
        <v>31</v>
      </c>
      <c r="D3472" s="5">
        <v>45839</v>
      </c>
      <c r="E3472" s="6" t="s">
        <v>15</v>
      </c>
      <c r="F3472" s="7">
        <v>16</v>
      </c>
      <c r="G3472" s="7">
        <v>139655.9375</v>
      </c>
      <c r="H3472" s="7">
        <v>2234495</v>
      </c>
      <c r="I3472" s="7">
        <v>321248</v>
      </c>
      <c r="J3472" s="7">
        <v>0</v>
      </c>
      <c r="K3472">
        <f t="shared" si="54"/>
        <v>243</v>
      </c>
      <c r="L3472" s="8" t="str" cm="1">
        <f t="array" ref="L3472">_xlfn.IFS(
 AND(K3472&gt;=89,K3472&lt;=92),"3개월",
 AND(K3472&gt;=58,K3472&lt;=62),"2개월",
 AND(K3472&gt;=28,K3472&lt;=32),"1개월",
 AND(K3472=0),"당월",
 TRUE,"그외"
)</f>
        <v>그외</v>
      </c>
    </row>
    <row r="3473" spans="1:12" x14ac:dyDescent="0.3">
      <c r="A3473" s="5">
        <v>46082</v>
      </c>
      <c r="B3473" s="6" t="s">
        <v>20</v>
      </c>
      <c r="C3473" s="6" t="s">
        <v>31</v>
      </c>
      <c r="D3473" s="5">
        <v>45870</v>
      </c>
      <c r="E3473" s="6" t="s">
        <v>15</v>
      </c>
      <c r="F3473" s="7">
        <v>122</v>
      </c>
      <c r="G3473" s="7">
        <v>125021.4426229508</v>
      </c>
      <c r="H3473" s="7">
        <v>15252616</v>
      </c>
      <c r="I3473" s="7">
        <v>1855515</v>
      </c>
      <c r="J3473" s="7">
        <v>0</v>
      </c>
      <c r="K3473">
        <f t="shared" si="54"/>
        <v>212</v>
      </c>
      <c r="L3473" s="8" t="str" cm="1">
        <f t="array" ref="L3473">_xlfn.IFS(
 AND(K3473&gt;=89,K3473&lt;=92),"3개월",
 AND(K3473&gt;=58,K3473&lt;=62),"2개월",
 AND(K3473&gt;=28,K3473&lt;=32),"1개월",
 AND(K3473=0),"당월",
 TRUE,"그외"
)</f>
        <v>그외</v>
      </c>
    </row>
    <row r="3474" spans="1:12" x14ac:dyDescent="0.3">
      <c r="A3474" s="5">
        <v>46082</v>
      </c>
      <c r="B3474" s="6" t="s">
        <v>20</v>
      </c>
      <c r="C3474" s="6" t="s">
        <v>31</v>
      </c>
      <c r="D3474" s="5">
        <v>45901</v>
      </c>
      <c r="E3474" s="6" t="s">
        <v>15</v>
      </c>
      <c r="F3474" s="7">
        <v>109</v>
      </c>
      <c r="G3474" s="7">
        <v>131619.96330275229</v>
      </c>
      <c r="H3474" s="7">
        <v>14346576</v>
      </c>
      <c r="I3474" s="7">
        <v>2001665</v>
      </c>
      <c r="J3474" s="7">
        <v>0</v>
      </c>
      <c r="K3474">
        <f t="shared" si="54"/>
        <v>181</v>
      </c>
      <c r="L3474" s="8" t="str" cm="1">
        <f t="array" ref="L3474">_xlfn.IFS(
 AND(K3474&gt;=89,K3474&lt;=92),"3개월",
 AND(K3474&gt;=58,K3474&lt;=62),"2개월",
 AND(K3474&gt;=28,K3474&lt;=32),"1개월",
 AND(K3474=0),"당월",
 TRUE,"그외"
)</f>
        <v>그외</v>
      </c>
    </row>
    <row r="3475" spans="1:12" x14ac:dyDescent="0.3">
      <c r="A3475" s="5">
        <v>46082</v>
      </c>
      <c r="B3475" s="6" t="s">
        <v>20</v>
      </c>
      <c r="C3475" s="6" t="s">
        <v>31</v>
      </c>
      <c r="D3475" s="5">
        <v>45931</v>
      </c>
      <c r="E3475" s="6" t="s">
        <v>15</v>
      </c>
      <c r="F3475" s="7">
        <v>324</v>
      </c>
      <c r="G3475" s="7">
        <v>128172.38888888891</v>
      </c>
      <c r="H3475" s="7">
        <v>41527854</v>
      </c>
      <c r="I3475" s="7">
        <v>5813104</v>
      </c>
      <c r="J3475" s="7">
        <v>0</v>
      </c>
      <c r="K3475">
        <f t="shared" si="54"/>
        <v>151</v>
      </c>
      <c r="L3475" s="8" t="str" cm="1">
        <f t="array" ref="L3475">_xlfn.IFS(
 AND(K3475&gt;=89,K3475&lt;=92),"3개월",
 AND(K3475&gt;=58,K3475&lt;=62),"2개월",
 AND(K3475&gt;=28,K3475&lt;=32),"1개월",
 AND(K3475=0),"당월",
 TRUE,"그외"
)</f>
        <v>그외</v>
      </c>
    </row>
    <row r="3476" spans="1:12" x14ac:dyDescent="0.3">
      <c r="A3476" s="5">
        <v>46082</v>
      </c>
      <c r="B3476" s="6" t="s">
        <v>20</v>
      </c>
      <c r="C3476" s="6" t="s">
        <v>31</v>
      </c>
      <c r="D3476" s="5">
        <v>45962</v>
      </c>
      <c r="E3476" s="6" t="s">
        <v>15</v>
      </c>
      <c r="F3476" s="7">
        <v>471</v>
      </c>
      <c r="G3476" s="7">
        <v>139287.76645435239</v>
      </c>
      <c r="H3476" s="7">
        <v>65604538</v>
      </c>
      <c r="I3476" s="7">
        <v>8882379</v>
      </c>
      <c r="J3476" s="7">
        <v>0</v>
      </c>
      <c r="K3476">
        <f t="shared" si="54"/>
        <v>120</v>
      </c>
      <c r="L3476" s="8" t="str" cm="1">
        <f t="array" ref="L3476">_xlfn.IFS(
 AND(K3476&gt;=89,K3476&lt;=92),"3개월",
 AND(K3476&gt;=58,K3476&lt;=62),"2개월",
 AND(K3476&gt;=28,K3476&lt;=32),"1개월",
 AND(K3476=0),"당월",
 TRUE,"그외"
)</f>
        <v>그외</v>
      </c>
    </row>
    <row r="3477" spans="1:12" x14ac:dyDescent="0.3">
      <c r="A3477" s="5">
        <v>46082</v>
      </c>
      <c r="B3477" s="6" t="s">
        <v>20</v>
      </c>
      <c r="C3477" s="6" t="s">
        <v>31</v>
      </c>
      <c r="D3477" s="5">
        <v>45992</v>
      </c>
      <c r="E3477" s="6" t="s">
        <v>14</v>
      </c>
      <c r="F3477" s="7">
        <v>11</v>
      </c>
      <c r="G3477" s="7">
        <v>132983.09090909091</v>
      </c>
      <c r="H3477" s="7">
        <v>1462814</v>
      </c>
      <c r="I3477" s="7">
        <v>318115</v>
      </c>
      <c r="J3477" s="7">
        <v>0</v>
      </c>
      <c r="K3477">
        <f t="shared" si="54"/>
        <v>90</v>
      </c>
      <c r="L3477" s="8" t="str" cm="1">
        <f t="array" ref="L3477">_xlfn.IFS(
 AND(K3477&gt;=89,K3477&lt;=92),"3개월",
 AND(K3477&gt;=58,K3477&lt;=62),"2개월",
 AND(K3477&gt;=28,K3477&lt;=32),"1개월",
 AND(K3477=0),"당월",
 TRUE,"그외"
)</f>
        <v>3개월</v>
      </c>
    </row>
    <row r="3478" spans="1:12" x14ac:dyDescent="0.3">
      <c r="A3478" s="5">
        <v>46082</v>
      </c>
      <c r="B3478" s="6" t="s">
        <v>20</v>
      </c>
      <c r="C3478" s="6" t="s">
        <v>31</v>
      </c>
      <c r="D3478" s="5">
        <v>45992</v>
      </c>
      <c r="E3478" s="6" t="s">
        <v>15</v>
      </c>
      <c r="F3478" s="7">
        <v>849</v>
      </c>
      <c r="G3478" s="7">
        <v>148621.63722025909</v>
      </c>
      <c r="H3478" s="7">
        <v>126179770</v>
      </c>
      <c r="I3478" s="7">
        <v>15745192</v>
      </c>
      <c r="J3478" s="7">
        <v>0</v>
      </c>
      <c r="K3478">
        <f t="shared" si="54"/>
        <v>90</v>
      </c>
      <c r="L3478" s="8" t="str" cm="1">
        <f t="array" ref="L3478">_xlfn.IFS(
 AND(K3478&gt;=89,K3478&lt;=92),"3개월",
 AND(K3478&gt;=58,K3478&lt;=62),"2개월",
 AND(K3478&gt;=28,K3478&lt;=32),"1개월",
 AND(K3478=0),"당월",
 TRUE,"그외"
)</f>
        <v>3개월</v>
      </c>
    </row>
    <row r="3479" spans="1:12" x14ac:dyDescent="0.3">
      <c r="A3479" s="5">
        <v>46082</v>
      </c>
      <c r="B3479" s="6" t="s">
        <v>20</v>
      </c>
      <c r="C3479" s="6" t="s">
        <v>31</v>
      </c>
      <c r="D3479" s="5">
        <v>46023</v>
      </c>
      <c r="E3479" s="6" t="s">
        <v>14</v>
      </c>
      <c r="F3479" s="7">
        <v>231</v>
      </c>
      <c r="G3479" s="7">
        <v>167250.7878787879</v>
      </c>
      <c r="H3479" s="7">
        <v>38634932</v>
      </c>
      <c r="I3479" s="7">
        <v>6678626</v>
      </c>
      <c r="J3479" s="7">
        <v>0</v>
      </c>
      <c r="K3479">
        <f t="shared" si="54"/>
        <v>59</v>
      </c>
      <c r="L3479" s="8" t="str" cm="1">
        <f t="array" ref="L3479">_xlfn.IFS(
 AND(K3479&gt;=89,K3479&lt;=92),"3개월",
 AND(K3479&gt;=58,K3479&lt;=62),"2개월",
 AND(K3479&gt;=28,K3479&lt;=32),"1개월",
 AND(K3479=0),"당월",
 TRUE,"그외"
)</f>
        <v>2개월</v>
      </c>
    </row>
    <row r="3480" spans="1:12" x14ac:dyDescent="0.3">
      <c r="A3480" s="5">
        <v>46082</v>
      </c>
      <c r="B3480" s="6" t="s">
        <v>20</v>
      </c>
      <c r="C3480" s="6" t="s">
        <v>31</v>
      </c>
      <c r="D3480" s="5">
        <v>46023</v>
      </c>
      <c r="E3480" s="6" t="s">
        <v>15</v>
      </c>
      <c r="F3480" s="7">
        <v>2298</v>
      </c>
      <c r="G3480" s="7">
        <v>157928.5</v>
      </c>
      <c r="H3480" s="7">
        <v>362919693</v>
      </c>
      <c r="I3480" s="7">
        <v>42794158</v>
      </c>
      <c r="J3480" s="7">
        <v>0</v>
      </c>
      <c r="K3480">
        <f t="shared" si="54"/>
        <v>59</v>
      </c>
      <c r="L3480" s="8" t="str" cm="1">
        <f t="array" ref="L3480">_xlfn.IFS(
 AND(K3480&gt;=89,K3480&lt;=92),"3개월",
 AND(K3480&gt;=58,K3480&lt;=62),"2개월",
 AND(K3480&gt;=28,K3480&lt;=32),"1개월",
 AND(K3480=0),"당월",
 TRUE,"그외"
)</f>
        <v>2개월</v>
      </c>
    </row>
    <row r="3481" spans="1:12" x14ac:dyDescent="0.3">
      <c r="A3481" s="5">
        <v>46082</v>
      </c>
      <c r="B3481" s="6" t="s">
        <v>20</v>
      </c>
      <c r="C3481" s="6" t="s">
        <v>31</v>
      </c>
      <c r="D3481" s="5">
        <v>46054</v>
      </c>
      <c r="E3481" s="6" t="s">
        <v>14</v>
      </c>
      <c r="F3481" s="7">
        <v>576</v>
      </c>
      <c r="G3481" s="7">
        <v>145471.97916666669</v>
      </c>
      <c r="H3481" s="7">
        <v>83791860</v>
      </c>
      <c r="I3481" s="7">
        <v>16291025</v>
      </c>
      <c r="J3481" s="7">
        <v>0</v>
      </c>
      <c r="K3481">
        <f t="shared" si="54"/>
        <v>28</v>
      </c>
      <c r="L3481" s="8" t="str" cm="1">
        <f t="array" ref="L3481">_xlfn.IFS(
 AND(K3481&gt;=89,K3481&lt;=92),"3개월",
 AND(K3481&gt;=58,K3481&lt;=62),"2개월",
 AND(K3481&gt;=28,K3481&lt;=32),"1개월",
 AND(K3481=0),"당월",
 TRUE,"그외"
)</f>
        <v>1개월</v>
      </c>
    </row>
    <row r="3482" spans="1:12" x14ac:dyDescent="0.3">
      <c r="A3482" s="5">
        <v>46082</v>
      </c>
      <c r="B3482" s="6" t="s">
        <v>20</v>
      </c>
      <c r="C3482" s="6" t="s">
        <v>31</v>
      </c>
      <c r="D3482" s="5">
        <v>46054</v>
      </c>
      <c r="E3482" s="6" t="s">
        <v>15</v>
      </c>
      <c r="F3482" s="7">
        <v>3373</v>
      </c>
      <c r="G3482" s="7">
        <v>166673.2309516751</v>
      </c>
      <c r="H3482" s="7">
        <v>562188808</v>
      </c>
      <c r="I3482" s="7">
        <v>54975101</v>
      </c>
      <c r="J3482" s="7">
        <v>0</v>
      </c>
      <c r="K3482">
        <f t="shared" si="54"/>
        <v>28</v>
      </c>
      <c r="L3482" s="8" t="str" cm="1">
        <f t="array" ref="L3482">_xlfn.IFS(
 AND(K3482&gt;=89,K3482&lt;=92),"3개월",
 AND(K3482&gt;=58,K3482&lt;=62),"2개월",
 AND(K3482&gt;=28,K3482&lt;=32),"1개월",
 AND(K3482=0),"당월",
 TRUE,"그외"
)</f>
        <v>1개월</v>
      </c>
    </row>
    <row r="3483" spans="1:12" x14ac:dyDescent="0.3">
      <c r="A3483" s="5">
        <v>46082</v>
      </c>
      <c r="B3483" s="6" t="s">
        <v>20</v>
      </c>
      <c r="C3483" s="6" t="s">
        <v>31</v>
      </c>
      <c r="D3483" s="5">
        <v>46082</v>
      </c>
      <c r="E3483" s="6" t="s">
        <v>14</v>
      </c>
      <c r="F3483" s="7">
        <v>415</v>
      </c>
      <c r="G3483" s="7">
        <v>161202.9084337349</v>
      </c>
      <c r="H3483" s="7">
        <v>66899207</v>
      </c>
      <c r="I3483" s="7">
        <v>9080630</v>
      </c>
      <c r="J3483" s="7">
        <v>0</v>
      </c>
      <c r="K3483">
        <f t="shared" si="54"/>
        <v>0</v>
      </c>
      <c r="L3483" s="8" t="str" cm="1">
        <f t="array" ref="L3483">_xlfn.IFS(
 AND(K3483&gt;=89,K3483&lt;=92),"3개월",
 AND(K3483&gt;=58,K3483&lt;=62),"2개월",
 AND(K3483&gt;=28,K3483&lt;=32),"1개월",
 AND(K3483=0),"당월",
 TRUE,"그외"
)</f>
        <v>당월</v>
      </c>
    </row>
    <row r="3484" spans="1:12" x14ac:dyDescent="0.3">
      <c r="A3484" s="5">
        <v>46082</v>
      </c>
      <c r="B3484" s="6" t="s">
        <v>20</v>
      </c>
      <c r="C3484" s="6" t="s">
        <v>31</v>
      </c>
      <c r="D3484" s="5">
        <v>46082</v>
      </c>
      <c r="E3484" s="6" t="s">
        <v>15</v>
      </c>
      <c r="F3484" s="7">
        <v>2115</v>
      </c>
      <c r="G3484" s="7">
        <v>203554.66288416079</v>
      </c>
      <c r="H3484" s="7">
        <v>430518112</v>
      </c>
      <c r="I3484" s="7">
        <v>41506648</v>
      </c>
      <c r="J3484" s="7">
        <v>0</v>
      </c>
      <c r="K3484">
        <f t="shared" si="54"/>
        <v>0</v>
      </c>
      <c r="L3484" s="8" t="str" cm="1">
        <f t="array" ref="L3484">_xlfn.IFS(
 AND(K3484&gt;=89,K3484&lt;=92),"3개월",
 AND(K3484&gt;=58,K3484&lt;=62),"2개월",
 AND(K3484&gt;=28,K3484&lt;=32),"1개월",
 AND(K3484=0),"당월",
 TRUE,"그외"
)</f>
        <v>당월</v>
      </c>
    </row>
    <row r="3485" spans="1:12" x14ac:dyDescent="0.3">
      <c r="A3485" s="5">
        <v>46082</v>
      </c>
      <c r="B3485" s="6" t="s">
        <v>20</v>
      </c>
      <c r="C3485" s="6" t="s">
        <v>32</v>
      </c>
      <c r="D3485" s="5">
        <v>45839</v>
      </c>
      <c r="E3485" s="6" t="s">
        <v>15</v>
      </c>
      <c r="F3485" s="7">
        <v>183</v>
      </c>
      <c r="G3485" s="7">
        <v>98417.174863387976</v>
      </c>
      <c r="H3485" s="7">
        <v>18010343</v>
      </c>
      <c r="I3485" s="7">
        <v>2766187</v>
      </c>
      <c r="J3485" s="7">
        <v>0</v>
      </c>
      <c r="K3485">
        <f t="shared" si="54"/>
        <v>243</v>
      </c>
      <c r="L3485" s="8" t="str" cm="1">
        <f t="array" ref="L3485">_xlfn.IFS(
 AND(K3485&gt;=89,K3485&lt;=92),"3개월",
 AND(K3485&gt;=58,K3485&lt;=62),"2개월",
 AND(K3485&gt;=28,K3485&lt;=32),"1개월",
 AND(K3485=0),"당월",
 TRUE,"그외"
)</f>
        <v>그외</v>
      </c>
    </row>
    <row r="3486" spans="1:12" x14ac:dyDescent="0.3">
      <c r="A3486" s="5">
        <v>46082</v>
      </c>
      <c r="B3486" s="6" t="s">
        <v>20</v>
      </c>
      <c r="C3486" s="6" t="s">
        <v>32</v>
      </c>
      <c r="D3486" s="5">
        <v>45870</v>
      </c>
      <c r="E3486" s="6" t="s">
        <v>15</v>
      </c>
      <c r="F3486" s="7">
        <v>444</v>
      </c>
      <c r="G3486" s="7">
        <v>108695.1711711712</v>
      </c>
      <c r="H3486" s="7">
        <v>48260656</v>
      </c>
      <c r="I3486" s="7">
        <v>8225331</v>
      </c>
      <c r="J3486" s="7">
        <v>0</v>
      </c>
      <c r="K3486">
        <f t="shared" si="54"/>
        <v>212</v>
      </c>
      <c r="L3486" s="8" t="str" cm="1">
        <f t="array" ref="L3486">_xlfn.IFS(
 AND(K3486&gt;=89,K3486&lt;=92),"3개월",
 AND(K3486&gt;=58,K3486&lt;=62),"2개월",
 AND(K3486&gt;=28,K3486&lt;=32),"1개월",
 AND(K3486=0),"당월",
 TRUE,"그외"
)</f>
        <v>그외</v>
      </c>
    </row>
    <row r="3487" spans="1:12" x14ac:dyDescent="0.3">
      <c r="A3487" s="5">
        <v>46082</v>
      </c>
      <c r="B3487" s="6" t="s">
        <v>20</v>
      </c>
      <c r="C3487" s="6" t="s">
        <v>32</v>
      </c>
      <c r="D3487" s="5">
        <v>45901</v>
      </c>
      <c r="E3487" s="6" t="s">
        <v>15</v>
      </c>
      <c r="F3487" s="7">
        <v>1225</v>
      </c>
      <c r="G3487" s="7">
        <v>112940.173877551</v>
      </c>
      <c r="H3487" s="7">
        <v>138351713</v>
      </c>
      <c r="I3487" s="7">
        <v>22284716</v>
      </c>
      <c r="J3487" s="7">
        <v>0</v>
      </c>
      <c r="K3487">
        <f t="shared" si="54"/>
        <v>181</v>
      </c>
      <c r="L3487" s="8" t="str" cm="1">
        <f t="array" ref="L3487">_xlfn.IFS(
 AND(K3487&gt;=89,K3487&lt;=92),"3개월",
 AND(K3487&gt;=58,K3487&lt;=62),"2개월",
 AND(K3487&gt;=28,K3487&lt;=32),"1개월",
 AND(K3487=0),"당월",
 TRUE,"그외"
)</f>
        <v>그외</v>
      </c>
    </row>
    <row r="3488" spans="1:12" x14ac:dyDescent="0.3">
      <c r="A3488" s="5">
        <v>46082</v>
      </c>
      <c r="B3488" s="6" t="s">
        <v>20</v>
      </c>
      <c r="C3488" s="6" t="s">
        <v>32</v>
      </c>
      <c r="D3488" s="5">
        <v>45931</v>
      </c>
      <c r="E3488" s="6" t="s">
        <v>14</v>
      </c>
      <c r="F3488" s="7">
        <v>4</v>
      </c>
      <c r="G3488" s="7">
        <v>118151</v>
      </c>
      <c r="H3488" s="7">
        <v>472604</v>
      </c>
      <c r="I3488" s="7">
        <v>116284</v>
      </c>
      <c r="J3488" s="7">
        <v>0</v>
      </c>
      <c r="K3488">
        <f t="shared" si="54"/>
        <v>151</v>
      </c>
      <c r="L3488" s="8" t="str" cm="1">
        <f t="array" ref="L3488">_xlfn.IFS(
 AND(K3488&gt;=89,K3488&lt;=92),"3개월",
 AND(K3488&gt;=58,K3488&lt;=62),"2개월",
 AND(K3488&gt;=28,K3488&lt;=32),"1개월",
 AND(K3488=0),"당월",
 TRUE,"그외"
)</f>
        <v>그외</v>
      </c>
    </row>
    <row r="3489" spans="1:12" x14ac:dyDescent="0.3">
      <c r="A3489" s="5">
        <v>46082</v>
      </c>
      <c r="B3489" s="6" t="s">
        <v>20</v>
      </c>
      <c r="C3489" s="6" t="s">
        <v>32</v>
      </c>
      <c r="D3489" s="5">
        <v>45931</v>
      </c>
      <c r="E3489" s="6" t="s">
        <v>15</v>
      </c>
      <c r="F3489" s="7">
        <v>2588</v>
      </c>
      <c r="G3489" s="7">
        <v>120537.8728748068</v>
      </c>
      <c r="H3489" s="7">
        <v>311952015</v>
      </c>
      <c r="I3489" s="7">
        <v>53783317</v>
      </c>
      <c r="J3489" s="7">
        <v>0</v>
      </c>
      <c r="K3489">
        <f t="shared" si="54"/>
        <v>151</v>
      </c>
      <c r="L3489" s="8" t="str" cm="1">
        <f t="array" ref="L3489">_xlfn.IFS(
 AND(K3489&gt;=89,K3489&lt;=92),"3개월",
 AND(K3489&gt;=58,K3489&lt;=62),"2개월",
 AND(K3489&gt;=28,K3489&lt;=32),"1개월",
 AND(K3489=0),"당월",
 TRUE,"그외"
)</f>
        <v>그외</v>
      </c>
    </row>
    <row r="3490" spans="1:12" x14ac:dyDescent="0.3">
      <c r="A3490" s="5">
        <v>46082</v>
      </c>
      <c r="B3490" s="6" t="s">
        <v>20</v>
      </c>
      <c r="C3490" s="6" t="s">
        <v>32</v>
      </c>
      <c r="D3490" s="5">
        <v>45962</v>
      </c>
      <c r="E3490" s="6" t="s">
        <v>14</v>
      </c>
      <c r="F3490" s="7">
        <v>64</v>
      </c>
      <c r="G3490" s="7">
        <v>166336.96875</v>
      </c>
      <c r="H3490" s="7">
        <v>10645566</v>
      </c>
      <c r="I3490" s="7">
        <v>1864985</v>
      </c>
      <c r="J3490" s="7">
        <v>0</v>
      </c>
      <c r="K3490">
        <f t="shared" si="54"/>
        <v>120</v>
      </c>
      <c r="L3490" s="8" t="str" cm="1">
        <f t="array" ref="L3490">_xlfn.IFS(
 AND(K3490&gt;=89,K3490&lt;=92),"3개월",
 AND(K3490&gt;=58,K3490&lt;=62),"2개월",
 AND(K3490&gt;=28,K3490&lt;=32),"1개월",
 AND(K3490=0),"당월",
 TRUE,"그외"
)</f>
        <v>그외</v>
      </c>
    </row>
    <row r="3491" spans="1:12" x14ac:dyDescent="0.3">
      <c r="A3491" s="5">
        <v>46082</v>
      </c>
      <c r="B3491" s="6" t="s">
        <v>20</v>
      </c>
      <c r="C3491" s="6" t="s">
        <v>32</v>
      </c>
      <c r="D3491" s="5">
        <v>45962</v>
      </c>
      <c r="E3491" s="6" t="s">
        <v>15</v>
      </c>
      <c r="F3491" s="7">
        <v>2900</v>
      </c>
      <c r="G3491" s="7">
        <v>141995.23724137931</v>
      </c>
      <c r="H3491" s="7">
        <v>411786188</v>
      </c>
      <c r="I3491" s="7">
        <v>63066558</v>
      </c>
      <c r="J3491" s="7">
        <v>0</v>
      </c>
      <c r="K3491">
        <f t="shared" si="54"/>
        <v>120</v>
      </c>
      <c r="L3491" s="8" t="str" cm="1">
        <f t="array" ref="L3491">_xlfn.IFS(
 AND(K3491&gt;=89,K3491&lt;=92),"3개월",
 AND(K3491&gt;=58,K3491&lt;=62),"2개월",
 AND(K3491&gt;=28,K3491&lt;=32),"1개월",
 AND(K3491=0),"당월",
 TRUE,"그외"
)</f>
        <v>그외</v>
      </c>
    </row>
    <row r="3492" spans="1:12" x14ac:dyDescent="0.3">
      <c r="A3492" s="5">
        <v>46082</v>
      </c>
      <c r="B3492" s="6" t="s">
        <v>20</v>
      </c>
      <c r="C3492" s="6" t="s">
        <v>32</v>
      </c>
      <c r="D3492" s="5">
        <v>45992</v>
      </c>
      <c r="E3492" s="6" t="s">
        <v>14</v>
      </c>
      <c r="F3492" s="7">
        <v>288</v>
      </c>
      <c r="G3492" s="7">
        <v>149619.95833333331</v>
      </c>
      <c r="H3492" s="7">
        <v>43090548</v>
      </c>
      <c r="I3492" s="7">
        <v>7010657</v>
      </c>
      <c r="J3492" s="7">
        <v>0</v>
      </c>
      <c r="K3492">
        <f t="shared" si="54"/>
        <v>90</v>
      </c>
      <c r="L3492" s="8" t="str" cm="1">
        <f t="array" ref="L3492">_xlfn.IFS(
 AND(K3492&gt;=89,K3492&lt;=92),"3개월",
 AND(K3492&gt;=58,K3492&lt;=62),"2개월",
 AND(K3492&gt;=28,K3492&lt;=32),"1개월",
 AND(K3492=0),"당월",
 TRUE,"그외"
)</f>
        <v>3개월</v>
      </c>
    </row>
    <row r="3493" spans="1:12" x14ac:dyDescent="0.3">
      <c r="A3493" s="5">
        <v>46082</v>
      </c>
      <c r="B3493" s="6" t="s">
        <v>20</v>
      </c>
      <c r="C3493" s="6" t="s">
        <v>32</v>
      </c>
      <c r="D3493" s="5">
        <v>45992</v>
      </c>
      <c r="E3493" s="6" t="s">
        <v>15</v>
      </c>
      <c r="F3493" s="7">
        <v>2801</v>
      </c>
      <c r="G3493" s="7">
        <v>155305.76901106749</v>
      </c>
      <c r="H3493" s="7">
        <v>435011459</v>
      </c>
      <c r="I3493" s="7">
        <v>66380896</v>
      </c>
      <c r="J3493" s="7">
        <v>0</v>
      </c>
      <c r="K3493">
        <f t="shared" si="54"/>
        <v>90</v>
      </c>
      <c r="L3493" s="8" t="str" cm="1">
        <f t="array" ref="L3493">_xlfn.IFS(
 AND(K3493&gt;=89,K3493&lt;=92),"3개월",
 AND(K3493&gt;=58,K3493&lt;=62),"2개월",
 AND(K3493&gt;=28,K3493&lt;=32),"1개월",
 AND(K3493=0),"당월",
 TRUE,"그외"
)</f>
        <v>3개월</v>
      </c>
    </row>
    <row r="3494" spans="1:12" x14ac:dyDescent="0.3">
      <c r="A3494" s="5">
        <v>46082</v>
      </c>
      <c r="B3494" s="6" t="s">
        <v>20</v>
      </c>
      <c r="C3494" s="6" t="s">
        <v>32</v>
      </c>
      <c r="D3494" s="5">
        <v>46023</v>
      </c>
      <c r="E3494" s="6" t="s">
        <v>14</v>
      </c>
      <c r="F3494" s="7">
        <v>817</v>
      </c>
      <c r="G3494" s="7">
        <v>182671.9963280294</v>
      </c>
      <c r="H3494" s="7">
        <v>149243021</v>
      </c>
      <c r="I3494" s="7">
        <v>21424903</v>
      </c>
      <c r="J3494" s="7">
        <v>0</v>
      </c>
      <c r="K3494">
        <f t="shared" si="54"/>
        <v>59</v>
      </c>
      <c r="L3494" s="8" t="str" cm="1">
        <f t="array" ref="L3494">_xlfn.IFS(
 AND(K3494&gt;=89,K3494&lt;=92),"3개월",
 AND(K3494&gt;=58,K3494&lt;=62),"2개월",
 AND(K3494&gt;=28,K3494&lt;=32),"1개월",
 AND(K3494=0),"당월",
 TRUE,"그외"
)</f>
        <v>2개월</v>
      </c>
    </row>
    <row r="3495" spans="1:12" x14ac:dyDescent="0.3">
      <c r="A3495" s="5">
        <v>46082</v>
      </c>
      <c r="B3495" s="6" t="s">
        <v>20</v>
      </c>
      <c r="C3495" s="6" t="s">
        <v>32</v>
      </c>
      <c r="D3495" s="5">
        <v>46023</v>
      </c>
      <c r="E3495" s="6" t="s">
        <v>15</v>
      </c>
      <c r="F3495" s="7">
        <v>5022</v>
      </c>
      <c r="G3495" s="7">
        <v>198933.24034249299</v>
      </c>
      <c r="H3495" s="7">
        <v>999042733</v>
      </c>
      <c r="I3495" s="7">
        <v>121455622</v>
      </c>
      <c r="J3495" s="7">
        <v>0</v>
      </c>
      <c r="K3495">
        <f t="shared" si="54"/>
        <v>59</v>
      </c>
      <c r="L3495" s="8" t="str" cm="1">
        <f t="array" ref="L3495">_xlfn.IFS(
 AND(K3495&gt;=89,K3495&lt;=92),"3개월",
 AND(K3495&gt;=58,K3495&lt;=62),"2개월",
 AND(K3495&gt;=28,K3495&lt;=32),"1개월",
 AND(K3495=0),"당월",
 TRUE,"그외"
)</f>
        <v>2개월</v>
      </c>
    </row>
    <row r="3496" spans="1:12" x14ac:dyDescent="0.3">
      <c r="A3496" s="5">
        <v>46082</v>
      </c>
      <c r="B3496" s="6" t="s">
        <v>20</v>
      </c>
      <c r="C3496" s="6" t="s">
        <v>32</v>
      </c>
      <c r="D3496" s="5">
        <v>46054</v>
      </c>
      <c r="E3496" s="6" t="s">
        <v>14</v>
      </c>
      <c r="F3496" s="7">
        <v>2132</v>
      </c>
      <c r="G3496" s="7">
        <v>171207.3700750469</v>
      </c>
      <c r="H3496" s="7">
        <v>365014113</v>
      </c>
      <c r="I3496" s="7">
        <v>41369399</v>
      </c>
      <c r="J3496" s="7">
        <v>0</v>
      </c>
      <c r="K3496">
        <f t="shared" si="54"/>
        <v>28</v>
      </c>
      <c r="L3496" s="8" t="str" cm="1">
        <f t="array" ref="L3496">_xlfn.IFS(
 AND(K3496&gt;=89,K3496&lt;=92),"3개월",
 AND(K3496&gt;=58,K3496&lt;=62),"2개월",
 AND(K3496&gt;=28,K3496&lt;=32),"1개월",
 AND(K3496=0),"당월",
 TRUE,"그외"
)</f>
        <v>1개월</v>
      </c>
    </row>
    <row r="3497" spans="1:12" x14ac:dyDescent="0.3">
      <c r="A3497" s="5">
        <v>46082</v>
      </c>
      <c r="B3497" s="6" t="s">
        <v>20</v>
      </c>
      <c r="C3497" s="6" t="s">
        <v>32</v>
      </c>
      <c r="D3497" s="5">
        <v>46054</v>
      </c>
      <c r="E3497" s="6" t="s">
        <v>15</v>
      </c>
      <c r="F3497" s="7">
        <v>9165</v>
      </c>
      <c r="G3497" s="7">
        <v>222438.10551009269</v>
      </c>
      <c r="H3497" s="7">
        <v>2038645237</v>
      </c>
      <c r="I3497" s="7">
        <v>206198672</v>
      </c>
      <c r="J3497" s="7">
        <v>0</v>
      </c>
      <c r="K3497">
        <f t="shared" si="54"/>
        <v>28</v>
      </c>
      <c r="L3497" s="8" t="str" cm="1">
        <f t="array" ref="L3497">_xlfn.IFS(
 AND(K3497&gt;=89,K3497&lt;=92),"3개월",
 AND(K3497&gt;=58,K3497&lt;=62),"2개월",
 AND(K3497&gt;=28,K3497&lt;=32),"1개월",
 AND(K3497=0),"당월",
 TRUE,"그외"
)</f>
        <v>1개월</v>
      </c>
    </row>
    <row r="3498" spans="1:12" x14ac:dyDescent="0.3">
      <c r="A3498" s="5">
        <v>46082</v>
      </c>
      <c r="B3498" s="6" t="s">
        <v>20</v>
      </c>
      <c r="C3498" s="6" t="s">
        <v>32</v>
      </c>
      <c r="D3498" s="5">
        <v>46082</v>
      </c>
      <c r="E3498" s="6" t="s">
        <v>14</v>
      </c>
      <c r="F3498" s="7">
        <v>4766</v>
      </c>
      <c r="G3498" s="7">
        <v>116850.2255560218</v>
      </c>
      <c r="H3498" s="7">
        <v>556908175</v>
      </c>
      <c r="I3498" s="7">
        <v>15780130</v>
      </c>
      <c r="J3498" s="7">
        <v>0</v>
      </c>
      <c r="K3498">
        <f t="shared" si="54"/>
        <v>0</v>
      </c>
      <c r="L3498" s="8" t="str" cm="1">
        <f t="array" ref="L3498">_xlfn.IFS(
 AND(K3498&gt;=89,K3498&lt;=92),"3개월",
 AND(K3498&gt;=58,K3498&lt;=62),"2개월",
 AND(K3498&gt;=28,K3498&lt;=32),"1개월",
 AND(K3498=0),"당월",
 TRUE,"그외"
)</f>
        <v>당월</v>
      </c>
    </row>
    <row r="3499" spans="1:12" x14ac:dyDescent="0.3">
      <c r="A3499" s="5">
        <v>46082</v>
      </c>
      <c r="B3499" s="6" t="s">
        <v>20</v>
      </c>
      <c r="C3499" s="6" t="s">
        <v>32</v>
      </c>
      <c r="D3499" s="5">
        <v>46082</v>
      </c>
      <c r="E3499" s="6" t="s">
        <v>15</v>
      </c>
      <c r="F3499" s="7">
        <v>3997</v>
      </c>
      <c r="G3499" s="7">
        <v>278615.11508631468</v>
      </c>
      <c r="H3499" s="7">
        <v>1113624615</v>
      </c>
      <c r="I3499" s="7">
        <v>98326603</v>
      </c>
      <c r="J3499" s="7">
        <v>0</v>
      </c>
      <c r="K3499">
        <f t="shared" si="54"/>
        <v>0</v>
      </c>
      <c r="L3499" s="8" t="str" cm="1">
        <f t="array" ref="L3499">_xlfn.IFS(
 AND(K3499&gt;=89,K3499&lt;=92),"3개월",
 AND(K3499&gt;=58,K3499&lt;=62),"2개월",
 AND(K3499&gt;=28,K3499&lt;=32),"1개월",
 AND(K3499=0),"당월",
 TRUE,"그외"
)</f>
        <v>당월</v>
      </c>
    </row>
    <row r="3500" spans="1:12" x14ac:dyDescent="0.3">
      <c r="A3500" s="5">
        <v>46082</v>
      </c>
      <c r="B3500" s="6" t="s">
        <v>20</v>
      </c>
      <c r="C3500" s="6" t="s">
        <v>33</v>
      </c>
      <c r="D3500" s="5">
        <v>45839</v>
      </c>
      <c r="E3500" s="6" t="s">
        <v>15</v>
      </c>
      <c r="F3500" s="7">
        <v>62</v>
      </c>
      <c r="G3500" s="7">
        <v>92845.903225806454</v>
      </c>
      <c r="H3500" s="7">
        <v>5756446</v>
      </c>
      <c r="I3500" s="7">
        <v>1163111</v>
      </c>
      <c r="J3500" s="7">
        <v>0</v>
      </c>
      <c r="K3500">
        <f t="shared" si="54"/>
        <v>243</v>
      </c>
      <c r="L3500" s="8" t="str" cm="1">
        <f t="array" ref="L3500">_xlfn.IFS(
 AND(K3500&gt;=89,K3500&lt;=92),"3개월",
 AND(K3500&gt;=58,K3500&lt;=62),"2개월",
 AND(K3500&gt;=28,K3500&lt;=32),"1개월",
 AND(K3500=0),"당월",
 TRUE,"그외"
)</f>
        <v>그외</v>
      </c>
    </row>
    <row r="3501" spans="1:12" x14ac:dyDescent="0.3">
      <c r="A3501" s="5">
        <v>46082</v>
      </c>
      <c r="B3501" s="6" t="s">
        <v>20</v>
      </c>
      <c r="C3501" s="6" t="s">
        <v>33</v>
      </c>
      <c r="D3501" s="5">
        <v>45870</v>
      </c>
      <c r="E3501" s="6" t="s">
        <v>15</v>
      </c>
      <c r="F3501" s="7">
        <v>142</v>
      </c>
      <c r="G3501" s="7">
        <v>101268.4647887324</v>
      </c>
      <c r="H3501" s="7">
        <v>14380122</v>
      </c>
      <c r="I3501" s="7">
        <v>2442016</v>
      </c>
      <c r="J3501" s="7">
        <v>0</v>
      </c>
      <c r="K3501">
        <f t="shared" si="54"/>
        <v>212</v>
      </c>
      <c r="L3501" s="8" t="str" cm="1">
        <f t="array" ref="L3501">_xlfn.IFS(
 AND(K3501&gt;=89,K3501&lt;=92),"3개월",
 AND(K3501&gt;=58,K3501&lt;=62),"2개월",
 AND(K3501&gt;=28,K3501&lt;=32),"1개월",
 AND(K3501=0),"당월",
 TRUE,"그외"
)</f>
        <v>그외</v>
      </c>
    </row>
    <row r="3502" spans="1:12" x14ac:dyDescent="0.3">
      <c r="A3502" s="5">
        <v>46082</v>
      </c>
      <c r="B3502" s="6" t="s">
        <v>20</v>
      </c>
      <c r="C3502" s="6" t="s">
        <v>33</v>
      </c>
      <c r="D3502" s="5">
        <v>45901</v>
      </c>
      <c r="E3502" s="6" t="s">
        <v>15</v>
      </c>
      <c r="F3502" s="7">
        <v>83</v>
      </c>
      <c r="G3502" s="7">
        <v>151239.38554216869</v>
      </c>
      <c r="H3502" s="7">
        <v>12552869</v>
      </c>
      <c r="I3502" s="7">
        <v>1510177</v>
      </c>
      <c r="J3502" s="7">
        <v>0</v>
      </c>
      <c r="K3502">
        <f t="shared" si="54"/>
        <v>181</v>
      </c>
      <c r="L3502" s="8" t="str" cm="1">
        <f t="array" ref="L3502">_xlfn.IFS(
 AND(K3502&gt;=89,K3502&lt;=92),"3개월",
 AND(K3502&gt;=58,K3502&lt;=62),"2개월",
 AND(K3502&gt;=28,K3502&lt;=32),"1개월",
 AND(K3502=0),"당월",
 TRUE,"그외"
)</f>
        <v>그외</v>
      </c>
    </row>
    <row r="3503" spans="1:12" x14ac:dyDescent="0.3">
      <c r="A3503" s="5">
        <v>46082</v>
      </c>
      <c r="B3503" s="6" t="s">
        <v>20</v>
      </c>
      <c r="C3503" s="6" t="s">
        <v>33</v>
      </c>
      <c r="D3503" s="5">
        <v>45931</v>
      </c>
      <c r="E3503" s="6" t="s">
        <v>15</v>
      </c>
      <c r="F3503" s="7">
        <v>296</v>
      </c>
      <c r="G3503" s="7">
        <v>131710.96621621621</v>
      </c>
      <c r="H3503" s="7">
        <v>38986446</v>
      </c>
      <c r="I3503" s="7">
        <v>5852345</v>
      </c>
      <c r="J3503" s="7">
        <v>0</v>
      </c>
      <c r="K3503">
        <f t="shared" si="54"/>
        <v>151</v>
      </c>
      <c r="L3503" s="8" t="str" cm="1">
        <f t="array" ref="L3503">_xlfn.IFS(
 AND(K3503&gt;=89,K3503&lt;=92),"3개월",
 AND(K3503&gt;=58,K3503&lt;=62),"2개월",
 AND(K3503&gt;=28,K3503&lt;=32),"1개월",
 AND(K3503=0),"당월",
 TRUE,"그외"
)</f>
        <v>그외</v>
      </c>
    </row>
    <row r="3504" spans="1:12" x14ac:dyDescent="0.3">
      <c r="A3504" s="5">
        <v>46082</v>
      </c>
      <c r="B3504" s="6" t="s">
        <v>20</v>
      </c>
      <c r="C3504" s="6" t="s">
        <v>33</v>
      </c>
      <c r="D3504" s="5">
        <v>45962</v>
      </c>
      <c r="E3504" s="6" t="s">
        <v>15</v>
      </c>
      <c r="F3504" s="7">
        <v>448</v>
      </c>
      <c r="G3504" s="7">
        <v>148803.5</v>
      </c>
      <c r="H3504" s="7">
        <v>66663968</v>
      </c>
      <c r="I3504" s="7">
        <v>8844259</v>
      </c>
      <c r="J3504" s="7">
        <v>0</v>
      </c>
      <c r="K3504">
        <f t="shared" si="54"/>
        <v>120</v>
      </c>
      <c r="L3504" s="8" t="str" cm="1">
        <f t="array" ref="L3504">_xlfn.IFS(
 AND(K3504&gt;=89,K3504&lt;=92),"3개월",
 AND(K3504&gt;=58,K3504&lt;=62),"2개월",
 AND(K3504&gt;=28,K3504&lt;=32),"1개월",
 AND(K3504=0),"당월",
 TRUE,"그외"
)</f>
        <v>그외</v>
      </c>
    </row>
    <row r="3505" spans="1:12" x14ac:dyDescent="0.3">
      <c r="A3505" s="5">
        <v>46082</v>
      </c>
      <c r="B3505" s="6" t="s">
        <v>20</v>
      </c>
      <c r="C3505" s="6" t="s">
        <v>33</v>
      </c>
      <c r="D3505" s="5">
        <v>45992</v>
      </c>
      <c r="E3505" s="6" t="s">
        <v>14</v>
      </c>
      <c r="F3505" s="7">
        <v>5</v>
      </c>
      <c r="G3505" s="7">
        <v>163437.20000000001</v>
      </c>
      <c r="H3505" s="7">
        <v>817186</v>
      </c>
      <c r="I3505" s="7">
        <v>146461</v>
      </c>
      <c r="J3505" s="7">
        <v>0</v>
      </c>
      <c r="K3505">
        <f t="shared" si="54"/>
        <v>90</v>
      </c>
      <c r="L3505" s="8" t="str" cm="1">
        <f t="array" ref="L3505">_xlfn.IFS(
 AND(K3505&gt;=89,K3505&lt;=92),"3개월",
 AND(K3505&gt;=58,K3505&lt;=62),"2개월",
 AND(K3505&gt;=28,K3505&lt;=32),"1개월",
 AND(K3505=0),"당월",
 TRUE,"그외"
)</f>
        <v>3개월</v>
      </c>
    </row>
    <row r="3506" spans="1:12" x14ac:dyDescent="0.3">
      <c r="A3506" s="5">
        <v>46082</v>
      </c>
      <c r="B3506" s="6" t="s">
        <v>20</v>
      </c>
      <c r="C3506" s="6" t="s">
        <v>33</v>
      </c>
      <c r="D3506" s="5">
        <v>45992</v>
      </c>
      <c r="E3506" s="6" t="s">
        <v>15</v>
      </c>
      <c r="F3506" s="7">
        <v>802</v>
      </c>
      <c r="G3506" s="7">
        <v>181147.76309226931</v>
      </c>
      <c r="H3506" s="7">
        <v>145280506</v>
      </c>
      <c r="I3506" s="7">
        <v>18038738</v>
      </c>
      <c r="J3506" s="7">
        <v>0</v>
      </c>
      <c r="K3506">
        <f t="shared" si="54"/>
        <v>90</v>
      </c>
      <c r="L3506" s="8" t="str" cm="1">
        <f t="array" ref="L3506">_xlfn.IFS(
 AND(K3506&gt;=89,K3506&lt;=92),"3개월",
 AND(K3506&gt;=58,K3506&lt;=62),"2개월",
 AND(K3506&gt;=28,K3506&lt;=32),"1개월",
 AND(K3506=0),"당월",
 TRUE,"그외"
)</f>
        <v>3개월</v>
      </c>
    </row>
    <row r="3507" spans="1:12" x14ac:dyDescent="0.3">
      <c r="A3507" s="5">
        <v>46082</v>
      </c>
      <c r="B3507" s="6" t="s">
        <v>20</v>
      </c>
      <c r="C3507" s="6" t="s">
        <v>33</v>
      </c>
      <c r="D3507" s="5">
        <v>46023</v>
      </c>
      <c r="E3507" s="6" t="s">
        <v>14</v>
      </c>
      <c r="F3507" s="7">
        <v>42</v>
      </c>
      <c r="G3507" s="7">
        <v>181266.07142857139</v>
      </c>
      <c r="H3507" s="7">
        <v>7613175</v>
      </c>
      <c r="I3507" s="7">
        <v>1189673</v>
      </c>
      <c r="J3507" s="7">
        <v>0</v>
      </c>
      <c r="K3507">
        <f t="shared" si="54"/>
        <v>59</v>
      </c>
      <c r="L3507" s="8" t="str" cm="1">
        <f t="array" ref="L3507">_xlfn.IFS(
 AND(K3507&gt;=89,K3507&lt;=92),"3개월",
 AND(K3507&gt;=58,K3507&lt;=62),"2개월",
 AND(K3507&gt;=28,K3507&lt;=32),"1개월",
 AND(K3507=0),"당월",
 TRUE,"그외"
)</f>
        <v>2개월</v>
      </c>
    </row>
    <row r="3508" spans="1:12" x14ac:dyDescent="0.3">
      <c r="A3508" s="5">
        <v>46082</v>
      </c>
      <c r="B3508" s="6" t="s">
        <v>20</v>
      </c>
      <c r="C3508" s="6" t="s">
        <v>33</v>
      </c>
      <c r="D3508" s="5">
        <v>46023</v>
      </c>
      <c r="E3508" s="6" t="s">
        <v>15</v>
      </c>
      <c r="F3508" s="7">
        <v>4022</v>
      </c>
      <c r="G3508" s="7">
        <v>175213.90551964199</v>
      </c>
      <c r="H3508" s="7">
        <v>704710328</v>
      </c>
      <c r="I3508" s="7">
        <v>91401236</v>
      </c>
      <c r="J3508" s="7">
        <v>0</v>
      </c>
      <c r="K3508">
        <f t="shared" si="54"/>
        <v>59</v>
      </c>
      <c r="L3508" s="8" t="str" cm="1">
        <f t="array" ref="L3508">_xlfn.IFS(
 AND(K3508&gt;=89,K3508&lt;=92),"3개월",
 AND(K3508&gt;=58,K3508&lt;=62),"2개월",
 AND(K3508&gt;=28,K3508&lt;=32),"1개월",
 AND(K3508=0),"당월",
 TRUE,"그외"
)</f>
        <v>2개월</v>
      </c>
    </row>
    <row r="3509" spans="1:12" x14ac:dyDescent="0.3">
      <c r="A3509" s="5">
        <v>46082</v>
      </c>
      <c r="B3509" s="6" t="s">
        <v>20</v>
      </c>
      <c r="C3509" s="6" t="s">
        <v>33</v>
      </c>
      <c r="D3509" s="5">
        <v>46054</v>
      </c>
      <c r="E3509" s="6" t="s">
        <v>14</v>
      </c>
      <c r="F3509" s="7">
        <v>1074</v>
      </c>
      <c r="G3509" s="7">
        <v>153315.19739292361</v>
      </c>
      <c r="H3509" s="7">
        <v>164660522</v>
      </c>
      <c r="I3509" s="7">
        <v>17756155</v>
      </c>
      <c r="J3509" s="7">
        <v>0</v>
      </c>
      <c r="K3509">
        <f t="shared" si="54"/>
        <v>28</v>
      </c>
      <c r="L3509" s="8" t="str" cm="1">
        <f t="array" ref="L3509">_xlfn.IFS(
 AND(K3509&gt;=89,K3509&lt;=92),"3개월",
 AND(K3509&gt;=58,K3509&lt;=62),"2개월",
 AND(K3509&gt;=28,K3509&lt;=32),"1개월",
 AND(K3509=0),"당월",
 TRUE,"그외"
)</f>
        <v>1개월</v>
      </c>
    </row>
    <row r="3510" spans="1:12" x14ac:dyDescent="0.3">
      <c r="A3510" s="5">
        <v>46082</v>
      </c>
      <c r="B3510" s="6" t="s">
        <v>20</v>
      </c>
      <c r="C3510" s="6" t="s">
        <v>33</v>
      </c>
      <c r="D3510" s="5">
        <v>46054</v>
      </c>
      <c r="E3510" s="6" t="s">
        <v>15</v>
      </c>
      <c r="F3510" s="7">
        <v>8653</v>
      </c>
      <c r="G3510" s="7">
        <v>157500.80376747949</v>
      </c>
      <c r="H3510" s="7">
        <v>1362854455</v>
      </c>
      <c r="I3510" s="7">
        <v>158484730</v>
      </c>
      <c r="J3510" s="7">
        <v>0</v>
      </c>
      <c r="K3510">
        <f t="shared" si="54"/>
        <v>28</v>
      </c>
      <c r="L3510" s="8" t="str" cm="1">
        <f t="array" ref="L3510">_xlfn.IFS(
 AND(K3510&gt;=89,K3510&lt;=92),"3개월",
 AND(K3510&gt;=58,K3510&lt;=62),"2개월",
 AND(K3510&gt;=28,K3510&lt;=32),"1개월",
 AND(K3510=0),"당월",
 TRUE,"그외"
)</f>
        <v>1개월</v>
      </c>
    </row>
    <row r="3511" spans="1:12" x14ac:dyDescent="0.3">
      <c r="A3511" s="5">
        <v>46082</v>
      </c>
      <c r="B3511" s="6" t="s">
        <v>20</v>
      </c>
      <c r="C3511" s="6" t="s">
        <v>33</v>
      </c>
      <c r="D3511" s="5">
        <v>46082</v>
      </c>
      <c r="E3511" s="6" t="s">
        <v>14</v>
      </c>
      <c r="F3511" s="7">
        <v>1240</v>
      </c>
      <c r="G3511" s="7">
        <v>149764.03387096769</v>
      </c>
      <c r="H3511" s="7">
        <v>185707402</v>
      </c>
      <c r="I3511" s="7">
        <v>24698791</v>
      </c>
      <c r="J3511" s="7">
        <v>0</v>
      </c>
      <c r="K3511">
        <f t="shared" si="54"/>
        <v>0</v>
      </c>
      <c r="L3511" s="8" t="str" cm="1">
        <f t="array" ref="L3511">_xlfn.IFS(
 AND(K3511&gt;=89,K3511&lt;=92),"3개월",
 AND(K3511&gt;=58,K3511&lt;=62),"2개월",
 AND(K3511&gt;=28,K3511&lt;=32),"1개월",
 AND(K3511=0),"당월",
 TRUE,"그외"
)</f>
        <v>당월</v>
      </c>
    </row>
    <row r="3512" spans="1:12" x14ac:dyDescent="0.3">
      <c r="A3512" s="5">
        <v>46082</v>
      </c>
      <c r="B3512" s="6" t="s">
        <v>20</v>
      </c>
      <c r="C3512" s="6" t="s">
        <v>33</v>
      </c>
      <c r="D3512" s="5">
        <v>46082</v>
      </c>
      <c r="E3512" s="6" t="s">
        <v>15</v>
      </c>
      <c r="F3512" s="7">
        <v>5285</v>
      </c>
      <c r="G3512" s="7">
        <v>188950.90482497629</v>
      </c>
      <c r="H3512" s="7">
        <v>998605532</v>
      </c>
      <c r="I3512" s="7">
        <v>114398666</v>
      </c>
      <c r="J3512" s="7">
        <v>0</v>
      </c>
      <c r="K3512">
        <f t="shared" si="54"/>
        <v>0</v>
      </c>
      <c r="L3512" s="8" t="str" cm="1">
        <f t="array" ref="L3512">_xlfn.IFS(
 AND(K3512&gt;=89,K3512&lt;=92),"3개월",
 AND(K3512&gt;=58,K3512&lt;=62),"2개월",
 AND(K3512&gt;=28,K3512&lt;=32),"1개월",
 AND(K3512=0),"당월",
 TRUE,"그외"
)</f>
        <v>당월</v>
      </c>
    </row>
    <row r="3513" spans="1:12" x14ac:dyDescent="0.3">
      <c r="A3513" s="5">
        <v>46082</v>
      </c>
      <c r="B3513" s="6" t="s">
        <v>20</v>
      </c>
      <c r="C3513" s="6" t="s">
        <v>34</v>
      </c>
      <c r="D3513" s="5">
        <v>46082</v>
      </c>
      <c r="E3513" s="6" t="s">
        <v>14</v>
      </c>
      <c r="F3513" s="7">
        <v>109</v>
      </c>
      <c r="G3513" s="7">
        <v>68396.366972477059</v>
      </c>
      <c r="H3513" s="7">
        <v>7455204</v>
      </c>
      <c r="I3513" s="7">
        <v>3757602</v>
      </c>
      <c r="J3513" s="7">
        <v>0</v>
      </c>
      <c r="K3513">
        <f t="shared" si="54"/>
        <v>0</v>
      </c>
      <c r="L3513" s="8" t="str" cm="1">
        <f t="array" ref="L3513">_xlfn.IFS(
 AND(K3513&gt;=89,K3513&lt;=92),"3개월",
 AND(K3513&gt;=58,K3513&lt;=62),"2개월",
 AND(K3513&gt;=28,K3513&lt;=32),"1개월",
 AND(K3513=0),"당월",
 TRUE,"그외"
)</f>
        <v>당월</v>
      </c>
    </row>
    <row r="3514" spans="1:12" x14ac:dyDescent="0.3">
      <c r="A3514" s="5">
        <v>46082</v>
      </c>
      <c r="B3514" s="6" t="s">
        <v>20</v>
      </c>
      <c r="C3514" s="6" t="s">
        <v>34</v>
      </c>
      <c r="D3514" s="5">
        <v>46082</v>
      </c>
      <c r="E3514" s="6" t="s">
        <v>15</v>
      </c>
      <c r="F3514" s="7">
        <v>810</v>
      </c>
      <c r="G3514" s="7">
        <v>158821.44567901231</v>
      </c>
      <c r="H3514" s="7">
        <v>128645371</v>
      </c>
      <c r="I3514" s="7">
        <v>18802030</v>
      </c>
      <c r="J3514" s="7">
        <v>0</v>
      </c>
      <c r="K3514">
        <f t="shared" si="54"/>
        <v>0</v>
      </c>
      <c r="L3514" s="8" t="str" cm="1">
        <f t="array" ref="L3514">_xlfn.IFS(
 AND(K3514&gt;=89,K3514&lt;=92),"3개월",
 AND(K3514&gt;=58,K3514&lt;=62),"2개월",
 AND(K3514&gt;=28,K3514&lt;=32),"1개월",
 AND(K3514=0),"당월",
 TRUE,"그외"
)</f>
        <v>당월</v>
      </c>
    </row>
    <row r="3515" spans="1:12" x14ac:dyDescent="0.3">
      <c r="A3515" s="5">
        <v>46082</v>
      </c>
      <c r="B3515" s="6" t="s">
        <v>20</v>
      </c>
      <c r="C3515" s="6" t="s">
        <v>35</v>
      </c>
      <c r="D3515" s="5">
        <v>45839</v>
      </c>
      <c r="E3515" s="6" t="s">
        <v>15</v>
      </c>
      <c r="F3515" s="7">
        <v>93</v>
      </c>
      <c r="G3515" s="7">
        <v>94105.451612903227</v>
      </c>
      <c r="H3515" s="7">
        <v>8751807</v>
      </c>
      <c r="I3515" s="7">
        <v>1652105</v>
      </c>
      <c r="J3515" s="7">
        <v>0</v>
      </c>
      <c r="K3515">
        <f t="shared" si="54"/>
        <v>243</v>
      </c>
      <c r="L3515" s="8" t="str" cm="1">
        <f t="array" ref="L3515">_xlfn.IFS(
 AND(K3515&gt;=89,K3515&lt;=92),"3개월",
 AND(K3515&gt;=58,K3515&lt;=62),"2개월",
 AND(K3515&gt;=28,K3515&lt;=32),"1개월",
 AND(K3515=0),"당월",
 TRUE,"그외"
)</f>
        <v>그외</v>
      </c>
    </row>
    <row r="3516" spans="1:12" x14ac:dyDescent="0.3">
      <c r="A3516" s="5">
        <v>46082</v>
      </c>
      <c r="B3516" s="6" t="s">
        <v>20</v>
      </c>
      <c r="C3516" s="6" t="s">
        <v>35</v>
      </c>
      <c r="D3516" s="5">
        <v>45870</v>
      </c>
      <c r="E3516" s="6" t="s">
        <v>15</v>
      </c>
      <c r="F3516" s="7">
        <v>149</v>
      </c>
      <c r="G3516" s="7">
        <v>106664.0536912752</v>
      </c>
      <c r="H3516" s="7">
        <v>15892944</v>
      </c>
      <c r="I3516" s="7">
        <v>2637936</v>
      </c>
      <c r="J3516" s="7">
        <v>0</v>
      </c>
      <c r="K3516">
        <f t="shared" si="54"/>
        <v>212</v>
      </c>
      <c r="L3516" s="8" t="str" cm="1">
        <f t="array" ref="L3516">_xlfn.IFS(
 AND(K3516&gt;=89,K3516&lt;=92),"3개월",
 AND(K3516&gt;=58,K3516&lt;=62),"2개월",
 AND(K3516&gt;=28,K3516&lt;=32),"1개월",
 AND(K3516=0),"당월",
 TRUE,"그외"
)</f>
        <v>그외</v>
      </c>
    </row>
    <row r="3517" spans="1:12" x14ac:dyDescent="0.3">
      <c r="A3517" s="5">
        <v>46082</v>
      </c>
      <c r="B3517" s="6" t="s">
        <v>20</v>
      </c>
      <c r="C3517" s="6" t="s">
        <v>35</v>
      </c>
      <c r="D3517" s="5">
        <v>45901</v>
      </c>
      <c r="E3517" s="6" t="s">
        <v>15</v>
      </c>
      <c r="F3517" s="7">
        <v>103</v>
      </c>
      <c r="G3517" s="7">
        <v>101945.14563106799</v>
      </c>
      <c r="H3517" s="7">
        <v>10500350</v>
      </c>
      <c r="I3517" s="7">
        <v>1889102</v>
      </c>
      <c r="J3517" s="7">
        <v>0</v>
      </c>
      <c r="K3517">
        <f t="shared" si="54"/>
        <v>181</v>
      </c>
      <c r="L3517" s="8" t="str" cm="1">
        <f t="array" ref="L3517">_xlfn.IFS(
 AND(K3517&gt;=89,K3517&lt;=92),"3개월",
 AND(K3517&gt;=58,K3517&lt;=62),"2개월",
 AND(K3517&gt;=28,K3517&lt;=32),"1개월",
 AND(K3517=0),"당월",
 TRUE,"그외"
)</f>
        <v>그외</v>
      </c>
    </row>
    <row r="3518" spans="1:12" x14ac:dyDescent="0.3">
      <c r="A3518" s="5">
        <v>46082</v>
      </c>
      <c r="B3518" s="6" t="s">
        <v>20</v>
      </c>
      <c r="C3518" s="6" t="s">
        <v>35</v>
      </c>
      <c r="D3518" s="5">
        <v>45931</v>
      </c>
      <c r="E3518" s="6" t="s">
        <v>15</v>
      </c>
      <c r="F3518" s="7">
        <v>352</v>
      </c>
      <c r="G3518" s="7">
        <v>153908.1875</v>
      </c>
      <c r="H3518" s="7">
        <v>54175682</v>
      </c>
      <c r="I3518" s="7">
        <v>7652049</v>
      </c>
      <c r="J3518" s="7">
        <v>0</v>
      </c>
      <c r="K3518">
        <f t="shared" si="54"/>
        <v>151</v>
      </c>
      <c r="L3518" s="8" t="str" cm="1">
        <f t="array" ref="L3518">_xlfn.IFS(
 AND(K3518&gt;=89,K3518&lt;=92),"3개월",
 AND(K3518&gt;=58,K3518&lt;=62),"2개월",
 AND(K3518&gt;=28,K3518&lt;=32),"1개월",
 AND(K3518=0),"당월",
 TRUE,"그외"
)</f>
        <v>그외</v>
      </c>
    </row>
    <row r="3519" spans="1:12" x14ac:dyDescent="0.3">
      <c r="A3519" s="5">
        <v>46082</v>
      </c>
      <c r="B3519" s="6" t="s">
        <v>20</v>
      </c>
      <c r="C3519" s="6" t="s">
        <v>35</v>
      </c>
      <c r="D3519" s="5">
        <v>45962</v>
      </c>
      <c r="E3519" s="6" t="s">
        <v>14</v>
      </c>
      <c r="F3519" s="7">
        <v>37</v>
      </c>
      <c r="G3519" s="7">
        <v>222028.64864864861</v>
      </c>
      <c r="H3519" s="7">
        <v>8215060</v>
      </c>
      <c r="I3519" s="7">
        <v>661843</v>
      </c>
      <c r="J3519" s="7">
        <v>0</v>
      </c>
      <c r="K3519">
        <f t="shared" si="54"/>
        <v>120</v>
      </c>
      <c r="L3519" s="8" t="str" cm="1">
        <f t="array" ref="L3519">_xlfn.IFS(
 AND(K3519&gt;=89,K3519&lt;=92),"3개월",
 AND(K3519&gt;=58,K3519&lt;=62),"2개월",
 AND(K3519&gt;=28,K3519&lt;=32),"1개월",
 AND(K3519=0),"당월",
 TRUE,"그외"
)</f>
        <v>그외</v>
      </c>
    </row>
    <row r="3520" spans="1:12" x14ac:dyDescent="0.3">
      <c r="A3520" s="5">
        <v>46082</v>
      </c>
      <c r="B3520" s="6" t="s">
        <v>20</v>
      </c>
      <c r="C3520" s="6" t="s">
        <v>35</v>
      </c>
      <c r="D3520" s="5">
        <v>45962</v>
      </c>
      <c r="E3520" s="6" t="s">
        <v>15</v>
      </c>
      <c r="F3520" s="7">
        <v>609</v>
      </c>
      <c r="G3520" s="7">
        <v>174573.75533661741</v>
      </c>
      <c r="H3520" s="7">
        <v>106315417</v>
      </c>
      <c r="I3520" s="7">
        <v>12647258</v>
      </c>
      <c r="J3520" s="7">
        <v>0</v>
      </c>
      <c r="K3520">
        <f t="shared" si="54"/>
        <v>120</v>
      </c>
      <c r="L3520" s="8" t="str" cm="1">
        <f t="array" ref="L3520">_xlfn.IFS(
 AND(K3520&gt;=89,K3520&lt;=92),"3개월",
 AND(K3520&gt;=58,K3520&lt;=62),"2개월",
 AND(K3520&gt;=28,K3520&lt;=32),"1개월",
 AND(K3520=0),"당월",
 TRUE,"그외"
)</f>
        <v>그외</v>
      </c>
    </row>
    <row r="3521" spans="1:12" x14ac:dyDescent="0.3">
      <c r="A3521" s="5">
        <v>46082</v>
      </c>
      <c r="B3521" s="6" t="s">
        <v>20</v>
      </c>
      <c r="C3521" s="6" t="s">
        <v>35</v>
      </c>
      <c r="D3521" s="5">
        <v>45992</v>
      </c>
      <c r="E3521" s="6" t="s">
        <v>14</v>
      </c>
      <c r="F3521" s="7">
        <v>606</v>
      </c>
      <c r="G3521" s="7">
        <v>127329.0231023102</v>
      </c>
      <c r="H3521" s="7">
        <v>77161388</v>
      </c>
      <c r="I3521" s="7">
        <v>12385212</v>
      </c>
      <c r="J3521" s="7">
        <v>0</v>
      </c>
      <c r="K3521">
        <f t="shared" si="54"/>
        <v>90</v>
      </c>
      <c r="L3521" s="8" t="str" cm="1">
        <f t="array" ref="L3521">_xlfn.IFS(
 AND(K3521&gt;=89,K3521&lt;=92),"3개월",
 AND(K3521&gt;=58,K3521&lt;=62),"2개월",
 AND(K3521&gt;=28,K3521&lt;=32),"1개월",
 AND(K3521=0),"당월",
 TRUE,"그외"
)</f>
        <v>3개월</v>
      </c>
    </row>
    <row r="3522" spans="1:12" x14ac:dyDescent="0.3">
      <c r="A3522" s="5">
        <v>46082</v>
      </c>
      <c r="B3522" s="6" t="s">
        <v>20</v>
      </c>
      <c r="C3522" s="6" t="s">
        <v>35</v>
      </c>
      <c r="D3522" s="5">
        <v>45992</v>
      </c>
      <c r="E3522" s="6" t="s">
        <v>15</v>
      </c>
      <c r="F3522" s="7">
        <v>733</v>
      </c>
      <c r="G3522" s="7">
        <v>198855.60163710779</v>
      </c>
      <c r="H3522" s="7">
        <v>145761156</v>
      </c>
      <c r="I3522" s="7">
        <v>16863152</v>
      </c>
      <c r="J3522" s="7">
        <v>0</v>
      </c>
      <c r="K3522">
        <f t="shared" si="54"/>
        <v>90</v>
      </c>
      <c r="L3522" s="8" t="str" cm="1">
        <f t="array" ref="L3522">_xlfn.IFS(
 AND(K3522&gt;=89,K3522&lt;=92),"3개월",
 AND(K3522&gt;=58,K3522&lt;=62),"2개월",
 AND(K3522&gt;=28,K3522&lt;=32),"1개월",
 AND(K3522=0),"당월",
 TRUE,"그외"
)</f>
        <v>3개월</v>
      </c>
    </row>
    <row r="3523" spans="1:12" x14ac:dyDescent="0.3">
      <c r="A3523" s="5">
        <v>46082</v>
      </c>
      <c r="B3523" s="6" t="s">
        <v>20</v>
      </c>
      <c r="C3523" s="6" t="s">
        <v>35</v>
      </c>
      <c r="D3523" s="5">
        <v>46023</v>
      </c>
      <c r="E3523" s="6" t="s">
        <v>14</v>
      </c>
      <c r="F3523" s="7">
        <v>427</v>
      </c>
      <c r="G3523" s="7">
        <v>200153.1030444965</v>
      </c>
      <c r="H3523" s="7">
        <v>85465375</v>
      </c>
      <c r="I3523" s="7">
        <v>8918265</v>
      </c>
      <c r="J3523" s="7">
        <v>0</v>
      </c>
      <c r="K3523">
        <f t="shared" si="54"/>
        <v>59</v>
      </c>
      <c r="L3523" s="8" t="str" cm="1">
        <f t="array" ref="L3523">_xlfn.IFS(
 AND(K3523&gt;=89,K3523&lt;=92),"3개월",
 AND(K3523&gt;=58,K3523&lt;=62),"2개월",
 AND(K3523&gt;=28,K3523&lt;=32),"1개월",
 AND(K3523=0),"당월",
 TRUE,"그외"
)</f>
        <v>2개월</v>
      </c>
    </row>
    <row r="3524" spans="1:12" x14ac:dyDescent="0.3">
      <c r="A3524" s="5">
        <v>46082</v>
      </c>
      <c r="B3524" s="6" t="s">
        <v>20</v>
      </c>
      <c r="C3524" s="6" t="s">
        <v>35</v>
      </c>
      <c r="D3524" s="5">
        <v>46023</v>
      </c>
      <c r="E3524" s="6" t="s">
        <v>15</v>
      </c>
      <c r="F3524" s="7">
        <v>1816</v>
      </c>
      <c r="G3524" s="7">
        <v>200865.02257709249</v>
      </c>
      <c r="H3524" s="7">
        <v>364770881</v>
      </c>
      <c r="I3524" s="7">
        <v>43160924</v>
      </c>
      <c r="J3524" s="7">
        <v>0</v>
      </c>
      <c r="K3524">
        <f t="shared" si="54"/>
        <v>59</v>
      </c>
      <c r="L3524" s="8" t="str" cm="1">
        <f t="array" ref="L3524">_xlfn.IFS(
 AND(K3524&gt;=89,K3524&lt;=92),"3개월",
 AND(K3524&gt;=58,K3524&lt;=62),"2개월",
 AND(K3524&gt;=28,K3524&lt;=32),"1개월",
 AND(K3524=0),"당월",
 TRUE,"그외"
)</f>
        <v>2개월</v>
      </c>
    </row>
    <row r="3525" spans="1:12" x14ac:dyDescent="0.3">
      <c r="A3525" s="5">
        <v>46082</v>
      </c>
      <c r="B3525" s="6" t="s">
        <v>20</v>
      </c>
      <c r="C3525" s="6" t="s">
        <v>35</v>
      </c>
      <c r="D3525" s="5">
        <v>46054</v>
      </c>
      <c r="E3525" s="6" t="s">
        <v>14</v>
      </c>
      <c r="F3525" s="7">
        <v>1771</v>
      </c>
      <c r="G3525" s="7">
        <v>172715.55731225299</v>
      </c>
      <c r="H3525" s="7">
        <v>305879252</v>
      </c>
      <c r="I3525" s="7">
        <v>27193990</v>
      </c>
      <c r="J3525" s="7">
        <v>0</v>
      </c>
      <c r="K3525">
        <f t="shared" si="54"/>
        <v>28</v>
      </c>
      <c r="L3525" s="8" t="str" cm="1">
        <f t="array" ref="L3525">_xlfn.IFS(
 AND(K3525&gt;=89,K3525&lt;=92),"3개월",
 AND(K3525&gt;=58,K3525&lt;=62),"2개월",
 AND(K3525&gt;=28,K3525&lt;=32),"1개월",
 AND(K3525=0),"당월",
 TRUE,"그외"
)</f>
        <v>1개월</v>
      </c>
    </row>
    <row r="3526" spans="1:12" x14ac:dyDescent="0.3">
      <c r="A3526" s="5">
        <v>46082</v>
      </c>
      <c r="B3526" s="6" t="s">
        <v>20</v>
      </c>
      <c r="C3526" s="6" t="s">
        <v>35</v>
      </c>
      <c r="D3526" s="5">
        <v>46054</v>
      </c>
      <c r="E3526" s="6" t="s">
        <v>15</v>
      </c>
      <c r="F3526" s="7">
        <v>2320</v>
      </c>
      <c r="G3526" s="7">
        <v>176966.74655172421</v>
      </c>
      <c r="H3526" s="7">
        <v>410562852</v>
      </c>
      <c r="I3526" s="7">
        <v>50651435</v>
      </c>
      <c r="J3526" s="7">
        <v>0</v>
      </c>
      <c r="K3526">
        <f t="shared" si="54"/>
        <v>28</v>
      </c>
      <c r="L3526" s="8" t="str" cm="1">
        <f t="array" ref="L3526">_xlfn.IFS(
 AND(K3526&gt;=89,K3526&lt;=92),"3개월",
 AND(K3526&gt;=58,K3526&lt;=62),"2개월",
 AND(K3526&gt;=28,K3526&lt;=32),"1개월",
 AND(K3526=0),"당월",
 TRUE,"그외"
)</f>
        <v>1개월</v>
      </c>
    </row>
    <row r="3527" spans="1:12" x14ac:dyDescent="0.3">
      <c r="A3527" s="5">
        <v>46082</v>
      </c>
      <c r="B3527" s="6" t="s">
        <v>20</v>
      </c>
      <c r="C3527" s="6" t="s">
        <v>35</v>
      </c>
      <c r="D3527" s="5">
        <v>46082</v>
      </c>
      <c r="E3527" s="6" t="s">
        <v>14</v>
      </c>
      <c r="F3527" s="7">
        <v>274</v>
      </c>
      <c r="G3527" s="7">
        <v>181911.4671532847</v>
      </c>
      <c r="H3527" s="7">
        <v>49843742</v>
      </c>
      <c r="I3527" s="7">
        <v>5046030</v>
      </c>
      <c r="J3527" s="7">
        <v>0</v>
      </c>
      <c r="K3527">
        <f t="shared" si="54"/>
        <v>0</v>
      </c>
      <c r="L3527" s="8" t="str" cm="1">
        <f t="array" ref="L3527">_xlfn.IFS(
 AND(K3527&gt;=89,K3527&lt;=92),"3개월",
 AND(K3527&gt;=58,K3527&lt;=62),"2개월",
 AND(K3527&gt;=28,K3527&lt;=32),"1개월",
 AND(K3527=0),"당월",
 TRUE,"그외"
)</f>
        <v>당월</v>
      </c>
    </row>
    <row r="3528" spans="1:12" x14ac:dyDescent="0.3">
      <c r="A3528" s="5">
        <v>46082</v>
      </c>
      <c r="B3528" s="6" t="s">
        <v>20</v>
      </c>
      <c r="C3528" s="6" t="s">
        <v>35</v>
      </c>
      <c r="D3528" s="5">
        <v>46082</v>
      </c>
      <c r="E3528" s="6" t="s">
        <v>15</v>
      </c>
      <c r="F3528" s="7">
        <v>2665</v>
      </c>
      <c r="G3528" s="7">
        <v>155705.89831144459</v>
      </c>
      <c r="H3528" s="7">
        <v>414956219</v>
      </c>
      <c r="I3528" s="7">
        <v>60450169</v>
      </c>
      <c r="J3528" s="7">
        <v>0</v>
      </c>
      <c r="K3528">
        <f t="shared" si="54"/>
        <v>0</v>
      </c>
      <c r="L3528" s="8" t="str" cm="1">
        <f t="array" ref="L3528">_xlfn.IFS(
 AND(K3528&gt;=89,K3528&lt;=92),"3개월",
 AND(K3528&gt;=58,K3528&lt;=62),"2개월",
 AND(K3528&gt;=28,K3528&lt;=32),"1개월",
 AND(K3528=0),"당월",
 TRUE,"그외"
)</f>
        <v>당월</v>
      </c>
    </row>
    <row r="3529" spans="1:12" x14ac:dyDescent="0.3">
      <c r="A3529" s="5">
        <v>46082</v>
      </c>
      <c r="B3529" s="6" t="s">
        <v>20</v>
      </c>
      <c r="C3529" s="6" t="s">
        <v>98</v>
      </c>
      <c r="D3529" s="5">
        <v>45962</v>
      </c>
      <c r="E3529" s="6" t="s">
        <v>15</v>
      </c>
      <c r="F3529" s="7">
        <v>3</v>
      </c>
      <c r="G3529" s="7">
        <v>365233.33333333331</v>
      </c>
      <c r="H3529" s="7">
        <v>1095700</v>
      </c>
      <c r="I3529" s="7">
        <v>50700</v>
      </c>
      <c r="J3529" s="7">
        <v>0</v>
      </c>
      <c r="K3529">
        <f t="shared" si="54"/>
        <v>120</v>
      </c>
      <c r="L3529" s="8" t="str" cm="1">
        <f t="array" ref="L3529">_xlfn.IFS(
 AND(K3529&gt;=89,K3529&lt;=92),"3개월",
 AND(K3529&gt;=58,K3529&lt;=62),"2개월",
 AND(K3529&gt;=28,K3529&lt;=32),"1개월",
 AND(K3529=0),"당월",
 TRUE,"그외"
)</f>
        <v>그외</v>
      </c>
    </row>
    <row r="3530" spans="1:12" x14ac:dyDescent="0.3">
      <c r="A3530" s="5">
        <v>46082</v>
      </c>
      <c r="B3530" s="6" t="s">
        <v>20</v>
      </c>
      <c r="C3530" s="6" t="s">
        <v>98</v>
      </c>
      <c r="D3530" s="5">
        <v>45992</v>
      </c>
      <c r="E3530" s="6" t="s">
        <v>15</v>
      </c>
      <c r="F3530" s="7">
        <v>18</v>
      </c>
      <c r="G3530" s="7">
        <v>294683.44444444438</v>
      </c>
      <c r="H3530" s="7">
        <v>5304302</v>
      </c>
      <c r="I3530" s="7">
        <v>399084</v>
      </c>
      <c r="J3530" s="7">
        <v>0</v>
      </c>
      <c r="K3530">
        <f t="shared" ref="K3530:K3593" si="55">A3530-D3530</f>
        <v>90</v>
      </c>
      <c r="L3530" s="8" t="str" cm="1">
        <f t="array" ref="L3530">_xlfn.IFS(
 AND(K3530&gt;=89,K3530&lt;=92),"3개월",
 AND(K3530&gt;=58,K3530&lt;=62),"2개월",
 AND(K3530&gt;=28,K3530&lt;=32),"1개월",
 AND(K3530=0),"당월",
 TRUE,"그외"
)</f>
        <v>3개월</v>
      </c>
    </row>
    <row r="3531" spans="1:12" x14ac:dyDescent="0.3">
      <c r="A3531" s="5">
        <v>46082</v>
      </c>
      <c r="B3531" s="6" t="s">
        <v>20</v>
      </c>
      <c r="C3531" s="6" t="s">
        <v>98</v>
      </c>
      <c r="D3531" s="5">
        <v>46023</v>
      </c>
      <c r="E3531" s="6" t="s">
        <v>15</v>
      </c>
      <c r="F3531" s="7">
        <v>51</v>
      </c>
      <c r="G3531" s="7">
        <v>288189.62745098042</v>
      </c>
      <c r="H3531" s="7">
        <v>14697671</v>
      </c>
      <c r="I3531" s="7">
        <v>1138277</v>
      </c>
      <c r="J3531" s="7">
        <v>0</v>
      </c>
      <c r="K3531">
        <f t="shared" si="55"/>
        <v>59</v>
      </c>
      <c r="L3531" s="8" t="str" cm="1">
        <f t="array" ref="L3531">_xlfn.IFS(
 AND(K3531&gt;=89,K3531&lt;=92),"3개월",
 AND(K3531&gt;=58,K3531&lt;=62),"2개월",
 AND(K3531&gt;=28,K3531&lt;=32),"1개월",
 AND(K3531=0),"당월",
 TRUE,"그외"
)</f>
        <v>2개월</v>
      </c>
    </row>
    <row r="3532" spans="1:12" x14ac:dyDescent="0.3">
      <c r="A3532" s="5">
        <v>46082</v>
      </c>
      <c r="B3532" s="6" t="s">
        <v>20</v>
      </c>
      <c r="C3532" s="6" t="s">
        <v>98</v>
      </c>
      <c r="D3532" s="5">
        <v>46054</v>
      </c>
      <c r="E3532" s="6" t="s">
        <v>14</v>
      </c>
      <c r="F3532" s="7">
        <v>61</v>
      </c>
      <c r="G3532" s="7">
        <v>305290.16393442621</v>
      </c>
      <c r="H3532" s="7">
        <v>18622700</v>
      </c>
      <c r="I3532" s="7">
        <v>896700</v>
      </c>
      <c r="J3532" s="7">
        <v>0</v>
      </c>
      <c r="K3532">
        <f t="shared" si="55"/>
        <v>28</v>
      </c>
      <c r="L3532" s="8" t="str" cm="1">
        <f t="array" ref="L3532">_xlfn.IFS(
 AND(K3532&gt;=89,K3532&lt;=92),"3개월",
 AND(K3532&gt;=58,K3532&lt;=62),"2개월",
 AND(K3532&gt;=28,K3532&lt;=32),"1개월",
 AND(K3532=0),"당월",
 TRUE,"그외"
)</f>
        <v>1개월</v>
      </c>
    </row>
    <row r="3533" spans="1:12" x14ac:dyDescent="0.3">
      <c r="A3533" s="5">
        <v>46082</v>
      </c>
      <c r="B3533" s="6" t="s">
        <v>20</v>
      </c>
      <c r="C3533" s="6" t="s">
        <v>98</v>
      </c>
      <c r="D3533" s="5">
        <v>46054</v>
      </c>
      <c r="E3533" s="6" t="s">
        <v>15</v>
      </c>
      <c r="F3533" s="7">
        <v>42</v>
      </c>
      <c r="G3533" s="7">
        <v>258560.57142857139</v>
      </c>
      <c r="H3533" s="7">
        <v>10859544</v>
      </c>
      <c r="I3533" s="7">
        <v>905284</v>
      </c>
      <c r="J3533" s="7">
        <v>0</v>
      </c>
      <c r="K3533">
        <f t="shared" si="55"/>
        <v>28</v>
      </c>
      <c r="L3533" s="8" t="str" cm="1">
        <f t="array" ref="L3533">_xlfn.IFS(
 AND(K3533&gt;=89,K3533&lt;=92),"3개월",
 AND(K3533&gt;=58,K3533&lt;=62),"2개월",
 AND(K3533&gt;=28,K3533&lt;=32),"1개월",
 AND(K3533=0),"당월",
 TRUE,"그외"
)</f>
        <v>1개월</v>
      </c>
    </row>
    <row r="3534" spans="1:12" x14ac:dyDescent="0.3">
      <c r="A3534" s="5">
        <v>46082</v>
      </c>
      <c r="B3534" s="6" t="s">
        <v>20</v>
      </c>
      <c r="C3534" s="6" t="s">
        <v>98</v>
      </c>
      <c r="D3534" s="5">
        <v>46082</v>
      </c>
      <c r="E3534" s="6" t="s">
        <v>15</v>
      </c>
      <c r="F3534" s="7">
        <v>3</v>
      </c>
      <c r="G3534" s="7">
        <v>268498.66666666669</v>
      </c>
      <c r="H3534" s="7">
        <v>805496</v>
      </c>
      <c r="I3534" s="7">
        <v>103845</v>
      </c>
      <c r="J3534" s="7">
        <v>0</v>
      </c>
      <c r="K3534">
        <f t="shared" si="55"/>
        <v>0</v>
      </c>
      <c r="L3534" s="8" t="str" cm="1">
        <f t="array" ref="L3534">_xlfn.IFS(
 AND(K3534&gt;=89,K3534&lt;=92),"3개월",
 AND(K3534&gt;=58,K3534&lt;=62),"2개월",
 AND(K3534&gt;=28,K3534&lt;=32),"1개월",
 AND(K3534=0),"당월",
 TRUE,"그외"
)</f>
        <v>당월</v>
      </c>
    </row>
    <row r="3535" spans="1:12" x14ac:dyDescent="0.3">
      <c r="A3535" s="5">
        <v>46082</v>
      </c>
      <c r="B3535" s="6" t="s">
        <v>20</v>
      </c>
      <c r="C3535" s="6" t="s">
        <v>95</v>
      </c>
      <c r="D3535" s="5">
        <v>45901</v>
      </c>
      <c r="E3535" s="6" t="s">
        <v>15</v>
      </c>
      <c r="F3535" s="7">
        <v>66</v>
      </c>
      <c r="G3535" s="7">
        <v>117004.39393939391</v>
      </c>
      <c r="H3535" s="7">
        <v>7722290</v>
      </c>
      <c r="I3535" s="7">
        <v>1180590</v>
      </c>
      <c r="J3535" s="7">
        <v>0</v>
      </c>
      <c r="K3535">
        <f t="shared" si="55"/>
        <v>181</v>
      </c>
      <c r="L3535" s="8" t="str" cm="1">
        <f t="array" ref="L3535">_xlfn.IFS(
 AND(K3535&gt;=89,K3535&lt;=92),"3개월",
 AND(K3535&gt;=58,K3535&lt;=62),"2개월",
 AND(K3535&gt;=28,K3535&lt;=32),"1개월",
 AND(K3535=0),"당월",
 TRUE,"그외"
)</f>
        <v>그외</v>
      </c>
    </row>
    <row r="3536" spans="1:12" x14ac:dyDescent="0.3">
      <c r="A3536" s="5">
        <v>46082</v>
      </c>
      <c r="B3536" s="6" t="s">
        <v>20</v>
      </c>
      <c r="C3536" s="6" t="s">
        <v>95</v>
      </c>
      <c r="D3536" s="5">
        <v>45931</v>
      </c>
      <c r="E3536" s="6" t="s">
        <v>15</v>
      </c>
      <c r="F3536" s="7">
        <v>84</v>
      </c>
      <c r="G3536" s="7">
        <v>163471.5595238095</v>
      </c>
      <c r="H3536" s="7">
        <v>13731611</v>
      </c>
      <c r="I3536" s="7">
        <v>1563553</v>
      </c>
      <c r="J3536" s="7">
        <v>0</v>
      </c>
      <c r="K3536">
        <f t="shared" si="55"/>
        <v>151</v>
      </c>
      <c r="L3536" s="8" t="str" cm="1">
        <f t="array" ref="L3536">_xlfn.IFS(
 AND(K3536&gt;=89,K3536&lt;=92),"3개월",
 AND(K3536&gt;=58,K3536&lt;=62),"2개월",
 AND(K3536&gt;=28,K3536&lt;=32),"1개월",
 AND(K3536=0),"당월",
 TRUE,"그외"
)</f>
        <v>그외</v>
      </c>
    </row>
    <row r="3537" spans="1:12" x14ac:dyDescent="0.3">
      <c r="A3537" s="5">
        <v>46082</v>
      </c>
      <c r="B3537" s="6" t="s">
        <v>20</v>
      </c>
      <c r="C3537" s="6" t="s">
        <v>95</v>
      </c>
      <c r="D3537" s="5">
        <v>45962</v>
      </c>
      <c r="E3537" s="6" t="s">
        <v>14</v>
      </c>
      <c r="F3537" s="7">
        <v>30</v>
      </c>
      <c r="G3537" s="7">
        <v>294400</v>
      </c>
      <c r="H3537" s="7">
        <v>8832000</v>
      </c>
      <c r="I3537" s="7">
        <v>507000</v>
      </c>
      <c r="J3537" s="7">
        <v>0</v>
      </c>
      <c r="K3537">
        <f t="shared" si="55"/>
        <v>120</v>
      </c>
      <c r="L3537" s="8" t="str" cm="1">
        <f t="array" ref="L3537">_xlfn.IFS(
 AND(K3537&gt;=89,K3537&lt;=92),"3개월",
 AND(K3537&gt;=58,K3537&lt;=62),"2개월",
 AND(K3537&gt;=28,K3537&lt;=32),"1개월",
 AND(K3537=0),"당월",
 TRUE,"그외"
)</f>
        <v>그외</v>
      </c>
    </row>
    <row r="3538" spans="1:12" x14ac:dyDescent="0.3">
      <c r="A3538" s="5">
        <v>46082</v>
      </c>
      <c r="B3538" s="6" t="s">
        <v>20</v>
      </c>
      <c r="C3538" s="6" t="s">
        <v>95</v>
      </c>
      <c r="D3538" s="5">
        <v>45962</v>
      </c>
      <c r="E3538" s="6" t="s">
        <v>15</v>
      </c>
      <c r="F3538" s="7">
        <v>199</v>
      </c>
      <c r="G3538" s="7">
        <v>169748.50251256279</v>
      </c>
      <c r="H3538" s="7">
        <v>33779952</v>
      </c>
      <c r="I3538" s="7">
        <v>3953853</v>
      </c>
      <c r="J3538" s="7">
        <v>0</v>
      </c>
      <c r="K3538">
        <f t="shared" si="55"/>
        <v>120</v>
      </c>
      <c r="L3538" s="8" t="str" cm="1">
        <f t="array" ref="L3538">_xlfn.IFS(
 AND(K3538&gt;=89,K3538&lt;=92),"3개월",
 AND(K3538&gt;=58,K3538&lt;=62),"2개월",
 AND(K3538&gt;=28,K3538&lt;=32),"1개월",
 AND(K3538=0),"당월",
 TRUE,"그외"
)</f>
        <v>그외</v>
      </c>
    </row>
    <row r="3539" spans="1:12" x14ac:dyDescent="0.3">
      <c r="A3539" s="5">
        <v>46082</v>
      </c>
      <c r="B3539" s="6" t="s">
        <v>20</v>
      </c>
      <c r="C3539" s="6" t="s">
        <v>95</v>
      </c>
      <c r="D3539" s="5">
        <v>45992</v>
      </c>
      <c r="E3539" s="6" t="s">
        <v>15</v>
      </c>
      <c r="F3539" s="7">
        <v>345</v>
      </c>
      <c r="G3539" s="7">
        <v>174975.60869565219</v>
      </c>
      <c r="H3539" s="7">
        <v>60366585</v>
      </c>
      <c r="I3539" s="7">
        <v>8050262</v>
      </c>
      <c r="J3539" s="7">
        <v>0</v>
      </c>
      <c r="K3539">
        <f t="shared" si="55"/>
        <v>90</v>
      </c>
      <c r="L3539" s="8" t="str" cm="1">
        <f t="array" ref="L3539">_xlfn.IFS(
 AND(K3539&gt;=89,K3539&lt;=92),"3개월",
 AND(K3539&gt;=58,K3539&lt;=62),"2개월",
 AND(K3539&gt;=28,K3539&lt;=32),"1개월",
 AND(K3539=0),"당월",
 TRUE,"그외"
)</f>
        <v>3개월</v>
      </c>
    </row>
    <row r="3540" spans="1:12" x14ac:dyDescent="0.3">
      <c r="A3540" s="5">
        <v>46082</v>
      </c>
      <c r="B3540" s="6" t="s">
        <v>20</v>
      </c>
      <c r="C3540" s="6" t="s">
        <v>95</v>
      </c>
      <c r="D3540" s="5">
        <v>46023</v>
      </c>
      <c r="E3540" s="6" t="s">
        <v>14</v>
      </c>
      <c r="F3540" s="7">
        <v>170</v>
      </c>
      <c r="G3540" s="7">
        <v>133672.89411764711</v>
      </c>
      <c r="H3540" s="7">
        <v>22724392</v>
      </c>
      <c r="I3540" s="7">
        <v>3568976</v>
      </c>
      <c r="J3540" s="7">
        <v>0</v>
      </c>
      <c r="K3540">
        <f t="shared" si="55"/>
        <v>59</v>
      </c>
      <c r="L3540" s="8" t="str" cm="1">
        <f t="array" ref="L3540">_xlfn.IFS(
 AND(K3540&gt;=89,K3540&lt;=92),"3개월",
 AND(K3540&gt;=58,K3540&lt;=62),"2개월",
 AND(K3540&gt;=28,K3540&lt;=32),"1개월",
 AND(K3540=0),"당월",
 TRUE,"그외"
)</f>
        <v>2개월</v>
      </c>
    </row>
    <row r="3541" spans="1:12" x14ac:dyDescent="0.3">
      <c r="A3541" s="5">
        <v>46082</v>
      </c>
      <c r="B3541" s="6" t="s">
        <v>20</v>
      </c>
      <c r="C3541" s="6" t="s">
        <v>95</v>
      </c>
      <c r="D3541" s="5">
        <v>46023</v>
      </c>
      <c r="E3541" s="6" t="s">
        <v>15</v>
      </c>
      <c r="F3541" s="7">
        <v>1696</v>
      </c>
      <c r="G3541" s="7">
        <v>157591.4752358491</v>
      </c>
      <c r="H3541" s="7">
        <v>267275142</v>
      </c>
      <c r="I3541" s="7">
        <v>39755399</v>
      </c>
      <c r="J3541" s="7">
        <v>0</v>
      </c>
      <c r="K3541">
        <f t="shared" si="55"/>
        <v>59</v>
      </c>
      <c r="L3541" s="8" t="str" cm="1">
        <f t="array" ref="L3541">_xlfn.IFS(
 AND(K3541&gt;=89,K3541&lt;=92),"3개월",
 AND(K3541&gt;=58,K3541&lt;=62),"2개월",
 AND(K3541&gt;=28,K3541&lt;=32),"1개월",
 AND(K3541=0),"당월",
 TRUE,"그외"
)</f>
        <v>2개월</v>
      </c>
    </row>
    <row r="3542" spans="1:12" x14ac:dyDescent="0.3">
      <c r="A3542" s="5">
        <v>46082</v>
      </c>
      <c r="B3542" s="6" t="s">
        <v>20</v>
      </c>
      <c r="C3542" s="6" t="s">
        <v>95</v>
      </c>
      <c r="D3542" s="5">
        <v>46054</v>
      </c>
      <c r="E3542" s="6" t="s">
        <v>14</v>
      </c>
      <c r="F3542" s="7">
        <v>1113</v>
      </c>
      <c r="G3542" s="7">
        <v>156506.99460916439</v>
      </c>
      <c r="H3542" s="7">
        <v>174192285</v>
      </c>
      <c r="I3542" s="7">
        <v>17961014</v>
      </c>
      <c r="J3542" s="7">
        <v>0</v>
      </c>
      <c r="K3542">
        <f t="shared" si="55"/>
        <v>28</v>
      </c>
      <c r="L3542" s="8" t="str" cm="1">
        <f t="array" ref="L3542">_xlfn.IFS(
 AND(K3542&gt;=89,K3542&lt;=92),"3개월",
 AND(K3542&gt;=58,K3542&lt;=62),"2개월",
 AND(K3542&gt;=28,K3542&lt;=32),"1개월",
 AND(K3542=0),"당월",
 TRUE,"그외"
)</f>
        <v>1개월</v>
      </c>
    </row>
    <row r="3543" spans="1:12" x14ac:dyDescent="0.3">
      <c r="A3543" s="5">
        <v>46082</v>
      </c>
      <c r="B3543" s="6" t="s">
        <v>20</v>
      </c>
      <c r="C3543" s="6" t="s">
        <v>95</v>
      </c>
      <c r="D3543" s="5">
        <v>46054</v>
      </c>
      <c r="E3543" s="6" t="s">
        <v>15</v>
      </c>
      <c r="F3543" s="7">
        <v>3035</v>
      </c>
      <c r="G3543" s="7">
        <v>131401.5364085667</v>
      </c>
      <c r="H3543" s="7">
        <v>398803663</v>
      </c>
      <c r="I3543" s="7">
        <v>62489215</v>
      </c>
      <c r="J3543" s="7">
        <v>0</v>
      </c>
      <c r="K3543">
        <f t="shared" si="55"/>
        <v>28</v>
      </c>
      <c r="L3543" s="8" t="str" cm="1">
        <f t="array" ref="L3543">_xlfn.IFS(
 AND(K3543&gt;=89,K3543&lt;=92),"3개월",
 AND(K3543&gt;=58,K3543&lt;=62),"2개월",
 AND(K3543&gt;=28,K3543&lt;=32),"1개월",
 AND(K3543=0),"당월",
 TRUE,"그외"
)</f>
        <v>1개월</v>
      </c>
    </row>
    <row r="3544" spans="1:12" x14ac:dyDescent="0.3">
      <c r="A3544" s="5">
        <v>46082</v>
      </c>
      <c r="B3544" s="6" t="s">
        <v>20</v>
      </c>
      <c r="C3544" s="6" t="s">
        <v>95</v>
      </c>
      <c r="D3544" s="5">
        <v>46082</v>
      </c>
      <c r="E3544" s="6" t="s">
        <v>14</v>
      </c>
      <c r="F3544" s="7">
        <v>324</v>
      </c>
      <c r="G3544" s="7">
        <v>114996.29629629631</v>
      </c>
      <c r="H3544" s="7">
        <v>37258800</v>
      </c>
      <c r="I3544" s="7">
        <v>5690800</v>
      </c>
      <c r="J3544" s="7">
        <v>0</v>
      </c>
      <c r="K3544">
        <f t="shared" si="55"/>
        <v>0</v>
      </c>
      <c r="L3544" s="8" t="str" cm="1">
        <f t="array" ref="L3544">_xlfn.IFS(
 AND(K3544&gt;=89,K3544&lt;=92),"3개월",
 AND(K3544&gt;=58,K3544&lt;=62),"2개월",
 AND(K3544&gt;=28,K3544&lt;=32),"1개월",
 AND(K3544=0),"당월",
 TRUE,"그외"
)</f>
        <v>당월</v>
      </c>
    </row>
    <row r="3545" spans="1:12" x14ac:dyDescent="0.3">
      <c r="A3545" s="5">
        <v>46082</v>
      </c>
      <c r="B3545" s="6" t="s">
        <v>20</v>
      </c>
      <c r="C3545" s="6" t="s">
        <v>95</v>
      </c>
      <c r="D3545" s="5">
        <v>46082</v>
      </c>
      <c r="E3545" s="6" t="s">
        <v>15</v>
      </c>
      <c r="F3545" s="7">
        <v>1961</v>
      </c>
      <c r="G3545" s="7">
        <v>118902.05201427839</v>
      </c>
      <c r="H3545" s="7">
        <v>233166924</v>
      </c>
      <c r="I3545" s="7">
        <v>46963888</v>
      </c>
      <c r="J3545" s="7">
        <v>0</v>
      </c>
      <c r="K3545">
        <f t="shared" si="55"/>
        <v>0</v>
      </c>
      <c r="L3545" s="8" t="str" cm="1">
        <f t="array" ref="L3545">_xlfn.IFS(
 AND(K3545&gt;=89,K3545&lt;=92),"3개월",
 AND(K3545&gt;=58,K3545&lt;=62),"2개월",
 AND(K3545&gt;=28,K3545&lt;=32),"1개월",
 AND(K3545=0),"당월",
 TRUE,"그외"
)</f>
        <v>당월</v>
      </c>
    </row>
    <row r="3546" spans="1:12" x14ac:dyDescent="0.3">
      <c r="A3546" s="5">
        <v>46082</v>
      </c>
      <c r="B3546" s="6" t="s">
        <v>20</v>
      </c>
      <c r="C3546" s="6" t="s">
        <v>36</v>
      </c>
      <c r="D3546" s="5">
        <v>45839</v>
      </c>
      <c r="E3546" s="6" t="s">
        <v>15</v>
      </c>
      <c r="F3546" s="7">
        <v>66</v>
      </c>
      <c r="G3546" s="7">
        <v>143026.83333333331</v>
      </c>
      <c r="H3546" s="7">
        <v>9439771</v>
      </c>
      <c r="I3546" s="7">
        <v>823430</v>
      </c>
      <c r="J3546" s="7">
        <v>0</v>
      </c>
      <c r="K3546">
        <f t="shared" si="55"/>
        <v>243</v>
      </c>
      <c r="L3546" s="8" t="str" cm="1">
        <f t="array" ref="L3546">_xlfn.IFS(
 AND(K3546&gt;=89,K3546&lt;=92),"3개월",
 AND(K3546&gt;=58,K3546&lt;=62),"2개월",
 AND(K3546&gt;=28,K3546&lt;=32),"1개월",
 AND(K3546=0),"당월",
 TRUE,"그외"
)</f>
        <v>그외</v>
      </c>
    </row>
    <row r="3547" spans="1:12" x14ac:dyDescent="0.3">
      <c r="A3547" s="5">
        <v>46082</v>
      </c>
      <c r="B3547" s="6" t="s">
        <v>20</v>
      </c>
      <c r="C3547" s="6" t="s">
        <v>36</v>
      </c>
      <c r="D3547" s="5">
        <v>45870</v>
      </c>
      <c r="E3547" s="6" t="s">
        <v>15</v>
      </c>
      <c r="F3547" s="7">
        <v>191</v>
      </c>
      <c r="G3547" s="7">
        <v>136964.3926701571</v>
      </c>
      <c r="H3547" s="7">
        <v>26160199</v>
      </c>
      <c r="I3547" s="7">
        <v>3387722</v>
      </c>
      <c r="J3547" s="7">
        <v>0</v>
      </c>
      <c r="K3547">
        <f t="shared" si="55"/>
        <v>212</v>
      </c>
      <c r="L3547" s="8" t="str" cm="1">
        <f t="array" ref="L3547">_xlfn.IFS(
 AND(K3547&gt;=89,K3547&lt;=92),"3개월",
 AND(K3547&gt;=58,K3547&lt;=62),"2개월",
 AND(K3547&gt;=28,K3547&lt;=32),"1개월",
 AND(K3547=0),"당월",
 TRUE,"그외"
)</f>
        <v>그외</v>
      </c>
    </row>
    <row r="3548" spans="1:12" x14ac:dyDescent="0.3">
      <c r="A3548" s="5">
        <v>46082</v>
      </c>
      <c r="B3548" s="6" t="s">
        <v>20</v>
      </c>
      <c r="C3548" s="6" t="s">
        <v>36</v>
      </c>
      <c r="D3548" s="5">
        <v>45901</v>
      </c>
      <c r="E3548" s="6" t="s">
        <v>14</v>
      </c>
      <c r="F3548" s="7">
        <v>8</v>
      </c>
      <c r="G3548" s="7">
        <v>153706</v>
      </c>
      <c r="H3548" s="7">
        <v>1229648</v>
      </c>
      <c r="I3548" s="7">
        <v>173520</v>
      </c>
      <c r="J3548" s="7">
        <v>0</v>
      </c>
      <c r="K3548">
        <f t="shared" si="55"/>
        <v>181</v>
      </c>
      <c r="L3548" s="8" t="str" cm="1">
        <f t="array" ref="L3548">_xlfn.IFS(
 AND(K3548&gt;=89,K3548&lt;=92),"3개월",
 AND(K3548&gt;=58,K3548&lt;=62),"2개월",
 AND(K3548&gt;=28,K3548&lt;=32),"1개월",
 AND(K3548=0),"당월",
 TRUE,"그외"
)</f>
        <v>그외</v>
      </c>
    </row>
    <row r="3549" spans="1:12" x14ac:dyDescent="0.3">
      <c r="A3549" s="5">
        <v>46082</v>
      </c>
      <c r="B3549" s="6" t="s">
        <v>20</v>
      </c>
      <c r="C3549" s="6" t="s">
        <v>36</v>
      </c>
      <c r="D3549" s="5">
        <v>45901</v>
      </c>
      <c r="E3549" s="6" t="s">
        <v>15</v>
      </c>
      <c r="F3549" s="7">
        <v>307</v>
      </c>
      <c r="G3549" s="7">
        <v>131908.28338762221</v>
      </c>
      <c r="H3549" s="7">
        <v>40495843</v>
      </c>
      <c r="I3549" s="7">
        <v>5603820</v>
      </c>
      <c r="J3549" s="7">
        <v>0</v>
      </c>
      <c r="K3549">
        <f t="shared" si="55"/>
        <v>181</v>
      </c>
      <c r="L3549" s="8" t="str" cm="1">
        <f t="array" ref="L3549">_xlfn.IFS(
 AND(K3549&gt;=89,K3549&lt;=92),"3개월",
 AND(K3549&gt;=58,K3549&lt;=62),"2개월",
 AND(K3549&gt;=28,K3549&lt;=32),"1개월",
 AND(K3549=0),"당월",
 TRUE,"그외"
)</f>
        <v>그외</v>
      </c>
    </row>
    <row r="3550" spans="1:12" x14ac:dyDescent="0.3">
      <c r="A3550" s="5">
        <v>46082</v>
      </c>
      <c r="B3550" s="6" t="s">
        <v>20</v>
      </c>
      <c r="C3550" s="6" t="s">
        <v>36</v>
      </c>
      <c r="D3550" s="5">
        <v>45931</v>
      </c>
      <c r="E3550" s="6" t="s">
        <v>15</v>
      </c>
      <c r="F3550" s="7">
        <v>734</v>
      </c>
      <c r="G3550" s="7">
        <v>134046.23705722069</v>
      </c>
      <c r="H3550" s="7">
        <v>98389938</v>
      </c>
      <c r="I3550" s="7">
        <v>14763835</v>
      </c>
      <c r="J3550" s="7">
        <v>0</v>
      </c>
      <c r="K3550">
        <f t="shared" si="55"/>
        <v>151</v>
      </c>
      <c r="L3550" s="8" t="str" cm="1">
        <f t="array" ref="L3550">_xlfn.IFS(
 AND(K3550&gt;=89,K3550&lt;=92),"3개월",
 AND(K3550&gt;=58,K3550&lt;=62),"2개월",
 AND(K3550&gt;=28,K3550&lt;=32),"1개월",
 AND(K3550=0),"당월",
 TRUE,"그외"
)</f>
        <v>그외</v>
      </c>
    </row>
    <row r="3551" spans="1:12" x14ac:dyDescent="0.3">
      <c r="A3551" s="5">
        <v>46082</v>
      </c>
      <c r="B3551" s="6" t="s">
        <v>20</v>
      </c>
      <c r="C3551" s="6" t="s">
        <v>36</v>
      </c>
      <c r="D3551" s="5">
        <v>45962</v>
      </c>
      <c r="E3551" s="6" t="s">
        <v>14</v>
      </c>
      <c r="F3551" s="7">
        <v>4</v>
      </c>
      <c r="G3551" s="7">
        <v>116900</v>
      </c>
      <c r="H3551" s="7">
        <v>467600</v>
      </c>
      <c r="I3551" s="7">
        <v>67600</v>
      </c>
      <c r="J3551" s="7">
        <v>0</v>
      </c>
      <c r="K3551">
        <f t="shared" si="55"/>
        <v>120</v>
      </c>
      <c r="L3551" s="8" t="str" cm="1">
        <f t="array" ref="L3551">_xlfn.IFS(
 AND(K3551&gt;=89,K3551&lt;=92),"3개월",
 AND(K3551&gt;=58,K3551&lt;=62),"2개월",
 AND(K3551&gt;=28,K3551&lt;=32),"1개월",
 AND(K3551=0),"당월",
 TRUE,"그외"
)</f>
        <v>그외</v>
      </c>
    </row>
    <row r="3552" spans="1:12" x14ac:dyDescent="0.3">
      <c r="A3552" s="5">
        <v>46082</v>
      </c>
      <c r="B3552" s="6" t="s">
        <v>20</v>
      </c>
      <c r="C3552" s="6" t="s">
        <v>36</v>
      </c>
      <c r="D3552" s="5">
        <v>45962</v>
      </c>
      <c r="E3552" s="6" t="s">
        <v>15</v>
      </c>
      <c r="F3552" s="7">
        <v>631</v>
      </c>
      <c r="G3552" s="7">
        <v>142398.60380348651</v>
      </c>
      <c r="H3552" s="7">
        <v>89853519</v>
      </c>
      <c r="I3552" s="7">
        <v>13549384</v>
      </c>
      <c r="J3552" s="7">
        <v>0</v>
      </c>
      <c r="K3552">
        <f t="shared" si="55"/>
        <v>120</v>
      </c>
      <c r="L3552" s="8" t="str" cm="1">
        <f t="array" ref="L3552">_xlfn.IFS(
 AND(K3552&gt;=89,K3552&lt;=92),"3개월",
 AND(K3552&gt;=58,K3552&lt;=62),"2개월",
 AND(K3552&gt;=28,K3552&lt;=32),"1개월",
 AND(K3552=0),"당월",
 TRUE,"그외"
)</f>
        <v>그외</v>
      </c>
    </row>
    <row r="3553" spans="1:12" x14ac:dyDescent="0.3">
      <c r="A3553" s="5">
        <v>46082</v>
      </c>
      <c r="B3553" s="6" t="s">
        <v>20</v>
      </c>
      <c r="C3553" s="6" t="s">
        <v>36</v>
      </c>
      <c r="D3553" s="5">
        <v>45992</v>
      </c>
      <c r="E3553" s="6" t="s">
        <v>14</v>
      </c>
      <c r="F3553" s="7">
        <v>121</v>
      </c>
      <c r="G3553" s="7">
        <v>120716.6115702479</v>
      </c>
      <c r="H3553" s="7">
        <v>14606710</v>
      </c>
      <c r="I3553" s="7">
        <v>2489087</v>
      </c>
      <c r="J3553" s="7">
        <v>0</v>
      </c>
      <c r="K3553">
        <f t="shared" si="55"/>
        <v>90</v>
      </c>
      <c r="L3553" s="8" t="str" cm="1">
        <f t="array" ref="L3553">_xlfn.IFS(
 AND(K3553&gt;=89,K3553&lt;=92),"3개월",
 AND(K3553&gt;=58,K3553&lt;=62),"2개월",
 AND(K3553&gt;=28,K3553&lt;=32),"1개월",
 AND(K3553=0),"당월",
 TRUE,"그외"
)</f>
        <v>3개월</v>
      </c>
    </row>
    <row r="3554" spans="1:12" x14ac:dyDescent="0.3">
      <c r="A3554" s="5">
        <v>46082</v>
      </c>
      <c r="B3554" s="6" t="s">
        <v>20</v>
      </c>
      <c r="C3554" s="6" t="s">
        <v>36</v>
      </c>
      <c r="D3554" s="5">
        <v>45992</v>
      </c>
      <c r="E3554" s="6" t="s">
        <v>15</v>
      </c>
      <c r="F3554" s="7">
        <v>873</v>
      </c>
      <c r="G3554" s="7">
        <v>159781.7342497136</v>
      </c>
      <c r="H3554" s="7">
        <v>139489454</v>
      </c>
      <c r="I3554" s="7">
        <v>19806128</v>
      </c>
      <c r="J3554" s="7">
        <v>0</v>
      </c>
      <c r="K3554">
        <f t="shared" si="55"/>
        <v>90</v>
      </c>
      <c r="L3554" s="8" t="str" cm="1">
        <f t="array" ref="L3554">_xlfn.IFS(
 AND(K3554&gt;=89,K3554&lt;=92),"3개월",
 AND(K3554&gt;=58,K3554&lt;=62),"2개월",
 AND(K3554&gt;=28,K3554&lt;=32),"1개월",
 AND(K3554=0),"당월",
 TRUE,"그외"
)</f>
        <v>3개월</v>
      </c>
    </row>
    <row r="3555" spans="1:12" x14ac:dyDescent="0.3">
      <c r="A3555" s="5">
        <v>46082</v>
      </c>
      <c r="B3555" s="6" t="s">
        <v>20</v>
      </c>
      <c r="C3555" s="6" t="s">
        <v>36</v>
      </c>
      <c r="D3555" s="5">
        <v>46023</v>
      </c>
      <c r="E3555" s="6" t="s">
        <v>14</v>
      </c>
      <c r="F3555" s="7">
        <v>253</v>
      </c>
      <c r="G3555" s="7">
        <v>186961.35968379449</v>
      </c>
      <c r="H3555" s="7">
        <v>47301224</v>
      </c>
      <c r="I3555" s="7">
        <v>5770023</v>
      </c>
      <c r="J3555" s="7">
        <v>0</v>
      </c>
      <c r="K3555">
        <f t="shared" si="55"/>
        <v>59</v>
      </c>
      <c r="L3555" s="8" t="str" cm="1">
        <f t="array" ref="L3555">_xlfn.IFS(
 AND(K3555&gt;=89,K3555&lt;=92),"3개월",
 AND(K3555&gt;=58,K3555&lt;=62),"2개월",
 AND(K3555&gt;=28,K3555&lt;=32),"1개월",
 AND(K3555=0),"당월",
 TRUE,"그외"
)</f>
        <v>2개월</v>
      </c>
    </row>
    <row r="3556" spans="1:12" x14ac:dyDescent="0.3">
      <c r="A3556" s="5">
        <v>46082</v>
      </c>
      <c r="B3556" s="6" t="s">
        <v>20</v>
      </c>
      <c r="C3556" s="6" t="s">
        <v>36</v>
      </c>
      <c r="D3556" s="5">
        <v>46023</v>
      </c>
      <c r="E3556" s="6" t="s">
        <v>15</v>
      </c>
      <c r="F3556" s="7">
        <v>3555</v>
      </c>
      <c r="G3556" s="7">
        <v>175174.65175808719</v>
      </c>
      <c r="H3556" s="7">
        <v>622745887</v>
      </c>
      <c r="I3556" s="7">
        <v>82866416</v>
      </c>
      <c r="J3556" s="7">
        <v>0</v>
      </c>
      <c r="K3556">
        <f t="shared" si="55"/>
        <v>59</v>
      </c>
      <c r="L3556" s="8" t="str" cm="1">
        <f t="array" ref="L3556">_xlfn.IFS(
 AND(K3556&gt;=89,K3556&lt;=92),"3개월",
 AND(K3556&gt;=58,K3556&lt;=62),"2개월",
 AND(K3556&gt;=28,K3556&lt;=32),"1개월",
 AND(K3556=0),"당월",
 TRUE,"그외"
)</f>
        <v>2개월</v>
      </c>
    </row>
    <row r="3557" spans="1:12" x14ac:dyDescent="0.3">
      <c r="A3557" s="5">
        <v>46082</v>
      </c>
      <c r="B3557" s="6" t="s">
        <v>20</v>
      </c>
      <c r="C3557" s="6" t="s">
        <v>36</v>
      </c>
      <c r="D3557" s="5">
        <v>46054</v>
      </c>
      <c r="E3557" s="6" t="s">
        <v>14</v>
      </c>
      <c r="F3557" s="7">
        <v>1863</v>
      </c>
      <c r="G3557" s="7">
        <v>157513.60332796571</v>
      </c>
      <c r="H3557" s="7">
        <v>293447843</v>
      </c>
      <c r="I3557" s="7">
        <v>32236083</v>
      </c>
      <c r="J3557" s="7">
        <v>0</v>
      </c>
      <c r="K3557">
        <f t="shared" si="55"/>
        <v>28</v>
      </c>
      <c r="L3557" s="8" t="str" cm="1">
        <f t="array" ref="L3557">_xlfn.IFS(
 AND(K3557&gt;=89,K3557&lt;=92),"3개월",
 AND(K3557&gt;=58,K3557&lt;=62),"2개월",
 AND(K3557&gt;=28,K3557&lt;=32),"1개월",
 AND(K3557=0),"당월",
 TRUE,"그외"
)</f>
        <v>1개월</v>
      </c>
    </row>
    <row r="3558" spans="1:12" x14ac:dyDescent="0.3">
      <c r="A3558" s="5">
        <v>46082</v>
      </c>
      <c r="B3558" s="6" t="s">
        <v>20</v>
      </c>
      <c r="C3558" s="6" t="s">
        <v>36</v>
      </c>
      <c r="D3558" s="5">
        <v>46054</v>
      </c>
      <c r="E3558" s="6" t="s">
        <v>15</v>
      </c>
      <c r="F3558" s="7">
        <v>4457</v>
      </c>
      <c r="G3558" s="7">
        <v>177938.8272380525</v>
      </c>
      <c r="H3558" s="7">
        <v>793073353</v>
      </c>
      <c r="I3558" s="7">
        <v>83924832</v>
      </c>
      <c r="J3558" s="7">
        <v>0</v>
      </c>
      <c r="K3558">
        <f t="shared" si="55"/>
        <v>28</v>
      </c>
      <c r="L3558" s="8" t="str" cm="1">
        <f t="array" ref="L3558">_xlfn.IFS(
 AND(K3558&gt;=89,K3558&lt;=92),"3개월",
 AND(K3558&gt;=58,K3558&lt;=62),"2개월",
 AND(K3558&gt;=28,K3558&lt;=32),"1개월",
 AND(K3558=0),"당월",
 TRUE,"그외"
)</f>
        <v>1개월</v>
      </c>
    </row>
    <row r="3559" spans="1:12" x14ac:dyDescent="0.3">
      <c r="A3559" s="5">
        <v>46082</v>
      </c>
      <c r="B3559" s="6" t="s">
        <v>20</v>
      </c>
      <c r="C3559" s="6" t="s">
        <v>36</v>
      </c>
      <c r="D3559" s="5">
        <v>46082</v>
      </c>
      <c r="E3559" s="6" t="s">
        <v>14</v>
      </c>
      <c r="F3559" s="7">
        <v>719</v>
      </c>
      <c r="G3559" s="7">
        <v>145314.1627260083</v>
      </c>
      <c r="H3559" s="7">
        <v>104480883</v>
      </c>
      <c r="I3559" s="7">
        <v>13017440</v>
      </c>
      <c r="J3559" s="7">
        <v>0</v>
      </c>
      <c r="K3559">
        <f t="shared" si="55"/>
        <v>0</v>
      </c>
      <c r="L3559" s="8" t="str" cm="1">
        <f t="array" ref="L3559">_xlfn.IFS(
 AND(K3559&gt;=89,K3559&lt;=92),"3개월",
 AND(K3559&gt;=58,K3559&lt;=62),"2개월",
 AND(K3559&gt;=28,K3559&lt;=32),"1개월",
 AND(K3559=0),"당월",
 TRUE,"그외"
)</f>
        <v>당월</v>
      </c>
    </row>
    <row r="3560" spans="1:12" x14ac:dyDescent="0.3">
      <c r="A3560" s="5">
        <v>46082</v>
      </c>
      <c r="B3560" s="6" t="s">
        <v>20</v>
      </c>
      <c r="C3560" s="6" t="s">
        <v>36</v>
      </c>
      <c r="D3560" s="5">
        <v>46082</v>
      </c>
      <c r="E3560" s="6" t="s">
        <v>15</v>
      </c>
      <c r="F3560" s="7">
        <v>2761</v>
      </c>
      <c r="G3560" s="7">
        <v>168363.6685983339</v>
      </c>
      <c r="H3560" s="7">
        <v>464852089</v>
      </c>
      <c r="I3560" s="7">
        <v>59663461</v>
      </c>
      <c r="J3560" s="7">
        <v>0</v>
      </c>
      <c r="K3560">
        <f t="shared" si="55"/>
        <v>0</v>
      </c>
      <c r="L3560" s="8" t="str" cm="1">
        <f t="array" ref="L3560">_xlfn.IFS(
 AND(K3560&gt;=89,K3560&lt;=92),"3개월",
 AND(K3560&gt;=58,K3560&lt;=62),"2개월",
 AND(K3560&gt;=28,K3560&lt;=32),"1개월",
 AND(K3560=0),"당월",
 TRUE,"그외"
)</f>
        <v>당월</v>
      </c>
    </row>
    <row r="3561" spans="1:12" x14ac:dyDescent="0.3">
      <c r="A3561" s="5">
        <v>46082</v>
      </c>
      <c r="B3561" s="6" t="s">
        <v>20</v>
      </c>
      <c r="C3561" s="6" t="s">
        <v>37</v>
      </c>
      <c r="D3561" s="5">
        <v>45839</v>
      </c>
      <c r="E3561" s="6" t="s">
        <v>15</v>
      </c>
      <c r="F3561" s="7">
        <v>2</v>
      </c>
      <c r="G3561" s="7">
        <v>230500</v>
      </c>
      <c r="H3561" s="7">
        <v>461000</v>
      </c>
      <c r="I3561" s="7">
        <v>11000</v>
      </c>
      <c r="J3561" s="7">
        <v>0</v>
      </c>
      <c r="K3561">
        <f t="shared" si="55"/>
        <v>243</v>
      </c>
      <c r="L3561" s="8" t="str" cm="1">
        <f t="array" ref="L3561">_xlfn.IFS(
 AND(K3561&gt;=89,K3561&lt;=92),"3개월",
 AND(K3561&gt;=58,K3561&lt;=62),"2개월",
 AND(K3561&gt;=28,K3561&lt;=32),"1개월",
 AND(K3561=0),"당월",
 TRUE,"그외"
)</f>
        <v>그외</v>
      </c>
    </row>
    <row r="3562" spans="1:12" x14ac:dyDescent="0.3">
      <c r="A3562" s="5">
        <v>46082</v>
      </c>
      <c r="B3562" s="6" t="s">
        <v>20</v>
      </c>
      <c r="C3562" s="6" t="s">
        <v>37</v>
      </c>
      <c r="D3562" s="5">
        <v>45870</v>
      </c>
      <c r="E3562" s="6" t="s">
        <v>15</v>
      </c>
      <c r="F3562" s="7">
        <v>18</v>
      </c>
      <c r="G3562" s="7">
        <v>118018.61111111109</v>
      </c>
      <c r="H3562" s="7">
        <v>2124335</v>
      </c>
      <c r="I3562" s="7">
        <v>233784</v>
      </c>
      <c r="J3562" s="7">
        <v>0</v>
      </c>
      <c r="K3562">
        <f t="shared" si="55"/>
        <v>212</v>
      </c>
      <c r="L3562" s="8" t="str" cm="1">
        <f t="array" ref="L3562">_xlfn.IFS(
 AND(K3562&gt;=89,K3562&lt;=92),"3개월",
 AND(K3562&gt;=58,K3562&lt;=62),"2개월",
 AND(K3562&gt;=28,K3562&lt;=32),"1개월",
 AND(K3562=0),"당월",
 TRUE,"그외"
)</f>
        <v>그외</v>
      </c>
    </row>
    <row r="3563" spans="1:12" x14ac:dyDescent="0.3">
      <c r="A3563" s="5">
        <v>46082</v>
      </c>
      <c r="B3563" s="6" t="s">
        <v>20</v>
      </c>
      <c r="C3563" s="6" t="s">
        <v>37</v>
      </c>
      <c r="D3563" s="5">
        <v>45901</v>
      </c>
      <c r="E3563" s="6" t="s">
        <v>15</v>
      </c>
      <c r="F3563" s="7">
        <v>48</v>
      </c>
      <c r="G3563" s="7">
        <v>135002.41666666669</v>
      </c>
      <c r="H3563" s="7">
        <v>6480116</v>
      </c>
      <c r="I3563" s="7">
        <v>812786</v>
      </c>
      <c r="J3563" s="7">
        <v>0</v>
      </c>
      <c r="K3563">
        <f t="shared" si="55"/>
        <v>181</v>
      </c>
      <c r="L3563" s="8" t="str" cm="1">
        <f t="array" ref="L3563">_xlfn.IFS(
 AND(K3563&gt;=89,K3563&lt;=92),"3개월",
 AND(K3563&gt;=58,K3563&lt;=62),"2개월",
 AND(K3563&gt;=28,K3563&lt;=32),"1개월",
 AND(K3563=0),"당월",
 TRUE,"그외"
)</f>
        <v>그외</v>
      </c>
    </row>
    <row r="3564" spans="1:12" x14ac:dyDescent="0.3">
      <c r="A3564" s="5">
        <v>46082</v>
      </c>
      <c r="B3564" s="6" t="s">
        <v>20</v>
      </c>
      <c r="C3564" s="6" t="s">
        <v>37</v>
      </c>
      <c r="D3564" s="5">
        <v>45931</v>
      </c>
      <c r="E3564" s="6" t="s">
        <v>15</v>
      </c>
      <c r="F3564" s="7">
        <v>215</v>
      </c>
      <c r="G3564" s="7">
        <v>136159.0325581395</v>
      </c>
      <c r="H3564" s="7">
        <v>29274192</v>
      </c>
      <c r="I3564" s="7">
        <v>3472753</v>
      </c>
      <c r="J3564" s="7">
        <v>0</v>
      </c>
      <c r="K3564">
        <f t="shared" si="55"/>
        <v>151</v>
      </c>
      <c r="L3564" s="8" t="str" cm="1">
        <f t="array" ref="L3564">_xlfn.IFS(
 AND(K3564&gt;=89,K3564&lt;=92),"3개월",
 AND(K3564&gt;=58,K3564&lt;=62),"2개월",
 AND(K3564&gt;=28,K3564&lt;=32),"1개월",
 AND(K3564=0),"당월",
 TRUE,"그외"
)</f>
        <v>그외</v>
      </c>
    </row>
    <row r="3565" spans="1:12" x14ac:dyDescent="0.3">
      <c r="A3565" s="5">
        <v>46082</v>
      </c>
      <c r="B3565" s="6" t="s">
        <v>20</v>
      </c>
      <c r="C3565" s="6" t="s">
        <v>37</v>
      </c>
      <c r="D3565" s="5">
        <v>45962</v>
      </c>
      <c r="E3565" s="6" t="s">
        <v>14</v>
      </c>
      <c r="F3565" s="7">
        <v>8</v>
      </c>
      <c r="G3565" s="7">
        <v>209800</v>
      </c>
      <c r="H3565" s="7">
        <v>1678400</v>
      </c>
      <c r="I3565" s="7">
        <v>78400</v>
      </c>
      <c r="J3565" s="7">
        <v>0</v>
      </c>
      <c r="K3565">
        <f t="shared" si="55"/>
        <v>120</v>
      </c>
      <c r="L3565" s="8" t="str" cm="1">
        <f t="array" ref="L3565">_xlfn.IFS(
 AND(K3565&gt;=89,K3565&lt;=92),"3개월",
 AND(K3565&gt;=58,K3565&lt;=62),"2개월",
 AND(K3565&gt;=28,K3565&lt;=32),"1개월",
 AND(K3565=0),"당월",
 TRUE,"그외"
)</f>
        <v>그외</v>
      </c>
    </row>
    <row r="3566" spans="1:12" x14ac:dyDescent="0.3">
      <c r="A3566" s="5">
        <v>46082</v>
      </c>
      <c r="B3566" s="6" t="s">
        <v>20</v>
      </c>
      <c r="C3566" s="6" t="s">
        <v>37</v>
      </c>
      <c r="D3566" s="5">
        <v>45962</v>
      </c>
      <c r="E3566" s="6" t="s">
        <v>15</v>
      </c>
      <c r="F3566" s="7">
        <v>568</v>
      </c>
      <c r="G3566" s="7">
        <v>123982.25704225351</v>
      </c>
      <c r="H3566" s="7">
        <v>70421922</v>
      </c>
      <c r="I3566" s="7">
        <v>9360890</v>
      </c>
      <c r="J3566" s="7">
        <v>0</v>
      </c>
      <c r="K3566">
        <f t="shared" si="55"/>
        <v>120</v>
      </c>
      <c r="L3566" s="8" t="str" cm="1">
        <f t="array" ref="L3566">_xlfn.IFS(
 AND(K3566&gt;=89,K3566&lt;=92),"3개월",
 AND(K3566&gt;=58,K3566&lt;=62),"2개월",
 AND(K3566&gt;=28,K3566&lt;=32),"1개월",
 AND(K3566=0),"당월",
 TRUE,"그외"
)</f>
        <v>그외</v>
      </c>
    </row>
    <row r="3567" spans="1:12" x14ac:dyDescent="0.3">
      <c r="A3567" s="5">
        <v>46082</v>
      </c>
      <c r="B3567" s="6" t="s">
        <v>20</v>
      </c>
      <c r="C3567" s="6" t="s">
        <v>37</v>
      </c>
      <c r="D3567" s="5">
        <v>45992</v>
      </c>
      <c r="E3567" s="6" t="s">
        <v>14</v>
      </c>
      <c r="F3567" s="7">
        <v>124</v>
      </c>
      <c r="G3567" s="7">
        <v>176819.3306451613</v>
      </c>
      <c r="H3567" s="7">
        <v>21925597</v>
      </c>
      <c r="I3567" s="7">
        <v>1779397</v>
      </c>
      <c r="J3567" s="7">
        <v>0</v>
      </c>
      <c r="K3567">
        <f t="shared" si="55"/>
        <v>90</v>
      </c>
      <c r="L3567" s="8" t="str" cm="1">
        <f t="array" ref="L3567">_xlfn.IFS(
 AND(K3567&gt;=89,K3567&lt;=92),"3개월",
 AND(K3567&gt;=58,K3567&lt;=62),"2개월",
 AND(K3567&gt;=28,K3567&lt;=32),"1개월",
 AND(K3567=0),"당월",
 TRUE,"그외"
)</f>
        <v>3개월</v>
      </c>
    </row>
    <row r="3568" spans="1:12" x14ac:dyDescent="0.3">
      <c r="A3568" s="5">
        <v>46082</v>
      </c>
      <c r="B3568" s="6" t="s">
        <v>20</v>
      </c>
      <c r="C3568" s="6" t="s">
        <v>37</v>
      </c>
      <c r="D3568" s="5">
        <v>45992</v>
      </c>
      <c r="E3568" s="6" t="s">
        <v>15</v>
      </c>
      <c r="F3568" s="7">
        <v>1253</v>
      </c>
      <c r="G3568" s="7">
        <v>134119.8739026337</v>
      </c>
      <c r="H3568" s="7">
        <v>168052202</v>
      </c>
      <c r="I3568" s="7">
        <v>19023930</v>
      </c>
      <c r="J3568" s="7">
        <v>0</v>
      </c>
      <c r="K3568">
        <f t="shared" si="55"/>
        <v>90</v>
      </c>
      <c r="L3568" s="8" t="str" cm="1">
        <f t="array" ref="L3568">_xlfn.IFS(
 AND(K3568&gt;=89,K3568&lt;=92),"3개월",
 AND(K3568&gt;=58,K3568&lt;=62),"2개월",
 AND(K3568&gt;=28,K3568&lt;=32),"1개월",
 AND(K3568=0),"당월",
 TRUE,"그외"
)</f>
        <v>3개월</v>
      </c>
    </row>
    <row r="3569" spans="1:12" x14ac:dyDescent="0.3">
      <c r="A3569" s="5">
        <v>46082</v>
      </c>
      <c r="B3569" s="6" t="s">
        <v>20</v>
      </c>
      <c r="C3569" s="6" t="s">
        <v>37</v>
      </c>
      <c r="D3569" s="5">
        <v>46023</v>
      </c>
      <c r="E3569" s="6" t="s">
        <v>14</v>
      </c>
      <c r="F3569" s="7">
        <v>591</v>
      </c>
      <c r="G3569" s="7">
        <v>126688.7817258883</v>
      </c>
      <c r="H3569" s="7">
        <v>74873070</v>
      </c>
      <c r="I3569" s="7">
        <v>9478224</v>
      </c>
      <c r="J3569" s="7">
        <v>0</v>
      </c>
      <c r="K3569">
        <f t="shared" si="55"/>
        <v>59</v>
      </c>
      <c r="L3569" s="8" t="str" cm="1">
        <f t="array" ref="L3569">_xlfn.IFS(
 AND(K3569&gt;=89,K3569&lt;=92),"3개월",
 AND(K3569&gt;=58,K3569&lt;=62),"2개월",
 AND(K3569&gt;=28,K3569&lt;=32),"1개월",
 AND(K3569=0),"당월",
 TRUE,"그외"
)</f>
        <v>2개월</v>
      </c>
    </row>
    <row r="3570" spans="1:12" x14ac:dyDescent="0.3">
      <c r="A3570" s="5">
        <v>46082</v>
      </c>
      <c r="B3570" s="6" t="s">
        <v>20</v>
      </c>
      <c r="C3570" s="6" t="s">
        <v>37</v>
      </c>
      <c r="D3570" s="5">
        <v>46023</v>
      </c>
      <c r="E3570" s="6" t="s">
        <v>15</v>
      </c>
      <c r="F3570" s="7">
        <v>2095</v>
      </c>
      <c r="G3570" s="7">
        <v>164490.90835322201</v>
      </c>
      <c r="H3570" s="7">
        <v>344608453</v>
      </c>
      <c r="I3570" s="7">
        <v>31808314</v>
      </c>
      <c r="J3570" s="7">
        <v>0</v>
      </c>
      <c r="K3570">
        <f t="shared" si="55"/>
        <v>59</v>
      </c>
      <c r="L3570" s="8" t="str" cm="1">
        <f t="array" ref="L3570">_xlfn.IFS(
 AND(K3570&gt;=89,K3570&lt;=92),"3개월",
 AND(K3570&gt;=58,K3570&lt;=62),"2개월",
 AND(K3570&gt;=28,K3570&lt;=32),"1개월",
 AND(K3570=0),"당월",
 TRUE,"그외"
)</f>
        <v>2개월</v>
      </c>
    </row>
    <row r="3571" spans="1:12" x14ac:dyDescent="0.3">
      <c r="A3571" s="5">
        <v>46082</v>
      </c>
      <c r="B3571" s="6" t="s">
        <v>20</v>
      </c>
      <c r="C3571" s="6" t="s">
        <v>37</v>
      </c>
      <c r="D3571" s="5">
        <v>46054</v>
      </c>
      <c r="E3571" s="6" t="s">
        <v>14</v>
      </c>
      <c r="F3571" s="7">
        <v>1961</v>
      </c>
      <c r="G3571" s="7">
        <v>137145.60122386541</v>
      </c>
      <c r="H3571" s="7">
        <v>268942524</v>
      </c>
      <c r="I3571" s="7">
        <v>17338148</v>
      </c>
      <c r="J3571" s="7">
        <v>0</v>
      </c>
      <c r="K3571">
        <f t="shared" si="55"/>
        <v>28</v>
      </c>
      <c r="L3571" s="8" t="str" cm="1">
        <f t="array" ref="L3571">_xlfn.IFS(
 AND(K3571&gt;=89,K3571&lt;=92),"3개월",
 AND(K3571&gt;=58,K3571&lt;=62),"2개월",
 AND(K3571&gt;=28,K3571&lt;=32),"1개월",
 AND(K3571=0),"당월",
 TRUE,"그외"
)</f>
        <v>1개월</v>
      </c>
    </row>
    <row r="3572" spans="1:12" x14ac:dyDescent="0.3">
      <c r="A3572" s="5">
        <v>46082</v>
      </c>
      <c r="B3572" s="6" t="s">
        <v>20</v>
      </c>
      <c r="C3572" s="6" t="s">
        <v>37</v>
      </c>
      <c r="D3572" s="5">
        <v>46054</v>
      </c>
      <c r="E3572" s="6" t="s">
        <v>15</v>
      </c>
      <c r="F3572" s="7">
        <v>1272</v>
      </c>
      <c r="G3572" s="7">
        <v>202287.608490566</v>
      </c>
      <c r="H3572" s="7">
        <v>257309838</v>
      </c>
      <c r="I3572" s="7">
        <v>18774439</v>
      </c>
      <c r="J3572" s="7">
        <v>0</v>
      </c>
      <c r="K3572">
        <f t="shared" si="55"/>
        <v>28</v>
      </c>
      <c r="L3572" s="8" t="str" cm="1">
        <f t="array" ref="L3572">_xlfn.IFS(
 AND(K3572&gt;=89,K3572&lt;=92),"3개월",
 AND(K3572&gt;=58,K3572&lt;=62),"2개월",
 AND(K3572&gt;=28,K3572&lt;=32),"1개월",
 AND(K3572=0),"당월",
 TRUE,"그외"
)</f>
        <v>1개월</v>
      </c>
    </row>
    <row r="3573" spans="1:12" x14ac:dyDescent="0.3">
      <c r="A3573" s="5">
        <v>46082</v>
      </c>
      <c r="B3573" s="6" t="s">
        <v>20</v>
      </c>
      <c r="C3573" s="6" t="s">
        <v>37</v>
      </c>
      <c r="D3573" s="5">
        <v>46082</v>
      </c>
      <c r="E3573" s="6" t="s">
        <v>14</v>
      </c>
      <c r="F3573" s="7">
        <v>1438</v>
      </c>
      <c r="G3573" s="7">
        <v>147843.82127955489</v>
      </c>
      <c r="H3573" s="7">
        <v>212599415</v>
      </c>
      <c r="I3573" s="7">
        <v>15024533</v>
      </c>
      <c r="J3573" s="7">
        <v>0</v>
      </c>
      <c r="K3573">
        <f t="shared" si="55"/>
        <v>0</v>
      </c>
      <c r="L3573" s="8" t="str" cm="1">
        <f t="array" ref="L3573">_xlfn.IFS(
 AND(K3573&gt;=89,K3573&lt;=92),"3개월",
 AND(K3573&gt;=58,K3573&lt;=62),"2개월",
 AND(K3573&gt;=28,K3573&lt;=32),"1개월",
 AND(K3573=0),"당월",
 TRUE,"그외"
)</f>
        <v>당월</v>
      </c>
    </row>
    <row r="3574" spans="1:12" x14ac:dyDescent="0.3">
      <c r="A3574" s="5">
        <v>46082</v>
      </c>
      <c r="B3574" s="6" t="s">
        <v>20</v>
      </c>
      <c r="C3574" s="6" t="s">
        <v>37</v>
      </c>
      <c r="D3574" s="5">
        <v>46082</v>
      </c>
      <c r="E3574" s="6" t="s">
        <v>15</v>
      </c>
      <c r="F3574" s="7">
        <v>927</v>
      </c>
      <c r="G3574" s="7">
        <v>199151.76806903991</v>
      </c>
      <c r="H3574" s="7">
        <v>184613689</v>
      </c>
      <c r="I3574" s="7">
        <v>20039221</v>
      </c>
      <c r="J3574" s="7">
        <v>0</v>
      </c>
      <c r="K3574">
        <f t="shared" si="55"/>
        <v>0</v>
      </c>
      <c r="L3574" s="8" t="str" cm="1">
        <f t="array" ref="L3574">_xlfn.IFS(
 AND(K3574&gt;=89,K3574&lt;=92),"3개월",
 AND(K3574&gt;=58,K3574&lt;=62),"2개월",
 AND(K3574&gt;=28,K3574&lt;=32),"1개월",
 AND(K3574=0),"당월",
 TRUE,"그외"
)</f>
        <v>당월</v>
      </c>
    </row>
    <row r="3575" spans="1:12" x14ac:dyDescent="0.3">
      <c r="A3575" s="5">
        <v>46082</v>
      </c>
      <c r="B3575" s="6" t="s">
        <v>20</v>
      </c>
      <c r="C3575" s="6" t="s">
        <v>38</v>
      </c>
      <c r="D3575" s="5">
        <v>45839</v>
      </c>
      <c r="E3575" s="6" t="s">
        <v>15</v>
      </c>
      <c r="F3575" s="7">
        <v>2</v>
      </c>
      <c r="G3575" s="7">
        <v>54297</v>
      </c>
      <c r="H3575" s="7">
        <v>108594</v>
      </c>
      <c r="I3575" s="7">
        <v>27294</v>
      </c>
      <c r="J3575" s="7">
        <v>0</v>
      </c>
      <c r="K3575">
        <f t="shared" si="55"/>
        <v>243</v>
      </c>
      <c r="L3575" s="8" t="str" cm="1">
        <f t="array" ref="L3575">_xlfn.IFS(
 AND(K3575&gt;=89,K3575&lt;=92),"3개월",
 AND(K3575&gt;=58,K3575&lt;=62),"2개월",
 AND(K3575&gt;=28,K3575&lt;=32),"1개월",
 AND(K3575=0),"당월",
 TRUE,"그외"
)</f>
        <v>그외</v>
      </c>
    </row>
    <row r="3576" spans="1:12" x14ac:dyDescent="0.3">
      <c r="A3576" s="5">
        <v>46082</v>
      </c>
      <c r="B3576" s="6" t="s">
        <v>20</v>
      </c>
      <c r="C3576" s="6" t="s">
        <v>38</v>
      </c>
      <c r="D3576" s="5">
        <v>45870</v>
      </c>
      <c r="E3576" s="6" t="s">
        <v>15</v>
      </c>
      <c r="F3576" s="7">
        <v>55</v>
      </c>
      <c r="G3576" s="7">
        <v>60931.018181818181</v>
      </c>
      <c r="H3576" s="7">
        <v>3351206</v>
      </c>
      <c r="I3576" s="7">
        <v>641629</v>
      </c>
      <c r="J3576" s="7">
        <v>0</v>
      </c>
      <c r="K3576">
        <f t="shared" si="55"/>
        <v>212</v>
      </c>
      <c r="L3576" s="8" t="str" cm="1">
        <f t="array" ref="L3576">_xlfn.IFS(
 AND(K3576&gt;=89,K3576&lt;=92),"3개월",
 AND(K3576&gt;=58,K3576&lt;=62),"2개월",
 AND(K3576&gt;=28,K3576&lt;=32),"1개월",
 AND(K3576=0),"당월",
 TRUE,"그외"
)</f>
        <v>그외</v>
      </c>
    </row>
    <row r="3577" spans="1:12" x14ac:dyDescent="0.3">
      <c r="A3577" s="5">
        <v>46082</v>
      </c>
      <c r="B3577" s="6" t="s">
        <v>20</v>
      </c>
      <c r="C3577" s="6" t="s">
        <v>38</v>
      </c>
      <c r="D3577" s="5">
        <v>45901</v>
      </c>
      <c r="E3577" s="6" t="s">
        <v>15</v>
      </c>
      <c r="F3577" s="7">
        <v>49</v>
      </c>
      <c r="G3577" s="7">
        <v>85007.265306122456</v>
      </c>
      <c r="H3577" s="7">
        <v>4165356</v>
      </c>
      <c r="I3577" s="7">
        <v>880053</v>
      </c>
      <c r="J3577" s="7">
        <v>0</v>
      </c>
      <c r="K3577">
        <f t="shared" si="55"/>
        <v>181</v>
      </c>
      <c r="L3577" s="8" t="str" cm="1">
        <f t="array" ref="L3577">_xlfn.IFS(
 AND(K3577&gt;=89,K3577&lt;=92),"3개월",
 AND(K3577&gt;=58,K3577&lt;=62),"2개월",
 AND(K3577&gt;=28,K3577&lt;=32),"1개월",
 AND(K3577=0),"당월",
 TRUE,"그외"
)</f>
        <v>그외</v>
      </c>
    </row>
    <row r="3578" spans="1:12" x14ac:dyDescent="0.3">
      <c r="A3578" s="5">
        <v>46082</v>
      </c>
      <c r="B3578" s="6" t="s">
        <v>20</v>
      </c>
      <c r="C3578" s="6" t="s">
        <v>38</v>
      </c>
      <c r="D3578" s="5">
        <v>45931</v>
      </c>
      <c r="E3578" s="6" t="s">
        <v>15</v>
      </c>
      <c r="F3578" s="7">
        <v>120</v>
      </c>
      <c r="G3578" s="7">
        <v>99748.183333333334</v>
      </c>
      <c r="H3578" s="7">
        <v>11969782</v>
      </c>
      <c r="I3578" s="7">
        <v>1882934</v>
      </c>
      <c r="J3578" s="7">
        <v>0</v>
      </c>
      <c r="K3578">
        <f t="shared" si="55"/>
        <v>151</v>
      </c>
      <c r="L3578" s="8" t="str" cm="1">
        <f t="array" ref="L3578">_xlfn.IFS(
 AND(K3578&gt;=89,K3578&lt;=92),"3개월",
 AND(K3578&gt;=58,K3578&lt;=62),"2개월",
 AND(K3578&gt;=28,K3578&lt;=32),"1개월",
 AND(K3578=0),"당월",
 TRUE,"그외"
)</f>
        <v>그외</v>
      </c>
    </row>
    <row r="3579" spans="1:12" x14ac:dyDescent="0.3">
      <c r="A3579" s="5">
        <v>46082</v>
      </c>
      <c r="B3579" s="6" t="s">
        <v>20</v>
      </c>
      <c r="C3579" s="6" t="s">
        <v>38</v>
      </c>
      <c r="D3579" s="5">
        <v>45962</v>
      </c>
      <c r="E3579" s="6" t="s">
        <v>14</v>
      </c>
      <c r="F3579" s="7">
        <v>13</v>
      </c>
      <c r="G3579" s="7">
        <v>179800</v>
      </c>
      <c r="H3579" s="7">
        <v>2337400</v>
      </c>
      <c r="I3579" s="7">
        <v>127400</v>
      </c>
      <c r="J3579" s="7">
        <v>0</v>
      </c>
      <c r="K3579">
        <f t="shared" si="55"/>
        <v>120</v>
      </c>
      <c r="L3579" s="8" t="str" cm="1">
        <f t="array" ref="L3579">_xlfn.IFS(
 AND(K3579&gt;=89,K3579&lt;=92),"3개월",
 AND(K3579&gt;=58,K3579&lt;=62),"2개월",
 AND(K3579&gt;=28,K3579&lt;=32),"1개월",
 AND(K3579=0),"당월",
 TRUE,"그외"
)</f>
        <v>그외</v>
      </c>
    </row>
    <row r="3580" spans="1:12" x14ac:dyDescent="0.3">
      <c r="A3580" s="5">
        <v>46082</v>
      </c>
      <c r="B3580" s="6" t="s">
        <v>20</v>
      </c>
      <c r="C3580" s="6" t="s">
        <v>38</v>
      </c>
      <c r="D3580" s="5">
        <v>45962</v>
      </c>
      <c r="E3580" s="6" t="s">
        <v>15</v>
      </c>
      <c r="F3580" s="7">
        <v>168</v>
      </c>
      <c r="G3580" s="7">
        <v>105076.6071428571</v>
      </c>
      <c r="H3580" s="7">
        <v>17652870</v>
      </c>
      <c r="I3580" s="7">
        <v>2522762</v>
      </c>
      <c r="J3580" s="7">
        <v>0</v>
      </c>
      <c r="K3580">
        <f t="shared" si="55"/>
        <v>120</v>
      </c>
      <c r="L3580" s="8" t="str" cm="1">
        <f t="array" ref="L3580">_xlfn.IFS(
 AND(K3580&gt;=89,K3580&lt;=92),"3개월",
 AND(K3580&gt;=58,K3580&lt;=62),"2개월",
 AND(K3580&gt;=28,K3580&lt;=32),"1개월",
 AND(K3580=0),"당월",
 TRUE,"그외"
)</f>
        <v>그외</v>
      </c>
    </row>
    <row r="3581" spans="1:12" x14ac:dyDescent="0.3">
      <c r="A3581" s="5">
        <v>46082</v>
      </c>
      <c r="B3581" s="6" t="s">
        <v>20</v>
      </c>
      <c r="C3581" s="6" t="s">
        <v>38</v>
      </c>
      <c r="D3581" s="5">
        <v>45992</v>
      </c>
      <c r="E3581" s="6" t="s">
        <v>14</v>
      </c>
      <c r="F3581" s="7">
        <v>15</v>
      </c>
      <c r="G3581" s="7">
        <v>117500</v>
      </c>
      <c r="H3581" s="7">
        <v>1762500</v>
      </c>
      <c r="I3581" s="7">
        <v>172500</v>
      </c>
      <c r="J3581" s="7">
        <v>0</v>
      </c>
      <c r="K3581">
        <f t="shared" si="55"/>
        <v>90</v>
      </c>
      <c r="L3581" s="8" t="str" cm="1">
        <f t="array" ref="L3581">_xlfn.IFS(
 AND(K3581&gt;=89,K3581&lt;=92),"3개월",
 AND(K3581&gt;=58,K3581&lt;=62),"2개월",
 AND(K3581&gt;=28,K3581&lt;=32),"1개월",
 AND(K3581=0),"당월",
 TRUE,"그외"
)</f>
        <v>3개월</v>
      </c>
    </row>
    <row r="3582" spans="1:12" x14ac:dyDescent="0.3">
      <c r="A3582" s="5">
        <v>46082</v>
      </c>
      <c r="B3582" s="6" t="s">
        <v>20</v>
      </c>
      <c r="C3582" s="6" t="s">
        <v>38</v>
      </c>
      <c r="D3582" s="5">
        <v>45992</v>
      </c>
      <c r="E3582" s="6" t="s">
        <v>15</v>
      </c>
      <c r="F3582" s="7">
        <v>337</v>
      </c>
      <c r="G3582" s="7">
        <v>105466.5430267062</v>
      </c>
      <c r="H3582" s="7">
        <v>35542225</v>
      </c>
      <c r="I3582" s="7">
        <v>6300237</v>
      </c>
      <c r="J3582" s="7">
        <v>0</v>
      </c>
      <c r="K3582">
        <f t="shared" si="55"/>
        <v>90</v>
      </c>
      <c r="L3582" s="8" t="str" cm="1">
        <f t="array" ref="L3582">_xlfn.IFS(
 AND(K3582&gt;=89,K3582&lt;=92),"3개월",
 AND(K3582&gt;=58,K3582&lt;=62),"2개월",
 AND(K3582&gt;=28,K3582&lt;=32),"1개월",
 AND(K3582=0),"당월",
 TRUE,"그외"
)</f>
        <v>3개월</v>
      </c>
    </row>
    <row r="3583" spans="1:12" x14ac:dyDescent="0.3">
      <c r="A3583" s="5">
        <v>46082</v>
      </c>
      <c r="B3583" s="6" t="s">
        <v>20</v>
      </c>
      <c r="C3583" s="6" t="s">
        <v>38</v>
      </c>
      <c r="D3583" s="5">
        <v>46023</v>
      </c>
      <c r="E3583" s="6" t="s">
        <v>14</v>
      </c>
      <c r="F3583" s="7">
        <v>452</v>
      </c>
      <c r="G3583" s="7">
        <v>99681.283185840701</v>
      </c>
      <c r="H3583" s="7">
        <v>45055940</v>
      </c>
      <c r="I3583" s="7">
        <v>5456905</v>
      </c>
      <c r="J3583" s="7">
        <v>0</v>
      </c>
      <c r="K3583">
        <f t="shared" si="55"/>
        <v>59</v>
      </c>
      <c r="L3583" s="8" t="str" cm="1">
        <f t="array" ref="L3583">_xlfn.IFS(
 AND(K3583&gt;=89,K3583&lt;=92),"3개월",
 AND(K3583&gt;=58,K3583&lt;=62),"2개월",
 AND(K3583&gt;=28,K3583&lt;=32),"1개월",
 AND(K3583=0),"당월",
 TRUE,"그외"
)</f>
        <v>2개월</v>
      </c>
    </row>
    <row r="3584" spans="1:12" x14ac:dyDescent="0.3">
      <c r="A3584" s="5">
        <v>46082</v>
      </c>
      <c r="B3584" s="6" t="s">
        <v>20</v>
      </c>
      <c r="C3584" s="6" t="s">
        <v>38</v>
      </c>
      <c r="D3584" s="5">
        <v>46023</v>
      </c>
      <c r="E3584" s="6" t="s">
        <v>15</v>
      </c>
      <c r="F3584" s="7">
        <v>1043</v>
      </c>
      <c r="G3584" s="7">
        <v>111066.8475551294</v>
      </c>
      <c r="H3584" s="7">
        <v>115842722</v>
      </c>
      <c r="I3584" s="7">
        <v>16245162</v>
      </c>
      <c r="J3584" s="7">
        <v>0</v>
      </c>
      <c r="K3584">
        <f t="shared" si="55"/>
        <v>59</v>
      </c>
      <c r="L3584" s="8" t="str" cm="1">
        <f t="array" ref="L3584">_xlfn.IFS(
 AND(K3584&gt;=89,K3584&lt;=92),"3개월",
 AND(K3584&gt;=58,K3584&lt;=62),"2개월",
 AND(K3584&gt;=28,K3584&lt;=32),"1개월",
 AND(K3584=0),"당월",
 TRUE,"그외"
)</f>
        <v>2개월</v>
      </c>
    </row>
    <row r="3585" spans="1:12" x14ac:dyDescent="0.3">
      <c r="A3585" s="5">
        <v>46082</v>
      </c>
      <c r="B3585" s="6" t="s">
        <v>20</v>
      </c>
      <c r="C3585" s="6" t="s">
        <v>38</v>
      </c>
      <c r="D3585" s="5">
        <v>46054</v>
      </c>
      <c r="E3585" s="6" t="s">
        <v>14</v>
      </c>
      <c r="F3585" s="7">
        <v>1114</v>
      </c>
      <c r="G3585" s="7">
        <v>117867.5754039497</v>
      </c>
      <c r="H3585" s="7">
        <v>131304479</v>
      </c>
      <c r="I3585" s="7">
        <v>9895596</v>
      </c>
      <c r="J3585" s="7">
        <v>0</v>
      </c>
      <c r="K3585">
        <f t="shared" si="55"/>
        <v>28</v>
      </c>
      <c r="L3585" s="8" t="str" cm="1">
        <f t="array" ref="L3585">_xlfn.IFS(
 AND(K3585&gt;=89,K3585&lt;=92),"3개월",
 AND(K3585&gt;=58,K3585&lt;=62),"2개월",
 AND(K3585&gt;=28,K3585&lt;=32),"1개월",
 AND(K3585=0),"당월",
 TRUE,"그외"
)</f>
        <v>1개월</v>
      </c>
    </row>
    <row r="3586" spans="1:12" x14ac:dyDescent="0.3">
      <c r="A3586" s="5">
        <v>46082</v>
      </c>
      <c r="B3586" s="6" t="s">
        <v>20</v>
      </c>
      <c r="C3586" s="6" t="s">
        <v>38</v>
      </c>
      <c r="D3586" s="5">
        <v>46054</v>
      </c>
      <c r="E3586" s="6" t="s">
        <v>15</v>
      </c>
      <c r="F3586" s="7">
        <v>1269</v>
      </c>
      <c r="G3586" s="7">
        <v>112580.7328605201</v>
      </c>
      <c r="H3586" s="7">
        <v>142864950</v>
      </c>
      <c r="I3586" s="7">
        <v>16374072</v>
      </c>
      <c r="J3586" s="7">
        <v>0</v>
      </c>
      <c r="K3586">
        <f t="shared" si="55"/>
        <v>28</v>
      </c>
      <c r="L3586" s="8" t="str" cm="1">
        <f t="array" ref="L3586">_xlfn.IFS(
 AND(K3586&gt;=89,K3586&lt;=92),"3개월",
 AND(K3586&gt;=58,K3586&lt;=62),"2개월",
 AND(K3586&gt;=28,K3586&lt;=32),"1개월",
 AND(K3586=0),"당월",
 TRUE,"그외"
)</f>
        <v>1개월</v>
      </c>
    </row>
    <row r="3587" spans="1:12" x14ac:dyDescent="0.3">
      <c r="A3587" s="5">
        <v>46082</v>
      </c>
      <c r="B3587" s="6" t="s">
        <v>20</v>
      </c>
      <c r="C3587" s="6" t="s">
        <v>38</v>
      </c>
      <c r="D3587" s="5">
        <v>46082</v>
      </c>
      <c r="E3587" s="6" t="s">
        <v>14</v>
      </c>
      <c r="F3587" s="7">
        <v>935</v>
      </c>
      <c r="G3587" s="7">
        <v>134796.3422459893</v>
      </c>
      <c r="H3587" s="7">
        <v>126034580</v>
      </c>
      <c r="I3587" s="7">
        <v>9914258</v>
      </c>
      <c r="J3587" s="7">
        <v>0</v>
      </c>
      <c r="K3587">
        <f t="shared" si="55"/>
        <v>0</v>
      </c>
      <c r="L3587" s="8" t="str" cm="1">
        <f t="array" ref="L3587">_xlfn.IFS(
 AND(K3587&gt;=89,K3587&lt;=92),"3개월",
 AND(K3587&gt;=58,K3587&lt;=62),"2개월",
 AND(K3587&gt;=28,K3587&lt;=32),"1개월",
 AND(K3587=0),"당월",
 TRUE,"그외"
)</f>
        <v>당월</v>
      </c>
    </row>
    <row r="3588" spans="1:12" x14ac:dyDescent="0.3">
      <c r="A3588" s="5">
        <v>46082</v>
      </c>
      <c r="B3588" s="6" t="s">
        <v>20</v>
      </c>
      <c r="C3588" s="6" t="s">
        <v>38</v>
      </c>
      <c r="D3588" s="5">
        <v>46082</v>
      </c>
      <c r="E3588" s="6" t="s">
        <v>15</v>
      </c>
      <c r="F3588" s="7">
        <v>781</v>
      </c>
      <c r="G3588" s="7">
        <v>123354.9923175416</v>
      </c>
      <c r="H3588" s="7">
        <v>96340249</v>
      </c>
      <c r="I3588" s="7">
        <v>12469106</v>
      </c>
      <c r="J3588" s="7">
        <v>0</v>
      </c>
      <c r="K3588">
        <f t="shared" si="55"/>
        <v>0</v>
      </c>
      <c r="L3588" s="8" t="str" cm="1">
        <f t="array" ref="L3588">_xlfn.IFS(
 AND(K3588&gt;=89,K3588&lt;=92),"3개월",
 AND(K3588&gt;=58,K3588&lt;=62),"2개월",
 AND(K3588&gt;=28,K3588&lt;=32),"1개월",
 AND(K3588=0),"당월",
 TRUE,"그외"
)</f>
        <v>당월</v>
      </c>
    </row>
    <row r="3589" spans="1:12" x14ac:dyDescent="0.3">
      <c r="A3589" s="5">
        <v>46082</v>
      </c>
      <c r="B3589" s="6" t="s">
        <v>40</v>
      </c>
      <c r="C3589" s="6" t="s">
        <v>99</v>
      </c>
      <c r="D3589" s="5">
        <v>46023</v>
      </c>
      <c r="E3589" s="6" t="s">
        <v>14</v>
      </c>
      <c r="F3589" s="7">
        <v>22</v>
      </c>
      <c r="G3589" s="7">
        <v>234118.18181818179</v>
      </c>
      <c r="H3589" s="7">
        <v>5150600</v>
      </c>
      <c r="I3589" s="7">
        <v>259600</v>
      </c>
      <c r="J3589" s="7">
        <v>0</v>
      </c>
      <c r="K3589">
        <f t="shared" si="55"/>
        <v>59</v>
      </c>
      <c r="L3589" s="8" t="str" cm="1">
        <f t="array" ref="L3589">_xlfn.IFS(
 AND(K3589&gt;=89,K3589&lt;=92),"3개월",
 AND(K3589&gt;=58,K3589&lt;=62),"2개월",
 AND(K3589&gt;=28,K3589&lt;=32),"1개월",
 AND(K3589=0),"당월",
 TRUE,"그외"
)</f>
        <v>2개월</v>
      </c>
    </row>
    <row r="3590" spans="1:12" x14ac:dyDescent="0.3">
      <c r="A3590" s="5">
        <v>46082</v>
      </c>
      <c r="B3590" s="6" t="s">
        <v>40</v>
      </c>
      <c r="C3590" s="6" t="s">
        <v>99</v>
      </c>
      <c r="D3590" s="5">
        <v>46023</v>
      </c>
      <c r="E3590" s="6" t="s">
        <v>15</v>
      </c>
      <c r="F3590" s="7">
        <v>167</v>
      </c>
      <c r="G3590" s="7">
        <v>134497.79640718561</v>
      </c>
      <c r="H3590" s="7">
        <v>22461132</v>
      </c>
      <c r="I3590" s="7">
        <v>2972840</v>
      </c>
      <c r="J3590" s="7">
        <v>0</v>
      </c>
      <c r="K3590">
        <f t="shared" si="55"/>
        <v>59</v>
      </c>
      <c r="L3590" s="8" t="str" cm="1">
        <f t="array" ref="L3590">_xlfn.IFS(
 AND(K3590&gt;=89,K3590&lt;=92),"3개월",
 AND(K3590&gt;=58,K3590&lt;=62),"2개월",
 AND(K3590&gt;=28,K3590&lt;=32),"1개월",
 AND(K3590=0),"당월",
 TRUE,"그외"
)</f>
        <v>2개월</v>
      </c>
    </row>
    <row r="3591" spans="1:12" x14ac:dyDescent="0.3">
      <c r="A3591" s="5">
        <v>46082</v>
      </c>
      <c r="B3591" s="6" t="s">
        <v>40</v>
      </c>
      <c r="C3591" s="6" t="s">
        <v>99</v>
      </c>
      <c r="D3591" s="5">
        <v>46054</v>
      </c>
      <c r="E3591" s="6" t="s">
        <v>14</v>
      </c>
      <c r="F3591" s="7">
        <v>180</v>
      </c>
      <c r="G3591" s="7">
        <v>200469.80555555559</v>
      </c>
      <c r="H3591" s="7">
        <v>36084565</v>
      </c>
      <c r="I3591" s="7">
        <v>4150322</v>
      </c>
      <c r="J3591" s="7">
        <v>0</v>
      </c>
      <c r="K3591">
        <f t="shared" si="55"/>
        <v>28</v>
      </c>
      <c r="L3591" s="8" t="str" cm="1">
        <f t="array" ref="L3591">_xlfn.IFS(
 AND(K3591&gt;=89,K3591&lt;=92),"3개월",
 AND(K3591&gt;=58,K3591&lt;=62),"2개월",
 AND(K3591&gt;=28,K3591&lt;=32),"1개월",
 AND(K3591=0),"당월",
 TRUE,"그외"
)</f>
        <v>1개월</v>
      </c>
    </row>
    <row r="3592" spans="1:12" x14ac:dyDescent="0.3">
      <c r="A3592" s="5">
        <v>46082</v>
      </c>
      <c r="B3592" s="6" t="s">
        <v>40</v>
      </c>
      <c r="C3592" s="6" t="s">
        <v>99</v>
      </c>
      <c r="D3592" s="5">
        <v>46054</v>
      </c>
      <c r="E3592" s="6" t="s">
        <v>15</v>
      </c>
      <c r="F3592" s="7">
        <v>311</v>
      </c>
      <c r="G3592" s="7">
        <v>174271.2218649518</v>
      </c>
      <c r="H3592" s="7">
        <v>54198350</v>
      </c>
      <c r="I3592" s="7">
        <v>5786555</v>
      </c>
      <c r="J3592" s="7">
        <v>0</v>
      </c>
      <c r="K3592">
        <f t="shared" si="55"/>
        <v>28</v>
      </c>
      <c r="L3592" s="8" t="str" cm="1">
        <f t="array" ref="L3592">_xlfn.IFS(
 AND(K3592&gt;=89,K3592&lt;=92),"3개월",
 AND(K3592&gt;=58,K3592&lt;=62),"2개월",
 AND(K3592&gt;=28,K3592&lt;=32),"1개월",
 AND(K3592=0),"당월",
 TRUE,"그외"
)</f>
        <v>1개월</v>
      </c>
    </row>
    <row r="3593" spans="1:12" x14ac:dyDescent="0.3">
      <c r="A3593" s="5">
        <v>46082</v>
      </c>
      <c r="B3593" s="6" t="s">
        <v>40</v>
      </c>
      <c r="C3593" s="6" t="s">
        <v>99</v>
      </c>
      <c r="D3593" s="5">
        <v>46082</v>
      </c>
      <c r="E3593" s="6" t="s">
        <v>15</v>
      </c>
      <c r="F3593" s="7">
        <v>8</v>
      </c>
      <c r="G3593" s="7">
        <v>144432.75</v>
      </c>
      <c r="H3593" s="7">
        <v>1155462</v>
      </c>
      <c r="I3593" s="7">
        <v>120409</v>
      </c>
      <c r="J3593" s="7">
        <v>0</v>
      </c>
      <c r="K3593">
        <f t="shared" si="55"/>
        <v>0</v>
      </c>
      <c r="L3593" s="8" t="str" cm="1">
        <f t="array" ref="L3593">_xlfn.IFS(
 AND(K3593&gt;=89,K3593&lt;=92),"3개월",
 AND(K3593&gt;=58,K3593&lt;=62),"2개월",
 AND(K3593&gt;=28,K3593&lt;=32),"1개월",
 AND(K3593=0),"당월",
 TRUE,"그외"
)</f>
        <v>당월</v>
      </c>
    </row>
    <row r="3594" spans="1:12" x14ac:dyDescent="0.3">
      <c r="A3594" s="5">
        <v>46082</v>
      </c>
      <c r="B3594" s="6" t="s">
        <v>40</v>
      </c>
      <c r="C3594" s="6" t="s">
        <v>101</v>
      </c>
      <c r="D3594" s="5">
        <v>46054</v>
      </c>
      <c r="E3594" s="6" t="s">
        <v>14</v>
      </c>
      <c r="F3594" s="7">
        <v>398</v>
      </c>
      <c r="G3594" s="7">
        <v>193979.06783919601</v>
      </c>
      <c r="H3594" s="7">
        <v>77203669</v>
      </c>
      <c r="I3594" s="7">
        <v>11252053</v>
      </c>
      <c r="J3594" s="7">
        <v>0</v>
      </c>
      <c r="K3594">
        <f t="shared" ref="K3594:K3657" si="56">A3594-D3594</f>
        <v>28</v>
      </c>
      <c r="L3594" s="8" t="str" cm="1">
        <f t="array" ref="L3594">_xlfn.IFS(
 AND(K3594&gt;=89,K3594&lt;=92),"3개월",
 AND(K3594&gt;=58,K3594&lt;=62),"2개월",
 AND(K3594&gt;=28,K3594&lt;=32),"1개월",
 AND(K3594=0),"당월",
 TRUE,"그외"
)</f>
        <v>1개월</v>
      </c>
    </row>
    <row r="3595" spans="1:12" x14ac:dyDescent="0.3">
      <c r="A3595" s="5">
        <v>46082</v>
      </c>
      <c r="B3595" s="6" t="s">
        <v>40</v>
      </c>
      <c r="C3595" s="6" t="s">
        <v>101</v>
      </c>
      <c r="D3595" s="5">
        <v>46054</v>
      </c>
      <c r="E3595" s="6" t="s">
        <v>15</v>
      </c>
      <c r="F3595" s="7">
        <v>105</v>
      </c>
      <c r="G3595" s="7">
        <v>137401.54285714289</v>
      </c>
      <c r="H3595" s="7">
        <v>14427162</v>
      </c>
      <c r="I3595" s="7">
        <v>3606322</v>
      </c>
      <c r="J3595" s="7">
        <v>0</v>
      </c>
      <c r="K3595">
        <f t="shared" si="56"/>
        <v>28</v>
      </c>
      <c r="L3595" s="8" t="str" cm="1">
        <f t="array" ref="L3595">_xlfn.IFS(
 AND(K3595&gt;=89,K3595&lt;=92),"3개월",
 AND(K3595&gt;=58,K3595&lt;=62),"2개월",
 AND(K3595&gt;=28,K3595&lt;=32),"1개월",
 AND(K3595=0),"당월",
 TRUE,"그외"
)</f>
        <v>1개월</v>
      </c>
    </row>
    <row r="3596" spans="1:12" x14ac:dyDescent="0.3">
      <c r="A3596" s="5">
        <v>46082</v>
      </c>
      <c r="B3596" s="6" t="s">
        <v>40</v>
      </c>
      <c r="C3596" s="6" t="s">
        <v>101</v>
      </c>
      <c r="D3596" s="5">
        <v>46082</v>
      </c>
      <c r="E3596" s="6" t="s">
        <v>14</v>
      </c>
      <c r="F3596" s="7">
        <v>143</v>
      </c>
      <c r="G3596" s="7">
        <v>123229.006993007</v>
      </c>
      <c r="H3596" s="7">
        <v>17621748</v>
      </c>
      <c r="I3596" s="7">
        <v>6841530</v>
      </c>
      <c r="J3596" s="7">
        <v>0</v>
      </c>
      <c r="K3596">
        <f t="shared" si="56"/>
        <v>0</v>
      </c>
      <c r="L3596" s="8" t="str" cm="1">
        <f t="array" ref="L3596">_xlfn.IFS(
 AND(K3596&gt;=89,K3596&lt;=92),"3개월",
 AND(K3596&gt;=58,K3596&lt;=62),"2개월",
 AND(K3596&gt;=28,K3596&lt;=32),"1개월",
 AND(K3596=0),"당월",
 TRUE,"그외"
)</f>
        <v>당월</v>
      </c>
    </row>
    <row r="3597" spans="1:12" x14ac:dyDescent="0.3">
      <c r="A3597" s="5">
        <v>46082</v>
      </c>
      <c r="B3597" s="6" t="s">
        <v>40</v>
      </c>
      <c r="C3597" s="6" t="s">
        <v>101</v>
      </c>
      <c r="D3597" s="5">
        <v>46082</v>
      </c>
      <c r="E3597" s="6" t="s">
        <v>15</v>
      </c>
      <c r="F3597" s="7">
        <v>34</v>
      </c>
      <c r="G3597" s="7">
        <v>208634.70588235301</v>
      </c>
      <c r="H3597" s="7">
        <v>7093580</v>
      </c>
      <c r="I3597" s="7">
        <v>1564075</v>
      </c>
      <c r="J3597" s="7">
        <v>0</v>
      </c>
      <c r="K3597">
        <f t="shared" si="56"/>
        <v>0</v>
      </c>
      <c r="L3597" s="8" t="str" cm="1">
        <f t="array" ref="L3597">_xlfn.IFS(
 AND(K3597&gt;=89,K3597&lt;=92),"3개월",
 AND(K3597&gt;=58,K3597&lt;=62),"2개월",
 AND(K3597&gt;=28,K3597&lt;=32),"1개월",
 AND(K3597=0),"당월",
 TRUE,"그외"
)</f>
        <v>당월</v>
      </c>
    </row>
    <row r="3598" spans="1:12" x14ac:dyDescent="0.3">
      <c r="A3598" s="5">
        <v>46082</v>
      </c>
      <c r="B3598" s="6" t="s">
        <v>40</v>
      </c>
      <c r="C3598" s="6" t="s">
        <v>102</v>
      </c>
      <c r="D3598" s="5">
        <v>46023</v>
      </c>
      <c r="E3598" s="6" t="s">
        <v>15</v>
      </c>
      <c r="F3598" s="7">
        <v>2</v>
      </c>
      <c r="G3598" s="7">
        <v>0</v>
      </c>
      <c r="H3598" s="7">
        <v>0</v>
      </c>
      <c r="I3598" s="7">
        <v>0</v>
      </c>
      <c r="J3598" s="7">
        <v>0</v>
      </c>
      <c r="K3598">
        <f t="shared" si="56"/>
        <v>59</v>
      </c>
      <c r="L3598" s="8" t="str" cm="1">
        <f t="array" ref="L3598">_xlfn.IFS(
 AND(K3598&gt;=89,K3598&lt;=92),"3개월",
 AND(K3598&gt;=58,K3598&lt;=62),"2개월",
 AND(K3598&gt;=28,K3598&lt;=32),"1개월",
 AND(K3598=0),"당월",
 TRUE,"그외"
)</f>
        <v>2개월</v>
      </c>
    </row>
    <row r="3599" spans="1:12" x14ac:dyDescent="0.3">
      <c r="A3599" s="5">
        <v>46082</v>
      </c>
      <c r="B3599" s="6" t="s">
        <v>40</v>
      </c>
      <c r="C3599" s="6" t="s">
        <v>102</v>
      </c>
      <c r="D3599" s="5">
        <v>46054</v>
      </c>
      <c r="E3599" s="6" t="s">
        <v>14</v>
      </c>
      <c r="F3599" s="7">
        <v>138</v>
      </c>
      <c r="G3599" s="7">
        <v>601201.44927536231</v>
      </c>
      <c r="H3599" s="7">
        <v>82965800</v>
      </c>
      <c r="I3599" s="7">
        <v>0</v>
      </c>
      <c r="J3599" s="7">
        <v>0</v>
      </c>
      <c r="K3599">
        <f t="shared" si="56"/>
        <v>28</v>
      </c>
      <c r="L3599" s="8" t="str" cm="1">
        <f t="array" ref="L3599">_xlfn.IFS(
 AND(K3599&gt;=89,K3599&lt;=92),"3개월",
 AND(K3599&gt;=58,K3599&lt;=62),"2개월",
 AND(K3599&gt;=28,K3599&lt;=32),"1개월",
 AND(K3599=0),"당월",
 TRUE,"그외"
)</f>
        <v>1개월</v>
      </c>
    </row>
    <row r="3600" spans="1:12" x14ac:dyDescent="0.3">
      <c r="A3600" s="5">
        <v>46082</v>
      </c>
      <c r="B3600" s="6" t="s">
        <v>40</v>
      </c>
      <c r="C3600" s="6" t="s">
        <v>103</v>
      </c>
      <c r="D3600" s="5">
        <v>46054</v>
      </c>
      <c r="E3600" s="6" t="s">
        <v>14</v>
      </c>
      <c r="F3600" s="7">
        <v>177</v>
      </c>
      <c r="G3600" s="7">
        <v>459240</v>
      </c>
      <c r="H3600" s="7">
        <v>81285480</v>
      </c>
      <c r="I3600" s="7">
        <v>0</v>
      </c>
      <c r="J3600" s="7">
        <v>0</v>
      </c>
      <c r="K3600">
        <f t="shared" si="56"/>
        <v>28</v>
      </c>
      <c r="L3600" s="8" t="str" cm="1">
        <f t="array" ref="L3600">_xlfn.IFS(
 AND(K3600&gt;=89,K3600&lt;=92),"3개월",
 AND(K3600&gt;=58,K3600&lt;=62),"2개월",
 AND(K3600&gt;=28,K3600&lt;=32),"1개월",
 AND(K3600=0),"당월",
 TRUE,"그외"
)</f>
        <v>1개월</v>
      </c>
    </row>
    <row r="3601" spans="1:12" x14ac:dyDescent="0.3">
      <c r="A3601" s="5">
        <v>46082</v>
      </c>
      <c r="B3601" s="6" t="s">
        <v>40</v>
      </c>
      <c r="C3601" s="6" t="s">
        <v>91</v>
      </c>
      <c r="D3601" s="5">
        <v>45901</v>
      </c>
      <c r="E3601" s="6" t="s">
        <v>15</v>
      </c>
      <c r="F3601" s="7">
        <v>1</v>
      </c>
      <c r="G3601" s="7">
        <v>79700</v>
      </c>
      <c r="H3601" s="7">
        <v>79700</v>
      </c>
      <c r="I3601" s="7">
        <v>9700</v>
      </c>
      <c r="J3601" s="7">
        <v>0</v>
      </c>
      <c r="K3601">
        <f t="shared" si="56"/>
        <v>181</v>
      </c>
      <c r="L3601" s="8" t="str" cm="1">
        <f t="array" ref="L3601">_xlfn.IFS(
 AND(K3601&gt;=89,K3601&lt;=92),"3개월",
 AND(K3601&gt;=58,K3601&lt;=62),"2개월",
 AND(K3601&gt;=28,K3601&lt;=32),"1개월",
 AND(K3601=0),"당월",
 TRUE,"그외"
)</f>
        <v>그외</v>
      </c>
    </row>
    <row r="3602" spans="1:12" x14ac:dyDescent="0.3">
      <c r="A3602" s="5">
        <v>46082</v>
      </c>
      <c r="B3602" s="6" t="s">
        <v>40</v>
      </c>
      <c r="C3602" s="6" t="s">
        <v>91</v>
      </c>
      <c r="D3602" s="5">
        <v>45931</v>
      </c>
      <c r="E3602" s="6" t="s">
        <v>15</v>
      </c>
      <c r="F3602" s="7">
        <v>3</v>
      </c>
      <c r="G3602" s="7">
        <v>57755</v>
      </c>
      <c r="H3602" s="7">
        <v>173265</v>
      </c>
      <c r="I3602" s="7">
        <v>29100</v>
      </c>
      <c r="J3602" s="7">
        <v>0</v>
      </c>
      <c r="K3602">
        <f t="shared" si="56"/>
        <v>151</v>
      </c>
      <c r="L3602" s="8" t="str" cm="1">
        <f t="array" ref="L3602">_xlfn.IFS(
 AND(K3602&gt;=89,K3602&lt;=92),"3개월",
 AND(K3602&gt;=58,K3602&lt;=62),"2개월",
 AND(K3602&gt;=28,K3602&lt;=32),"1개월",
 AND(K3602=0),"당월",
 TRUE,"그외"
)</f>
        <v>그외</v>
      </c>
    </row>
    <row r="3603" spans="1:12" x14ac:dyDescent="0.3">
      <c r="A3603" s="5">
        <v>46082</v>
      </c>
      <c r="B3603" s="6" t="s">
        <v>40</v>
      </c>
      <c r="C3603" s="6" t="s">
        <v>91</v>
      </c>
      <c r="D3603" s="5">
        <v>45962</v>
      </c>
      <c r="E3603" s="6" t="s">
        <v>15</v>
      </c>
      <c r="F3603" s="7">
        <v>17</v>
      </c>
      <c r="G3603" s="7">
        <v>101420.23529411769</v>
      </c>
      <c r="H3603" s="7">
        <v>1724144</v>
      </c>
      <c r="I3603" s="7">
        <v>374452</v>
      </c>
      <c r="J3603" s="7">
        <v>0</v>
      </c>
      <c r="K3603">
        <f t="shared" si="56"/>
        <v>120</v>
      </c>
      <c r="L3603" s="8" t="str" cm="1">
        <f t="array" ref="L3603">_xlfn.IFS(
 AND(K3603&gt;=89,K3603&lt;=92),"3개월",
 AND(K3603&gt;=58,K3603&lt;=62),"2개월",
 AND(K3603&gt;=28,K3603&lt;=32),"1개월",
 AND(K3603=0),"당월",
 TRUE,"그외"
)</f>
        <v>그외</v>
      </c>
    </row>
    <row r="3604" spans="1:12" x14ac:dyDescent="0.3">
      <c r="A3604" s="5">
        <v>46082</v>
      </c>
      <c r="B3604" s="6" t="s">
        <v>40</v>
      </c>
      <c r="C3604" s="6" t="s">
        <v>91</v>
      </c>
      <c r="D3604" s="5">
        <v>45992</v>
      </c>
      <c r="E3604" s="6" t="s">
        <v>15</v>
      </c>
      <c r="F3604" s="7">
        <v>34</v>
      </c>
      <c r="G3604" s="7">
        <v>143346.73529411771</v>
      </c>
      <c r="H3604" s="7">
        <v>4873789</v>
      </c>
      <c r="I3604" s="7">
        <v>1229360</v>
      </c>
      <c r="J3604" s="7">
        <v>0</v>
      </c>
      <c r="K3604">
        <f t="shared" si="56"/>
        <v>90</v>
      </c>
      <c r="L3604" s="8" t="str" cm="1">
        <f t="array" ref="L3604">_xlfn.IFS(
 AND(K3604&gt;=89,K3604&lt;=92),"3개월",
 AND(K3604&gt;=58,K3604&lt;=62),"2개월",
 AND(K3604&gt;=28,K3604&lt;=32),"1개월",
 AND(K3604=0),"당월",
 TRUE,"그외"
)</f>
        <v>3개월</v>
      </c>
    </row>
    <row r="3605" spans="1:12" x14ac:dyDescent="0.3">
      <c r="A3605" s="5">
        <v>46082</v>
      </c>
      <c r="B3605" s="6" t="s">
        <v>40</v>
      </c>
      <c r="C3605" s="6" t="s">
        <v>91</v>
      </c>
      <c r="D3605" s="5">
        <v>46023</v>
      </c>
      <c r="E3605" s="6" t="s">
        <v>15</v>
      </c>
      <c r="F3605" s="7">
        <v>60</v>
      </c>
      <c r="G3605" s="7">
        <v>151346.93333333329</v>
      </c>
      <c r="H3605" s="7">
        <v>9080816</v>
      </c>
      <c r="I3605" s="7">
        <v>1488132</v>
      </c>
      <c r="J3605" s="7">
        <v>0</v>
      </c>
      <c r="K3605">
        <f t="shared" si="56"/>
        <v>59</v>
      </c>
      <c r="L3605" s="8" t="str" cm="1">
        <f t="array" ref="L3605">_xlfn.IFS(
 AND(K3605&gt;=89,K3605&lt;=92),"3개월",
 AND(K3605&gt;=58,K3605&lt;=62),"2개월",
 AND(K3605&gt;=28,K3605&lt;=32),"1개월",
 AND(K3605=0),"당월",
 TRUE,"그외"
)</f>
        <v>2개월</v>
      </c>
    </row>
    <row r="3606" spans="1:12" x14ac:dyDescent="0.3">
      <c r="A3606" s="5">
        <v>46082</v>
      </c>
      <c r="B3606" s="6" t="s">
        <v>40</v>
      </c>
      <c r="C3606" s="6" t="s">
        <v>91</v>
      </c>
      <c r="D3606" s="5">
        <v>46054</v>
      </c>
      <c r="E3606" s="6" t="s">
        <v>14</v>
      </c>
      <c r="F3606" s="7">
        <v>10</v>
      </c>
      <c r="G3606" s="7">
        <v>396091</v>
      </c>
      <c r="H3606" s="7">
        <v>3960910</v>
      </c>
      <c r="I3606" s="7">
        <v>817330</v>
      </c>
      <c r="J3606" s="7">
        <v>0</v>
      </c>
      <c r="K3606">
        <f t="shared" si="56"/>
        <v>28</v>
      </c>
      <c r="L3606" s="8" t="str" cm="1">
        <f t="array" ref="L3606">_xlfn.IFS(
 AND(K3606&gt;=89,K3606&lt;=92),"3개월",
 AND(K3606&gt;=58,K3606&lt;=62),"2개월",
 AND(K3606&gt;=28,K3606&lt;=32),"1개월",
 AND(K3606=0),"당월",
 TRUE,"그외"
)</f>
        <v>1개월</v>
      </c>
    </row>
    <row r="3607" spans="1:12" x14ac:dyDescent="0.3">
      <c r="A3607" s="5">
        <v>46082</v>
      </c>
      <c r="B3607" s="6" t="s">
        <v>40</v>
      </c>
      <c r="C3607" s="6" t="s">
        <v>91</v>
      </c>
      <c r="D3607" s="5">
        <v>46054</v>
      </c>
      <c r="E3607" s="6" t="s">
        <v>15</v>
      </c>
      <c r="F3607" s="7">
        <v>178</v>
      </c>
      <c r="G3607" s="7">
        <v>238987.1629213483</v>
      </c>
      <c r="H3607" s="7">
        <v>42539715</v>
      </c>
      <c r="I3607" s="7">
        <v>6547434</v>
      </c>
      <c r="J3607" s="7">
        <v>0</v>
      </c>
      <c r="K3607">
        <f t="shared" si="56"/>
        <v>28</v>
      </c>
      <c r="L3607" s="8" t="str" cm="1">
        <f t="array" ref="L3607">_xlfn.IFS(
 AND(K3607&gt;=89,K3607&lt;=92),"3개월",
 AND(K3607&gt;=58,K3607&lt;=62),"2개월",
 AND(K3607&gt;=28,K3607&lt;=32),"1개월",
 AND(K3607=0),"당월",
 TRUE,"그외"
)</f>
        <v>1개월</v>
      </c>
    </row>
    <row r="3608" spans="1:12" x14ac:dyDescent="0.3">
      <c r="A3608" s="5">
        <v>46082</v>
      </c>
      <c r="B3608" s="6" t="s">
        <v>40</v>
      </c>
      <c r="C3608" s="6" t="s">
        <v>91</v>
      </c>
      <c r="D3608" s="5">
        <v>46082</v>
      </c>
      <c r="E3608" s="6" t="s">
        <v>15</v>
      </c>
      <c r="F3608" s="7">
        <v>5</v>
      </c>
      <c r="G3608" s="7">
        <v>173195.6</v>
      </c>
      <c r="H3608" s="7">
        <v>865978</v>
      </c>
      <c r="I3608" s="7">
        <v>273226</v>
      </c>
      <c r="J3608" s="7">
        <v>0</v>
      </c>
      <c r="K3608">
        <f t="shared" si="56"/>
        <v>0</v>
      </c>
      <c r="L3608" s="8" t="str" cm="1">
        <f t="array" ref="L3608">_xlfn.IFS(
 AND(K3608&gt;=89,K3608&lt;=92),"3개월",
 AND(K3608&gt;=58,K3608&lt;=62),"2개월",
 AND(K3608&gt;=28,K3608&lt;=32),"1개월",
 AND(K3608=0),"당월",
 TRUE,"그외"
)</f>
        <v>당월</v>
      </c>
    </row>
    <row r="3609" spans="1:12" x14ac:dyDescent="0.3">
      <c r="A3609" s="5">
        <v>46082</v>
      </c>
      <c r="B3609" s="6" t="s">
        <v>40</v>
      </c>
      <c r="C3609" s="6" t="s">
        <v>42</v>
      </c>
      <c r="D3609" s="5">
        <v>45962</v>
      </c>
      <c r="E3609" s="6" t="s">
        <v>14</v>
      </c>
      <c r="F3609" s="7">
        <v>70</v>
      </c>
      <c r="G3609" s="7">
        <v>210900</v>
      </c>
      <c r="H3609" s="7">
        <v>14763000</v>
      </c>
      <c r="I3609" s="7">
        <v>1183000</v>
      </c>
      <c r="J3609" s="7">
        <v>0</v>
      </c>
      <c r="K3609">
        <f t="shared" si="56"/>
        <v>120</v>
      </c>
      <c r="L3609" s="8" t="str" cm="1">
        <f t="array" ref="L3609">_xlfn.IFS(
 AND(K3609&gt;=89,K3609&lt;=92),"3개월",
 AND(K3609&gt;=58,K3609&lt;=62),"2개월",
 AND(K3609&gt;=28,K3609&lt;=32),"1개월",
 AND(K3609=0),"당월",
 TRUE,"그외"
)</f>
        <v>그외</v>
      </c>
    </row>
    <row r="3610" spans="1:12" x14ac:dyDescent="0.3">
      <c r="A3610" s="5">
        <v>46082</v>
      </c>
      <c r="B3610" s="6" t="s">
        <v>40</v>
      </c>
      <c r="C3610" s="6" t="s">
        <v>42</v>
      </c>
      <c r="D3610" s="5">
        <v>45992</v>
      </c>
      <c r="E3610" s="6" t="s">
        <v>14</v>
      </c>
      <c r="F3610" s="7">
        <v>74</v>
      </c>
      <c r="G3610" s="7">
        <v>238767.5675675676</v>
      </c>
      <c r="H3610" s="7">
        <v>17668800</v>
      </c>
      <c r="I3610" s="7">
        <v>1494800</v>
      </c>
      <c r="J3610" s="7">
        <v>0</v>
      </c>
      <c r="K3610">
        <f t="shared" si="56"/>
        <v>90</v>
      </c>
      <c r="L3610" s="8" t="str" cm="1">
        <f t="array" ref="L3610">_xlfn.IFS(
 AND(K3610&gt;=89,K3610&lt;=92),"3개월",
 AND(K3610&gt;=58,K3610&lt;=62),"2개월",
 AND(K3610&gt;=28,K3610&lt;=32),"1개월",
 AND(K3610=0),"당월",
 TRUE,"그외"
)</f>
        <v>3개월</v>
      </c>
    </row>
    <row r="3611" spans="1:12" x14ac:dyDescent="0.3">
      <c r="A3611" s="5">
        <v>46082</v>
      </c>
      <c r="B3611" s="6" t="s">
        <v>40</v>
      </c>
      <c r="C3611" s="6" t="s">
        <v>42</v>
      </c>
      <c r="D3611" s="5">
        <v>46023</v>
      </c>
      <c r="E3611" s="6" t="s">
        <v>14</v>
      </c>
      <c r="F3611" s="7">
        <v>34</v>
      </c>
      <c r="G3611" s="7">
        <v>235129.4117647059</v>
      </c>
      <c r="H3611" s="7">
        <v>7994400</v>
      </c>
      <c r="I3611" s="7">
        <v>700400</v>
      </c>
      <c r="J3611" s="7">
        <v>0</v>
      </c>
      <c r="K3611">
        <f t="shared" si="56"/>
        <v>59</v>
      </c>
      <c r="L3611" s="8" t="str" cm="1">
        <f t="array" ref="L3611">_xlfn.IFS(
 AND(K3611&gt;=89,K3611&lt;=92),"3개월",
 AND(K3611&gt;=58,K3611&lt;=62),"2개월",
 AND(K3611&gt;=28,K3611&lt;=32),"1개월",
 AND(K3611=0),"당월",
 TRUE,"그외"
)</f>
        <v>2개월</v>
      </c>
    </row>
    <row r="3612" spans="1:12" x14ac:dyDescent="0.3">
      <c r="A3612" s="5">
        <v>46082</v>
      </c>
      <c r="B3612" s="6" t="s">
        <v>40</v>
      </c>
      <c r="C3612" s="6" t="s">
        <v>42</v>
      </c>
      <c r="D3612" s="5">
        <v>46054</v>
      </c>
      <c r="E3612" s="6" t="s">
        <v>14</v>
      </c>
      <c r="F3612" s="7">
        <v>3628</v>
      </c>
      <c r="G3612" s="7">
        <v>228811.63175303201</v>
      </c>
      <c r="H3612" s="7">
        <v>830128600</v>
      </c>
      <c r="I3612" s="7">
        <v>53331600</v>
      </c>
      <c r="J3612" s="7">
        <v>0</v>
      </c>
      <c r="K3612">
        <f t="shared" si="56"/>
        <v>28</v>
      </c>
      <c r="L3612" s="8" t="str" cm="1">
        <f t="array" ref="L3612">_xlfn.IFS(
 AND(K3612&gt;=89,K3612&lt;=92),"3개월",
 AND(K3612&gt;=58,K3612&lt;=62),"2개월",
 AND(K3612&gt;=28,K3612&lt;=32),"1개월",
 AND(K3612=0),"당월",
 TRUE,"그외"
)</f>
        <v>1개월</v>
      </c>
    </row>
    <row r="3613" spans="1:12" x14ac:dyDescent="0.3">
      <c r="A3613" s="5">
        <v>46082</v>
      </c>
      <c r="B3613" s="6" t="s">
        <v>40</v>
      </c>
      <c r="C3613" s="6" t="s">
        <v>42</v>
      </c>
      <c r="D3613" s="5">
        <v>46054</v>
      </c>
      <c r="E3613" s="6" t="s">
        <v>15</v>
      </c>
      <c r="F3613" s="7">
        <v>36</v>
      </c>
      <c r="G3613" s="7">
        <v>0</v>
      </c>
      <c r="H3613" s="7">
        <v>0</v>
      </c>
      <c r="I3613" s="7">
        <v>0</v>
      </c>
      <c r="J3613" s="7">
        <v>0</v>
      </c>
      <c r="K3613">
        <f t="shared" si="56"/>
        <v>28</v>
      </c>
      <c r="L3613" s="8" t="str" cm="1">
        <f t="array" ref="L3613">_xlfn.IFS(
 AND(K3613&gt;=89,K3613&lt;=92),"3개월",
 AND(K3613&gt;=58,K3613&lt;=62),"2개월",
 AND(K3613&gt;=28,K3613&lt;=32),"1개월",
 AND(K3613=0),"당월",
 TRUE,"그외"
)</f>
        <v>1개월</v>
      </c>
    </row>
    <row r="3614" spans="1:12" x14ac:dyDescent="0.3">
      <c r="A3614" s="5">
        <v>46082</v>
      </c>
      <c r="B3614" s="6" t="s">
        <v>40</v>
      </c>
      <c r="C3614" s="6" t="s">
        <v>42</v>
      </c>
      <c r="D3614" s="5">
        <v>46082</v>
      </c>
      <c r="E3614" s="6" t="s">
        <v>14</v>
      </c>
      <c r="F3614" s="7">
        <v>1504</v>
      </c>
      <c r="G3614" s="7">
        <v>223067.15425531921</v>
      </c>
      <c r="H3614" s="7">
        <v>335493000</v>
      </c>
      <c r="I3614" s="7">
        <v>26453000</v>
      </c>
      <c r="J3614" s="7">
        <v>0</v>
      </c>
      <c r="K3614">
        <f t="shared" si="56"/>
        <v>0</v>
      </c>
      <c r="L3614" s="8" t="str" cm="1">
        <f t="array" ref="L3614">_xlfn.IFS(
 AND(K3614&gt;=89,K3614&lt;=92),"3개월",
 AND(K3614&gt;=58,K3614&lt;=62),"2개월",
 AND(K3614&gt;=28,K3614&lt;=32),"1개월",
 AND(K3614=0),"당월",
 TRUE,"그외"
)</f>
        <v>당월</v>
      </c>
    </row>
    <row r="3615" spans="1:12" x14ac:dyDescent="0.3">
      <c r="A3615" s="5">
        <v>46082</v>
      </c>
      <c r="B3615" s="6" t="s">
        <v>40</v>
      </c>
      <c r="C3615" s="6" t="s">
        <v>42</v>
      </c>
      <c r="D3615" s="5">
        <v>46082</v>
      </c>
      <c r="E3615" s="6" t="s">
        <v>15</v>
      </c>
      <c r="F3615" s="7">
        <v>8</v>
      </c>
      <c r="G3615" s="7">
        <v>180899.25</v>
      </c>
      <c r="H3615" s="7">
        <v>1447194</v>
      </c>
      <c r="I3615" s="7">
        <v>35200</v>
      </c>
      <c r="J3615" s="7">
        <v>0</v>
      </c>
      <c r="K3615">
        <f t="shared" si="56"/>
        <v>0</v>
      </c>
      <c r="L3615" s="8" t="str" cm="1">
        <f t="array" ref="L3615">_xlfn.IFS(
 AND(K3615&gt;=89,K3615&lt;=92),"3개월",
 AND(K3615&gt;=58,K3615&lt;=62),"2개월",
 AND(K3615&gt;=28,K3615&lt;=32),"1개월",
 AND(K3615=0),"당월",
 TRUE,"그외"
)</f>
        <v>당월</v>
      </c>
    </row>
    <row r="3616" spans="1:12" x14ac:dyDescent="0.3">
      <c r="A3616" s="5">
        <v>46082</v>
      </c>
      <c r="B3616" s="6" t="s">
        <v>40</v>
      </c>
      <c r="C3616" s="6" t="s">
        <v>47</v>
      </c>
      <c r="D3616" s="5">
        <v>45839</v>
      </c>
      <c r="E3616" s="6" t="s">
        <v>15</v>
      </c>
      <c r="F3616" s="7">
        <v>27</v>
      </c>
      <c r="G3616" s="7">
        <v>112065.88888888891</v>
      </c>
      <c r="H3616" s="7">
        <v>3025779</v>
      </c>
      <c r="I3616" s="7">
        <v>549214</v>
      </c>
      <c r="J3616" s="7">
        <v>0</v>
      </c>
      <c r="K3616">
        <f t="shared" si="56"/>
        <v>243</v>
      </c>
      <c r="L3616" s="8" t="str" cm="1">
        <f t="array" ref="L3616">_xlfn.IFS(
 AND(K3616&gt;=89,K3616&lt;=92),"3개월",
 AND(K3616&gt;=58,K3616&lt;=62),"2개월",
 AND(K3616&gt;=28,K3616&lt;=32),"1개월",
 AND(K3616=0),"당월",
 TRUE,"그외"
)</f>
        <v>그외</v>
      </c>
    </row>
    <row r="3617" spans="1:12" x14ac:dyDescent="0.3">
      <c r="A3617" s="5">
        <v>46082</v>
      </c>
      <c r="B3617" s="6" t="s">
        <v>40</v>
      </c>
      <c r="C3617" s="6" t="s">
        <v>47</v>
      </c>
      <c r="D3617" s="5">
        <v>45870</v>
      </c>
      <c r="E3617" s="6" t="s">
        <v>15</v>
      </c>
      <c r="F3617" s="7">
        <v>60</v>
      </c>
      <c r="G3617" s="7">
        <v>143361.81666666671</v>
      </c>
      <c r="H3617" s="7">
        <v>8601709</v>
      </c>
      <c r="I3617" s="7">
        <v>1299494</v>
      </c>
      <c r="J3617" s="7">
        <v>0</v>
      </c>
      <c r="K3617">
        <f t="shared" si="56"/>
        <v>212</v>
      </c>
      <c r="L3617" s="8" t="str" cm="1">
        <f t="array" ref="L3617">_xlfn.IFS(
 AND(K3617&gt;=89,K3617&lt;=92),"3개월",
 AND(K3617&gt;=58,K3617&lt;=62),"2개월",
 AND(K3617&gt;=28,K3617&lt;=32),"1개월",
 AND(K3617=0),"당월",
 TRUE,"그외"
)</f>
        <v>그외</v>
      </c>
    </row>
    <row r="3618" spans="1:12" x14ac:dyDescent="0.3">
      <c r="A3618" s="5">
        <v>46082</v>
      </c>
      <c r="B3618" s="6" t="s">
        <v>40</v>
      </c>
      <c r="C3618" s="6" t="s">
        <v>47</v>
      </c>
      <c r="D3618" s="5">
        <v>45901</v>
      </c>
      <c r="E3618" s="6" t="s">
        <v>15</v>
      </c>
      <c r="F3618" s="7">
        <v>55</v>
      </c>
      <c r="G3618" s="7">
        <v>127772.0909090909</v>
      </c>
      <c r="H3618" s="7">
        <v>7027465</v>
      </c>
      <c r="I3618" s="7">
        <v>1288843</v>
      </c>
      <c r="J3618" s="7">
        <v>0</v>
      </c>
      <c r="K3618">
        <f t="shared" si="56"/>
        <v>181</v>
      </c>
      <c r="L3618" s="8" t="str" cm="1">
        <f t="array" ref="L3618">_xlfn.IFS(
 AND(K3618&gt;=89,K3618&lt;=92),"3개월",
 AND(K3618&gt;=58,K3618&lt;=62),"2개월",
 AND(K3618&gt;=28,K3618&lt;=32),"1개월",
 AND(K3618=0),"당월",
 TRUE,"그외"
)</f>
        <v>그외</v>
      </c>
    </row>
    <row r="3619" spans="1:12" x14ac:dyDescent="0.3">
      <c r="A3619" s="5">
        <v>46082</v>
      </c>
      <c r="B3619" s="6" t="s">
        <v>40</v>
      </c>
      <c r="C3619" s="6" t="s">
        <v>47</v>
      </c>
      <c r="D3619" s="5">
        <v>45931</v>
      </c>
      <c r="E3619" s="6" t="s">
        <v>15</v>
      </c>
      <c r="F3619" s="7">
        <v>156</v>
      </c>
      <c r="G3619" s="7">
        <v>125651.6153846154</v>
      </c>
      <c r="H3619" s="7">
        <v>19601652</v>
      </c>
      <c r="I3619" s="7">
        <v>3753635</v>
      </c>
      <c r="J3619" s="7">
        <v>0</v>
      </c>
      <c r="K3619">
        <f t="shared" si="56"/>
        <v>151</v>
      </c>
      <c r="L3619" s="8" t="str" cm="1">
        <f t="array" ref="L3619">_xlfn.IFS(
 AND(K3619&gt;=89,K3619&lt;=92),"3개월",
 AND(K3619&gt;=58,K3619&lt;=62),"2개월",
 AND(K3619&gt;=28,K3619&lt;=32),"1개월",
 AND(K3619=0),"당월",
 TRUE,"그외"
)</f>
        <v>그외</v>
      </c>
    </row>
    <row r="3620" spans="1:12" x14ac:dyDescent="0.3">
      <c r="A3620" s="5">
        <v>46082</v>
      </c>
      <c r="B3620" s="6" t="s">
        <v>40</v>
      </c>
      <c r="C3620" s="6" t="s">
        <v>47</v>
      </c>
      <c r="D3620" s="5">
        <v>45962</v>
      </c>
      <c r="E3620" s="6" t="s">
        <v>14</v>
      </c>
      <c r="F3620" s="7">
        <v>32</v>
      </c>
      <c r="G3620" s="7">
        <v>94600</v>
      </c>
      <c r="H3620" s="7">
        <v>3027200</v>
      </c>
      <c r="I3620" s="7">
        <v>675200</v>
      </c>
      <c r="J3620" s="7">
        <v>0</v>
      </c>
      <c r="K3620">
        <f t="shared" si="56"/>
        <v>120</v>
      </c>
      <c r="L3620" s="8" t="str" cm="1">
        <f t="array" ref="L3620">_xlfn.IFS(
 AND(K3620&gt;=89,K3620&lt;=92),"3개월",
 AND(K3620&gt;=58,K3620&lt;=62),"2개월",
 AND(K3620&gt;=28,K3620&lt;=32),"1개월",
 AND(K3620=0),"당월",
 TRUE,"그외"
)</f>
        <v>그외</v>
      </c>
    </row>
    <row r="3621" spans="1:12" x14ac:dyDescent="0.3">
      <c r="A3621" s="5">
        <v>46082</v>
      </c>
      <c r="B3621" s="6" t="s">
        <v>40</v>
      </c>
      <c r="C3621" s="6" t="s">
        <v>47</v>
      </c>
      <c r="D3621" s="5">
        <v>45962</v>
      </c>
      <c r="E3621" s="6" t="s">
        <v>15</v>
      </c>
      <c r="F3621" s="7">
        <v>301</v>
      </c>
      <c r="G3621" s="7">
        <v>135467.2558139535</v>
      </c>
      <c r="H3621" s="7">
        <v>40775644</v>
      </c>
      <c r="I3621" s="7">
        <v>7210784</v>
      </c>
      <c r="J3621" s="7">
        <v>0</v>
      </c>
      <c r="K3621">
        <f t="shared" si="56"/>
        <v>120</v>
      </c>
      <c r="L3621" s="8" t="str" cm="1">
        <f t="array" ref="L3621">_xlfn.IFS(
 AND(K3621&gt;=89,K3621&lt;=92),"3개월",
 AND(K3621&gt;=58,K3621&lt;=62),"2개월",
 AND(K3621&gt;=28,K3621&lt;=32),"1개월",
 AND(K3621=0),"당월",
 TRUE,"그외"
)</f>
        <v>그외</v>
      </c>
    </row>
    <row r="3622" spans="1:12" x14ac:dyDescent="0.3">
      <c r="A3622" s="5">
        <v>46082</v>
      </c>
      <c r="B3622" s="6" t="s">
        <v>40</v>
      </c>
      <c r="C3622" s="6" t="s">
        <v>47</v>
      </c>
      <c r="D3622" s="5">
        <v>45992</v>
      </c>
      <c r="E3622" s="6" t="s">
        <v>14</v>
      </c>
      <c r="F3622" s="7">
        <v>66</v>
      </c>
      <c r="G3622" s="7">
        <v>91863.636363636368</v>
      </c>
      <c r="H3622" s="7">
        <v>6063000</v>
      </c>
      <c r="I3622" s="7">
        <v>1617000</v>
      </c>
      <c r="J3622" s="7">
        <v>0</v>
      </c>
      <c r="K3622">
        <f t="shared" si="56"/>
        <v>90</v>
      </c>
      <c r="L3622" s="8" t="str" cm="1">
        <f t="array" ref="L3622">_xlfn.IFS(
 AND(K3622&gt;=89,K3622&lt;=92),"3개월",
 AND(K3622&gt;=58,K3622&lt;=62),"2개월",
 AND(K3622&gt;=28,K3622&lt;=32),"1개월",
 AND(K3622=0),"당월",
 TRUE,"그외"
)</f>
        <v>3개월</v>
      </c>
    </row>
    <row r="3623" spans="1:12" x14ac:dyDescent="0.3">
      <c r="A3623" s="5">
        <v>46082</v>
      </c>
      <c r="B3623" s="6" t="s">
        <v>40</v>
      </c>
      <c r="C3623" s="6" t="s">
        <v>47</v>
      </c>
      <c r="D3623" s="5">
        <v>45992</v>
      </c>
      <c r="E3623" s="6" t="s">
        <v>15</v>
      </c>
      <c r="F3623" s="7">
        <v>710</v>
      </c>
      <c r="G3623" s="7">
        <v>143049.08732394359</v>
      </c>
      <c r="H3623" s="7">
        <v>101564852</v>
      </c>
      <c r="I3623" s="7">
        <v>18272232</v>
      </c>
      <c r="J3623" s="7">
        <v>0</v>
      </c>
      <c r="K3623">
        <f t="shared" si="56"/>
        <v>90</v>
      </c>
      <c r="L3623" s="8" t="str" cm="1">
        <f t="array" ref="L3623">_xlfn.IFS(
 AND(K3623&gt;=89,K3623&lt;=92),"3개월",
 AND(K3623&gt;=58,K3623&lt;=62),"2개월",
 AND(K3623&gt;=28,K3623&lt;=32),"1개월",
 AND(K3623=0),"당월",
 TRUE,"그외"
)</f>
        <v>3개월</v>
      </c>
    </row>
    <row r="3624" spans="1:12" x14ac:dyDescent="0.3">
      <c r="A3624" s="5">
        <v>46082</v>
      </c>
      <c r="B3624" s="6" t="s">
        <v>40</v>
      </c>
      <c r="C3624" s="6" t="s">
        <v>47</v>
      </c>
      <c r="D3624" s="5">
        <v>46023</v>
      </c>
      <c r="E3624" s="6" t="s">
        <v>14</v>
      </c>
      <c r="F3624" s="7">
        <v>179</v>
      </c>
      <c r="G3624" s="7">
        <v>84497.206703910619</v>
      </c>
      <c r="H3624" s="7">
        <v>15125000</v>
      </c>
      <c r="I3624" s="7">
        <v>4475000</v>
      </c>
      <c r="J3624" s="7">
        <v>0</v>
      </c>
      <c r="K3624">
        <f t="shared" si="56"/>
        <v>59</v>
      </c>
      <c r="L3624" s="8" t="str" cm="1">
        <f t="array" ref="L3624">_xlfn.IFS(
 AND(K3624&gt;=89,K3624&lt;=92),"3개월",
 AND(K3624&gt;=58,K3624&lt;=62),"2개월",
 AND(K3624&gt;=28,K3624&lt;=32),"1개월",
 AND(K3624=0),"당월",
 TRUE,"그외"
)</f>
        <v>2개월</v>
      </c>
    </row>
    <row r="3625" spans="1:12" x14ac:dyDescent="0.3">
      <c r="A3625" s="5">
        <v>46082</v>
      </c>
      <c r="B3625" s="6" t="s">
        <v>40</v>
      </c>
      <c r="C3625" s="6" t="s">
        <v>47</v>
      </c>
      <c r="D3625" s="5">
        <v>46023</v>
      </c>
      <c r="E3625" s="6" t="s">
        <v>15</v>
      </c>
      <c r="F3625" s="7">
        <v>1738</v>
      </c>
      <c r="G3625" s="7">
        <v>161124.3751438435</v>
      </c>
      <c r="H3625" s="7">
        <v>280034164</v>
      </c>
      <c r="I3625" s="7">
        <v>52928149</v>
      </c>
      <c r="J3625" s="7">
        <v>0</v>
      </c>
      <c r="K3625">
        <f t="shared" si="56"/>
        <v>59</v>
      </c>
      <c r="L3625" s="8" t="str" cm="1">
        <f t="array" ref="L3625">_xlfn.IFS(
 AND(K3625&gt;=89,K3625&lt;=92),"3개월",
 AND(K3625&gt;=58,K3625&lt;=62),"2개월",
 AND(K3625&gt;=28,K3625&lt;=32),"1개월",
 AND(K3625=0),"당월",
 TRUE,"그외"
)</f>
        <v>2개월</v>
      </c>
    </row>
    <row r="3626" spans="1:12" x14ac:dyDescent="0.3">
      <c r="A3626" s="5">
        <v>46082</v>
      </c>
      <c r="B3626" s="6" t="s">
        <v>40</v>
      </c>
      <c r="C3626" s="6" t="s">
        <v>47</v>
      </c>
      <c r="D3626" s="5">
        <v>46054</v>
      </c>
      <c r="E3626" s="6" t="s">
        <v>14</v>
      </c>
      <c r="F3626" s="7">
        <v>1580</v>
      </c>
      <c r="G3626" s="7">
        <v>110109.66329113919</v>
      </c>
      <c r="H3626" s="7">
        <v>173973268</v>
      </c>
      <c r="I3626" s="7">
        <v>34169567</v>
      </c>
      <c r="J3626" s="7">
        <v>0</v>
      </c>
      <c r="K3626">
        <f t="shared" si="56"/>
        <v>28</v>
      </c>
      <c r="L3626" s="8" t="str" cm="1">
        <f t="array" ref="L3626">_xlfn.IFS(
 AND(K3626&gt;=89,K3626&lt;=92),"3개월",
 AND(K3626&gt;=58,K3626&lt;=62),"2개월",
 AND(K3626&gt;=28,K3626&lt;=32),"1개월",
 AND(K3626=0),"당월",
 TRUE,"그외"
)</f>
        <v>1개월</v>
      </c>
    </row>
    <row r="3627" spans="1:12" x14ac:dyDescent="0.3">
      <c r="A3627" s="5">
        <v>46082</v>
      </c>
      <c r="B3627" s="6" t="s">
        <v>40</v>
      </c>
      <c r="C3627" s="6" t="s">
        <v>47</v>
      </c>
      <c r="D3627" s="5">
        <v>46054</v>
      </c>
      <c r="E3627" s="6" t="s">
        <v>15</v>
      </c>
      <c r="F3627" s="7">
        <v>4332</v>
      </c>
      <c r="G3627" s="7">
        <v>145920.823176362</v>
      </c>
      <c r="H3627" s="7">
        <v>632129006</v>
      </c>
      <c r="I3627" s="7">
        <v>95515120</v>
      </c>
      <c r="J3627" s="7">
        <v>0</v>
      </c>
      <c r="K3627">
        <f t="shared" si="56"/>
        <v>28</v>
      </c>
      <c r="L3627" s="8" t="str" cm="1">
        <f t="array" ref="L3627">_xlfn.IFS(
 AND(K3627&gt;=89,K3627&lt;=92),"3개월",
 AND(K3627&gt;=58,K3627&lt;=62),"2개월",
 AND(K3627&gt;=28,K3627&lt;=32),"1개월",
 AND(K3627=0),"당월",
 TRUE,"그외"
)</f>
        <v>1개월</v>
      </c>
    </row>
    <row r="3628" spans="1:12" x14ac:dyDescent="0.3">
      <c r="A3628" s="5">
        <v>46082</v>
      </c>
      <c r="B3628" s="6" t="s">
        <v>40</v>
      </c>
      <c r="C3628" s="6" t="s">
        <v>47</v>
      </c>
      <c r="D3628" s="5">
        <v>46082</v>
      </c>
      <c r="E3628" s="6" t="s">
        <v>14</v>
      </c>
      <c r="F3628" s="7">
        <v>3127</v>
      </c>
      <c r="G3628" s="7">
        <v>109294.5759513911</v>
      </c>
      <c r="H3628" s="7">
        <v>341764139</v>
      </c>
      <c r="I3628" s="7">
        <v>82262632</v>
      </c>
      <c r="J3628" s="7">
        <v>0</v>
      </c>
      <c r="K3628">
        <f t="shared" si="56"/>
        <v>0</v>
      </c>
      <c r="L3628" s="8" t="str" cm="1">
        <f t="array" ref="L3628">_xlfn.IFS(
 AND(K3628&gt;=89,K3628&lt;=92),"3개월",
 AND(K3628&gt;=58,K3628&lt;=62),"2개월",
 AND(K3628&gt;=28,K3628&lt;=32),"1개월",
 AND(K3628=0),"당월",
 TRUE,"그외"
)</f>
        <v>당월</v>
      </c>
    </row>
    <row r="3629" spans="1:12" x14ac:dyDescent="0.3">
      <c r="A3629" s="5">
        <v>46082</v>
      </c>
      <c r="B3629" s="6" t="s">
        <v>40</v>
      </c>
      <c r="C3629" s="6" t="s">
        <v>47</v>
      </c>
      <c r="D3629" s="5">
        <v>46082</v>
      </c>
      <c r="E3629" s="6" t="s">
        <v>15</v>
      </c>
      <c r="F3629" s="7">
        <v>5092</v>
      </c>
      <c r="G3629" s="7">
        <v>156940.5777690495</v>
      </c>
      <c r="H3629" s="7">
        <v>799141422</v>
      </c>
      <c r="I3629" s="7">
        <v>126729883</v>
      </c>
      <c r="J3629" s="7">
        <v>0</v>
      </c>
      <c r="K3629">
        <f t="shared" si="56"/>
        <v>0</v>
      </c>
      <c r="L3629" s="8" t="str" cm="1">
        <f t="array" ref="L3629">_xlfn.IFS(
 AND(K3629&gt;=89,K3629&lt;=92),"3개월",
 AND(K3629&gt;=58,K3629&lt;=62),"2개월",
 AND(K3629&gt;=28,K3629&lt;=32),"1개월",
 AND(K3629=0),"당월",
 TRUE,"그외"
)</f>
        <v>당월</v>
      </c>
    </row>
    <row r="3630" spans="1:12" x14ac:dyDescent="0.3">
      <c r="A3630" s="5">
        <v>46082</v>
      </c>
      <c r="B3630" s="6" t="s">
        <v>40</v>
      </c>
      <c r="C3630" s="6" t="s">
        <v>48</v>
      </c>
      <c r="D3630" s="5">
        <v>46023</v>
      </c>
      <c r="E3630" s="6" t="s">
        <v>15</v>
      </c>
      <c r="F3630" s="7">
        <v>60</v>
      </c>
      <c r="G3630" s="7">
        <v>179272.16666666669</v>
      </c>
      <c r="H3630" s="7">
        <v>10756330</v>
      </c>
      <c r="I3630" s="7">
        <v>1949134</v>
      </c>
      <c r="J3630" s="7">
        <v>0</v>
      </c>
      <c r="K3630">
        <f t="shared" si="56"/>
        <v>59</v>
      </c>
      <c r="L3630" s="8" t="str" cm="1">
        <f t="array" ref="L3630">_xlfn.IFS(
 AND(K3630&gt;=89,K3630&lt;=92),"3개월",
 AND(K3630&gt;=58,K3630&lt;=62),"2개월",
 AND(K3630&gt;=28,K3630&lt;=32),"1개월",
 AND(K3630=0),"당월",
 TRUE,"그외"
)</f>
        <v>2개월</v>
      </c>
    </row>
    <row r="3631" spans="1:12" x14ac:dyDescent="0.3">
      <c r="A3631" s="5">
        <v>46082</v>
      </c>
      <c r="B3631" s="6" t="s">
        <v>40</v>
      </c>
      <c r="C3631" s="6" t="s">
        <v>48</v>
      </c>
      <c r="D3631" s="5">
        <v>46054</v>
      </c>
      <c r="E3631" s="6" t="s">
        <v>14</v>
      </c>
      <c r="F3631" s="7">
        <v>14</v>
      </c>
      <c r="G3631" s="7">
        <v>20716.78571428571</v>
      </c>
      <c r="H3631" s="7">
        <v>290035</v>
      </c>
      <c r="I3631" s="7">
        <v>290035</v>
      </c>
      <c r="J3631" s="7">
        <v>0</v>
      </c>
      <c r="K3631">
        <f t="shared" si="56"/>
        <v>28</v>
      </c>
      <c r="L3631" s="8" t="str" cm="1">
        <f t="array" ref="L3631">_xlfn.IFS(
 AND(K3631&gt;=89,K3631&lt;=92),"3개월",
 AND(K3631&gt;=58,K3631&lt;=62),"2개월",
 AND(K3631&gt;=28,K3631&lt;=32),"1개월",
 AND(K3631=0),"당월",
 TRUE,"그외"
)</f>
        <v>1개월</v>
      </c>
    </row>
    <row r="3632" spans="1:12" x14ac:dyDescent="0.3">
      <c r="A3632" s="5">
        <v>46082</v>
      </c>
      <c r="B3632" s="6" t="s">
        <v>40</v>
      </c>
      <c r="C3632" s="6" t="s">
        <v>48</v>
      </c>
      <c r="D3632" s="5">
        <v>46054</v>
      </c>
      <c r="E3632" s="6" t="s">
        <v>15</v>
      </c>
      <c r="F3632" s="7">
        <v>206</v>
      </c>
      <c r="G3632" s="7">
        <v>129086.1796116505</v>
      </c>
      <c r="H3632" s="7">
        <v>26591753</v>
      </c>
      <c r="I3632" s="7">
        <v>4198354</v>
      </c>
      <c r="J3632" s="7">
        <v>0</v>
      </c>
      <c r="K3632">
        <f t="shared" si="56"/>
        <v>28</v>
      </c>
      <c r="L3632" s="8" t="str" cm="1">
        <f t="array" ref="L3632">_xlfn.IFS(
 AND(K3632&gt;=89,K3632&lt;=92),"3개월",
 AND(K3632&gt;=58,K3632&lt;=62),"2개월",
 AND(K3632&gt;=28,K3632&lt;=32),"1개월",
 AND(K3632=0),"당월",
 TRUE,"그외"
)</f>
        <v>1개월</v>
      </c>
    </row>
    <row r="3633" spans="1:12" x14ac:dyDescent="0.3">
      <c r="A3633" s="5">
        <v>46082</v>
      </c>
      <c r="B3633" s="6" t="s">
        <v>40</v>
      </c>
      <c r="C3633" s="6" t="s">
        <v>48</v>
      </c>
      <c r="D3633" s="5">
        <v>46082</v>
      </c>
      <c r="E3633" s="6" t="s">
        <v>14</v>
      </c>
      <c r="F3633" s="7">
        <v>569</v>
      </c>
      <c r="G3633" s="7">
        <v>128091.9244288225</v>
      </c>
      <c r="H3633" s="7">
        <v>72884305</v>
      </c>
      <c r="I3633" s="7">
        <v>17627976</v>
      </c>
      <c r="J3633" s="7">
        <v>0</v>
      </c>
      <c r="K3633">
        <f t="shared" si="56"/>
        <v>0</v>
      </c>
      <c r="L3633" s="8" t="str" cm="1">
        <f t="array" ref="L3633">_xlfn.IFS(
 AND(K3633&gt;=89,K3633&lt;=92),"3개월",
 AND(K3633&gt;=58,K3633&lt;=62),"2개월",
 AND(K3633&gt;=28,K3633&lt;=32),"1개월",
 AND(K3633=0),"당월",
 TRUE,"그외"
)</f>
        <v>당월</v>
      </c>
    </row>
    <row r="3634" spans="1:12" x14ac:dyDescent="0.3">
      <c r="A3634" s="5">
        <v>46082</v>
      </c>
      <c r="B3634" s="6" t="s">
        <v>40</v>
      </c>
      <c r="C3634" s="6" t="s">
        <v>48</v>
      </c>
      <c r="D3634" s="5">
        <v>46082</v>
      </c>
      <c r="E3634" s="6" t="s">
        <v>15</v>
      </c>
      <c r="F3634" s="7">
        <v>76</v>
      </c>
      <c r="G3634" s="7">
        <v>116431.68421052631</v>
      </c>
      <c r="H3634" s="7">
        <v>8848808</v>
      </c>
      <c r="I3634" s="7">
        <v>1809728</v>
      </c>
      <c r="J3634" s="7">
        <v>0</v>
      </c>
      <c r="K3634">
        <f t="shared" si="56"/>
        <v>0</v>
      </c>
      <c r="L3634" s="8" t="str" cm="1">
        <f t="array" ref="L3634">_xlfn.IFS(
 AND(K3634&gt;=89,K3634&lt;=92),"3개월",
 AND(K3634&gt;=58,K3634&lt;=62),"2개월",
 AND(K3634&gt;=28,K3634&lt;=32),"1개월",
 AND(K3634=0),"당월",
 TRUE,"그외"
)</f>
        <v>당월</v>
      </c>
    </row>
    <row r="3635" spans="1:12" x14ac:dyDescent="0.3">
      <c r="A3635" s="5">
        <v>46082</v>
      </c>
      <c r="B3635" s="6" t="s">
        <v>40</v>
      </c>
      <c r="C3635" s="6" t="s">
        <v>49</v>
      </c>
      <c r="D3635" s="5">
        <v>46023</v>
      </c>
      <c r="E3635" s="6" t="s">
        <v>14</v>
      </c>
      <c r="F3635" s="7">
        <v>65</v>
      </c>
      <c r="G3635" s="7">
        <v>0</v>
      </c>
      <c r="H3635" s="7">
        <v>0</v>
      </c>
      <c r="I3635" s="7">
        <v>0</v>
      </c>
      <c r="J3635" s="7">
        <v>0</v>
      </c>
      <c r="K3635">
        <f t="shared" si="56"/>
        <v>59</v>
      </c>
      <c r="L3635" s="8" t="str" cm="1">
        <f t="array" ref="L3635">_xlfn.IFS(
 AND(K3635&gt;=89,K3635&lt;=92),"3개월",
 AND(K3635&gt;=58,K3635&lt;=62),"2개월",
 AND(K3635&gt;=28,K3635&lt;=32),"1개월",
 AND(K3635=0),"당월",
 TRUE,"그외"
)</f>
        <v>2개월</v>
      </c>
    </row>
    <row r="3636" spans="1:12" x14ac:dyDescent="0.3">
      <c r="A3636" s="5">
        <v>46082</v>
      </c>
      <c r="B3636" s="6" t="s">
        <v>40</v>
      </c>
      <c r="C3636" s="6" t="s">
        <v>49</v>
      </c>
      <c r="D3636" s="5">
        <v>46023</v>
      </c>
      <c r="E3636" s="6" t="s">
        <v>15</v>
      </c>
      <c r="F3636" s="7">
        <v>30</v>
      </c>
      <c r="G3636" s="7">
        <v>0</v>
      </c>
      <c r="H3636" s="7">
        <v>0</v>
      </c>
      <c r="I3636" s="7">
        <v>0</v>
      </c>
      <c r="J3636" s="7">
        <v>0</v>
      </c>
      <c r="K3636">
        <f t="shared" si="56"/>
        <v>59</v>
      </c>
      <c r="L3636" s="8" t="str" cm="1">
        <f t="array" ref="L3636">_xlfn.IFS(
 AND(K3636&gt;=89,K3636&lt;=92),"3개월",
 AND(K3636&gt;=58,K3636&lt;=62),"2개월",
 AND(K3636&gt;=28,K3636&lt;=32),"1개월",
 AND(K3636=0),"당월",
 TRUE,"그외"
)</f>
        <v>2개월</v>
      </c>
    </row>
    <row r="3637" spans="1:12" x14ac:dyDescent="0.3">
      <c r="A3637" s="5">
        <v>46082</v>
      </c>
      <c r="B3637" s="6" t="s">
        <v>40</v>
      </c>
      <c r="C3637" s="6" t="s">
        <v>49</v>
      </c>
      <c r="D3637" s="5">
        <v>46054</v>
      </c>
      <c r="E3637" s="6" t="s">
        <v>14</v>
      </c>
      <c r="F3637" s="7">
        <v>329</v>
      </c>
      <c r="G3637" s="7">
        <v>75014.28571428571</v>
      </c>
      <c r="H3637" s="7">
        <v>24679700</v>
      </c>
      <c r="I3637" s="7">
        <v>0</v>
      </c>
      <c r="J3637" s="7">
        <v>0</v>
      </c>
      <c r="K3637">
        <f t="shared" si="56"/>
        <v>28</v>
      </c>
      <c r="L3637" s="8" t="str" cm="1">
        <f t="array" ref="L3637">_xlfn.IFS(
 AND(K3637&gt;=89,K3637&lt;=92),"3개월",
 AND(K3637&gt;=58,K3637&lt;=62),"2개월",
 AND(K3637&gt;=28,K3637&lt;=32),"1개월",
 AND(K3637=0),"당월",
 TRUE,"그외"
)</f>
        <v>1개월</v>
      </c>
    </row>
    <row r="3638" spans="1:12" x14ac:dyDescent="0.3">
      <c r="A3638" s="5">
        <v>46082</v>
      </c>
      <c r="B3638" s="6" t="s">
        <v>40</v>
      </c>
      <c r="C3638" s="6" t="s">
        <v>49</v>
      </c>
      <c r="D3638" s="5">
        <v>46054</v>
      </c>
      <c r="E3638" s="6" t="s">
        <v>15</v>
      </c>
      <c r="F3638" s="7">
        <v>21</v>
      </c>
      <c r="G3638" s="7">
        <v>0</v>
      </c>
      <c r="H3638" s="7">
        <v>0</v>
      </c>
      <c r="I3638" s="7">
        <v>0</v>
      </c>
      <c r="J3638" s="7">
        <v>0</v>
      </c>
      <c r="K3638">
        <f t="shared" si="56"/>
        <v>28</v>
      </c>
      <c r="L3638" s="8" t="str" cm="1">
        <f t="array" ref="L3638">_xlfn.IFS(
 AND(K3638&gt;=89,K3638&lt;=92),"3개월",
 AND(K3638&gt;=58,K3638&lt;=62),"2개월",
 AND(K3638&gt;=28,K3638&lt;=32),"1개월",
 AND(K3638=0),"당월",
 TRUE,"그외"
)</f>
        <v>1개월</v>
      </c>
    </row>
    <row r="3639" spans="1:12" x14ac:dyDescent="0.3">
      <c r="A3639" s="5">
        <v>46082</v>
      </c>
      <c r="B3639" s="6" t="s">
        <v>40</v>
      </c>
      <c r="C3639" s="6" t="s">
        <v>49</v>
      </c>
      <c r="D3639" s="5">
        <v>46082</v>
      </c>
      <c r="E3639" s="6" t="s">
        <v>14</v>
      </c>
      <c r="F3639" s="7">
        <v>1169</v>
      </c>
      <c r="G3639" s="7">
        <v>343208.55431993149</v>
      </c>
      <c r="H3639" s="7">
        <v>401210800</v>
      </c>
      <c r="I3639" s="7">
        <v>0</v>
      </c>
      <c r="J3639" s="7">
        <v>0</v>
      </c>
      <c r="K3639">
        <f t="shared" si="56"/>
        <v>0</v>
      </c>
      <c r="L3639" s="8" t="str" cm="1">
        <f t="array" ref="L3639">_xlfn.IFS(
 AND(K3639&gt;=89,K3639&lt;=92),"3개월",
 AND(K3639&gt;=58,K3639&lt;=62),"2개월",
 AND(K3639&gt;=28,K3639&lt;=32),"1개월",
 AND(K3639=0),"당월",
 TRUE,"그외"
)</f>
        <v>당월</v>
      </c>
    </row>
    <row r="3640" spans="1:12" x14ac:dyDescent="0.3">
      <c r="A3640" s="5">
        <v>46082</v>
      </c>
      <c r="B3640" s="6" t="s">
        <v>40</v>
      </c>
      <c r="C3640" s="6" t="s">
        <v>49</v>
      </c>
      <c r="D3640" s="5">
        <v>46082</v>
      </c>
      <c r="E3640" s="6" t="s">
        <v>15</v>
      </c>
      <c r="F3640" s="7">
        <v>1</v>
      </c>
      <c r="G3640" s="7">
        <v>547331</v>
      </c>
      <c r="H3640" s="7">
        <v>547331</v>
      </c>
      <c r="I3640" s="7">
        <v>40167</v>
      </c>
      <c r="J3640" s="7">
        <v>0</v>
      </c>
      <c r="K3640">
        <f t="shared" si="56"/>
        <v>0</v>
      </c>
      <c r="L3640" s="8" t="str" cm="1">
        <f t="array" ref="L3640">_xlfn.IFS(
 AND(K3640&gt;=89,K3640&lt;=92),"3개월",
 AND(K3640&gt;=58,K3640&lt;=62),"2개월",
 AND(K3640&gt;=28,K3640&lt;=32),"1개월",
 AND(K3640=0),"당월",
 TRUE,"그외"
)</f>
        <v>당월</v>
      </c>
    </row>
    <row r="3641" spans="1:12" x14ac:dyDescent="0.3">
      <c r="A3641" s="5">
        <v>46082</v>
      </c>
      <c r="B3641" s="6" t="s">
        <v>50</v>
      </c>
      <c r="C3641" s="6" t="s">
        <v>51</v>
      </c>
      <c r="D3641" s="5">
        <v>45839</v>
      </c>
      <c r="E3641" s="6" t="s">
        <v>15</v>
      </c>
      <c r="F3641" s="7">
        <v>7</v>
      </c>
      <c r="G3641" s="7">
        <v>190252.8571428571</v>
      </c>
      <c r="H3641" s="7">
        <v>1331770</v>
      </c>
      <c r="I3641" s="7">
        <v>100215</v>
      </c>
      <c r="J3641" s="7">
        <v>0</v>
      </c>
      <c r="K3641">
        <f t="shared" si="56"/>
        <v>243</v>
      </c>
      <c r="L3641" s="8" t="str" cm="1">
        <f t="array" ref="L3641">_xlfn.IFS(
 AND(K3641&gt;=89,K3641&lt;=92),"3개월",
 AND(K3641&gt;=58,K3641&lt;=62),"2개월",
 AND(K3641&gt;=28,K3641&lt;=32),"1개월",
 AND(K3641=0),"당월",
 TRUE,"그외"
)</f>
        <v>그외</v>
      </c>
    </row>
    <row r="3642" spans="1:12" x14ac:dyDescent="0.3">
      <c r="A3642" s="5">
        <v>46082</v>
      </c>
      <c r="B3642" s="6" t="s">
        <v>50</v>
      </c>
      <c r="C3642" s="6" t="s">
        <v>51</v>
      </c>
      <c r="D3642" s="5">
        <v>45870</v>
      </c>
      <c r="E3642" s="6" t="s">
        <v>15</v>
      </c>
      <c r="F3642" s="7">
        <v>54</v>
      </c>
      <c r="G3642" s="7">
        <v>189282</v>
      </c>
      <c r="H3642" s="7">
        <v>10221228</v>
      </c>
      <c r="I3642" s="7">
        <v>1664479</v>
      </c>
      <c r="J3642" s="7">
        <v>0</v>
      </c>
      <c r="K3642">
        <f t="shared" si="56"/>
        <v>212</v>
      </c>
      <c r="L3642" s="8" t="str" cm="1">
        <f t="array" ref="L3642">_xlfn.IFS(
 AND(K3642&gt;=89,K3642&lt;=92),"3개월",
 AND(K3642&gt;=58,K3642&lt;=62),"2개월",
 AND(K3642&gt;=28,K3642&lt;=32),"1개월",
 AND(K3642=0),"당월",
 TRUE,"그외"
)</f>
        <v>그외</v>
      </c>
    </row>
    <row r="3643" spans="1:12" x14ac:dyDescent="0.3">
      <c r="A3643" s="5">
        <v>46082</v>
      </c>
      <c r="B3643" s="6" t="s">
        <v>50</v>
      </c>
      <c r="C3643" s="6" t="s">
        <v>51</v>
      </c>
      <c r="D3643" s="5">
        <v>45901</v>
      </c>
      <c r="E3643" s="6" t="s">
        <v>15</v>
      </c>
      <c r="F3643" s="7">
        <v>43</v>
      </c>
      <c r="G3643" s="7">
        <v>194122.23255813951</v>
      </c>
      <c r="H3643" s="7">
        <v>8347256</v>
      </c>
      <c r="I3643" s="7">
        <v>1398993</v>
      </c>
      <c r="J3643" s="7">
        <v>0</v>
      </c>
      <c r="K3643">
        <f t="shared" si="56"/>
        <v>181</v>
      </c>
      <c r="L3643" s="8" t="str" cm="1">
        <f t="array" ref="L3643">_xlfn.IFS(
 AND(K3643&gt;=89,K3643&lt;=92),"3개월",
 AND(K3643&gt;=58,K3643&lt;=62),"2개월",
 AND(K3643&gt;=28,K3643&lt;=32),"1개월",
 AND(K3643=0),"당월",
 TRUE,"그외"
)</f>
        <v>그외</v>
      </c>
    </row>
    <row r="3644" spans="1:12" x14ac:dyDescent="0.3">
      <c r="A3644" s="5">
        <v>46082</v>
      </c>
      <c r="B3644" s="6" t="s">
        <v>50</v>
      </c>
      <c r="C3644" s="6" t="s">
        <v>51</v>
      </c>
      <c r="D3644" s="5">
        <v>45931</v>
      </c>
      <c r="E3644" s="6" t="s">
        <v>15</v>
      </c>
      <c r="F3644" s="7">
        <v>91</v>
      </c>
      <c r="G3644" s="7">
        <v>182068.05494505499</v>
      </c>
      <c r="H3644" s="7">
        <v>16568193</v>
      </c>
      <c r="I3644" s="7">
        <v>2118296</v>
      </c>
      <c r="J3644" s="7">
        <v>0</v>
      </c>
      <c r="K3644">
        <f t="shared" si="56"/>
        <v>151</v>
      </c>
      <c r="L3644" s="8" t="str" cm="1">
        <f t="array" ref="L3644">_xlfn.IFS(
 AND(K3644&gt;=89,K3644&lt;=92),"3개월",
 AND(K3644&gt;=58,K3644&lt;=62),"2개월",
 AND(K3644&gt;=28,K3644&lt;=32),"1개월",
 AND(K3644=0),"당월",
 TRUE,"그외"
)</f>
        <v>그외</v>
      </c>
    </row>
    <row r="3645" spans="1:12" x14ac:dyDescent="0.3">
      <c r="A3645" s="5">
        <v>46082</v>
      </c>
      <c r="B3645" s="6" t="s">
        <v>50</v>
      </c>
      <c r="C3645" s="6" t="s">
        <v>51</v>
      </c>
      <c r="D3645" s="5">
        <v>45962</v>
      </c>
      <c r="E3645" s="6" t="s">
        <v>14</v>
      </c>
      <c r="F3645" s="7">
        <v>1</v>
      </c>
      <c r="G3645" s="7">
        <v>216900</v>
      </c>
      <c r="H3645" s="7">
        <v>216900</v>
      </c>
      <c r="I3645" s="7">
        <v>16900</v>
      </c>
      <c r="J3645" s="7">
        <v>0</v>
      </c>
      <c r="K3645">
        <f t="shared" si="56"/>
        <v>120</v>
      </c>
      <c r="L3645" s="8" t="str" cm="1">
        <f t="array" ref="L3645">_xlfn.IFS(
 AND(K3645&gt;=89,K3645&lt;=92),"3개월",
 AND(K3645&gt;=58,K3645&lt;=62),"2개월",
 AND(K3645&gt;=28,K3645&lt;=32),"1개월",
 AND(K3645=0),"당월",
 TRUE,"그외"
)</f>
        <v>그외</v>
      </c>
    </row>
    <row r="3646" spans="1:12" x14ac:dyDescent="0.3">
      <c r="A3646" s="5">
        <v>46082</v>
      </c>
      <c r="B3646" s="6" t="s">
        <v>50</v>
      </c>
      <c r="C3646" s="6" t="s">
        <v>51</v>
      </c>
      <c r="D3646" s="5">
        <v>45962</v>
      </c>
      <c r="E3646" s="6" t="s">
        <v>15</v>
      </c>
      <c r="F3646" s="7">
        <v>169</v>
      </c>
      <c r="G3646" s="7">
        <v>202909.3846153846</v>
      </c>
      <c r="H3646" s="7">
        <v>34291686</v>
      </c>
      <c r="I3646" s="7">
        <v>4535371</v>
      </c>
      <c r="J3646" s="7">
        <v>0</v>
      </c>
      <c r="K3646">
        <f t="shared" si="56"/>
        <v>120</v>
      </c>
      <c r="L3646" s="8" t="str" cm="1">
        <f t="array" ref="L3646">_xlfn.IFS(
 AND(K3646&gt;=89,K3646&lt;=92),"3개월",
 AND(K3646&gt;=58,K3646&lt;=62),"2개월",
 AND(K3646&gt;=28,K3646&lt;=32),"1개월",
 AND(K3646=0),"당월",
 TRUE,"그외"
)</f>
        <v>그외</v>
      </c>
    </row>
    <row r="3647" spans="1:12" x14ac:dyDescent="0.3">
      <c r="A3647" s="5">
        <v>46082</v>
      </c>
      <c r="B3647" s="6" t="s">
        <v>50</v>
      </c>
      <c r="C3647" s="6" t="s">
        <v>51</v>
      </c>
      <c r="D3647" s="5">
        <v>45992</v>
      </c>
      <c r="E3647" s="6" t="s">
        <v>15</v>
      </c>
      <c r="F3647" s="7">
        <v>327</v>
      </c>
      <c r="G3647" s="7">
        <v>202906.27522935779</v>
      </c>
      <c r="H3647" s="7">
        <v>66350352</v>
      </c>
      <c r="I3647" s="7">
        <v>8416261</v>
      </c>
      <c r="J3647" s="7">
        <v>0</v>
      </c>
      <c r="K3647">
        <f t="shared" si="56"/>
        <v>90</v>
      </c>
      <c r="L3647" s="8" t="str" cm="1">
        <f t="array" ref="L3647">_xlfn.IFS(
 AND(K3647&gt;=89,K3647&lt;=92),"3개월",
 AND(K3647&gt;=58,K3647&lt;=62),"2개월",
 AND(K3647&gt;=28,K3647&lt;=32),"1개월",
 AND(K3647=0),"당월",
 TRUE,"그외"
)</f>
        <v>3개월</v>
      </c>
    </row>
    <row r="3648" spans="1:12" x14ac:dyDescent="0.3">
      <c r="A3648" s="5">
        <v>46082</v>
      </c>
      <c r="B3648" s="6" t="s">
        <v>50</v>
      </c>
      <c r="C3648" s="6" t="s">
        <v>51</v>
      </c>
      <c r="D3648" s="5">
        <v>46023</v>
      </c>
      <c r="E3648" s="6" t="s">
        <v>14</v>
      </c>
      <c r="F3648" s="7">
        <v>34</v>
      </c>
      <c r="G3648" s="7">
        <v>164679.4117647059</v>
      </c>
      <c r="H3648" s="7">
        <v>5599100</v>
      </c>
      <c r="I3648" s="7">
        <v>1323014</v>
      </c>
      <c r="J3648" s="7">
        <v>0</v>
      </c>
      <c r="K3648">
        <f t="shared" si="56"/>
        <v>59</v>
      </c>
      <c r="L3648" s="8" t="str" cm="1">
        <f t="array" ref="L3648">_xlfn.IFS(
 AND(K3648&gt;=89,K3648&lt;=92),"3개월",
 AND(K3648&gt;=58,K3648&lt;=62),"2개월",
 AND(K3648&gt;=28,K3648&lt;=32),"1개월",
 AND(K3648=0),"당월",
 TRUE,"그외"
)</f>
        <v>2개월</v>
      </c>
    </row>
    <row r="3649" spans="1:12" x14ac:dyDescent="0.3">
      <c r="A3649" s="5">
        <v>46082</v>
      </c>
      <c r="B3649" s="6" t="s">
        <v>50</v>
      </c>
      <c r="C3649" s="6" t="s">
        <v>51</v>
      </c>
      <c r="D3649" s="5">
        <v>46023</v>
      </c>
      <c r="E3649" s="6" t="s">
        <v>15</v>
      </c>
      <c r="F3649" s="7">
        <v>1480</v>
      </c>
      <c r="G3649" s="7">
        <v>191618.06621621619</v>
      </c>
      <c r="H3649" s="7">
        <v>283594738</v>
      </c>
      <c r="I3649" s="7">
        <v>42726525</v>
      </c>
      <c r="J3649" s="7">
        <v>0</v>
      </c>
      <c r="K3649">
        <f t="shared" si="56"/>
        <v>59</v>
      </c>
      <c r="L3649" s="8" t="str" cm="1">
        <f t="array" ref="L3649">_xlfn.IFS(
 AND(K3649&gt;=89,K3649&lt;=92),"3개월",
 AND(K3649&gt;=58,K3649&lt;=62),"2개월",
 AND(K3649&gt;=28,K3649&lt;=32),"1개월",
 AND(K3649=0),"당월",
 TRUE,"그외"
)</f>
        <v>2개월</v>
      </c>
    </row>
    <row r="3650" spans="1:12" x14ac:dyDescent="0.3">
      <c r="A3650" s="5">
        <v>46082</v>
      </c>
      <c r="B3650" s="6" t="s">
        <v>50</v>
      </c>
      <c r="C3650" s="6" t="s">
        <v>51</v>
      </c>
      <c r="D3650" s="5">
        <v>46054</v>
      </c>
      <c r="E3650" s="6" t="s">
        <v>14</v>
      </c>
      <c r="F3650" s="7">
        <v>362</v>
      </c>
      <c r="G3650" s="7">
        <v>183684.48618784529</v>
      </c>
      <c r="H3650" s="7">
        <v>66493784</v>
      </c>
      <c r="I3650" s="7">
        <v>5428344</v>
      </c>
      <c r="J3650" s="7">
        <v>0</v>
      </c>
      <c r="K3650">
        <f t="shared" si="56"/>
        <v>28</v>
      </c>
      <c r="L3650" s="8" t="str" cm="1">
        <f t="array" ref="L3650">_xlfn.IFS(
 AND(K3650&gt;=89,K3650&lt;=92),"3개월",
 AND(K3650&gt;=58,K3650&lt;=62),"2개월",
 AND(K3650&gt;=28,K3650&lt;=32),"1개월",
 AND(K3650=0),"당월",
 TRUE,"그외"
)</f>
        <v>1개월</v>
      </c>
    </row>
    <row r="3651" spans="1:12" x14ac:dyDescent="0.3">
      <c r="A3651" s="5">
        <v>46082</v>
      </c>
      <c r="B3651" s="6" t="s">
        <v>50</v>
      </c>
      <c r="C3651" s="6" t="s">
        <v>51</v>
      </c>
      <c r="D3651" s="5">
        <v>46054</v>
      </c>
      <c r="E3651" s="6" t="s">
        <v>15</v>
      </c>
      <c r="F3651" s="7">
        <v>2222</v>
      </c>
      <c r="G3651" s="7">
        <v>195741.9675967597</v>
      </c>
      <c r="H3651" s="7">
        <v>434938652</v>
      </c>
      <c r="I3651" s="7">
        <v>52038712</v>
      </c>
      <c r="J3651" s="7">
        <v>0</v>
      </c>
      <c r="K3651">
        <f t="shared" si="56"/>
        <v>28</v>
      </c>
      <c r="L3651" s="8" t="str" cm="1">
        <f t="array" ref="L3651">_xlfn.IFS(
 AND(K3651&gt;=89,K3651&lt;=92),"3개월",
 AND(K3651&gt;=58,K3651&lt;=62),"2개월",
 AND(K3651&gt;=28,K3651&lt;=32),"1개월",
 AND(K3651=0),"당월",
 TRUE,"그외"
)</f>
        <v>1개월</v>
      </c>
    </row>
    <row r="3652" spans="1:12" x14ac:dyDescent="0.3">
      <c r="A3652" s="5">
        <v>46082</v>
      </c>
      <c r="B3652" s="6" t="s">
        <v>50</v>
      </c>
      <c r="C3652" s="6" t="s">
        <v>51</v>
      </c>
      <c r="D3652" s="5">
        <v>46082</v>
      </c>
      <c r="E3652" s="6" t="s">
        <v>14</v>
      </c>
      <c r="F3652" s="7">
        <v>231</v>
      </c>
      <c r="G3652" s="7">
        <v>172677.13419913419</v>
      </c>
      <c r="H3652" s="7">
        <v>39888418</v>
      </c>
      <c r="I3652" s="7">
        <v>4379924</v>
      </c>
      <c r="J3652" s="7">
        <v>0</v>
      </c>
      <c r="K3652">
        <f t="shared" si="56"/>
        <v>0</v>
      </c>
      <c r="L3652" s="8" t="str" cm="1">
        <f t="array" ref="L3652">_xlfn.IFS(
 AND(K3652&gt;=89,K3652&lt;=92),"3개월",
 AND(K3652&gt;=58,K3652&lt;=62),"2개월",
 AND(K3652&gt;=28,K3652&lt;=32),"1개월",
 AND(K3652=0),"당월",
 TRUE,"그외"
)</f>
        <v>당월</v>
      </c>
    </row>
    <row r="3653" spans="1:12" x14ac:dyDescent="0.3">
      <c r="A3653" s="5">
        <v>46082</v>
      </c>
      <c r="B3653" s="6" t="s">
        <v>50</v>
      </c>
      <c r="C3653" s="6" t="s">
        <v>51</v>
      </c>
      <c r="D3653" s="5">
        <v>46082</v>
      </c>
      <c r="E3653" s="6" t="s">
        <v>15</v>
      </c>
      <c r="F3653" s="7">
        <v>1477</v>
      </c>
      <c r="G3653" s="7">
        <v>225936.16519972921</v>
      </c>
      <c r="H3653" s="7">
        <v>333707716</v>
      </c>
      <c r="I3653" s="7">
        <v>39429860</v>
      </c>
      <c r="J3653" s="7">
        <v>0</v>
      </c>
      <c r="K3653">
        <f t="shared" si="56"/>
        <v>0</v>
      </c>
      <c r="L3653" s="8" t="str" cm="1">
        <f t="array" ref="L3653">_xlfn.IFS(
 AND(K3653&gt;=89,K3653&lt;=92),"3개월",
 AND(K3653&gt;=58,K3653&lt;=62),"2개월",
 AND(K3653&gt;=28,K3653&lt;=32),"1개월",
 AND(K3653=0),"당월",
 TRUE,"그외"
)</f>
        <v>당월</v>
      </c>
    </row>
    <row r="3654" spans="1:12" x14ac:dyDescent="0.3">
      <c r="A3654" s="5">
        <v>46082</v>
      </c>
      <c r="B3654" s="6" t="s">
        <v>50</v>
      </c>
      <c r="C3654" s="6" t="s">
        <v>52</v>
      </c>
      <c r="D3654" s="5">
        <v>45839</v>
      </c>
      <c r="E3654" s="6" t="s">
        <v>15</v>
      </c>
      <c r="F3654" s="7">
        <v>70</v>
      </c>
      <c r="G3654" s="7">
        <v>111588</v>
      </c>
      <c r="H3654" s="7">
        <v>7811160</v>
      </c>
      <c r="I3654" s="7">
        <v>1950115</v>
      </c>
      <c r="J3654" s="7">
        <v>0</v>
      </c>
      <c r="K3654">
        <f t="shared" si="56"/>
        <v>243</v>
      </c>
      <c r="L3654" s="8" t="str" cm="1">
        <f t="array" ref="L3654">_xlfn.IFS(
 AND(K3654&gt;=89,K3654&lt;=92),"3개월",
 AND(K3654&gt;=58,K3654&lt;=62),"2개월",
 AND(K3654&gt;=28,K3654&lt;=32),"1개월",
 AND(K3654=0),"당월",
 TRUE,"그외"
)</f>
        <v>그외</v>
      </c>
    </row>
    <row r="3655" spans="1:12" x14ac:dyDescent="0.3">
      <c r="A3655" s="5">
        <v>46082</v>
      </c>
      <c r="B3655" s="6" t="s">
        <v>50</v>
      </c>
      <c r="C3655" s="6" t="s">
        <v>52</v>
      </c>
      <c r="D3655" s="5">
        <v>45870</v>
      </c>
      <c r="E3655" s="6" t="s">
        <v>15</v>
      </c>
      <c r="F3655" s="7">
        <v>104</v>
      </c>
      <c r="G3655" s="7">
        <v>137204.5384615385</v>
      </c>
      <c r="H3655" s="7">
        <v>14269272</v>
      </c>
      <c r="I3655" s="7">
        <v>2959644</v>
      </c>
      <c r="J3655" s="7">
        <v>0</v>
      </c>
      <c r="K3655">
        <f t="shared" si="56"/>
        <v>212</v>
      </c>
      <c r="L3655" s="8" t="str" cm="1">
        <f t="array" ref="L3655">_xlfn.IFS(
 AND(K3655&gt;=89,K3655&lt;=92),"3개월",
 AND(K3655&gt;=58,K3655&lt;=62),"2개월",
 AND(K3655&gt;=28,K3655&lt;=32),"1개월",
 AND(K3655=0),"당월",
 TRUE,"그외"
)</f>
        <v>그외</v>
      </c>
    </row>
    <row r="3656" spans="1:12" x14ac:dyDescent="0.3">
      <c r="A3656" s="5">
        <v>46082</v>
      </c>
      <c r="B3656" s="6" t="s">
        <v>50</v>
      </c>
      <c r="C3656" s="6" t="s">
        <v>52</v>
      </c>
      <c r="D3656" s="5">
        <v>45901</v>
      </c>
      <c r="E3656" s="6" t="s">
        <v>15</v>
      </c>
      <c r="F3656" s="7">
        <v>32</v>
      </c>
      <c r="G3656" s="7">
        <v>151647.625</v>
      </c>
      <c r="H3656" s="7">
        <v>4852724</v>
      </c>
      <c r="I3656" s="7">
        <v>680148</v>
      </c>
      <c r="J3656" s="7">
        <v>0</v>
      </c>
      <c r="K3656">
        <f t="shared" si="56"/>
        <v>181</v>
      </c>
      <c r="L3656" s="8" t="str" cm="1">
        <f t="array" ref="L3656">_xlfn.IFS(
 AND(K3656&gt;=89,K3656&lt;=92),"3개월",
 AND(K3656&gt;=58,K3656&lt;=62),"2개월",
 AND(K3656&gt;=28,K3656&lt;=32),"1개월",
 AND(K3656=0),"당월",
 TRUE,"그외"
)</f>
        <v>그외</v>
      </c>
    </row>
    <row r="3657" spans="1:12" x14ac:dyDescent="0.3">
      <c r="A3657" s="5">
        <v>46082</v>
      </c>
      <c r="B3657" s="6" t="s">
        <v>50</v>
      </c>
      <c r="C3657" s="6" t="s">
        <v>52</v>
      </c>
      <c r="D3657" s="5">
        <v>45931</v>
      </c>
      <c r="E3657" s="6" t="s">
        <v>15</v>
      </c>
      <c r="F3657" s="7">
        <v>170</v>
      </c>
      <c r="G3657" s="7">
        <v>137889.74117647059</v>
      </c>
      <c r="H3657" s="7">
        <v>23441256</v>
      </c>
      <c r="I3657" s="7">
        <v>5082151</v>
      </c>
      <c r="J3657" s="7">
        <v>0</v>
      </c>
      <c r="K3657">
        <f t="shared" si="56"/>
        <v>151</v>
      </c>
      <c r="L3657" s="8" t="str" cm="1">
        <f t="array" ref="L3657">_xlfn.IFS(
 AND(K3657&gt;=89,K3657&lt;=92),"3개월",
 AND(K3657&gt;=58,K3657&lt;=62),"2개월",
 AND(K3657&gt;=28,K3657&lt;=32),"1개월",
 AND(K3657=0),"당월",
 TRUE,"그외"
)</f>
        <v>그외</v>
      </c>
    </row>
    <row r="3658" spans="1:12" x14ac:dyDescent="0.3">
      <c r="A3658" s="5">
        <v>46082</v>
      </c>
      <c r="B3658" s="6" t="s">
        <v>50</v>
      </c>
      <c r="C3658" s="6" t="s">
        <v>52</v>
      </c>
      <c r="D3658" s="5">
        <v>45962</v>
      </c>
      <c r="E3658" s="6" t="s">
        <v>14</v>
      </c>
      <c r="F3658" s="7">
        <v>29</v>
      </c>
      <c r="G3658" s="7">
        <v>203203.31034482759</v>
      </c>
      <c r="H3658" s="7">
        <v>5892896</v>
      </c>
      <c r="I3658" s="7">
        <v>540756</v>
      </c>
      <c r="J3658" s="7">
        <v>0</v>
      </c>
      <c r="K3658">
        <f t="shared" ref="K3658:K3721" si="57">A3658-D3658</f>
        <v>120</v>
      </c>
      <c r="L3658" s="8" t="str" cm="1">
        <f t="array" ref="L3658">_xlfn.IFS(
 AND(K3658&gt;=89,K3658&lt;=92),"3개월",
 AND(K3658&gt;=58,K3658&lt;=62),"2개월",
 AND(K3658&gt;=28,K3658&lt;=32),"1개월",
 AND(K3658=0),"당월",
 TRUE,"그외"
)</f>
        <v>그외</v>
      </c>
    </row>
    <row r="3659" spans="1:12" x14ac:dyDescent="0.3">
      <c r="A3659" s="5">
        <v>46082</v>
      </c>
      <c r="B3659" s="6" t="s">
        <v>50</v>
      </c>
      <c r="C3659" s="6" t="s">
        <v>52</v>
      </c>
      <c r="D3659" s="5">
        <v>45962</v>
      </c>
      <c r="E3659" s="6" t="s">
        <v>15</v>
      </c>
      <c r="F3659" s="7">
        <v>337</v>
      </c>
      <c r="G3659" s="7">
        <v>141979.71513353119</v>
      </c>
      <c r="H3659" s="7">
        <v>47847164</v>
      </c>
      <c r="I3659" s="7">
        <v>9348124</v>
      </c>
      <c r="J3659" s="7">
        <v>0</v>
      </c>
      <c r="K3659">
        <f t="shared" si="57"/>
        <v>120</v>
      </c>
      <c r="L3659" s="8" t="str" cm="1">
        <f t="array" ref="L3659">_xlfn.IFS(
 AND(K3659&gt;=89,K3659&lt;=92),"3개월",
 AND(K3659&gt;=58,K3659&lt;=62),"2개월",
 AND(K3659&gt;=28,K3659&lt;=32),"1개월",
 AND(K3659=0),"당월",
 TRUE,"그외"
)</f>
        <v>그외</v>
      </c>
    </row>
    <row r="3660" spans="1:12" x14ac:dyDescent="0.3">
      <c r="A3660" s="5">
        <v>46082</v>
      </c>
      <c r="B3660" s="6" t="s">
        <v>50</v>
      </c>
      <c r="C3660" s="6" t="s">
        <v>52</v>
      </c>
      <c r="D3660" s="5">
        <v>45992</v>
      </c>
      <c r="E3660" s="6" t="s">
        <v>14</v>
      </c>
      <c r="F3660" s="7">
        <v>67</v>
      </c>
      <c r="G3660" s="7">
        <v>219089.2089552239</v>
      </c>
      <c r="H3660" s="7">
        <v>14678977</v>
      </c>
      <c r="I3660" s="7">
        <v>1635642</v>
      </c>
      <c r="J3660" s="7">
        <v>0</v>
      </c>
      <c r="K3660">
        <f t="shared" si="57"/>
        <v>90</v>
      </c>
      <c r="L3660" s="8" t="str" cm="1">
        <f t="array" ref="L3660">_xlfn.IFS(
 AND(K3660&gt;=89,K3660&lt;=92),"3개월",
 AND(K3660&gt;=58,K3660&lt;=62),"2개월",
 AND(K3660&gt;=28,K3660&lt;=32),"1개월",
 AND(K3660=0),"당월",
 TRUE,"그외"
)</f>
        <v>3개월</v>
      </c>
    </row>
    <row r="3661" spans="1:12" x14ac:dyDescent="0.3">
      <c r="A3661" s="5">
        <v>46082</v>
      </c>
      <c r="B3661" s="6" t="s">
        <v>50</v>
      </c>
      <c r="C3661" s="6" t="s">
        <v>52</v>
      </c>
      <c r="D3661" s="5">
        <v>45992</v>
      </c>
      <c r="E3661" s="6" t="s">
        <v>15</v>
      </c>
      <c r="F3661" s="7">
        <v>385</v>
      </c>
      <c r="G3661" s="7">
        <v>162437.1714285714</v>
      </c>
      <c r="H3661" s="7">
        <v>62538311</v>
      </c>
      <c r="I3661" s="7">
        <v>11409929</v>
      </c>
      <c r="J3661" s="7">
        <v>0</v>
      </c>
      <c r="K3661">
        <f t="shared" si="57"/>
        <v>90</v>
      </c>
      <c r="L3661" s="8" t="str" cm="1">
        <f t="array" ref="L3661">_xlfn.IFS(
 AND(K3661&gt;=89,K3661&lt;=92),"3개월",
 AND(K3661&gt;=58,K3661&lt;=62),"2개월",
 AND(K3661&gt;=28,K3661&lt;=32),"1개월",
 AND(K3661=0),"당월",
 TRUE,"그외"
)</f>
        <v>3개월</v>
      </c>
    </row>
    <row r="3662" spans="1:12" x14ac:dyDescent="0.3">
      <c r="A3662" s="5">
        <v>46082</v>
      </c>
      <c r="B3662" s="6" t="s">
        <v>50</v>
      </c>
      <c r="C3662" s="6" t="s">
        <v>52</v>
      </c>
      <c r="D3662" s="5">
        <v>46023</v>
      </c>
      <c r="E3662" s="6" t="s">
        <v>14</v>
      </c>
      <c r="F3662" s="7">
        <v>112</v>
      </c>
      <c r="G3662" s="7">
        <v>169393.47321428571</v>
      </c>
      <c r="H3662" s="7">
        <v>18972069</v>
      </c>
      <c r="I3662" s="7">
        <v>3970934</v>
      </c>
      <c r="J3662" s="7">
        <v>0</v>
      </c>
      <c r="K3662">
        <f t="shared" si="57"/>
        <v>59</v>
      </c>
      <c r="L3662" s="8" t="str" cm="1">
        <f t="array" ref="L3662">_xlfn.IFS(
 AND(K3662&gt;=89,K3662&lt;=92),"3개월",
 AND(K3662&gt;=58,K3662&lt;=62),"2개월",
 AND(K3662&gt;=28,K3662&lt;=32),"1개월",
 AND(K3662=0),"당월",
 TRUE,"그외"
)</f>
        <v>2개월</v>
      </c>
    </row>
    <row r="3663" spans="1:12" x14ac:dyDescent="0.3">
      <c r="A3663" s="5">
        <v>46082</v>
      </c>
      <c r="B3663" s="6" t="s">
        <v>50</v>
      </c>
      <c r="C3663" s="6" t="s">
        <v>52</v>
      </c>
      <c r="D3663" s="5">
        <v>46023</v>
      </c>
      <c r="E3663" s="6" t="s">
        <v>15</v>
      </c>
      <c r="F3663" s="7">
        <v>471</v>
      </c>
      <c r="G3663" s="7">
        <v>172085.5838641189</v>
      </c>
      <c r="H3663" s="7">
        <v>81052310</v>
      </c>
      <c r="I3663" s="7">
        <v>13302725</v>
      </c>
      <c r="J3663" s="7">
        <v>0</v>
      </c>
      <c r="K3663">
        <f t="shared" si="57"/>
        <v>59</v>
      </c>
      <c r="L3663" s="8" t="str" cm="1">
        <f t="array" ref="L3663">_xlfn.IFS(
 AND(K3663&gt;=89,K3663&lt;=92),"3개월",
 AND(K3663&gt;=58,K3663&lt;=62),"2개월",
 AND(K3663&gt;=28,K3663&lt;=32),"1개월",
 AND(K3663=0),"당월",
 TRUE,"그외"
)</f>
        <v>2개월</v>
      </c>
    </row>
    <row r="3664" spans="1:12" x14ac:dyDescent="0.3">
      <c r="A3664" s="5">
        <v>46082</v>
      </c>
      <c r="B3664" s="6" t="s">
        <v>50</v>
      </c>
      <c r="C3664" s="6" t="s">
        <v>52</v>
      </c>
      <c r="D3664" s="5">
        <v>46054</v>
      </c>
      <c r="E3664" s="6" t="s">
        <v>14</v>
      </c>
      <c r="F3664" s="7">
        <v>3780</v>
      </c>
      <c r="G3664" s="7">
        <v>138303.1465608466</v>
      </c>
      <c r="H3664" s="7">
        <v>522785894</v>
      </c>
      <c r="I3664" s="7">
        <v>120956817</v>
      </c>
      <c r="J3664" s="7">
        <v>0</v>
      </c>
      <c r="K3664">
        <f t="shared" si="57"/>
        <v>28</v>
      </c>
      <c r="L3664" s="8" t="str" cm="1">
        <f t="array" ref="L3664">_xlfn.IFS(
 AND(K3664&gt;=89,K3664&lt;=92),"3개월",
 AND(K3664&gt;=58,K3664&lt;=62),"2개월",
 AND(K3664&gt;=28,K3664&lt;=32),"1개월",
 AND(K3664=0),"당월",
 TRUE,"그외"
)</f>
        <v>1개월</v>
      </c>
    </row>
    <row r="3665" spans="1:12" x14ac:dyDescent="0.3">
      <c r="A3665" s="5">
        <v>46082</v>
      </c>
      <c r="B3665" s="6" t="s">
        <v>50</v>
      </c>
      <c r="C3665" s="6" t="s">
        <v>52</v>
      </c>
      <c r="D3665" s="5">
        <v>46054</v>
      </c>
      <c r="E3665" s="6" t="s">
        <v>15</v>
      </c>
      <c r="F3665" s="7">
        <v>1332</v>
      </c>
      <c r="G3665" s="7">
        <v>127838.95645645641</v>
      </c>
      <c r="H3665" s="7">
        <v>170281490</v>
      </c>
      <c r="I3665" s="7">
        <v>29607441</v>
      </c>
      <c r="J3665" s="7">
        <v>0</v>
      </c>
      <c r="K3665">
        <f t="shared" si="57"/>
        <v>28</v>
      </c>
      <c r="L3665" s="8" t="str" cm="1">
        <f t="array" ref="L3665">_xlfn.IFS(
 AND(K3665&gt;=89,K3665&lt;=92),"3개월",
 AND(K3665&gt;=58,K3665&lt;=62),"2개월",
 AND(K3665&gt;=28,K3665&lt;=32),"1개월",
 AND(K3665=0),"당월",
 TRUE,"그외"
)</f>
        <v>1개월</v>
      </c>
    </row>
    <row r="3666" spans="1:12" x14ac:dyDescent="0.3">
      <c r="A3666" s="5">
        <v>46082</v>
      </c>
      <c r="B3666" s="6" t="s">
        <v>50</v>
      </c>
      <c r="C3666" s="6" t="s">
        <v>52</v>
      </c>
      <c r="D3666" s="5">
        <v>46082</v>
      </c>
      <c r="E3666" s="6" t="s">
        <v>14</v>
      </c>
      <c r="F3666" s="7">
        <v>1555</v>
      </c>
      <c r="G3666" s="7">
        <v>141915.53183279739</v>
      </c>
      <c r="H3666" s="7">
        <v>220678652</v>
      </c>
      <c r="I3666" s="7">
        <v>49731325</v>
      </c>
      <c r="J3666" s="7">
        <v>0</v>
      </c>
      <c r="K3666">
        <f t="shared" si="57"/>
        <v>0</v>
      </c>
      <c r="L3666" s="8" t="str" cm="1">
        <f t="array" ref="L3666">_xlfn.IFS(
 AND(K3666&gt;=89,K3666&lt;=92),"3개월",
 AND(K3666&gt;=58,K3666&lt;=62),"2개월",
 AND(K3666&gt;=28,K3666&lt;=32),"1개월",
 AND(K3666=0),"당월",
 TRUE,"그외"
)</f>
        <v>당월</v>
      </c>
    </row>
    <row r="3667" spans="1:12" x14ac:dyDescent="0.3">
      <c r="A3667" s="5">
        <v>46082</v>
      </c>
      <c r="B3667" s="6" t="s">
        <v>50</v>
      </c>
      <c r="C3667" s="6" t="s">
        <v>52</v>
      </c>
      <c r="D3667" s="5">
        <v>46082</v>
      </c>
      <c r="E3667" s="6" t="s">
        <v>15</v>
      </c>
      <c r="F3667" s="7">
        <v>1873</v>
      </c>
      <c r="G3667" s="7">
        <v>149265.88627869729</v>
      </c>
      <c r="H3667" s="7">
        <v>279575005</v>
      </c>
      <c r="I3667" s="7">
        <v>51197512</v>
      </c>
      <c r="J3667" s="7">
        <v>0</v>
      </c>
      <c r="K3667">
        <f t="shared" si="57"/>
        <v>0</v>
      </c>
      <c r="L3667" s="8" t="str" cm="1">
        <f t="array" ref="L3667">_xlfn.IFS(
 AND(K3667&gt;=89,K3667&lt;=92),"3개월",
 AND(K3667&gt;=58,K3667&lt;=62),"2개월",
 AND(K3667&gt;=28,K3667&lt;=32),"1개월",
 AND(K3667=0),"당월",
 TRUE,"그외"
)</f>
        <v>당월</v>
      </c>
    </row>
    <row r="3668" spans="1:12" x14ac:dyDescent="0.3">
      <c r="A3668" s="5">
        <v>46082</v>
      </c>
      <c r="B3668" s="6" t="s">
        <v>50</v>
      </c>
      <c r="C3668" s="6" t="s">
        <v>53</v>
      </c>
      <c r="D3668" s="5">
        <v>45839</v>
      </c>
      <c r="E3668" s="6" t="s">
        <v>15</v>
      </c>
      <c r="F3668" s="7">
        <v>2</v>
      </c>
      <c r="G3668" s="7">
        <v>145400</v>
      </c>
      <c r="H3668" s="7">
        <v>290800</v>
      </c>
      <c r="I3668" s="7">
        <v>19200</v>
      </c>
      <c r="J3668" s="7">
        <v>0</v>
      </c>
      <c r="K3668">
        <f t="shared" si="57"/>
        <v>243</v>
      </c>
      <c r="L3668" s="8" t="str" cm="1">
        <f t="array" ref="L3668">_xlfn.IFS(
 AND(K3668&gt;=89,K3668&lt;=92),"3개월",
 AND(K3668&gt;=58,K3668&lt;=62),"2개월",
 AND(K3668&gt;=28,K3668&lt;=32),"1개월",
 AND(K3668=0),"당월",
 TRUE,"그외"
)</f>
        <v>그외</v>
      </c>
    </row>
    <row r="3669" spans="1:12" x14ac:dyDescent="0.3">
      <c r="A3669" s="5">
        <v>46082</v>
      </c>
      <c r="B3669" s="6" t="s">
        <v>50</v>
      </c>
      <c r="C3669" s="6" t="s">
        <v>53</v>
      </c>
      <c r="D3669" s="5">
        <v>45870</v>
      </c>
      <c r="E3669" s="6" t="s">
        <v>15</v>
      </c>
      <c r="F3669" s="7">
        <v>44</v>
      </c>
      <c r="G3669" s="7">
        <v>169360.59090909091</v>
      </c>
      <c r="H3669" s="7">
        <v>7451866</v>
      </c>
      <c r="I3669" s="7">
        <v>1097932</v>
      </c>
      <c r="J3669" s="7">
        <v>0</v>
      </c>
      <c r="K3669">
        <f t="shared" si="57"/>
        <v>212</v>
      </c>
      <c r="L3669" s="8" t="str" cm="1">
        <f t="array" ref="L3669">_xlfn.IFS(
 AND(K3669&gt;=89,K3669&lt;=92),"3개월",
 AND(K3669&gt;=58,K3669&lt;=62),"2개월",
 AND(K3669&gt;=28,K3669&lt;=32),"1개월",
 AND(K3669=0),"당월",
 TRUE,"그외"
)</f>
        <v>그외</v>
      </c>
    </row>
    <row r="3670" spans="1:12" x14ac:dyDescent="0.3">
      <c r="A3670" s="5">
        <v>46082</v>
      </c>
      <c r="B3670" s="6" t="s">
        <v>50</v>
      </c>
      <c r="C3670" s="6" t="s">
        <v>53</v>
      </c>
      <c r="D3670" s="5">
        <v>45901</v>
      </c>
      <c r="E3670" s="6" t="s">
        <v>15</v>
      </c>
      <c r="F3670" s="7">
        <v>118</v>
      </c>
      <c r="G3670" s="7">
        <v>179742.7881355932</v>
      </c>
      <c r="H3670" s="7">
        <v>21209649</v>
      </c>
      <c r="I3670" s="7">
        <v>3194021</v>
      </c>
      <c r="J3670" s="7">
        <v>0</v>
      </c>
      <c r="K3670">
        <f t="shared" si="57"/>
        <v>181</v>
      </c>
      <c r="L3670" s="8" t="str" cm="1">
        <f t="array" ref="L3670">_xlfn.IFS(
 AND(K3670&gt;=89,K3670&lt;=92),"3개월",
 AND(K3670&gt;=58,K3670&lt;=62),"2개월",
 AND(K3670&gt;=28,K3670&lt;=32),"1개월",
 AND(K3670=0),"당월",
 TRUE,"그외"
)</f>
        <v>그외</v>
      </c>
    </row>
    <row r="3671" spans="1:12" x14ac:dyDescent="0.3">
      <c r="A3671" s="5">
        <v>46082</v>
      </c>
      <c r="B3671" s="6" t="s">
        <v>50</v>
      </c>
      <c r="C3671" s="6" t="s">
        <v>53</v>
      </c>
      <c r="D3671" s="5">
        <v>45931</v>
      </c>
      <c r="E3671" s="6" t="s">
        <v>14</v>
      </c>
      <c r="F3671" s="7">
        <v>3</v>
      </c>
      <c r="G3671" s="7">
        <v>176700</v>
      </c>
      <c r="H3671" s="7">
        <v>530100</v>
      </c>
      <c r="I3671" s="7">
        <v>50100</v>
      </c>
      <c r="J3671" s="7">
        <v>0</v>
      </c>
      <c r="K3671">
        <f t="shared" si="57"/>
        <v>151</v>
      </c>
      <c r="L3671" s="8" t="str" cm="1">
        <f t="array" ref="L3671">_xlfn.IFS(
 AND(K3671&gt;=89,K3671&lt;=92),"3개월",
 AND(K3671&gt;=58,K3671&lt;=62),"2개월",
 AND(K3671&gt;=28,K3671&lt;=32),"1개월",
 AND(K3671=0),"당월",
 TRUE,"그외"
)</f>
        <v>그외</v>
      </c>
    </row>
    <row r="3672" spans="1:12" x14ac:dyDescent="0.3">
      <c r="A3672" s="5">
        <v>46082</v>
      </c>
      <c r="B3672" s="6" t="s">
        <v>50</v>
      </c>
      <c r="C3672" s="6" t="s">
        <v>53</v>
      </c>
      <c r="D3672" s="5">
        <v>45931</v>
      </c>
      <c r="E3672" s="6" t="s">
        <v>15</v>
      </c>
      <c r="F3672" s="7">
        <v>189</v>
      </c>
      <c r="G3672" s="7">
        <v>188606.49735449729</v>
      </c>
      <c r="H3672" s="7">
        <v>35646628</v>
      </c>
      <c r="I3672" s="7">
        <v>5526344</v>
      </c>
      <c r="J3672" s="7">
        <v>0</v>
      </c>
      <c r="K3672">
        <f t="shared" si="57"/>
        <v>151</v>
      </c>
      <c r="L3672" s="8" t="str" cm="1">
        <f t="array" ref="L3672">_xlfn.IFS(
 AND(K3672&gt;=89,K3672&lt;=92),"3개월",
 AND(K3672&gt;=58,K3672&lt;=62),"2개월",
 AND(K3672&gt;=28,K3672&lt;=32),"1개월",
 AND(K3672=0),"당월",
 TRUE,"그외"
)</f>
        <v>그외</v>
      </c>
    </row>
    <row r="3673" spans="1:12" x14ac:dyDescent="0.3">
      <c r="A3673" s="5">
        <v>46082</v>
      </c>
      <c r="B3673" s="6" t="s">
        <v>50</v>
      </c>
      <c r="C3673" s="6" t="s">
        <v>53</v>
      </c>
      <c r="D3673" s="5">
        <v>45962</v>
      </c>
      <c r="E3673" s="6" t="s">
        <v>15</v>
      </c>
      <c r="F3673" s="7">
        <v>371</v>
      </c>
      <c r="G3673" s="7">
        <v>204007.0754716981</v>
      </c>
      <c r="H3673" s="7">
        <v>75686625</v>
      </c>
      <c r="I3673" s="7">
        <v>12110181</v>
      </c>
      <c r="J3673" s="7">
        <v>0</v>
      </c>
      <c r="K3673">
        <f t="shared" si="57"/>
        <v>120</v>
      </c>
      <c r="L3673" s="8" t="str" cm="1">
        <f t="array" ref="L3673">_xlfn.IFS(
 AND(K3673&gt;=89,K3673&lt;=92),"3개월",
 AND(K3673&gt;=58,K3673&lt;=62),"2개월",
 AND(K3673&gt;=28,K3673&lt;=32),"1개월",
 AND(K3673=0),"당월",
 TRUE,"그외"
)</f>
        <v>그외</v>
      </c>
    </row>
    <row r="3674" spans="1:12" x14ac:dyDescent="0.3">
      <c r="A3674" s="5">
        <v>46082</v>
      </c>
      <c r="B3674" s="6" t="s">
        <v>50</v>
      </c>
      <c r="C3674" s="6" t="s">
        <v>53</v>
      </c>
      <c r="D3674" s="5">
        <v>45992</v>
      </c>
      <c r="E3674" s="6" t="s">
        <v>14</v>
      </c>
      <c r="F3674" s="7">
        <v>52</v>
      </c>
      <c r="G3674" s="7">
        <v>148716.84615384621</v>
      </c>
      <c r="H3674" s="7">
        <v>7733276</v>
      </c>
      <c r="I3674" s="7">
        <v>2180340</v>
      </c>
      <c r="J3674" s="7">
        <v>0</v>
      </c>
      <c r="K3674">
        <f t="shared" si="57"/>
        <v>90</v>
      </c>
      <c r="L3674" s="8" t="str" cm="1">
        <f t="array" ref="L3674">_xlfn.IFS(
 AND(K3674&gt;=89,K3674&lt;=92),"3개월",
 AND(K3674&gt;=58,K3674&lt;=62),"2개월",
 AND(K3674&gt;=28,K3674&lt;=32),"1개월",
 AND(K3674=0),"당월",
 TRUE,"그외"
)</f>
        <v>3개월</v>
      </c>
    </row>
    <row r="3675" spans="1:12" x14ac:dyDescent="0.3">
      <c r="A3675" s="5">
        <v>46082</v>
      </c>
      <c r="B3675" s="6" t="s">
        <v>50</v>
      </c>
      <c r="C3675" s="6" t="s">
        <v>53</v>
      </c>
      <c r="D3675" s="5">
        <v>45992</v>
      </c>
      <c r="E3675" s="6" t="s">
        <v>15</v>
      </c>
      <c r="F3675" s="7">
        <v>651</v>
      </c>
      <c r="G3675" s="7">
        <v>211668.30414746539</v>
      </c>
      <c r="H3675" s="7">
        <v>137796066</v>
      </c>
      <c r="I3675" s="7">
        <v>19585728</v>
      </c>
      <c r="J3675" s="7">
        <v>0</v>
      </c>
      <c r="K3675">
        <f t="shared" si="57"/>
        <v>90</v>
      </c>
      <c r="L3675" s="8" t="str" cm="1">
        <f t="array" ref="L3675">_xlfn.IFS(
 AND(K3675&gt;=89,K3675&lt;=92),"3개월",
 AND(K3675&gt;=58,K3675&lt;=62),"2개월",
 AND(K3675&gt;=28,K3675&lt;=32),"1개월",
 AND(K3675=0),"당월",
 TRUE,"그외"
)</f>
        <v>3개월</v>
      </c>
    </row>
    <row r="3676" spans="1:12" x14ac:dyDescent="0.3">
      <c r="A3676" s="5">
        <v>46082</v>
      </c>
      <c r="B3676" s="6" t="s">
        <v>50</v>
      </c>
      <c r="C3676" s="6" t="s">
        <v>53</v>
      </c>
      <c r="D3676" s="5">
        <v>46023</v>
      </c>
      <c r="E3676" s="6" t="s">
        <v>14</v>
      </c>
      <c r="F3676" s="7">
        <v>45</v>
      </c>
      <c r="G3676" s="7">
        <v>123852.31111111111</v>
      </c>
      <c r="H3676" s="7">
        <v>5573354</v>
      </c>
      <c r="I3676" s="7">
        <v>1704124</v>
      </c>
      <c r="J3676" s="7">
        <v>0</v>
      </c>
      <c r="K3676">
        <f t="shared" si="57"/>
        <v>59</v>
      </c>
      <c r="L3676" s="8" t="str" cm="1">
        <f t="array" ref="L3676">_xlfn.IFS(
 AND(K3676&gt;=89,K3676&lt;=92),"3개월",
 AND(K3676&gt;=58,K3676&lt;=62),"2개월",
 AND(K3676&gt;=28,K3676&lt;=32),"1개월",
 AND(K3676=0),"당월",
 TRUE,"그외"
)</f>
        <v>2개월</v>
      </c>
    </row>
    <row r="3677" spans="1:12" x14ac:dyDescent="0.3">
      <c r="A3677" s="5">
        <v>46082</v>
      </c>
      <c r="B3677" s="6" t="s">
        <v>50</v>
      </c>
      <c r="C3677" s="6" t="s">
        <v>53</v>
      </c>
      <c r="D3677" s="5">
        <v>46023</v>
      </c>
      <c r="E3677" s="6" t="s">
        <v>15</v>
      </c>
      <c r="F3677" s="7">
        <v>699</v>
      </c>
      <c r="G3677" s="7">
        <v>221071.0228898426</v>
      </c>
      <c r="H3677" s="7">
        <v>154528645</v>
      </c>
      <c r="I3677" s="7">
        <v>22795016</v>
      </c>
      <c r="J3677" s="7">
        <v>0</v>
      </c>
      <c r="K3677">
        <f t="shared" si="57"/>
        <v>59</v>
      </c>
      <c r="L3677" s="8" t="str" cm="1">
        <f t="array" ref="L3677">_xlfn.IFS(
 AND(K3677&gt;=89,K3677&lt;=92),"3개월",
 AND(K3677&gt;=58,K3677&lt;=62),"2개월",
 AND(K3677&gt;=28,K3677&lt;=32),"1개월",
 AND(K3677=0),"당월",
 TRUE,"그외"
)</f>
        <v>2개월</v>
      </c>
    </row>
    <row r="3678" spans="1:12" x14ac:dyDescent="0.3">
      <c r="A3678" s="5">
        <v>46082</v>
      </c>
      <c r="B3678" s="6" t="s">
        <v>50</v>
      </c>
      <c r="C3678" s="6" t="s">
        <v>53</v>
      </c>
      <c r="D3678" s="5">
        <v>46054</v>
      </c>
      <c r="E3678" s="6" t="s">
        <v>14</v>
      </c>
      <c r="F3678" s="7">
        <v>3458</v>
      </c>
      <c r="G3678" s="7">
        <v>136596.22874493929</v>
      </c>
      <c r="H3678" s="7">
        <v>472349759</v>
      </c>
      <c r="I3678" s="7">
        <v>126565662</v>
      </c>
      <c r="J3678" s="7">
        <v>0</v>
      </c>
      <c r="K3678">
        <f t="shared" si="57"/>
        <v>28</v>
      </c>
      <c r="L3678" s="8" t="str" cm="1">
        <f t="array" ref="L3678">_xlfn.IFS(
 AND(K3678&gt;=89,K3678&lt;=92),"3개월",
 AND(K3678&gt;=58,K3678&lt;=62),"2개월",
 AND(K3678&gt;=28,K3678&lt;=32),"1개월",
 AND(K3678=0),"당월",
 TRUE,"그외"
)</f>
        <v>1개월</v>
      </c>
    </row>
    <row r="3679" spans="1:12" x14ac:dyDescent="0.3">
      <c r="A3679" s="5">
        <v>46082</v>
      </c>
      <c r="B3679" s="6" t="s">
        <v>50</v>
      </c>
      <c r="C3679" s="6" t="s">
        <v>53</v>
      </c>
      <c r="D3679" s="5">
        <v>46054</v>
      </c>
      <c r="E3679" s="6" t="s">
        <v>15</v>
      </c>
      <c r="F3679" s="7">
        <v>1737</v>
      </c>
      <c r="G3679" s="7">
        <v>179478.60046056419</v>
      </c>
      <c r="H3679" s="7">
        <v>311754329</v>
      </c>
      <c r="I3679" s="7">
        <v>46947844</v>
      </c>
      <c r="J3679" s="7">
        <v>0</v>
      </c>
      <c r="K3679">
        <f t="shared" si="57"/>
        <v>28</v>
      </c>
      <c r="L3679" s="8" t="str" cm="1">
        <f t="array" ref="L3679">_xlfn.IFS(
 AND(K3679&gt;=89,K3679&lt;=92),"3개월",
 AND(K3679&gt;=58,K3679&lt;=62),"2개월",
 AND(K3679&gt;=28,K3679&lt;=32),"1개월",
 AND(K3679=0),"당월",
 TRUE,"그외"
)</f>
        <v>1개월</v>
      </c>
    </row>
    <row r="3680" spans="1:12" x14ac:dyDescent="0.3">
      <c r="A3680" s="5">
        <v>46082</v>
      </c>
      <c r="B3680" s="6" t="s">
        <v>50</v>
      </c>
      <c r="C3680" s="6" t="s">
        <v>53</v>
      </c>
      <c r="D3680" s="5">
        <v>46082</v>
      </c>
      <c r="E3680" s="6" t="s">
        <v>14</v>
      </c>
      <c r="F3680" s="7">
        <v>1935</v>
      </c>
      <c r="G3680" s="7">
        <v>157017.84186046509</v>
      </c>
      <c r="H3680" s="7">
        <v>303829524</v>
      </c>
      <c r="I3680" s="7">
        <v>76715611</v>
      </c>
      <c r="J3680" s="7">
        <v>0</v>
      </c>
      <c r="K3680">
        <f t="shared" si="57"/>
        <v>0</v>
      </c>
      <c r="L3680" s="8" t="str" cm="1">
        <f t="array" ref="L3680">_xlfn.IFS(
 AND(K3680&gt;=89,K3680&lt;=92),"3개월",
 AND(K3680&gt;=58,K3680&lt;=62),"2개월",
 AND(K3680&gt;=28,K3680&lt;=32),"1개월",
 AND(K3680=0),"당월",
 TRUE,"그외"
)</f>
        <v>당월</v>
      </c>
    </row>
    <row r="3681" spans="1:12" x14ac:dyDescent="0.3">
      <c r="A3681" s="5">
        <v>46082</v>
      </c>
      <c r="B3681" s="6" t="s">
        <v>50</v>
      </c>
      <c r="C3681" s="6" t="s">
        <v>53</v>
      </c>
      <c r="D3681" s="5">
        <v>46082</v>
      </c>
      <c r="E3681" s="6" t="s">
        <v>15</v>
      </c>
      <c r="F3681" s="7">
        <v>1421</v>
      </c>
      <c r="G3681" s="7">
        <v>177199.48416608019</v>
      </c>
      <c r="H3681" s="7">
        <v>251800467</v>
      </c>
      <c r="I3681" s="7">
        <v>43414874</v>
      </c>
      <c r="J3681" s="7">
        <v>0</v>
      </c>
      <c r="K3681">
        <f t="shared" si="57"/>
        <v>0</v>
      </c>
      <c r="L3681" s="8" t="str" cm="1">
        <f t="array" ref="L3681">_xlfn.IFS(
 AND(K3681&gt;=89,K3681&lt;=92),"3개월",
 AND(K3681&gt;=58,K3681&lt;=62),"2개월",
 AND(K3681&gt;=28,K3681&lt;=32),"1개월",
 AND(K3681=0),"당월",
 TRUE,"그외"
)</f>
        <v>당월</v>
      </c>
    </row>
    <row r="3682" spans="1:12" x14ac:dyDescent="0.3">
      <c r="A3682" s="5">
        <v>46082</v>
      </c>
      <c r="B3682" s="6" t="s">
        <v>50</v>
      </c>
      <c r="C3682" s="6" t="s">
        <v>54</v>
      </c>
      <c r="D3682" s="5">
        <v>45839</v>
      </c>
      <c r="E3682" s="6" t="s">
        <v>15</v>
      </c>
      <c r="F3682" s="7">
        <v>120</v>
      </c>
      <c r="G3682" s="7">
        <v>103800.5333333333</v>
      </c>
      <c r="H3682" s="7">
        <v>12456064</v>
      </c>
      <c r="I3682" s="7">
        <v>2477292</v>
      </c>
      <c r="J3682" s="7">
        <v>0</v>
      </c>
      <c r="K3682">
        <f t="shared" si="57"/>
        <v>243</v>
      </c>
      <c r="L3682" s="8" t="str" cm="1">
        <f t="array" ref="L3682">_xlfn.IFS(
 AND(K3682&gt;=89,K3682&lt;=92),"3개월",
 AND(K3682&gt;=58,K3682&lt;=62),"2개월",
 AND(K3682&gt;=28,K3682&lt;=32),"1개월",
 AND(K3682=0),"당월",
 TRUE,"그외"
)</f>
        <v>그외</v>
      </c>
    </row>
    <row r="3683" spans="1:12" x14ac:dyDescent="0.3">
      <c r="A3683" s="5">
        <v>46082</v>
      </c>
      <c r="B3683" s="6" t="s">
        <v>50</v>
      </c>
      <c r="C3683" s="6" t="s">
        <v>54</v>
      </c>
      <c r="D3683" s="5">
        <v>45870</v>
      </c>
      <c r="E3683" s="6" t="s">
        <v>15</v>
      </c>
      <c r="F3683" s="7">
        <v>108</v>
      </c>
      <c r="G3683" s="7">
        <v>120186.1018518519</v>
      </c>
      <c r="H3683" s="7">
        <v>12980099</v>
      </c>
      <c r="I3683" s="7">
        <v>2188104</v>
      </c>
      <c r="J3683" s="7">
        <v>0</v>
      </c>
      <c r="K3683">
        <f t="shared" si="57"/>
        <v>212</v>
      </c>
      <c r="L3683" s="8" t="str" cm="1">
        <f t="array" ref="L3683">_xlfn.IFS(
 AND(K3683&gt;=89,K3683&lt;=92),"3개월",
 AND(K3683&gt;=58,K3683&lt;=62),"2개월",
 AND(K3683&gt;=28,K3683&lt;=32),"1개월",
 AND(K3683=0),"당월",
 TRUE,"그외"
)</f>
        <v>그외</v>
      </c>
    </row>
    <row r="3684" spans="1:12" x14ac:dyDescent="0.3">
      <c r="A3684" s="5">
        <v>46082</v>
      </c>
      <c r="B3684" s="6" t="s">
        <v>50</v>
      </c>
      <c r="C3684" s="6" t="s">
        <v>54</v>
      </c>
      <c r="D3684" s="5">
        <v>45901</v>
      </c>
      <c r="E3684" s="6" t="s">
        <v>15</v>
      </c>
      <c r="F3684" s="7">
        <v>114</v>
      </c>
      <c r="G3684" s="7">
        <v>109228.7543859649</v>
      </c>
      <c r="H3684" s="7">
        <v>12452078</v>
      </c>
      <c r="I3684" s="7">
        <v>2658139</v>
      </c>
      <c r="J3684" s="7">
        <v>0</v>
      </c>
      <c r="K3684">
        <f t="shared" si="57"/>
        <v>181</v>
      </c>
      <c r="L3684" s="8" t="str" cm="1">
        <f t="array" ref="L3684">_xlfn.IFS(
 AND(K3684&gt;=89,K3684&lt;=92),"3개월",
 AND(K3684&gt;=58,K3684&lt;=62),"2개월",
 AND(K3684&gt;=28,K3684&lt;=32),"1개월",
 AND(K3684=0),"당월",
 TRUE,"그외"
)</f>
        <v>그외</v>
      </c>
    </row>
    <row r="3685" spans="1:12" x14ac:dyDescent="0.3">
      <c r="A3685" s="5">
        <v>46082</v>
      </c>
      <c r="B3685" s="6" t="s">
        <v>50</v>
      </c>
      <c r="C3685" s="6" t="s">
        <v>54</v>
      </c>
      <c r="D3685" s="5">
        <v>45931</v>
      </c>
      <c r="E3685" s="6" t="s">
        <v>15</v>
      </c>
      <c r="F3685" s="7">
        <v>214</v>
      </c>
      <c r="G3685" s="7">
        <v>121985.6728971963</v>
      </c>
      <c r="H3685" s="7">
        <v>26104934</v>
      </c>
      <c r="I3685" s="7">
        <v>5776279</v>
      </c>
      <c r="J3685" s="7">
        <v>0</v>
      </c>
      <c r="K3685">
        <f t="shared" si="57"/>
        <v>151</v>
      </c>
      <c r="L3685" s="8" t="str" cm="1">
        <f t="array" ref="L3685">_xlfn.IFS(
 AND(K3685&gt;=89,K3685&lt;=92),"3개월",
 AND(K3685&gt;=58,K3685&lt;=62),"2개월",
 AND(K3685&gt;=28,K3685&lt;=32),"1개월",
 AND(K3685=0),"당월",
 TRUE,"그외"
)</f>
        <v>그외</v>
      </c>
    </row>
    <row r="3686" spans="1:12" x14ac:dyDescent="0.3">
      <c r="A3686" s="5">
        <v>46082</v>
      </c>
      <c r="B3686" s="6" t="s">
        <v>50</v>
      </c>
      <c r="C3686" s="6" t="s">
        <v>54</v>
      </c>
      <c r="D3686" s="5">
        <v>45962</v>
      </c>
      <c r="E3686" s="6" t="s">
        <v>14</v>
      </c>
      <c r="F3686" s="7">
        <v>1</v>
      </c>
      <c r="G3686" s="7">
        <v>147893</v>
      </c>
      <c r="H3686" s="7">
        <v>147893</v>
      </c>
      <c r="I3686" s="7">
        <v>42255</v>
      </c>
      <c r="J3686" s="7">
        <v>0</v>
      </c>
      <c r="K3686">
        <f t="shared" si="57"/>
        <v>120</v>
      </c>
      <c r="L3686" s="8" t="str" cm="1">
        <f t="array" ref="L3686">_xlfn.IFS(
 AND(K3686&gt;=89,K3686&lt;=92),"3개월",
 AND(K3686&gt;=58,K3686&lt;=62),"2개월",
 AND(K3686&gt;=28,K3686&lt;=32),"1개월",
 AND(K3686=0),"당월",
 TRUE,"그외"
)</f>
        <v>그외</v>
      </c>
    </row>
    <row r="3687" spans="1:12" x14ac:dyDescent="0.3">
      <c r="A3687" s="5">
        <v>46082</v>
      </c>
      <c r="B3687" s="6" t="s">
        <v>50</v>
      </c>
      <c r="C3687" s="6" t="s">
        <v>54</v>
      </c>
      <c r="D3687" s="5">
        <v>45962</v>
      </c>
      <c r="E3687" s="6" t="s">
        <v>15</v>
      </c>
      <c r="F3687" s="7">
        <v>362</v>
      </c>
      <c r="G3687" s="7">
        <v>139721.4116022099</v>
      </c>
      <c r="H3687" s="7">
        <v>50579151</v>
      </c>
      <c r="I3687" s="7">
        <v>13284704</v>
      </c>
      <c r="J3687" s="7">
        <v>0</v>
      </c>
      <c r="K3687">
        <f t="shared" si="57"/>
        <v>120</v>
      </c>
      <c r="L3687" s="8" t="str" cm="1">
        <f t="array" ref="L3687">_xlfn.IFS(
 AND(K3687&gt;=89,K3687&lt;=92),"3개월",
 AND(K3687&gt;=58,K3687&lt;=62),"2개월",
 AND(K3687&gt;=28,K3687&lt;=32),"1개월",
 AND(K3687=0),"당월",
 TRUE,"그외"
)</f>
        <v>그외</v>
      </c>
    </row>
    <row r="3688" spans="1:12" x14ac:dyDescent="0.3">
      <c r="A3688" s="5">
        <v>46082</v>
      </c>
      <c r="B3688" s="6" t="s">
        <v>50</v>
      </c>
      <c r="C3688" s="6" t="s">
        <v>54</v>
      </c>
      <c r="D3688" s="5">
        <v>45992</v>
      </c>
      <c r="E3688" s="6" t="s">
        <v>14</v>
      </c>
      <c r="F3688" s="7">
        <v>4</v>
      </c>
      <c r="G3688" s="7">
        <v>100200</v>
      </c>
      <c r="H3688" s="7">
        <v>400800</v>
      </c>
      <c r="I3688" s="7">
        <v>80800</v>
      </c>
      <c r="J3688" s="7">
        <v>0</v>
      </c>
      <c r="K3688">
        <f t="shared" si="57"/>
        <v>90</v>
      </c>
      <c r="L3688" s="8" t="str" cm="1">
        <f t="array" ref="L3688">_xlfn.IFS(
 AND(K3688&gt;=89,K3688&lt;=92),"3개월",
 AND(K3688&gt;=58,K3688&lt;=62),"2개월",
 AND(K3688&gt;=28,K3688&lt;=32),"1개월",
 AND(K3688=0),"당월",
 TRUE,"그외"
)</f>
        <v>3개월</v>
      </c>
    </row>
    <row r="3689" spans="1:12" x14ac:dyDescent="0.3">
      <c r="A3689" s="5">
        <v>46082</v>
      </c>
      <c r="B3689" s="6" t="s">
        <v>50</v>
      </c>
      <c r="C3689" s="6" t="s">
        <v>54</v>
      </c>
      <c r="D3689" s="5">
        <v>45992</v>
      </c>
      <c r="E3689" s="6" t="s">
        <v>15</v>
      </c>
      <c r="F3689" s="7">
        <v>414</v>
      </c>
      <c r="G3689" s="7">
        <v>159984.33816425121</v>
      </c>
      <c r="H3689" s="7">
        <v>66233516</v>
      </c>
      <c r="I3689" s="7">
        <v>11921189</v>
      </c>
      <c r="J3689" s="7">
        <v>0</v>
      </c>
      <c r="K3689">
        <f t="shared" si="57"/>
        <v>90</v>
      </c>
      <c r="L3689" s="8" t="str" cm="1">
        <f t="array" ref="L3689">_xlfn.IFS(
 AND(K3689&gt;=89,K3689&lt;=92),"3개월",
 AND(K3689&gt;=58,K3689&lt;=62),"2개월",
 AND(K3689&gt;=28,K3689&lt;=32),"1개월",
 AND(K3689=0),"당월",
 TRUE,"그외"
)</f>
        <v>3개월</v>
      </c>
    </row>
    <row r="3690" spans="1:12" x14ac:dyDescent="0.3">
      <c r="A3690" s="5">
        <v>46082</v>
      </c>
      <c r="B3690" s="6" t="s">
        <v>50</v>
      </c>
      <c r="C3690" s="6" t="s">
        <v>54</v>
      </c>
      <c r="D3690" s="5">
        <v>46023</v>
      </c>
      <c r="E3690" s="6" t="s">
        <v>14</v>
      </c>
      <c r="F3690" s="7">
        <v>92</v>
      </c>
      <c r="G3690" s="7">
        <v>122312.0869565217</v>
      </c>
      <c r="H3690" s="7">
        <v>11252712</v>
      </c>
      <c r="I3690" s="7">
        <v>3812697</v>
      </c>
      <c r="J3690" s="7">
        <v>0</v>
      </c>
      <c r="K3690">
        <f t="shared" si="57"/>
        <v>59</v>
      </c>
      <c r="L3690" s="8" t="str" cm="1">
        <f t="array" ref="L3690">_xlfn.IFS(
 AND(K3690&gt;=89,K3690&lt;=92),"3개월",
 AND(K3690&gt;=58,K3690&lt;=62),"2개월",
 AND(K3690&gt;=28,K3690&lt;=32),"1개월",
 AND(K3690=0),"당월",
 TRUE,"그외"
)</f>
        <v>2개월</v>
      </c>
    </row>
    <row r="3691" spans="1:12" x14ac:dyDescent="0.3">
      <c r="A3691" s="5">
        <v>46082</v>
      </c>
      <c r="B3691" s="6" t="s">
        <v>50</v>
      </c>
      <c r="C3691" s="6" t="s">
        <v>54</v>
      </c>
      <c r="D3691" s="5">
        <v>46023</v>
      </c>
      <c r="E3691" s="6" t="s">
        <v>15</v>
      </c>
      <c r="F3691" s="7">
        <v>480</v>
      </c>
      <c r="G3691" s="7">
        <v>167803.99374999999</v>
      </c>
      <c r="H3691" s="7">
        <v>80545917</v>
      </c>
      <c r="I3691" s="7">
        <v>15069855</v>
      </c>
      <c r="J3691" s="7">
        <v>0</v>
      </c>
      <c r="K3691">
        <f t="shared" si="57"/>
        <v>59</v>
      </c>
      <c r="L3691" s="8" t="str" cm="1">
        <f t="array" ref="L3691">_xlfn.IFS(
 AND(K3691&gt;=89,K3691&lt;=92),"3개월",
 AND(K3691&gt;=58,K3691&lt;=62),"2개월",
 AND(K3691&gt;=28,K3691&lt;=32),"1개월",
 AND(K3691=0),"당월",
 TRUE,"그외"
)</f>
        <v>2개월</v>
      </c>
    </row>
    <row r="3692" spans="1:12" x14ac:dyDescent="0.3">
      <c r="A3692" s="5">
        <v>46082</v>
      </c>
      <c r="B3692" s="6" t="s">
        <v>50</v>
      </c>
      <c r="C3692" s="6" t="s">
        <v>54</v>
      </c>
      <c r="D3692" s="5">
        <v>46054</v>
      </c>
      <c r="E3692" s="6" t="s">
        <v>14</v>
      </c>
      <c r="F3692" s="7">
        <v>2702</v>
      </c>
      <c r="G3692" s="7">
        <v>110968.99481865281</v>
      </c>
      <c r="H3692" s="7">
        <v>299838224</v>
      </c>
      <c r="I3692" s="7">
        <v>94346658</v>
      </c>
      <c r="J3692" s="7">
        <v>0</v>
      </c>
      <c r="K3692">
        <f t="shared" si="57"/>
        <v>28</v>
      </c>
      <c r="L3692" s="8" t="str" cm="1">
        <f t="array" ref="L3692">_xlfn.IFS(
 AND(K3692&gt;=89,K3692&lt;=92),"3개월",
 AND(K3692&gt;=58,K3692&lt;=62),"2개월",
 AND(K3692&gt;=28,K3692&lt;=32),"1개월",
 AND(K3692=0),"당월",
 TRUE,"그외"
)</f>
        <v>1개월</v>
      </c>
    </row>
    <row r="3693" spans="1:12" x14ac:dyDescent="0.3">
      <c r="A3693" s="5">
        <v>46082</v>
      </c>
      <c r="B3693" s="6" t="s">
        <v>50</v>
      </c>
      <c r="C3693" s="6" t="s">
        <v>54</v>
      </c>
      <c r="D3693" s="5">
        <v>46054</v>
      </c>
      <c r="E3693" s="6" t="s">
        <v>15</v>
      </c>
      <c r="F3693" s="7">
        <v>1778</v>
      </c>
      <c r="G3693" s="7">
        <v>140322.46287964011</v>
      </c>
      <c r="H3693" s="7">
        <v>249493339</v>
      </c>
      <c r="I3693" s="7">
        <v>43514685</v>
      </c>
      <c r="J3693" s="7">
        <v>0</v>
      </c>
      <c r="K3693">
        <f t="shared" si="57"/>
        <v>28</v>
      </c>
      <c r="L3693" s="8" t="str" cm="1">
        <f t="array" ref="L3693">_xlfn.IFS(
 AND(K3693&gt;=89,K3693&lt;=92),"3개월",
 AND(K3693&gt;=58,K3693&lt;=62),"2개월",
 AND(K3693&gt;=28,K3693&lt;=32),"1개월",
 AND(K3693=0),"당월",
 TRUE,"그외"
)</f>
        <v>1개월</v>
      </c>
    </row>
    <row r="3694" spans="1:12" x14ac:dyDescent="0.3">
      <c r="A3694" s="5">
        <v>46082</v>
      </c>
      <c r="B3694" s="6" t="s">
        <v>50</v>
      </c>
      <c r="C3694" s="6" t="s">
        <v>54</v>
      </c>
      <c r="D3694" s="5">
        <v>46082</v>
      </c>
      <c r="E3694" s="6" t="s">
        <v>14</v>
      </c>
      <c r="F3694" s="7">
        <v>2034</v>
      </c>
      <c r="G3694" s="7">
        <v>107247.0850540806</v>
      </c>
      <c r="H3694" s="7">
        <v>218140571</v>
      </c>
      <c r="I3694" s="7">
        <v>68399251</v>
      </c>
      <c r="J3694" s="7">
        <v>0</v>
      </c>
      <c r="K3694">
        <f t="shared" si="57"/>
        <v>0</v>
      </c>
      <c r="L3694" s="8" t="str" cm="1">
        <f t="array" ref="L3694">_xlfn.IFS(
 AND(K3694&gt;=89,K3694&lt;=92),"3개월",
 AND(K3694&gt;=58,K3694&lt;=62),"2개월",
 AND(K3694&gt;=28,K3694&lt;=32),"1개월",
 AND(K3694=0),"당월",
 TRUE,"그외"
)</f>
        <v>당월</v>
      </c>
    </row>
    <row r="3695" spans="1:12" x14ac:dyDescent="0.3">
      <c r="A3695" s="5">
        <v>46082</v>
      </c>
      <c r="B3695" s="6" t="s">
        <v>50</v>
      </c>
      <c r="C3695" s="6" t="s">
        <v>54</v>
      </c>
      <c r="D3695" s="5">
        <v>46082</v>
      </c>
      <c r="E3695" s="6" t="s">
        <v>15</v>
      </c>
      <c r="F3695" s="7">
        <v>2368</v>
      </c>
      <c r="G3695" s="7">
        <v>143975.24197635139</v>
      </c>
      <c r="H3695" s="7">
        <v>340933373</v>
      </c>
      <c r="I3695" s="7">
        <v>65959549</v>
      </c>
      <c r="J3695" s="7">
        <v>0</v>
      </c>
      <c r="K3695">
        <f t="shared" si="57"/>
        <v>0</v>
      </c>
      <c r="L3695" s="8" t="str" cm="1">
        <f t="array" ref="L3695">_xlfn.IFS(
 AND(K3695&gt;=89,K3695&lt;=92),"3개월",
 AND(K3695&gt;=58,K3695&lt;=62),"2개월",
 AND(K3695&gt;=28,K3695&lt;=32),"1개월",
 AND(K3695=0),"당월",
 TRUE,"그외"
)</f>
        <v>당월</v>
      </c>
    </row>
    <row r="3696" spans="1:12" x14ac:dyDescent="0.3">
      <c r="A3696" s="5">
        <v>46082</v>
      </c>
      <c r="B3696" s="6" t="s">
        <v>50</v>
      </c>
      <c r="C3696" s="6" t="s">
        <v>56</v>
      </c>
      <c r="D3696" s="5">
        <v>45839</v>
      </c>
      <c r="E3696" s="6" t="s">
        <v>15</v>
      </c>
      <c r="F3696" s="7">
        <v>12</v>
      </c>
      <c r="G3696" s="7">
        <v>133382.41666666669</v>
      </c>
      <c r="H3696" s="7">
        <v>1600589</v>
      </c>
      <c r="I3696" s="7">
        <v>147594</v>
      </c>
      <c r="J3696" s="7">
        <v>0</v>
      </c>
      <c r="K3696">
        <f t="shared" si="57"/>
        <v>243</v>
      </c>
      <c r="L3696" s="8" t="str" cm="1">
        <f t="array" ref="L3696">_xlfn.IFS(
 AND(K3696&gt;=89,K3696&lt;=92),"3개월",
 AND(K3696&gt;=58,K3696&lt;=62),"2개월",
 AND(K3696&gt;=28,K3696&lt;=32),"1개월",
 AND(K3696=0),"당월",
 TRUE,"그외"
)</f>
        <v>그외</v>
      </c>
    </row>
    <row r="3697" spans="1:12" x14ac:dyDescent="0.3">
      <c r="A3697" s="5">
        <v>46082</v>
      </c>
      <c r="B3697" s="6" t="s">
        <v>50</v>
      </c>
      <c r="C3697" s="6" t="s">
        <v>56</v>
      </c>
      <c r="D3697" s="5">
        <v>45870</v>
      </c>
      <c r="E3697" s="6" t="s">
        <v>15</v>
      </c>
      <c r="F3697" s="7">
        <v>40</v>
      </c>
      <c r="G3697" s="7">
        <v>168577.3</v>
      </c>
      <c r="H3697" s="7">
        <v>6743092</v>
      </c>
      <c r="I3697" s="7">
        <v>932449</v>
      </c>
      <c r="J3697" s="7">
        <v>0</v>
      </c>
      <c r="K3697">
        <f t="shared" si="57"/>
        <v>212</v>
      </c>
      <c r="L3697" s="8" t="str" cm="1">
        <f t="array" ref="L3697">_xlfn.IFS(
 AND(K3697&gt;=89,K3697&lt;=92),"3개월",
 AND(K3697&gt;=58,K3697&lt;=62),"2개월",
 AND(K3697&gt;=28,K3697&lt;=32),"1개월",
 AND(K3697=0),"당월",
 TRUE,"그외"
)</f>
        <v>그외</v>
      </c>
    </row>
    <row r="3698" spans="1:12" x14ac:dyDescent="0.3">
      <c r="A3698" s="5">
        <v>46082</v>
      </c>
      <c r="B3698" s="6" t="s">
        <v>50</v>
      </c>
      <c r="C3698" s="6" t="s">
        <v>56</v>
      </c>
      <c r="D3698" s="5">
        <v>45901</v>
      </c>
      <c r="E3698" s="6" t="s">
        <v>15</v>
      </c>
      <c r="F3698" s="7">
        <v>38</v>
      </c>
      <c r="G3698" s="7">
        <v>153014.21052631579</v>
      </c>
      <c r="H3698" s="7">
        <v>5814540</v>
      </c>
      <c r="I3698" s="7">
        <v>680580</v>
      </c>
      <c r="J3698" s="7">
        <v>0</v>
      </c>
      <c r="K3698">
        <f t="shared" si="57"/>
        <v>181</v>
      </c>
      <c r="L3698" s="8" t="str" cm="1">
        <f t="array" ref="L3698">_xlfn.IFS(
 AND(K3698&gt;=89,K3698&lt;=92),"3개월",
 AND(K3698&gt;=58,K3698&lt;=62),"2개월",
 AND(K3698&gt;=28,K3698&lt;=32),"1개월",
 AND(K3698=0),"당월",
 TRUE,"그외"
)</f>
        <v>그외</v>
      </c>
    </row>
    <row r="3699" spans="1:12" x14ac:dyDescent="0.3">
      <c r="A3699" s="5">
        <v>46082</v>
      </c>
      <c r="B3699" s="6" t="s">
        <v>50</v>
      </c>
      <c r="C3699" s="6" t="s">
        <v>56</v>
      </c>
      <c r="D3699" s="5">
        <v>45931</v>
      </c>
      <c r="E3699" s="6" t="s">
        <v>15</v>
      </c>
      <c r="F3699" s="7">
        <v>114</v>
      </c>
      <c r="G3699" s="7">
        <v>177801.78070175441</v>
      </c>
      <c r="H3699" s="7">
        <v>20269403</v>
      </c>
      <c r="I3699" s="7">
        <v>3428194</v>
      </c>
      <c r="J3699" s="7">
        <v>0</v>
      </c>
      <c r="K3699">
        <f t="shared" si="57"/>
        <v>151</v>
      </c>
      <c r="L3699" s="8" t="str" cm="1">
        <f t="array" ref="L3699">_xlfn.IFS(
 AND(K3699&gt;=89,K3699&lt;=92),"3개월",
 AND(K3699&gt;=58,K3699&lt;=62),"2개월",
 AND(K3699&gt;=28,K3699&lt;=32),"1개월",
 AND(K3699=0),"당월",
 TRUE,"그외"
)</f>
        <v>그외</v>
      </c>
    </row>
    <row r="3700" spans="1:12" x14ac:dyDescent="0.3">
      <c r="A3700" s="5">
        <v>46082</v>
      </c>
      <c r="B3700" s="6" t="s">
        <v>50</v>
      </c>
      <c r="C3700" s="6" t="s">
        <v>56</v>
      </c>
      <c r="D3700" s="5">
        <v>45962</v>
      </c>
      <c r="E3700" s="6" t="s">
        <v>14</v>
      </c>
      <c r="F3700" s="7">
        <v>2</v>
      </c>
      <c r="G3700" s="7">
        <v>202900</v>
      </c>
      <c r="H3700" s="7">
        <v>405800</v>
      </c>
      <c r="I3700" s="7">
        <v>33800</v>
      </c>
      <c r="J3700" s="7">
        <v>0</v>
      </c>
      <c r="K3700">
        <f t="shared" si="57"/>
        <v>120</v>
      </c>
      <c r="L3700" s="8" t="str" cm="1">
        <f t="array" ref="L3700">_xlfn.IFS(
 AND(K3700&gt;=89,K3700&lt;=92),"3개월",
 AND(K3700&gt;=58,K3700&lt;=62),"2개월",
 AND(K3700&gt;=28,K3700&lt;=32),"1개월",
 AND(K3700=0),"당월",
 TRUE,"그외"
)</f>
        <v>그외</v>
      </c>
    </row>
    <row r="3701" spans="1:12" x14ac:dyDescent="0.3">
      <c r="A3701" s="5">
        <v>46082</v>
      </c>
      <c r="B3701" s="6" t="s">
        <v>50</v>
      </c>
      <c r="C3701" s="6" t="s">
        <v>56</v>
      </c>
      <c r="D3701" s="5">
        <v>45962</v>
      </c>
      <c r="E3701" s="6" t="s">
        <v>15</v>
      </c>
      <c r="F3701" s="7">
        <v>243</v>
      </c>
      <c r="G3701" s="7">
        <v>182882.11522633751</v>
      </c>
      <c r="H3701" s="7">
        <v>44440354</v>
      </c>
      <c r="I3701" s="7">
        <v>6971188</v>
      </c>
      <c r="J3701" s="7">
        <v>0</v>
      </c>
      <c r="K3701">
        <f t="shared" si="57"/>
        <v>120</v>
      </c>
      <c r="L3701" s="8" t="str" cm="1">
        <f t="array" ref="L3701">_xlfn.IFS(
 AND(K3701&gt;=89,K3701&lt;=92),"3개월",
 AND(K3701&gt;=58,K3701&lt;=62),"2개월",
 AND(K3701&gt;=28,K3701&lt;=32),"1개월",
 AND(K3701=0),"당월",
 TRUE,"그외"
)</f>
        <v>그외</v>
      </c>
    </row>
    <row r="3702" spans="1:12" x14ac:dyDescent="0.3">
      <c r="A3702" s="5">
        <v>46082</v>
      </c>
      <c r="B3702" s="6" t="s">
        <v>50</v>
      </c>
      <c r="C3702" s="6" t="s">
        <v>56</v>
      </c>
      <c r="D3702" s="5">
        <v>45992</v>
      </c>
      <c r="E3702" s="6" t="s">
        <v>14</v>
      </c>
      <c r="F3702" s="7">
        <v>1</v>
      </c>
      <c r="G3702" s="7">
        <v>124444</v>
      </c>
      <c r="H3702" s="7">
        <v>124444</v>
      </c>
      <c r="I3702" s="7">
        <v>42264</v>
      </c>
      <c r="J3702" s="7">
        <v>0</v>
      </c>
      <c r="K3702">
        <f t="shared" si="57"/>
        <v>90</v>
      </c>
      <c r="L3702" s="8" t="str" cm="1">
        <f t="array" ref="L3702">_xlfn.IFS(
 AND(K3702&gt;=89,K3702&lt;=92),"3개월",
 AND(K3702&gt;=58,K3702&lt;=62),"2개월",
 AND(K3702&gt;=28,K3702&lt;=32),"1개월",
 AND(K3702=0),"당월",
 TRUE,"그외"
)</f>
        <v>3개월</v>
      </c>
    </row>
    <row r="3703" spans="1:12" x14ac:dyDescent="0.3">
      <c r="A3703" s="5">
        <v>46082</v>
      </c>
      <c r="B3703" s="6" t="s">
        <v>50</v>
      </c>
      <c r="C3703" s="6" t="s">
        <v>56</v>
      </c>
      <c r="D3703" s="5">
        <v>45992</v>
      </c>
      <c r="E3703" s="6" t="s">
        <v>15</v>
      </c>
      <c r="F3703" s="7">
        <v>400</v>
      </c>
      <c r="G3703" s="7">
        <v>174306.79250000001</v>
      </c>
      <c r="H3703" s="7">
        <v>69722717</v>
      </c>
      <c r="I3703" s="7">
        <v>10779311</v>
      </c>
      <c r="J3703" s="7">
        <v>0</v>
      </c>
      <c r="K3703">
        <f t="shared" si="57"/>
        <v>90</v>
      </c>
      <c r="L3703" s="8" t="str" cm="1">
        <f t="array" ref="L3703">_xlfn.IFS(
 AND(K3703&gt;=89,K3703&lt;=92),"3개월",
 AND(K3703&gt;=58,K3703&lt;=62),"2개월",
 AND(K3703&gt;=28,K3703&lt;=32),"1개월",
 AND(K3703=0),"당월",
 TRUE,"그외"
)</f>
        <v>3개월</v>
      </c>
    </row>
    <row r="3704" spans="1:12" x14ac:dyDescent="0.3">
      <c r="A3704" s="5">
        <v>46082</v>
      </c>
      <c r="B3704" s="6" t="s">
        <v>50</v>
      </c>
      <c r="C3704" s="6" t="s">
        <v>56</v>
      </c>
      <c r="D3704" s="5">
        <v>46023</v>
      </c>
      <c r="E3704" s="6" t="s">
        <v>14</v>
      </c>
      <c r="F3704" s="7">
        <v>158</v>
      </c>
      <c r="G3704" s="7">
        <v>119346.1139240506</v>
      </c>
      <c r="H3704" s="7">
        <v>18856686</v>
      </c>
      <c r="I3704" s="7">
        <v>6546236</v>
      </c>
      <c r="J3704" s="7">
        <v>0</v>
      </c>
      <c r="K3704">
        <f t="shared" si="57"/>
        <v>59</v>
      </c>
      <c r="L3704" s="8" t="str" cm="1">
        <f t="array" ref="L3704">_xlfn.IFS(
 AND(K3704&gt;=89,K3704&lt;=92),"3개월",
 AND(K3704&gt;=58,K3704&lt;=62),"2개월",
 AND(K3704&gt;=28,K3704&lt;=32),"1개월",
 AND(K3704=0),"당월",
 TRUE,"그외"
)</f>
        <v>2개월</v>
      </c>
    </row>
    <row r="3705" spans="1:12" x14ac:dyDescent="0.3">
      <c r="A3705" s="5">
        <v>46082</v>
      </c>
      <c r="B3705" s="6" t="s">
        <v>50</v>
      </c>
      <c r="C3705" s="6" t="s">
        <v>56</v>
      </c>
      <c r="D3705" s="5">
        <v>46023</v>
      </c>
      <c r="E3705" s="6" t="s">
        <v>15</v>
      </c>
      <c r="F3705" s="7">
        <v>1530</v>
      </c>
      <c r="G3705" s="7">
        <v>170547.08562091499</v>
      </c>
      <c r="H3705" s="7">
        <v>260937041</v>
      </c>
      <c r="I3705" s="7">
        <v>44588155</v>
      </c>
      <c r="J3705" s="7">
        <v>0</v>
      </c>
      <c r="K3705">
        <f t="shared" si="57"/>
        <v>59</v>
      </c>
      <c r="L3705" s="8" t="str" cm="1">
        <f t="array" ref="L3705">_xlfn.IFS(
 AND(K3705&gt;=89,K3705&lt;=92),"3개월",
 AND(K3705&gt;=58,K3705&lt;=62),"2개월",
 AND(K3705&gt;=28,K3705&lt;=32),"1개월",
 AND(K3705=0),"당월",
 TRUE,"그외"
)</f>
        <v>2개월</v>
      </c>
    </row>
    <row r="3706" spans="1:12" x14ac:dyDescent="0.3">
      <c r="A3706" s="5">
        <v>46082</v>
      </c>
      <c r="B3706" s="6" t="s">
        <v>50</v>
      </c>
      <c r="C3706" s="6" t="s">
        <v>56</v>
      </c>
      <c r="D3706" s="5">
        <v>46054</v>
      </c>
      <c r="E3706" s="6" t="s">
        <v>14</v>
      </c>
      <c r="F3706" s="7">
        <v>361</v>
      </c>
      <c r="G3706" s="7">
        <v>130391.00831024929</v>
      </c>
      <c r="H3706" s="7">
        <v>47071154</v>
      </c>
      <c r="I3706" s="7">
        <v>13373259</v>
      </c>
      <c r="J3706" s="7">
        <v>0</v>
      </c>
      <c r="K3706">
        <f t="shared" si="57"/>
        <v>28</v>
      </c>
      <c r="L3706" s="8" t="str" cm="1">
        <f t="array" ref="L3706">_xlfn.IFS(
 AND(K3706&gt;=89,K3706&lt;=92),"3개월",
 AND(K3706&gt;=58,K3706&lt;=62),"2개월",
 AND(K3706&gt;=28,K3706&lt;=32),"1개월",
 AND(K3706=0),"당월",
 TRUE,"그외"
)</f>
        <v>1개월</v>
      </c>
    </row>
    <row r="3707" spans="1:12" x14ac:dyDescent="0.3">
      <c r="A3707" s="5">
        <v>46082</v>
      </c>
      <c r="B3707" s="6" t="s">
        <v>50</v>
      </c>
      <c r="C3707" s="6" t="s">
        <v>56</v>
      </c>
      <c r="D3707" s="5">
        <v>46054</v>
      </c>
      <c r="E3707" s="6" t="s">
        <v>15</v>
      </c>
      <c r="F3707" s="7">
        <v>1925</v>
      </c>
      <c r="G3707" s="7">
        <v>170878.92623376619</v>
      </c>
      <c r="H3707" s="7">
        <v>328941933</v>
      </c>
      <c r="I3707" s="7">
        <v>45551039</v>
      </c>
      <c r="J3707" s="7">
        <v>0</v>
      </c>
      <c r="K3707">
        <f t="shared" si="57"/>
        <v>28</v>
      </c>
      <c r="L3707" s="8" t="str" cm="1">
        <f t="array" ref="L3707">_xlfn.IFS(
 AND(K3707&gt;=89,K3707&lt;=92),"3개월",
 AND(K3707&gt;=58,K3707&lt;=62),"2개월",
 AND(K3707&gt;=28,K3707&lt;=32),"1개월",
 AND(K3707=0),"당월",
 TRUE,"그외"
)</f>
        <v>1개월</v>
      </c>
    </row>
    <row r="3708" spans="1:12" x14ac:dyDescent="0.3">
      <c r="A3708" s="5">
        <v>46082</v>
      </c>
      <c r="B3708" s="6" t="s">
        <v>50</v>
      </c>
      <c r="C3708" s="6" t="s">
        <v>56</v>
      </c>
      <c r="D3708" s="5">
        <v>46082</v>
      </c>
      <c r="E3708" s="6" t="s">
        <v>14</v>
      </c>
      <c r="F3708" s="7">
        <v>325</v>
      </c>
      <c r="G3708" s="7">
        <v>128768.2153846154</v>
      </c>
      <c r="H3708" s="7">
        <v>41849670</v>
      </c>
      <c r="I3708" s="7">
        <v>10922524</v>
      </c>
      <c r="J3708" s="7">
        <v>0</v>
      </c>
      <c r="K3708">
        <f t="shared" si="57"/>
        <v>0</v>
      </c>
      <c r="L3708" s="8" t="str" cm="1">
        <f t="array" ref="L3708">_xlfn.IFS(
 AND(K3708&gt;=89,K3708&lt;=92),"3개월",
 AND(K3708&gt;=58,K3708&lt;=62),"2개월",
 AND(K3708&gt;=28,K3708&lt;=32),"1개월",
 AND(K3708=0),"당월",
 TRUE,"그외"
)</f>
        <v>당월</v>
      </c>
    </row>
    <row r="3709" spans="1:12" x14ac:dyDescent="0.3">
      <c r="A3709" s="5">
        <v>46082</v>
      </c>
      <c r="B3709" s="6" t="s">
        <v>50</v>
      </c>
      <c r="C3709" s="6" t="s">
        <v>56</v>
      </c>
      <c r="D3709" s="5">
        <v>46082</v>
      </c>
      <c r="E3709" s="6" t="s">
        <v>15</v>
      </c>
      <c r="F3709" s="7">
        <v>1180</v>
      </c>
      <c r="G3709" s="7">
        <v>200226.35423728809</v>
      </c>
      <c r="H3709" s="7">
        <v>236267098</v>
      </c>
      <c r="I3709" s="7">
        <v>31296302</v>
      </c>
      <c r="J3709" s="7">
        <v>0</v>
      </c>
      <c r="K3709">
        <f t="shared" si="57"/>
        <v>0</v>
      </c>
      <c r="L3709" s="8" t="str" cm="1">
        <f t="array" ref="L3709">_xlfn.IFS(
 AND(K3709&gt;=89,K3709&lt;=92),"3개월",
 AND(K3709&gt;=58,K3709&lt;=62),"2개월",
 AND(K3709&gt;=28,K3709&lt;=32),"1개월",
 AND(K3709=0),"당월",
 TRUE,"그외"
)</f>
        <v>당월</v>
      </c>
    </row>
    <row r="3710" spans="1:12" x14ac:dyDescent="0.3">
      <c r="A3710" s="5">
        <v>46082</v>
      </c>
      <c r="B3710" s="6" t="s">
        <v>50</v>
      </c>
      <c r="C3710" s="6" t="s">
        <v>57</v>
      </c>
      <c r="D3710" s="5">
        <v>45839</v>
      </c>
      <c r="E3710" s="6" t="s">
        <v>15</v>
      </c>
      <c r="F3710" s="7">
        <v>26</v>
      </c>
      <c r="G3710" s="7">
        <v>145447.07692307691</v>
      </c>
      <c r="H3710" s="7">
        <v>3781624</v>
      </c>
      <c r="I3710" s="7">
        <v>676288</v>
      </c>
      <c r="J3710" s="7">
        <v>0</v>
      </c>
      <c r="K3710">
        <f t="shared" si="57"/>
        <v>243</v>
      </c>
      <c r="L3710" s="8" t="str" cm="1">
        <f t="array" ref="L3710">_xlfn.IFS(
 AND(K3710&gt;=89,K3710&lt;=92),"3개월",
 AND(K3710&gt;=58,K3710&lt;=62),"2개월",
 AND(K3710&gt;=28,K3710&lt;=32),"1개월",
 AND(K3710=0),"당월",
 TRUE,"그외"
)</f>
        <v>그외</v>
      </c>
    </row>
    <row r="3711" spans="1:12" x14ac:dyDescent="0.3">
      <c r="A3711" s="5">
        <v>46082</v>
      </c>
      <c r="B3711" s="6" t="s">
        <v>50</v>
      </c>
      <c r="C3711" s="6" t="s">
        <v>57</v>
      </c>
      <c r="D3711" s="5">
        <v>45870</v>
      </c>
      <c r="E3711" s="6" t="s">
        <v>15</v>
      </c>
      <c r="F3711" s="7">
        <v>44</v>
      </c>
      <c r="G3711" s="7">
        <v>141110.86363636359</v>
      </c>
      <c r="H3711" s="7">
        <v>6208878</v>
      </c>
      <c r="I3711" s="7">
        <v>900206</v>
      </c>
      <c r="J3711" s="7">
        <v>0</v>
      </c>
      <c r="K3711">
        <f t="shared" si="57"/>
        <v>212</v>
      </c>
      <c r="L3711" s="8" t="str" cm="1">
        <f t="array" ref="L3711">_xlfn.IFS(
 AND(K3711&gt;=89,K3711&lt;=92),"3개월",
 AND(K3711&gt;=58,K3711&lt;=62),"2개월",
 AND(K3711&gt;=28,K3711&lt;=32),"1개월",
 AND(K3711=0),"당월",
 TRUE,"그외"
)</f>
        <v>그외</v>
      </c>
    </row>
    <row r="3712" spans="1:12" x14ac:dyDescent="0.3">
      <c r="A3712" s="5">
        <v>46082</v>
      </c>
      <c r="B3712" s="6" t="s">
        <v>50</v>
      </c>
      <c r="C3712" s="6" t="s">
        <v>57</v>
      </c>
      <c r="D3712" s="5">
        <v>45901</v>
      </c>
      <c r="E3712" s="6" t="s">
        <v>15</v>
      </c>
      <c r="F3712" s="7">
        <v>65</v>
      </c>
      <c r="G3712" s="7">
        <v>147541.09230769231</v>
      </c>
      <c r="H3712" s="7">
        <v>9590171</v>
      </c>
      <c r="I3712" s="7">
        <v>1079000</v>
      </c>
      <c r="J3712" s="7">
        <v>0</v>
      </c>
      <c r="K3712">
        <f t="shared" si="57"/>
        <v>181</v>
      </c>
      <c r="L3712" s="8" t="str" cm="1">
        <f t="array" ref="L3712">_xlfn.IFS(
 AND(K3712&gt;=89,K3712&lt;=92),"3개월",
 AND(K3712&gt;=58,K3712&lt;=62),"2개월",
 AND(K3712&gt;=28,K3712&lt;=32),"1개월",
 AND(K3712=0),"당월",
 TRUE,"그외"
)</f>
        <v>그외</v>
      </c>
    </row>
    <row r="3713" spans="1:12" x14ac:dyDescent="0.3">
      <c r="A3713" s="5">
        <v>46082</v>
      </c>
      <c r="B3713" s="6" t="s">
        <v>50</v>
      </c>
      <c r="C3713" s="6" t="s">
        <v>57</v>
      </c>
      <c r="D3713" s="5">
        <v>45931</v>
      </c>
      <c r="E3713" s="6" t="s">
        <v>15</v>
      </c>
      <c r="F3713" s="7">
        <v>165</v>
      </c>
      <c r="G3713" s="7">
        <v>156997.25454545449</v>
      </c>
      <c r="H3713" s="7">
        <v>25904547</v>
      </c>
      <c r="I3713" s="7">
        <v>3470622</v>
      </c>
      <c r="J3713" s="7">
        <v>0</v>
      </c>
      <c r="K3713">
        <f t="shared" si="57"/>
        <v>151</v>
      </c>
      <c r="L3713" s="8" t="str" cm="1">
        <f t="array" ref="L3713">_xlfn.IFS(
 AND(K3713&gt;=89,K3713&lt;=92),"3개월",
 AND(K3713&gt;=58,K3713&lt;=62),"2개월",
 AND(K3713&gt;=28,K3713&lt;=32),"1개월",
 AND(K3713=0),"당월",
 TRUE,"그외"
)</f>
        <v>그외</v>
      </c>
    </row>
    <row r="3714" spans="1:12" x14ac:dyDescent="0.3">
      <c r="A3714" s="5">
        <v>46082</v>
      </c>
      <c r="B3714" s="6" t="s">
        <v>50</v>
      </c>
      <c r="C3714" s="6" t="s">
        <v>57</v>
      </c>
      <c r="D3714" s="5">
        <v>45962</v>
      </c>
      <c r="E3714" s="6" t="s">
        <v>15</v>
      </c>
      <c r="F3714" s="7">
        <v>450</v>
      </c>
      <c r="G3714" s="7">
        <v>158484.56</v>
      </c>
      <c r="H3714" s="7">
        <v>71318052</v>
      </c>
      <c r="I3714" s="7">
        <v>10352664</v>
      </c>
      <c r="J3714" s="7">
        <v>0</v>
      </c>
      <c r="K3714">
        <f t="shared" si="57"/>
        <v>120</v>
      </c>
      <c r="L3714" s="8" t="str" cm="1">
        <f t="array" ref="L3714">_xlfn.IFS(
 AND(K3714&gt;=89,K3714&lt;=92),"3개월",
 AND(K3714&gt;=58,K3714&lt;=62),"2개월",
 AND(K3714&gt;=28,K3714&lt;=32),"1개월",
 AND(K3714=0),"당월",
 TRUE,"그외"
)</f>
        <v>그외</v>
      </c>
    </row>
    <row r="3715" spans="1:12" x14ac:dyDescent="0.3">
      <c r="A3715" s="5">
        <v>46082</v>
      </c>
      <c r="B3715" s="6" t="s">
        <v>50</v>
      </c>
      <c r="C3715" s="6" t="s">
        <v>57</v>
      </c>
      <c r="D3715" s="5">
        <v>45992</v>
      </c>
      <c r="E3715" s="6" t="s">
        <v>15</v>
      </c>
      <c r="F3715" s="7">
        <v>581</v>
      </c>
      <c r="G3715" s="7">
        <v>172515.96213425131</v>
      </c>
      <c r="H3715" s="7">
        <v>100231774</v>
      </c>
      <c r="I3715" s="7">
        <v>14231331</v>
      </c>
      <c r="J3715" s="7">
        <v>0</v>
      </c>
      <c r="K3715">
        <f t="shared" si="57"/>
        <v>90</v>
      </c>
      <c r="L3715" s="8" t="str" cm="1">
        <f t="array" ref="L3715">_xlfn.IFS(
 AND(K3715&gt;=89,K3715&lt;=92),"3개월",
 AND(K3715&gt;=58,K3715&lt;=62),"2개월",
 AND(K3715&gt;=28,K3715&lt;=32),"1개월",
 AND(K3715=0),"당월",
 TRUE,"그외"
)</f>
        <v>3개월</v>
      </c>
    </row>
    <row r="3716" spans="1:12" x14ac:dyDescent="0.3">
      <c r="A3716" s="5">
        <v>46082</v>
      </c>
      <c r="B3716" s="6" t="s">
        <v>50</v>
      </c>
      <c r="C3716" s="6" t="s">
        <v>57</v>
      </c>
      <c r="D3716" s="5">
        <v>46023</v>
      </c>
      <c r="E3716" s="6" t="s">
        <v>14</v>
      </c>
      <c r="F3716" s="7">
        <v>397</v>
      </c>
      <c r="G3716" s="7">
        <v>119552.33249370279</v>
      </c>
      <c r="H3716" s="7">
        <v>47462276</v>
      </c>
      <c r="I3716" s="7">
        <v>14712676</v>
      </c>
      <c r="J3716" s="7">
        <v>0</v>
      </c>
      <c r="K3716">
        <f t="shared" si="57"/>
        <v>59</v>
      </c>
      <c r="L3716" s="8" t="str" cm="1">
        <f t="array" ref="L3716">_xlfn.IFS(
 AND(K3716&gt;=89,K3716&lt;=92),"3개월",
 AND(K3716&gt;=58,K3716&lt;=62),"2개월",
 AND(K3716&gt;=28,K3716&lt;=32),"1개월",
 AND(K3716=0),"당월",
 TRUE,"그외"
)</f>
        <v>2개월</v>
      </c>
    </row>
    <row r="3717" spans="1:12" x14ac:dyDescent="0.3">
      <c r="A3717" s="5">
        <v>46082</v>
      </c>
      <c r="B3717" s="6" t="s">
        <v>50</v>
      </c>
      <c r="C3717" s="6" t="s">
        <v>57</v>
      </c>
      <c r="D3717" s="5">
        <v>46023</v>
      </c>
      <c r="E3717" s="6" t="s">
        <v>15</v>
      </c>
      <c r="F3717" s="7">
        <v>2069</v>
      </c>
      <c r="G3717" s="7">
        <v>155362.67665538911</v>
      </c>
      <c r="H3717" s="7">
        <v>321445378</v>
      </c>
      <c r="I3717" s="7">
        <v>51228187</v>
      </c>
      <c r="J3717" s="7">
        <v>0</v>
      </c>
      <c r="K3717">
        <f t="shared" si="57"/>
        <v>59</v>
      </c>
      <c r="L3717" s="8" t="str" cm="1">
        <f t="array" ref="L3717">_xlfn.IFS(
 AND(K3717&gt;=89,K3717&lt;=92),"3개월",
 AND(K3717&gt;=58,K3717&lt;=62),"2개월",
 AND(K3717&gt;=28,K3717&lt;=32),"1개월",
 AND(K3717=0),"당월",
 TRUE,"그외"
)</f>
        <v>2개월</v>
      </c>
    </row>
    <row r="3718" spans="1:12" x14ac:dyDescent="0.3">
      <c r="A3718" s="5">
        <v>46082</v>
      </c>
      <c r="B3718" s="6" t="s">
        <v>50</v>
      </c>
      <c r="C3718" s="6" t="s">
        <v>57</v>
      </c>
      <c r="D3718" s="5">
        <v>46054</v>
      </c>
      <c r="E3718" s="6" t="s">
        <v>14</v>
      </c>
      <c r="F3718" s="7">
        <v>1125</v>
      </c>
      <c r="G3718" s="7">
        <v>132914.55466666669</v>
      </c>
      <c r="H3718" s="7">
        <v>149528874</v>
      </c>
      <c r="I3718" s="7">
        <v>31460451</v>
      </c>
      <c r="J3718" s="7">
        <v>0</v>
      </c>
      <c r="K3718">
        <f t="shared" si="57"/>
        <v>28</v>
      </c>
      <c r="L3718" s="8" t="str" cm="1">
        <f t="array" ref="L3718">_xlfn.IFS(
 AND(K3718&gt;=89,K3718&lt;=92),"3개월",
 AND(K3718&gt;=58,K3718&lt;=62),"2개월",
 AND(K3718&gt;=28,K3718&lt;=32),"1개월",
 AND(K3718=0),"당월",
 TRUE,"그외"
)</f>
        <v>1개월</v>
      </c>
    </row>
    <row r="3719" spans="1:12" x14ac:dyDescent="0.3">
      <c r="A3719" s="5">
        <v>46082</v>
      </c>
      <c r="B3719" s="6" t="s">
        <v>50</v>
      </c>
      <c r="C3719" s="6" t="s">
        <v>57</v>
      </c>
      <c r="D3719" s="5">
        <v>46054</v>
      </c>
      <c r="E3719" s="6" t="s">
        <v>15</v>
      </c>
      <c r="F3719" s="7">
        <v>2651</v>
      </c>
      <c r="G3719" s="7">
        <v>170548.1595624293</v>
      </c>
      <c r="H3719" s="7">
        <v>452123171</v>
      </c>
      <c r="I3719" s="7">
        <v>57372637</v>
      </c>
      <c r="J3719" s="7">
        <v>0</v>
      </c>
      <c r="K3719">
        <f t="shared" si="57"/>
        <v>28</v>
      </c>
      <c r="L3719" s="8" t="str" cm="1">
        <f t="array" ref="L3719">_xlfn.IFS(
 AND(K3719&gt;=89,K3719&lt;=92),"3개월",
 AND(K3719&gt;=58,K3719&lt;=62),"2개월",
 AND(K3719&gt;=28,K3719&lt;=32),"1개월",
 AND(K3719=0),"당월",
 TRUE,"그외"
)</f>
        <v>1개월</v>
      </c>
    </row>
    <row r="3720" spans="1:12" x14ac:dyDescent="0.3">
      <c r="A3720" s="5">
        <v>46082</v>
      </c>
      <c r="B3720" s="6" t="s">
        <v>50</v>
      </c>
      <c r="C3720" s="6" t="s">
        <v>57</v>
      </c>
      <c r="D3720" s="5">
        <v>46082</v>
      </c>
      <c r="E3720" s="6" t="s">
        <v>14</v>
      </c>
      <c r="F3720" s="7">
        <v>1143</v>
      </c>
      <c r="G3720" s="7">
        <v>129891.0183727034</v>
      </c>
      <c r="H3720" s="7">
        <v>148465434</v>
      </c>
      <c r="I3720" s="7">
        <v>28268843</v>
      </c>
      <c r="J3720" s="7">
        <v>0</v>
      </c>
      <c r="K3720">
        <f t="shared" si="57"/>
        <v>0</v>
      </c>
      <c r="L3720" s="8" t="str" cm="1">
        <f t="array" ref="L3720">_xlfn.IFS(
 AND(K3720&gt;=89,K3720&lt;=92),"3개월",
 AND(K3720&gt;=58,K3720&lt;=62),"2개월",
 AND(K3720&gt;=28,K3720&lt;=32),"1개월",
 AND(K3720=0),"당월",
 TRUE,"그외"
)</f>
        <v>당월</v>
      </c>
    </row>
    <row r="3721" spans="1:12" x14ac:dyDescent="0.3">
      <c r="A3721" s="5">
        <v>46082</v>
      </c>
      <c r="B3721" s="6" t="s">
        <v>50</v>
      </c>
      <c r="C3721" s="6" t="s">
        <v>57</v>
      </c>
      <c r="D3721" s="5">
        <v>46082</v>
      </c>
      <c r="E3721" s="6" t="s">
        <v>15</v>
      </c>
      <c r="F3721" s="7">
        <v>2115</v>
      </c>
      <c r="G3721" s="7">
        <v>176462.2122931442</v>
      </c>
      <c r="H3721" s="7">
        <v>373217579</v>
      </c>
      <c r="I3721" s="7">
        <v>52018126</v>
      </c>
      <c r="J3721" s="7">
        <v>0</v>
      </c>
      <c r="K3721">
        <f t="shared" si="57"/>
        <v>0</v>
      </c>
      <c r="L3721" s="8" t="str" cm="1">
        <f t="array" ref="L3721">_xlfn.IFS(
 AND(K3721&gt;=89,K3721&lt;=92),"3개월",
 AND(K3721&gt;=58,K3721&lt;=62),"2개월",
 AND(K3721&gt;=28,K3721&lt;=32),"1개월",
 AND(K3721=0),"당월",
 TRUE,"그외"
)</f>
        <v>당월</v>
      </c>
    </row>
    <row r="3722" spans="1:12" x14ac:dyDescent="0.3">
      <c r="A3722" s="5">
        <v>46082</v>
      </c>
      <c r="B3722" s="6" t="s">
        <v>50</v>
      </c>
      <c r="C3722" s="6" t="s">
        <v>58</v>
      </c>
      <c r="D3722" s="5">
        <v>46023</v>
      </c>
      <c r="E3722" s="6" t="s">
        <v>15</v>
      </c>
      <c r="F3722" s="7">
        <v>200</v>
      </c>
      <c r="G3722" s="7">
        <v>156858.52499999999</v>
      </c>
      <c r="H3722" s="7">
        <v>31371705</v>
      </c>
      <c r="I3722" s="7">
        <v>5917755</v>
      </c>
      <c r="J3722" s="7">
        <v>0</v>
      </c>
      <c r="K3722">
        <f t="shared" ref="K3722:K3785" si="58">A3722-D3722</f>
        <v>59</v>
      </c>
      <c r="L3722" s="8" t="str" cm="1">
        <f t="array" ref="L3722">_xlfn.IFS(
 AND(K3722&gt;=89,K3722&lt;=92),"3개월",
 AND(K3722&gt;=58,K3722&lt;=62),"2개월",
 AND(K3722&gt;=28,K3722&lt;=32),"1개월",
 AND(K3722=0),"당월",
 TRUE,"그외"
)</f>
        <v>2개월</v>
      </c>
    </row>
    <row r="3723" spans="1:12" x14ac:dyDescent="0.3">
      <c r="A3723" s="5">
        <v>46082</v>
      </c>
      <c r="B3723" s="6" t="s">
        <v>50</v>
      </c>
      <c r="C3723" s="6" t="s">
        <v>58</v>
      </c>
      <c r="D3723" s="5">
        <v>46054</v>
      </c>
      <c r="E3723" s="6" t="s">
        <v>15</v>
      </c>
      <c r="F3723" s="7">
        <v>257</v>
      </c>
      <c r="G3723" s="7">
        <v>141563.04669260699</v>
      </c>
      <c r="H3723" s="7">
        <v>36381703</v>
      </c>
      <c r="I3723" s="7">
        <v>7238496</v>
      </c>
      <c r="J3723" s="7">
        <v>0</v>
      </c>
      <c r="K3723">
        <f t="shared" si="58"/>
        <v>28</v>
      </c>
      <c r="L3723" s="8" t="str" cm="1">
        <f t="array" ref="L3723">_xlfn.IFS(
 AND(K3723&gt;=89,K3723&lt;=92),"3개월",
 AND(K3723&gt;=58,K3723&lt;=62),"2개월",
 AND(K3723&gt;=28,K3723&lt;=32),"1개월",
 AND(K3723=0),"당월",
 TRUE,"그외"
)</f>
        <v>1개월</v>
      </c>
    </row>
    <row r="3724" spans="1:12" x14ac:dyDescent="0.3">
      <c r="A3724" s="5">
        <v>46082</v>
      </c>
      <c r="B3724" s="6" t="s">
        <v>50</v>
      </c>
      <c r="C3724" s="6" t="s">
        <v>58</v>
      </c>
      <c r="D3724" s="5">
        <v>46082</v>
      </c>
      <c r="E3724" s="6" t="s">
        <v>14</v>
      </c>
      <c r="F3724" s="7">
        <v>190</v>
      </c>
      <c r="G3724" s="7">
        <v>133918.2157894737</v>
      </c>
      <c r="H3724" s="7">
        <v>25444461</v>
      </c>
      <c r="I3724" s="7">
        <v>7370385</v>
      </c>
      <c r="J3724" s="7">
        <v>0</v>
      </c>
      <c r="K3724">
        <f t="shared" si="58"/>
        <v>0</v>
      </c>
      <c r="L3724" s="8" t="str" cm="1">
        <f t="array" ref="L3724">_xlfn.IFS(
 AND(K3724&gt;=89,K3724&lt;=92),"3개월",
 AND(K3724&gt;=58,K3724&lt;=62),"2개월",
 AND(K3724&gt;=28,K3724&lt;=32),"1개월",
 AND(K3724=0),"당월",
 TRUE,"그외"
)</f>
        <v>당월</v>
      </c>
    </row>
    <row r="3725" spans="1:12" x14ac:dyDescent="0.3">
      <c r="A3725" s="5">
        <v>46082</v>
      </c>
      <c r="B3725" s="6" t="s">
        <v>50</v>
      </c>
      <c r="C3725" s="6" t="s">
        <v>58</v>
      </c>
      <c r="D3725" s="5">
        <v>46082</v>
      </c>
      <c r="E3725" s="6" t="s">
        <v>15</v>
      </c>
      <c r="F3725" s="7">
        <v>295</v>
      </c>
      <c r="G3725" s="7">
        <v>145060.3898305085</v>
      </c>
      <c r="H3725" s="7">
        <v>42792815</v>
      </c>
      <c r="I3725" s="7">
        <v>9296439</v>
      </c>
      <c r="J3725" s="7">
        <v>0</v>
      </c>
      <c r="K3725">
        <f t="shared" si="58"/>
        <v>0</v>
      </c>
      <c r="L3725" s="8" t="str" cm="1">
        <f t="array" ref="L3725">_xlfn.IFS(
 AND(K3725&gt;=89,K3725&lt;=92),"3개월",
 AND(K3725&gt;=58,K3725&lt;=62),"2개월",
 AND(K3725&gt;=28,K3725&lt;=32),"1개월",
 AND(K3725=0),"당월",
 TRUE,"그외"
)</f>
        <v>당월</v>
      </c>
    </row>
    <row r="3726" spans="1:12" x14ac:dyDescent="0.3">
      <c r="A3726" s="5">
        <v>46082</v>
      </c>
      <c r="B3726" s="6" t="s">
        <v>50</v>
      </c>
      <c r="C3726" s="6" t="s">
        <v>59</v>
      </c>
      <c r="D3726" s="5">
        <v>45839</v>
      </c>
      <c r="E3726" s="6" t="s">
        <v>15</v>
      </c>
      <c r="F3726" s="7">
        <v>16</v>
      </c>
      <c r="G3726" s="7">
        <v>194274.875</v>
      </c>
      <c r="H3726" s="7">
        <v>3108398</v>
      </c>
      <c r="I3726" s="7">
        <v>547476</v>
      </c>
      <c r="J3726" s="7">
        <v>0</v>
      </c>
      <c r="K3726">
        <f t="shared" si="58"/>
        <v>243</v>
      </c>
      <c r="L3726" s="8" t="str" cm="1">
        <f t="array" ref="L3726">_xlfn.IFS(
 AND(K3726&gt;=89,K3726&lt;=92),"3개월",
 AND(K3726&gt;=58,K3726&lt;=62),"2개월",
 AND(K3726&gt;=28,K3726&lt;=32),"1개월",
 AND(K3726=0),"당월",
 TRUE,"그외"
)</f>
        <v>그외</v>
      </c>
    </row>
    <row r="3727" spans="1:12" x14ac:dyDescent="0.3">
      <c r="A3727" s="5">
        <v>46082</v>
      </c>
      <c r="B3727" s="6" t="s">
        <v>50</v>
      </c>
      <c r="C3727" s="6" t="s">
        <v>59</v>
      </c>
      <c r="D3727" s="5">
        <v>45870</v>
      </c>
      <c r="E3727" s="6" t="s">
        <v>15</v>
      </c>
      <c r="F3727" s="7">
        <v>23</v>
      </c>
      <c r="G3727" s="7">
        <v>191976.69565217389</v>
      </c>
      <c r="H3727" s="7">
        <v>4415464</v>
      </c>
      <c r="I3727" s="7">
        <v>892455</v>
      </c>
      <c r="J3727" s="7">
        <v>0</v>
      </c>
      <c r="K3727">
        <f t="shared" si="58"/>
        <v>212</v>
      </c>
      <c r="L3727" s="8" t="str" cm="1">
        <f t="array" ref="L3727">_xlfn.IFS(
 AND(K3727&gt;=89,K3727&lt;=92),"3개월",
 AND(K3727&gt;=58,K3727&lt;=62),"2개월",
 AND(K3727&gt;=28,K3727&lt;=32),"1개월",
 AND(K3727=0),"당월",
 TRUE,"그외"
)</f>
        <v>그외</v>
      </c>
    </row>
    <row r="3728" spans="1:12" x14ac:dyDescent="0.3">
      <c r="A3728" s="5">
        <v>46082</v>
      </c>
      <c r="B3728" s="6" t="s">
        <v>50</v>
      </c>
      <c r="C3728" s="6" t="s">
        <v>59</v>
      </c>
      <c r="D3728" s="5">
        <v>45901</v>
      </c>
      <c r="E3728" s="6" t="s">
        <v>15</v>
      </c>
      <c r="F3728" s="7">
        <v>35</v>
      </c>
      <c r="G3728" s="7">
        <v>186939.34285714291</v>
      </c>
      <c r="H3728" s="7">
        <v>6542877</v>
      </c>
      <c r="I3728" s="7">
        <v>998487</v>
      </c>
      <c r="J3728" s="7">
        <v>0</v>
      </c>
      <c r="K3728">
        <f t="shared" si="58"/>
        <v>181</v>
      </c>
      <c r="L3728" s="8" t="str" cm="1">
        <f t="array" ref="L3728">_xlfn.IFS(
 AND(K3728&gt;=89,K3728&lt;=92),"3개월",
 AND(K3728&gt;=58,K3728&lt;=62),"2개월",
 AND(K3728&gt;=28,K3728&lt;=32),"1개월",
 AND(K3728=0),"당월",
 TRUE,"그외"
)</f>
        <v>그외</v>
      </c>
    </row>
    <row r="3729" spans="1:12" x14ac:dyDescent="0.3">
      <c r="A3729" s="5">
        <v>46082</v>
      </c>
      <c r="B3729" s="6" t="s">
        <v>50</v>
      </c>
      <c r="C3729" s="6" t="s">
        <v>59</v>
      </c>
      <c r="D3729" s="5">
        <v>45931</v>
      </c>
      <c r="E3729" s="6" t="s">
        <v>15</v>
      </c>
      <c r="F3729" s="7">
        <v>139</v>
      </c>
      <c r="G3729" s="7">
        <v>184570.51079136689</v>
      </c>
      <c r="H3729" s="7">
        <v>25655301</v>
      </c>
      <c r="I3729" s="7">
        <v>4121264</v>
      </c>
      <c r="J3729" s="7">
        <v>0</v>
      </c>
      <c r="K3729">
        <f t="shared" si="58"/>
        <v>151</v>
      </c>
      <c r="L3729" s="8" t="str" cm="1">
        <f t="array" ref="L3729">_xlfn.IFS(
 AND(K3729&gt;=89,K3729&lt;=92),"3개월",
 AND(K3729&gt;=58,K3729&lt;=62),"2개월",
 AND(K3729&gt;=28,K3729&lt;=32),"1개월",
 AND(K3729=0),"당월",
 TRUE,"그외"
)</f>
        <v>그외</v>
      </c>
    </row>
    <row r="3730" spans="1:12" x14ac:dyDescent="0.3">
      <c r="A3730" s="5">
        <v>46082</v>
      </c>
      <c r="B3730" s="6" t="s">
        <v>50</v>
      </c>
      <c r="C3730" s="6" t="s">
        <v>59</v>
      </c>
      <c r="D3730" s="5">
        <v>45962</v>
      </c>
      <c r="E3730" s="6" t="s">
        <v>14</v>
      </c>
      <c r="F3730" s="7">
        <v>6</v>
      </c>
      <c r="G3730" s="7">
        <v>149940</v>
      </c>
      <c r="H3730" s="7">
        <v>899640</v>
      </c>
      <c r="I3730" s="7">
        <v>257040</v>
      </c>
      <c r="J3730" s="7">
        <v>0</v>
      </c>
      <c r="K3730">
        <f t="shared" si="58"/>
        <v>120</v>
      </c>
      <c r="L3730" s="8" t="str" cm="1">
        <f t="array" ref="L3730">_xlfn.IFS(
 AND(K3730&gt;=89,K3730&lt;=92),"3개월",
 AND(K3730&gt;=58,K3730&lt;=62),"2개월",
 AND(K3730&gt;=28,K3730&lt;=32),"1개월",
 AND(K3730=0),"당월",
 TRUE,"그외"
)</f>
        <v>그외</v>
      </c>
    </row>
    <row r="3731" spans="1:12" x14ac:dyDescent="0.3">
      <c r="A3731" s="5">
        <v>46082</v>
      </c>
      <c r="B3731" s="6" t="s">
        <v>50</v>
      </c>
      <c r="C3731" s="6" t="s">
        <v>59</v>
      </c>
      <c r="D3731" s="5">
        <v>45962</v>
      </c>
      <c r="E3731" s="6" t="s">
        <v>15</v>
      </c>
      <c r="F3731" s="7">
        <v>335</v>
      </c>
      <c r="G3731" s="7">
        <v>192033.38507462689</v>
      </c>
      <c r="H3731" s="7">
        <v>64331184</v>
      </c>
      <c r="I3731" s="7">
        <v>10264102</v>
      </c>
      <c r="J3731" s="7">
        <v>0</v>
      </c>
      <c r="K3731">
        <f t="shared" si="58"/>
        <v>120</v>
      </c>
      <c r="L3731" s="8" t="str" cm="1">
        <f t="array" ref="L3731">_xlfn.IFS(
 AND(K3731&gt;=89,K3731&lt;=92),"3개월",
 AND(K3731&gt;=58,K3731&lt;=62),"2개월",
 AND(K3731&gt;=28,K3731&lt;=32),"1개월",
 AND(K3731=0),"당월",
 TRUE,"그외"
)</f>
        <v>그외</v>
      </c>
    </row>
    <row r="3732" spans="1:12" x14ac:dyDescent="0.3">
      <c r="A3732" s="5">
        <v>46082</v>
      </c>
      <c r="B3732" s="6" t="s">
        <v>50</v>
      </c>
      <c r="C3732" s="6" t="s">
        <v>59</v>
      </c>
      <c r="D3732" s="5">
        <v>45992</v>
      </c>
      <c r="E3732" s="6" t="s">
        <v>15</v>
      </c>
      <c r="F3732" s="7">
        <v>512</v>
      </c>
      <c r="G3732" s="7">
        <v>208066.076171875</v>
      </c>
      <c r="H3732" s="7">
        <v>106529831</v>
      </c>
      <c r="I3732" s="7">
        <v>17028948</v>
      </c>
      <c r="J3732" s="7">
        <v>0</v>
      </c>
      <c r="K3732">
        <f t="shared" si="58"/>
        <v>90</v>
      </c>
      <c r="L3732" s="8" t="str" cm="1">
        <f t="array" ref="L3732">_xlfn.IFS(
 AND(K3732&gt;=89,K3732&lt;=92),"3개월",
 AND(K3732&gt;=58,K3732&lt;=62),"2개월",
 AND(K3732&gt;=28,K3732&lt;=32),"1개월",
 AND(K3732=0),"당월",
 TRUE,"그외"
)</f>
        <v>3개월</v>
      </c>
    </row>
    <row r="3733" spans="1:12" x14ac:dyDescent="0.3">
      <c r="A3733" s="5">
        <v>46082</v>
      </c>
      <c r="B3733" s="6" t="s">
        <v>50</v>
      </c>
      <c r="C3733" s="6" t="s">
        <v>59</v>
      </c>
      <c r="D3733" s="5">
        <v>46023</v>
      </c>
      <c r="E3733" s="6" t="s">
        <v>14</v>
      </c>
      <c r="F3733" s="7">
        <v>611</v>
      </c>
      <c r="G3733" s="7">
        <v>155135.8068739771</v>
      </c>
      <c r="H3733" s="7">
        <v>94787978</v>
      </c>
      <c r="I3733" s="7">
        <v>25481484</v>
      </c>
      <c r="J3733" s="7">
        <v>0</v>
      </c>
      <c r="K3733">
        <f t="shared" si="58"/>
        <v>59</v>
      </c>
      <c r="L3733" s="8" t="str" cm="1">
        <f t="array" ref="L3733">_xlfn.IFS(
 AND(K3733&gt;=89,K3733&lt;=92),"3개월",
 AND(K3733&gt;=58,K3733&lt;=62),"2개월",
 AND(K3733&gt;=28,K3733&lt;=32),"1개월",
 AND(K3733=0),"당월",
 TRUE,"그외"
)</f>
        <v>2개월</v>
      </c>
    </row>
    <row r="3734" spans="1:12" x14ac:dyDescent="0.3">
      <c r="A3734" s="5">
        <v>46082</v>
      </c>
      <c r="B3734" s="6" t="s">
        <v>50</v>
      </c>
      <c r="C3734" s="6" t="s">
        <v>59</v>
      </c>
      <c r="D3734" s="5">
        <v>46023</v>
      </c>
      <c r="E3734" s="6" t="s">
        <v>15</v>
      </c>
      <c r="F3734" s="7">
        <v>353</v>
      </c>
      <c r="G3734" s="7">
        <v>220520.04249291791</v>
      </c>
      <c r="H3734" s="7">
        <v>77843575</v>
      </c>
      <c r="I3734" s="7">
        <v>10965189</v>
      </c>
      <c r="J3734" s="7">
        <v>0</v>
      </c>
      <c r="K3734">
        <f t="shared" si="58"/>
        <v>59</v>
      </c>
      <c r="L3734" s="8" t="str" cm="1">
        <f t="array" ref="L3734">_xlfn.IFS(
 AND(K3734&gt;=89,K3734&lt;=92),"3개월",
 AND(K3734&gt;=58,K3734&lt;=62),"2개월",
 AND(K3734&gt;=28,K3734&lt;=32),"1개월",
 AND(K3734=0),"당월",
 TRUE,"그외"
)</f>
        <v>2개월</v>
      </c>
    </row>
    <row r="3735" spans="1:12" x14ac:dyDescent="0.3">
      <c r="A3735" s="5">
        <v>46082</v>
      </c>
      <c r="B3735" s="6" t="s">
        <v>50</v>
      </c>
      <c r="C3735" s="6" t="s">
        <v>59</v>
      </c>
      <c r="D3735" s="5">
        <v>46054</v>
      </c>
      <c r="E3735" s="6" t="s">
        <v>14</v>
      </c>
      <c r="F3735" s="7">
        <v>2081</v>
      </c>
      <c r="G3735" s="7">
        <v>145003.7621335896</v>
      </c>
      <c r="H3735" s="7">
        <v>301752829</v>
      </c>
      <c r="I3735" s="7">
        <v>85130061</v>
      </c>
      <c r="J3735" s="7">
        <v>0</v>
      </c>
      <c r="K3735">
        <f t="shared" si="58"/>
        <v>28</v>
      </c>
      <c r="L3735" s="8" t="str" cm="1">
        <f t="array" ref="L3735">_xlfn.IFS(
 AND(K3735&gt;=89,K3735&lt;=92),"3개월",
 AND(K3735&gt;=58,K3735&lt;=62),"2개월",
 AND(K3735&gt;=28,K3735&lt;=32),"1개월",
 AND(K3735=0),"당월",
 TRUE,"그외"
)</f>
        <v>1개월</v>
      </c>
    </row>
    <row r="3736" spans="1:12" x14ac:dyDescent="0.3">
      <c r="A3736" s="5">
        <v>46082</v>
      </c>
      <c r="B3736" s="6" t="s">
        <v>50</v>
      </c>
      <c r="C3736" s="6" t="s">
        <v>59</v>
      </c>
      <c r="D3736" s="5">
        <v>46054</v>
      </c>
      <c r="E3736" s="6" t="s">
        <v>15</v>
      </c>
      <c r="F3736" s="7">
        <v>619</v>
      </c>
      <c r="G3736" s="7">
        <v>163195.76090468501</v>
      </c>
      <c r="H3736" s="7">
        <v>101018176</v>
      </c>
      <c r="I3736" s="7">
        <v>16296214</v>
      </c>
      <c r="J3736" s="7">
        <v>0</v>
      </c>
      <c r="K3736">
        <f t="shared" si="58"/>
        <v>28</v>
      </c>
      <c r="L3736" s="8" t="str" cm="1">
        <f t="array" ref="L3736">_xlfn.IFS(
 AND(K3736&gt;=89,K3736&lt;=92),"3개월",
 AND(K3736&gt;=58,K3736&lt;=62),"2개월",
 AND(K3736&gt;=28,K3736&lt;=32),"1개월",
 AND(K3736=0),"당월",
 TRUE,"그외"
)</f>
        <v>1개월</v>
      </c>
    </row>
    <row r="3737" spans="1:12" x14ac:dyDescent="0.3">
      <c r="A3737" s="5">
        <v>46082</v>
      </c>
      <c r="B3737" s="6" t="s">
        <v>50</v>
      </c>
      <c r="C3737" s="6" t="s">
        <v>59</v>
      </c>
      <c r="D3737" s="5">
        <v>46082</v>
      </c>
      <c r="E3737" s="6" t="s">
        <v>14</v>
      </c>
      <c r="F3737" s="7">
        <v>1009</v>
      </c>
      <c r="G3737" s="7">
        <v>161806.24578790879</v>
      </c>
      <c r="H3737" s="7">
        <v>163262502</v>
      </c>
      <c r="I3737" s="7">
        <v>40975924</v>
      </c>
      <c r="J3737" s="7">
        <v>0</v>
      </c>
      <c r="K3737">
        <f t="shared" si="58"/>
        <v>0</v>
      </c>
      <c r="L3737" s="8" t="str" cm="1">
        <f t="array" ref="L3737">_xlfn.IFS(
 AND(K3737&gt;=89,K3737&lt;=92),"3개월",
 AND(K3737&gt;=58,K3737&lt;=62),"2개월",
 AND(K3737&gt;=28,K3737&lt;=32),"1개월",
 AND(K3737=0),"당월",
 TRUE,"그외"
)</f>
        <v>당월</v>
      </c>
    </row>
    <row r="3738" spans="1:12" x14ac:dyDescent="0.3">
      <c r="A3738" s="5">
        <v>46082</v>
      </c>
      <c r="B3738" s="6" t="s">
        <v>50</v>
      </c>
      <c r="C3738" s="6" t="s">
        <v>59</v>
      </c>
      <c r="D3738" s="5">
        <v>46082</v>
      </c>
      <c r="E3738" s="6" t="s">
        <v>15</v>
      </c>
      <c r="F3738" s="7">
        <v>420</v>
      </c>
      <c r="G3738" s="7">
        <v>177773.9261904762</v>
      </c>
      <c r="H3738" s="7">
        <v>74665049</v>
      </c>
      <c r="I3738" s="7">
        <v>13951523</v>
      </c>
      <c r="J3738" s="7">
        <v>0</v>
      </c>
      <c r="K3738">
        <f t="shared" si="58"/>
        <v>0</v>
      </c>
      <c r="L3738" s="8" t="str" cm="1">
        <f t="array" ref="L3738">_xlfn.IFS(
 AND(K3738&gt;=89,K3738&lt;=92),"3개월",
 AND(K3738&gt;=58,K3738&lt;=62),"2개월",
 AND(K3738&gt;=28,K3738&lt;=32),"1개월",
 AND(K3738=0),"당월",
 TRUE,"그외"
)</f>
        <v>당월</v>
      </c>
    </row>
    <row r="3739" spans="1:12" x14ac:dyDescent="0.3">
      <c r="A3739" s="5">
        <v>46082</v>
      </c>
      <c r="B3739" s="6" t="s">
        <v>60</v>
      </c>
      <c r="C3739" s="6" t="s">
        <v>61</v>
      </c>
      <c r="D3739" s="5">
        <v>45839</v>
      </c>
      <c r="E3739" s="6" t="s">
        <v>15</v>
      </c>
      <c r="F3739" s="7">
        <v>88</v>
      </c>
      <c r="G3739" s="7">
        <v>146979.72727272729</v>
      </c>
      <c r="H3739" s="7">
        <v>12934216</v>
      </c>
      <c r="I3739" s="7">
        <v>1540186</v>
      </c>
      <c r="J3739" s="7">
        <v>0</v>
      </c>
      <c r="K3739">
        <f t="shared" si="58"/>
        <v>243</v>
      </c>
      <c r="L3739" s="8" t="str" cm="1">
        <f t="array" ref="L3739">_xlfn.IFS(
 AND(K3739&gt;=89,K3739&lt;=92),"3개월",
 AND(K3739&gt;=58,K3739&lt;=62),"2개월",
 AND(K3739&gt;=28,K3739&lt;=32),"1개월",
 AND(K3739=0),"당월",
 TRUE,"그외"
)</f>
        <v>그외</v>
      </c>
    </row>
    <row r="3740" spans="1:12" x14ac:dyDescent="0.3">
      <c r="A3740" s="5">
        <v>46082</v>
      </c>
      <c r="B3740" s="6" t="s">
        <v>60</v>
      </c>
      <c r="C3740" s="6" t="s">
        <v>61</v>
      </c>
      <c r="D3740" s="5">
        <v>45870</v>
      </c>
      <c r="E3740" s="6" t="s">
        <v>15</v>
      </c>
      <c r="F3740" s="7">
        <v>92</v>
      </c>
      <c r="G3740" s="7">
        <v>130703.4239130435</v>
      </c>
      <c r="H3740" s="7">
        <v>12024715</v>
      </c>
      <c r="I3740" s="7">
        <v>2569074</v>
      </c>
      <c r="J3740" s="7">
        <v>0</v>
      </c>
      <c r="K3740">
        <f t="shared" si="58"/>
        <v>212</v>
      </c>
      <c r="L3740" s="8" t="str" cm="1">
        <f t="array" ref="L3740">_xlfn.IFS(
 AND(K3740&gt;=89,K3740&lt;=92),"3개월",
 AND(K3740&gt;=58,K3740&lt;=62),"2개월",
 AND(K3740&gt;=28,K3740&lt;=32),"1개월",
 AND(K3740=0),"당월",
 TRUE,"그외"
)</f>
        <v>그외</v>
      </c>
    </row>
    <row r="3741" spans="1:12" x14ac:dyDescent="0.3">
      <c r="A3741" s="5">
        <v>46082</v>
      </c>
      <c r="B3741" s="6" t="s">
        <v>60</v>
      </c>
      <c r="C3741" s="6" t="s">
        <v>61</v>
      </c>
      <c r="D3741" s="5">
        <v>45901</v>
      </c>
      <c r="E3741" s="6" t="s">
        <v>15</v>
      </c>
      <c r="F3741" s="7">
        <v>129</v>
      </c>
      <c r="G3741" s="7">
        <v>151642.28682170541</v>
      </c>
      <c r="H3741" s="7">
        <v>19561855</v>
      </c>
      <c r="I3741" s="7">
        <v>5453046</v>
      </c>
      <c r="J3741" s="7">
        <v>0</v>
      </c>
      <c r="K3741">
        <f t="shared" si="58"/>
        <v>181</v>
      </c>
      <c r="L3741" s="8" t="str" cm="1">
        <f t="array" ref="L3741">_xlfn.IFS(
 AND(K3741&gt;=89,K3741&lt;=92),"3개월",
 AND(K3741&gt;=58,K3741&lt;=62),"2개월",
 AND(K3741&gt;=28,K3741&lt;=32),"1개월",
 AND(K3741=0),"당월",
 TRUE,"그외"
)</f>
        <v>그외</v>
      </c>
    </row>
    <row r="3742" spans="1:12" x14ac:dyDescent="0.3">
      <c r="A3742" s="5">
        <v>46082</v>
      </c>
      <c r="B3742" s="6" t="s">
        <v>60</v>
      </c>
      <c r="C3742" s="6" t="s">
        <v>61</v>
      </c>
      <c r="D3742" s="5">
        <v>45931</v>
      </c>
      <c r="E3742" s="6" t="s">
        <v>15</v>
      </c>
      <c r="F3742" s="7">
        <v>236</v>
      </c>
      <c r="G3742" s="7">
        <v>160960.7118644068</v>
      </c>
      <c r="H3742" s="7">
        <v>37986728</v>
      </c>
      <c r="I3742" s="7">
        <v>8664682</v>
      </c>
      <c r="J3742" s="7">
        <v>0</v>
      </c>
      <c r="K3742">
        <f t="shared" si="58"/>
        <v>151</v>
      </c>
      <c r="L3742" s="8" t="str" cm="1">
        <f t="array" ref="L3742">_xlfn.IFS(
 AND(K3742&gt;=89,K3742&lt;=92),"3개월",
 AND(K3742&gt;=58,K3742&lt;=62),"2개월",
 AND(K3742&gt;=28,K3742&lt;=32),"1개월",
 AND(K3742=0),"당월",
 TRUE,"그외"
)</f>
        <v>그외</v>
      </c>
    </row>
    <row r="3743" spans="1:12" x14ac:dyDescent="0.3">
      <c r="A3743" s="5">
        <v>46082</v>
      </c>
      <c r="B3743" s="6" t="s">
        <v>60</v>
      </c>
      <c r="C3743" s="6" t="s">
        <v>61</v>
      </c>
      <c r="D3743" s="5">
        <v>45962</v>
      </c>
      <c r="E3743" s="6" t="s">
        <v>14</v>
      </c>
      <c r="F3743" s="7">
        <v>8</v>
      </c>
      <c r="G3743" s="7">
        <v>147700</v>
      </c>
      <c r="H3743" s="7">
        <v>1181600</v>
      </c>
      <c r="I3743" s="7">
        <v>213600</v>
      </c>
      <c r="J3743" s="7">
        <v>0</v>
      </c>
      <c r="K3743">
        <f t="shared" si="58"/>
        <v>120</v>
      </c>
      <c r="L3743" s="8" t="str" cm="1">
        <f t="array" ref="L3743">_xlfn.IFS(
 AND(K3743&gt;=89,K3743&lt;=92),"3개월",
 AND(K3743&gt;=58,K3743&lt;=62),"2개월",
 AND(K3743&gt;=28,K3743&lt;=32),"1개월",
 AND(K3743=0),"당월",
 TRUE,"그외"
)</f>
        <v>그외</v>
      </c>
    </row>
    <row r="3744" spans="1:12" x14ac:dyDescent="0.3">
      <c r="A3744" s="5">
        <v>46082</v>
      </c>
      <c r="B3744" s="6" t="s">
        <v>60</v>
      </c>
      <c r="C3744" s="6" t="s">
        <v>61</v>
      </c>
      <c r="D3744" s="5">
        <v>45962</v>
      </c>
      <c r="E3744" s="6" t="s">
        <v>15</v>
      </c>
      <c r="F3744" s="7">
        <v>464</v>
      </c>
      <c r="G3744" s="7">
        <v>167435.7974137931</v>
      </c>
      <c r="H3744" s="7">
        <v>77690210</v>
      </c>
      <c r="I3744" s="7">
        <v>18153264</v>
      </c>
      <c r="J3744" s="7">
        <v>0</v>
      </c>
      <c r="K3744">
        <f t="shared" si="58"/>
        <v>120</v>
      </c>
      <c r="L3744" s="8" t="str" cm="1">
        <f t="array" ref="L3744">_xlfn.IFS(
 AND(K3744&gt;=89,K3744&lt;=92),"3개월",
 AND(K3744&gt;=58,K3744&lt;=62),"2개월",
 AND(K3744&gt;=28,K3744&lt;=32),"1개월",
 AND(K3744=0),"당월",
 TRUE,"그외"
)</f>
        <v>그외</v>
      </c>
    </row>
    <row r="3745" spans="1:12" x14ac:dyDescent="0.3">
      <c r="A3745" s="5">
        <v>46082</v>
      </c>
      <c r="B3745" s="6" t="s">
        <v>60</v>
      </c>
      <c r="C3745" s="6" t="s">
        <v>61</v>
      </c>
      <c r="D3745" s="5">
        <v>45992</v>
      </c>
      <c r="E3745" s="6" t="s">
        <v>14</v>
      </c>
      <c r="F3745" s="7">
        <v>18</v>
      </c>
      <c r="G3745" s="7">
        <v>143588.88888888891</v>
      </c>
      <c r="H3745" s="7">
        <v>2584600</v>
      </c>
      <c r="I3745" s="7">
        <v>570600</v>
      </c>
      <c r="J3745" s="7">
        <v>0</v>
      </c>
      <c r="K3745">
        <f t="shared" si="58"/>
        <v>90</v>
      </c>
      <c r="L3745" s="8" t="str" cm="1">
        <f t="array" ref="L3745">_xlfn.IFS(
 AND(K3745&gt;=89,K3745&lt;=92),"3개월",
 AND(K3745&gt;=58,K3745&lt;=62),"2개월",
 AND(K3745&gt;=28,K3745&lt;=32),"1개월",
 AND(K3745=0),"당월",
 TRUE,"그외"
)</f>
        <v>3개월</v>
      </c>
    </row>
    <row r="3746" spans="1:12" x14ac:dyDescent="0.3">
      <c r="A3746" s="5">
        <v>46082</v>
      </c>
      <c r="B3746" s="6" t="s">
        <v>60</v>
      </c>
      <c r="C3746" s="6" t="s">
        <v>61</v>
      </c>
      <c r="D3746" s="5">
        <v>45992</v>
      </c>
      <c r="E3746" s="6" t="s">
        <v>15</v>
      </c>
      <c r="F3746" s="7">
        <v>481</v>
      </c>
      <c r="G3746" s="7">
        <v>186134.68607068609</v>
      </c>
      <c r="H3746" s="7">
        <v>89530784</v>
      </c>
      <c r="I3746" s="7">
        <v>21825849</v>
      </c>
      <c r="J3746" s="7">
        <v>0</v>
      </c>
      <c r="K3746">
        <f t="shared" si="58"/>
        <v>90</v>
      </c>
      <c r="L3746" s="8" t="str" cm="1">
        <f t="array" ref="L3746">_xlfn.IFS(
 AND(K3746&gt;=89,K3746&lt;=92),"3개월",
 AND(K3746&gt;=58,K3746&lt;=62),"2개월",
 AND(K3746&gt;=28,K3746&lt;=32),"1개월",
 AND(K3746=0),"당월",
 TRUE,"그외"
)</f>
        <v>3개월</v>
      </c>
    </row>
    <row r="3747" spans="1:12" x14ac:dyDescent="0.3">
      <c r="A3747" s="5">
        <v>46082</v>
      </c>
      <c r="B3747" s="6" t="s">
        <v>60</v>
      </c>
      <c r="C3747" s="6" t="s">
        <v>61</v>
      </c>
      <c r="D3747" s="5">
        <v>46023</v>
      </c>
      <c r="E3747" s="6" t="s">
        <v>14</v>
      </c>
      <c r="F3747" s="7">
        <v>135</v>
      </c>
      <c r="G3747" s="7">
        <v>140270.42962962959</v>
      </c>
      <c r="H3747" s="7">
        <v>18936508</v>
      </c>
      <c r="I3747" s="7">
        <v>4806924</v>
      </c>
      <c r="J3747" s="7">
        <v>0</v>
      </c>
      <c r="K3747">
        <f t="shared" si="58"/>
        <v>59</v>
      </c>
      <c r="L3747" s="8" t="str" cm="1">
        <f t="array" ref="L3747">_xlfn.IFS(
 AND(K3747&gt;=89,K3747&lt;=92),"3개월",
 AND(K3747&gt;=58,K3747&lt;=62),"2개월",
 AND(K3747&gt;=28,K3747&lt;=32),"1개월",
 AND(K3747=0),"당월",
 TRUE,"그외"
)</f>
        <v>2개월</v>
      </c>
    </row>
    <row r="3748" spans="1:12" x14ac:dyDescent="0.3">
      <c r="A3748" s="5">
        <v>46082</v>
      </c>
      <c r="B3748" s="6" t="s">
        <v>60</v>
      </c>
      <c r="C3748" s="6" t="s">
        <v>61</v>
      </c>
      <c r="D3748" s="5">
        <v>46023</v>
      </c>
      <c r="E3748" s="6" t="s">
        <v>15</v>
      </c>
      <c r="F3748" s="7">
        <v>1164</v>
      </c>
      <c r="G3748" s="7">
        <v>181974.36168384881</v>
      </c>
      <c r="H3748" s="7">
        <v>211818157</v>
      </c>
      <c r="I3748" s="7">
        <v>56992517</v>
      </c>
      <c r="J3748" s="7">
        <v>0</v>
      </c>
      <c r="K3748">
        <f t="shared" si="58"/>
        <v>59</v>
      </c>
      <c r="L3748" s="8" t="str" cm="1">
        <f t="array" ref="L3748">_xlfn.IFS(
 AND(K3748&gt;=89,K3748&lt;=92),"3개월",
 AND(K3748&gt;=58,K3748&lt;=62),"2개월",
 AND(K3748&gt;=28,K3748&lt;=32),"1개월",
 AND(K3748=0),"당월",
 TRUE,"그외"
)</f>
        <v>2개월</v>
      </c>
    </row>
    <row r="3749" spans="1:12" x14ac:dyDescent="0.3">
      <c r="A3749" s="5">
        <v>46082</v>
      </c>
      <c r="B3749" s="6" t="s">
        <v>60</v>
      </c>
      <c r="C3749" s="6" t="s">
        <v>61</v>
      </c>
      <c r="D3749" s="5">
        <v>46054</v>
      </c>
      <c r="E3749" s="6" t="s">
        <v>14</v>
      </c>
      <c r="F3749" s="7">
        <v>2040</v>
      </c>
      <c r="G3749" s="7">
        <v>202458.65637254901</v>
      </c>
      <c r="H3749" s="7">
        <v>413015659</v>
      </c>
      <c r="I3749" s="7">
        <v>56077070</v>
      </c>
      <c r="J3749" s="7">
        <v>0</v>
      </c>
      <c r="K3749">
        <f t="shared" si="58"/>
        <v>28</v>
      </c>
      <c r="L3749" s="8" t="str" cm="1">
        <f t="array" ref="L3749">_xlfn.IFS(
 AND(K3749&gt;=89,K3749&lt;=92),"3개월",
 AND(K3749&gt;=58,K3749&lt;=62),"2개월",
 AND(K3749&gt;=28,K3749&lt;=32),"1개월",
 AND(K3749=0),"당월",
 TRUE,"그외"
)</f>
        <v>1개월</v>
      </c>
    </row>
    <row r="3750" spans="1:12" x14ac:dyDescent="0.3">
      <c r="A3750" s="5">
        <v>46082</v>
      </c>
      <c r="B3750" s="6" t="s">
        <v>60</v>
      </c>
      <c r="C3750" s="6" t="s">
        <v>61</v>
      </c>
      <c r="D3750" s="5">
        <v>46054</v>
      </c>
      <c r="E3750" s="6" t="s">
        <v>15</v>
      </c>
      <c r="F3750" s="7">
        <v>1811</v>
      </c>
      <c r="G3750" s="7">
        <v>189741.1187189398</v>
      </c>
      <c r="H3750" s="7">
        <v>343621166</v>
      </c>
      <c r="I3750" s="7">
        <v>82486332</v>
      </c>
      <c r="J3750" s="7">
        <v>0</v>
      </c>
      <c r="K3750">
        <f t="shared" si="58"/>
        <v>28</v>
      </c>
      <c r="L3750" s="8" t="str" cm="1">
        <f t="array" ref="L3750">_xlfn.IFS(
 AND(K3750&gt;=89,K3750&lt;=92),"3개월",
 AND(K3750&gt;=58,K3750&lt;=62),"2개월",
 AND(K3750&gt;=28,K3750&lt;=32),"1개월",
 AND(K3750=0),"당월",
 TRUE,"그외"
)</f>
        <v>1개월</v>
      </c>
    </row>
    <row r="3751" spans="1:12" x14ac:dyDescent="0.3">
      <c r="A3751" s="5">
        <v>46082</v>
      </c>
      <c r="B3751" s="6" t="s">
        <v>60</v>
      </c>
      <c r="C3751" s="6" t="s">
        <v>61</v>
      </c>
      <c r="D3751" s="5">
        <v>46082</v>
      </c>
      <c r="E3751" s="6" t="s">
        <v>14</v>
      </c>
      <c r="F3751" s="7">
        <v>2623</v>
      </c>
      <c r="G3751" s="7">
        <v>92142.02783072817</v>
      </c>
      <c r="H3751" s="7">
        <v>241688539</v>
      </c>
      <c r="I3751" s="7">
        <v>21076644</v>
      </c>
      <c r="J3751" s="7">
        <v>0</v>
      </c>
      <c r="K3751">
        <f t="shared" si="58"/>
        <v>0</v>
      </c>
      <c r="L3751" s="8" t="str" cm="1">
        <f t="array" ref="L3751">_xlfn.IFS(
 AND(K3751&gt;=89,K3751&lt;=92),"3개월",
 AND(K3751&gt;=58,K3751&lt;=62),"2개월",
 AND(K3751&gt;=28,K3751&lt;=32),"1개월",
 AND(K3751=0),"당월",
 TRUE,"그외"
)</f>
        <v>당월</v>
      </c>
    </row>
    <row r="3752" spans="1:12" x14ac:dyDescent="0.3">
      <c r="A3752" s="5">
        <v>46082</v>
      </c>
      <c r="B3752" s="6" t="s">
        <v>60</v>
      </c>
      <c r="C3752" s="6" t="s">
        <v>61</v>
      </c>
      <c r="D3752" s="5">
        <v>46082</v>
      </c>
      <c r="E3752" s="6" t="s">
        <v>15</v>
      </c>
      <c r="F3752" s="7">
        <v>1698</v>
      </c>
      <c r="G3752" s="7">
        <v>252864.0565371025</v>
      </c>
      <c r="H3752" s="7">
        <v>429363168</v>
      </c>
      <c r="I3752" s="7">
        <v>88495684</v>
      </c>
      <c r="J3752" s="7">
        <v>0</v>
      </c>
      <c r="K3752">
        <f t="shared" si="58"/>
        <v>0</v>
      </c>
      <c r="L3752" s="8" t="str" cm="1">
        <f t="array" ref="L3752">_xlfn.IFS(
 AND(K3752&gt;=89,K3752&lt;=92),"3개월",
 AND(K3752&gt;=58,K3752&lt;=62),"2개월",
 AND(K3752&gt;=28,K3752&lt;=32),"1개월",
 AND(K3752=0),"당월",
 TRUE,"그외"
)</f>
        <v>당월</v>
      </c>
    </row>
    <row r="3753" spans="1:12" x14ac:dyDescent="0.3">
      <c r="A3753" s="5">
        <v>46082</v>
      </c>
      <c r="B3753" s="6" t="s">
        <v>60</v>
      </c>
      <c r="C3753" s="6" t="s">
        <v>104</v>
      </c>
      <c r="D3753" s="5">
        <v>45870</v>
      </c>
      <c r="E3753" s="6" t="s">
        <v>15</v>
      </c>
      <c r="F3753" s="7">
        <v>72</v>
      </c>
      <c r="G3753" s="7">
        <v>190341.66666666669</v>
      </c>
      <c r="H3753" s="7">
        <v>13704600</v>
      </c>
      <c r="I3753" s="7">
        <v>1872000</v>
      </c>
      <c r="J3753" s="7">
        <v>0</v>
      </c>
      <c r="K3753">
        <f t="shared" si="58"/>
        <v>212</v>
      </c>
      <c r="L3753" s="8" t="str" cm="1">
        <f t="array" ref="L3753">_xlfn.IFS(
 AND(K3753&gt;=89,K3753&lt;=92),"3개월",
 AND(K3753&gt;=58,K3753&lt;=62),"2개월",
 AND(K3753&gt;=28,K3753&lt;=32),"1개월",
 AND(K3753=0),"당월",
 TRUE,"그외"
)</f>
        <v>그외</v>
      </c>
    </row>
    <row r="3754" spans="1:12" x14ac:dyDescent="0.3">
      <c r="A3754" s="5">
        <v>46082</v>
      </c>
      <c r="B3754" s="6" t="s">
        <v>60</v>
      </c>
      <c r="C3754" s="6" t="s">
        <v>104</v>
      </c>
      <c r="D3754" s="5">
        <v>45901</v>
      </c>
      <c r="E3754" s="6" t="s">
        <v>15</v>
      </c>
      <c r="F3754" s="7">
        <v>48</v>
      </c>
      <c r="G3754" s="7">
        <v>230393.70833333331</v>
      </c>
      <c r="H3754" s="7">
        <v>11058898</v>
      </c>
      <c r="I3754" s="7">
        <v>1601811</v>
      </c>
      <c r="J3754" s="7">
        <v>0</v>
      </c>
      <c r="K3754">
        <f t="shared" si="58"/>
        <v>181</v>
      </c>
      <c r="L3754" s="8" t="str" cm="1">
        <f t="array" ref="L3754">_xlfn.IFS(
 AND(K3754&gt;=89,K3754&lt;=92),"3개월",
 AND(K3754&gt;=58,K3754&lt;=62),"2개월",
 AND(K3754&gt;=28,K3754&lt;=32),"1개월",
 AND(K3754=0),"당월",
 TRUE,"그외"
)</f>
        <v>그외</v>
      </c>
    </row>
    <row r="3755" spans="1:12" x14ac:dyDescent="0.3">
      <c r="A3755" s="5">
        <v>46082</v>
      </c>
      <c r="B3755" s="6" t="s">
        <v>60</v>
      </c>
      <c r="C3755" s="6" t="s">
        <v>104</v>
      </c>
      <c r="D3755" s="5">
        <v>45931</v>
      </c>
      <c r="E3755" s="6" t="s">
        <v>15</v>
      </c>
      <c r="F3755" s="7">
        <v>103</v>
      </c>
      <c r="G3755" s="7">
        <v>205930.81553398061</v>
      </c>
      <c r="H3755" s="7">
        <v>21210874</v>
      </c>
      <c r="I3755" s="7">
        <v>2719100</v>
      </c>
      <c r="J3755" s="7">
        <v>0</v>
      </c>
      <c r="K3755">
        <f t="shared" si="58"/>
        <v>151</v>
      </c>
      <c r="L3755" s="8" t="str" cm="1">
        <f t="array" ref="L3755">_xlfn.IFS(
 AND(K3755&gt;=89,K3755&lt;=92),"3개월",
 AND(K3755&gt;=58,K3755&lt;=62),"2개월",
 AND(K3755&gt;=28,K3755&lt;=32),"1개월",
 AND(K3755=0),"당월",
 TRUE,"그외"
)</f>
        <v>그외</v>
      </c>
    </row>
    <row r="3756" spans="1:12" x14ac:dyDescent="0.3">
      <c r="A3756" s="5">
        <v>46082</v>
      </c>
      <c r="B3756" s="6" t="s">
        <v>60</v>
      </c>
      <c r="C3756" s="6" t="s">
        <v>104</v>
      </c>
      <c r="D3756" s="5">
        <v>45962</v>
      </c>
      <c r="E3756" s="6" t="s">
        <v>14</v>
      </c>
      <c r="F3756" s="7">
        <v>97</v>
      </c>
      <c r="G3756" s="7">
        <v>162524.74226804121</v>
      </c>
      <c r="H3756" s="7">
        <v>15764900</v>
      </c>
      <c r="I3756" s="7">
        <v>2589900</v>
      </c>
      <c r="J3756" s="7">
        <v>0</v>
      </c>
      <c r="K3756">
        <f t="shared" si="58"/>
        <v>120</v>
      </c>
      <c r="L3756" s="8" t="str" cm="1">
        <f t="array" ref="L3756">_xlfn.IFS(
 AND(K3756&gt;=89,K3756&lt;=92),"3개월",
 AND(K3756&gt;=58,K3756&lt;=62),"2개월",
 AND(K3756&gt;=28,K3756&lt;=32),"1개월",
 AND(K3756=0),"당월",
 TRUE,"그외"
)</f>
        <v>그외</v>
      </c>
    </row>
    <row r="3757" spans="1:12" x14ac:dyDescent="0.3">
      <c r="A3757" s="5">
        <v>46082</v>
      </c>
      <c r="B3757" s="6" t="s">
        <v>60</v>
      </c>
      <c r="C3757" s="6" t="s">
        <v>104</v>
      </c>
      <c r="D3757" s="5">
        <v>45962</v>
      </c>
      <c r="E3757" s="6" t="s">
        <v>15</v>
      </c>
      <c r="F3757" s="7">
        <v>155</v>
      </c>
      <c r="G3757" s="7">
        <v>203484.3548387097</v>
      </c>
      <c r="H3757" s="7">
        <v>31540075</v>
      </c>
      <c r="I3757" s="7">
        <v>4314501</v>
      </c>
      <c r="J3757" s="7">
        <v>0</v>
      </c>
      <c r="K3757">
        <f t="shared" si="58"/>
        <v>120</v>
      </c>
      <c r="L3757" s="8" t="str" cm="1">
        <f t="array" ref="L3757">_xlfn.IFS(
 AND(K3757&gt;=89,K3757&lt;=92),"3개월",
 AND(K3757&gt;=58,K3757&lt;=62),"2개월",
 AND(K3757&gt;=28,K3757&lt;=32),"1개월",
 AND(K3757=0),"당월",
 TRUE,"그외"
)</f>
        <v>그외</v>
      </c>
    </row>
    <row r="3758" spans="1:12" x14ac:dyDescent="0.3">
      <c r="A3758" s="5">
        <v>46082</v>
      </c>
      <c r="B3758" s="6" t="s">
        <v>60</v>
      </c>
      <c r="C3758" s="6" t="s">
        <v>104</v>
      </c>
      <c r="D3758" s="5">
        <v>45992</v>
      </c>
      <c r="E3758" s="6" t="s">
        <v>14</v>
      </c>
      <c r="F3758" s="7">
        <v>86</v>
      </c>
      <c r="G3758" s="7">
        <v>151560.46511627911</v>
      </c>
      <c r="H3758" s="7">
        <v>13034200</v>
      </c>
      <c r="I3758" s="7">
        <v>2716200</v>
      </c>
      <c r="J3758" s="7">
        <v>0</v>
      </c>
      <c r="K3758">
        <f t="shared" si="58"/>
        <v>90</v>
      </c>
      <c r="L3758" s="8" t="str" cm="1">
        <f t="array" ref="L3758">_xlfn.IFS(
 AND(K3758&gt;=89,K3758&lt;=92),"3개월",
 AND(K3758&gt;=58,K3758&lt;=62),"2개월",
 AND(K3758&gt;=28,K3758&lt;=32),"1개월",
 AND(K3758=0),"당월",
 TRUE,"그외"
)</f>
        <v>3개월</v>
      </c>
    </row>
    <row r="3759" spans="1:12" x14ac:dyDescent="0.3">
      <c r="A3759" s="5">
        <v>46082</v>
      </c>
      <c r="B3759" s="6" t="s">
        <v>60</v>
      </c>
      <c r="C3759" s="6" t="s">
        <v>104</v>
      </c>
      <c r="D3759" s="5">
        <v>45992</v>
      </c>
      <c r="E3759" s="6" t="s">
        <v>15</v>
      </c>
      <c r="F3759" s="7">
        <v>269</v>
      </c>
      <c r="G3759" s="7">
        <v>209720.0223048327</v>
      </c>
      <c r="H3759" s="7">
        <v>56414686</v>
      </c>
      <c r="I3759" s="7">
        <v>9577453</v>
      </c>
      <c r="J3759" s="7">
        <v>0</v>
      </c>
      <c r="K3759">
        <f t="shared" si="58"/>
        <v>90</v>
      </c>
      <c r="L3759" s="8" t="str" cm="1">
        <f t="array" ref="L3759">_xlfn.IFS(
 AND(K3759&gt;=89,K3759&lt;=92),"3개월",
 AND(K3759&gt;=58,K3759&lt;=62),"2개월",
 AND(K3759&gt;=28,K3759&lt;=32),"1개월",
 AND(K3759=0),"당월",
 TRUE,"그외"
)</f>
        <v>3개월</v>
      </c>
    </row>
    <row r="3760" spans="1:12" x14ac:dyDescent="0.3">
      <c r="A3760" s="5">
        <v>46082</v>
      </c>
      <c r="B3760" s="6" t="s">
        <v>60</v>
      </c>
      <c r="C3760" s="6" t="s">
        <v>104</v>
      </c>
      <c r="D3760" s="5">
        <v>46023</v>
      </c>
      <c r="E3760" s="6" t="s">
        <v>14</v>
      </c>
      <c r="F3760" s="7">
        <v>122</v>
      </c>
      <c r="G3760" s="7">
        <v>169677.04918032789</v>
      </c>
      <c r="H3760" s="7">
        <v>20700600</v>
      </c>
      <c r="I3760" s="7">
        <v>3940600</v>
      </c>
      <c r="J3760" s="7">
        <v>0</v>
      </c>
      <c r="K3760">
        <f t="shared" si="58"/>
        <v>59</v>
      </c>
      <c r="L3760" s="8" t="str" cm="1">
        <f t="array" ref="L3760">_xlfn.IFS(
 AND(K3760&gt;=89,K3760&lt;=92),"3개월",
 AND(K3760&gt;=58,K3760&lt;=62),"2개월",
 AND(K3760&gt;=28,K3760&lt;=32),"1개월",
 AND(K3760=0),"당월",
 TRUE,"그외"
)</f>
        <v>2개월</v>
      </c>
    </row>
    <row r="3761" spans="1:12" x14ac:dyDescent="0.3">
      <c r="A3761" s="5">
        <v>46082</v>
      </c>
      <c r="B3761" s="6" t="s">
        <v>60</v>
      </c>
      <c r="C3761" s="6" t="s">
        <v>104</v>
      </c>
      <c r="D3761" s="5">
        <v>46023</v>
      </c>
      <c r="E3761" s="6" t="s">
        <v>15</v>
      </c>
      <c r="F3761" s="7">
        <v>1101</v>
      </c>
      <c r="G3761" s="7">
        <v>184762.87375113531</v>
      </c>
      <c r="H3761" s="7">
        <v>203423924</v>
      </c>
      <c r="I3761" s="7">
        <v>36562287</v>
      </c>
      <c r="J3761" s="7">
        <v>0</v>
      </c>
      <c r="K3761">
        <f t="shared" si="58"/>
        <v>59</v>
      </c>
      <c r="L3761" s="8" t="str" cm="1">
        <f t="array" ref="L3761">_xlfn.IFS(
 AND(K3761&gt;=89,K3761&lt;=92),"3개월",
 AND(K3761&gt;=58,K3761&lt;=62),"2개월",
 AND(K3761&gt;=28,K3761&lt;=32),"1개월",
 AND(K3761=0),"당월",
 TRUE,"그외"
)</f>
        <v>2개월</v>
      </c>
    </row>
    <row r="3762" spans="1:12" x14ac:dyDescent="0.3">
      <c r="A3762" s="5">
        <v>46082</v>
      </c>
      <c r="B3762" s="6" t="s">
        <v>60</v>
      </c>
      <c r="C3762" s="6" t="s">
        <v>104</v>
      </c>
      <c r="D3762" s="5">
        <v>46054</v>
      </c>
      <c r="E3762" s="6" t="s">
        <v>14</v>
      </c>
      <c r="F3762" s="7">
        <v>1512</v>
      </c>
      <c r="G3762" s="7">
        <v>167400.16203703711</v>
      </c>
      <c r="H3762" s="7">
        <v>253109045</v>
      </c>
      <c r="I3762" s="7">
        <v>38643651</v>
      </c>
      <c r="J3762" s="7">
        <v>0</v>
      </c>
      <c r="K3762">
        <f t="shared" si="58"/>
        <v>28</v>
      </c>
      <c r="L3762" s="8" t="str" cm="1">
        <f t="array" ref="L3762">_xlfn.IFS(
 AND(K3762&gt;=89,K3762&lt;=92),"3개월",
 AND(K3762&gt;=58,K3762&lt;=62),"2개월",
 AND(K3762&gt;=28,K3762&lt;=32),"1개월",
 AND(K3762=0),"당월",
 TRUE,"그외"
)</f>
        <v>1개월</v>
      </c>
    </row>
    <row r="3763" spans="1:12" x14ac:dyDescent="0.3">
      <c r="A3763" s="5">
        <v>46082</v>
      </c>
      <c r="B3763" s="6" t="s">
        <v>60</v>
      </c>
      <c r="C3763" s="6" t="s">
        <v>104</v>
      </c>
      <c r="D3763" s="5">
        <v>46054</v>
      </c>
      <c r="E3763" s="6" t="s">
        <v>15</v>
      </c>
      <c r="F3763" s="7">
        <v>1412</v>
      </c>
      <c r="G3763" s="7">
        <v>174519.22308781871</v>
      </c>
      <c r="H3763" s="7">
        <v>246421143</v>
      </c>
      <c r="I3763" s="7">
        <v>47415885</v>
      </c>
      <c r="J3763" s="7">
        <v>0</v>
      </c>
      <c r="K3763">
        <f t="shared" si="58"/>
        <v>28</v>
      </c>
      <c r="L3763" s="8" t="str" cm="1">
        <f t="array" ref="L3763">_xlfn.IFS(
 AND(K3763&gt;=89,K3763&lt;=92),"3개월",
 AND(K3763&gt;=58,K3763&lt;=62),"2개월",
 AND(K3763&gt;=28,K3763&lt;=32),"1개월",
 AND(K3763=0),"당월",
 TRUE,"그외"
)</f>
        <v>1개월</v>
      </c>
    </row>
    <row r="3764" spans="1:12" x14ac:dyDescent="0.3">
      <c r="A3764" s="5">
        <v>46082</v>
      </c>
      <c r="B3764" s="6" t="s">
        <v>60</v>
      </c>
      <c r="C3764" s="6" t="s">
        <v>104</v>
      </c>
      <c r="D3764" s="5">
        <v>46082</v>
      </c>
      <c r="E3764" s="6" t="s">
        <v>14</v>
      </c>
      <c r="F3764" s="7">
        <v>320</v>
      </c>
      <c r="G3764" s="7">
        <v>149565.625</v>
      </c>
      <c r="H3764" s="7">
        <v>47861000</v>
      </c>
      <c r="I3764" s="7">
        <v>8869000</v>
      </c>
      <c r="J3764" s="7">
        <v>0</v>
      </c>
      <c r="K3764">
        <f t="shared" si="58"/>
        <v>0</v>
      </c>
      <c r="L3764" s="8" t="str" cm="1">
        <f t="array" ref="L3764">_xlfn.IFS(
 AND(K3764&gt;=89,K3764&lt;=92),"3개월",
 AND(K3764&gt;=58,K3764&lt;=62),"2개월",
 AND(K3764&gt;=28,K3764&lt;=32),"1개월",
 AND(K3764=0),"당월",
 TRUE,"그외"
)</f>
        <v>당월</v>
      </c>
    </row>
    <row r="3765" spans="1:12" x14ac:dyDescent="0.3">
      <c r="A3765" s="5">
        <v>46082</v>
      </c>
      <c r="B3765" s="6" t="s">
        <v>60</v>
      </c>
      <c r="C3765" s="6" t="s">
        <v>104</v>
      </c>
      <c r="D3765" s="5">
        <v>46082</v>
      </c>
      <c r="E3765" s="6" t="s">
        <v>15</v>
      </c>
      <c r="F3765" s="7">
        <v>854</v>
      </c>
      <c r="G3765" s="7">
        <v>238730.54800936769</v>
      </c>
      <c r="H3765" s="7">
        <v>203875888</v>
      </c>
      <c r="I3765" s="7">
        <v>37472728</v>
      </c>
      <c r="J3765" s="7">
        <v>0</v>
      </c>
      <c r="K3765">
        <f t="shared" si="58"/>
        <v>0</v>
      </c>
      <c r="L3765" s="8" t="str" cm="1">
        <f t="array" ref="L3765">_xlfn.IFS(
 AND(K3765&gt;=89,K3765&lt;=92),"3개월",
 AND(K3765&gt;=58,K3765&lt;=62),"2개월",
 AND(K3765&gt;=28,K3765&lt;=32),"1개월",
 AND(K3765=0),"당월",
 TRUE,"그외"
)</f>
        <v>당월</v>
      </c>
    </row>
    <row r="3766" spans="1:12" x14ac:dyDescent="0.3">
      <c r="A3766" s="5">
        <v>46082</v>
      </c>
      <c r="B3766" s="6" t="s">
        <v>60</v>
      </c>
      <c r="C3766" s="6" t="s">
        <v>107</v>
      </c>
      <c r="D3766" s="5">
        <v>45931</v>
      </c>
      <c r="E3766" s="6" t="s">
        <v>15</v>
      </c>
      <c r="F3766" s="7">
        <v>4</v>
      </c>
      <c r="G3766" s="7">
        <v>227623.5</v>
      </c>
      <c r="H3766" s="7">
        <v>910494</v>
      </c>
      <c r="I3766" s="7">
        <v>218499</v>
      </c>
      <c r="J3766" s="7">
        <v>0</v>
      </c>
      <c r="K3766">
        <f t="shared" si="58"/>
        <v>151</v>
      </c>
      <c r="L3766" s="8" t="str" cm="1">
        <f t="array" ref="L3766">_xlfn.IFS(
 AND(K3766&gt;=89,K3766&lt;=92),"3개월",
 AND(K3766&gt;=58,K3766&lt;=62),"2개월",
 AND(K3766&gt;=28,K3766&lt;=32),"1개월",
 AND(K3766=0),"당월",
 TRUE,"그외"
)</f>
        <v>그외</v>
      </c>
    </row>
    <row r="3767" spans="1:12" x14ac:dyDescent="0.3">
      <c r="A3767" s="5">
        <v>46082</v>
      </c>
      <c r="B3767" s="6" t="s">
        <v>60</v>
      </c>
      <c r="C3767" s="6" t="s">
        <v>107</v>
      </c>
      <c r="D3767" s="5">
        <v>45962</v>
      </c>
      <c r="E3767" s="6" t="s">
        <v>15</v>
      </c>
      <c r="F3767" s="7">
        <v>26</v>
      </c>
      <c r="G3767" s="7">
        <v>356916.65384615387</v>
      </c>
      <c r="H3767" s="7">
        <v>9279833</v>
      </c>
      <c r="I3767" s="7">
        <v>694200</v>
      </c>
      <c r="J3767" s="7">
        <v>0</v>
      </c>
      <c r="K3767">
        <f t="shared" si="58"/>
        <v>120</v>
      </c>
      <c r="L3767" s="8" t="str" cm="1">
        <f t="array" ref="L3767">_xlfn.IFS(
 AND(K3767&gt;=89,K3767&lt;=92),"3개월",
 AND(K3767&gt;=58,K3767&lt;=62),"2개월",
 AND(K3767&gt;=28,K3767&lt;=32),"1개월",
 AND(K3767=0),"당월",
 TRUE,"그외"
)</f>
        <v>그외</v>
      </c>
    </row>
    <row r="3768" spans="1:12" x14ac:dyDescent="0.3">
      <c r="A3768" s="5">
        <v>46082</v>
      </c>
      <c r="B3768" s="6" t="s">
        <v>60</v>
      </c>
      <c r="C3768" s="6" t="s">
        <v>107</v>
      </c>
      <c r="D3768" s="5">
        <v>45992</v>
      </c>
      <c r="E3768" s="6" t="s">
        <v>15</v>
      </c>
      <c r="F3768" s="7">
        <v>33</v>
      </c>
      <c r="G3768" s="7">
        <v>395963.63636363641</v>
      </c>
      <c r="H3768" s="7">
        <v>13066800</v>
      </c>
      <c r="I3768" s="7">
        <v>1046100</v>
      </c>
      <c r="J3768" s="7">
        <v>0</v>
      </c>
      <c r="K3768">
        <f t="shared" si="58"/>
        <v>90</v>
      </c>
      <c r="L3768" s="8" t="str" cm="1">
        <f t="array" ref="L3768">_xlfn.IFS(
 AND(K3768&gt;=89,K3768&lt;=92),"3개월",
 AND(K3768&gt;=58,K3768&lt;=62),"2개월",
 AND(K3768&gt;=28,K3768&lt;=32),"1개월",
 AND(K3768=0),"당월",
 TRUE,"그외"
)</f>
        <v>3개월</v>
      </c>
    </row>
    <row r="3769" spans="1:12" x14ac:dyDescent="0.3">
      <c r="A3769" s="5">
        <v>46082</v>
      </c>
      <c r="B3769" s="6" t="s">
        <v>60</v>
      </c>
      <c r="C3769" s="6" t="s">
        <v>107</v>
      </c>
      <c r="D3769" s="5">
        <v>46023</v>
      </c>
      <c r="E3769" s="6" t="s">
        <v>14</v>
      </c>
      <c r="F3769" s="7">
        <v>33</v>
      </c>
      <c r="G3769" s="7">
        <v>262421.2121212121</v>
      </c>
      <c r="H3769" s="7">
        <v>8659900</v>
      </c>
      <c r="I3769" s="7">
        <v>1065900</v>
      </c>
      <c r="J3769" s="7">
        <v>0</v>
      </c>
      <c r="K3769">
        <f t="shared" si="58"/>
        <v>59</v>
      </c>
      <c r="L3769" s="8" t="str" cm="1">
        <f t="array" ref="L3769">_xlfn.IFS(
 AND(K3769&gt;=89,K3769&lt;=92),"3개월",
 AND(K3769&gt;=58,K3769&lt;=62),"2개월",
 AND(K3769&gt;=28,K3769&lt;=32),"1개월",
 AND(K3769=0),"당월",
 TRUE,"그외"
)</f>
        <v>2개월</v>
      </c>
    </row>
    <row r="3770" spans="1:12" x14ac:dyDescent="0.3">
      <c r="A3770" s="5">
        <v>46082</v>
      </c>
      <c r="B3770" s="6" t="s">
        <v>60</v>
      </c>
      <c r="C3770" s="6" t="s">
        <v>107</v>
      </c>
      <c r="D3770" s="5">
        <v>46023</v>
      </c>
      <c r="E3770" s="6" t="s">
        <v>15</v>
      </c>
      <c r="F3770" s="7">
        <v>156</v>
      </c>
      <c r="G3770" s="7">
        <v>259046.891025641</v>
      </c>
      <c r="H3770" s="7">
        <v>40411315</v>
      </c>
      <c r="I3770" s="7">
        <v>5292355</v>
      </c>
      <c r="J3770" s="7">
        <v>0</v>
      </c>
      <c r="K3770">
        <f t="shared" si="58"/>
        <v>59</v>
      </c>
      <c r="L3770" s="8" t="str" cm="1">
        <f t="array" ref="L3770">_xlfn.IFS(
 AND(K3770&gt;=89,K3770&lt;=92),"3개월",
 AND(K3770&gt;=58,K3770&lt;=62),"2개월",
 AND(K3770&gt;=28,K3770&lt;=32),"1개월",
 AND(K3770=0),"당월",
 TRUE,"그외"
)</f>
        <v>2개월</v>
      </c>
    </row>
    <row r="3771" spans="1:12" x14ac:dyDescent="0.3">
      <c r="A3771" s="5">
        <v>46082</v>
      </c>
      <c r="B3771" s="6" t="s">
        <v>60</v>
      </c>
      <c r="C3771" s="6" t="s">
        <v>107</v>
      </c>
      <c r="D3771" s="5">
        <v>46054</v>
      </c>
      <c r="E3771" s="6" t="s">
        <v>14</v>
      </c>
      <c r="F3771" s="7">
        <v>17</v>
      </c>
      <c r="G3771" s="7">
        <v>252000</v>
      </c>
      <c r="H3771" s="7">
        <v>4284000</v>
      </c>
      <c r="I3771" s="7">
        <v>374000</v>
      </c>
      <c r="J3771" s="7">
        <v>0</v>
      </c>
      <c r="K3771">
        <f t="shared" si="58"/>
        <v>28</v>
      </c>
      <c r="L3771" s="8" t="str" cm="1">
        <f t="array" ref="L3771">_xlfn.IFS(
 AND(K3771&gt;=89,K3771&lt;=92),"3개월",
 AND(K3771&gt;=58,K3771&lt;=62),"2개월",
 AND(K3771&gt;=28,K3771&lt;=32),"1개월",
 AND(K3771=0),"당월",
 TRUE,"그외"
)</f>
        <v>1개월</v>
      </c>
    </row>
    <row r="3772" spans="1:12" x14ac:dyDescent="0.3">
      <c r="A3772" s="5">
        <v>46082</v>
      </c>
      <c r="B3772" s="6" t="s">
        <v>60</v>
      </c>
      <c r="C3772" s="6" t="s">
        <v>107</v>
      </c>
      <c r="D3772" s="5">
        <v>46054</v>
      </c>
      <c r="E3772" s="6" t="s">
        <v>15</v>
      </c>
      <c r="F3772" s="7">
        <v>115</v>
      </c>
      <c r="G3772" s="7">
        <v>320020.87826086959</v>
      </c>
      <c r="H3772" s="7">
        <v>36802401</v>
      </c>
      <c r="I3772" s="7">
        <v>3600192</v>
      </c>
      <c r="J3772" s="7">
        <v>0</v>
      </c>
      <c r="K3772">
        <f t="shared" si="58"/>
        <v>28</v>
      </c>
      <c r="L3772" s="8" t="str" cm="1">
        <f t="array" ref="L3772">_xlfn.IFS(
 AND(K3772&gt;=89,K3772&lt;=92),"3개월",
 AND(K3772&gt;=58,K3772&lt;=62),"2개월",
 AND(K3772&gt;=28,K3772&lt;=32),"1개월",
 AND(K3772=0),"당월",
 TRUE,"그외"
)</f>
        <v>1개월</v>
      </c>
    </row>
    <row r="3773" spans="1:12" x14ac:dyDescent="0.3">
      <c r="A3773" s="5">
        <v>46082</v>
      </c>
      <c r="B3773" s="6" t="s">
        <v>60</v>
      </c>
      <c r="C3773" s="6" t="s">
        <v>107</v>
      </c>
      <c r="D3773" s="5">
        <v>46082</v>
      </c>
      <c r="E3773" s="6" t="s">
        <v>15</v>
      </c>
      <c r="F3773" s="7">
        <v>23</v>
      </c>
      <c r="G3773" s="7">
        <v>699887.43478260865</v>
      </c>
      <c r="H3773" s="7">
        <v>16097411</v>
      </c>
      <c r="I3773" s="7">
        <v>1925536</v>
      </c>
      <c r="J3773" s="7">
        <v>0</v>
      </c>
      <c r="K3773">
        <f t="shared" si="58"/>
        <v>0</v>
      </c>
      <c r="L3773" s="8" t="str" cm="1">
        <f t="array" ref="L3773">_xlfn.IFS(
 AND(K3773&gt;=89,K3773&lt;=92),"3개월",
 AND(K3773&gt;=58,K3773&lt;=62),"2개월",
 AND(K3773&gt;=28,K3773&lt;=32),"1개월",
 AND(K3773=0),"당월",
 TRUE,"그외"
)</f>
        <v>당월</v>
      </c>
    </row>
    <row r="3774" spans="1:12" x14ac:dyDescent="0.3">
      <c r="A3774" s="5">
        <v>46082</v>
      </c>
      <c r="B3774" s="6" t="s">
        <v>60</v>
      </c>
      <c r="C3774" s="6" t="s">
        <v>108</v>
      </c>
      <c r="D3774" s="5">
        <v>45992</v>
      </c>
      <c r="E3774" s="6" t="s">
        <v>15</v>
      </c>
      <c r="F3774" s="7">
        <v>4</v>
      </c>
      <c r="G3774" s="7">
        <v>350200</v>
      </c>
      <c r="H3774" s="7">
        <v>1400800</v>
      </c>
      <c r="I3774" s="7">
        <v>126800</v>
      </c>
      <c r="J3774" s="7">
        <v>0</v>
      </c>
      <c r="K3774">
        <f t="shared" si="58"/>
        <v>90</v>
      </c>
      <c r="L3774" s="8" t="str" cm="1">
        <f t="array" ref="L3774">_xlfn.IFS(
 AND(K3774&gt;=89,K3774&lt;=92),"3개월",
 AND(K3774&gt;=58,K3774&lt;=62),"2개월",
 AND(K3774&gt;=28,K3774&lt;=32),"1개월",
 AND(K3774=0),"당월",
 TRUE,"그외"
)</f>
        <v>3개월</v>
      </c>
    </row>
    <row r="3775" spans="1:12" x14ac:dyDescent="0.3">
      <c r="A3775" s="5">
        <v>46082</v>
      </c>
      <c r="B3775" s="6" t="s">
        <v>60</v>
      </c>
      <c r="C3775" s="6" t="s">
        <v>108</v>
      </c>
      <c r="D3775" s="5">
        <v>46023</v>
      </c>
      <c r="E3775" s="6" t="s">
        <v>14</v>
      </c>
      <c r="F3775" s="7">
        <v>1</v>
      </c>
      <c r="G3775" s="7">
        <v>14400000</v>
      </c>
      <c r="H3775" s="7">
        <v>14400000</v>
      </c>
      <c r="I3775" s="7">
        <v>0</v>
      </c>
      <c r="J3775" s="7">
        <v>0</v>
      </c>
      <c r="K3775">
        <f t="shared" si="58"/>
        <v>59</v>
      </c>
      <c r="L3775" s="8" t="str" cm="1">
        <f t="array" ref="L3775">_xlfn.IFS(
 AND(K3775&gt;=89,K3775&lt;=92),"3개월",
 AND(K3775&gt;=58,K3775&lt;=62),"2개월",
 AND(K3775&gt;=28,K3775&lt;=32),"1개월",
 AND(K3775=0),"당월",
 TRUE,"그외"
)</f>
        <v>2개월</v>
      </c>
    </row>
    <row r="3776" spans="1:12" x14ac:dyDescent="0.3">
      <c r="A3776" s="5">
        <v>46082</v>
      </c>
      <c r="B3776" s="6" t="s">
        <v>60</v>
      </c>
      <c r="C3776" s="6" t="s">
        <v>108</v>
      </c>
      <c r="D3776" s="5">
        <v>46054</v>
      </c>
      <c r="E3776" s="6" t="s">
        <v>14</v>
      </c>
      <c r="F3776" s="7">
        <v>145</v>
      </c>
      <c r="G3776" s="7">
        <v>170282.75862068971</v>
      </c>
      <c r="H3776" s="7">
        <v>24691000</v>
      </c>
      <c r="I3776" s="7">
        <v>1892000</v>
      </c>
      <c r="J3776" s="7">
        <v>0</v>
      </c>
      <c r="K3776">
        <f t="shared" si="58"/>
        <v>28</v>
      </c>
      <c r="L3776" s="8" t="str" cm="1">
        <f t="array" ref="L3776">_xlfn.IFS(
 AND(K3776&gt;=89,K3776&lt;=92),"3개월",
 AND(K3776&gt;=58,K3776&lt;=62),"2개월",
 AND(K3776&gt;=28,K3776&lt;=32),"1개월",
 AND(K3776=0),"당월",
 TRUE,"그외"
)</f>
        <v>1개월</v>
      </c>
    </row>
    <row r="3777" spans="1:12" x14ac:dyDescent="0.3">
      <c r="A3777" s="5">
        <v>46082</v>
      </c>
      <c r="B3777" s="6" t="s">
        <v>60</v>
      </c>
      <c r="C3777" s="6" t="s">
        <v>108</v>
      </c>
      <c r="D3777" s="5">
        <v>46054</v>
      </c>
      <c r="E3777" s="6" t="s">
        <v>15</v>
      </c>
      <c r="F3777" s="7">
        <v>32</v>
      </c>
      <c r="G3777" s="7">
        <v>296868.75</v>
      </c>
      <c r="H3777" s="7">
        <v>9499800</v>
      </c>
      <c r="I3777" s="7">
        <v>2195978</v>
      </c>
      <c r="J3777" s="7">
        <v>0</v>
      </c>
      <c r="K3777">
        <f t="shared" si="58"/>
        <v>28</v>
      </c>
      <c r="L3777" s="8" t="str" cm="1">
        <f t="array" ref="L3777">_xlfn.IFS(
 AND(K3777&gt;=89,K3777&lt;=92),"3개월",
 AND(K3777&gt;=58,K3777&lt;=62),"2개월",
 AND(K3777&gt;=28,K3777&lt;=32),"1개월",
 AND(K3777=0),"당월",
 TRUE,"그외"
)</f>
        <v>1개월</v>
      </c>
    </row>
    <row r="3778" spans="1:12" x14ac:dyDescent="0.3">
      <c r="A3778" s="5">
        <v>46082</v>
      </c>
      <c r="B3778" s="6" t="s">
        <v>60</v>
      </c>
      <c r="C3778" s="6" t="s">
        <v>108</v>
      </c>
      <c r="D3778" s="5">
        <v>46082</v>
      </c>
      <c r="E3778" s="6" t="s">
        <v>15</v>
      </c>
      <c r="F3778" s="7">
        <v>6</v>
      </c>
      <c r="G3778" s="7">
        <v>361370.16666666669</v>
      </c>
      <c r="H3778" s="7">
        <v>2168221</v>
      </c>
      <c r="I3778" s="7">
        <v>502022</v>
      </c>
      <c r="J3778" s="7">
        <v>0</v>
      </c>
      <c r="K3778">
        <f t="shared" si="58"/>
        <v>0</v>
      </c>
      <c r="L3778" s="8" t="str" cm="1">
        <f t="array" ref="L3778">_xlfn.IFS(
 AND(K3778&gt;=89,K3778&lt;=92),"3개월",
 AND(K3778&gt;=58,K3778&lt;=62),"2개월",
 AND(K3778&gt;=28,K3778&lt;=32),"1개월",
 AND(K3778=0),"당월",
 TRUE,"그외"
)</f>
        <v>당월</v>
      </c>
    </row>
    <row r="3779" spans="1:12" x14ac:dyDescent="0.3">
      <c r="A3779" s="5">
        <v>46082</v>
      </c>
      <c r="B3779" s="6" t="s">
        <v>60</v>
      </c>
      <c r="C3779" s="6" t="s">
        <v>120</v>
      </c>
      <c r="D3779" s="5">
        <v>46054</v>
      </c>
      <c r="E3779" s="6" t="s">
        <v>14</v>
      </c>
      <c r="F3779" s="7">
        <v>339</v>
      </c>
      <c r="G3779" s="7">
        <v>325958.70206489682</v>
      </c>
      <c r="H3779" s="7">
        <v>110500000</v>
      </c>
      <c r="I3779" s="7">
        <v>0</v>
      </c>
      <c r="J3779" s="7">
        <v>0</v>
      </c>
      <c r="K3779">
        <f t="shared" si="58"/>
        <v>28</v>
      </c>
      <c r="L3779" s="8" t="str" cm="1">
        <f t="array" ref="L3779">_xlfn.IFS(
 AND(K3779&gt;=89,K3779&lt;=92),"3개월",
 AND(K3779&gt;=58,K3779&lt;=62),"2개월",
 AND(K3779&gt;=28,K3779&lt;=32),"1개월",
 AND(K3779=0),"당월",
 TRUE,"그외"
)</f>
        <v>1개월</v>
      </c>
    </row>
    <row r="3780" spans="1:12" x14ac:dyDescent="0.3">
      <c r="A3780" s="5">
        <v>46082</v>
      </c>
      <c r="B3780" s="6" t="s">
        <v>60</v>
      </c>
      <c r="C3780" s="6" t="s">
        <v>120</v>
      </c>
      <c r="D3780" s="5">
        <v>46054</v>
      </c>
      <c r="E3780" s="6" t="s">
        <v>15</v>
      </c>
      <c r="F3780" s="7">
        <v>4</v>
      </c>
      <c r="G3780" s="7">
        <v>0</v>
      </c>
      <c r="H3780" s="7">
        <v>0</v>
      </c>
      <c r="I3780" s="7">
        <v>0</v>
      </c>
      <c r="J3780" s="7">
        <v>0</v>
      </c>
      <c r="K3780">
        <f t="shared" si="58"/>
        <v>28</v>
      </c>
      <c r="L3780" s="8" t="str" cm="1">
        <f t="array" ref="L3780">_xlfn.IFS(
 AND(K3780&gt;=89,K3780&lt;=92),"3개월",
 AND(K3780&gt;=58,K3780&lt;=62),"2개월",
 AND(K3780&gt;=28,K3780&lt;=32),"1개월",
 AND(K3780=0),"당월",
 TRUE,"그외"
)</f>
        <v>1개월</v>
      </c>
    </row>
    <row r="3781" spans="1:12" x14ac:dyDescent="0.3">
      <c r="A3781" s="5">
        <v>46082</v>
      </c>
      <c r="B3781" s="6" t="s">
        <v>60</v>
      </c>
      <c r="C3781" s="6" t="s">
        <v>62</v>
      </c>
      <c r="D3781" s="5">
        <v>45839</v>
      </c>
      <c r="E3781" s="6" t="s">
        <v>15</v>
      </c>
      <c r="F3781" s="7">
        <v>139</v>
      </c>
      <c r="G3781" s="7">
        <v>241560.35251798559</v>
      </c>
      <c r="H3781" s="7">
        <v>33576889</v>
      </c>
      <c r="I3781" s="7">
        <v>5780708</v>
      </c>
      <c r="J3781" s="7">
        <v>0</v>
      </c>
      <c r="K3781">
        <f t="shared" si="58"/>
        <v>243</v>
      </c>
      <c r="L3781" s="8" t="str" cm="1">
        <f t="array" ref="L3781">_xlfn.IFS(
 AND(K3781&gt;=89,K3781&lt;=92),"3개월",
 AND(K3781&gt;=58,K3781&lt;=62),"2개월",
 AND(K3781&gt;=28,K3781&lt;=32),"1개월",
 AND(K3781=0),"당월",
 TRUE,"그외"
)</f>
        <v>그외</v>
      </c>
    </row>
    <row r="3782" spans="1:12" x14ac:dyDescent="0.3">
      <c r="A3782" s="5">
        <v>46082</v>
      </c>
      <c r="B3782" s="6" t="s">
        <v>60</v>
      </c>
      <c r="C3782" s="6" t="s">
        <v>62</v>
      </c>
      <c r="D3782" s="5">
        <v>45870</v>
      </c>
      <c r="E3782" s="6" t="s">
        <v>15</v>
      </c>
      <c r="F3782" s="7">
        <v>248</v>
      </c>
      <c r="G3782" s="7">
        <v>225783.49193548391</v>
      </c>
      <c r="H3782" s="7">
        <v>55994306</v>
      </c>
      <c r="I3782" s="7">
        <v>10412043</v>
      </c>
      <c r="J3782" s="7">
        <v>0</v>
      </c>
      <c r="K3782">
        <f t="shared" si="58"/>
        <v>212</v>
      </c>
      <c r="L3782" s="8" t="str" cm="1">
        <f t="array" ref="L3782">_xlfn.IFS(
 AND(K3782&gt;=89,K3782&lt;=92),"3개월",
 AND(K3782&gt;=58,K3782&lt;=62),"2개월",
 AND(K3782&gt;=28,K3782&lt;=32),"1개월",
 AND(K3782=0),"당월",
 TRUE,"그외"
)</f>
        <v>그외</v>
      </c>
    </row>
    <row r="3783" spans="1:12" x14ac:dyDescent="0.3">
      <c r="A3783" s="5">
        <v>46082</v>
      </c>
      <c r="B3783" s="6" t="s">
        <v>60</v>
      </c>
      <c r="C3783" s="6" t="s">
        <v>62</v>
      </c>
      <c r="D3783" s="5">
        <v>45901</v>
      </c>
      <c r="E3783" s="6" t="s">
        <v>15</v>
      </c>
      <c r="F3783" s="7">
        <v>260</v>
      </c>
      <c r="G3783" s="7">
        <v>251558.30384615381</v>
      </c>
      <c r="H3783" s="7">
        <v>65405159</v>
      </c>
      <c r="I3783" s="7">
        <v>12213824</v>
      </c>
      <c r="J3783" s="7">
        <v>0</v>
      </c>
      <c r="K3783">
        <f t="shared" si="58"/>
        <v>181</v>
      </c>
      <c r="L3783" s="8" t="str" cm="1">
        <f t="array" ref="L3783">_xlfn.IFS(
 AND(K3783&gt;=89,K3783&lt;=92),"3개월",
 AND(K3783&gt;=58,K3783&lt;=62),"2개월",
 AND(K3783&gt;=28,K3783&lt;=32),"1개월",
 AND(K3783=0),"당월",
 TRUE,"그외"
)</f>
        <v>그외</v>
      </c>
    </row>
    <row r="3784" spans="1:12" x14ac:dyDescent="0.3">
      <c r="A3784" s="5">
        <v>46082</v>
      </c>
      <c r="B3784" s="6" t="s">
        <v>60</v>
      </c>
      <c r="C3784" s="6" t="s">
        <v>62</v>
      </c>
      <c r="D3784" s="5">
        <v>45931</v>
      </c>
      <c r="E3784" s="6" t="s">
        <v>15</v>
      </c>
      <c r="F3784" s="7">
        <v>420</v>
      </c>
      <c r="G3784" s="7">
        <v>255224.42857142861</v>
      </c>
      <c r="H3784" s="7">
        <v>107194260</v>
      </c>
      <c r="I3784" s="7">
        <v>18523230</v>
      </c>
      <c r="J3784" s="7">
        <v>0</v>
      </c>
      <c r="K3784">
        <f t="shared" si="58"/>
        <v>151</v>
      </c>
      <c r="L3784" s="8" t="str" cm="1">
        <f t="array" ref="L3784">_xlfn.IFS(
 AND(K3784&gt;=89,K3784&lt;=92),"3개월",
 AND(K3784&gt;=58,K3784&lt;=62),"2개월",
 AND(K3784&gt;=28,K3784&lt;=32),"1개월",
 AND(K3784=0),"당월",
 TRUE,"그외"
)</f>
        <v>그외</v>
      </c>
    </row>
    <row r="3785" spans="1:12" x14ac:dyDescent="0.3">
      <c r="A3785" s="5">
        <v>46082</v>
      </c>
      <c r="B3785" s="6" t="s">
        <v>60</v>
      </c>
      <c r="C3785" s="6" t="s">
        <v>62</v>
      </c>
      <c r="D3785" s="5">
        <v>45962</v>
      </c>
      <c r="E3785" s="6" t="s">
        <v>15</v>
      </c>
      <c r="F3785" s="7">
        <v>624</v>
      </c>
      <c r="G3785" s="7">
        <v>310798.45993589738</v>
      </c>
      <c r="H3785" s="7">
        <v>193938239</v>
      </c>
      <c r="I3785" s="7">
        <v>27944245</v>
      </c>
      <c r="J3785" s="7">
        <v>0</v>
      </c>
      <c r="K3785">
        <f t="shared" si="58"/>
        <v>120</v>
      </c>
      <c r="L3785" s="8" t="str" cm="1">
        <f t="array" ref="L3785">_xlfn.IFS(
 AND(K3785&gt;=89,K3785&lt;=92),"3개월",
 AND(K3785&gt;=58,K3785&lt;=62),"2개월",
 AND(K3785&gt;=28,K3785&lt;=32),"1개월",
 AND(K3785=0),"당월",
 TRUE,"그외"
)</f>
        <v>그외</v>
      </c>
    </row>
    <row r="3786" spans="1:12" x14ac:dyDescent="0.3">
      <c r="A3786" s="5">
        <v>46082</v>
      </c>
      <c r="B3786" s="6" t="s">
        <v>60</v>
      </c>
      <c r="C3786" s="6" t="s">
        <v>62</v>
      </c>
      <c r="D3786" s="5">
        <v>45992</v>
      </c>
      <c r="E3786" s="6" t="s">
        <v>14</v>
      </c>
      <c r="F3786" s="7">
        <v>5</v>
      </c>
      <c r="G3786" s="7">
        <v>214600</v>
      </c>
      <c r="H3786" s="7">
        <v>1073000</v>
      </c>
      <c r="I3786" s="7">
        <v>173000</v>
      </c>
      <c r="J3786" s="7">
        <v>0</v>
      </c>
      <c r="K3786">
        <f t="shared" ref="K3786:K3849" si="59">A3786-D3786</f>
        <v>90</v>
      </c>
      <c r="L3786" s="8" t="str" cm="1">
        <f t="array" ref="L3786">_xlfn.IFS(
 AND(K3786&gt;=89,K3786&lt;=92),"3개월",
 AND(K3786&gt;=58,K3786&lt;=62),"2개월",
 AND(K3786&gt;=28,K3786&lt;=32),"1개월",
 AND(K3786=0),"당월",
 TRUE,"그외"
)</f>
        <v>3개월</v>
      </c>
    </row>
    <row r="3787" spans="1:12" x14ac:dyDescent="0.3">
      <c r="A3787" s="5">
        <v>46082</v>
      </c>
      <c r="B3787" s="6" t="s">
        <v>60</v>
      </c>
      <c r="C3787" s="6" t="s">
        <v>62</v>
      </c>
      <c r="D3787" s="5">
        <v>45992</v>
      </c>
      <c r="E3787" s="6" t="s">
        <v>15</v>
      </c>
      <c r="F3787" s="7">
        <v>820</v>
      </c>
      <c r="G3787" s="7">
        <v>320886.90731707308</v>
      </c>
      <c r="H3787" s="7">
        <v>263127264</v>
      </c>
      <c r="I3787" s="7">
        <v>39414297</v>
      </c>
      <c r="J3787" s="7">
        <v>0</v>
      </c>
      <c r="K3787">
        <f t="shared" si="59"/>
        <v>90</v>
      </c>
      <c r="L3787" s="8" t="str" cm="1">
        <f t="array" ref="L3787">_xlfn.IFS(
 AND(K3787&gt;=89,K3787&lt;=92),"3개월",
 AND(K3787&gt;=58,K3787&lt;=62),"2개월",
 AND(K3787&gt;=28,K3787&lt;=32),"1개월",
 AND(K3787=0),"당월",
 TRUE,"그외"
)</f>
        <v>3개월</v>
      </c>
    </row>
    <row r="3788" spans="1:12" x14ac:dyDescent="0.3">
      <c r="A3788" s="5">
        <v>46082</v>
      </c>
      <c r="B3788" s="6" t="s">
        <v>60</v>
      </c>
      <c r="C3788" s="6" t="s">
        <v>62</v>
      </c>
      <c r="D3788" s="5">
        <v>46023</v>
      </c>
      <c r="E3788" s="6" t="s">
        <v>14</v>
      </c>
      <c r="F3788" s="7">
        <v>264</v>
      </c>
      <c r="G3788" s="7">
        <v>300381.2121212121</v>
      </c>
      <c r="H3788" s="7">
        <v>79300640</v>
      </c>
      <c r="I3788" s="7">
        <v>9537392</v>
      </c>
      <c r="J3788" s="7">
        <v>0</v>
      </c>
      <c r="K3788">
        <f t="shared" si="59"/>
        <v>59</v>
      </c>
      <c r="L3788" s="8" t="str" cm="1">
        <f t="array" ref="L3788">_xlfn.IFS(
 AND(K3788&gt;=89,K3788&lt;=92),"3개월",
 AND(K3788&gt;=58,K3788&lt;=62),"2개월",
 AND(K3788&gt;=28,K3788&lt;=32),"1개월",
 AND(K3788=0),"당월",
 TRUE,"그외"
)</f>
        <v>2개월</v>
      </c>
    </row>
    <row r="3789" spans="1:12" x14ac:dyDescent="0.3">
      <c r="A3789" s="5">
        <v>46082</v>
      </c>
      <c r="B3789" s="6" t="s">
        <v>60</v>
      </c>
      <c r="C3789" s="6" t="s">
        <v>62</v>
      </c>
      <c r="D3789" s="5">
        <v>46023</v>
      </c>
      <c r="E3789" s="6" t="s">
        <v>15</v>
      </c>
      <c r="F3789" s="7">
        <v>2966</v>
      </c>
      <c r="G3789" s="7">
        <v>281053.1149696561</v>
      </c>
      <c r="H3789" s="7">
        <v>833603539</v>
      </c>
      <c r="I3789" s="7">
        <v>139191144</v>
      </c>
      <c r="J3789" s="7">
        <v>0</v>
      </c>
      <c r="K3789">
        <f t="shared" si="59"/>
        <v>59</v>
      </c>
      <c r="L3789" s="8" t="str" cm="1">
        <f t="array" ref="L3789">_xlfn.IFS(
 AND(K3789&gt;=89,K3789&lt;=92),"3개월",
 AND(K3789&gt;=58,K3789&lt;=62),"2개월",
 AND(K3789&gt;=28,K3789&lt;=32),"1개월",
 AND(K3789=0),"당월",
 TRUE,"그외"
)</f>
        <v>2개월</v>
      </c>
    </row>
    <row r="3790" spans="1:12" x14ac:dyDescent="0.3">
      <c r="A3790" s="5">
        <v>46082</v>
      </c>
      <c r="B3790" s="6" t="s">
        <v>60</v>
      </c>
      <c r="C3790" s="6" t="s">
        <v>62</v>
      </c>
      <c r="D3790" s="5">
        <v>46054</v>
      </c>
      <c r="E3790" s="6" t="s">
        <v>14</v>
      </c>
      <c r="F3790" s="7">
        <v>2066</v>
      </c>
      <c r="G3790" s="7">
        <v>219089.58664085189</v>
      </c>
      <c r="H3790" s="7">
        <v>452639086</v>
      </c>
      <c r="I3790" s="7">
        <v>54818451</v>
      </c>
      <c r="J3790" s="7">
        <v>0</v>
      </c>
      <c r="K3790">
        <f t="shared" si="59"/>
        <v>28</v>
      </c>
      <c r="L3790" s="8" t="str" cm="1">
        <f t="array" ref="L3790">_xlfn.IFS(
 AND(K3790&gt;=89,K3790&lt;=92),"3개월",
 AND(K3790&gt;=58,K3790&lt;=62),"2개월",
 AND(K3790&gt;=28,K3790&lt;=32),"1개월",
 AND(K3790=0),"당월",
 TRUE,"그외"
)</f>
        <v>1개월</v>
      </c>
    </row>
    <row r="3791" spans="1:12" x14ac:dyDescent="0.3">
      <c r="A3791" s="5">
        <v>46082</v>
      </c>
      <c r="B3791" s="6" t="s">
        <v>60</v>
      </c>
      <c r="C3791" s="6" t="s">
        <v>62</v>
      </c>
      <c r="D3791" s="5">
        <v>46054</v>
      </c>
      <c r="E3791" s="6" t="s">
        <v>15</v>
      </c>
      <c r="F3791" s="7">
        <v>4915</v>
      </c>
      <c r="G3791" s="7">
        <v>248411.3062054934</v>
      </c>
      <c r="H3791" s="7">
        <v>1220941570</v>
      </c>
      <c r="I3791" s="7">
        <v>202985113</v>
      </c>
      <c r="J3791" s="7">
        <v>0</v>
      </c>
      <c r="K3791">
        <f t="shared" si="59"/>
        <v>28</v>
      </c>
      <c r="L3791" s="8" t="str" cm="1">
        <f t="array" ref="L3791">_xlfn.IFS(
 AND(K3791&gt;=89,K3791&lt;=92),"3개월",
 AND(K3791&gt;=58,K3791&lt;=62),"2개월",
 AND(K3791&gt;=28,K3791&lt;=32),"1개월",
 AND(K3791=0),"당월",
 TRUE,"그외"
)</f>
        <v>1개월</v>
      </c>
    </row>
    <row r="3792" spans="1:12" x14ac:dyDescent="0.3">
      <c r="A3792" s="5">
        <v>46082</v>
      </c>
      <c r="B3792" s="6" t="s">
        <v>60</v>
      </c>
      <c r="C3792" s="6" t="s">
        <v>62</v>
      </c>
      <c r="D3792" s="5">
        <v>46082</v>
      </c>
      <c r="E3792" s="6" t="s">
        <v>14</v>
      </c>
      <c r="F3792" s="7">
        <v>1899</v>
      </c>
      <c r="G3792" s="7">
        <v>81763.167456556082</v>
      </c>
      <c r="H3792" s="7">
        <v>155268255</v>
      </c>
      <c r="I3792" s="7">
        <v>53763795</v>
      </c>
      <c r="J3792" s="7">
        <v>0</v>
      </c>
      <c r="K3792">
        <f t="shared" si="59"/>
        <v>0</v>
      </c>
      <c r="L3792" s="8" t="str" cm="1">
        <f t="array" ref="L3792">_xlfn.IFS(
 AND(K3792&gt;=89,K3792&lt;=92),"3개월",
 AND(K3792&gt;=58,K3792&lt;=62),"2개월",
 AND(K3792&gt;=28,K3792&lt;=32),"1개월",
 AND(K3792=0),"당월",
 TRUE,"그외"
)</f>
        <v>당월</v>
      </c>
    </row>
    <row r="3793" spans="1:12" x14ac:dyDescent="0.3">
      <c r="A3793" s="5">
        <v>46082</v>
      </c>
      <c r="B3793" s="6" t="s">
        <v>60</v>
      </c>
      <c r="C3793" s="6" t="s">
        <v>62</v>
      </c>
      <c r="D3793" s="5">
        <v>46082</v>
      </c>
      <c r="E3793" s="6" t="s">
        <v>15</v>
      </c>
      <c r="F3793" s="7">
        <v>3967</v>
      </c>
      <c r="G3793" s="7">
        <v>298239.49458028743</v>
      </c>
      <c r="H3793" s="7">
        <v>1183116075</v>
      </c>
      <c r="I3793" s="7">
        <v>164221790</v>
      </c>
      <c r="J3793" s="7">
        <v>0</v>
      </c>
      <c r="K3793">
        <f t="shared" si="59"/>
        <v>0</v>
      </c>
      <c r="L3793" s="8" t="str" cm="1">
        <f t="array" ref="L3793">_xlfn.IFS(
 AND(K3793&gt;=89,K3793&lt;=92),"3개월",
 AND(K3793&gt;=58,K3793&lt;=62),"2개월",
 AND(K3793&gt;=28,K3793&lt;=32),"1개월",
 AND(K3793=0),"당월",
 TRUE,"그외"
)</f>
        <v>당월</v>
      </c>
    </row>
    <row r="3794" spans="1:12" x14ac:dyDescent="0.3">
      <c r="A3794" s="5">
        <v>46082</v>
      </c>
      <c r="B3794" s="6" t="s">
        <v>60</v>
      </c>
      <c r="C3794" s="6" t="s">
        <v>63</v>
      </c>
      <c r="D3794" s="5">
        <v>45839</v>
      </c>
      <c r="E3794" s="6" t="s">
        <v>15</v>
      </c>
      <c r="F3794" s="7">
        <v>55</v>
      </c>
      <c r="G3794" s="7">
        <v>295603.96363636362</v>
      </c>
      <c r="H3794" s="7">
        <v>16258218</v>
      </c>
      <c r="I3794" s="7">
        <v>1851672</v>
      </c>
      <c r="J3794" s="7">
        <v>0</v>
      </c>
      <c r="K3794">
        <f t="shared" si="59"/>
        <v>243</v>
      </c>
      <c r="L3794" s="8" t="str" cm="1">
        <f t="array" ref="L3794">_xlfn.IFS(
 AND(K3794&gt;=89,K3794&lt;=92),"3개월",
 AND(K3794&gt;=58,K3794&lt;=62),"2개월",
 AND(K3794&gt;=28,K3794&lt;=32),"1개월",
 AND(K3794=0),"당월",
 TRUE,"그외"
)</f>
        <v>그외</v>
      </c>
    </row>
    <row r="3795" spans="1:12" x14ac:dyDescent="0.3">
      <c r="A3795" s="5">
        <v>46082</v>
      </c>
      <c r="B3795" s="6" t="s">
        <v>60</v>
      </c>
      <c r="C3795" s="6" t="s">
        <v>63</v>
      </c>
      <c r="D3795" s="5">
        <v>45870</v>
      </c>
      <c r="E3795" s="6" t="s">
        <v>15</v>
      </c>
      <c r="F3795" s="7">
        <v>104</v>
      </c>
      <c r="G3795" s="7">
        <v>280575</v>
      </c>
      <c r="H3795" s="7">
        <v>29179800</v>
      </c>
      <c r="I3795" s="7">
        <v>4565684</v>
      </c>
      <c r="J3795" s="7">
        <v>0</v>
      </c>
      <c r="K3795">
        <f t="shared" si="59"/>
        <v>212</v>
      </c>
      <c r="L3795" s="8" t="str" cm="1">
        <f t="array" ref="L3795">_xlfn.IFS(
 AND(K3795&gt;=89,K3795&lt;=92),"3개월",
 AND(K3795&gt;=58,K3795&lt;=62),"2개월",
 AND(K3795&gt;=28,K3795&lt;=32),"1개월",
 AND(K3795=0),"당월",
 TRUE,"그외"
)</f>
        <v>그외</v>
      </c>
    </row>
    <row r="3796" spans="1:12" x14ac:dyDescent="0.3">
      <c r="A3796" s="5">
        <v>46082</v>
      </c>
      <c r="B3796" s="6" t="s">
        <v>60</v>
      </c>
      <c r="C3796" s="6" t="s">
        <v>63</v>
      </c>
      <c r="D3796" s="5">
        <v>45901</v>
      </c>
      <c r="E3796" s="6" t="s">
        <v>15</v>
      </c>
      <c r="F3796" s="7">
        <v>309</v>
      </c>
      <c r="G3796" s="7">
        <v>266450.28155339812</v>
      </c>
      <c r="H3796" s="7">
        <v>82333137</v>
      </c>
      <c r="I3796" s="7">
        <v>15044047</v>
      </c>
      <c r="J3796" s="7">
        <v>0</v>
      </c>
      <c r="K3796">
        <f t="shared" si="59"/>
        <v>181</v>
      </c>
      <c r="L3796" s="8" t="str" cm="1">
        <f t="array" ref="L3796">_xlfn.IFS(
 AND(K3796&gt;=89,K3796&lt;=92),"3개월",
 AND(K3796&gt;=58,K3796&lt;=62),"2개월",
 AND(K3796&gt;=28,K3796&lt;=32),"1개월",
 AND(K3796=0),"당월",
 TRUE,"그외"
)</f>
        <v>그외</v>
      </c>
    </row>
    <row r="3797" spans="1:12" x14ac:dyDescent="0.3">
      <c r="A3797" s="5">
        <v>46082</v>
      </c>
      <c r="B3797" s="6" t="s">
        <v>60</v>
      </c>
      <c r="C3797" s="6" t="s">
        <v>63</v>
      </c>
      <c r="D3797" s="5">
        <v>45931</v>
      </c>
      <c r="E3797" s="6" t="s">
        <v>15</v>
      </c>
      <c r="F3797" s="7">
        <v>1040</v>
      </c>
      <c r="G3797" s="7">
        <v>240014.3653846154</v>
      </c>
      <c r="H3797" s="7">
        <v>249614940</v>
      </c>
      <c r="I3797" s="7">
        <v>50826439</v>
      </c>
      <c r="J3797" s="7">
        <v>0</v>
      </c>
      <c r="K3797">
        <f t="shared" si="59"/>
        <v>151</v>
      </c>
      <c r="L3797" s="8" t="str" cm="1">
        <f t="array" ref="L3797">_xlfn.IFS(
 AND(K3797&gt;=89,K3797&lt;=92),"3개월",
 AND(K3797&gt;=58,K3797&lt;=62),"2개월",
 AND(K3797&gt;=28,K3797&lt;=32),"1개월",
 AND(K3797=0),"당월",
 TRUE,"그외"
)</f>
        <v>그외</v>
      </c>
    </row>
    <row r="3798" spans="1:12" x14ac:dyDescent="0.3">
      <c r="A3798" s="5">
        <v>46082</v>
      </c>
      <c r="B3798" s="6" t="s">
        <v>60</v>
      </c>
      <c r="C3798" s="6" t="s">
        <v>63</v>
      </c>
      <c r="D3798" s="5">
        <v>45962</v>
      </c>
      <c r="E3798" s="6" t="s">
        <v>15</v>
      </c>
      <c r="F3798" s="7">
        <v>1503</v>
      </c>
      <c r="G3798" s="7">
        <v>238520.85296074519</v>
      </c>
      <c r="H3798" s="7">
        <v>358496842</v>
      </c>
      <c r="I3798" s="7">
        <v>71061298</v>
      </c>
      <c r="J3798" s="7">
        <v>0</v>
      </c>
      <c r="K3798">
        <f t="shared" si="59"/>
        <v>120</v>
      </c>
      <c r="L3798" s="8" t="str" cm="1">
        <f t="array" ref="L3798">_xlfn.IFS(
 AND(K3798&gt;=89,K3798&lt;=92),"3개월",
 AND(K3798&gt;=58,K3798&lt;=62),"2개월",
 AND(K3798&gt;=28,K3798&lt;=32),"1개월",
 AND(K3798=0),"당월",
 TRUE,"그외"
)</f>
        <v>그외</v>
      </c>
    </row>
    <row r="3799" spans="1:12" x14ac:dyDescent="0.3">
      <c r="A3799" s="5">
        <v>46082</v>
      </c>
      <c r="B3799" s="6" t="s">
        <v>60</v>
      </c>
      <c r="C3799" s="6" t="s">
        <v>63</v>
      </c>
      <c r="D3799" s="5">
        <v>45992</v>
      </c>
      <c r="E3799" s="6" t="s">
        <v>15</v>
      </c>
      <c r="F3799" s="7">
        <v>1451</v>
      </c>
      <c r="G3799" s="7">
        <v>256982.4362508615</v>
      </c>
      <c r="H3799" s="7">
        <v>372881515</v>
      </c>
      <c r="I3799" s="7">
        <v>71826370</v>
      </c>
      <c r="J3799" s="7">
        <v>0</v>
      </c>
      <c r="K3799">
        <f t="shared" si="59"/>
        <v>90</v>
      </c>
      <c r="L3799" s="8" t="str" cm="1">
        <f t="array" ref="L3799">_xlfn.IFS(
 AND(K3799&gt;=89,K3799&lt;=92),"3개월",
 AND(K3799&gt;=58,K3799&lt;=62),"2개월",
 AND(K3799&gt;=28,K3799&lt;=32),"1개월",
 AND(K3799=0),"당월",
 TRUE,"그외"
)</f>
        <v>3개월</v>
      </c>
    </row>
    <row r="3800" spans="1:12" x14ac:dyDescent="0.3">
      <c r="A3800" s="5">
        <v>46082</v>
      </c>
      <c r="B3800" s="6" t="s">
        <v>60</v>
      </c>
      <c r="C3800" s="6" t="s">
        <v>63</v>
      </c>
      <c r="D3800" s="5">
        <v>46023</v>
      </c>
      <c r="E3800" s="6" t="s">
        <v>15</v>
      </c>
      <c r="F3800" s="7">
        <v>1763</v>
      </c>
      <c r="G3800" s="7">
        <v>287243.43165059562</v>
      </c>
      <c r="H3800" s="7">
        <v>506410170</v>
      </c>
      <c r="I3800" s="7">
        <v>84781957</v>
      </c>
      <c r="J3800" s="7">
        <v>0</v>
      </c>
      <c r="K3800">
        <f t="shared" si="59"/>
        <v>59</v>
      </c>
      <c r="L3800" s="8" t="str" cm="1">
        <f t="array" ref="L3800">_xlfn.IFS(
 AND(K3800&gt;=89,K3800&lt;=92),"3개월",
 AND(K3800&gt;=58,K3800&lt;=62),"2개월",
 AND(K3800&gt;=28,K3800&lt;=32),"1개월",
 AND(K3800=0),"당월",
 TRUE,"그외"
)</f>
        <v>2개월</v>
      </c>
    </row>
    <row r="3801" spans="1:12" x14ac:dyDescent="0.3">
      <c r="A3801" s="5">
        <v>46082</v>
      </c>
      <c r="B3801" s="6" t="s">
        <v>60</v>
      </c>
      <c r="C3801" s="6" t="s">
        <v>63</v>
      </c>
      <c r="D3801" s="5">
        <v>46054</v>
      </c>
      <c r="E3801" s="6" t="s">
        <v>14</v>
      </c>
      <c r="F3801" s="7">
        <v>247</v>
      </c>
      <c r="G3801" s="7">
        <v>284953.36437246972</v>
      </c>
      <c r="H3801" s="7">
        <v>70383481</v>
      </c>
      <c r="I3801" s="7">
        <v>12112061</v>
      </c>
      <c r="J3801" s="7">
        <v>0</v>
      </c>
      <c r="K3801">
        <f t="shared" si="59"/>
        <v>28</v>
      </c>
      <c r="L3801" s="8" t="str" cm="1">
        <f t="array" ref="L3801">_xlfn.IFS(
 AND(K3801&gt;=89,K3801&lt;=92),"3개월",
 AND(K3801&gt;=58,K3801&lt;=62),"2개월",
 AND(K3801&gt;=28,K3801&lt;=32),"1개월",
 AND(K3801=0),"당월",
 TRUE,"그외"
)</f>
        <v>1개월</v>
      </c>
    </row>
    <row r="3802" spans="1:12" x14ac:dyDescent="0.3">
      <c r="A3802" s="5">
        <v>46082</v>
      </c>
      <c r="B3802" s="6" t="s">
        <v>60</v>
      </c>
      <c r="C3802" s="6" t="s">
        <v>63</v>
      </c>
      <c r="D3802" s="5">
        <v>46054</v>
      </c>
      <c r="E3802" s="6" t="s">
        <v>15</v>
      </c>
      <c r="F3802" s="7">
        <v>1217</v>
      </c>
      <c r="G3802" s="7">
        <v>283307.97617091209</v>
      </c>
      <c r="H3802" s="7">
        <v>344785807</v>
      </c>
      <c r="I3802" s="7">
        <v>53616703</v>
      </c>
      <c r="J3802" s="7">
        <v>0</v>
      </c>
      <c r="K3802">
        <f t="shared" si="59"/>
        <v>28</v>
      </c>
      <c r="L3802" s="8" t="str" cm="1">
        <f t="array" ref="L3802">_xlfn.IFS(
 AND(K3802&gt;=89,K3802&lt;=92),"3개월",
 AND(K3802&gt;=58,K3802&lt;=62),"2개월",
 AND(K3802&gt;=28,K3802&lt;=32),"1개월",
 AND(K3802=0),"당월",
 TRUE,"그외"
)</f>
        <v>1개월</v>
      </c>
    </row>
    <row r="3803" spans="1:12" x14ac:dyDescent="0.3">
      <c r="A3803" s="5">
        <v>46082</v>
      </c>
      <c r="B3803" s="6" t="s">
        <v>60</v>
      </c>
      <c r="C3803" s="6" t="s">
        <v>63</v>
      </c>
      <c r="D3803" s="5">
        <v>46082</v>
      </c>
      <c r="E3803" s="6" t="s">
        <v>14</v>
      </c>
      <c r="F3803" s="7">
        <v>207</v>
      </c>
      <c r="G3803" s="7">
        <v>364264.25603864732</v>
      </c>
      <c r="H3803" s="7">
        <v>75402701</v>
      </c>
      <c r="I3803" s="7">
        <v>11237945</v>
      </c>
      <c r="J3803" s="7">
        <v>0</v>
      </c>
      <c r="K3803">
        <f t="shared" si="59"/>
        <v>0</v>
      </c>
      <c r="L3803" s="8" t="str" cm="1">
        <f t="array" ref="L3803">_xlfn.IFS(
 AND(K3803&gt;=89,K3803&lt;=92),"3개월",
 AND(K3803&gt;=58,K3803&lt;=62),"2개월",
 AND(K3803&gt;=28,K3803&lt;=32),"1개월",
 AND(K3803=0),"당월",
 TRUE,"그외"
)</f>
        <v>당월</v>
      </c>
    </row>
    <row r="3804" spans="1:12" x14ac:dyDescent="0.3">
      <c r="A3804" s="5">
        <v>46082</v>
      </c>
      <c r="B3804" s="6" t="s">
        <v>60</v>
      </c>
      <c r="C3804" s="6" t="s">
        <v>63</v>
      </c>
      <c r="D3804" s="5">
        <v>46082</v>
      </c>
      <c r="E3804" s="6" t="s">
        <v>15</v>
      </c>
      <c r="F3804" s="7">
        <v>839</v>
      </c>
      <c r="G3804" s="7">
        <v>315294.81168057211</v>
      </c>
      <c r="H3804" s="7">
        <v>264532347</v>
      </c>
      <c r="I3804" s="7">
        <v>37174276</v>
      </c>
      <c r="J3804" s="7">
        <v>0</v>
      </c>
      <c r="K3804">
        <f t="shared" si="59"/>
        <v>0</v>
      </c>
      <c r="L3804" s="8" t="str" cm="1">
        <f t="array" ref="L3804">_xlfn.IFS(
 AND(K3804&gt;=89,K3804&lt;=92),"3개월",
 AND(K3804&gt;=58,K3804&lt;=62),"2개월",
 AND(K3804&gt;=28,K3804&lt;=32),"1개월",
 AND(K3804=0),"당월",
 TRUE,"그외"
)</f>
        <v>당월</v>
      </c>
    </row>
    <row r="3805" spans="1:12" x14ac:dyDescent="0.3">
      <c r="A3805" s="5">
        <v>46082</v>
      </c>
      <c r="B3805" s="6" t="s">
        <v>60</v>
      </c>
      <c r="C3805" s="6" t="s">
        <v>64</v>
      </c>
      <c r="D3805" s="5">
        <v>45839</v>
      </c>
      <c r="E3805" s="6" t="s">
        <v>15</v>
      </c>
      <c r="F3805" s="7">
        <v>123</v>
      </c>
      <c r="G3805" s="7">
        <v>151980</v>
      </c>
      <c r="H3805" s="7">
        <v>18693540</v>
      </c>
      <c r="I3805" s="7">
        <v>2129097</v>
      </c>
      <c r="J3805" s="7">
        <v>0</v>
      </c>
      <c r="K3805">
        <f t="shared" si="59"/>
        <v>243</v>
      </c>
      <c r="L3805" s="8" t="str" cm="1">
        <f t="array" ref="L3805">_xlfn.IFS(
 AND(K3805&gt;=89,K3805&lt;=92),"3개월",
 AND(K3805&gt;=58,K3805&lt;=62),"2개월",
 AND(K3805&gt;=28,K3805&lt;=32),"1개월",
 AND(K3805=0),"당월",
 TRUE,"그외"
)</f>
        <v>그외</v>
      </c>
    </row>
    <row r="3806" spans="1:12" x14ac:dyDescent="0.3">
      <c r="A3806" s="5">
        <v>46082</v>
      </c>
      <c r="B3806" s="6" t="s">
        <v>60</v>
      </c>
      <c r="C3806" s="6" t="s">
        <v>64</v>
      </c>
      <c r="D3806" s="5">
        <v>45870</v>
      </c>
      <c r="E3806" s="6" t="s">
        <v>15</v>
      </c>
      <c r="F3806" s="7">
        <v>631</v>
      </c>
      <c r="G3806" s="7">
        <v>146165.20443740091</v>
      </c>
      <c r="H3806" s="7">
        <v>92230244</v>
      </c>
      <c r="I3806" s="7">
        <v>16610648</v>
      </c>
      <c r="J3806" s="7">
        <v>0</v>
      </c>
      <c r="K3806">
        <f t="shared" si="59"/>
        <v>212</v>
      </c>
      <c r="L3806" s="8" t="str" cm="1">
        <f t="array" ref="L3806">_xlfn.IFS(
 AND(K3806&gt;=89,K3806&lt;=92),"3개월",
 AND(K3806&gt;=58,K3806&lt;=62),"2개월",
 AND(K3806&gt;=28,K3806&lt;=32),"1개월",
 AND(K3806=0),"당월",
 TRUE,"그외"
)</f>
        <v>그외</v>
      </c>
    </row>
    <row r="3807" spans="1:12" x14ac:dyDescent="0.3">
      <c r="A3807" s="5">
        <v>46082</v>
      </c>
      <c r="B3807" s="6" t="s">
        <v>60</v>
      </c>
      <c r="C3807" s="6" t="s">
        <v>64</v>
      </c>
      <c r="D3807" s="5">
        <v>45901</v>
      </c>
      <c r="E3807" s="6" t="s">
        <v>15</v>
      </c>
      <c r="F3807" s="7">
        <v>876</v>
      </c>
      <c r="G3807" s="7">
        <v>164176.38812785389</v>
      </c>
      <c r="H3807" s="7">
        <v>143818516</v>
      </c>
      <c r="I3807" s="7">
        <v>24348072</v>
      </c>
      <c r="J3807" s="7">
        <v>0</v>
      </c>
      <c r="K3807">
        <f t="shared" si="59"/>
        <v>181</v>
      </c>
      <c r="L3807" s="8" t="str" cm="1">
        <f t="array" ref="L3807">_xlfn.IFS(
 AND(K3807&gt;=89,K3807&lt;=92),"3개월",
 AND(K3807&gt;=58,K3807&lt;=62),"2개월",
 AND(K3807&gt;=28,K3807&lt;=32),"1개월",
 AND(K3807=0),"당월",
 TRUE,"그외"
)</f>
        <v>그외</v>
      </c>
    </row>
    <row r="3808" spans="1:12" x14ac:dyDescent="0.3">
      <c r="A3808" s="5">
        <v>46082</v>
      </c>
      <c r="B3808" s="6" t="s">
        <v>60</v>
      </c>
      <c r="C3808" s="6" t="s">
        <v>64</v>
      </c>
      <c r="D3808" s="5">
        <v>45931</v>
      </c>
      <c r="E3808" s="6" t="s">
        <v>15</v>
      </c>
      <c r="F3808" s="7">
        <v>1415</v>
      </c>
      <c r="G3808" s="7">
        <v>169105.27137809189</v>
      </c>
      <c r="H3808" s="7">
        <v>239283959</v>
      </c>
      <c r="I3808" s="7">
        <v>39327104</v>
      </c>
      <c r="J3808" s="7">
        <v>0</v>
      </c>
      <c r="K3808">
        <f t="shared" si="59"/>
        <v>151</v>
      </c>
      <c r="L3808" s="8" t="str" cm="1">
        <f t="array" ref="L3808">_xlfn.IFS(
 AND(K3808&gt;=89,K3808&lt;=92),"3개월",
 AND(K3808&gt;=58,K3808&lt;=62),"2개월",
 AND(K3808&gt;=28,K3808&lt;=32),"1개월",
 AND(K3808=0),"당월",
 TRUE,"그외"
)</f>
        <v>그외</v>
      </c>
    </row>
    <row r="3809" spans="1:12" x14ac:dyDescent="0.3">
      <c r="A3809" s="5">
        <v>46082</v>
      </c>
      <c r="B3809" s="6" t="s">
        <v>60</v>
      </c>
      <c r="C3809" s="6" t="s">
        <v>64</v>
      </c>
      <c r="D3809" s="5">
        <v>45962</v>
      </c>
      <c r="E3809" s="6" t="s">
        <v>14</v>
      </c>
      <c r="F3809" s="7">
        <v>138</v>
      </c>
      <c r="G3809" s="7">
        <v>177685.5072463768</v>
      </c>
      <c r="H3809" s="7">
        <v>24520600</v>
      </c>
      <c r="I3809" s="7">
        <v>3684600</v>
      </c>
      <c r="J3809" s="7">
        <v>0</v>
      </c>
      <c r="K3809">
        <f t="shared" si="59"/>
        <v>120</v>
      </c>
      <c r="L3809" s="8" t="str" cm="1">
        <f t="array" ref="L3809">_xlfn.IFS(
 AND(K3809&gt;=89,K3809&lt;=92),"3개월",
 AND(K3809&gt;=58,K3809&lt;=62),"2개월",
 AND(K3809&gt;=28,K3809&lt;=32),"1개월",
 AND(K3809=0),"당월",
 TRUE,"그외"
)</f>
        <v>그외</v>
      </c>
    </row>
    <row r="3810" spans="1:12" x14ac:dyDescent="0.3">
      <c r="A3810" s="5">
        <v>46082</v>
      </c>
      <c r="B3810" s="6" t="s">
        <v>60</v>
      </c>
      <c r="C3810" s="6" t="s">
        <v>64</v>
      </c>
      <c r="D3810" s="5">
        <v>45962</v>
      </c>
      <c r="E3810" s="6" t="s">
        <v>15</v>
      </c>
      <c r="F3810" s="7">
        <v>1409</v>
      </c>
      <c r="G3810" s="7">
        <v>173266.90418736689</v>
      </c>
      <c r="H3810" s="7">
        <v>244133068</v>
      </c>
      <c r="I3810" s="7">
        <v>39899558</v>
      </c>
      <c r="J3810" s="7">
        <v>0</v>
      </c>
      <c r="K3810">
        <f t="shared" si="59"/>
        <v>120</v>
      </c>
      <c r="L3810" s="8" t="str" cm="1">
        <f t="array" ref="L3810">_xlfn.IFS(
 AND(K3810&gt;=89,K3810&lt;=92),"3개월",
 AND(K3810&gt;=58,K3810&lt;=62),"2개월",
 AND(K3810&gt;=28,K3810&lt;=32),"1개월",
 AND(K3810=0),"당월",
 TRUE,"그외"
)</f>
        <v>그외</v>
      </c>
    </row>
    <row r="3811" spans="1:12" x14ac:dyDescent="0.3">
      <c r="A3811" s="5">
        <v>46082</v>
      </c>
      <c r="B3811" s="6" t="s">
        <v>60</v>
      </c>
      <c r="C3811" s="6" t="s">
        <v>64</v>
      </c>
      <c r="D3811" s="5">
        <v>45992</v>
      </c>
      <c r="E3811" s="6" t="s">
        <v>14</v>
      </c>
      <c r="F3811" s="7">
        <v>221</v>
      </c>
      <c r="G3811" s="7">
        <v>164781.44796380089</v>
      </c>
      <c r="H3811" s="7">
        <v>36416700</v>
      </c>
      <c r="I3811" s="7">
        <v>7005700</v>
      </c>
      <c r="J3811" s="7">
        <v>0</v>
      </c>
      <c r="K3811">
        <f t="shared" si="59"/>
        <v>90</v>
      </c>
      <c r="L3811" s="8" t="str" cm="1">
        <f t="array" ref="L3811">_xlfn.IFS(
 AND(K3811&gt;=89,K3811&lt;=92),"3개월",
 AND(K3811&gt;=58,K3811&lt;=62),"2개월",
 AND(K3811&gt;=28,K3811&lt;=32),"1개월",
 AND(K3811=0),"당월",
 TRUE,"그외"
)</f>
        <v>3개월</v>
      </c>
    </row>
    <row r="3812" spans="1:12" x14ac:dyDescent="0.3">
      <c r="A3812" s="5">
        <v>46082</v>
      </c>
      <c r="B3812" s="6" t="s">
        <v>60</v>
      </c>
      <c r="C3812" s="6" t="s">
        <v>64</v>
      </c>
      <c r="D3812" s="5">
        <v>45992</v>
      </c>
      <c r="E3812" s="6" t="s">
        <v>15</v>
      </c>
      <c r="F3812" s="7">
        <v>2352</v>
      </c>
      <c r="G3812" s="7">
        <v>169616.50085034009</v>
      </c>
      <c r="H3812" s="7">
        <v>398938010</v>
      </c>
      <c r="I3812" s="7">
        <v>76176107</v>
      </c>
      <c r="J3812" s="7">
        <v>0</v>
      </c>
      <c r="K3812">
        <f t="shared" si="59"/>
        <v>90</v>
      </c>
      <c r="L3812" s="8" t="str" cm="1">
        <f t="array" ref="L3812">_xlfn.IFS(
 AND(K3812&gt;=89,K3812&lt;=92),"3개월",
 AND(K3812&gt;=58,K3812&lt;=62),"2개월",
 AND(K3812&gt;=28,K3812&lt;=32),"1개월",
 AND(K3812=0),"당월",
 TRUE,"그외"
)</f>
        <v>3개월</v>
      </c>
    </row>
    <row r="3813" spans="1:12" x14ac:dyDescent="0.3">
      <c r="A3813" s="5">
        <v>46082</v>
      </c>
      <c r="B3813" s="6" t="s">
        <v>60</v>
      </c>
      <c r="C3813" s="6" t="s">
        <v>64</v>
      </c>
      <c r="D3813" s="5">
        <v>46023</v>
      </c>
      <c r="E3813" s="6" t="s">
        <v>14</v>
      </c>
      <c r="F3813" s="7">
        <v>706</v>
      </c>
      <c r="G3813" s="7">
        <v>156787.25212464589</v>
      </c>
      <c r="H3813" s="7">
        <v>110691800</v>
      </c>
      <c r="I3813" s="7">
        <v>22803800</v>
      </c>
      <c r="J3813" s="7">
        <v>0</v>
      </c>
      <c r="K3813">
        <f t="shared" si="59"/>
        <v>59</v>
      </c>
      <c r="L3813" s="8" t="str" cm="1">
        <f t="array" ref="L3813">_xlfn.IFS(
 AND(K3813&gt;=89,K3813&lt;=92),"3개월",
 AND(K3813&gt;=58,K3813&lt;=62),"2개월",
 AND(K3813&gt;=28,K3813&lt;=32),"1개월",
 AND(K3813=0),"당월",
 TRUE,"그외"
)</f>
        <v>2개월</v>
      </c>
    </row>
    <row r="3814" spans="1:12" x14ac:dyDescent="0.3">
      <c r="A3814" s="5">
        <v>46082</v>
      </c>
      <c r="B3814" s="6" t="s">
        <v>60</v>
      </c>
      <c r="C3814" s="6" t="s">
        <v>64</v>
      </c>
      <c r="D3814" s="5">
        <v>46023</v>
      </c>
      <c r="E3814" s="6" t="s">
        <v>15</v>
      </c>
      <c r="F3814" s="7">
        <v>5742</v>
      </c>
      <c r="G3814" s="7">
        <v>193296.24677812611</v>
      </c>
      <c r="H3814" s="7">
        <v>1109907049</v>
      </c>
      <c r="I3814" s="7">
        <v>189622972</v>
      </c>
      <c r="J3814" s="7">
        <v>0</v>
      </c>
      <c r="K3814">
        <f t="shared" si="59"/>
        <v>59</v>
      </c>
      <c r="L3814" s="8" t="str" cm="1">
        <f t="array" ref="L3814">_xlfn.IFS(
 AND(K3814&gt;=89,K3814&lt;=92),"3개월",
 AND(K3814&gt;=58,K3814&lt;=62),"2개월",
 AND(K3814&gt;=28,K3814&lt;=32),"1개월",
 AND(K3814=0),"당월",
 TRUE,"그외"
)</f>
        <v>2개월</v>
      </c>
    </row>
    <row r="3815" spans="1:12" x14ac:dyDescent="0.3">
      <c r="A3815" s="5">
        <v>46082</v>
      </c>
      <c r="B3815" s="6" t="s">
        <v>60</v>
      </c>
      <c r="C3815" s="6" t="s">
        <v>64</v>
      </c>
      <c r="D3815" s="5">
        <v>46054</v>
      </c>
      <c r="E3815" s="6" t="s">
        <v>14</v>
      </c>
      <c r="F3815" s="7">
        <v>6036</v>
      </c>
      <c r="G3815" s="7">
        <v>146837.8396288933</v>
      </c>
      <c r="H3815" s="7">
        <v>886313200</v>
      </c>
      <c r="I3815" s="7">
        <v>132833200</v>
      </c>
      <c r="J3815" s="7">
        <v>0</v>
      </c>
      <c r="K3815">
        <f t="shared" si="59"/>
        <v>28</v>
      </c>
      <c r="L3815" s="8" t="str" cm="1">
        <f t="array" ref="L3815">_xlfn.IFS(
 AND(K3815&gt;=89,K3815&lt;=92),"3개월",
 AND(K3815&gt;=58,K3815&lt;=62),"2개월",
 AND(K3815&gt;=28,K3815&lt;=32),"1개월",
 AND(K3815=0),"당월",
 TRUE,"그외"
)</f>
        <v>1개월</v>
      </c>
    </row>
    <row r="3816" spans="1:12" x14ac:dyDescent="0.3">
      <c r="A3816" s="5">
        <v>46082</v>
      </c>
      <c r="B3816" s="6" t="s">
        <v>60</v>
      </c>
      <c r="C3816" s="6" t="s">
        <v>64</v>
      </c>
      <c r="D3816" s="5">
        <v>46054</v>
      </c>
      <c r="E3816" s="6" t="s">
        <v>15</v>
      </c>
      <c r="F3816" s="7">
        <v>7540</v>
      </c>
      <c r="G3816" s="7">
        <v>204965.08779840849</v>
      </c>
      <c r="H3816" s="7">
        <v>1545436762</v>
      </c>
      <c r="I3816" s="7">
        <v>185933304</v>
      </c>
      <c r="J3816" s="7">
        <v>0</v>
      </c>
      <c r="K3816">
        <f t="shared" si="59"/>
        <v>28</v>
      </c>
      <c r="L3816" s="8" t="str" cm="1">
        <f t="array" ref="L3816">_xlfn.IFS(
 AND(K3816&gt;=89,K3816&lt;=92),"3개월",
 AND(K3816&gt;=58,K3816&lt;=62),"2개월",
 AND(K3816&gt;=28,K3816&lt;=32),"1개월",
 AND(K3816=0),"당월",
 TRUE,"그외"
)</f>
        <v>1개월</v>
      </c>
    </row>
    <row r="3817" spans="1:12" x14ac:dyDescent="0.3">
      <c r="A3817" s="5">
        <v>46082</v>
      </c>
      <c r="B3817" s="6" t="s">
        <v>60</v>
      </c>
      <c r="C3817" s="6" t="s">
        <v>64</v>
      </c>
      <c r="D3817" s="5">
        <v>46082</v>
      </c>
      <c r="E3817" s="6" t="s">
        <v>14</v>
      </c>
      <c r="F3817" s="7">
        <v>1120</v>
      </c>
      <c r="G3817" s="7">
        <v>156757.4553571429</v>
      </c>
      <c r="H3817" s="7">
        <v>175568350</v>
      </c>
      <c r="I3817" s="7">
        <v>31658850</v>
      </c>
      <c r="J3817" s="7">
        <v>0</v>
      </c>
      <c r="K3817">
        <f t="shared" si="59"/>
        <v>0</v>
      </c>
      <c r="L3817" s="8" t="str" cm="1">
        <f t="array" ref="L3817">_xlfn.IFS(
 AND(K3817&gt;=89,K3817&lt;=92),"3개월",
 AND(K3817&gt;=58,K3817&lt;=62),"2개월",
 AND(K3817&gt;=28,K3817&lt;=32),"1개월",
 AND(K3817=0),"당월",
 TRUE,"그외"
)</f>
        <v>당월</v>
      </c>
    </row>
    <row r="3818" spans="1:12" x14ac:dyDescent="0.3">
      <c r="A3818" s="5">
        <v>46082</v>
      </c>
      <c r="B3818" s="6" t="s">
        <v>60</v>
      </c>
      <c r="C3818" s="6" t="s">
        <v>64</v>
      </c>
      <c r="D3818" s="5">
        <v>46082</v>
      </c>
      <c r="E3818" s="6" t="s">
        <v>15</v>
      </c>
      <c r="F3818" s="7">
        <v>2836</v>
      </c>
      <c r="G3818" s="7">
        <v>264292.00141043722</v>
      </c>
      <c r="H3818" s="7">
        <v>749532116</v>
      </c>
      <c r="I3818" s="7">
        <v>86678847</v>
      </c>
      <c r="J3818" s="7">
        <v>0</v>
      </c>
      <c r="K3818">
        <f t="shared" si="59"/>
        <v>0</v>
      </c>
      <c r="L3818" s="8" t="str" cm="1">
        <f t="array" ref="L3818">_xlfn.IFS(
 AND(K3818&gt;=89,K3818&lt;=92),"3개월",
 AND(K3818&gt;=58,K3818&lt;=62),"2개월",
 AND(K3818&gt;=28,K3818&lt;=32),"1개월",
 AND(K3818=0),"당월",
 TRUE,"그외"
)</f>
        <v>당월</v>
      </c>
    </row>
    <row r="3819" spans="1:12" x14ac:dyDescent="0.3">
      <c r="A3819" s="5">
        <v>46082</v>
      </c>
      <c r="B3819" s="6" t="s">
        <v>60</v>
      </c>
      <c r="C3819" s="6" t="s">
        <v>65</v>
      </c>
      <c r="D3819" s="5">
        <v>45870</v>
      </c>
      <c r="E3819" s="6" t="s">
        <v>15</v>
      </c>
      <c r="F3819" s="7">
        <v>6</v>
      </c>
      <c r="G3819" s="7">
        <v>113666.6666666667</v>
      </c>
      <c r="H3819" s="7">
        <v>682000</v>
      </c>
      <c r="I3819" s="7">
        <v>156000</v>
      </c>
      <c r="J3819" s="7">
        <v>0</v>
      </c>
      <c r="K3819">
        <f t="shared" si="59"/>
        <v>212</v>
      </c>
      <c r="L3819" s="8" t="str" cm="1">
        <f t="array" ref="L3819">_xlfn.IFS(
 AND(K3819&gt;=89,K3819&lt;=92),"3개월",
 AND(K3819&gt;=58,K3819&lt;=62),"2개월",
 AND(K3819&gt;=28,K3819&lt;=32),"1개월",
 AND(K3819=0),"당월",
 TRUE,"그외"
)</f>
        <v>그외</v>
      </c>
    </row>
    <row r="3820" spans="1:12" x14ac:dyDescent="0.3">
      <c r="A3820" s="5">
        <v>46082</v>
      </c>
      <c r="B3820" s="6" t="s">
        <v>60</v>
      </c>
      <c r="C3820" s="6" t="s">
        <v>65</v>
      </c>
      <c r="D3820" s="5">
        <v>45901</v>
      </c>
      <c r="E3820" s="6" t="s">
        <v>15</v>
      </c>
      <c r="F3820" s="7">
        <v>62</v>
      </c>
      <c r="G3820" s="7">
        <v>151685.87096774191</v>
      </c>
      <c r="H3820" s="7">
        <v>9404524</v>
      </c>
      <c r="I3820" s="7">
        <v>1692044</v>
      </c>
      <c r="J3820" s="7">
        <v>0</v>
      </c>
      <c r="K3820">
        <f t="shared" si="59"/>
        <v>181</v>
      </c>
      <c r="L3820" s="8" t="str" cm="1">
        <f t="array" ref="L3820">_xlfn.IFS(
 AND(K3820&gt;=89,K3820&lt;=92),"3개월",
 AND(K3820&gt;=58,K3820&lt;=62),"2개월",
 AND(K3820&gt;=28,K3820&lt;=32),"1개월",
 AND(K3820=0),"당월",
 TRUE,"그외"
)</f>
        <v>그외</v>
      </c>
    </row>
    <row r="3821" spans="1:12" x14ac:dyDescent="0.3">
      <c r="A3821" s="5">
        <v>46082</v>
      </c>
      <c r="B3821" s="6" t="s">
        <v>60</v>
      </c>
      <c r="C3821" s="6" t="s">
        <v>65</v>
      </c>
      <c r="D3821" s="5">
        <v>45931</v>
      </c>
      <c r="E3821" s="6" t="s">
        <v>15</v>
      </c>
      <c r="F3821" s="7">
        <v>120</v>
      </c>
      <c r="G3821" s="7">
        <v>124298.5333333333</v>
      </c>
      <c r="H3821" s="7">
        <v>14915824</v>
      </c>
      <c r="I3821" s="7">
        <v>3234732</v>
      </c>
      <c r="J3821" s="7">
        <v>0</v>
      </c>
      <c r="K3821">
        <f t="shared" si="59"/>
        <v>151</v>
      </c>
      <c r="L3821" s="8" t="str" cm="1">
        <f t="array" ref="L3821">_xlfn.IFS(
 AND(K3821&gt;=89,K3821&lt;=92),"3개월",
 AND(K3821&gt;=58,K3821&lt;=62),"2개월",
 AND(K3821&gt;=28,K3821&lt;=32),"1개월",
 AND(K3821=0),"당월",
 TRUE,"그외"
)</f>
        <v>그외</v>
      </c>
    </row>
    <row r="3822" spans="1:12" x14ac:dyDescent="0.3">
      <c r="A3822" s="5">
        <v>46082</v>
      </c>
      <c r="B3822" s="6" t="s">
        <v>60</v>
      </c>
      <c r="C3822" s="6" t="s">
        <v>65</v>
      </c>
      <c r="D3822" s="5">
        <v>45962</v>
      </c>
      <c r="E3822" s="6" t="s">
        <v>14</v>
      </c>
      <c r="F3822" s="7">
        <v>109</v>
      </c>
      <c r="G3822" s="7">
        <v>195213.76146788991</v>
      </c>
      <c r="H3822" s="7">
        <v>21278300</v>
      </c>
      <c r="I3822" s="7">
        <v>2910300</v>
      </c>
      <c r="J3822" s="7">
        <v>0</v>
      </c>
      <c r="K3822">
        <f t="shared" si="59"/>
        <v>120</v>
      </c>
      <c r="L3822" s="8" t="str" cm="1">
        <f t="array" ref="L3822">_xlfn.IFS(
 AND(K3822&gt;=89,K3822&lt;=92),"3개월",
 AND(K3822&gt;=58,K3822&lt;=62),"2개월",
 AND(K3822&gt;=28,K3822&lt;=32),"1개월",
 AND(K3822=0),"당월",
 TRUE,"그외"
)</f>
        <v>그외</v>
      </c>
    </row>
    <row r="3823" spans="1:12" x14ac:dyDescent="0.3">
      <c r="A3823" s="5">
        <v>46082</v>
      </c>
      <c r="B3823" s="6" t="s">
        <v>60</v>
      </c>
      <c r="C3823" s="6" t="s">
        <v>65</v>
      </c>
      <c r="D3823" s="5">
        <v>45962</v>
      </c>
      <c r="E3823" s="6" t="s">
        <v>15</v>
      </c>
      <c r="F3823" s="7">
        <v>176</v>
      </c>
      <c r="G3823" s="7">
        <v>189695.10227272729</v>
      </c>
      <c r="H3823" s="7">
        <v>33386338</v>
      </c>
      <c r="I3823" s="7">
        <v>4607500</v>
      </c>
      <c r="J3823" s="7">
        <v>0</v>
      </c>
      <c r="K3823">
        <f t="shared" si="59"/>
        <v>120</v>
      </c>
      <c r="L3823" s="8" t="str" cm="1">
        <f t="array" ref="L3823">_xlfn.IFS(
 AND(K3823&gt;=89,K3823&lt;=92),"3개월",
 AND(K3823&gt;=58,K3823&lt;=62),"2개월",
 AND(K3823&gt;=28,K3823&lt;=32),"1개월",
 AND(K3823=0),"당월",
 TRUE,"그외"
)</f>
        <v>그외</v>
      </c>
    </row>
    <row r="3824" spans="1:12" x14ac:dyDescent="0.3">
      <c r="A3824" s="5">
        <v>46082</v>
      </c>
      <c r="B3824" s="6" t="s">
        <v>60</v>
      </c>
      <c r="C3824" s="6" t="s">
        <v>65</v>
      </c>
      <c r="D3824" s="5">
        <v>45992</v>
      </c>
      <c r="E3824" s="6" t="s">
        <v>14</v>
      </c>
      <c r="F3824" s="7">
        <v>144</v>
      </c>
      <c r="G3824" s="7">
        <v>192470.83333333331</v>
      </c>
      <c r="H3824" s="7">
        <v>27715800</v>
      </c>
      <c r="I3824" s="7">
        <v>4564800</v>
      </c>
      <c r="J3824" s="7">
        <v>0</v>
      </c>
      <c r="K3824">
        <f t="shared" si="59"/>
        <v>90</v>
      </c>
      <c r="L3824" s="8" t="str" cm="1">
        <f t="array" ref="L3824">_xlfn.IFS(
 AND(K3824&gt;=89,K3824&lt;=92),"3개월",
 AND(K3824&gt;=58,K3824&lt;=62),"2개월",
 AND(K3824&gt;=28,K3824&lt;=32),"1개월",
 AND(K3824=0),"당월",
 TRUE,"그외"
)</f>
        <v>3개월</v>
      </c>
    </row>
    <row r="3825" spans="1:12" x14ac:dyDescent="0.3">
      <c r="A3825" s="5">
        <v>46082</v>
      </c>
      <c r="B3825" s="6" t="s">
        <v>60</v>
      </c>
      <c r="C3825" s="6" t="s">
        <v>65</v>
      </c>
      <c r="D3825" s="5">
        <v>45992</v>
      </c>
      <c r="E3825" s="6" t="s">
        <v>15</v>
      </c>
      <c r="F3825" s="7">
        <v>387</v>
      </c>
      <c r="G3825" s="7">
        <v>194900.3979328165</v>
      </c>
      <c r="H3825" s="7">
        <v>75426454</v>
      </c>
      <c r="I3825" s="7">
        <v>12317206</v>
      </c>
      <c r="J3825" s="7">
        <v>0</v>
      </c>
      <c r="K3825">
        <f t="shared" si="59"/>
        <v>90</v>
      </c>
      <c r="L3825" s="8" t="str" cm="1">
        <f t="array" ref="L3825">_xlfn.IFS(
 AND(K3825&gt;=89,K3825&lt;=92),"3개월",
 AND(K3825&gt;=58,K3825&lt;=62),"2개월",
 AND(K3825&gt;=28,K3825&lt;=32),"1개월",
 AND(K3825=0),"당월",
 TRUE,"그외"
)</f>
        <v>3개월</v>
      </c>
    </row>
    <row r="3826" spans="1:12" x14ac:dyDescent="0.3">
      <c r="A3826" s="5">
        <v>46082</v>
      </c>
      <c r="B3826" s="6" t="s">
        <v>60</v>
      </c>
      <c r="C3826" s="6" t="s">
        <v>65</v>
      </c>
      <c r="D3826" s="5">
        <v>46023</v>
      </c>
      <c r="E3826" s="6" t="s">
        <v>14</v>
      </c>
      <c r="F3826" s="7">
        <v>353</v>
      </c>
      <c r="G3826" s="7">
        <v>179079.03682719549</v>
      </c>
      <c r="H3826" s="7">
        <v>63214900</v>
      </c>
      <c r="I3826" s="7">
        <v>11401900</v>
      </c>
      <c r="J3826" s="7">
        <v>0</v>
      </c>
      <c r="K3826">
        <f t="shared" si="59"/>
        <v>59</v>
      </c>
      <c r="L3826" s="8" t="str" cm="1">
        <f t="array" ref="L3826">_xlfn.IFS(
 AND(K3826&gt;=89,K3826&lt;=92),"3개월",
 AND(K3826&gt;=58,K3826&lt;=62),"2개월",
 AND(K3826&gt;=28,K3826&lt;=32),"1개월",
 AND(K3826=0),"당월",
 TRUE,"그외"
)</f>
        <v>2개월</v>
      </c>
    </row>
    <row r="3827" spans="1:12" x14ac:dyDescent="0.3">
      <c r="A3827" s="5">
        <v>46082</v>
      </c>
      <c r="B3827" s="6" t="s">
        <v>60</v>
      </c>
      <c r="C3827" s="6" t="s">
        <v>65</v>
      </c>
      <c r="D3827" s="5">
        <v>46023</v>
      </c>
      <c r="E3827" s="6" t="s">
        <v>15</v>
      </c>
      <c r="F3827" s="7">
        <v>934</v>
      </c>
      <c r="G3827" s="7">
        <v>177018.687366167</v>
      </c>
      <c r="H3827" s="7">
        <v>165335454</v>
      </c>
      <c r="I3827" s="7">
        <v>30991165</v>
      </c>
      <c r="J3827" s="7">
        <v>0</v>
      </c>
      <c r="K3827">
        <f t="shared" si="59"/>
        <v>59</v>
      </c>
      <c r="L3827" s="8" t="str" cm="1">
        <f t="array" ref="L3827">_xlfn.IFS(
 AND(K3827&gt;=89,K3827&lt;=92),"3개월",
 AND(K3827&gt;=58,K3827&lt;=62),"2개월",
 AND(K3827&gt;=28,K3827&lt;=32),"1개월",
 AND(K3827=0),"당월",
 TRUE,"그외"
)</f>
        <v>2개월</v>
      </c>
    </row>
    <row r="3828" spans="1:12" x14ac:dyDescent="0.3">
      <c r="A3828" s="5">
        <v>46082</v>
      </c>
      <c r="B3828" s="6" t="s">
        <v>60</v>
      </c>
      <c r="C3828" s="6" t="s">
        <v>65</v>
      </c>
      <c r="D3828" s="5">
        <v>46054</v>
      </c>
      <c r="E3828" s="6" t="s">
        <v>14</v>
      </c>
      <c r="F3828" s="7">
        <v>212</v>
      </c>
      <c r="G3828" s="7">
        <v>169283.01886792449</v>
      </c>
      <c r="H3828" s="7">
        <v>35888000</v>
      </c>
      <c r="I3828" s="7">
        <v>4664000</v>
      </c>
      <c r="J3828" s="7">
        <v>0</v>
      </c>
      <c r="K3828">
        <f t="shared" si="59"/>
        <v>28</v>
      </c>
      <c r="L3828" s="8" t="str" cm="1">
        <f t="array" ref="L3828">_xlfn.IFS(
 AND(K3828&gt;=89,K3828&lt;=92),"3개월",
 AND(K3828&gt;=58,K3828&lt;=62),"2개월",
 AND(K3828&gt;=28,K3828&lt;=32),"1개월",
 AND(K3828=0),"당월",
 TRUE,"그외"
)</f>
        <v>1개월</v>
      </c>
    </row>
    <row r="3829" spans="1:12" x14ac:dyDescent="0.3">
      <c r="A3829" s="5">
        <v>46082</v>
      </c>
      <c r="B3829" s="6" t="s">
        <v>60</v>
      </c>
      <c r="C3829" s="6" t="s">
        <v>65</v>
      </c>
      <c r="D3829" s="5">
        <v>46054</v>
      </c>
      <c r="E3829" s="6" t="s">
        <v>15</v>
      </c>
      <c r="F3829" s="7">
        <v>545</v>
      </c>
      <c r="G3829" s="7">
        <v>180462.20733944961</v>
      </c>
      <c r="H3829" s="7">
        <v>98351903</v>
      </c>
      <c r="I3829" s="7">
        <v>13845250</v>
      </c>
      <c r="J3829" s="7">
        <v>0</v>
      </c>
      <c r="K3829">
        <f t="shared" si="59"/>
        <v>28</v>
      </c>
      <c r="L3829" s="8" t="str" cm="1">
        <f t="array" ref="L3829">_xlfn.IFS(
 AND(K3829&gt;=89,K3829&lt;=92),"3개월",
 AND(K3829&gt;=58,K3829&lt;=62),"2개월",
 AND(K3829&gt;=28,K3829&lt;=32),"1개월",
 AND(K3829=0),"당월",
 TRUE,"그외"
)</f>
        <v>1개월</v>
      </c>
    </row>
    <row r="3830" spans="1:12" x14ac:dyDescent="0.3">
      <c r="A3830" s="5">
        <v>46082</v>
      </c>
      <c r="B3830" s="6" t="s">
        <v>60</v>
      </c>
      <c r="C3830" s="6" t="s">
        <v>65</v>
      </c>
      <c r="D3830" s="5">
        <v>46082</v>
      </c>
      <c r="E3830" s="6" t="s">
        <v>14</v>
      </c>
      <c r="F3830" s="7">
        <v>65</v>
      </c>
      <c r="G3830" s="7">
        <v>139533.84615384621</v>
      </c>
      <c r="H3830" s="7">
        <v>9069700</v>
      </c>
      <c r="I3830" s="7">
        <v>1801700</v>
      </c>
      <c r="J3830" s="7">
        <v>0</v>
      </c>
      <c r="K3830">
        <f t="shared" si="59"/>
        <v>0</v>
      </c>
      <c r="L3830" s="8" t="str" cm="1">
        <f t="array" ref="L3830">_xlfn.IFS(
 AND(K3830&gt;=89,K3830&lt;=92),"3개월",
 AND(K3830&gt;=58,K3830&lt;=62),"2개월",
 AND(K3830&gt;=28,K3830&lt;=32),"1개월",
 AND(K3830=0),"당월",
 TRUE,"그외"
)</f>
        <v>당월</v>
      </c>
    </row>
    <row r="3831" spans="1:12" x14ac:dyDescent="0.3">
      <c r="A3831" s="5">
        <v>46082</v>
      </c>
      <c r="B3831" s="6" t="s">
        <v>60</v>
      </c>
      <c r="C3831" s="6" t="s">
        <v>65</v>
      </c>
      <c r="D3831" s="5">
        <v>46082</v>
      </c>
      <c r="E3831" s="6" t="s">
        <v>15</v>
      </c>
      <c r="F3831" s="7">
        <v>317</v>
      </c>
      <c r="G3831" s="7">
        <v>224673.9463722397</v>
      </c>
      <c r="H3831" s="7">
        <v>71221641</v>
      </c>
      <c r="I3831" s="7">
        <v>10329792</v>
      </c>
      <c r="J3831" s="7">
        <v>0</v>
      </c>
      <c r="K3831">
        <f t="shared" si="59"/>
        <v>0</v>
      </c>
      <c r="L3831" s="8" t="str" cm="1">
        <f t="array" ref="L3831">_xlfn.IFS(
 AND(K3831&gt;=89,K3831&lt;=92),"3개월",
 AND(K3831&gt;=58,K3831&lt;=62),"2개월",
 AND(K3831&gt;=28,K3831&lt;=32),"1개월",
 AND(K3831=0),"당월",
 TRUE,"그외"
)</f>
        <v>당월</v>
      </c>
    </row>
    <row r="3832" spans="1:12" x14ac:dyDescent="0.3">
      <c r="A3832" s="5">
        <v>46082</v>
      </c>
      <c r="B3832" s="6" t="s">
        <v>60</v>
      </c>
      <c r="C3832" s="6" t="s">
        <v>66</v>
      </c>
      <c r="D3832" s="5">
        <v>45839</v>
      </c>
      <c r="E3832" s="6" t="s">
        <v>15</v>
      </c>
      <c r="F3832" s="7">
        <v>11</v>
      </c>
      <c r="G3832" s="7">
        <v>310732.72727272729</v>
      </c>
      <c r="H3832" s="7">
        <v>3418060</v>
      </c>
      <c r="I3832" s="7">
        <v>280464</v>
      </c>
      <c r="J3832" s="7">
        <v>0</v>
      </c>
      <c r="K3832">
        <f t="shared" si="59"/>
        <v>243</v>
      </c>
      <c r="L3832" s="8" t="str" cm="1">
        <f t="array" ref="L3832">_xlfn.IFS(
 AND(K3832&gt;=89,K3832&lt;=92),"3개월",
 AND(K3832&gt;=58,K3832&lt;=62),"2개월",
 AND(K3832&gt;=28,K3832&lt;=32),"1개월",
 AND(K3832=0),"당월",
 TRUE,"그외"
)</f>
        <v>그외</v>
      </c>
    </row>
    <row r="3833" spans="1:12" x14ac:dyDescent="0.3">
      <c r="A3833" s="5">
        <v>46082</v>
      </c>
      <c r="B3833" s="6" t="s">
        <v>60</v>
      </c>
      <c r="C3833" s="6" t="s">
        <v>66</v>
      </c>
      <c r="D3833" s="5">
        <v>45870</v>
      </c>
      <c r="E3833" s="6" t="s">
        <v>15</v>
      </c>
      <c r="F3833" s="7">
        <v>37</v>
      </c>
      <c r="G3833" s="7">
        <v>221200</v>
      </c>
      <c r="H3833" s="7">
        <v>8184400</v>
      </c>
      <c r="I3833" s="7">
        <v>962000</v>
      </c>
      <c r="J3833" s="7">
        <v>0</v>
      </c>
      <c r="K3833">
        <f t="shared" si="59"/>
        <v>212</v>
      </c>
      <c r="L3833" s="8" t="str" cm="1">
        <f t="array" ref="L3833">_xlfn.IFS(
 AND(K3833&gt;=89,K3833&lt;=92),"3개월",
 AND(K3833&gt;=58,K3833&lt;=62),"2개월",
 AND(K3833&gt;=28,K3833&lt;=32),"1개월",
 AND(K3833=0),"당월",
 TRUE,"그외"
)</f>
        <v>그외</v>
      </c>
    </row>
    <row r="3834" spans="1:12" x14ac:dyDescent="0.3">
      <c r="A3834" s="5">
        <v>46082</v>
      </c>
      <c r="B3834" s="6" t="s">
        <v>60</v>
      </c>
      <c r="C3834" s="6" t="s">
        <v>66</v>
      </c>
      <c r="D3834" s="5">
        <v>45901</v>
      </c>
      <c r="E3834" s="6" t="s">
        <v>15</v>
      </c>
      <c r="F3834" s="7">
        <v>26</v>
      </c>
      <c r="G3834" s="7">
        <v>242577.84615384621</v>
      </c>
      <c r="H3834" s="7">
        <v>6307024</v>
      </c>
      <c r="I3834" s="7">
        <v>761286</v>
      </c>
      <c r="J3834" s="7">
        <v>0</v>
      </c>
      <c r="K3834">
        <f t="shared" si="59"/>
        <v>181</v>
      </c>
      <c r="L3834" s="8" t="str" cm="1">
        <f t="array" ref="L3834">_xlfn.IFS(
 AND(K3834&gt;=89,K3834&lt;=92),"3개월",
 AND(K3834&gt;=58,K3834&lt;=62),"2개월",
 AND(K3834&gt;=28,K3834&lt;=32),"1개월",
 AND(K3834=0),"당월",
 TRUE,"그외"
)</f>
        <v>그외</v>
      </c>
    </row>
    <row r="3835" spans="1:12" x14ac:dyDescent="0.3">
      <c r="A3835" s="5">
        <v>46082</v>
      </c>
      <c r="B3835" s="6" t="s">
        <v>60</v>
      </c>
      <c r="C3835" s="6" t="s">
        <v>66</v>
      </c>
      <c r="D3835" s="5">
        <v>45931</v>
      </c>
      <c r="E3835" s="6" t="s">
        <v>15</v>
      </c>
      <c r="F3835" s="7">
        <v>165</v>
      </c>
      <c r="G3835" s="7">
        <v>237700.5333333333</v>
      </c>
      <c r="H3835" s="7">
        <v>39220588</v>
      </c>
      <c r="I3835" s="7">
        <v>4516320</v>
      </c>
      <c r="J3835" s="7">
        <v>0</v>
      </c>
      <c r="K3835">
        <f t="shared" si="59"/>
        <v>151</v>
      </c>
      <c r="L3835" s="8" t="str" cm="1">
        <f t="array" ref="L3835">_xlfn.IFS(
 AND(K3835&gt;=89,K3835&lt;=92),"3개월",
 AND(K3835&gt;=58,K3835&lt;=62),"2개월",
 AND(K3835&gt;=28,K3835&lt;=32),"1개월",
 AND(K3835=0),"당월",
 TRUE,"그외"
)</f>
        <v>그외</v>
      </c>
    </row>
    <row r="3836" spans="1:12" x14ac:dyDescent="0.3">
      <c r="A3836" s="5">
        <v>46082</v>
      </c>
      <c r="B3836" s="6" t="s">
        <v>60</v>
      </c>
      <c r="C3836" s="6" t="s">
        <v>66</v>
      </c>
      <c r="D3836" s="5">
        <v>45962</v>
      </c>
      <c r="E3836" s="6" t="s">
        <v>14</v>
      </c>
      <c r="F3836" s="7">
        <v>192</v>
      </c>
      <c r="G3836" s="7">
        <v>183017.70833333331</v>
      </c>
      <c r="H3836" s="7">
        <v>35139400</v>
      </c>
      <c r="I3836" s="7">
        <v>5126400</v>
      </c>
      <c r="J3836" s="7">
        <v>0</v>
      </c>
      <c r="K3836">
        <f t="shared" si="59"/>
        <v>120</v>
      </c>
      <c r="L3836" s="8" t="str" cm="1">
        <f t="array" ref="L3836">_xlfn.IFS(
 AND(K3836&gt;=89,K3836&lt;=92),"3개월",
 AND(K3836&gt;=58,K3836&lt;=62),"2개월",
 AND(K3836&gt;=28,K3836&lt;=32),"1개월",
 AND(K3836=0),"당월",
 TRUE,"그외"
)</f>
        <v>그외</v>
      </c>
    </row>
    <row r="3837" spans="1:12" x14ac:dyDescent="0.3">
      <c r="A3837" s="5">
        <v>46082</v>
      </c>
      <c r="B3837" s="6" t="s">
        <v>60</v>
      </c>
      <c r="C3837" s="6" t="s">
        <v>66</v>
      </c>
      <c r="D3837" s="5">
        <v>45962</v>
      </c>
      <c r="E3837" s="6" t="s">
        <v>15</v>
      </c>
      <c r="F3837" s="7">
        <v>217</v>
      </c>
      <c r="G3837" s="7">
        <v>188857.65898617511</v>
      </c>
      <c r="H3837" s="7">
        <v>40982112</v>
      </c>
      <c r="I3837" s="7">
        <v>5871990</v>
      </c>
      <c r="J3837" s="7">
        <v>0</v>
      </c>
      <c r="K3837">
        <f t="shared" si="59"/>
        <v>120</v>
      </c>
      <c r="L3837" s="8" t="str" cm="1">
        <f t="array" ref="L3837">_xlfn.IFS(
 AND(K3837&gt;=89,K3837&lt;=92),"3개월",
 AND(K3837&gt;=58,K3837&lt;=62),"2개월",
 AND(K3837&gt;=28,K3837&lt;=32),"1개월",
 AND(K3837=0),"당월",
 TRUE,"그외"
)</f>
        <v>그외</v>
      </c>
    </row>
    <row r="3838" spans="1:12" x14ac:dyDescent="0.3">
      <c r="A3838" s="5">
        <v>46082</v>
      </c>
      <c r="B3838" s="6" t="s">
        <v>60</v>
      </c>
      <c r="C3838" s="6" t="s">
        <v>66</v>
      </c>
      <c r="D3838" s="5">
        <v>45992</v>
      </c>
      <c r="E3838" s="6" t="s">
        <v>14</v>
      </c>
      <c r="F3838" s="7">
        <v>130</v>
      </c>
      <c r="G3838" s="7">
        <v>182223.07692307691</v>
      </c>
      <c r="H3838" s="7">
        <v>23689000</v>
      </c>
      <c r="I3838" s="7">
        <v>4121000</v>
      </c>
      <c r="J3838" s="7">
        <v>0</v>
      </c>
      <c r="K3838">
        <f t="shared" si="59"/>
        <v>90</v>
      </c>
      <c r="L3838" s="8" t="str" cm="1">
        <f t="array" ref="L3838">_xlfn.IFS(
 AND(K3838&gt;=89,K3838&lt;=92),"3개월",
 AND(K3838&gt;=58,K3838&lt;=62),"2개월",
 AND(K3838&gt;=28,K3838&lt;=32),"1개월",
 AND(K3838=0),"당월",
 TRUE,"그외"
)</f>
        <v>3개월</v>
      </c>
    </row>
    <row r="3839" spans="1:12" x14ac:dyDescent="0.3">
      <c r="A3839" s="5">
        <v>46082</v>
      </c>
      <c r="B3839" s="6" t="s">
        <v>60</v>
      </c>
      <c r="C3839" s="6" t="s">
        <v>66</v>
      </c>
      <c r="D3839" s="5">
        <v>45992</v>
      </c>
      <c r="E3839" s="6" t="s">
        <v>15</v>
      </c>
      <c r="F3839" s="7">
        <v>661</v>
      </c>
      <c r="G3839" s="7">
        <v>183546.2511346445</v>
      </c>
      <c r="H3839" s="7">
        <v>121324072</v>
      </c>
      <c r="I3839" s="7">
        <v>20975537</v>
      </c>
      <c r="J3839" s="7">
        <v>0</v>
      </c>
      <c r="K3839">
        <f t="shared" si="59"/>
        <v>90</v>
      </c>
      <c r="L3839" s="8" t="str" cm="1">
        <f t="array" ref="L3839">_xlfn.IFS(
 AND(K3839&gt;=89,K3839&lt;=92),"3개월",
 AND(K3839&gt;=58,K3839&lt;=62),"2개월",
 AND(K3839&gt;=28,K3839&lt;=32),"1개월",
 AND(K3839=0),"당월",
 TRUE,"그외"
)</f>
        <v>3개월</v>
      </c>
    </row>
    <row r="3840" spans="1:12" x14ac:dyDescent="0.3">
      <c r="A3840" s="5">
        <v>46082</v>
      </c>
      <c r="B3840" s="6" t="s">
        <v>60</v>
      </c>
      <c r="C3840" s="6" t="s">
        <v>66</v>
      </c>
      <c r="D3840" s="5">
        <v>46023</v>
      </c>
      <c r="E3840" s="6" t="s">
        <v>14</v>
      </c>
      <c r="F3840" s="7">
        <v>364</v>
      </c>
      <c r="G3840" s="7">
        <v>224975.82417582421</v>
      </c>
      <c r="H3840" s="7">
        <v>81891200</v>
      </c>
      <c r="I3840" s="7">
        <v>11757200</v>
      </c>
      <c r="J3840" s="7">
        <v>0</v>
      </c>
      <c r="K3840">
        <f t="shared" si="59"/>
        <v>59</v>
      </c>
      <c r="L3840" s="8" t="str" cm="1">
        <f t="array" ref="L3840">_xlfn.IFS(
 AND(K3840&gt;=89,K3840&lt;=92),"3개월",
 AND(K3840&gt;=58,K3840&lt;=62),"2개월",
 AND(K3840&gt;=28,K3840&lt;=32),"1개월",
 AND(K3840=0),"당월",
 TRUE,"그외"
)</f>
        <v>2개월</v>
      </c>
    </row>
    <row r="3841" spans="1:12" x14ac:dyDescent="0.3">
      <c r="A3841" s="5">
        <v>46082</v>
      </c>
      <c r="B3841" s="6" t="s">
        <v>60</v>
      </c>
      <c r="C3841" s="6" t="s">
        <v>66</v>
      </c>
      <c r="D3841" s="5">
        <v>46023</v>
      </c>
      <c r="E3841" s="6" t="s">
        <v>15</v>
      </c>
      <c r="F3841" s="7">
        <v>1551</v>
      </c>
      <c r="G3841" s="7">
        <v>185511.65635074151</v>
      </c>
      <c r="H3841" s="7">
        <v>287728579</v>
      </c>
      <c r="I3841" s="7">
        <v>50461020</v>
      </c>
      <c r="J3841" s="7">
        <v>0</v>
      </c>
      <c r="K3841">
        <f t="shared" si="59"/>
        <v>59</v>
      </c>
      <c r="L3841" s="8" t="str" cm="1">
        <f t="array" ref="L3841">_xlfn.IFS(
 AND(K3841&gt;=89,K3841&lt;=92),"3개월",
 AND(K3841&gt;=58,K3841&lt;=62),"2개월",
 AND(K3841&gt;=28,K3841&lt;=32),"1개월",
 AND(K3841=0),"당월",
 TRUE,"그외"
)</f>
        <v>2개월</v>
      </c>
    </row>
    <row r="3842" spans="1:12" x14ac:dyDescent="0.3">
      <c r="A3842" s="5">
        <v>46082</v>
      </c>
      <c r="B3842" s="6" t="s">
        <v>60</v>
      </c>
      <c r="C3842" s="6" t="s">
        <v>66</v>
      </c>
      <c r="D3842" s="5">
        <v>46054</v>
      </c>
      <c r="E3842" s="6" t="s">
        <v>14</v>
      </c>
      <c r="F3842" s="7">
        <v>3262</v>
      </c>
      <c r="G3842" s="7">
        <v>165964.22440220721</v>
      </c>
      <c r="H3842" s="7">
        <v>541375300</v>
      </c>
      <c r="I3842" s="7">
        <v>71831300</v>
      </c>
      <c r="J3842" s="7">
        <v>0</v>
      </c>
      <c r="K3842">
        <f t="shared" si="59"/>
        <v>28</v>
      </c>
      <c r="L3842" s="8" t="str" cm="1">
        <f t="array" ref="L3842">_xlfn.IFS(
 AND(K3842&gt;=89,K3842&lt;=92),"3개월",
 AND(K3842&gt;=58,K3842&lt;=62),"2개월",
 AND(K3842&gt;=28,K3842&lt;=32),"1개월",
 AND(K3842=0),"당월",
 TRUE,"그외"
)</f>
        <v>1개월</v>
      </c>
    </row>
    <row r="3843" spans="1:12" x14ac:dyDescent="0.3">
      <c r="A3843" s="5">
        <v>46082</v>
      </c>
      <c r="B3843" s="6" t="s">
        <v>60</v>
      </c>
      <c r="C3843" s="6" t="s">
        <v>66</v>
      </c>
      <c r="D3843" s="5">
        <v>46054</v>
      </c>
      <c r="E3843" s="6" t="s">
        <v>15</v>
      </c>
      <c r="F3843" s="7">
        <v>1634</v>
      </c>
      <c r="G3843" s="7">
        <v>208870.27662178699</v>
      </c>
      <c r="H3843" s="7">
        <v>341294032</v>
      </c>
      <c r="I3843" s="7">
        <v>40417897</v>
      </c>
      <c r="J3843" s="7">
        <v>0</v>
      </c>
      <c r="K3843">
        <f t="shared" si="59"/>
        <v>28</v>
      </c>
      <c r="L3843" s="8" t="str" cm="1">
        <f t="array" ref="L3843">_xlfn.IFS(
 AND(K3843&gt;=89,K3843&lt;=92),"3개월",
 AND(K3843&gt;=58,K3843&lt;=62),"2개월",
 AND(K3843&gt;=28,K3843&lt;=32),"1개월",
 AND(K3843=0),"당월",
 TRUE,"그외"
)</f>
        <v>1개월</v>
      </c>
    </row>
    <row r="3844" spans="1:12" x14ac:dyDescent="0.3">
      <c r="A3844" s="5">
        <v>46082</v>
      </c>
      <c r="B3844" s="6" t="s">
        <v>60</v>
      </c>
      <c r="C3844" s="6" t="s">
        <v>66</v>
      </c>
      <c r="D3844" s="5">
        <v>46082</v>
      </c>
      <c r="E3844" s="6" t="s">
        <v>14</v>
      </c>
      <c r="F3844" s="7">
        <v>1026</v>
      </c>
      <c r="G3844" s="7">
        <v>167092.98245614031</v>
      </c>
      <c r="H3844" s="7">
        <v>171437400</v>
      </c>
      <c r="I3844" s="7">
        <v>28563400</v>
      </c>
      <c r="J3844" s="7">
        <v>0</v>
      </c>
      <c r="K3844">
        <f t="shared" si="59"/>
        <v>0</v>
      </c>
      <c r="L3844" s="8" t="str" cm="1">
        <f t="array" ref="L3844">_xlfn.IFS(
 AND(K3844&gt;=89,K3844&lt;=92),"3개월",
 AND(K3844&gt;=58,K3844&lt;=62),"2개월",
 AND(K3844&gt;=28,K3844&lt;=32),"1개월",
 AND(K3844=0),"당월",
 TRUE,"그외"
)</f>
        <v>당월</v>
      </c>
    </row>
    <row r="3845" spans="1:12" x14ac:dyDescent="0.3">
      <c r="A3845" s="5">
        <v>46082</v>
      </c>
      <c r="B3845" s="6" t="s">
        <v>60</v>
      </c>
      <c r="C3845" s="6" t="s">
        <v>66</v>
      </c>
      <c r="D3845" s="5">
        <v>46082</v>
      </c>
      <c r="E3845" s="6" t="s">
        <v>15</v>
      </c>
      <c r="F3845" s="7">
        <v>1123</v>
      </c>
      <c r="G3845" s="7">
        <v>276426.44256455923</v>
      </c>
      <c r="H3845" s="7">
        <v>310426895</v>
      </c>
      <c r="I3845" s="7">
        <v>36724195</v>
      </c>
      <c r="J3845" s="7">
        <v>0</v>
      </c>
      <c r="K3845">
        <f t="shared" si="59"/>
        <v>0</v>
      </c>
      <c r="L3845" s="8" t="str" cm="1">
        <f t="array" ref="L3845">_xlfn.IFS(
 AND(K3845&gt;=89,K3845&lt;=92),"3개월",
 AND(K3845&gt;=58,K3845&lt;=62),"2개월",
 AND(K3845&gt;=28,K3845&lt;=32),"1개월",
 AND(K3845=0),"당월",
 TRUE,"그외"
)</f>
        <v>당월</v>
      </c>
    </row>
    <row r="3846" spans="1:12" x14ac:dyDescent="0.3">
      <c r="A3846" s="5">
        <v>46082</v>
      </c>
      <c r="B3846" s="6" t="s">
        <v>60</v>
      </c>
      <c r="C3846" s="6" t="s">
        <v>109</v>
      </c>
      <c r="D3846" s="5">
        <v>45962</v>
      </c>
      <c r="E3846" s="6" t="s">
        <v>15</v>
      </c>
      <c r="F3846" s="7">
        <v>114</v>
      </c>
      <c r="G3846" s="7">
        <v>322936.37719298247</v>
      </c>
      <c r="H3846" s="7">
        <v>36814747</v>
      </c>
      <c r="I3846" s="7">
        <v>2405400</v>
      </c>
      <c r="J3846" s="7">
        <v>0</v>
      </c>
      <c r="K3846">
        <f t="shared" si="59"/>
        <v>120</v>
      </c>
      <c r="L3846" s="8" t="str" cm="1">
        <f t="array" ref="L3846">_xlfn.IFS(
 AND(K3846&gt;=89,K3846&lt;=92),"3개월",
 AND(K3846&gt;=58,K3846&lt;=62),"2개월",
 AND(K3846&gt;=28,K3846&lt;=32),"1개월",
 AND(K3846=0),"당월",
 TRUE,"그외"
)</f>
        <v>그외</v>
      </c>
    </row>
    <row r="3847" spans="1:12" x14ac:dyDescent="0.3">
      <c r="A3847" s="5">
        <v>46082</v>
      </c>
      <c r="B3847" s="6" t="s">
        <v>60</v>
      </c>
      <c r="C3847" s="6" t="s">
        <v>109</v>
      </c>
      <c r="D3847" s="5">
        <v>45992</v>
      </c>
      <c r="E3847" s="6" t="s">
        <v>15</v>
      </c>
      <c r="F3847" s="7">
        <v>63</v>
      </c>
      <c r="G3847" s="7">
        <v>373274.88888888888</v>
      </c>
      <c r="H3847" s="7">
        <v>23516318</v>
      </c>
      <c r="I3847" s="7">
        <v>1575480</v>
      </c>
      <c r="J3847" s="7">
        <v>0</v>
      </c>
      <c r="K3847">
        <f t="shared" si="59"/>
        <v>90</v>
      </c>
      <c r="L3847" s="8" t="str" cm="1">
        <f t="array" ref="L3847">_xlfn.IFS(
 AND(K3847&gt;=89,K3847&lt;=92),"3개월",
 AND(K3847&gt;=58,K3847&lt;=62),"2개월",
 AND(K3847&gt;=28,K3847&lt;=32),"1개월",
 AND(K3847=0),"당월",
 TRUE,"그외"
)</f>
        <v>3개월</v>
      </c>
    </row>
    <row r="3848" spans="1:12" x14ac:dyDescent="0.3">
      <c r="A3848" s="5">
        <v>46082</v>
      </c>
      <c r="B3848" s="6" t="s">
        <v>60</v>
      </c>
      <c r="C3848" s="6" t="s">
        <v>109</v>
      </c>
      <c r="D3848" s="5">
        <v>46023</v>
      </c>
      <c r="E3848" s="6" t="s">
        <v>14</v>
      </c>
      <c r="F3848" s="7">
        <v>8</v>
      </c>
      <c r="G3848" s="7">
        <v>6223750</v>
      </c>
      <c r="H3848" s="7">
        <v>49790000</v>
      </c>
      <c r="I3848" s="7">
        <v>50000</v>
      </c>
      <c r="J3848" s="7">
        <v>0</v>
      </c>
      <c r="K3848">
        <f t="shared" si="59"/>
        <v>59</v>
      </c>
      <c r="L3848" s="8" t="str" cm="1">
        <f t="array" ref="L3848">_xlfn.IFS(
 AND(K3848&gt;=89,K3848&lt;=92),"3개월",
 AND(K3848&gt;=58,K3848&lt;=62),"2개월",
 AND(K3848&gt;=28,K3848&lt;=32),"1개월",
 AND(K3848=0),"당월",
 TRUE,"그외"
)</f>
        <v>2개월</v>
      </c>
    </row>
    <row r="3849" spans="1:12" x14ac:dyDescent="0.3">
      <c r="A3849" s="5">
        <v>46082</v>
      </c>
      <c r="B3849" s="6" t="s">
        <v>60</v>
      </c>
      <c r="C3849" s="6" t="s">
        <v>109</v>
      </c>
      <c r="D3849" s="5">
        <v>46023</v>
      </c>
      <c r="E3849" s="6" t="s">
        <v>15</v>
      </c>
      <c r="F3849" s="7">
        <v>162</v>
      </c>
      <c r="G3849" s="7">
        <v>266757.85185185191</v>
      </c>
      <c r="H3849" s="7">
        <v>43214772</v>
      </c>
      <c r="I3849" s="7">
        <v>4068533</v>
      </c>
      <c r="J3849" s="7">
        <v>0</v>
      </c>
      <c r="K3849">
        <f t="shared" si="59"/>
        <v>59</v>
      </c>
      <c r="L3849" s="8" t="str" cm="1">
        <f t="array" ref="L3849">_xlfn.IFS(
 AND(K3849&gt;=89,K3849&lt;=92),"3개월",
 AND(K3849&gt;=58,K3849&lt;=62),"2개월",
 AND(K3849&gt;=28,K3849&lt;=32),"1개월",
 AND(K3849=0),"당월",
 TRUE,"그외"
)</f>
        <v>2개월</v>
      </c>
    </row>
    <row r="3850" spans="1:12" x14ac:dyDescent="0.3">
      <c r="A3850" s="5">
        <v>46082</v>
      </c>
      <c r="B3850" s="6" t="s">
        <v>60</v>
      </c>
      <c r="C3850" s="6" t="s">
        <v>109</v>
      </c>
      <c r="D3850" s="5">
        <v>46054</v>
      </c>
      <c r="E3850" s="6" t="s">
        <v>14</v>
      </c>
      <c r="F3850" s="7">
        <v>286</v>
      </c>
      <c r="G3850" s="7">
        <v>53669.930069930073</v>
      </c>
      <c r="H3850" s="7">
        <v>15349600</v>
      </c>
      <c r="I3850" s="7">
        <v>5033600</v>
      </c>
      <c r="J3850" s="7">
        <v>0</v>
      </c>
      <c r="K3850">
        <f t="shared" ref="K3850:K3913" si="60">A3850-D3850</f>
        <v>28</v>
      </c>
      <c r="L3850" s="8" t="str" cm="1">
        <f t="array" ref="L3850">_xlfn.IFS(
 AND(K3850&gt;=89,K3850&lt;=92),"3개월",
 AND(K3850&gt;=58,K3850&lt;=62),"2개월",
 AND(K3850&gt;=28,K3850&lt;=32),"1개월",
 AND(K3850=0),"당월",
 TRUE,"그외"
)</f>
        <v>1개월</v>
      </c>
    </row>
    <row r="3851" spans="1:12" x14ac:dyDescent="0.3">
      <c r="A3851" s="5">
        <v>46082</v>
      </c>
      <c r="B3851" s="6" t="s">
        <v>60</v>
      </c>
      <c r="C3851" s="6" t="s">
        <v>109</v>
      </c>
      <c r="D3851" s="5">
        <v>46054</v>
      </c>
      <c r="E3851" s="6" t="s">
        <v>15</v>
      </c>
      <c r="F3851" s="7">
        <v>280</v>
      </c>
      <c r="G3851" s="7">
        <v>115123.7285714286</v>
      </c>
      <c r="H3851" s="7">
        <v>32234644</v>
      </c>
      <c r="I3851" s="7">
        <v>5168875</v>
      </c>
      <c r="J3851" s="7">
        <v>0</v>
      </c>
      <c r="K3851">
        <f t="shared" si="60"/>
        <v>28</v>
      </c>
      <c r="L3851" s="8" t="str" cm="1">
        <f t="array" ref="L3851">_xlfn.IFS(
 AND(K3851&gt;=89,K3851&lt;=92),"3개월",
 AND(K3851&gt;=58,K3851&lt;=62),"2개월",
 AND(K3851&gt;=28,K3851&lt;=32),"1개월",
 AND(K3851=0),"당월",
 TRUE,"그외"
)</f>
        <v>1개월</v>
      </c>
    </row>
    <row r="3852" spans="1:12" x14ac:dyDescent="0.3">
      <c r="A3852" s="5">
        <v>46082</v>
      </c>
      <c r="B3852" s="6" t="s">
        <v>60</v>
      </c>
      <c r="C3852" s="6" t="s">
        <v>109</v>
      </c>
      <c r="D3852" s="5">
        <v>46082</v>
      </c>
      <c r="E3852" s="6" t="s">
        <v>15</v>
      </c>
      <c r="F3852" s="7">
        <v>16</v>
      </c>
      <c r="G3852" s="7">
        <v>285482.875</v>
      </c>
      <c r="H3852" s="7">
        <v>4567726</v>
      </c>
      <c r="I3852" s="7">
        <v>459305</v>
      </c>
      <c r="J3852" s="7">
        <v>0</v>
      </c>
      <c r="K3852">
        <f t="shared" si="60"/>
        <v>0</v>
      </c>
      <c r="L3852" s="8" t="str" cm="1">
        <f t="array" ref="L3852">_xlfn.IFS(
 AND(K3852&gt;=89,K3852&lt;=92),"3개월",
 AND(K3852&gt;=58,K3852&lt;=62),"2개월",
 AND(K3852&gt;=28,K3852&lt;=32),"1개월",
 AND(K3852=0),"당월",
 TRUE,"그외"
)</f>
        <v>당월</v>
      </c>
    </row>
    <row r="3853" spans="1:12" x14ac:dyDescent="0.3">
      <c r="A3853" s="5">
        <v>46082</v>
      </c>
      <c r="B3853" s="6" t="s">
        <v>60</v>
      </c>
      <c r="C3853" s="6" t="s">
        <v>110</v>
      </c>
      <c r="D3853" s="5">
        <v>45962</v>
      </c>
      <c r="E3853" s="6" t="s">
        <v>15</v>
      </c>
      <c r="F3853" s="7">
        <v>5</v>
      </c>
      <c r="G3853" s="7">
        <v>281100</v>
      </c>
      <c r="H3853" s="7">
        <v>1405500</v>
      </c>
      <c r="I3853" s="7">
        <v>105500</v>
      </c>
      <c r="J3853" s="7">
        <v>0</v>
      </c>
      <c r="K3853">
        <f t="shared" si="60"/>
        <v>120</v>
      </c>
      <c r="L3853" s="8" t="str" cm="1">
        <f t="array" ref="L3853">_xlfn.IFS(
 AND(K3853&gt;=89,K3853&lt;=92),"3개월",
 AND(K3853&gt;=58,K3853&lt;=62),"2개월",
 AND(K3853&gt;=28,K3853&lt;=32),"1개월",
 AND(K3853=0),"당월",
 TRUE,"그외"
)</f>
        <v>그외</v>
      </c>
    </row>
    <row r="3854" spans="1:12" x14ac:dyDescent="0.3">
      <c r="A3854" s="5">
        <v>46082</v>
      </c>
      <c r="B3854" s="6" t="s">
        <v>60</v>
      </c>
      <c r="C3854" s="6" t="s">
        <v>110</v>
      </c>
      <c r="D3854" s="5">
        <v>45992</v>
      </c>
      <c r="E3854" s="6" t="s">
        <v>14</v>
      </c>
      <c r="F3854" s="7">
        <v>5</v>
      </c>
      <c r="G3854" s="7">
        <v>6624000</v>
      </c>
      <c r="H3854" s="7">
        <v>33120000</v>
      </c>
      <c r="I3854" s="7">
        <v>0</v>
      </c>
      <c r="J3854" s="7">
        <v>0</v>
      </c>
      <c r="K3854">
        <f t="shared" si="60"/>
        <v>90</v>
      </c>
      <c r="L3854" s="8" t="str" cm="1">
        <f t="array" ref="L3854">_xlfn.IFS(
 AND(K3854&gt;=89,K3854&lt;=92),"3개월",
 AND(K3854&gt;=58,K3854&lt;=62),"2개월",
 AND(K3854&gt;=28,K3854&lt;=32),"1개월",
 AND(K3854=0),"당월",
 TRUE,"그외"
)</f>
        <v>3개월</v>
      </c>
    </row>
    <row r="3855" spans="1:12" x14ac:dyDescent="0.3">
      <c r="A3855" s="5">
        <v>46082</v>
      </c>
      <c r="B3855" s="6" t="s">
        <v>60</v>
      </c>
      <c r="C3855" s="6" t="s">
        <v>110</v>
      </c>
      <c r="D3855" s="5">
        <v>45992</v>
      </c>
      <c r="E3855" s="6" t="s">
        <v>15</v>
      </c>
      <c r="F3855" s="7">
        <v>29</v>
      </c>
      <c r="G3855" s="7">
        <v>371560.68965517241</v>
      </c>
      <c r="H3855" s="7">
        <v>10775260</v>
      </c>
      <c r="I3855" s="7">
        <v>808605</v>
      </c>
      <c r="J3855" s="7">
        <v>0</v>
      </c>
      <c r="K3855">
        <f t="shared" si="60"/>
        <v>90</v>
      </c>
      <c r="L3855" s="8" t="str" cm="1">
        <f t="array" ref="L3855">_xlfn.IFS(
 AND(K3855&gt;=89,K3855&lt;=92),"3개월",
 AND(K3855&gt;=58,K3855&lt;=62),"2개월",
 AND(K3855&gt;=28,K3855&lt;=32),"1개월",
 AND(K3855=0),"당월",
 TRUE,"그외"
)</f>
        <v>3개월</v>
      </c>
    </row>
    <row r="3856" spans="1:12" x14ac:dyDescent="0.3">
      <c r="A3856" s="5">
        <v>46082</v>
      </c>
      <c r="B3856" s="6" t="s">
        <v>60</v>
      </c>
      <c r="C3856" s="6" t="s">
        <v>110</v>
      </c>
      <c r="D3856" s="5">
        <v>46023</v>
      </c>
      <c r="E3856" s="6" t="s">
        <v>14</v>
      </c>
      <c r="F3856" s="7">
        <v>3</v>
      </c>
      <c r="G3856" s="7">
        <v>230000</v>
      </c>
      <c r="H3856" s="7">
        <v>690000</v>
      </c>
      <c r="I3856" s="7">
        <v>50000</v>
      </c>
      <c r="J3856" s="7">
        <v>0</v>
      </c>
      <c r="K3856">
        <f t="shared" si="60"/>
        <v>59</v>
      </c>
      <c r="L3856" s="8" t="str" cm="1">
        <f t="array" ref="L3856">_xlfn.IFS(
 AND(K3856&gt;=89,K3856&lt;=92),"3개월",
 AND(K3856&gt;=58,K3856&lt;=62),"2개월",
 AND(K3856&gt;=28,K3856&lt;=32),"1개월",
 AND(K3856=0),"당월",
 TRUE,"그외"
)</f>
        <v>2개월</v>
      </c>
    </row>
    <row r="3857" spans="1:12" x14ac:dyDescent="0.3">
      <c r="A3857" s="5">
        <v>46082</v>
      </c>
      <c r="B3857" s="6" t="s">
        <v>60</v>
      </c>
      <c r="C3857" s="6" t="s">
        <v>110</v>
      </c>
      <c r="D3857" s="5">
        <v>46023</v>
      </c>
      <c r="E3857" s="6" t="s">
        <v>15</v>
      </c>
      <c r="F3857" s="7">
        <v>5</v>
      </c>
      <c r="G3857" s="7">
        <v>465800</v>
      </c>
      <c r="H3857" s="7">
        <v>2329000</v>
      </c>
      <c r="I3857" s="7">
        <v>125000</v>
      </c>
      <c r="J3857" s="7">
        <v>0</v>
      </c>
      <c r="K3857">
        <f t="shared" si="60"/>
        <v>59</v>
      </c>
      <c r="L3857" s="8" t="str" cm="1">
        <f t="array" ref="L3857">_xlfn.IFS(
 AND(K3857&gt;=89,K3857&lt;=92),"3개월",
 AND(K3857&gt;=58,K3857&lt;=62),"2개월",
 AND(K3857&gt;=28,K3857&lt;=32),"1개월",
 AND(K3857=0),"당월",
 TRUE,"그외"
)</f>
        <v>2개월</v>
      </c>
    </row>
    <row r="3858" spans="1:12" x14ac:dyDescent="0.3">
      <c r="A3858" s="5">
        <v>46082</v>
      </c>
      <c r="B3858" s="6" t="s">
        <v>60</v>
      </c>
      <c r="C3858" s="6" t="s">
        <v>110</v>
      </c>
      <c r="D3858" s="5">
        <v>46054</v>
      </c>
      <c r="E3858" s="6" t="s">
        <v>14</v>
      </c>
      <c r="F3858" s="7">
        <v>136</v>
      </c>
      <c r="G3858" s="7">
        <v>0</v>
      </c>
      <c r="H3858" s="7">
        <v>0</v>
      </c>
      <c r="I3858" s="7">
        <v>0</v>
      </c>
      <c r="J3858" s="7">
        <v>0</v>
      </c>
      <c r="K3858">
        <f t="shared" si="60"/>
        <v>28</v>
      </c>
      <c r="L3858" s="8" t="str" cm="1">
        <f t="array" ref="L3858">_xlfn.IFS(
 AND(K3858&gt;=89,K3858&lt;=92),"3개월",
 AND(K3858&gt;=58,K3858&lt;=62),"2개월",
 AND(K3858&gt;=28,K3858&lt;=32),"1개월",
 AND(K3858=0),"당월",
 TRUE,"그외"
)</f>
        <v>1개월</v>
      </c>
    </row>
    <row r="3859" spans="1:12" x14ac:dyDescent="0.3">
      <c r="A3859" s="5">
        <v>46082</v>
      </c>
      <c r="B3859" s="6" t="s">
        <v>60</v>
      </c>
      <c r="C3859" s="6" t="s">
        <v>110</v>
      </c>
      <c r="D3859" s="5">
        <v>46054</v>
      </c>
      <c r="E3859" s="6" t="s">
        <v>15</v>
      </c>
      <c r="F3859" s="7">
        <v>6</v>
      </c>
      <c r="G3859" s="7">
        <v>550680.16666666663</v>
      </c>
      <c r="H3859" s="7">
        <v>3304081</v>
      </c>
      <c r="I3859" s="7">
        <v>131461</v>
      </c>
      <c r="J3859" s="7">
        <v>0</v>
      </c>
      <c r="K3859">
        <f t="shared" si="60"/>
        <v>28</v>
      </c>
      <c r="L3859" s="8" t="str" cm="1">
        <f t="array" ref="L3859">_xlfn.IFS(
 AND(K3859&gt;=89,K3859&lt;=92),"3개월",
 AND(K3859&gt;=58,K3859&lt;=62),"2개월",
 AND(K3859&gt;=28,K3859&lt;=32),"1개월",
 AND(K3859=0),"당월",
 TRUE,"그외"
)</f>
        <v>1개월</v>
      </c>
    </row>
    <row r="3860" spans="1:12" x14ac:dyDescent="0.3">
      <c r="A3860" s="5">
        <v>46082</v>
      </c>
      <c r="B3860" s="6" t="s">
        <v>60</v>
      </c>
      <c r="C3860" s="6" t="s">
        <v>110</v>
      </c>
      <c r="D3860" s="5">
        <v>46082</v>
      </c>
      <c r="E3860" s="6" t="s">
        <v>15</v>
      </c>
      <c r="F3860" s="7">
        <v>5</v>
      </c>
      <c r="G3860" s="7">
        <v>447648.6</v>
      </c>
      <c r="H3860" s="7">
        <v>2238243</v>
      </c>
      <c r="I3860" s="7">
        <v>130383</v>
      </c>
      <c r="J3860" s="7">
        <v>0</v>
      </c>
      <c r="K3860">
        <f t="shared" si="60"/>
        <v>0</v>
      </c>
      <c r="L3860" s="8" t="str" cm="1">
        <f t="array" ref="L3860">_xlfn.IFS(
 AND(K3860&gt;=89,K3860&lt;=92),"3개월",
 AND(K3860&gt;=58,K3860&lt;=62),"2개월",
 AND(K3860&gt;=28,K3860&lt;=32),"1개월",
 AND(K3860=0),"당월",
 TRUE,"그외"
)</f>
        <v>당월</v>
      </c>
    </row>
    <row r="3861" spans="1:12" x14ac:dyDescent="0.3">
      <c r="A3861" s="5">
        <v>46082</v>
      </c>
      <c r="B3861" s="6" t="s">
        <v>60</v>
      </c>
      <c r="C3861" s="6" t="s">
        <v>111</v>
      </c>
      <c r="D3861" s="5">
        <v>45962</v>
      </c>
      <c r="E3861" s="6" t="s">
        <v>15</v>
      </c>
      <c r="F3861" s="7">
        <v>13</v>
      </c>
      <c r="G3861" s="7">
        <v>269176.92307692312</v>
      </c>
      <c r="H3861" s="7">
        <v>3499300</v>
      </c>
      <c r="I3861" s="7">
        <v>274300</v>
      </c>
      <c r="J3861" s="7">
        <v>0</v>
      </c>
      <c r="K3861">
        <f t="shared" si="60"/>
        <v>120</v>
      </c>
      <c r="L3861" s="8" t="str" cm="1">
        <f t="array" ref="L3861">_xlfn.IFS(
 AND(K3861&gt;=89,K3861&lt;=92),"3개월",
 AND(K3861&gt;=58,K3861&lt;=62),"2개월",
 AND(K3861&gt;=28,K3861&lt;=32),"1개월",
 AND(K3861=0),"당월",
 TRUE,"그외"
)</f>
        <v>그외</v>
      </c>
    </row>
    <row r="3862" spans="1:12" x14ac:dyDescent="0.3">
      <c r="A3862" s="5">
        <v>46082</v>
      </c>
      <c r="B3862" s="6" t="s">
        <v>60</v>
      </c>
      <c r="C3862" s="6" t="s">
        <v>111</v>
      </c>
      <c r="D3862" s="5">
        <v>45992</v>
      </c>
      <c r="E3862" s="6" t="s">
        <v>15</v>
      </c>
      <c r="F3862" s="7">
        <v>20</v>
      </c>
      <c r="G3862" s="7">
        <v>417324.6</v>
      </c>
      <c r="H3862" s="7">
        <v>8346492</v>
      </c>
      <c r="I3862" s="7">
        <v>529212</v>
      </c>
      <c r="J3862" s="7">
        <v>0</v>
      </c>
      <c r="K3862">
        <f t="shared" si="60"/>
        <v>90</v>
      </c>
      <c r="L3862" s="8" t="str" cm="1">
        <f t="array" ref="L3862">_xlfn.IFS(
 AND(K3862&gt;=89,K3862&lt;=92),"3개월",
 AND(K3862&gt;=58,K3862&lt;=62),"2개월",
 AND(K3862&gt;=28,K3862&lt;=32),"1개월",
 AND(K3862=0),"당월",
 TRUE,"그외"
)</f>
        <v>3개월</v>
      </c>
    </row>
    <row r="3863" spans="1:12" x14ac:dyDescent="0.3">
      <c r="A3863" s="5">
        <v>46082</v>
      </c>
      <c r="B3863" s="6" t="s">
        <v>60</v>
      </c>
      <c r="C3863" s="6" t="s">
        <v>111</v>
      </c>
      <c r="D3863" s="5">
        <v>46023</v>
      </c>
      <c r="E3863" s="6" t="s">
        <v>14</v>
      </c>
      <c r="F3863" s="7">
        <v>2</v>
      </c>
      <c r="G3863" s="7">
        <v>7525000</v>
      </c>
      <c r="H3863" s="7">
        <v>15050000</v>
      </c>
      <c r="I3863" s="7">
        <v>0</v>
      </c>
      <c r="J3863" s="7">
        <v>0</v>
      </c>
      <c r="K3863">
        <f t="shared" si="60"/>
        <v>59</v>
      </c>
      <c r="L3863" s="8" t="str" cm="1">
        <f t="array" ref="L3863">_xlfn.IFS(
 AND(K3863&gt;=89,K3863&lt;=92),"3개월",
 AND(K3863&gt;=58,K3863&lt;=62),"2개월",
 AND(K3863&gt;=28,K3863&lt;=32),"1개월",
 AND(K3863=0),"당월",
 TRUE,"그외"
)</f>
        <v>2개월</v>
      </c>
    </row>
    <row r="3864" spans="1:12" x14ac:dyDescent="0.3">
      <c r="A3864" s="5">
        <v>46082</v>
      </c>
      <c r="B3864" s="6" t="s">
        <v>60</v>
      </c>
      <c r="C3864" s="6" t="s">
        <v>111</v>
      </c>
      <c r="D3864" s="5">
        <v>46023</v>
      </c>
      <c r="E3864" s="6" t="s">
        <v>15</v>
      </c>
      <c r="F3864" s="7">
        <v>17</v>
      </c>
      <c r="G3864" s="7">
        <v>399294.1176470588</v>
      </c>
      <c r="H3864" s="7">
        <v>6788000</v>
      </c>
      <c r="I3864" s="7">
        <v>425000</v>
      </c>
      <c r="J3864" s="7">
        <v>0</v>
      </c>
      <c r="K3864">
        <f t="shared" si="60"/>
        <v>59</v>
      </c>
      <c r="L3864" s="8" t="str" cm="1">
        <f t="array" ref="L3864">_xlfn.IFS(
 AND(K3864&gt;=89,K3864&lt;=92),"3개월",
 AND(K3864&gt;=58,K3864&lt;=62),"2개월",
 AND(K3864&gt;=28,K3864&lt;=32),"1개월",
 AND(K3864=0),"당월",
 TRUE,"그외"
)</f>
        <v>2개월</v>
      </c>
    </row>
    <row r="3865" spans="1:12" x14ac:dyDescent="0.3">
      <c r="A3865" s="5">
        <v>46082</v>
      </c>
      <c r="B3865" s="6" t="s">
        <v>60</v>
      </c>
      <c r="C3865" s="6" t="s">
        <v>111</v>
      </c>
      <c r="D3865" s="5">
        <v>46054</v>
      </c>
      <c r="E3865" s="6" t="s">
        <v>14</v>
      </c>
      <c r="F3865" s="7">
        <v>103</v>
      </c>
      <c r="G3865" s="7">
        <v>53984.466019417472</v>
      </c>
      <c r="H3865" s="7">
        <v>5560400</v>
      </c>
      <c r="I3865" s="7">
        <v>598400</v>
      </c>
      <c r="J3865" s="7">
        <v>0</v>
      </c>
      <c r="K3865">
        <f t="shared" si="60"/>
        <v>28</v>
      </c>
      <c r="L3865" s="8" t="str" cm="1">
        <f t="array" ref="L3865">_xlfn.IFS(
 AND(K3865&gt;=89,K3865&lt;=92),"3개월",
 AND(K3865&gt;=58,K3865&lt;=62),"2개월",
 AND(K3865&gt;=28,K3865&lt;=32),"1개월",
 AND(K3865=0),"당월",
 TRUE,"그외"
)</f>
        <v>1개월</v>
      </c>
    </row>
    <row r="3866" spans="1:12" x14ac:dyDescent="0.3">
      <c r="A3866" s="5">
        <v>46082</v>
      </c>
      <c r="B3866" s="6" t="s">
        <v>60</v>
      </c>
      <c r="C3866" s="6" t="s">
        <v>111</v>
      </c>
      <c r="D3866" s="5">
        <v>46054</v>
      </c>
      <c r="E3866" s="6" t="s">
        <v>15</v>
      </c>
      <c r="F3866" s="7">
        <v>34</v>
      </c>
      <c r="G3866" s="7">
        <v>552326.5588235294</v>
      </c>
      <c r="H3866" s="7">
        <v>18779103</v>
      </c>
      <c r="I3866" s="7">
        <v>1022179</v>
      </c>
      <c r="J3866" s="7">
        <v>0</v>
      </c>
      <c r="K3866">
        <f t="shared" si="60"/>
        <v>28</v>
      </c>
      <c r="L3866" s="8" t="str" cm="1">
        <f t="array" ref="L3866">_xlfn.IFS(
 AND(K3866&gt;=89,K3866&lt;=92),"3개월",
 AND(K3866&gt;=58,K3866&lt;=62),"2개월",
 AND(K3866&gt;=28,K3866&lt;=32),"1개월",
 AND(K3866=0),"당월",
 TRUE,"그외"
)</f>
        <v>1개월</v>
      </c>
    </row>
    <row r="3867" spans="1:12" x14ac:dyDescent="0.3">
      <c r="A3867" s="5">
        <v>46082</v>
      </c>
      <c r="B3867" s="6" t="s">
        <v>60</v>
      </c>
      <c r="C3867" s="6" t="s">
        <v>111</v>
      </c>
      <c r="D3867" s="5">
        <v>46082</v>
      </c>
      <c r="E3867" s="6" t="s">
        <v>15</v>
      </c>
      <c r="F3867" s="7">
        <v>1</v>
      </c>
      <c r="G3867" s="7">
        <v>746081</v>
      </c>
      <c r="H3867" s="7">
        <v>746081</v>
      </c>
      <c r="I3867" s="7">
        <v>43461</v>
      </c>
      <c r="J3867" s="7">
        <v>0</v>
      </c>
      <c r="K3867">
        <f t="shared" si="60"/>
        <v>0</v>
      </c>
      <c r="L3867" s="8" t="str" cm="1">
        <f t="array" ref="L3867">_xlfn.IFS(
 AND(K3867&gt;=89,K3867&lt;=92),"3개월",
 AND(K3867&gt;=58,K3867&lt;=62),"2개월",
 AND(K3867&gt;=28,K3867&lt;=32),"1개월",
 AND(K3867=0),"당월",
 TRUE,"그외"
)</f>
        <v>당월</v>
      </c>
    </row>
    <row r="3868" spans="1:12" x14ac:dyDescent="0.3">
      <c r="A3868" s="5">
        <v>46082</v>
      </c>
      <c r="B3868" s="6" t="s">
        <v>60</v>
      </c>
      <c r="C3868" s="6" t="s">
        <v>67</v>
      </c>
      <c r="D3868" s="5">
        <v>45839</v>
      </c>
      <c r="E3868" s="6" t="s">
        <v>15</v>
      </c>
      <c r="F3868" s="7">
        <v>8</v>
      </c>
      <c r="G3868" s="7">
        <v>146400</v>
      </c>
      <c r="H3868" s="7">
        <v>1171200</v>
      </c>
      <c r="I3868" s="7">
        <v>132000</v>
      </c>
      <c r="J3868" s="7">
        <v>0</v>
      </c>
      <c r="K3868">
        <f t="shared" si="60"/>
        <v>243</v>
      </c>
      <c r="L3868" s="8" t="str" cm="1">
        <f t="array" ref="L3868">_xlfn.IFS(
 AND(K3868&gt;=89,K3868&lt;=92),"3개월",
 AND(K3868&gt;=58,K3868&lt;=62),"2개월",
 AND(K3868&gt;=28,K3868&lt;=32),"1개월",
 AND(K3868=0),"당월",
 TRUE,"그외"
)</f>
        <v>그외</v>
      </c>
    </row>
    <row r="3869" spans="1:12" x14ac:dyDescent="0.3">
      <c r="A3869" s="5">
        <v>46082</v>
      </c>
      <c r="B3869" s="6" t="s">
        <v>60</v>
      </c>
      <c r="C3869" s="6" t="s">
        <v>67</v>
      </c>
      <c r="D3869" s="5">
        <v>45870</v>
      </c>
      <c r="E3869" s="6" t="s">
        <v>15</v>
      </c>
      <c r="F3869" s="7">
        <v>490</v>
      </c>
      <c r="G3869" s="7">
        <v>154908.23469387749</v>
      </c>
      <c r="H3869" s="7">
        <v>75905035</v>
      </c>
      <c r="I3869" s="7">
        <v>13118765</v>
      </c>
      <c r="J3869" s="7">
        <v>0</v>
      </c>
      <c r="K3869">
        <f t="shared" si="60"/>
        <v>212</v>
      </c>
      <c r="L3869" s="8" t="str" cm="1">
        <f t="array" ref="L3869">_xlfn.IFS(
 AND(K3869&gt;=89,K3869&lt;=92),"3개월",
 AND(K3869&gt;=58,K3869&lt;=62),"2개월",
 AND(K3869&gt;=28,K3869&lt;=32),"1개월",
 AND(K3869=0),"당월",
 TRUE,"그외"
)</f>
        <v>그외</v>
      </c>
    </row>
    <row r="3870" spans="1:12" x14ac:dyDescent="0.3">
      <c r="A3870" s="5">
        <v>46082</v>
      </c>
      <c r="B3870" s="6" t="s">
        <v>60</v>
      </c>
      <c r="C3870" s="6" t="s">
        <v>67</v>
      </c>
      <c r="D3870" s="5">
        <v>45901</v>
      </c>
      <c r="E3870" s="6" t="s">
        <v>15</v>
      </c>
      <c r="F3870" s="7">
        <v>321</v>
      </c>
      <c r="G3870" s="7">
        <v>176095.75700934581</v>
      </c>
      <c r="H3870" s="7">
        <v>56526738</v>
      </c>
      <c r="I3870" s="7">
        <v>8594746</v>
      </c>
      <c r="J3870" s="7">
        <v>0</v>
      </c>
      <c r="K3870">
        <f t="shared" si="60"/>
        <v>181</v>
      </c>
      <c r="L3870" s="8" t="str" cm="1">
        <f t="array" ref="L3870">_xlfn.IFS(
 AND(K3870&gt;=89,K3870&lt;=92),"3개월",
 AND(K3870&gt;=58,K3870&lt;=62),"2개월",
 AND(K3870&gt;=28,K3870&lt;=32),"1개월",
 AND(K3870=0),"당월",
 TRUE,"그외"
)</f>
        <v>그외</v>
      </c>
    </row>
    <row r="3871" spans="1:12" x14ac:dyDescent="0.3">
      <c r="A3871" s="5">
        <v>46082</v>
      </c>
      <c r="B3871" s="6" t="s">
        <v>60</v>
      </c>
      <c r="C3871" s="6" t="s">
        <v>67</v>
      </c>
      <c r="D3871" s="5">
        <v>45931</v>
      </c>
      <c r="E3871" s="6" t="s">
        <v>14</v>
      </c>
      <c r="F3871" s="7">
        <v>14</v>
      </c>
      <c r="G3871" s="7">
        <v>144971.42857142861</v>
      </c>
      <c r="H3871" s="7">
        <v>2029600</v>
      </c>
      <c r="I3871" s="7">
        <v>369600</v>
      </c>
      <c r="J3871" s="7">
        <v>0</v>
      </c>
      <c r="K3871">
        <f t="shared" si="60"/>
        <v>151</v>
      </c>
      <c r="L3871" s="8" t="str" cm="1">
        <f t="array" ref="L3871">_xlfn.IFS(
 AND(K3871&gt;=89,K3871&lt;=92),"3개월",
 AND(K3871&gt;=58,K3871&lt;=62),"2개월",
 AND(K3871&gt;=28,K3871&lt;=32),"1개월",
 AND(K3871=0),"당월",
 TRUE,"그외"
)</f>
        <v>그외</v>
      </c>
    </row>
    <row r="3872" spans="1:12" x14ac:dyDescent="0.3">
      <c r="A3872" s="5">
        <v>46082</v>
      </c>
      <c r="B3872" s="6" t="s">
        <v>60</v>
      </c>
      <c r="C3872" s="6" t="s">
        <v>67</v>
      </c>
      <c r="D3872" s="5">
        <v>45931</v>
      </c>
      <c r="E3872" s="6" t="s">
        <v>15</v>
      </c>
      <c r="F3872" s="7">
        <v>422</v>
      </c>
      <c r="G3872" s="7">
        <v>183192.29620853081</v>
      </c>
      <c r="H3872" s="7">
        <v>77307149</v>
      </c>
      <c r="I3872" s="7">
        <v>11282489</v>
      </c>
      <c r="J3872" s="7">
        <v>0</v>
      </c>
      <c r="K3872">
        <f t="shared" si="60"/>
        <v>151</v>
      </c>
      <c r="L3872" s="8" t="str" cm="1">
        <f t="array" ref="L3872">_xlfn.IFS(
 AND(K3872&gt;=89,K3872&lt;=92),"3개월",
 AND(K3872&gt;=58,K3872&lt;=62),"2개월",
 AND(K3872&gt;=28,K3872&lt;=32),"1개월",
 AND(K3872=0),"당월",
 TRUE,"그외"
)</f>
        <v>그외</v>
      </c>
    </row>
    <row r="3873" spans="1:12" x14ac:dyDescent="0.3">
      <c r="A3873" s="5">
        <v>46082</v>
      </c>
      <c r="B3873" s="6" t="s">
        <v>60</v>
      </c>
      <c r="C3873" s="6" t="s">
        <v>67</v>
      </c>
      <c r="D3873" s="5">
        <v>45962</v>
      </c>
      <c r="E3873" s="6" t="s">
        <v>14</v>
      </c>
      <c r="F3873" s="7">
        <v>364</v>
      </c>
      <c r="G3873" s="7">
        <v>165048.90109890109</v>
      </c>
      <c r="H3873" s="7">
        <v>60077800</v>
      </c>
      <c r="I3873" s="7">
        <v>9718800</v>
      </c>
      <c r="J3873" s="7">
        <v>0</v>
      </c>
      <c r="K3873">
        <f t="shared" si="60"/>
        <v>120</v>
      </c>
      <c r="L3873" s="8" t="str" cm="1">
        <f t="array" ref="L3873">_xlfn.IFS(
 AND(K3873&gt;=89,K3873&lt;=92),"3개월",
 AND(K3873&gt;=58,K3873&lt;=62),"2개월",
 AND(K3873&gt;=28,K3873&lt;=32),"1개월",
 AND(K3873=0),"당월",
 TRUE,"그외"
)</f>
        <v>그외</v>
      </c>
    </row>
    <row r="3874" spans="1:12" x14ac:dyDescent="0.3">
      <c r="A3874" s="5">
        <v>46082</v>
      </c>
      <c r="B3874" s="6" t="s">
        <v>60</v>
      </c>
      <c r="C3874" s="6" t="s">
        <v>67</v>
      </c>
      <c r="D3874" s="5">
        <v>45962</v>
      </c>
      <c r="E3874" s="6" t="s">
        <v>15</v>
      </c>
      <c r="F3874" s="7">
        <v>617</v>
      </c>
      <c r="G3874" s="7">
        <v>191264.02269043759</v>
      </c>
      <c r="H3874" s="7">
        <v>118009902</v>
      </c>
      <c r="I3874" s="7">
        <v>16642855</v>
      </c>
      <c r="J3874" s="7">
        <v>0</v>
      </c>
      <c r="K3874">
        <f t="shared" si="60"/>
        <v>120</v>
      </c>
      <c r="L3874" s="8" t="str" cm="1">
        <f t="array" ref="L3874">_xlfn.IFS(
 AND(K3874&gt;=89,K3874&lt;=92),"3개월",
 AND(K3874&gt;=58,K3874&lt;=62),"2개월",
 AND(K3874&gt;=28,K3874&lt;=32),"1개월",
 AND(K3874=0),"당월",
 TRUE,"그외"
)</f>
        <v>그외</v>
      </c>
    </row>
    <row r="3875" spans="1:12" x14ac:dyDescent="0.3">
      <c r="A3875" s="5">
        <v>46082</v>
      </c>
      <c r="B3875" s="6" t="s">
        <v>60</v>
      </c>
      <c r="C3875" s="6" t="s">
        <v>67</v>
      </c>
      <c r="D3875" s="5">
        <v>45992</v>
      </c>
      <c r="E3875" s="6" t="s">
        <v>14</v>
      </c>
      <c r="F3875" s="7">
        <v>795</v>
      </c>
      <c r="G3875" s="7">
        <v>144999.37106918241</v>
      </c>
      <c r="H3875" s="7">
        <v>115274500</v>
      </c>
      <c r="I3875" s="7">
        <v>25191500</v>
      </c>
      <c r="J3875" s="7">
        <v>0</v>
      </c>
      <c r="K3875">
        <f t="shared" si="60"/>
        <v>90</v>
      </c>
      <c r="L3875" s="8" t="str" cm="1">
        <f t="array" ref="L3875">_xlfn.IFS(
 AND(K3875&gt;=89,K3875&lt;=92),"3개월",
 AND(K3875&gt;=58,K3875&lt;=62),"2개월",
 AND(K3875&gt;=28,K3875&lt;=32),"1개월",
 AND(K3875=0),"당월",
 TRUE,"그외"
)</f>
        <v>3개월</v>
      </c>
    </row>
    <row r="3876" spans="1:12" x14ac:dyDescent="0.3">
      <c r="A3876" s="5">
        <v>46082</v>
      </c>
      <c r="B3876" s="6" t="s">
        <v>60</v>
      </c>
      <c r="C3876" s="6" t="s">
        <v>67</v>
      </c>
      <c r="D3876" s="5">
        <v>45992</v>
      </c>
      <c r="E3876" s="6" t="s">
        <v>15</v>
      </c>
      <c r="F3876" s="7">
        <v>824</v>
      </c>
      <c r="G3876" s="7">
        <v>192887.52791262139</v>
      </c>
      <c r="H3876" s="7">
        <v>158939323</v>
      </c>
      <c r="I3876" s="7">
        <v>25298276</v>
      </c>
      <c r="J3876" s="7">
        <v>0</v>
      </c>
      <c r="K3876">
        <f t="shared" si="60"/>
        <v>90</v>
      </c>
      <c r="L3876" s="8" t="str" cm="1">
        <f t="array" ref="L3876">_xlfn.IFS(
 AND(K3876&gt;=89,K3876&lt;=92),"3개월",
 AND(K3876&gt;=58,K3876&lt;=62),"2개월",
 AND(K3876&gt;=28,K3876&lt;=32),"1개월",
 AND(K3876=0),"당월",
 TRUE,"그외"
)</f>
        <v>3개월</v>
      </c>
    </row>
    <row r="3877" spans="1:12" x14ac:dyDescent="0.3">
      <c r="A3877" s="5">
        <v>46082</v>
      </c>
      <c r="B3877" s="6" t="s">
        <v>60</v>
      </c>
      <c r="C3877" s="6" t="s">
        <v>67</v>
      </c>
      <c r="D3877" s="5">
        <v>46023</v>
      </c>
      <c r="E3877" s="6" t="s">
        <v>14</v>
      </c>
      <c r="F3877" s="7">
        <v>754</v>
      </c>
      <c r="G3877" s="7">
        <v>203998.14323607431</v>
      </c>
      <c r="H3877" s="7">
        <v>153814600</v>
      </c>
      <c r="I3877" s="7">
        <v>24094600</v>
      </c>
      <c r="J3877" s="7">
        <v>0</v>
      </c>
      <c r="K3877">
        <f t="shared" si="60"/>
        <v>59</v>
      </c>
      <c r="L3877" s="8" t="str" cm="1">
        <f t="array" ref="L3877">_xlfn.IFS(
 AND(K3877&gt;=89,K3877&lt;=92),"3개월",
 AND(K3877&gt;=58,K3877&lt;=62),"2개월",
 AND(K3877&gt;=28,K3877&lt;=32),"1개월",
 AND(K3877=0),"당월",
 TRUE,"그외"
)</f>
        <v>2개월</v>
      </c>
    </row>
    <row r="3878" spans="1:12" x14ac:dyDescent="0.3">
      <c r="A3878" s="5">
        <v>46082</v>
      </c>
      <c r="B3878" s="6" t="s">
        <v>60</v>
      </c>
      <c r="C3878" s="6" t="s">
        <v>67</v>
      </c>
      <c r="D3878" s="5">
        <v>46023</v>
      </c>
      <c r="E3878" s="6" t="s">
        <v>15</v>
      </c>
      <c r="F3878" s="7">
        <v>1600</v>
      </c>
      <c r="G3878" s="7">
        <v>195133.47562499999</v>
      </c>
      <c r="H3878" s="7">
        <v>312213561</v>
      </c>
      <c r="I3878" s="7">
        <v>51486711</v>
      </c>
      <c r="J3878" s="7">
        <v>0</v>
      </c>
      <c r="K3878">
        <f t="shared" si="60"/>
        <v>59</v>
      </c>
      <c r="L3878" s="8" t="str" cm="1">
        <f t="array" ref="L3878">_xlfn.IFS(
 AND(K3878&gt;=89,K3878&lt;=92),"3개월",
 AND(K3878&gt;=58,K3878&lt;=62),"2개월",
 AND(K3878&gt;=28,K3878&lt;=32),"1개월",
 AND(K3878=0),"당월",
 TRUE,"그외"
)</f>
        <v>2개월</v>
      </c>
    </row>
    <row r="3879" spans="1:12" x14ac:dyDescent="0.3">
      <c r="A3879" s="5">
        <v>46082</v>
      </c>
      <c r="B3879" s="6" t="s">
        <v>60</v>
      </c>
      <c r="C3879" s="6" t="s">
        <v>67</v>
      </c>
      <c r="D3879" s="5">
        <v>46054</v>
      </c>
      <c r="E3879" s="6" t="s">
        <v>14</v>
      </c>
      <c r="F3879" s="7">
        <v>1848</v>
      </c>
      <c r="G3879" s="7">
        <v>198226.4069264069</v>
      </c>
      <c r="H3879" s="7">
        <v>366322400</v>
      </c>
      <c r="I3879" s="7">
        <v>38475400</v>
      </c>
      <c r="J3879" s="7">
        <v>0</v>
      </c>
      <c r="K3879">
        <f t="shared" si="60"/>
        <v>28</v>
      </c>
      <c r="L3879" s="8" t="str" cm="1">
        <f t="array" ref="L3879">_xlfn.IFS(
 AND(K3879&gt;=89,K3879&lt;=92),"3개월",
 AND(K3879&gt;=58,K3879&lt;=62),"2개월",
 AND(K3879&gt;=28,K3879&lt;=32),"1개월",
 AND(K3879=0),"당월",
 TRUE,"그외"
)</f>
        <v>1개월</v>
      </c>
    </row>
    <row r="3880" spans="1:12" x14ac:dyDescent="0.3">
      <c r="A3880" s="5">
        <v>46082</v>
      </c>
      <c r="B3880" s="6" t="s">
        <v>60</v>
      </c>
      <c r="C3880" s="6" t="s">
        <v>67</v>
      </c>
      <c r="D3880" s="5">
        <v>46054</v>
      </c>
      <c r="E3880" s="6" t="s">
        <v>15</v>
      </c>
      <c r="F3880" s="7">
        <v>1379</v>
      </c>
      <c r="G3880" s="7">
        <v>224067.60986221899</v>
      </c>
      <c r="H3880" s="7">
        <v>308989234</v>
      </c>
      <c r="I3880" s="7">
        <v>30977951</v>
      </c>
      <c r="J3880" s="7">
        <v>0</v>
      </c>
      <c r="K3880">
        <f t="shared" si="60"/>
        <v>28</v>
      </c>
      <c r="L3880" s="8" t="str" cm="1">
        <f t="array" ref="L3880">_xlfn.IFS(
 AND(K3880&gt;=89,K3880&lt;=92),"3개월",
 AND(K3880&gt;=58,K3880&lt;=62),"2개월",
 AND(K3880&gt;=28,K3880&lt;=32),"1개월",
 AND(K3880=0),"당월",
 TRUE,"그외"
)</f>
        <v>1개월</v>
      </c>
    </row>
    <row r="3881" spans="1:12" x14ac:dyDescent="0.3">
      <c r="A3881" s="5">
        <v>46082</v>
      </c>
      <c r="B3881" s="6" t="s">
        <v>60</v>
      </c>
      <c r="C3881" s="6" t="s">
        <v>67</v>
      </c>
      <c r="D3881" s="5">
        <v>46082</v>
      </c>
      <c r="E3881" s="6" t="s">
        <v>14</v>
      </c>
      <c r="F3881" s="7">
        <v>1890</v>
      </c>
      <c r="G3881" s="7">
        <v>34859.629629629628</v>
      </c>
      <c r="H3881" s="7">
        <v>65884700</v>
      </c>
      <c r="I3881" s="7">
        <v>52726700</v>
      </c>
      <c r="J3881" s="7">
        <v>0</v>
      </c>
      <c r="K3881">
        <f t="shared" si="60"/>
        <v>0</v>
      </c>
      <c r="L3881" s="8" t="str" cm="1">
        <f t="array" ref="L3881">_xlfn.IFS(
 AND(K3881&gt;=89,K3881&lt;=92),"3개월",
 AND(K3881&gt;=58,K3881&lt;=62),"2개월",
 AND(K3881&gt;=28,K3881&lt;=32),"1개월",
 AND(K3881=0),"당월",
 TRUE,"그외"
)</f>
        <v>당월</v>
      </c>
    </row>
    <row r="3882" spans="1:12" x14ac:dyDescent="0.3">
      <c r="A3882" s="5">
        <v>46082</v>
      </c>
      <c r="B3882" s="6" t="s">
        <v>60</v>
      </c>
      <c r="C3882" s="6" t="s">
        <v>67</v>
      </c>
      <c r="D3882" s="5">
        <v>46082</v>
      </c>
      <c r="E3882" s="6" t="s">
        <v>15</v>
      </c>
      <c r="F3882" s="7">
        <v>571</v>
      </c>
      <c r="G3882" s="7">
        <v>243610.01751313481</v>
      </c>
      <c r="H3882" s="7">
        <v>139101320</v>
      </c>
      <c r="I3882" s="7">
        <v>17027167</v>
      </c>
      <c r="J3882" s="7">
        <v>0</v>
      </c>
      <c r="K3882">
        <f t="shared" si="60"/>
        <v>0</v>
      </c>
      <c r="L3882" s="8" t="str" cm="1">
        <f t="array" ref="L3882">_xlfn.IFS(
 AND(K3882&gt;=89,K3882&lt;=92),"3개월",
 AND(K3882&gt;=58,K3882&lt;=62),"2개월",
 AND(K3882&gt;=28,K3882&lt;=32),"1개월",
 AND(K3882=0),"당월",
 TRUE,"그외"
)</f>
        <v>당월</v>
      </c>
    </row>
    <row r="3883" spans="1:12" x14ac:dyDescent="0.3">
      <c r="A3883" s="5">
        <v>46082</v>
      </c>
      <c r="B3883" s="6" t="s">
        <v>60</v>
      </c>
      <c r="C3883" s="6" t="s">
        <v>68</v>
      </c>
      <c r="D3883" s="5">
        <v>45839</v>
      </c>
      <c r="E3883" s="6" t="s">
        <v>15</v>
      </c>
      <c r="F3883" s="7">
        <v>58</v>
      </c>
      <c r="G3883" s="7">
        <v>187389.6551724138</v>
      </c>
      <c r="H3883" s="7">
        <v>10868600</v>
      </c>
      <c r="I3883" s="7">
        <v>957000</v>
      </c>
      <c r="J3883" s="7">
        <v>0</v>
      </c>
      <c r="K3883">
        <f t="shared" si="60"/>
        <v>243</v>
      </c>
      <c r="L3883" s="8" t="str" cm="1">
        <f t="array" ref="L3883">_xlfn.IFS(
 AND(K3883&gt;=89,K3883&lt;=92),"3개월",
 AND(K3883&gt;=58,K3883&lt;=62),"2개월",
 AND(K3883&gt;=28,K3883&lt;=32),"1개월",
 AND(K3883=0),"당월",
 TRUE,"그외"
)</f>
        <v>그외</v>
      </c>
    </row>
    <row r="3884" spans="1:12" x14ac:dyDescent="0.3">
      <c r="A3884" s="5">
        <v>46082</v>
      </c>
      <c r="B3884" s="6" t="s">
        <v>60</v>
      </c>
      <c r="C3884" s="6" t="s">
        <v>68</v>
      </c>
      <c r="D3884" s="5">
        <v>45870</v>
      </c>
      <c r="E3884" s="6" t="s">
        <v>15</v>
      </c>
      <c r="F3884" s="7">
        <v>108</v>
      </c>
      <c r="G3884" s="7">
        <v>172641.8148148148</v>
      </c>
      <c r="H3884" s="7">
        <v>18645316</v>
      </c>
      <c r="I3884" s="7">
        <v>2831864</v>
      </c>
      <c r="J3884" s="7">
        <v>0</v>
      </c>
      <c r="K3884">
        <f t="shared" si="60"/>
        <v>212</v>
      </c>
      <c r="L3884" s="8" t="str" cm="1">
        <f t="array" ref="L3884">_xlfn.IFS(
 AND(K3884&gt;=89,K3884&lt;=92),"3개월",
 AND(K3884&gt;=58,K3884&lt;=62),"2개월",
 AND(K3884&gt;=28,K3884&lt;=32),"1개월",
 AND(K3884=0),"당월",
 TRUE,"그외"
)</f>
        <v>그외</v>
      </c>
    </row>
    <row r="3885" spans="1:12" x14ac:dyDescent="0.3">
      <c r="A3885" s="5">
        <v>46082</v>
      </c>
      <c r="B3885" s="6" t="s">
        <v>60</v>
      </c>
      <c r="C3885" s="6" t="s">
        <v>68</v>
      </c>
      <c r="D3885" s="5">
        <v>45901</v>
      </c>
      <c r="E3885" s="6" t="s">
        <v>14</v>
      </c>
      <c r="F3885" s="7">
        <v>14</v>
      </c>
      <c r="G3885" s="7">
        <v>166300</v>
      </c>
      <c r="H3885" s="7">
        <v>2328200</v>
      </c>
      <c r="I3885" s="7">
        <v>368200</v>
      </c>
      <c r="J3885" s="7">
        <v>0</v>
      </c>
      <c r="K3885">
        <f t="shared" si="60"/>
        <v>181</v>
      </c>
      <c r="L3885" s="8" t="str" cm="1">
        <f t="array" ref="L3885">_xlfn.IFS(
 AND(K3885&gt;=89,K3885&lt;=92),"3개월",
 AND(K3885&gt;=58,K3885&lt;=62),"2개월",
 AND(K3885&gt;=28,K3885&lt;=32),"1개월",
 AND(K3885=0),"당월",
 TRUE,"그외"
)</f>
        <v>그외</v>
      </c>
    </row>
    <row r="3886" spans="1:12" x14ac:dyDescent="0.3">
      <c r="A3886" s="5">
        <v>46082</v>
      </c>
      <c r="B3886" s="6" t="s">
        <v>60</v>
      </c>
      <c r="C3886" s="6" t="s">
        <v>68</v>
      </c>
      <c r="D3886" s="5">
        <v>45901</v>
      </c>
      <c r="E3886" s="6" t="s">
        <v>15</v>
      </c>
      <c r="F3886" s="7">
        <v>223</v>
      </c>
      <c r="G3886" s="7">
        <v>184236.32286995521</v>
      </c>
      <c r="H3886" s="7">
        <v>41084700</v>
      </c>
      <c r="I3886" s="7">
        <v>5864300</v>
      </c>
      <c r="J3886" s="7">
        <v>0</v>
      </c>
      <c r="K3886">
        <f t="shared" si="60"/>
        <v>181</v>
      </c>
      <c r="L3886" s="8" t="str" cm="1">
        <f t="array" ref="L3886">_xlfn.IFS(
 AND(K3886&gt;=89,K3886&lt;=92),"3개월",
 AND(K3886&gt;=58,K3886&lt;=62),"2개월",
 AND(K3886&gt;=28,K3886&lt;=32),"1개월",
 AND(K3886=0),"당월",
 TRUE,"그외"
)</f>
        <v>그외</v>
      </c>
    </row>
    <row r="3887" spans="1:12" x14ac:dyDescent="0.3">
      <c r="A3887" s="5">
        <v>46082</v>
      </c>
      <c r="B3887" s="6" t="s">
        <v>60</v>
      </c>
      <c r="C3887" s="6" t="s">
        <v>68</v>
      </c>
      <c r="D3887" s="5">
        <v>45931</v>
      </c>
      <c r="E3887" s="6" t="s">
        <v>14</v>
      </c>
      <c r="F3887" s="7">
        <v>72</v>
      </c>
      <c r="G3887" s="7">
        <v>216122.22222222219</v>
      </c>
      <c r="H3887" s="7">
        <v>15560800</v>
      </c>
      <c r="I3887" s="7">
        <v>1900800</v>
      </c>
      <c r="J3887" s="7">
        <v>0</v>
      </c>
      <c r="K3887">
        <f t="shared" si="60"/>
        <v>151</v>
      </c>
      <c r="L3887" s="8" t="str" cm="1">
        <f t="array" ref="L3887">_xlfn.IFS(
 AND(K3887&gt;=89,K3887&lt;=92),"3개월",
 AND(K3887&gt;=58,K3887&lt;=62),"2개월",
 AND(K3887&gt;=28,K3887&lt;=32),"1개월",
 AND(K3887=0),"당월",
 TRUE,"그외"
)</f>
        <v>그외</v>
      </c>
    </row>
    <row r="3888" spans="1:12" x14ac:dyDescent="0.3">
      <c r="A3888" s="5">
        <v>46082</v>
      </c>
      <c r="B3888" s="6" t="s">
        <v>60</v>
      </c>
      <c r="C3888" s="6" t="s">
        <v>68</v>
      </c>
      <c r="D3888" s="5">
        <v>45931</v>
      </c>
      <c r="E3888" s="6" t="s">
        <v>15</v>
      </c>
      <c r="F3888" s="7">
        <v>584</v>
      </c>
      <c r="G3888" s="7">
        <v>172241.78082191781</v>
      </c>
      <c r="H3888" s="7">
        <v>100589200</v>
      </c>
      <c r="I3888" s="7">
        <v>15412400</v>
      </c>
      <c r="J3888" s="7">
        <v>0</v>
      </c>
      <c r="K3888">
        <f t="shared" si="60"/>
        <v>151</v>
      </c>
      <c r="L3888" s="8" t="str" cm="1">
        <f t="array" ref="L3888">_xlfn.IFS(
 AND(K3888&gt;=89,K3888&lt;=92),"3개월",
 AND(K3888&gt;=58,K3888&lt;=62),"2개월",
 AND(K3888&gt;=28,K3888&lt;=32),"1개월",
 AND(K3888=0),"당월",
 TRUE,"그외"
)</f>
        <v>그외</v>
      </c>
    </row>
    <row r="3889" spans="1:12" x14ac:dyDescent="0.3">
      <c r="A3889" s="5">
        <v>46082</v>
      </c>
      <c r="B3889" s="6" t="s">
        <v>60</v>
      </c>
      <c r="C3889" s="6" t="s">
        <v>68</v>
      </c>
      <c r="D3889" s="5">
        <v>45962</v>
      </c>
      <c r="E3889" s="6" t="s">
        <v>14</v>
      </c>
      <c r="F3889" s="7">
        <v>319</v>
      </c>
      <c r="G3889" s="7">
        <v>201928.84012539181</v>
      </c>
      <c r="H3889" s="7">
        <v>64415300</v>
      </c>
      <c r="I3889" s="7">
        <v>8517300</v>
      </c>
      <c r="J3889" s="7">
        <v>0</v>
      </c>
      <c r="K3889">
        <f t="shared" si="60"/>
        <v>120</v>
      </c>
      <c r="L3889" s="8" t="str" cm="1">
        <f t="array" ref="L3889">_xlfn.IFS(
 AND(K3889&gt;=89,K3889&lt;=92),"3개월",
 AND(K3889&gt;=58,K3889&lt;=62),"2개월",
 AND(K3889&gt;=28,K3889&lt;=32),"1개월",
 AND(K3889=0),"당월",
 TRUE,"그외"
)</f>
        <v>그외</v>
      </c>
    </row>
    <row r="3890" spans="1:12" x14ac:dyDescent="0.3">
      <c r="A3890" s="5">
        <v>46082</v>
      </c>
      <c r="B3890" s="6" t="s">
        <v>60</v>
      </c>
      <c r="C3890" s="6" t="s">
        <v>68</v>
      </c>
      <c r="D3890" s="5">
        <v>45962</v>
      </c>
      <c r="E3890" s="6" t="s">
        <v>15</v>
      </c>
      <c r="F3890" s="7">
        <v>370</v>
      </c>
      <c r="G3890" s="7">
        <v>209474.4756756757</v>
      </c>
      <c r="H3890" s="7">
        <v>77505556</v>
      </c>
      <c r="I3890" s="7">
        <v>9896460</v>
      </c>
      <c r="J3890" s="7">
        <v>0</v>
      </c>
      <c r="K3890">
        <f t="shared" si="60"/>
        <v>120</v>
      </c>
      <c r="L3890" s="8" t="str" cm="1">
        <f t="array" ref="L3890">_xlfn.IFS(
 AND(K3890&gt;=89,K3890&lt;=92),"3개월",
 AND(K3890&gt;=58,K3890&lt;=62),"2개월",
 AND(K3890&gt;=28,K3890&lt;=32),"1개월",
 AND(K3890=0),"당월",
 TRUE,"그외"
)</f>
        <v>그외</v>
      </c>
    </row>
    <row r="3891" spans="1:12" x14ac:dyDescent="0.3">
      <c r="A3891" s="5">
        <v>46082</v>
      </c>
      <c r="B3891" s="6" t="s">
        <v>60</v>
      </c>
      <c r="C3891" s="6" t="s">
        <v>68</v>
      </c>
      <c r="D3891" s="5">
        <v>45992</v>
      </c>
      <c r="E3891" s="6" t="s">
        <v>14</v>
      </c>
      <c r="F3891" s="7">
        <v>437</v>
      </c>
      <c r="G3891" s="7">
        <v>183970.0228832952</v>
      </c>
      <c r="H3891" s="7">
        <v>80394900</v>
      </c>
      <c r="I3891" s="7">
        <v>13852900</v>
      </c>
      <c r="J3891" s="7">
        <v>0</v>
      </c>
      <c r="K3891">
        <f t="shared" si="60"/>
        <v>90</v>
      </c>
      <c r="L3891" s="8" t="str" cm="1">
        <f t="array" ref="L3891">_xlfn.IFS(
 AND(K3891&gt;=89,K3891&lt;=92),"3개월",
 AND(K3891&gt;=58,K3891&lt;=62),"2개월",
 AND(K3891&gt;=28,K3891&lt;=32),"1개월",
 AND(K3891=0),"당월",
 TRUE,"그외"
)</f>
        <v>3개월</v>
      </c>
    </row>
    <row r="3892" spans="1:12" x14ac:dyDescent="0.3">
      <c r="A3892" s="5">
        <v>46082</v>
      </c>
      <c r="B3892" s="6" t="s">
        <v>60</v>
      </c>
      <c r="C3892" s="6" t="s">
        <v>68</v>
      </c>
      <c r="D3892" s="5">
        <v>45992</v>
      </c>
      <c r="E3892" s="6" t="s">
        <v>15</v>
      </c>
      <c r="F3892" s="7">
        <v>608</v>
      </c>
      <c r="G3892" s="7">
        <v>209063.43585526309</v>
      </c>
      <c r="H3892" s="7">
        <v>127110569</v>
      </c>
      <c r="I3892" s="7">
        <v>19262155</v>
      </c>
      <c r="J3892" s="7">
        <v>0</v>
      </c>
      <c r="K3892">
        <f t="shared" si="60"/>
        <v>90</v>
      </c>
      <c r="L3892" s="8" t="str" cm="1">
        <f t="array" ref="L3892">_xlfn.IFS(
 AND(K3892&gt;=89,K3892&lt;=92),"3개월",
 AND(K3892&gt;=58,K3892&lt;=62),"2개월",
 AND(K3892&gt;=28,K3892&lt;=32),"1개월",
 AND(K3892=0),"당월",
 TRUE,"그외"
)</f>
        <v>3개월</v>
      </c>
    </row>
    <row r="3893" spans="1:12" x14ac:dyDescent="0.3">
      <c r="A3893" s="5">
        <v>46082</v>
      </c>
      <c r="B3893" s="6" t="s">
        <v>60</v>
      </c>
      <c r="C3893" s="6" t="s">
        <v>68</v>
      </c>
      <c r="D3893" s="5">
        <v>46023</v>
      </c>
      <c r="E3893" s="6" t="s">
        <v>14</v>
      </c>
      <c r="F3893" s="7">
        <v>1730</v>
      </c>
      <c r="G3893" s="7">
        <v>162214.10404624281</v>
      </c>
      <c r="H3893" s="7">
        <v>280630400</v>
      </c>
      <c r="I3893" s="7">
        <v>55873400</v>
      </c>
      <c r="J3893" s="7">
        <v>0</v>
      </c>
      <c r="K3893">
        <f t="shared" si="60"/>
        <v>59</v>
      </c>
      <c r="L3893" s="8" t="str" cm="1">
        <f t="array" ref="L3893">_xlfn.IFS(
 AND(K3893&gt;=89,K3893&lt;=92),"3개월",
 AND(K3893&gt;=58,K3893&lt;=62),"2개월",
 AND(K3893&gt;=28,K3893&lt;=32),"1개월",
 AND(K3893=0),"당월",
 TRUE,"그외"
)</f>
        <v>2개월</v>
      </c>
    </row>
    <row r="3894" spans="1:12" x14ac:dyDescent="0.3">
      <c r="A3894" s="5">
        <v>46082</v>
      </c>
      <c r="B3894" s="6" t="s">
        <v>60</v>
      </c>
      <c r="C3894" s="6" t="s">
        <v>68</v>
      </c>
      <c r="D3894" s="5">
        <v>46023</v>
      </c>
      <c r="E3894" s="6" t="s">
        <v>15</v>
      </c>
      <c r="F3894" s="7">
        <v>2172</v>
      </c>
      <c r="G3894" s="7">
        <v>195899.25598526699</v>
      </c>
      <c r="H3894" s="7">
        <v>425493184</v>
      </c>
      <c r="I3894" s="7">
        <v>70124288</v>
      </c>
      <c r="J3894" s="7">
        <v>0</v>
      </c>
      <c r="K3894">
        <f t="shared" si="60"/>
        <v>59</v>
      </c>
      <c r="L3894" s="8" t="str" cm="1">
        <f t="array" ref="L3894">_xlfn.IFS(
 AND(K3894&gt;=89,K3894&lt;=92),"3개월",
 AND(K3894&gt;=58,K3894&lt;=62),"2개월",
 AND(K3894&gt;=28,K3894&lt;=32),"1개월",
 AND(K3894=0),"당월",
 TRUE,"그외"
)</f>
        <v>2개월</v>
      </c>
    </row>
    <row r="3895" spans="1:12" x14ac:dyDescent="0.3">
      <c r="A3895" s="5">
        <v>46082</v>
      </c>
      <c r="B3895" s="6" t="s">
        <v>60</v>
      </c>
      <c r="C3895" s="6" t="s">
        <v>68</v>
      </c>
      <c r="D3895" s="5">
        <v>46054</v>
      </c>
      <c r="E3895" s="6" t="s">
        <v>14</v>
      </c>
      <c r="F3895" s="7">
        <v>1849</v>
      </c>
      <c r="G3895" s="7">
        <v>157393.94267171441</v>
      </c>
      <c r="H3895" s="7">
        <v>291021400</v>
      </c>
      <c r="I3895" s="7">
        <v>40683400</v>
      </c>
      <c r="J3895" s="7">
        <v>0</v>
      </c>
      <c r="K3895">
        <f t="shared" si="60"/>
        <v>28</v>
      </c>
      <c r="L3895" s="8" t="str" cm="1">
        <f t="array" ref="L3895">_xlfn.IFS(
 AND(K3895&gt;=89,K3895&lt;=92),"3개월",
 AND(K3895&gt;=58,K3895&lt;=62),"2개월",
 AND(K3895&gt;=28,K3895&lt;=32),"1개월",
 AND(K3895=0),"당월",
 TRUE,"그외"
)</f>
        <v>1개월</v>
      </c>
    </row>
    <row r="3896" spans="1:12" x14ac:dyDescent="0.3">
      <c r="A3896" s="5">
        <v>46082</v>
      </c>
      <c r="B3896" s="6" t="s">
        <v>60</v>
      </c>
      <c r="C3896" s="6" t="s">
        <v>68</v>
      </c>
      <c r="D3896" s="5">
        <v>46054</v>
      </c>
      <c r="E3896" s="6" t="s">
        <v>15</v>
      </c>
      <c r="F3896" s="7">
        <v>1573</v>
      </c>
      <c r="G3896" s="7">
        <v>192566.09599491421</v>
      </c>
      <c r="H3896" s="7">
        <v>302906469</v>
      </c>
      <c r="I3896" s="7">
        <v>35697981</v>
      </c>
      <c r="J3896" s="7">
        <v>0</v>
      </c>
      <c r="K3896">
        <f t="shared" si="60"/>
        <v>28</v>
      </c>
      <c r="L3896" s="8" t="str" cm="1">
        <f t="array" ref="L3896">_xlfn.IFS(
 AND(K3896&gt;=89,K3896&lt;=92),"3개월",
 AND(K3896&gt;=58,K3896&lt;=62),"2개월",
 AND(K3896&gt;=28,K3896&lt;=32),"1개월",
 AND(K3896=0),"당월",
 TRUE,"그외"
)</f>
        <v>1개월</v>
      </c>
    </row>
    <row r="3897" spans="1:12" x14ac:dyDescent="0.3">
      <c r="A3897" s="5">
        <v>46082</v>
      </c>
      <c r="B3897" s="6" t="s">
        <v>60</v>
      </c>
      <c r="C3897" s="6" t="s">
        <v>68</v>
      </c>
      <c r="D3897" s="5">
        <v>46082</v>
      </c>
      <c r="E3897" s="6" t="s">
        <v>14</v>
      </c>
      <c r="F3897" s="7">
        <v>49</v>
      </c>
      <c r="G3897" s="7">
        <v>156340.81632653059</v>
      </c>
      <c r="H3897" s="7">
        <v>7660700</v>
      </c>
      <c r="I3897" s="7">
        <v>1328700</v>
      </c>
      <c r="J3897" s="7">
        <v>0</v>
      </c>
      <c r="K3897">
        <f t="shared" si="60"/>
        <v>0</v>
      </c>
      <c r="L3897" s="8" t="str" cm="1">
        <f t="array" ref="L3897">_xlfn.IFS(
 AND(K3897&gt;=89,K3897&lt;=92),"3개월",
 AND(K3897&gt;=58,K3897&lt;=62),"2개월",
 AND(K3897&gt;=28,K3897&lt;=32),"1개월",
 AND(K3897=0),"당월",
 TRUE,"그외"
)</f>
        <v>당월</v>
      </c>
    </row>
    <row r="3898" spans="1:12" x14ac:dyDescent="0.3">
      <c r="A3898" s="5">
        <v>46082</v>
      </c>
      <c r="B3898" s="6" t="s">
        <v>60</v>
      </c>
      <c r="C3898" s="6" t="s">
        <v>68</v>
      </c>
      <c r="D3898" s="5">
        <v>46082</v>
      </c>
      <c r="E3898" s="6" t="s">
        <v>15</v>
      </c>
      <c r="F3898" s="7">
        <v>553</v>
      </c>
      <c r="G3898" s="7">
        <v>202299.2513562387</v>
      </c>
      <c r="H3898" s="7">
        <v>111871486</v>
      </c>
      <c r="I3898" s="7">
        <v>16426328</v>
      </c>
      <c r="J3898" s="7">
        <v>0</v>
      </c>
      <c r="K3898">
        <f t="shared" si="60"/>
        <v>0</v>
      </c>
      <c r="L3898" s="8" t="str" cm="1">
        <f t="array" ref="L3898">_xlfn.IFS(
 AND(K3898&gt;=89,K3898&lt;=92),"3개월",
 AND(K3898&gt;=58,K3898&lt;=62),"2개월",
 AND(K3898&gt;=28,K3898&lt;=32),"1개월",
 AND(K3898=0),"당월",
 TRUE,"그외"
)</f>
        <v>당월</v>
      </c>
    </row>
    <row r="3899" spans="1:12" x14ac:dyDescent="0.3">
      <c r="A3899" s="5">
        <v>46082</v>
      </c>
      <c r="B3899" s="6" t="s">
        <v>60</v>
      </c>
      <c r="C3899" s="6" t="s">
        <v>69</v>
      </c>
      <c r="D3899" s="5">
        <v>45870</v>
      </c>
      <c r="E3899" s="6" t="s">
        <v>15</v>
      </c>
      <c r="F3899" s="7">
        <v>36</v>
      </c>
      <c r="G3899" s="7">
        <v>236408.80555555559</v>
      </c>
      <c r="H3899" s="7">
        <v>8510717</v>
      </c>
      <c r="I3899" s="7">
        <v>1094251</v>
      </c>
      <c r="J3899" s="7">
        <v>0</v>
      </c>
      <c r="K3899">
        <f t="shared" si="60"/>
        <v>212</v>
      </c>
      <c r="L3899" s="8" t="str" cm="1">
        <f t="array" ref="L3899">_xlfn.IFS(
 AND(K3899&gt;=89,K3899&lt;=92),"3개월",
 AND(K3899&gt;=58,K3899&lt;=62),"2개월",
 AND(K3899&gt;=28,K3899&lt;=32),"1개월",
 AND(K3899=0),"당월",
 TRUE,"그외"
)</f>
        <v>그외</v>
      </c>
    </row>
    <row r="3900" spans="1:12" x14ac:dyDescent="0.3">
      <c r="A3900" s="5">
        <v>46082</v>
      </c>
      <c r="B3900" s="6" t="s">
        <v>60</v>
      </c>
      <c r="C3900" s="6" t="s">
        <v>69</v>
      </c>
      <c r="D3900" s="5">
        <v>45901</v>
      </c>
      <c r="E3900" s="6" t="s">
        <v>15</v>
      </c>
      <c r="F3900" s="7">
        <v>45</v>
      </c>
      <c r="G3900" s="7">
        <v>222442.22222222219</v>
      </c>
      <c r="H3900" s="7">
        <v>10009900</v>
      </c>
      <c r="I3900" s="7">
        <v>1183500</v>
      </c>
      <c r="J3900" s="7">
        <v>0</v>
      </c>
      <c r="K3900">
        <f t="shared" si="60"/>
        <v>181</v>
      </c>
      <c r="L3900" s="8" t="str" cm="1">
        <f t="array" ref="L3900">_xlfn.IFS(
 AND(K3900&gt;=89,K3900&lt;=92),"3개월",
 AND(K3900&gt;=58,K3900&lt;=62),"2개월",
 AND(K3900&gt;=28,K3900&lt;=32),"1개월",
 AND(K3900=0),"당월",
 TRUE,"그외"
)</f>
        <v>그외</v>
      </c>
    </row>
    <row r="3901" spans="1:12" x14ac:dyDescent="0.3">
      <c r="A3901" s="5">
        <v>46082</v>
      </c>
      <c r="B3901" s="6" t="s">
        <v>60</v>
      </c>
      <c r="C3901" s="6" t="s">
        <v>69</v>
      </c>
      <c r="D3901" s="5">
        <v>45931</v>
      </c>
      <c r="E3901" s="6" t="s">
        <v>15</v>
      </c>
      <c r="F3901" s="7">
        <v>95</v>
      </c>
      <c r="G3901" s="7">
        <v>236804.21052631579</v>
      </c>
      <c r="H3901" s="7">
        <v>22496400</v>
      </c>
      <c r="I3901" s="7">
        <v>2508000</v>
      </c>
      <c r="J3901" s="7">
        <v>0</v>
      </c>
      <c r="K3901">
        <f t="shared" si="60"/>
        <v>151</v>
      </c>
      <c r="L3901" s="8" t="str" cm="1">
        <f t="array" ref="L3901">_xlfn.IFS(
 AND(K3901&gt;=89,K3901&lt;=92),"3개월",
 AND(K3901&gt;=58,K3901&lt;=62),"2개월",
 AND(K3901&gt;=28,K3901&lt;=32),"1개월",
 AND(K3901=0),"당월",
 TRUE,"그외"
)</f>
        <v>그외</v>
      </c>
    </row>
    <row r="3902" spans="1:12" x14ac:dyDescent="0.3">
      <c r="A3902" s="5">
        <v>46082</v>
      </c>
      <c r="B3902" s="6" t="s">
        <v>60</v>
      </c>
      <c r="C3902" s="6" t="s">
        <v>69</v>
      </c>
      <c r="D3902" s="5">
        <v>45962</v>
      </c>
      <c r="E3902" s="6" t="s">
        <v>14</v>
      </c>
      <c r="F3902" s="7">
        <v>14</v>
      </c>
      <c r="G3902" s="7">
        <v>205271.42857142861</v>
      </c>
      <c r="H3902" s="7">
        <v>2873800</v>
      </c>
      <c r="I3902" s="7">
        <v>373800</v>
      </c>
      <c r="J3902" s="7">
        <v>0</v>
      </c>
      <c r="K3902">
        <f t="shared" si="60"/>
        <v>120</v>
      </c>
      <c r="L3902" s="8" t="str" cm="1">
        <f t="array" ref="L3902">_xlfn.IFS(
 AND(K3902&gt;=89,K3902&lt;=92),"3개월",
 AND(K3902&gt;=58,K3902&lt;=62),"2개월",
 AND(K3902&gt;=28,K3902&lt;=32),"1개월",
 AND(K3902=0),"당월",
 TRUE,"그외"
)</f>
        <v>그외</v>
      </c>
    </row>
    <row r="3903" spans="1:12" x14ac:dyDescent="0.3">
      <c r="A3903" s="5">
        <v>46082</v>
      </c>
      <c r="B3903" s="6" t="s">
        <v>60</v>
      </c>
      <c r="C3903" s="6" t="s">
        <v>69</v>
      </c>
      <c r="D3903" s="5">
        <v>45962</v>
      </c>
      <c r="E3903" s="6" t="s">
        <v>15</v>
      </c>
      <c r="F3903" s="7">
        <v>170</v>
      </c>
      <c r="G3903" s="7">
        <v>196150.60588235289</v>
      </c>
      <c r="H3903" s="7">
        <v>33345603</v>
      </c>
      <c r="I3903" s="7">
        <v>4667339</v>
      </c>
      <c r="J3903" s="7">
        <v>0</v>
      </c>
      <c r="K3903">
        <f t="shared" si="60"/>
        <v>120</v>
      </c>
      <c r="L3903" s="8" t="str" cm="1">
        <f t="array" ref="L3903">_xlfn.IFS(
 AND(K3903&gt;=89,K3903&lt;=92),"3개월",
 AND(K3903&gt;=58,K3903&lt;=62),"2개월",
 AND(K3903&gt;=28,K3903&lt;=32),"1개월",
 AND(K3903=0),"당월",
 TRUE,"그외"
)</f>
        <v>그외</v>
      </c>
    </row>
    <row r="3904" spans="1:12" x14ac:dyDescent="0.3">
      <c r="A3904" s="5">
        <v>46082</v>
      </c>
      <c r="B3904" s="6" t="s">
        <v>60</v>
      </c>
      <c r="C3904" s="6" t="s">
        <v>69</v>
      </c>
      <c r="D3904" s="5">
        <v>45992</v>
      </c>
      <c r="E3904" s="6" t="s">
        <v>14</v>
      </c>
      <c r="F3904" s="7">
        <v>407</v>
      </c>
      <c r="G3904" s="7">
        <v>161270.0245700246</v>
      </c>
      <c r="H3904" s="7">
        <v>65636900</v>
      </c>
      <c r="I3904" s="7">
        <v>12901900</v>
      </c>
      <c r="J3904" s="7">
        <v>0</v>
      </c>
      <c r="K3904">
        <f t="shared" si="60"/>
        <v>90</v>
      </c>
      <c r="L3904" s="8" t="str" cm="1">
        <f t="array" ref="L3904">_xlfn.IFS(
 AND(K3904&gt;=89,K3904&lt;=92),"3개월",
 AND(K3904&gt;=58,K3904&lt;=62),"2개월",
 AND(K3904&gt;=28,K3904&lt;=32),"1개월",
 AND(K3904=0),"당월",
 TRUE,"그외"
)</f>
        <v>3개월</v>
      </c>
    </row>
    <row r="3905" spans="1:12" x14ac:dyDescent="0.3">
      <c r="A3905" s="5">
        <v>46082</v>
      </c>
      <c r="B3905" s="6" t="s">
        <v>60</v>
      </c>
      <c r="C3905" s="6" t="s">
        <v>69</v>
      </c>
      <c r="D3905" s="5">
        <v>45992</v>
      </c>
      <c r="E3905" s="6" t="s">
        <v>15</v>
      </c>
      <c r="F3905" s="7">
        <v>431</v>
      </c>
      <c r="G3905" s="7">
        <v>179281.43851508119</v>
      </c>
      <c r="H3905" s="7">
        <v>77270300</v>
      </c>
      <c r="I3905" s="7">
        <v>13642700</v>
      </c>
      <c r="J3905" s="7">
        <v>0</v>
      </c>
      <c r="K3905">
        <f t="shared" si="60"/>
        <v>90</v>
      </c>
      <c r="L3905" s="8" t="str" cm="1">
        <f t="array" ref="L3905">_xlfn.IFS(
 AND(K3905&gt;=89,K3905&lt;=92),"3개월",
 AND(K3905&gt;=58,K3905&lt;=62),"2개월",
 AND(K3905&gt;=28,K3905&lt;=32),"1개월",
 AND(K3905=0),"당월",
 TRUE,"그외"
)</f>
        <v>3개월</v>
      </c>
    </row>
    <row r="3906" spans="1:12" x14ac:dyDescent="0.3">
      <c r="A3906" s="5">
        <v>46082</v>
      </c>
      <c r="B3906" s="6" t="s">
        <v>60</v>
      </c>
      <c r="C3906" s="6" t="s">
        <v>69</v>
      </c>
      <c r="D3906" s="5">
        <v>46023</v>
      </c>
      <c r="E3906" s="6" t="s">
        <v>14</v>
      </c>
      <c r="F3906" s="7">
        <v>64</v>
      </c>
      <c r="G3906" s="7">
        <v>170425</v>
      </c>
      <c r="H3906" s="7">
        <v>10907200</v>
      </c>
      <c r="I3906" s="7">
        <v>2067200</v>
      </c>
      <c r="J3906" s="7">
        <v>0</v>
      </c>
      <c r="K3906">
        <f t="shared" si="60"/>
        <v>59</v>
      </c>
      <c r="L3906" s="8" t="str" cm="1">
        <f t="array" ref="L3906">_xlfn.IFS(
 AND(K3906&gt;=89,K3906&lt;=92),"3개월",
 AND(K3906&gt;=58,K3906&lt;=62),"2개월",
 AND(K3906&gt;=28,K3906&lt;=32),"1개월",
 AND(K3906=0),"당월",
 TRUE,"그외"
)</f>
        <v>2개월</v>
      </c>
    </row>
    <row r="3907" spans="1:12" x14ac:dyDescent="0.3">
      <c r="A3907" s="5">
        <v>46082</v>
      </c>
      <c r="B3907" s="6" t="s">
        <v>60</v>
      </c>
      <c r="C3907" s="6" t="s">
        <v>69</v>
      </c>
      <c r="D3907" s="5">
        <v>46023</v>
      </c>
      <c r="E3907" s="6" t="s">
        <v>15</v>
      </c>
      <c r="F3907" s="7">
        <v>1876</v>
      </c>
      <c r="G3907" s="7">
        <v>175279.77505330491</v>
      </c>
      <c r="H3907" s="7">
        <v>328824858</v>
      </c>
      <c r="I3907" s="7">
        <v>61352533</v>
      </c>
      <c r="J3907" s="7">
        <v>0</v>
      </c>
      <c r="K3907">
        <f t="shared" si="60"/>
        <v>59</v>
      </c>
      <c r="L3907" s="8" t="str" cm="1">
        <f t="array" ref="L3907">_xlfn.IFS(
 AND(K3907&gt;=89,K3907&lt;=92),"3개월",
 AND(K3907&gt;=58,K3907&lt;=62),"2개월",
 AND(K3907&gt;=28,K3907&lt;=32),"1개월",
 AND(K3907=0),"당월",
 TRUE,"그외"
)</f>
        <v>2개월</v>
      </c>
    </row>
    <row r="3908" spans="1:12" x14ac:dyDescent="0.3">
      <c r="A3908" s="5">
        <v>46082</v>
      </c>
      <c r="B3908" s="6" t="s">
        <v>60</v>
      </c>
      <c r="C3908" s="6" t="s">
        <v>69</v>
      </c>
      <c r="D3908" s="5">
        <v>46054</v>
      </c>
      <c r="E3908" s="6" t="s">
        <v>14</v>
      </c>
      <c r="F3908" s="7">
        <v>3575</v>
      </c>
      <c r="G3908" s="7">
        <v>151203.91608391609</v>
      </c>
      <c r="H3908" s="7">
        <v>540554000</v>
      </c>
      <c r="I3908" s="7">
        <v>78717000</v>
      </c>
      <c r="J3908" s="7">
        <v>0</v>
      </c>
      <c r="K3908">
        <f t="shared" si="60"/>
        <v>28</v>
      </c>
      <c r="L3908" s="8" t="str" cm="1">
        <f t="array" ref="L3908">_xlfn.IFS(
 AND(K3908&gt;=89,K3908&lt;=92),"3개월",
 AND(K3908&gt;=58,K3908&lt;=62),"2개월",
 AND(K3908&gt;=28,K3908&lt;=32),"1개월",
 AND(K3908=0),"당월",
 TRUE,"그외"
)</f>
        <v>1개월</v>
      </c>
    </row>
    <row r="3909" spans="1:12" x14ac:dyDescent="0.3">
      <c r="A3909" s="5">
        <v>46082</v>
      </c>
      <c r="B3909" s="6" t="s">
        <v>60</v>
      </c>
      <c r="C3909" s="6" t="s">
        <v>69</v>
      </c>
      <c r="D3909" s="5">
        <v>46054</v>
      </c>
      <c r="E3909" s="6" t="s">
        <v>15</v>
      </c>
      <c r="F3909" s="7">
        <v>1810</v>
      </c>
      <c r="G3909" s="7">
        <v>197332.0767955801</v>
      </c>
      <c r="H3909" s="7">
        <v>357171059</v>
      </c>
      <c r="I3909" s="7">
        <v>43783945</v>
      </c>
      <c r="J3909" s="7">
        <v>0</v>
      </c>
      <c r="K3909">
        <f t="shared" si="60"/>
        <v>28</v>
      </c>
      <c r="L3909" s="8" t="str" cm="1">
        <f t="array" ref="L3909">_xlfn.IFS(
 AND(K3909&gt;=89,K3909&lt;=92),"3개월",
 AND(K3909&gt;=58,K3909&lt;=62),"2개월",
 AND(K3909&gt;=28,K3909&lt;=32),"1개월",
 AND(K3909=0),"당월",
 TRUE,"그외"
)</f>
        <v>1개월</v>
      </c>
    </row>
    <row r="3910" spans="1:12" x14ac:dyDescent="0.3">
      <c r="A3910" s="5">
        <v>46082</v>
      </c>
      <c r="B3910" s="6" t="s">
        <v>60</v>
      </c>
      <c r="C3910" s="6" t="s">
        <v>69</v>
      </c>
      <c r="D3910" s="5">
        <v>46082</v>
      </c>
      <c r="E3910" s="6" t="s">
        <v>14</v>
      </c>
      <c r="F3910" s="7">
        <v>541</v>
      </c>
      <c r="G3910" s="7">
        <v>145166.17375231051</v>
      </c>
      <c r="H3910" s="7">
        <v>78534900</v>
      </c>
      <c r="I3910" s="7">
        <v>14959900</v>
      </c>
      <c r="J3910" s="7">
        <v>0</v>
      </c>
      <c r="K3910">
        <f t="shared" si="60"/>
        <v>0</v>
      </c>
      <c r="L3910" s="8" t="str" cm="1">
        <f t="array" ref="L3910">_xlfn.IFS(
 AND(K3910&gt;=89,K3910&lt;=92),"3개월",
 AND(K3910&gt;=58,K3910&lt;=62),"2개월",
 AND(K3910&gt;=28,K3910&lt;=32),"1개월",
 AND(K3910=0),"당월",
 TRUE,"그외"
)</f>
        <v>당월</v>
      </c>
    </row>
    <row r="3911" spans="1:12" x14ac:dyDescent="0.3">
      <c r="A3911" s="5">
        <v>46082</v>
      </c>
      <c r="B3911" s="6" t="s">
        <v>60</v>
      </c>
      <c r="C3911" s="6" t="s">
        <v>69</v>
      </c>
      <c r="D3911" s="5">
        <v>46082</v>
      </c>
      <c r="E3911" s="6" t="s">
        <v>15</v>
      </c>
      <c r="F3911" s="7">
        <v>1137</v>
      </c>
      <c r="G3911" s="7">
        <v>210537.55057167989</v>
      </c>
      <c r="H3911" s="7">
        <v>239381195</v>
      </c>
      <c r="I3911" s="7">
        <v>36407051</v>
      </c>
      <c r="J3911" s="7">
        <v>0</v>
      </c>
      <c r="K3911">
        <f t="shared" si="60"/>
        <v>0</v>
      </c>
      <c r="L3911" s="8" t="str" cm="1">
        <f t="array" ref="L3911">_xlfn.IFS(
 AND(K3911&gt;=89,K3911&lt;=92),"3개월",
 AND(K3911&gt;=58,K3911&lt;=62),"2개월",
 AND(K3911&gt;=28,K3911&lt;=32),"1개월",
 AND(K3911=0),"당월",
 TRUE,"그외"
)</f>
        <v>당월</v>
      </c>
    </row>
    <row r="3912" spans="1:12" x14ac:dyDescent="0.3">
      <c r="A3912" s="5">
        <v>46082</v>
      </c>
      <c r="B3912" s="6" t="s">
        <v>60</v>
      </c>
      <c r="C3912" s="6" t="s">
        <v>70</v>
      </c>
      <c r="D3912" s="5">
        <v>45839</v>
      </c>
      <c r="E3912" s="6" t="s">
        <v>15</v>
      </c>
      <c r="F3912" s="7">
        <v>28</v>
      </c>
      <c r="G3912" s="7">
        <v>237927.1428571429</v>
      </c>
      <c r="H3912" s="7">
        <v>6661960</v>
      </c>
      <c r="I3912" s="7">
        <v>511560</v>
      </c>
      <c r="J3912" s="7">
        <v>0</v>
      </c>
      <c r="K3912">
        <f t="shared" si="60"/>
        <v>243</v>
      </c>
      <c r="L3912" s="8" t="str" cm="1">
        <f t="array" ref="L3912">_xlfn.IFS(
 AND(K3912&gt;=89,K3912&lt;=92),"3개월",
 AND(K3912&gt;=58,K3912&lt;=62),"2개월",
 AND(K3912&gt;=28,K3912&lt;=32),"1개월",
 AND(K3912=0),"당월",
 TRUE,"그외"
)</f>
        <v>그외</v>
      </c>
    </row>
    <row r="3913" spans="1:12" x14ac:dyDescent="0.3">
      <c r="A3913" s="5">
        <v>46082</v>
      </c>
      <c r="B3913" s="6" t="s">
        <v>60</v>
      </c>
      <c r="C3913" s="6" t="s">
        <v>70</v>
      </c>
      <c r="D3913" s="5">
        <v>45870</v>
      </c>
      <c r="E3913" s="6" t="s">
        <v>15</v>
      </c>
      <c r="F3913" s="7">
        <v>29</v>
      </c>
      <c r="G3913" s="7">
        <v>232344.8275862069</v>
      </c>
      <c r="H3913" s="7">
        <v>6738000</v>
      </c>
      <c r="I3913" s="7">
        <v>754000</v>
      </c>
      <c r="J3913" s="7">
        <v>0</v>
      </c>
      <c r="K3913">
        <f t="shared" si="60"/>
        <v>212</v>
      </c>
      <c r="L3913" s="8" t="str" cm="1">
        <f t="array" ref="L3913">_xlfn.IFS(
 AND(K3913&gt;=89,K3913&lt;=92),"3개월",
 AND(K3913&gt;=58,K3913&lt;=62),"2개월",
 AND(K3913&gt;=28,K3913&lt;=32),"1개월",
 AND(K3913=0),"당월",
 TRUE,"그외"
)</f>
        <v>그외</v>
      </c>
    </row>
    <row r="3914" spans="1:12" x14ac:dyDescent="0.3">
      <c r="A3914" s="5">
        <v>46082</v>
      </c>
      <c r="B3914" s="6" t="s">
        <v>60</v>
      </c>
      <c r="C3914" s="6" t="s">
        <v>70</v>
      </c>
      <c r="D3914" s="5">
        <v>45901</v>
      </c>
      <c r="E3914" s="6" t="s">
        <v>15</v>
      </c>
      <c r="F3914" s="7">
        <v>15</v>
      </c>
      <c r="G3914" s="7">
        <v>190386.66666666669</v>
      </c>
      <c r="H3914" s="7">
        <v>2855800</v>
      </c>
      <c r="I3914" s="7">
        <v>394500</v>
      </c>
      <c r="J3914" s="7">
        <v>0</v>
      </c>
      <c r="K3914">
        <f t="shared" ref="K3914:K3977" si="61">A3914-D3914</f>
        <v>181</v>
      </c>
      <c r="L3914" s="8" t="str" cm="1">
        <f t="array" ref="L3914">_xlfn.IFS(
 AND(K3914&gt;=89,K3914&lt;=92),"3개월",
 AND(K3914&gt;=58,K3914&lt;=62),"2개월",
 AND(K3914&gt;=28,K3914&lt;=32),"1개월",
 AND(K3914=0),"당월",
 TRUE,"그외"
)</f>
        <v>그외</v>
      </c>
    </row>
    <row r="3915" spans="1:12" x14ac:dyDescent="0.3">
      <c r="A3915" s="5">
        <v>46082</v>
      </c>
      <c r="B3915" s="6" t="s">
        <v>60</v>
      </c>
      <c r="C3915" s="6" t="s">
        <v>70</v>
      </c>
      <c r="D3915" s="5">
        <v>45931</v>
      </c>
      <c r="E3915" s="6" t="s">
        <v>15</v>
      </c>
      <c r="F3915" s="7">
        <v>41</v>
      </c>
      <c r="G3915" s="7">
        <v>180834.8292682927</v>
      </c>
      <c r="H3915" s="7">
        <v>7414228</v>
      </c>
      <c r="I3915" s="7">
        <v>1082400</v>
      </c>
      <c r="J3915" s="7">
        <v>0</v>
      </c>
      <c r="K3915">
        <f t="shared" si="61"/>
        <v>151</v>
      </c>
      <c r="L3915" s="8" t="str" cm="1">
        <f t="array" ref="L3915">_xlfn.IFS(
 AND(K3915&gt;=89,K3915&lt;=92),"3개월",
 AND(K3915&gt;=58,K3915&lt;=62),"2개월",
 AND(K3915&gt;=28,K3915&lt;=32),"1개월",
 AND(K3915=0),"당월",
 TRUE,"그외"
)</f>
        <v>그외</v>
      </c>
    </row>
    <row r="3916" spans="1:12" x14ac:dyDescent="0.3">
      <c r="A3916" s="5">
        <v>46082</v>
      </c>
      <c r="B3916" s="6" t="s">
        <v>60</v>
      </c>
      <c r="C3916" s="6" t="s">
        <v>70</v>
      </c>
      <c r="D3916" s="5">
        <v>45962</v>
      </c>
      <c r="E3916" s="6" t="s">
        <v>14</v>
      </c>
      <c r="F3916" s="7">
        <v>5</v>
      </c>
      <c r="G3916" s="7">
        <v>326700</v>
      </c>
      <c r="H3916" s="7">
        <v>1633500</v>
      </c>
      <c r="I3916" s="7">
        <v>133500</v>
      </c>
      <c r="J3916" s="7">
        <v>0</v>
      </c>
      <c r="K3916">
        <f t="shared" si="61"/>
        <v>120</v>
      </c>
      <c r="L3916" s="8" t="str" cm="1">
        <f t="array" ref="L3916">_xlfn.IFS(
 AND(K3916&gt;=89,K3916&lt;=92),"3개월",
 AND(K3916&gt;=58,K3916&lt;=62),"2개월",
 AND(K3916&gt;=28,K3916&lt;=32),"1개월",
 AND(K3916=0),"당월",
 TRUE,"그외"
)</f>
        <v>그외</v>
      </c>
    </row>
    <row r="3917" spans="1:12" x14ac:dyDescent="0.3">
      <c r="A3917" s="5">
        <v>46082</v>
      </c>
      <c r="B3917" s="6" t="s">
        <v>60</v>
      </c>
      <c r="C3917" s="6" t="s">
        <v>70</v>
      </c>
      <c r="D3917" s="5">
        <v>45962</v>
      </c>
      <c r="E3917" s="6" t="s">
        <v>15</v>
      </c>
      <c r="F3917" s="7">
        <v>112</v>
      </c>
      <c r="G3917" s="7">
        <v>165054.2321428571</v>
      </c>
      <c r="H3917" s="7">
        <v>18486074</v>
      </c>
      <c r="I3917" s="7">
        <v>3024240</v>
      </c>
      <c r="J3917" s="7">
        <v>0</v>
      </c>
      <c r="K3917">
        <f t="shared" si="61"/>
        <v>120</v>
      </c>
      <c r="L3917" s="8" t="str" cm="1">
        <f t="array" ref="L3917">_xlfn.IFS(
 AND(K3917&gt;=89,K3917&lt;=92),"3개월",
 AND(K3917&gt;=58,K3917&lt;=62),"2개월",
 AND(K3917&gt;=28,K3917&lt;=32),"1개월",
 AND(K3917=0),"당월",
 TRUE,"그외"
)</f>
        <v>그외</v>
      </c>
    </row>
    <row r="3918" spans="1:12" x14ac:dyDescent="0.3">
      <c r="A3918" s="5">
        <v>46082</v>
      </c>
      <c r="B3918" s="6" t="s">
        <v>60</v>
      </c>
      <c r="C3918" s="6" t="s">
        <v>70</v>
      </c>
      <c r="D3918" s="5">
        <v>45992</v>
      </c>
      <c r="E3918" s="6" t="s">
        <v>14</v>
      </c>
      <c r="F3918" s="7">
        <v>12</v>
      </c>
      <c r="G3918" s="7">
        <v>281700</v>
      </c>
      <c r="H3918" s="7">
        <v>3380400</v>
      </c>
      <c r="I3918" s="7">
        <v>380400</v>
      </c>
      <c r="J3918" s="7">
        <v>0</v>
      </c>
      <c r="K3918">
        <f t="shared" si="61"/>
        <v>90</v>
      </c>
      <c r="L3918" s="8" t="str" cm="1">
        <f t="array" ref="L3918">_xlfn.IFS(
 AND(K3918&gt;=89,K3918&lt;=92),"3개월",
 AND(K3918&gt;=58,K3918&lt;=62),"2개월",
 AND(K3918&gt;=28,K3918&lt;=32),"1개월",
 AND(K3918=0),"당월",
 TRUE,"그외"
)</f>
        <v>3개월</v>
      </c>
    </row>
    <row r="3919" spans="1:12" x14ac:dyDescent="0.3">
      <c r="A3919" s="5">
        <v>46082</v>
      </c>
      <c r="B3919" s="6" t="s">
        <v>60</v>
      </c>
      <c r="C3919" s="6" t="s">
        <v>70</v>
      </c>
      <c r="D3919" s="5">
        <v>45992</v>
      </c>
      <c r="E3919" s="6" t="s">
        <v>15</v>
      </c>
      <c r="F3919" s="7">
        <v>200</v>
      </c>
      <c r="G3919" s="7">
        <v>171131.21</v>
      </c>
      <c r="H3919" s="7">
        <v>34226242</v>
      </c>
      <c r="I3919" s="7">
        <v>6488484</v>
      </c>
      <c r="J3919" s="7">
        <v>0</v>
      </c>
      <c r="K3919">
        <f t="shared" si="61"/>
        <v>90</v>
      </c>
      <c r="L3919" s="8" t="str" cm="1">
        <f t="array" ref="L3919">_xlfn.IFS(
 AND(K3919&gt;=89,K3919&lt;=92),"3개월",
 AND(K3919&gt;=58,K3919&lt;=62),"2개월",
 AND(K3919&gt;=28,K3919&lt;=32),"1개월",
 AND(K3919=0),"당월",
 TRUE,"그외"
)</f>
        <v>3개월</v>
      </c>
    </row>
    <row r="3920" spans="1:12" x14ac:dyDescent="0.3">
      <c r="A3920" s="5">
        <v>46082</v>
      </c>
      <c r="B3920" s="6" t="s">
        <v>60</v>
      </c>
      <c r="C3920" s="6" t="s">
        <v>70</v>
      </c>
      <c r="D3920" s="5">
        <v>46023</v>
      </c>
      <c r="E3920" s="6" t="s">
        <v>14</v>
      </c>
      <c r="F3920" s="7">
        <v>327</v>
      </c>
      <c r="G3920" s="7">
        <v>173088.99082568809</v>
      </c>
      <c r="H3920" s="7">
        <v>56600100</v>
      </c>
      <c r="I3920" s="7">
        <v>10562100</v>
      </c>
      <c r="J3920" s="7">
        <v>0</v>
      </c>
      <c r="K3920">
        <f t="shared" si="61"/>
        <v>59</v>
      </c>
      <c r="L3920" s="8" t="str" cm="1">
        <f t="array" ref="L3920">_xlfn.IFS(
 AND(K3920&gt;=89,K3920&lt;=92),"3개월",
 AND(K3920&gt;=58,K3920&lt;=62),"2개월",
 AND(K3920&gt;=28,K3920&lt;=32),"1개월",
 AND(K3920=0),"당월",
 TRUE,"그외"
)</f>
        <v>2개월</v>
      </c>
    </row>
    <row r="3921" spans="1:12" x14ac:dyDescent="0.3">
      <c r="A3921" s="5">
        <v>46082</v>
      </c>
      <c r="B3921" s="6" t="s">
        <v>60</v>
      </c>
      <c r="C3921" s="6" t="s">
        <v>70</v>
      </c>
      <c r="D3921" s="5">
        <v>46023</v>
      </c>
      <c r="E3921" s="6" t="s">
        <v>15</v>
      </c>
      <c r="F3921" s="7">
        <v>668</v>
      </c>
      <c r="G3921" s="7">
        <v>183158.86077844311</v>
      </c>
      <c r="H3921" s="7">
        <v>122350119</v>
      </c>
      <c r="I3921" s="7">
        <v>22319094</v>
      </c>
      <c r="J3921" s="7">
        <v>0</v>
      </c>
      <c r="K3921">
        <f t="shared" si="61"/>
        <v>59</v>
      </c>
      <c r="L3921" s="8" t="str" cm="1">
        <f t="array" ref="L3921">_xlfn.IFS(
 AND(K3921&gt;=89,K3921&lt;=92),"3개월",
 AND(K3921&gt;=58,K3921&lt;=62),"2개월",
 AND(K3921&gt;=28,K3921&lt;=32),"1개월",
 AND(K3921=0),"당월",
 TRUE,"그외"
)</f>
        <v>2개월</v>
      </c>
    </row>
    <row r="3922" spans="1:12" x14ac:dyDescent="0.3">
      <c r="A3922" s="5">
        <v>46082</v>
      </c>
      <c r="B3922" s="6" t="s">
        <v>60</v>
      </c>
      <c r="C3922" s="6" t="s">
        <v>70</v>
      </c>
      <c r="D3922" s="5">
        <v>46054</v>
      </c>
      <c r="E3922" s="6" t="s">
        <v>14</v>
      </c>
      <c r="F3922" s="7">
        <v>364</v>
      </c>
      <c r="G3922" s="7">
        <v>130329.67032967031</v>
      </c>
      <c r="H3922" s="7">
        <v>47440000</v>
      </c>
      <c r="I3922" s="7">
        <v>8008000</v>
      </c>
      <c r="J3922" s="7">
        <v>0</v>
      </c>
      <c r="K3922">
        <f t="shared" si="61"/>
        <v>28</v>
      </c>
      <c r="L3922" s="8" t="str" cm="1">
        <f t="array" ref="L3922">_xlfn.IFS(
 AND(K3922&gt;=89,K3922&lt;=92),"3개월",
 AND(K3922&gt;=58,K3922&lt;=62),"2개월",
 AND(K3922&gt;=28,K3922&lt;=32),"1개월",
 AND(K3922=0),"당월",
 TRUE,"그외"
)</f>
        <v>1개월</v>
      </c>
    </row>
    <row r="3923" spans="1:12" x14ac:dyDescent="0.3">
      <c r="A3923" s="5">
        <v>46082</v>
      </c>
      <c r="B3923" s="6" t="s">
        <v>60</v>
      </c>
      <c r="C3923" s="6" t="s">
        <v>70</v>
      </c>
      <c r="D3923" s="5">
        <v>46054</v>
      </c>
      <c r="E3923" s="6" t="s">
        <v>15</v>
      </c>
      <c r="F3923" s="7">
        <v>765</v>
      </c>
      <c r="G3923" s="7">
        <v>198883.2496732026</v>
      </c>
      <c r="H3923" s="7">
        <v>152145686</v>
      </c>
      <c r="I3923" s="7">
        <v>19388789</v>
      </c>
      <c r="J3923" s="7">
        <v>0</v>
      </c>
      <c r="K3923">
        <f t="shared" si="61"/>
        <v>28</v>
      </c>
      <c r="L3923" s="8" t="str" cm="1">
        <f t="array" ref="L3923">_xlfn.IFS(
 AND(K3923&gt;=89,K3923&lt;=92),"3개월",
 AND(K3923&gt;=58,K3923&lt;=62),"2개월",
 AND(K3923&gt;=28,K3923&lt;=32),"1개월",
 AND(K3923=0),"당월",
 TRUE,"그외"
)</f>
        <v>1개월</v>
      </c>
    </row>
    <row r="3924" spans="1:12" x14ac:dyDescent="0.3">
      <c r="A3924" s="5">
        <v>46082</v>
      </c>
      <c r="B3924" s="6" t="s">
        <v>60</v>
      </c>
      <c r="C3924" s="6" t="s">
        <v>70</v>
      </c>
      <c r="D3924" s="5">
        <v>46082</v>
      </c>
      <c r="E3924" s="6" t="s">
        <v>15</v>
      </c>
      <c r="F3924" s="7">
        <v>109</v>
      </c>
      <c r="G3924" s="7">
        <v>210461.40366972479</v>
      </c>
      <c r="H3924" s="7">
        <v>22940293</v>
      </c>
      <c r="I3924" s="7">
        <v>3743531</v>
      </c>
      <c r="J3924" s="7">
        <v>0</v>
      </c>
      <c r="K3924">
        <f t="shared" si="61"/>
        <v>0</v>
      </c>
      <c r="L3924" s="8" t="str" cm="1">
        <f t="array" ref="L3924">_xlfn.IFS(
 AND(K3924&gt;=89,K3924&lt;=92),"3개월",
 AND(K3924&gt;=58,K3924&lt;=62),"2개월",
 AND(K3924&gt;=28,K3924&lt;=32),"1개월",
 AND(K3924=0),"당월",
 TRUE,"그외"
)</f>
        <v>당월</v>
      </c>
    </row>
    <row r="3925" spans="1:12" x14ac:dyDescent="0.3">
      <c r="A3925" s="5">
        <v>46082</v>
      </c>
      <c r="B3925" s="6" t="s">
        <v>60</v>
      </c>
      <c r="C3925" s="6" t="s">
        <v>71</v>
      </c>
      <c r="D3925" s="5">
        <v>45962</v>
      </c>
      <c r="E3925" s="6" t="s">
        <v>15</v>
      </c>
      <c r="F3925" s="7">
        <v>33</v>
      </c>
      <c r="G3925" s="7">
        <v>364203.03030303027</v>
      </c>
      <c r="H3925" s="7">
        <v>12018700</v>
      </c>
      <c r="I3925" s="7">
        <v>881100</v>
      </c>
      <c r="J3925" s="7">
        <v>0</v>
      </c>
      <c r="K3925">
        <f t="shared" si="61"/>
        <v>120</v>
      </c>
      <c r="L3925" s="8" t="str" cm="1">
        <f t="array" ref="L3925">_xlfn.IFS(
 AND(K3925&gt;=89,K3925&lt;=92),"3개월",
 AND(K3925&gt;=58,K3925&lt;=62),"2개월",
 AND(K3925&gt;=28,K3925&lt;=32),"1개월",
 AND(K3925=0),"당월",
 TRUE,"그외"
)</f>
        <v>그외</v>
      </c>
    </row>
    <row r="3926" spans="1:12" x14ac:dyDescent="0.3">
      <c r="A3926" s="5">
        <v>46082</v>
      </c>
      <c r="B3926" s="6" t="s">
        <v>60</v>
      </c>
      <c r="C3926" s="6" t="s">
        <v>71</v>
      </c>
      <c r="D3926" s="5">
        <v>45992</v>
      </c>
      <c r="E3926" s="6" t="s">
        <v>15</v>
      </c>
      <c r="F3926" s="7">
        <v>23</v>
      </c>
      <c r="G3926" s="7">
        <v>399508.69565217389</v>
      </c>
      <c r="H3926" s="7">
        <v>9188700</v>
      </c>
      <c r="I3926" s="7">
        <v>729100</v>
      </c>
      <c r="J3926" s="7">
        <v>0</v>
      </c>
      <c r="K3926">
        <f t="shared" si="61"/>
        <v>90</v>
      </c>
      <c r="L3926" s="8" t="str" cm="1">
        <f t="array" ref="L3926">_xlfn.IFS(
 AND(K3926&gt;=89,K3926&lt;=92),"3개월",
 AND(K3926&gt;=58,K3926&lt;=62),"2개월",
 AND(K3926&gt;=28,K3926&lt;=32),"1개월",
 AND(K3926=0),"당월",
 TRUE,"그외"
)</f>
        <v>3개월</v>
      </c>
    </row>
    <row r="3927" spans="1:12" x14ac:dyDescent="0.3">
      <c r="A3927" s="5">
        <v>46082</v>
      </c>
      <c r="B3927" s="6" t="s">
        <v>60</v>
      </c>
      <c r="C3927" s="6" t="s">
        <v>71</v>
      </c>
      <c r="D3927" s="5">
        <v>46023</v>
      </c>
      <c r="E3927" s="6" t="s">
        <v>14</v>
      </c>
      <c r="F3927" s="7">
        <v>29</v>
      </c>
      <c r="G3927" s="7">
        <v>823868.96551724139</v>
      </c>
      <c r="H3927" s="7">
        <v>23892200</v>
      </c>
      <c r="I3927" s="7">
        <v>775200</v>
      </c>
      <c r="J3927" s="7">
        <v>0</v>
      </c>
      <c r="K3927">
        <f t="shared" si="61"/>
        <v>59</v>
      </c>
      <c r="L3927" s="8" t="str" cm="1">
        <f t="array" ref="L3927">_xlfn.IFS(
 AND(K3927&gt;=89,K3927&lt;=92),"3개월",
 AND(K3927&gt;=58,K3927&lt;=62),"2개월",
 AND(K3927&gt;=28,K3927&lt;=32),"1개월",
 AND(K3927=0),"당월",
 TRUE,"그외"
)</f>
        <v>2개월</v>
      </c>
    </row>
    <row r="3928" spans="1:12" x14ac:dyDescent="0.3">
      <c r="A3928" s="5">
        <v>46082</v>
      </c>
      <c r="B3928" s="6" t="s">
        <v>60</v>
      </c>
      <c r="C3928" s="6" t="s">
        <v>71</v>
      </c>
      <c r="D3928" s="5">
        <v>46023</v>
      </c>
      <c r="E3928" s="6" t="s">
        <v>15</v>
      </c>
      <c r="F3928" s="7">
        <v>114</v>
      </c>
      <c r="G3928" s="7">
        <v>200458.51754385969</v>
      </c>
      <c r="H3928" s="7">
        <v>22852271</v>
      </c>
      <c r="I3928" s="7">
        <v>4036288</v>
      </c>
      <c r="J3928" s="7">
        <v>0</v>
      </c>
      <c r="K3928">
        <f t="shared" si="61"/>
        <v>59</v>
      </c>
      <c r="L3928" s="8" t="str" cm="1">
        <f t="array" ref="L3928">_xlfn.IFS(
 AND(K3928&gt;=89,K3928&lt;=92),"3개월",
 AND(K3928&gt;=58,K3928&lt;=62),"2개월",
 AND(K3928&gt;=28,K3928&lt;=32),"1개월",
 AND(K3928=0),"당월",
 TRUE,"그외"
)</f>
        <v>2개월</v>
      </c>
    </row>
    <row r="3929" spans="1:12" x14ac:dyDescent="0.3">
      <c r="A3929" s="5">
        <v>46082</v>
      </c>
      <c r="B3929" s="6" t="s">
        <v>60</v>
      </c>
      <c r="C3929" s="6" t="s">
        <v>71</v>
      </c>
      <c r="D3929" s="5">
        <v>46054</v>
      </c>
      <c r="E3929" s="6" t="s">
        <v>14</v>
      </c>
      <c r="F3929" s="7">
        <v>218</v>
      </c>
      <c r="G3929" s="7">
        <v>122325.6880733945</v>
      </c>
      <c r="H3929" s="7">
        <v>26667000</v>
      </c>
      <c r="I3929" s="7">
        <v>4796000</v>
      </c>
      <c r="J3929" s="7">
        <v>0</v>
      </c>
      <c r="K3929">
        <f t="shared" si="61"/>
        <v>28</v>
      </c>
      <c r="L3929" s="8" t="str" cm="1">
        <f t="array" ref="L3929">_xlfn.IFS(
 AND(K3929&gt;=89,K3929&lt;=92),"3개월",
 AND(K3929&gt;=58,K3929&lt;=62),"2개월",
 AND(K3929&gt;=28,K3929&lt;=32),"1개월",
 AND(K3929=0),"당월",
 TRUE,"그외"
)</f>
        <v>1개월</v>
      </c>
    </row>
    <row r="3930" spans="1:12" x14ac:dyDescent="0.3">
      <c r="A3930" s="5">
        <v>46082</v>
      </c>
      <c r="B3930" s="6" t="s">
        <v>60</v>
      </c>
      <c r="C3930" s="6" t="s">
        <v>71</v>
      </c>
      <c r="D3930" s="5">
        <v>46054</v>
      </c>
      <c r="E3930" s="6" t="s">
        <v>15</v>
      </c>
      <c r="F3930" s="7">
        <v>221</v>
      </c>
      <c r="G3930" s="7">
        <v>160594.60180995479</v>
      </c>
      <c r="H3930" s="7">
        <v>35491407</v>
      </c>
      <c r="I3930" s="7">
        <v>6811770</v>
      </c>
      <c r="J3930" s="7">
        <v>0</v>
      </c>
      <c r="K3930">
        <f t="shared" si="61"/>
        <v>28</v>
      </c>
      <c r="L3930" s="8" t="str" cm="1">
        <f t="array" ref="L3930">_xlfn.IFS(
 AND(K3930&gt;=89,K3930&lt;=92),"3개월",
 AND(K3930&gt;=58,K3930&lt;=62),"2개월",
 AND(K3930&gt;=28,K3930&lt;=32),"1개월",
 AND(K3930=0),"당월",
 TRUE,"그외"
)</f>
        <v>1개월</v>
      </c>
    </row>
    <row r="3931" spans="1:12" x14ac:dyDescent="0.3">
      <c r="A3931" s="5">
        <v>46082</v>
      </c>
      <c r="B3931" s="6" t="s">
        <v>60</v>
      </c>
      <c r="C3931" s="6" t="s">
        <v>71</v>
      </c>
      <c r="D3931" s="5">
        <v>46082</v>
      </c>
      <c r="E3931" s="6" t="s">
        <v>14</v>
      </c>
      <c r="F3931" s="7">
        <v>63</v>
      </c>
      <c r="G3931" s="7">
        <v>142614.28571428571</v>
      </c>
      <c r="H3931" s="7">
        <v>8984700</v>
      </c>
      <c r="I3931" s="7">
        <v>1757700</v>
      </c>
      <c r="J3931" s="7">
        <v>0</v>
      </c>
      <c r="K3931">
        <f t="shared" si="61"/>
        <v>0</v>
      </c>
      <c r="L3931" s="8" t="str" cm="1">
        <f t="array" ref="L3931">_xlfn.IFS(
 AND(K3931&gt;=89,K3931&lt;=92),"3개월",
 AND(K3931&gt;=58,K3931&lt;=62),"2개월",
 AND(K3931&gt;=28,K3931&lt;=32),"1개월",
 AND(K3931=0),"당월",
 TRUE,"그외"
)</f>
        <v>당월</v>
      </c>
    </row>
    <row r="3932" spans="1:12" x14ac:dyDescent="0.3">
      <c r="A3932" s="5">
        <v>46082</v>
      </c>
      <c r="B3932" s="6" t="s">
        <v>60</v>
      </c>
      <c r="C3932" s="6" t="s">
        <v>71</v>
      </c>
      <c r="D3932" s="5">
        <v>46082</v>
      </c>
      <c r="E3932" s="6" t="s">
        <v>15</v>
      </c>
      <c r="F3932" s="7">
        <v>367</v>
      </c>
      <c r="G3932" s="7">
        <v>181345.56130790189</v>
      </c>
      <c r="H3932" s="7">
        <v>66553821</v>
      </c>
      <c r="I3932" s="7">
        <v>13894164</v>
      </c>
      <c r="J3932" s="7">
        <v>0</v>
      </c>
      <c r="K3932">
        <f t="shared" si="61"/>
        <v>0</v>
      </c>
      <c r="L3932" s="8" t="str" cm="1">
        <f t="array" ref="L3932">_xlfn.IFS(
 AND(K3932&gt;=89,K3932&lt;=92),"3개월",
 AND(K3932&gt;=58,K3932&lt;=62),"2개월",
 AND(K3932&gt;=28,K3932&lt;=32),"1개월",
 AND(K3932=0),"당월",
 TRUE,"그외"
)</f>
        <v>당월</v>
      </c>
    </row>
    <row r="3933" spans="1:12" x14ac:dyDescent="0.3">
      <c r="A3933" s="5">
        <v>46082</v>
      </c>
      <c r="B3933" s="6" t="s">
        <v>60</v>
      </c>
      <c r="C3933" s="6" t="s">
        <v>112</v>
      </c>
      <c r="D3933" s="5">
        <v>45931</v>
      </c>
      <c r="E3933" s="6" t="s">
        <v>15</v>
      </c>
      <c r="F3933" s="7">
        <v>16</v>
      </c>
      <c r="G3933" s="7">
        <v>187025</v>
      </c>
      <c r="H3933" s="7">
        <v>2992400</v>
      </c>
      <c r="I3933" s="7">
        <v>390400</v>
      </c>
      <c r="J3933" s="7">
        <v>0</v>
      </c>
      <c r="K3933">
        <f t="shared" si="61"/>
        <v>151</v>
      </c>
      <c r="L3933" s="8" t="str" cm="1">
        <f t="array" ref="L3933">_xlfn.IFS(
 AND(K3933&gt;=89,K3933&lt;=92),"3개월",
 AND(K3933&gt;=58,K3933&lt;=62),"2개월",
 AND(K3933&gt;=28,K3933&lt;=32),"1개월",
 AND(K3933=0),"당월",
 TRUE,"그외"
)</f>
        <v>그외</v>
      </c>
    </row>
    <row r="3934" spans="1:12" x14ac:dyDescent="0.3">
      <c r="A3934" s="5">
        <v>46082</v>
      </c>
      <c r="B3934" s="6" t="s">
        <v>60</v>
      </c>
      <c r="C3934" s="6" t="s">
        <v>112</v>
      </c>
      <c r="D3934" s="5">
        <v>45962</v>
      </c>
      <c r="E3934" s="6" t="s">
        <v>14</v>
      </c>
      <c r="F3934" s="7">
        <v>4</v>
      </c>
      <c r="G3934" s="7">
        <v>396700</v>
      </c>
      <c r="H3934" s="7">
        <v>1586800</v>
      </c>
      <c r="I3934" s="7">
        <v>106800</v>
      </c>
      <c r="J3934" s="7">
        <v>0</v>
      </c>
      <c r="K3934">
        <f t="shared" si="61"/>
        <v>120</v>
      </c>
      <c r="L3934" s="8" t="str" cm="1">
        <f t="array" ref="L3934">_xlfn.IFS(
 AND(K3934&gt;=89,K3934&lt;=92),"3개월",
 AND(K3934&gt;=58,K3934&lt;=62),"2개월",
 AND(K3934&gt;=28,K3934&lt;=32),"1개월",
 AND(K3934=0),"당월",
 TRUE,"그외"
)</f>
        <v>그외</v>
      </c>
    </row>
    <row r="3935" spans="1:12" x14ac:dyDescent="0.3">
      <c r="A3935" s="5">
        <v>46082</v>
      </c>
      <c r="B3935" s="6" t="s">
        <v>60</v>
      </c>
      <c r="C3935" s="6" t="s">
        <v>112</v>
      </c>
      <c r="D3935" s="5">
        <v>45962</v>
      </c>
      <c r="E3935" s="6" t="s">
        <v>15</v>
      </c>
      <c r="F3935" s="7">
        <v>40</v>
      </c>
      <c r="G3935" s="7">
        <v>246807.97500000001</v>
      </c>
      <c r="H3935" s="7">
        <v>9872319</v>
      </c>
      <c r="I3935" s="7">
        <v>1068000</v>
      </c>
      <c r="J3935" s="7">
        <v>0</v>
      </c>
      <c r="K3935">
        <f t="shared" si="61"/>
        <v>120</v>
      </c>
      <c r="L3935" s="8" t="str" cm="1">
        <f t="array" ref="L3935">_xlfn.IFS(
 AND(K3935&gt;=89,K3935&lt;=92),"3개월",
 AND(K3935&gt;=58,K3935&lt;=62),"2개월",
 AND(K3935&gt;=28,K3935&lt;=32),"1개월",
 AND(K3935=0),"당월",
 TRUE,"그외"
)</f>
        <v>그외</v>
      </c>
    </row>
    <row r="3936" spans="1:12" x14ac:dyDescent="0.3">
      <c r="A3936" s="5">
        <v>46082</v>
      </c>
      <c r="B3936" s="6" t="s">
        <v>60</v>
      </c>
      <c r="C3936" s="6" t="s">
        <v>112</v>
      </c>
      <c r="D3936" s="5">
        <v>45992</v>
      </c>
      <c r="E3936" s="6" t="s">
        <v>15</v>
      </c>
      <c r="F3936" s="7">
        <v>30</v>
      </c>
      <c r="G3936" s="7">
        <v>311433.5</v>
      </c>
      <c r="H3936" s="7">
        <v>9343005</v>
      </c>
      <c r="I3936" s="7">
        <v>1309385</v>
      </c>
      <c r="J3936" s="7">
        <v>0</v>
      </c>
      <c r="K3936">
        <f t="shared" si="61"/>
        <v>90</v>
      </c>
      <c r="L3936" s="8" t="str" cm="1">
        <f t="array" ref="L3936">_xlfn.IFS(
 AND(K3936&gt;=89,K3936&lt;=92),"3개월",
 AND(K3936&gt;=58,K3936&lt;=62),"2개월",
 AND(K3936&gt;=28,K3936&lt;=32),"1개월",
 AND(K3936=0),"당월",
 TRUE,"그외"
)</f>
        <v>3개월</v>
      </c>
    </row>
    <row r="3937" spans="1:12" x14ac:dyDescent="0.3">
      <c r="A3937" s="5">
        <v>46082</v>
      </c>
      <c r="B3937" s="6" t="s">
        <v>60</v>
      </c>
      <c r="C3937" s="6" t="s">
        <v>112</v>
      </c>
      <c r="D3937" s="5">
        <v>46023</v>
      </c>
      <c r="E3937" s="6" t="s">
        <v>14</v>
      </c>
      <c r="F3937" s="7">
        <v>29</v>
      </c>
      <c r="G3937" s="7">
        <v>1320479.3103448281</v>
      </c>
      <c r="H3937" s="7">
        <v>38293900</v>
      </c>
      <c r="I3937" s="7">
        <v>742900</v>
      </c>
      <c r="J3937" s="7">
        <v>0</v>
      </c>
      <c r="K3937">
        <f t="shared" si="61"/>
        <v>59</v>
      </c>
      <c r="L3937" s="8" t="str" cm="1">
        <f t="array" ref="L3937">_xlfn.IFS(
 AND(K3937&gt;=89,K3937&lt;=92),"3개월",
 AND(K3937&gt;=58,K3937&lt;=62),"2개월",
 AND(K3937&gt;=28,K3937&lt;=32),"1개월",
 AND(K3937=0),"당월",
 TRUE,"그외"
)</f>
        <v>2개월</v>
      </c>
    </row>
    <row r="3938" spans="1:12" x14ac:dyDescent="0.3">
      <c r="A3938" s="5">
        <v>46082</v>
      </c>
      <c r="B3938" s="6" t="s">
        <v>60</v>
      </c>
      <c r="C3938" s="6" t="s">
        <v>112</v>
      </c>
      <c r="D3938" s="5">
        <v>46023</v>
      </c>
      <c r="E3938" s="6" t="s">
        <v>15</v>
      </c>
      <c r="F3938" s="7">
        <v>107</v>
      </c>
      <c r="G3938" s="7">
        <v>288234.18691588793</v>
      </c>
      <c r="H3938" s="7">
        <v>30841058</v>
      </c>
      <c r="I3938" s="7">
        <v>4911999</v>
      </c>
      <c r="J3938" s="7">
        <v>0</v>
      </c>
      <c r="K3938">
        <f t="shared" si="61"/>
        <v>59</v>
      </c>
      <c r="L3938" s="8" t="str" cm="1">
        <f t="array" ref="L3938">_xlfn.IFS(
 AND(K3938&gt;=89,K3938&lt;=92),"3개월",
 AND(K3938&gt;=58,K3938&lt;=62),"2개월",
 AND(K3938&gt;=28,K3938&lt;=32),"1개월",
 AND(K3938=0),"당월",
 TRUE,"그외"
)</f>
        <v>2개월</v>
      </c>
    </row>
    <row r="3939" spans="1:12" x14ac:dyDescent="0.3">
      <c r="A3939" s="5">
        <v>46082</v>
      </c>
      <c r="B3939" s="6" t="s">
        <v>60</v>
      </c>
      <c r="C3939" s="6" t="s">
        <v>112</v>
      </c>
      <c r="D3939" s="5">
        <v>46054</v>
      </c>
      <c r="E3939" s="6" t="s">
        <v>14</v>
      </c>
      <c r="F3939" s="7">
        <v>175</v>
      </c>
      <c r="G3939" s="7">
        <v>47569.142857142862</v>
      </c>
      <c r="H3939" s="7">
        <v>8324600</v>
      </c>
      <c r="I3939" s="7">
        <v>3870600</v>
      </c>
      <c r="J3939" s="7">
        <v>0</v>
      </c>
      <c r="K3939">
        <f t="shared" si="61"/>
        <v>28</v>
      </c>
      <c r="L3939" s="8" t="str" cm="1">
        <f t="array" ref="L3939">_xlfn.IFS(
 AND(K3939&gt;=89,K3939&lt;=92),"3개월",
 AND(K3939&gt;=58,K3939&lt;=62),"2개월",
 AND(K3939&gt;=28,K3939&lt;=32),"1개월",
 AND(K3939=0),"당월",
 TRUE,"그외"
)</f>
        <v>1개월</v>
      </c>
    </row>
    <row r="3940" spans="1:12" x14ac:dyDescent="0.3">
      <c r="A3940" s="5">
        <v>46082</v>
      </c>
      <c r="B3940" s="6" t="s">
        <v>60</v>
      </c>
      <c r="C3940" s="6" t="s">
        <v>112</v>
      </c>
      <c r="D3940" s="5">
        <v>46054</v>
      </c>
      <c r="E3940" s="6" t="s">
        <v>15</v>
      </c>
      <c r="F3940" s="7">
        <v>179</v>
      </c>
      <c r="G3940" s="7">
        <v>278788.374301676</v>
      </c>
      <c r="H3940" s="7">
        <v>49903119</v>
      </c>
      <c r="I3940" s="7">
        <v>5569872</v>
      </c>
      <c r="J3940" s="7">
        <v>0</v>
      </c>
      <c r="K3940">
        <f t="shared" si="61"/>
        <v>28</v>
      </c>
      <c r="L3940" s="8" t="str" cm="1">
        <f t="array" ref="L3940">_xlfn.IFS(
 AND(K3940&gt;=89,K3940&lt;=92),"3개월",
 AND(K3940&gt;=58,K3940&lt;=62),"2개월",
 AND(K3940&gt;=28,K3940&lt;=32),"1개월",
 AND(K3940=0),"당월",
 TRUE,"그외"
)</f>
        <v>1개월</v>
      </c>
    </row>
    <row r="3941" spans="1:12" x14ac:dyDescent="0.3">
      <c r="A3941" s="5">
        <v>46082</v>
      </c>
      <c r="B3941" s="6" t="s">
        <v>60</v>
      </c>
      <c r="C3941" s="6" t="s">
        <v>112</v>
      </c>
      <c r="D3941" s="5">
        <v>46082</v>
      </c>
      <c r="E3941" s="6" t="s">
        <v>15</v>
      </c>
      <c r="F3941" s="7">
        <v>2</v>
      </c>
      <c r="G3941" s="7">
        <v>52400</v>
      </c>
      <c r="H3941" s="7">
        <v>104800</v>
      </c>
      <c r="I3941" s="7">
        <v>22000</v>
      </c>
      <c r="J3941" s="7">
        <v>0</v>
      </c>
      <c r="K3941">
        <f t="shared" si="61"/>
        <v>0</v>
      </c>
      <c r="L3941" s="8" t="str" cm="1">
        <f t="array" ref="L3941">_xlfn.IFS(
 AND(K3941&gt;=89,K3941&lt;=92),"3개월",
 AND(K3941&gt;=58,K3941&lt;=62),"2개월",
 AND(K3941&gt;=28,K3941&lt;=32),"1개월",
 AND(K3941=0),"당월",
 TRUE,"그외"
)</f>
        <v>당월</v>
      </c>
    </row>
    <row r="3942" spans="1:12" x14ac:dyDescent="0.3">
      <c r="A3942" s="5">
        <v>46082</v>
      </c>
      <c r="B3942" s="6" t="s">
        <v>60</v>
      </c>
      <c r="C3942" s="6" t="s">
        <v>113</v>
      </c>
      <c r="D3942" s="5">
        <v>46023</v>
      </c>
      <c r="E3942" s="6" t="s">
        <v>14</v>
      </c>
      <c r="F3942" s="7">
        <v>5</v>
      </c>
      <c r="G3942" s="7">
        <v>5720000</v>
      </c>
      <c r="H3942" s="7">
        <v>28600000</v>
      </c>
      <c r="I3942" s="7">
        <v>0</v>
      </c>
      <c r="J3942" s="7">
        <v>0</v>
      </c>
      <c r="K3942">
        <f t="shared" si="61"/>
        <v>59</v>
      </c>
      <c r="L3942" s="8" t="str" cm="1">
        <f t="array" ref="L3942">_xlfn.IFS(
 AND(K3942&gt;=89,K3942&lt;=92),"3개월",
 AND(K3942&gt;=58,K3942&lt;=62),"2개월",
 AND(K3942&gt;=28,K3942&lt;=32),"1개월",
 AND(K3942=0),"당월",
 TRUE,"그외"
)</f>
        <v>2개월</v>
      </c>
    </row>
    <row r="3943" spans="1:12" x14ac:dyDescent="0.3">
      <c r="A3943" s="5">
        <v>46082</v>
      </c>
      <c r="B3943" s="6" t="s">
        <v>60</v>
      </c>
      <c r="C3943" s="6" t="s">
        <v>113</v>
      </c>
      <c r="D3943" s="5">
        <v>46023</v>
      </c>
      <c r="E3943" s="6" t="s">
        <v>15</v>
      </c>
      <c r="F3943" s="7">
        <v>15</v>
      </c>
      <c r="G3943" s="7">
        <v>354846.66666666669</v>
      </c>
      <c r="H3943" s="7">
        <v>5322700</v>
      </c>
      <c r="I3943" s="7">
        <v>484500</v>
      </c>
      <c r="J3943" s="7">
        <v>0</v>
      </c>
      <c r="K3943">
        <f t="shared" si="61"/>
        <v>59</v>
      </c>
      <c r="L3943" s="8" t="str" cm="1">
        <f t="array" ref="L3943">_xlfn.IFS(
 AND(K3943&gt;=89,K3943&lt;=92),"3개월",
 AND(K3943&gt;=58,K3943&lt;=62),"2개월",
 AND(K3943&gt;=28,K3943&lt;=32),"1개월",
 AND(K3943=0),"당월",
 TRUE,"그외"
)</f>
        <v>2개월</v>
      </c>
    </row>
    <row r="3944" spans="1:12" x14ac:dyDescent="0.3">
      <c r="A3944" s="5">
        <v>46082</v>
      </c>
      <c r="B3944" s="6" t="s">
        <v>60</v>
      </c>
      <c r="C3944" s="6" t="s">
        <v>113</v>
      </c>
      <c r="D3944" s="5">
        <v>46054</v>
      </c>
      <c r="E3944" s="6" t="s">
        <v>14</v>
      </c>
      <c r="F3944" s="7">
        <v>111</v>
      </c>
      <c r="G3944" s="7">
        <v>9171.1711711711705</v>
      </c>
      <c r="H3944" s="7">
        <v>1018000</v>
      </c>
      <c r="I3944" s="7">
        <v>88000</v>
      </c>
      <c r="J3944" s="7">
        <v>0</v>
      </c>
      <c r="K3944">
        <f t="shared" si="61"/>
        <v>28</v>
      </c>
      <c r="L3944" s="8" t="str" cm="1">
        <f t="array" ref="L3944">_xlfn.IFS(
 AND(K3944&gt;=89,K3944&lt;=92),"3개월",
 AND(K3944&gt;=58,K3944&lt;=62),"2개월",
 AND(K3944&gt;=28,K3944&lt;=32),"1개월",
 AND(K3944=0),"당월",
 TRUE,"그외"
)</f>
        <v>1개월</v>
      </c>
    </row>
    <row r="3945" spans="1:12" x14ac:dyDescent="0.3">
      <c r="A3945" s="5">
        <v>46082</v>
      </c>
      <c r="B3945" s="6" t="s">
        <v>60</v>
      </c>
      <c r="C3945" s="6" t="s">
        <v>113</v>
      </c>
      <c r="D3945" s="5">
        <v>46054</v>
      </c>
      <c r="E3945" s="6" t="s">
        <v>15</v>
      </c>
      <c r="F3945" s="7">
        <v>25</v>
      </c>
      <c r="G3945" s="7">
        <v>297689.48</v>
      </c>
      <c r="H3945" s="7">
        <v>7442237</v>
      </c>
      <c r="I3945" s="7">
        <v>676904</v>
      </c>
      <c r="J3945" s="7">
        <v>0</v>
      </c>
      <c r="K3945">
        <f t="shared" si="61"/>
        <v>28</v>
      </c>
      <c r="L3945" s="8" t="str" cm="1">
        <f t="array" ref="L3945">_xlfn.IFS(
 AND(K3945&gt;=89,K3945&lt;=92),"3개월",
 AND(K3945&gt;=58,K3945&lt;=62),"2개월",
 AND(K3945&gt;=28,K3945&lt;=32),"1개월",
 AND(K3945=0),"당월",
 TRUE,"그외"
)</f>
        <v>1개월</v>
      </c>
    </row>
    <row r="3946" spans="1:12" x14ac:dyDescent="0.3">
      <c r="A3946" s="5">
        <v>46082</v>
      </c>
      <c r="B3946" s="6" t="s">
        <v>60</v>
      </c>
      <c r="C3946" s="6" t="s">
        <v>114</v>
      </c>
      <c r="D3946" s="5">
        <v>45839</v>
      </c>
      <c r="E3946" s="6" t="s">
        <v>15</v>
      </c>
      <c r="F3946" s="7">
        <v>19</v>
      </c>
      <c r="G3946" s="7">
        <v>137815.78947368421</v>
      </c>
      <c r="H3946" s="7">
        <v>2618500</v>
      </c>
      <c r="I3946" s="7">
        <v>313500</v>
      </c>
      <c r="J3946" s="7">
        <v>0</v>
      </c>
      <c r="K3946">
        <f t="shared" si="61"/>
        <v>243</v>
      </c>
      <c r="L3946" s="8" t="str" cm="1">
        <f t="array" ref="L3946">_xlfn.IFS(
 AND(K3946&gt;=89,K3946&lt;=92),"3개월",
 AND(K3946&gt;=58,K3946&lt;=62),"2개월",
 AND(K3946&gt;=28,K3946&lt;=32),"1개월",
 AND(K3946=0),"당월",
 TRUE,"그외"
)</f>
        <v>그외</v>
      </c>
    </row>
    <row r="3947" spans="1:12" x14ac:dyDescent="0.3">
      <c r="A3947" s="5">
        <v>46082</v>
      </c>
      <c r="B3947" s="6" t="s">
        <v>60</v>
      </c>
      <c r="C3947" s="6" t="s">
        <v>114</v>
      </c>
      <c r="D3947" s="5">
        <v>45870</v>
      </c>
      <c r="E3947" s="6" t="s">
        <v>15</v>
      </c>
      <c r="F3947" s="7">
        <v>73</v>
      </c>
      <c r="G3947" s="7">
        <v>149040.65753424659</v>
      </c>
      <c r="H3947" s="7">
        <v>10879968</v>
      </c>
      <c r="I3947" s="7">
        <v>1825160</v>
      </c>
      <c r="J3947" s="7">
        <v>0</v>
      </c>
      <c r="K3947">
        <f t="shared" si="61"/>
        <v>212</v>
      </c>
      <c r="L3947" s="8" t="str" cm="1">
        <f t="array" ref="L3947">_xlfn.IFS(
 AND(K3947&gt;=89,K3947&lt;=92),"3개월",
 AND(K3947&gt;=58,K3947&lt;=62),"2개월",
 AND(K3947&gt;=28,K3947&lt;=32),"1개월",
 AND(K3947=0),"당월",
 TRUE,"그외"
)</f>
        <v>그외</v>
      </c>
    </row>
    <row r="3948" spans="1:12" x14ac:dyDescent="0.3">
      <c r="A3948" s="5">
        <v>46082</v>
      </c>
      <c r="B3948" s="6" t="s">
        <v>60</v>
      </c>
      <c r="C3948" s="6" t="s">
        <v>114</v>
      </c>
      <c r="D3948" s="5">
        <v>45901</v>
      </c>
      <c r="E3948" s="6" t="s">
        <v>15</v>
      </c>
      <c r="F3948" s="7">
        <v>132</v>
      </c>
      <c r="G3948" s="7">
        <v>142331.9924242424</v>
      </c>
      <c r="H3948" s="7">
        <v>18787823</v>
      </c>
      <c r="I3948" s="7">
        <v>3306498</v>
      </c>
      <c r="J3948" s="7">
        <v>0</v>
      </c>
      <c r="K3948">
        <f t="shared" si="61"/>
        <v>181</v>
      </c>
      <c r="L3948" s="8" t="str" cm="1">
        <f t="array" ref="L3948">_xlfn.IFS(
 AND(K3948&gt;=89,K3948&lt;=92),"3개월",
 AND(K3948&gt;=58,K3948&lt;=62),"2개월",
 AND(K3948&gt;=28,K3948&lt;=32),"1개월",
 AND(K3948=0),"당월",
 TRUE,"그외"
)</f>
        <v>그외</v>
      </c>
    </row>
    <row r="3949" spans="1:12" x14ac:dyDescent="0.3">
      <c r="A3949" s="5">
        <v>46082</v>
      </c>
      <c r="B3949" s="6" t="s">
        <v>60</v>
      </c>
      <c r="C3949" s="6" t="s">
        <v>114</v>
      </c>
      <c r="D3949" s="5">
        <v>45931</v>
      </c>
      <c r="E3949" s="6" t="s">
        <v>15</v>
      </c>
      <c r="F3949" s="7">
        <v>229</v>
      </c>
      <c r="G3949" s="7">
        <v>146946.5065502183</v>
      </c>
      <c r="H3949" s="7">
        <v>33650750</v>
      </c>
      <c r="I3949" s="7">
        <v>5717084</v>
      </c>
      <c r="J3949" s="7">
        <v>0</v>
      </c>
      <c r="K3949">
        <f t="shared" si="61"/>
        <v>151</v>
      </c>
      <c r="L3949" s="8" t="str" cm="1">
        <f t="array" ref="L3949">_xlfn.IFS(
 AND(K3949&gt;=89,K3949&lt;=92),"3개월",
 AND(K3949&gt;=58,K3949&lt;=62),"2개월",
 AND(K3949&gt;=28,K3949&lt;=32),"1개월",
 AND(K3949=0),"당월",
 TRUE,"그외"
)</f>
        <v>그외</v>
      </c>
    </row>
    <row r="3950" spans="1:12" x14ac:dyDescent="0.3">
      <c r="A3950" s="5">
        <v>46082</v>
      </c>
      <c r="B3950" s="6" t="s">
        <v>60</v>
      </c>
      <c r="C3950" s="6" t="s">
        <v>114</v>
      </c>
      <c r="D3950" s="5">
        <v>45962</v>
      </c>
      <c r="E3950" s="6" t="s">
        <v>14</v>
      </c>
      <c r="F3950" s="7">
        <v>84</v>
      </c>
      <c r="G3950" s="7">
        <v>160414.28571428571</v>
      </c>
      <c r="H3950" s="7">
        <v>13474800</v>
      </c>
      <c r="I3950" s="7">
        <v>2242800</v>
      </c>
      <c r="J3950" s="7">
        <v>0</v>
      </c>
      <c r="K3950">
        <f t="shared" si="61"/>
        <v>120</v>
      </c>
      <c r="L3950" s="8" t="str" cm="1">
        <f t="array" ref="L3950">_xlfn.IFS(
 AND(K3950&gt;=89,K3950&lt;=92),"3개월",
 AND(K3950&gt;=58,K3950&lt;=62),"2개월",
 AND(K3950&gt;=28,K3950&lt;=32),"1개월",
 AND(K3950=0),"당월",
 TRUE,"그외"
)</f>
        <v>그외</v>
      </c>
    </row>
    <row r="3951" spans="1:12" x14ac:dyDescent="0.3">
      <c r="A3951" s="5">
        <v>46082</v>
      </c>
      <c r="B3951" s="6" t="s">
        <v>60</v>
      </c>
      <c r="C3951" s="6" t="s">
        <v>114</v>
      </c>
      <c r="D3951" s="5">
        <v>45962</v>
      </c>
      <c r="E3951" s="6" t="s">
        <v>15</v>
      </c>
      <c r="F3951" s="7">
        <v>394</v>
      </c>
      <c r="G3951" s="7">
        <v>156871.75634517771</v>
      </c>
      <c r="H3951" s="7">
        <v>61807472</v>
      </c>
      <c r="I3951" s="7">
        <v>9716113</v>
      </c>
      <c r="J3951" s="7">
        <v>0</v>
      </c>
      <c r="K3951">
        <f t="shared" si="61"/>
        <v>120</v>
      </c>
      <c r="L3951" s="8" t="str" cm="1">
        <f t="array" ref="L3951">_xlfn.IFS(
 AND(K3951&gt;=89,K3951&lt;=92),"3개월",
 AND(K3951&gt;=58,K3951&lt;=62),"2개월",
 AND(K3951&gt;=28,K3951&lt;=32),"1개월",
 AND(K3951=0),"당월",
 TRUE,"그외"
)</f>
        <v>그외</v>
      </c>
    </row>
    <row r="3952" spans="1:12" x14ac:dyDescent="0.3">
      <c r="A3952" s="5">
        <v>46082</v>
      </c>
      <c r="B3952" s="6" t="s">
        <v>60</v>
      </c>
      <c r="C3952" s="6" t="s">
        <v>114</v>
      </c>
      <c r="D3952" s="5">
        <v>45992</v>
      </c>
      <c r="E3952" s="6" t="s">
        <v>14</v>
      </c>
      <c r="F3952" s="7">
        <v>12</v>
      </c>
      <c r="G3952" s="7">
        <v>242200</v>
      </c>
      <c r="H3952" s="7">
        <v>2906400</v>
      </c>
      <c r="I3952" s="7">
        <v>380400</v>
      </c>
      <c r="J3952" s="7">
        <v>0</v>
      </c>
      <c r="K3952">
        <f t="shared" si="61"/>
        <v>90</v>
      </c>
      <c r="L3952" s="8" t="str" cm="1">
        <f t="array" ref="L3952">_xlfn.IFS(
 AND(K3952&gt;=89,K3952&lt;=92),"3개월",
 AND(K3952&gt;=58,K3952&lt;=62),"2개월",
 AND(K3952&gt;=28,K3952&lt;=32),"1개월",
 AND(K3952=0),"당월",
 TRUE,"그외"
)</f>
        <v>3개월</v>
      </c>
    </row>
    <row r="3953" spans="1:12" x14ac:dyDescent="0.3">
      <c r="A3953" s="5">
        <v>46082</v>
      </c>
      <c r="B3953" s="6" t="s">
        <v>60</v>
      </c>
      <c r="C3953" s="6" t="s">
        <v>114</v>
      </c>
      <c r="D3953" s="5">
        <v>45992</v>
      </c>
      <c r="E3953" s="6" t="s">
        <v>15</v>
      </c>
      <c r="F3953" s="7">
        <v>573</v>
      </c>
      <c r="G3953" s="7">
        <v>175007.86212914489</v>
      </c>
      <c r="H3953" s="7">
        <v>100279505</v>
      </c>
      <c r="I3953" s="7">
        <v>16405138</v>
      </c>
      <c r="J3953" s="7">
        <v>0</v>
      </c>
      <c r="K3953">
        <f t="shared" si="61"/>
        <v>90</v>
      </c>
      <c r="L3953" s="8" t="str" cm="1">
        <f t="array" ref="L3953">_xlfn.IFS(
 AND(K3953&gt;=89,K3953&lt;=92),"3개월",
 AND(K3953&gt;=58,K3953&lt;=62),"2개월",
 AND(K3953&gt;=28,K3953&lt;=32),"1개월",
 AND(K3953=0),"당월",
 TRUE,"그외"
)</f>
        <v>3개월</v>
      </c>
    </row>
    <row r="3954" spans="1:12" x14ac:dyDescent="0.3">
      <c r="A3954" s="5">
        <v>46082</v>
      </c>
      <c r="B3954" s="6" t="s">
        <v>60</v>
      </c>
      <c r="C3954" s="6" t="s">
        <v>114</v>
      </c>
      <c r="D3954" s="5">
        <v>46023</v>
      </c>
      <c r="E3954" s="6" t="s">
        <v>14</v>
      </c>
      <c r="F3954" s="7">
        <v>74</v>
      </c>
      <c r="G3954" s="7">
        <v>203900</v>
      </c>
      <c r="H3954" s="7">
        <v>15088600</v>
      </c>
      <c r="I3954" s="7">
        <v>2389600</v>
      </c>
      <c r="J3954" s="7">
        <v>0</v>
      </c>
      <c r="K3954">
        <f t="shared" si="61"/>
        <v>59</v>
      </c>
      <c r="L3954" s="8" t="str" cm="1">
        <f t="array" ref="L3954">_xlfn.IFS(
 AND(K3954&gt;=89,K3954&lt;=92),"3개월",
 AND(K3954&gt;=58,K3954&lt;=62),"2개월",
 AND(K3954&gt;=28,K3954&lt;=32),"1개월",
 AND(K3954=0),"당월",
 TRUE,"그외"
)</f>
        <v>2개월</v>
      </c>
    </row>
    <row r="3955" spans="1:12" x14ac:dyDescent="0.3">
      <c r="A3955" s="5">
        <v>46082</v>
      </c>
      <c r="B3955" s="6" t="s">
        <v>60</v>
      </c>
      <c r="C3955" s="6" t="s">
        <v>114</v>
      </c>
      <c r="D3955" s="5">
        <v>46023</v>
      </c>
      <c r="E3955" s="6" t="s">
        <v>15</v>
      </c>
      <c r="F3955" s="7">
        <v>1886</v>
      </c>
      <c r="G3955" s="7">
        <v>164695.70731707319</v>
      </c>
      <c r="H3955" s="7">
        <v>310616104</v>
      </c>
      <c r="I3955" s="7">
        <v>53386177</v>
      </c>
      <c r="J3955" s="7">
        <v>0</v>
      </c>
      <c r="K3955">
        <f t="shared" si="61"/>
        <v>59</v>
      </c>
      <c r="L3955" s="8" t="str" cm="1">
        <f t="array" ref="L3955">_xlfn.IFS(
 AND(K3955&gt;=89,K3955&lt;=92),"3개월",
 AND(K3955&gt;=58,K3955&lt;=62),"2개월",
 AND(K3955&gt;=28,K3955&lt;=32),"1개월",
 AND(K3955=0),"당월",
 TRUE,"그외"
)</f>
        <v>2개월</v>
      </c>
    </row>
    <row r="3956" spans="1:12" x14ac:dyDescent="0.3">
      <c r="A3956" s="5">
        <v>46082</v>
      </c>
      <c r="B3956" s="6" t="s">
        <v>60</v>
      </c>
      <c r="C3956" s="6" t="s">
        <v>114</v>
      </c>
      <c r="D3956" s="5">
        <v>46054</v>
      </c>
      <c r="E3956" s="6" t="s">
        <v>14</v>
      </c>
      <c r="F3956" s="7">
        <v>838</v>
      </c>
      <c r="G3956" s="7">
        <v>119003.5799522673</v>
      </c>
      <c r="H3956" s="7">
        <v>99725000</v>
      </c>
      <c r="I3956" s="7">
        <v>18436000</v>
      </c>
      <c r="J3956" s="7">
        <v>0</v>
      </c>
      <c r="K3956">
        <f t="shared" si="61"/>
        <v>28</v>
      </c>
      <c r="L3956" s="8" t="str" cm="1">
        <f t="array" ref="L3956">_xlfn.IFS(
 AND(K3956&gt;=89,K3956&lt;=92),"3개월",
 AND(K3956&gt;=58,K3956&lt;=62),"2개월",
 AND(K3956&gt;=28,K3956&lt;=32),"1개월",
 AND(K3956=0),"당월",
 TRUE,"그외"
)</f>
        <v>1개월</v>
      </c>
    </row>
    <row r="3957" spans="1:12" x14ac:dyDescent="0.3">
      <c r="A3957" s="5">
        <v>46082</v>
      </c>
      <c r="B3957" s="6" t="s">
        <v>60</v>
      </c>
      <c r="C3957" s="6" t="s">
        <v>114</v>
      </c>
      <c r="D3957" s="5">
        <v>46054</v>
      </c>
      <c r="E3957" s="6" t="s">
        <v>15</v>
      </c>
      <c r="F3957" s="7">
        <v>2687</v>
      </c>
      <c r="G3957" s="7">
        <v>150178.3416449572</v>
      </c>
      <c r="H3957" s="7">
        <v>403529204</v>
      </c>
      <c r="I3957" s="7">
        <v>57022773</v>
      </c>
      <c r="J3957" s="7">
        <v>0</v>
      </c>
      <c r="K3957">
        <f t="shared" si="61"/>
        <v>28</v>
      </c>
      <c r="L3957" s="8" t="str" cm="1">
        <f t="array" ref="L3957">_xlfn.IFS(
 AND(K3957&gt;=89,K3957&lt;=92),"3개월",
 AND(K3957&gt;=58,K3957&lt;=62),"2개월",
 AND(K3957&gt;=28,K3957&lt;=32),"1개월",
 AND(K3957=0),"당월",
 TRUE,"그외"
)</f>
        <v>1개월</v>
      </c>
    </row>
    <row r="3958" spans="1:12" x14ac:dyDescent="0.3">
      <c r="A3958" s="5">
        <v>46082</v>
      </c>
      <c r="B3958" s="6" t="s">
        <v>60</v>
      </c>
      <c r="C3958" s="6" t="s">
        <v>114</v>
      </c>
      <c r="D3958" s="5">
        <v>46082</v>
      </c>
      <c r="E3958" s="6" t="s">
        <v>14</v>
      </c>
      <c r="F3958" s="7">
        <v>2</v>
      </c>
      <c r="G3958" s="7">
        <v>112000</v>
      </c>
      <c r="H3958" s="7">
        <v>224000</v>
      </c>
      <c r="I3958" s="7">
        <v>44000</v>
      </c>
      <c r="J3958" s="7">
        <v>0</v>
      </c>
      <c r="K3958">
        <f t="shared" si="61"/>
        <v>0</v>
      </c>
      <c r="L3958" s="8" t="str" cm="1">
        <f t="array" ref="L3958">_xlfn.IFS(
 AND(K3958&gt;=89,K3958&lt;=92),"3개월",
 AND(K3958&gt;=58,K3958&lt;=62),"2개월",
 AND(K3958&gt;=28,K3958&lt;=32),"1개월",
 AND(K3958=0),"당월",
 TRUE,"그외"
)</f>
        <v>당월</v>
      </c>
    </row>
    <row r="3959" spans="1:12" x14ac:dyDescent="0.3">
      <c r="A3959" s="5">
        <v>46082</v>
      </c>
      <c r="B3959" s="6" t="s">
        <v>60</v>
      </c>
      <c r="C3959" s="6" t="s">
        <v>114</v>
      </c>
      <c r="D3959" s="5">
        <v>46082</v>
      </c>
      <c r="E3959" s="6" t="s">
        <v>15</v>
      </c>
      <c r="F3959" s="7">
        <v>639</v>
      </c>
      <c r="G3959" s="7">
        <v>202492.22065727701</v>
      </c>
      <c r="H3959" s="7">
        <v>129392529</v>
      </c>
      <c r="I3959" s="7">
        <v>15717135</v>
      </c>
      <c r="J3959" s="7">
        <v>0</v>
      </c>
      <c r="K3959">
        <f t="shared" si="61"/>
        <v>0</v>
      </c>
      <c r="L3959" s="8" t="str" cm="1">
        <f t="array" ref="L3959">_xlfn.IFS(
 AND(K3959&gt;=89,K3959&lt;=92),"3개월",
 AND(K3959&gt;=58,K3959&lt;=62),"2개월",
 AND(K3959&gt;=28,K3959&lt;=32),"1개월",
 AND(K3959=0),"당월",
 TRUE,"그외"
)</f>
        <v>당월</v>
      </c>
    </row>
    <row r="3960" spans="1:12" x14ac:dyDescent="0.3">
      <c r="A3960" s="5">
        <v>46082</v>
      </c>
      <c r="B3960" s="6" t="s">
        <v>60</v>
      </c>
      <c r="C3960" s="6" t="s">
        <v>72</v>
      </c>
      <c r="D3960" s="5">
        <v>45839</v>
      </c>
      <c r="E3960" s="6" t="s">
        <v>15</v>
      </c>
      <c r="F3960" s="7">
        <v>40</v>
      </c>
      <c r="G3960" s="7">
        <v>163625</v>
      </c>
      <c r="H3960" s="7">
        <v>6545000</v>
      </c>
      <c r="I3960" s="7">
        <v>496000</v>
      </c>
      <c r="J3960" s="7">
        <v>0</v>
      </c>
      <c r="K3960">
        <f t="shared" si="61"/>
        <v>243</v>
      </c>
      <c r="L3960" s="8" t="str" cm="1">
        <f t="array" ref="L3960">_xlfn.IFS(
 AND(K3960&gt;=89,K3960&lt;=92),"3개월",
 AND(K3960&gt;=58,K3960&lt;=62),"2개월",
 AND(K3960&gt;=28,K3960&lt;=32),"1개월",
 AND(K3960=0),"당월",
 TRUE,"그외"
)</f>
        <v>그외</v>
      </c>
    </row>
    <row r="3961" spans="1:12" x14ac:dyDescent="0.3">
      <c r="A3961" s="5">
        <v>46082</v>
      </c>
      <c r="B3961" s="6" t="s">
        <v>60</v>
      </c>
      <c r="C3961" s="6" t="s">
        <v>72</v>
      </c>
      <c r="D3961" s="5">
        <v>45870</v>
      </c>
      <c r="E3961" s="6" t="s">
        <v>15</v>
      </c>
      <c r="F3961" s="7">
        <v>170</v>
      </c>
      <c r="G3961" s="7">
        <v>174434.4</v>
      </c>
      <c r="H3961" s="7">
        <v>29653848</v>
      </c>
      <c r="I3961" s="7">
        <v>3458824</v>
      </c>
      <c r="J3961" s="7">
        <v>0</v>
      </c>
      <c r="K3961">
        <f t="shared" si="61"/>
        <v>212</v>
      </c>
      <c r="L3961" s="8" t="str" cm="1">
        <f t="array" ref="L3961">_xlfn.IFS(
 AND(K3961&gt;=89,K3961&lt;=92),"3개월",
 AND(K3961&gt;=58,K3961&lt;=62),"2개월",
 AND(K3961&gt;=28,K3961&lt;=32),"1개월",
 AND(K3961=0),"당월",
 TRUE,"그외"
)</f>
        <v>그외</v>
      </c>
    </row>
    <row r="3962" spans="1:12" x14ac:dyDescent="0.3">
      <c r="A3962" s="5">
        <v>46082</v>
      </c>
      <c r="B3962" s="6" t="s">
        <v>60</v>
      </c>
      <c r="C3962" s="6" t="s">
        <v>72</v>
      </c>
      <c r="D3962" s="5">
        <v>45901</v>
      </c>
      <c r="E3962" s="6" t="s">
        <v>15</v>
      </c>
      <c r="F3962" s="7">
        <v>237</v>
      </c>
      <c r="G3962" s="7">
        <v>169686.1181434599</v>
      </c>
      <c r="H3962" s="7">
        <v>40215610</v>
      </c>
      <c r="I3962" s="7">
        <v>4929600</v>
      </c>
      <c r="J3962" s="7">
        <v>0</v>
      </c>
      <c r="K3962">
        <f t="shared" si="61"/>
        <v>181</v>
      </c>
      <c r="L3962" s="8" t="str" cm="1">
        <f t="array" ref="L3962">_xlfn.IFS(
 AND(K3962&gt;=89,K3962&lt;=92),"3개월",
 AND(K3962&gt;=58,K3962&lt;=62),"2개월",
 AND(K3962&gt;=28,K3962&lt;=32),"1개월",
 AND(K3962=0),"당월",
 TRUE,"그외"
)</f>
        <v>그외</v>
      </c>
    </row>
    <row r="3963" spans="1:12" x14ac:dyDescent="0.3">
      <c r="A3963" s="5">
        <v>46082</v>
      </c>
      <c r="B3963" s="6" t="s">
        <v>60</v>
      </c>
      <c r="C3963" s="6" t="s">
        <v>72</v>
      </c>
      <c r="D3963" s="5">
        <v>45931</v>
      </c>
      <c r="E3963" s="6" t="s">
        <v>14</v>
      </c>
      <c r="F3963" s="7">
        <v>40</v>
      </c>
      <c r="G3963" s="7">
        <v>172900</v>
      </c>
      <c r="H3963" s="7">
        <v>6916000</v>
      </c>
      <c r="I3963" s="7">
        <v>836000</v>
      </c>
      <c r="J3963" s="7">
        <v>0</v>
      </c>
      <c r="K3963">
        <f t="shared" si="61"/>
        <v>151</v>
      </c>
      <c r="L3963" s="8" t="str" cm="1">
        <f t="array" ref="L3963">_xlfn.IFS(
 AND(K3963&gt;=89,K3963&lt;=92),"3개월",
 AND(K3963&gt;=58,K3963&lt;=62),"2개월",
 AND(K3963&gt;=28,K3963&lt;=32),"1개월",
 AND(K3963=0),"당월",
 TRUE,"그외"
)</f>
        <v>그외</v>
      </c>
    </row>
    <row r="3964" spans="1:12" x14ac:dyDescent="0.3">
      <c r="A3964" s="5">
        <v>46082</v>
      </c>
      <c r="B3964" s="6" t="s">
        <v>60</v>
      </c>
      <c r="C3964" s="6" t="s">
        <v>72</v>
      </c>
      <c r="D3964" s="5">
        <v>45931</v>
      </c>
      <c r="E3964" s="6" t="s">
        <v>15</v>
      </c>
      <c r="F3964" s="7">
        <v>242</v>
      </c>
      <c r="G3964" s="7">
        <v>180771.09504132229</v>
      </c>
      <c r="H3964" s="7">
        <v>43746605</v>
      </c>
      <c r="I3964" s="7">
        <v>4998662</v>
      </c>
      <c r="J3964" s="7">
        <v>0</v>
      </c>
      <c r="K3964">
        <f t="shared" si="61"/>
        <v>151</v>
      </c>
      <c r="L3964" s="8" t="str" cm="1">
        <f t="array" ref="L3964">_xlfn.IFS(
 AND(K3964&gt;=89,K3964&lt;=92),"3개월",
 AND(K3964&gt;=58,K3964&lt;=62),"2개월",
 AND(K3964&gt;=28,K3964&lt;=32),"1개월",
 AND(K3964=0),"당월",
 TRUE,"그외"
)</f>
        <v>그외</v>
      </c>
    </row>
    <row r="3965" spans="1:12" x14ac:dyDescent="0.3">
      <c r="A3965" s="5">
        <v>46082</v>
      </c>
      <c r="B3965" s="6" t="s">
        <v>60</v>
      </c>
      <c r="C3965" s="6" t="s">
        <v>72</v>
      </c>
      <c r="D3965" s="5">
        <v>45962</v>
      </c>
      <c r="E3965" s="6" t="s">
        <v>14</v>
      </c>
      <c r="F3965" s="7">
        <v>42</v>
      </c>
      <c r="G3965" s="7">
        <v>157766.66666666669</v>
      </c>
      <c r="H3965" s="7">
        <v>6626200</v>
      </c>
      <c r="I3965" s="7">
        <v>886200</v>
      </c>
      <c r="J3965" s="7">
        <v>0</v>
      </c>
      <c r="K3965">
        <f t="shared" si="61"/>
        <v>120</v>
      </c>
      <c r="L3965" s="8" t="str" cm="1">
        <f t="array" ref="L3965">_xlfn.IFS(
 AND(K3965&gt;=89,K3965&lt;=92),"3개월",
 AND(K3965&gt;=58,K3965&lt;=62),"2개월",
 AND(K3965&gt;=28,K3965&lt;=32),"1개월",
 AND(K3965=0),"당월",
 TRUE,"그외"
)</f>
        <v>그외</v>
      </c>
    </row>
    <row r="3966" spans="1:12" x14ac:dyDescent="0.3">
      <c r="A3966" s="5">
        <v>46082</v>
      </c>
      <c r="B3966" s="6" t="s">
        <v>60</v>
      </c>
      <c r="C3966" s="6" t="s">
        <v>72</v>
      </c>
      <c r="D3966" s="5">
        <v>45962</v>
      </c>
      <c r="E3966" s="6" t="s">
        <v>15</v>
      </c>
      <c r="F3966" s="7">
        <v>402</v>
      </c>
      <c r="G3966" s="7">
        <v>190837.07462686571</v>
      </c>
      <c r="H3966" s="7">
        <v>76716504</v>
      </c>
      <c r="I3966" s="7">
        <v>8456140</v>
      </c>
      <c r="J3966" s="7">
        <v>0</v>
      </c>
      <c r="K3966">
        <f t="shared" si="61"/>
        <v>120</v>
      </c>
      <c r="L3966" s="8" t="str" cm="1">
        <f t="array" ref="L3966">_xlfn.IFS(
 AND(K3966&gt;=89,K3966&lt;=92),"3개월",
 AND(K3966&gt;=58,K3966&lt;=62),"2개월",
 AND(K3966&gt;=28,K3966&lt;=32),"1개월",
 AND(K3966=0),"당월",
 TRUE,"그외"
)</f>
        <v>그외</v>
      </c>
    </row>
    <row r="3967" spans="1:12" x14ac:dyDescent="0.3">
      <c r="A3967" s="5">
        <v>46082</v>
      </c>
      <c r="B3967" s="6" t="s">
        <v>60</v>
      </c>
      <c r="C3967" s="6" t="s">
        <v>72</v>
      </c>
      <c r="D3967" s="5">
        <v>45992</v>
      </c>
      <c r="E3967" s="6" t="s">
        <v>14</v>
      </c>
      <c r="F3967" s="7">
        <v>32</v>
      </c>
      <c r="G3967" s="7">
        <v>178000</v>
      </c>
      <c r="H3967" s="7">
        <v>5696000</v>
      </c>
      <c r="I3967" s="7">
        <v>784000</v>
      </c>
      <c r="J3967" s="7">
        <v>0</v>
      </c>
      <c r="K3967">
        <f t="shared" si="61"/>
        <v>90</v>
      </c>
      <c r="L3967" s="8" t="str" cm="1">
        <f t="array" ref="L3967">_xlfn.IFS(
 AND(K3967&gt;=89,K3967&lt;=92),"3개월",
 AND(K3967&gt;=58,K3967&lt;=62),"2개월",
 AND(K3967&gt;=28,K3967&lt;=32),"1개월",
 AND(K3967=0),"당월",
 TRUE,"그외"
)</f>
        <v>3개월</v>
      </c>
    </row>
    <row r="3968" spans="1:12" x14ac:dyDescent="0.3">
      <c r="A3968" s="5">
        <v>46082</v>
      </c>
      <c r="B3968" s="6" t="s">
        <v>60</v>
      </c>
      <c r="C3968" s="6" t="s">
        <v>72</v>
      </c>
      <c r="D3968" s="5">
        <v>45992</v>
      </c>
      <c r="E3968" s="6" t="s">
        <v>15</v>
      </c>
      <c r="F3968" s="7">
        <v>763</v>
      </c>
      <c r="G3968" s="7">
        <v>193587.25950196589</v>
      </c>
      <c r="H3968" s="7">
        <v>147707079</v>
      </c>
      <c r="I3968" s="7">
        <v>18449458</v>
      </c>
      <c r="J3968" s="7">
        <v>0</v>
      </c>
      <c r="K3968">
        <f t="shared" si="61"/>
        <v>90</v>
      </c>
      <c r="L3968" s="8" t="str" cm="1">
        <f t="array" ref="L3968">_xlfn.IFS(
 AND(K3968&gt;=89,K3968&lt;=92),"3개월",
 AND(K3968&gt;=58,K3968&lt;=62),"2개월",
 AND(K3968&gt;=28,K3968&lt;=32),"1개월",
 AND(K3968=0),"당월",
 TRUE,"그외"
)</f>
        <v>3개월</v>
      </c>
    </row>
    <row r="3969" spans="1:12" x14ac:dyDescent="0.3">
      <c r="A3969" s="5">
        <v>46082</v>
      </c>
      <c r="B3969" s="6" t="s">
        <v>60</v>
      </c>
      <c r="C3969" s="6" t="s">
        <v>72</v>
      </c>
      <c r="D3969" s="5">
        <v>46023</v>
      </c>
      <c r="E3969" s="6" t="s">
        <v>14</v>
      </c>
      <c r="F3969" s="7">
        <v>709</v>
      </c>
      <c r="G3969" s="7">
        <v>187526.09308885751</v>
      </c>
      <c r="H3969" s="7">
        <v>132956000</v>
      </c>
      <c r="I3969" s="7">
        <v>17650000</v>
      </c>
      <c r="J3969" s="7">
        <v>0</v>
      </c>
      <c r="K3969">
        <f t="shared" si="61"/>
        <v>59</v>
      </c>
      <c r="L3969" s="8" t="str" cm="1">
        <f t="array" ref="L3969">_xlfn.IFS(
 AND(K3969&gt;=89,K3969&lt;=92),"3개월",
 AND(K3969&gt;=58,K3969&lt;=62),"2개월",
 AND(K3969&gt;=28,K3969&lt;=32),"1개월",
 AND(K3969=0),"당월",
 TRUE,"그외"
)</f>
        <v>2개월</v>
      </c>
    </row>
    <row r="3970" spans="1:12" x14ac:dyDescent="0.3">
      <c r="A3970" s="5">
        <v>46082</v>
      </c>
      <c r="B3970" s="6" t="s">
        <v>60</v>
      </c>
      <c r="C3970" s="6" t="s">
        <v>72</v>
      </c>
      <c r="D3970" s="5">
        <v>46023</v>
      </c>
      <c r="E3970" s="6" t="s">
        <v>15</v>
      </c>
      <c r="F3970" s="7">
        <v>2719</v>
      </c>
      <c r="G3970" s="7">
        <v>174500.0816476646</v>
      </c>
      <c r="H3970" s="7">
        <v>474465722</v>
      </c>
      <c r="I3970" s="7">
        <v>67422505</v>
      </c>
      <c r="J3970" s="7">
        <v>0</v>
      </c>
      <c r="K3970">
        <f t="shared" si="61"/>
        <v>59</v>
      </c>
      <c r="L3970" s="8" t="str" cm="1">
        <f t="array" ref="L3970">_xlfn.IFS(
 AND(K3970&gt;=89,K3970&lt;=92),"3개월",
 AND(K3970&gt;=58,K3970&lt;=62),"2개월",
 AND(K3970&gt;=28,K3970&lt;=32),"1개월",
 AND(K3970=0),"당월",
 TRUE,"그외"
)</f>
        <v>2개월</v>
      </c>
    </row>
    <row r="3971" spans="1:12" x14ac:dyDescent="0.3">
      <c r="A3971" s="5">
        <v>46082</v>
      </c>
      <c r="B3971" s="6" t="s">
        <v>60</v>
      </c>
      <c r="C3971" s="6" t="s">
        <v>72</v>
      </c>
      <c r="D3971" s="5">
        <v>46054</v>
      </c>
      <c r="E3971" s="6" t="s">
        <v>14</v>
      </c>
      <c r="F3971" s="7">
        <v>2540</v>
      </c>
      <c r="G3971" s="7">
        <v>143855.82677165349</v>
      </c>
      <c r="H3971" s="7">
        <v>365393800</v>
      </c>
      <c r="I3971" s="7">
        <v>43838800</v>
      </c>
      <c r="J3971" s="7">
        <v>0</v>
      </c>
      <c r="K3971">
        <f t="shared" si="61"/>
        <v>28</v>
      </c>
      <c r="L3971" s="8" t="str" cm="1">
        <f t="array" ref="L3971">_xlfn.IFS(
 AND(K3971&gt;=89,K3971&lt;=92),"3개월",
 AND(K3971&gt;=58,K3971&lt;=62),"2개월",
 AND(K3971&gt;=28,K3971&lt;=32),"1개월",
 AND(K3971=0),"당월",
 TRUE,"그외"
)</f>
        <v>1개월</v>
      </c>
    </row>
    <row r="3972" spans="1:12" x14ac:dyDescent="0.3">
      <c r="A3972" s="5">
        <v>46082</v>
      </c>
      <c r="B3972" s="6" t="s">
        <v>60</v>
      </c>
      <c r="C3972" s="6" t="s">
        <v>72</v>
      </c>
      <c r="D3972" s="5">
        <v>46054</v>
      </c>
      <c r="E3972" s="6" t="s">
        <v>15</v>
      </c>
      <c r="F3972" s="7">
        <v>2610</v>
      </c>
      <c r="G3972" s="7">
        <v>180805.63946360149</v>
      </c>
      <c r="H3972" s="7">
        <v>471902719</v>
      </c>
      <c r="I3972" s="7">
        <v>45410223</v>
      </c>
      <c r="J3972" s="7">
        <v>0</v>
      </c>
      <c r="K3972">
        <f t="shared" si="61"/>
        <v>28</v>
      </c>
      <c r="L3972" s="8" t="str" cm="1">
        <f t="array" ref="L3972">_xlfn.IFS(
 AND(K3972&gt;=89,K3972&lt;=92),"3개월",
 AND(K3972&gt;=58,K3972&lt;=62),"2개월",
 AND(K3972&gt;=28,K3972&lt;=32),"1개월",
 AND(K3972=0),"당월",
 TRUE,"그외"
)</f>
        <v>1개월</v>
      </c>
    </row>
    <row r="3973" spans="1:12" x14ac:dyDescent="0.3">
      <c r="A3973" s="5">
        <v>46082</v>
      </c>
      <c r="B3973" s="6" t="s">
        <v>60</v>
      </c>
      <c r="C3973" s="6" t="s">
        <v>72</v>
      </c>
      <c r="D3973" s="5">
        <v>46082</v>
      </c>
      <c r="E3973" s="6" t="s">
        <v>14</v>
      </c>
      <c r="F3973" s="7">
        <v>296</v>
      </c>
      <c r="G3973" s="7">
        <v>166630.40540540541</v>
      </c>
      <c r="H3973" s="7">
        <v>49322600</v>
      </c>
      <c r="I3973" s="7">
        <v>6243600</v>
      </c>
      <c r="J3973" s="7">
        <v>0</v>
      </c>
      <c r="K3973">
        <f t="shared" si="61"/>
        <v>0</v>
      </c>
      <c r="L3973" s="8" t="str" cm="1">
        <f t="array" ref="L3973">_xlfn.IFS(
 AND(K3973&gt;=89,K3973&lt;=92),"3개월",
 AND(K3973&gt;=58,K3973&lt;=62),"2개월",
 AND(K3973&gt;=28,K3973&lt;=32),"1개월",
 AND(K3973=0),"당월",
 TRUE,"그외"
)</f>
        <v>당월</v>
      </c>
    </row>
    <row r="3974" spans="1:12" x14ac:dyDescent="0.3">
      <c r="A3974" s="5">
        <v>46082</v>
      </c>
      <c r="B3974" s="6" t="s">
        <v>60</v>
      </c>
      <c r="C3974" s="6" t="s">
        <v>72</v>
      </c>
      <c r="D3974" s="5">
        <v>46082</v>
      </c>
      <c r="E3974" s="6" t="s">
        <v>15</v>
      </c>
      <c r="F3974" s="7">
        <v>699</v>
      </c>
      <c r="G3974" s="7">
        <v>248294.47210300429</v>
      </c>
      <c r="H3974" s="7">
        <v>173557836</v>
      </c>
      <c r="I3974" s="7">
        <v>14565981</v>
      </c>
      <c r="J3974" s="7">
        <v>0</v>
      </c>
      <c r="K3974">
        <f t="shared" si="61"/>
        <v>0</v>
      </c>
      <c r="L3974" s="8" t="str" cm="1">
        <f t="array" ref="L3974">_xlfn.IFS(
 AND(K3974&gt;=89,K3974&lt;=92),"3개월",
 AND(K3974&gt;=58,K3974&lt;=62),"2개월",
 AND(K3974&gt;=28,K3974&lt;=32),"1개월",
 AND(K3974=0),"당월",
 TRUE,"그외"
)</f>
        <v>당월</v>
      </c>
    </row>
    <row r="3975" spans="1:12" x14ac:dyDescent="0.3">
      <c r="A3975" s="5">
        <v>46082</v>
      </c>
      <c r="B3975" s="6" t="s">
        <v>60</v>
      </c>
      <c r="C3975" s="6" t="s">
        <v>115</v>
      </c>
      <c r="D3975" s="5">
        <v>45870</v>
      </c>
      <c r="E3975" s="6" t="s">
        <v>15</v>
      </c>
      <c r="F3975" s="7">
        <v>5</v>
      </c>
      <c r="G3975" s="7">
        <v>192000</v>
      </c>
      <c r="H3975" s="7">
        <v>960000</v>
      </c>
      <c r="I3975" s="7">
        <v>130000</v>
      </c>
      <c r="J3975" s="7">
        <v>0</v>
      </c>
      <c r="K3975">
        <f t="shared" si="61"/>
        <v>212</v>
      </c>
      <c r="L3975" s="8" t="str" cm="1">
        <f t="array" ref="L3975">_xlfn.IFS(
 AND(K3975&gt;=89,K3975&lt;=92),"3개월",
 AND(K3975&gt;=58,K3975&lt;=62),"2개월",
 AND(K3975&gt;=28,K3975&lt;=32),"1개월",
 AND(K3975=0),"당월",
 TRUE,"그외"
)</f>
        <v>그외</v>
      </c>
    </row>
    <row r="3976" spans="1:12" x14ac:dyDescent="0.3">
      <c r="A3976" s="5">
        <v>46082</v>
      </c>
      <c r="B3976" s="6" t="s">
        <v>60</v>
      </c>
      <c r="C3976" s="6" t="s">
        <v>115</v>
      </c>
      <c r="D3976" s="5">
        <v>45901</v>
      </c>
      <c r="E3976" s="6" t="s">
        <v>15</v>
      </c>
      <c r="F3976" s="7">
        <v>55</v>
      </c>
      <c r="G3976" s="7">
        <v>242069.6727272727</v>
      </c>
      <c r="H3976" s="7">
        <v>13313832</v>
      </c>
      <c r="I3976" s="7">
        <v>1446500</v>
      </c>
      <c r="J3976" s="7">
        <v>0</v>
      </c>
      <c r="K3976">
        <f t="shared" si="61"/>
        <v>181</v>
      </c>
      <c r="L3976" s="8" t="str" cm="1">
        <f t="array" ref="L3976">_xlfn.IFS(
 AND(K3976&gt;=89,K3976&lt;=92),"3개월",
 AND(K3976&gt;=58,K3976&lt;=62),"2개월",
 AND(K3976&gt;=28,K3976&lt;=32),"1개월",
 AND(K3976=0),"당월",
 TRUE,"그외"
)</f>
        <v>그외</v>
      </c>
    </row>
    <row r="3977" spans="1:12" x14ac:dyDescent="0.3">
      <c r="A3977" s="5">
        <v>46082</v>
      </c>
      <c r="B3977" s="6" t="s">
        <v>60</v>
      </c>
      <c r="C3977" s="6" t="s">
        <v>115</v>
      </c>
      <c r="D3977" s="5">
        <v>45931</v>
      </c>
      <c r="E3977" s="6" t="s">
        <v>14</v>
      </c>
      <c r="F3977" s="7">
        <v>12</v>
      </c>
      <c r="G3977" s="7">
        <v>269733.33333333331</v>
      </c>
      <c r="H3977" s="7">
        <v>3236800</v>
      </c>
      <c r="I3977" s="7">
        <v>316800</v>
      </c>
      <c r="J3977" s="7">
        <v>0</v>
      </c>
      <c r="K3977">
        <f t="shared" si="61"/>
        <v>151</v>
      </c>
      <c r="L3977" s="8" t="str" cm="1">
        <f t="array" ref="L3977">_xlfn.IFS(
 AND(K3977&gt;=89,K3977&lt;=92),"3개월",
 AND(K3977&gt;=58,K3977&lt;=62),"2개월",
 AND(K3977&gt;=28,K3977&lt;=32),"1개월",
 AND(K3977=0),"당월",
 TRUE,"그외"
)</f>
        <v>그외</v>
      </c>
    </row>
    <row r="3978" spans="1:12" x14ac:dyDescent="0.3">
      <c r="A3978" s="5">
        <v>46082</v>
      </c>
      <c r="B3978" s="6" t="s">
        <v>60</v>
      </c>
      <c r="C3978" s="6" t="s">
        <v>115</v>
      </c>
      <c r="D3978" s="5">
        <v>45931</v>
      </c>
      <c r="E3978" s="6" t="s">
        <v>15</v>
      </c>
      <c r="F3978" s="7">
        <v>166</v>
      </c>
      <c r="G3978" s="7">
        <v>202757.44578313251</v>
      </c>
      <c r="H3978" s="7">
        <v>33657736</v>
      </c>
      <c r="I3978" s="7">
        <v>4624044</v>
      </c>
      <c r="J3978" s="7">
        <v>0</v>
      </c>
      <c r="K3978">
        <f t="shared" ref="K3978:K4041" si="62">A3978-D3978</f>
        <v>151</v>
      </c>
      <c r="L3978" s="8" t="str" cm="1">
        <f t="array" ref="L3978">_xlfn.IFS(
 AND(K3978&gt;=89,K3978&lt;=92),"3개월",
 AND(K3978&gt;=58,K3978&lt;=62),"2개월",
 AND(K3978&gt;=28,K3978&lt;=32),"1개월",
 AND(K3978=0),"당월",
 TRUE,"그외"
)</f>
        <v>그외</v>
      </c>
    </row>
    <row r="3979" spans="1:12" x14ac:dyDescent="0.3">
      <c r="A3979" s="5">
        <v>46082</v>
      </c>
      <c r="B3979" s="6" t="s">
        <v>60</v>
      </c>
      <c r="C3979" s="6" t="s">
        <v>115</v>
      </c>
      <c r="D3979" s="5">
        <v>45962</v>
      </c>
      <c r="E3979" s="6" t="s">
        <v>14</v>
      </c>
      <c r="F3979" s="7">
        <v>148</v>
      </c>
      <c r="G3979" s="7">
        <v>158781.08108108109</v>
      </c>
      <c r="H3979" s="7">
        <v>23499600</v>
      </c>
      <c r="I3979" s="7">
        <v>3951600</v>
      </c>
      <c r="J3979" s="7">
        <v>0</v>
      </c>
      <c r="K3979">
        <f t="shared" si="62"/>
        <v>120</v>
      </c>
      <c r="L3979" s="8" t="str" cm="1">
        <f t="array" ref="L3979">_xlfn.IFS(
 AND(K3979&gt;=89,K3979&lt;=92),"3개월",
 AND(K3979&gt;=58,K3979&lt;=62),"2개월",
 AND(K3979&gt;=28,K3979&lt;=32),"1개월",
 AND(K3979=0),"당월",
 TRUE,"그외"
)</f>
        <v>그외</v>
      </c>
    </row>
    <row r="3980" spans="1:12" x14ac:dyDescent="0.3">
      <c r="A3980" s="5">
        <v>46082</v>
      </c>
      <c r="B3980" s="6" t="s">
        <v>60</v>
      </c>
      <c r="C3980" s="6" t="s">
        <v>115</v>
      </c>
      <c r="D3980" s="5">
        <v>45962</v>
      </c>
      <c r="E3980" s="6" t="s">
        <v>15</v>
      </c>
      <c r="F3980" s="7">
        <v>189</v>
      </c>
      <c r="G3980" s="7">
        <v>200895.78835978839</v>
      </c>
      <c r="H3980" s="7">
        <v>37969304</v>
      </c>
      <c r="I3980" s="7">
        <v>5264828</v>
      </c>
      <c r="J3980" s="7">
        <v>0</v>
      </c>
      <c r="K3980">
        <f t="shared" si="62"/>
        <v>120</v>
      </c>
      <c r="L3980" s="8" t="str" cm="1">
        <f t="array" ref="L3980">_xlfn.IFS(
 AND(K3980&gt;=89,K3980&lt;=92),"3개월",
 AND(K3980&gt;=58,K3980&lt;=62),"2개월",
 AND(K3980&gt;=28,K3980&lt;=32),"1개월",
 AND(K3980=0),"당월",
 TRUE,"그외"
)</f>
        <v>그외</v>
      </c>
    </row>
    <row r="3981" spans="1:12" x14ac:dyDescent="0.3">
      <c r="A3981" s="5">
        <v>46082</v>
      </c>
      <c r="B3981" s="6" t="s">
        <v>60</v>
      </c>
      <c r="C3981" s="6" t="s">
        <v>115</v>
      </c>
      <c r="D3981" s="5">
        <v>45992</v>
      </c>
      <c r="E3981" s="6" t="s">
        <v>14</v>
      </c>
      <c r="F3981" s="7">
        <v>126</v>
      </c>
      <c r="G3981" s="7">
        <v>188874.60317460319</v>
      </c>
      <c r="H3981" s="7">
        <v>23798200</v>
      </c>
      <c r="I3981" s="7">
        <v>3994200</v>
      </c>
      <c r="J3981" s="7">
        <v>0</v>
      </c>
      <c r="K3981">
        <f t="shared" si="62"/>
        <v>90</v>
      </c>
      <c r="L3981" s="8" t="str" cm="1">
        <f t="array" ref="L3981">_xlfn.IFS(
 AND(K3981&gt;=89,K3981&lt;=92),"3개월",
 AND(K3981&gt;=58,K3981&lt;=62),"2개월",
 AND(K3981&gt;=28,K3981&lt;=32),"1개월",
 AND(K3981=0),"당월",
 TRUE,"그외"
)</f>
        <v>3개월</v>
      </c>
    </row>
    <row r="3982" spans="1:12" x14ac:dyDescent="0.3">
      <c r="A3982" s="5">
        <v>46082</v>
      </c>
      <c r="B3982" s="6" t="s">
        <v>60</v>
      </c>
      <c r="C3982" s="6" t="s">
        <v>115</v>
      </c>
      <c r="D3982" s="5">
        <v>45992</v>
      </c>
      <c r="E3982" s="6" t="s">
        <v>15</v>
      </c>
      <c r="F3982" s="7">
        <v>638</v>
      </c>
      <c r="G3982" s="7">
        <v>186749.8667711599</v>
      </c>
      <c r="H3982" s="7">
        <v>119146415</v>
      </c>
      <c r="I3982" s="7">
        <v>20814052</v>
      </c>
      <c r="J3982" s="7">
        <v>0</v>
      </c>
      <c r="K3982">
        <f t="shared" si="62"/>
        <v>90</v>
      </c>
      <c r="L3982" s="8" t="str" cm="1">
        <f t="array" ref="L3982">_xlfn.IFS(
 AND(K3982&gt;=89,K3982&lt;=92),"3개월",
 AND(K3982&gt;=58,K3982&lt;=62),"2개월",
 AND(K3982&gt;=28,K3982&lt;=32),"1개월",
 AND(K3982=0),"당월",
 TRUE,"그외"
)</f>
        <v>3개월</v>
      </c>
    </row>
    <row r="3983" spans="1:12" x14ac:dyDescent="0.3">
      <c r="A3983" s="5">
        <v>46082</v>
      </c>
      <c r="B3983" s="6" t="s">
        <v>60</v>
      </c>
      <c r="C3983" s="6" t="s">
        <v>115</v>
      </c>
      <c r="D3983" s="5">
        <v>46023</v>
      </c>
      <c r="E3983" s="6" t="s">
        <v>14</v>
      </c>
      <c r="F3983" s="7">
        <v>558</v>
      </c>
      <c r="G3983" s="7">
        <v>167561.64874551969</v>
      </c>
      <c r="H3983" s="7">
        <v>93499400</v>
      </c>
      <c r="I3983" s="7">
        <v>18000400</v>
      </c>
      <c r="J3983" s="7">
        <v>0</v>
      </c>
      <c r="K3983">
        <f t="shared" si="62"/>
        <v>59</v>
      </c>
      <c r="L3983" s="8" t="str" cm="1">
        <f t="array" ref="L3983">_xlfn.IFS(
 AND(K3983&gt;=89,K3983&lt;=92),"3개월",
 AND(K3983&gt;=58,K3983&lt;=62),"2개월",
 AND(K3983&gt;=28,K3983&lt;=32),"1개월",
 AND(K3983=0),"당월",
 TRUE,"그외"
)</f>
        <v>2개월</v>
      </c>
    </row>
    <row r="3984" spans="1:12" x14ac:dyDescent="0.3">
      <c r="A3984" s="5">
        <v>46082</v>
      </c>
      <c r="B3984" s="6" t="s">
        <v>60</v>
      </c>
      <c r="C3984" s="6" t="s">
        <v>115</v>
      </c>
      <c r="D3984" s="5">
        <v>46023</v>
      </c>
      <c r="E3984" s="6" t="s">
        <v>15</v>
      </c>
      <c r="F3984" s="7">
        <v>1726</v>
      </c>
      <c r="G3984" s="7">
        <v>178999.51216685979</v>
      </c>
      <c r="H3984" s="7">
        <v>308953158</v>
      </c>
      <c r="I3984" s="7">
        <v>60711743</v>
      </c>
      <c r="J3984" s="7">
        <v>0</v>
      </c>
      <c r="K3984">
        <f t="shared" si="62"/>
        <v>59</v>
      </c>
      <c r="L3984" s="8" t="str" cm="1">
        <f t="array" ref="L3984">_xlfn.IFS(
 AND(K3984&gt;=89,K3984&lt;=92),"3개월",
 AND(K3984&gt;=58,K3984&lt;=62),"2개월",
 AND(K3984&gt;=28,K3984&lt;=32),"1개월",
 AND(K3984=0),"당월",
 TRUE,"그외"
)</f>
        <v>2개월</v>
      </c>
    </row>
    <row r="3985" spans="1:12" x14ac:dyDescent="0.3">
      <c r="A3985" s="5">
        <v>46082</v>
      </c>
      <c r="B3985" s="6" t="s">
        <v>60</v>
      </c>
      <c r="C3985" s="6" t="s">
        <v>115</v>
      </c>
      <c r="D3985" s="5">
        <v>46054</v>
      </c>
      <c r="E3985" s="6" t="s">
        <v>14</v>
      </c>
      <c r="F3985" s="7">
        <v>1332</v>
      </c>
      <c r="G3985" s="7">
        <v>150954.5825825826</v>
      </c>
      <c r="H3985" s="7">
        <v>201071504</v>
      </c>
      <c r="I3985" s="7">
        <v>34968436</v>
      </c>
      <c r="J3985" s="7">
        <v>0</v>
      </c>
      <c r="K3985">
        <f t="shared" si="62"/>
        <v>28</v>
      </c>
      <c r="L3985" s="8" t="str" cm="1">
        <f t="array" ref="L3985">_xlfn.IFS(
 AND(K3985&gt;=89,K3985&lt;=92),"3개월",
 AND(K3985&gt;=58,K3985&lt;=62),"2개월",
 AND(K3985&gt;=28,K3985&lt;=32),"1개월",
 AND(K3985=0),"당월",
 TRUE,"그외"
)</f>
        <v>1개월</v>
      </c>
    </row>
    <row r="3986" spans="1:12" x14ac:dyDescent="0.3">
      <c r="A3986" s="5">
        <v>46082</v>
      </c>
      <c r="B3986" s="6" t="s">
        <v>60</v>
      </c>
      <c r="C3986" s="6" t="s">
        <v>115</v>
      </c>
      <c r="D3986" s="5">
        <v>46054</v>
      </c>
      <c r="E3986" s="6" t="s">
        <v>15</v>
      </c>
      <c r="F3986" s="7">
        <v>1545</v>
      </c>
      <c r="G3986" s="7">
        <v>221060.3650485437</v>
      </c>
      <c r="H3986" s="7">
        <v>341538264</v>
      </c>
      <c r="I3986" s="7">
        <v>43569419</v>
      </c>
      <c r="J3986" s="7">
        <v>0</v>
      </c>
      <c r="K3986">
        <f t="shared" si="62"/>
        <v>28</v>
      </c>
      <c r="L3986" s="8" t="str" cm="1">
        <f t="array" ref="L3986">_xlfn.IFS(
 AND(K3986&gt;=89,K3986&lt;=92),"3개월",
 AND(K3986&gt;=58,K3986&lt;=62),"2개월",
 AND(K3986&gt;=28,K3986&lt;=32),"1개월",
 AND(K3986=0),"당월",
 TRUE,"그외"
)</f>
        <v>1개월</v>
      </c>
    </row>
    <row r="3987" spans="1:12" x14ac:dyDescent="0.3">
      <c r="A3987" s="5">
        <v>46082</v>
      </c>
      <c r="B3987" s="6" t="s">
        <v>60</v>
      </c>
      <c r="C3987" s="6" t="s">
        <v>115</v>
      </c>
      <c r="D3987" s="5">
        <v>46082</v>
      </c>
      <c r="E3987" s="6" t="s">
        <v>14</v>
      </c>
      <c r="F3987" s="7">
        <v>171</v>
      </c>
      <c r="G3987" s="7">
        <v>339648.16374269011</v>
      </c>
      <c r="H3987" s="7">
        <v>58079836</v>
      </c>
      <c r="I3987" s="7">
        <v>9767908</v>
      </c>
      <c r="J3987" s="7">
        <v>0</v>
      </c>
      <c r="K3987">
        <f t="shared" si="62"/>
        <v>0</v>
      </c>
      <c r="L3987" s="8" t="str" cm="1">
        <f t="array" ref="L3987">_xlfn.IFS(
 AND(K3987&gt;=89,K3987&lt;=92),"3개월",
 AND(K3987&gt;=58,K3987&lt;=62),"2개월",
 AND(K3987&gt;=28,K3987&lt;=32),"1개월",
 AND(K3987=0),"당월",
 TRUE,"그외"
)</f>
        <v>당월</v>
      </c>
    </row>
    <row r="3988" spans="1:12" x14ac:dyDescent="0.3">
      <c r="A3988" s="5">
        <v>46082</v>
      </c>
      <c r="B3988" s="6" t="s">
        <v>60</v>
      </c>
      <c r="C3988" s="6" t="s">
        <v>115</v>
      </c>
      <c r="D3988" s="5">
        <v>46082</v>
      </c>
      <c r="E3988" s="6" t="s">
        <v>15</v>
      </c>
      <c r="F3988" s="7">
        <v>537</v>
      </c>
      <c r="G3988" s="7">
        <v>294721.8454376164</v>
      </c>
      <c r="H3988" s="7">
        <v>158265631</v>
      </c>
      <c r="I3988" s="7">
        <v>19451943</v>
      </c>
      <c r="J3988" s="7">
        <v>0</v>
      </c>
      <c r="K3988">
        <f t="shared" si="62"/>
        <v>0</v>
      </c>
      <c r="L3988" s="8" t="str" cm="1">
        <f t="array" ref="L3988">_xlfn.IFS(
 AND(K3988&gt;=89,K3988&lt;=92),"3개월",
 AND(K3988&gt;=58,K3988&lt;=62),"2개월",
 AND(K3988&gt;=28,K3988&lt;=32),"1개월",
 AND(K3988=0),"당월",
 TRUE,"그외"
)</f>
        <v>당월</v>
      </c>
    </row>
    <row r="3989" spans="1:12" x14ac:dyDescent="0.3">
      <c r="A3989" s="5">
        <v>46082</v>
      </c>
      <c r="B3989" s="6" t="s">
        <v>60</v>
      </c>
      <c r="C3989" s="6" t="s">
        <v>74</v>
      </c>
      <c r="D3989" s="5">
        <v>45870</v>
      </c>
      <c r="E3989" s="6" t="s">
        <v>15</v>
      </c>
      <c r="F3989" s="7">
        <v>4</v>
      </c>
      <c r="G3989" s="7">
        <v>126400</v>
      </c>
      <c r="H3989" s="7">
        <v>505600</v>
      </c>
      <c r="I3989" s="7">
        <v>109600</v>
      </c>
      <c r="J3989" s="7">
        <v>0</v>
      </c>
      <c r="K3989">
        <f t="shared" si="62"/>
        <v>212</v>
      </c>
      <c r="L3989" s="8" t="str" cm="1">
        <f t="array" ref="L3989">_xlfn.IFS(
 AND(K3989&gt;=89,K3989&lt;=92),"3개월",
 AND(K3989&gt;=58,K3989&lt;=62),"2개월",
 AND(K3989&gt;=28,K3989&lt;=32),"1개월",
 AND(K3989=0),"당월",
 TRUE,"그외"
)</f>
        <v>그외</v>
      </c>
    </row>
    <row r="3990" spans="1:12" x14ac:dyDescent="0.3">
      <c r="A3990" s="5">
        <v>46082</v>
      </c>
      <c r="B3990" s="6" t="s">
        <v>60</v>
      </c>
      <c r="C3990" s="6" t="s">
        <v>74</v>
      </c>
      <c r="D3990" s="5">
        <v>45901</v>
      </c>
      <c r="E3990" s="6" t="s">
        <v>15</v>
      </c>
      <c r="F3990" s="7">
        <v>26</v>
      </c>
      <c r="G3990" s="7">
        <v>170892.30769230769</v>
      </c>
      <c r="H3990" s="7">
        <v>4443200</v>
      </c>
      <c r="I3990" s="7">
        <v>720200</v>
      </c>
      <c r="J3990" s="7">
        <v>0</v>
      </c>
      <c r="K3990">
        <f t="shared" si="62"/>
        <v>181</v>
      </c>
      <c r="L3990" s="8" t="str" cm="1">
        <f t="array" ref="L3990">_xlfn.IFS(
 AND(K3990&gt;=89,K3990&lt;=92),"3개월",
 AND(K3990&gt;=58,K3990&lt;=62),"2개월",
 AND(K3990&gt;=28,K3990&lt;=32),"1개월",
 AND(K3990=0),"당월",
 TRUE,"그외"
)</f>
        <v>그외</v>
      </c>
    </row>
    <row r="3991" spans="1:12" x14ac:dyDescent="0.3">
      <c r="A3991" s="5">
        <v>46082</v>
      </c>
      <c r="B3991" s="6" t="s">
        <v>60</v>
      </c>
      <c r="C3991" s="6" t="s">
        <v>74</v>
      </c>
      <c r="D3991" s="5">
        <v>45931</v>
      </c>
      <c r="E3991" s="6" t="s">
        <v>15</v>
      </c>
      <c r="F3991" s="7">
        <v>51</v>
      </c>
      <c r="G3991" s="7">
        <v>184999.29411764699</v>
      </c>
      <c r="H3991" s="7">
        <v>9434964</v>
      </c>
      <c r="I3991" s="7">
        <v>1417400</v>
      </c>
      <c r="J3991" s="7">
        <v>0</v>
      </c>
      <c r="K3991">
        <f t="shared" si="62"/>
        <v>151</v>
      </c>
      <c r="L3991" s="8" t="str" cm="1">
        <f t="array" ref="L3991">_xlfn.IFS(
 AND(K3991&gt;=89,K3991&lt;=92),"3개월",
 AND(K3991&gt;=58,K3991&lt;=62),"2개월",
 AND(K3991&gt;=28,K3991&lt;=32),"1개월",
 AND(K3991=0),"당월",
 TRUE,"그외"
)</f>
        <v>그외</v>
      </c>
    </row>
    <row r="3992" spans="1:12" x14ac:dyDescent="0.3">
      <c r="A3992" s="5">
        <v>46082</v>
      </c>
      <c r="B3992" s="6" t="s">
        <v>60</v>
      </c>
      <c r="C3992" s="6" t="s">
        <v>74</v>
      </c>
      <c r="D3992" s="5">
        <v>45962</v>
      </c>
      <c r="E3992" s="6" t="s">
        <v>14</v>
      </c>
      <c r="F3992" s="7">
        <v>36</v>
      </c>
      <c r="G3992" s="7">
        <v>153655.55555555559</v>
      </c>
      <c r="H3992" s="7">
        <v>5531600</v>
      </c>
      <c r="I3992" s="7">
        <v>1011600</v>
      </c>
      <c r="J3992" s="7">
        <v>0</v>
      </c>
      <c r="K3992">
        <f t="shared" si="62"/>
        <v>120</v>
      </c>
      <c r="L3992" s="8" t="str" cm="1">
        <f t="array" ref="L3992">_xlfn.IFS(
 AND(K3992&gt;=89,K3992&lt;=92),"3개월",
 AND(K3992&gt;=58,K3992&lt;=62),"2개월",
 AND(K3992&gt;=28,K3992&lt;=32),"1개월",
 AND(K3992=0),"당월",
 TRUE,"그외"
)</f>
        <v>그외</v>
      </c>
    </row>
    <row r="3993" spans="1:12" x14ac:dyDescent="0.3">
      <c r="A3993" s="5">
        <v>46082</v>
      </c>
      <c r="B3993" s="6" t="s">
        <v>60</v>
      </c>
      <c r="C3993" s="6" t="s">
        <v>74</v>
      </c>
      <c r="D3993" s="5">
        <v>45962</v>
      </c>
      <c r="E3993" s="6" t="s">
        <v>15</v>
      </c>
      <c r="F3993" s="7">
        <v>78</v>
      </c>
      <c r="G3993" s="7">
        <v>193673.23076923081</v>
      </c>
      <c r="H3993" s="7">
        <v>15106512</v>
      </c>
      <c r="I3993" s="7">
        <v>2397239</v>
      </c>
      <c r="J3993" s="7">
        <v>0</v>
      </c>
      <c r="K3993">
        <f t="shared" si="62"/>
        <v>120</v>
      </c>
      <c r="L3993" s="8" t="str" cm="1">
        <f t="array" ref="L3993">_xlfn.IFS(
 AND(K3993&gt;=89,K3993&lt;=92),"3개월",
 AND(K3993&gt;=58,K3993&lt;=62),"2개월",
 AND(K3993&gt;=28,K3993&lt;=32),"1개월",
 AND(K3993=0),"당월",
 TRUE,"그외"
)</f>
        <v>그외</v>
      </c>
    </row>
    <row r="3994" spans="1:12" x14ac:dyDescent="0.3">
      <c r="A3994" s="5">
        <v>46082</v>
      </c>
      <c r="B3994" s="6" t="s">
        <v>60</v>
      </c>
      <c r="C3994" s="6" t="s">
        <v>74</v>
      </c>
      <c r="D3994" s="5">
        <v>45992</v>
      </c>
      <c r="E3994" s="6" t="s">
        <v>14</v>
      </c>
      <c r="F3994" s="7">
        <v>34</v>
      </c>
      <c r="G3994" s="7">
        <v>154011.76470588229</v>
      </c>
      <c r="H3994" s="7">
        <v>5236400</v>
      </c>
      <c r="I3994" s="7">
        <v>1176400</v>
      </c>
      <c r="J3994" s="7">
        <v>0</v>
      </c>
      <c r="K3994">
        <f t="shared" si="62"/>
        <v>90</v>
      </c>
      <c r="L3994" s="8" t="str" cm="1">
        <f t="array" ref="L3994">_xlfn.IFS(
 AND(K3994&gt;=89,K3994&lt;=92),"3개월",
 AND(K3994&gt;=58,K3994&lt;=62),"2개월",
 AND(K3994&gt;=28,K3994&lt;=32),"1개월",
 AND(K3994=0),"당월",
 TRUE,"그외"
)</f>
        <v>3개월</v>
      </c>
    </row>
    <row r="3995" spans="1:12" x14ac:dyDescent="0.3">
      <c r="A3995" s="5">
        <v>46082</v>
      </c>
      <c r="B3995" s="6" t="s">
        <v>60</v>
      </c>
      <c r="C3995" s="6" t="s">
        <v>74</v>
      </c>
      <c r="D3995" s="5">
        <v>45992</v>
      </c>
      <c r="E3995" s="6" t="s">
        <v>15</v>
      </c>
      <c r="F3995" s="7">
        <v>112</v>
      </c>
      <c r="G3995" s="7">
        <v>208526.50892857139</v>
      </c>
      <c r="H3995" s="7">
        <v>23354969</v>
      </c>
      <c r="I3995" s="7">
        <v>3663552</v>
      </c>
      <c r="J3995" s="7">
        <v>0</v>
      </c>
      <c r="K3995">
        <f t="shared" si="62"/>
        <v>90</v>
      </c>
      <c r="L3995" s="8" t="str" cm="1">
        <f t="array" ref="L3995">_xlfn.IFS(
 AND(K3995&gt;=89,K3995&lt;=92),"3개월",
 AND(K3995&gt;=58,K3995&lt;=62),"2개월",
 AND(K3995&gt;=28,K3995&lt;=32),"1개월",
 AND(K3995=0),"당월",
 TRUE,"그외"
)</f>
        <v>3개월</v>
      </c>
    </row>
    <row r="3996" spans="1:12" x14ac:dyDescent="0.3">
      <c r="A3996" s="5">
        <v>46082</v>
      </c>
      <c r="B3996" s="6" t="s">
        <v>60</v>
      </c>
      <c r="C3996" s="6" t="s">
        <v>74</v>
      </c>
      <c r="D3996" s="5">
        <v>46023</v>
      </c>
      <c r="E3996" s="6" t="s">
        <v>14</v>
      </c>
      <c r="F3996" s="7">
        <v>34</v>
      </c>
      <c r="G3996" s="7">
        <v>142782.3529411765</v>
      </c>
      <c r="H3996" s="7">
        <v>4854600</v>
      </c>
      <c r="I3996" s="7">
        <v>1194600</v>
      </c>
      <c r="J3996" s="7">
        <v>0</v>
      </c>
      <c r="K3996">
        <f t="shared" si="62"/>
        <v>59</v>
      </c>
      <c r="L3996" s="8" t="str" cm="1">
        <f t="array" ref="L3996">_xlfn.IFS(
 AND(K3996&gt;=89,K3996&lt;=92),"3개월",
 AND(K3996&gt;=58,K3996&lt;=62),"2개월",
 AND(K3996&gt;=28,K3996&lt;=32),"1개월",
 AND(K3996=0),"당월",
 TRUE,"그외"
)</f>
        <v>2개월</v>
      </c>
    </row>
    <row r="3997" spans="1:12" x14ac:dyDescent="0.3">
      <c r="A3997" s="5">
        <v>46082</v>
      </c>
      <c r="B3997" s="6" t="s">
        <v>60</v>
      </c>
      <c r="C3997" s="6" t="s">
        <v>74</v>
      </c>
      <c r="D3997" s="5">
        <v>46023</v>
      </c>
      <c r="E3997" s="6" t="s">
        <v>15</v>
      </c>
      <c r="F3997" s="7">
        <v>463</v>
      </c>
      <c r="G3997" s="7">
        <v>182749.82721382289</v>
      </c>
      <c r="H3997" s="7">
        <v>84613170</v>
      </c>
      <c r="I3997" s="7">
        <v>17061958</v>
      </c>
      <c r="J3997" s="7">
        <v>0</v>
      </c>
      <c r="K3997">
        <f t="shared" si="62"/>
        <v>59</v>
      </c>
      <c r="L3997" s="8" t="str" cm="1">
        <f t="array" ref="L3997">_xlfn.IFS(
 AND(K3997&gt;=89,K3997&lt;=92),"3개월",
 AND(K3997&gt;=58,K3997&lt;=62),"2개월",
 AND(K3997&gt;=28,K3997&lt;=32),"1개월",
 AND(K3997=0),"당월",
 TRUE,"그외"
)</f>
        <v>2개월</v>
      </c>
    </row>
    <row r="3998" spans="1:12" x14ac:dyDescent="0.3">
      <c r="A3998" s="5">
        <v>46082</v>
      </c>
      <c r="B3998" s="6" t="s">
        <v>60</v>
      </c>
      <c r="C3998" s="6" t="s">
        <v>74</v>
      </c>
      <c r="D3998" s="5">
        <v>46054</v>
      </c>
      <c r="E3998" s="6" t="s">
        <v>14</v>
      </c>
      <c r="F3998" s="7">
        <v>274</v>
      </c>
      <c r="G3998" s="7">
        <v>146906.5693430657</v>
      </c>
      <c r="H3998" s="7">
        <v>40252400</v>
      </c>
      <c r="I3998" s="7">
        <v>6862400</v>
      </c>
      <c r="J3998" s="7">
        <v>0</v>
      </c>
      <c r="K3998">
        <f t="shared" si="62"/>
        <v>28</v>
      </c>
      <c r="L3998" s="8" t="str" cm="1">
        <f t="array" ref="L3998">_xlfn.IFS(
 AND(K3998&gt;=89,K3998&lt;=92),"3개월",
 AND(K3998&gt;=58,K3998&lt;=62),"2개월",
 AND(K3998&gt;=28,K3998&lt;=32),"1개월",
 AND(K3998=0),"당월",
 TRUE,"그외"
)</f>
        <v>1개월</v>
      </c>
    </row>
    <row r="3999" spans="1:12" x14ac:dyDescent="0.3">
      <c r="A3999" s="5">
        <v>46082</v>
      </c>
      <c r="B3999" s="6" t="s">
        <v>60</v>
      </c>
      <c r="C3999" s="6" t="s">
        <v>74</v>
      </c>
      <c r="D3999" s="5">
        <v>46054</v>
      </c>
      <c r="E3999" s="6" t="s">
        <v>15</v>
      </c>
      <c r="F3999" s="7">
        <v>710</v>
      </c>
      <c r="G3999" s="7">
        <v>144237.3042253521</v>
      </c>
      <c r="H3999" s="7">
        <v>102408486</v>
      </c>
      <c r="I3999" s="7">
        <v>19988184</v>
      </c>
      <c r="J3999" s="7">
        <v>0</v>
      </c>
      <c r="K3999">
        <f t="shared" si="62"/>
        <v>28</v>
      </c>
      <c r="L3999" s="8" t="str" cm="1">
        <f t="array" ref="L3999">_xlfn.IFS(
 AND(K3999&gt;=89,K3999&lt;=92),"3개월",
 AND(K3999&gt;=58,K3999&lt;=62),"2개월",
 AND(K3999&gt;=28,K3999&lt;=32),"1개월",
 AND(K3999=0),"당월",
 TRUE,"그외"
)</f>
        <v>1개월</v>
      </c>
    </row>
    <row r="4000" spans="1:12" x14ac:dyDescent="0.3">
      <c r="A4000" s="5">
        <v>46082</v>
      </c>
      <c r="B4000" s="6" t="s">
        <v>60</v>
      </c>
      <c r="C4000" s="6" t="s">
        <v>74</v>
      </c>
      <c r="D4000" s="5">
        <v>46082</v>
      </c>
      <c r="E4000" s="6" t="s">
        <v>14</v>
      </c>
      <c r="F4000" s="7">
        <v>51</v>
      </c>
      <c r="G4000" s="7">
        <v>166400</v>
      </c>
      <c r="H4000" s="7">
        <v>8486400</v>
      </c>
      <c r="I4000" s="7">
        <v>1499400</v>
      </c>
      <c r="J4000" s="7">
        <v>0</v>
      </c>
      <c r="K4000">
        <f t="shared" si="62"/>
        <v>0</v>
      </c>
      <c r="L4000" s="8" t="str" cm="1">
        <f t="array" ref="L4000">_xlfn.IFS(
 AND(K4000&gt;=89,K4000&lt;=92),"3개월",
 AND(K4000&gt;=58,K4000&lt;=62),"2개월",
 AND(K4000&gt;=28,K4000&lt;=32),"1개월",
 AND(K4000=0),"당월",
 TRUE,"그외"
)</f>
        <v>당월</v>
      </c>
    </row>
    <row r="4001" spans="1:12" x14ac:dyDescent="0.3">
      <c r="A4001" s="5">
        <v>46082</v>
      </c>
      <c r="B4001" s="6" t="s">
        <v>60</v>
      </c>
      <c r="C4001" s="6" t="s">
        <v>74</v>
      </c>
      <c r="D4001" s="5">
        <v>46082</v>
      </c>
      <c r="E4001" s="6" t="s">
        <v>15</v>
      </c>
      <c r="F4001" s="7">
        <v>433</v>
      </c>
      <c r="G4001" s="7">
        <v>205090.53579676681</v>
      </c>
      <c r="H4001" s="7">
        <v>88804202</v>
      </c>
      <c r="I4001" s="7">
        <v>17089037</v>
      </c>
      <c r="J4001" s="7">
        <v>0</v>
      </c>
      <c r="K4001">
        <f t="shared" si="62"/>
        <v>0</v>
      </c>
      <c r="L4001" s="8" t="str" cm="1">
        <f t="array" ref="L4001">_xlfn.IFS(
 AND(K4001&gt;=89,K4001&lt;=92),"3개월",
 AND(K4001&gt;=58,K4001&lt;=62),"2개월",
 AND(K4001&gt;=28,K4001&lt;=32),"1개월",
 AND(K4001=0),"당월",
 TRUE,"그외"
)</f>
        <v>당월</v>
      </c>
    </row>
    <row r="4002" spans="1:12" x14ac:dyDescent="0.3">
      <c r="A4002" s="5">
        <v>46082</v>
      </c>
      <c r="B4002" s="6" t="s">
        <v>60</v>
      </c>
      <c r="C4002" s="6" t="s">
        <v>117</v>
      </c>
      <c r="D4002" s="5">
        <v>46054</v>
      </c>
      <c r="E4002" s="6" t="s">
        <v>14</v>
      </c>
      <c r="F4002" s="7">
        <v>2</v>
      </c>
      <c r="G4002" s="7">
        <v>0</v>
      </c>
      <c r="H4002" s="7">
        <v>0</v>
      </c>
      <c r="I4002" s="7">
        <v>0</v>
      </c>
      <c r="J4002" s="7">
        <v>0</v>
      </c>
      <c r="K4002">
        <f t="shared" si="62"/>
        <v>28</v>
      </c>
      <c r="L4002" s="8" t="str" cm="1">
        <f t="array" ref="L4002">_xlfn.IFS(
 AND(K4002&gt;=89,K4002&lt;=92),"3개월",
 AND(K4002&gt;=58,K4002&lt;=62),"2개월",
 AND(K4002&gt;=28,K4002&lt;=32),"1개월",
 AND(K4002=0),"당월",
 TRUE,"그외"
)</f>
        <v>1개월</v>
      </c>
    </row>
    <row r="4003" spans="1:12" x14ac:dyDescent="0.3">
      <c r="A4003" s="5">
        <v>46082</v>
      </c>
      <c r="B4003" s="6" t="s">
        <v>60</v>
      </c>
      <c r="C4003" s="6" t="s">
        <v>117</v>
      </c>
      <c r="D4003" s="5">
        <v>46054</v>
      </c>
      <c r="E4003" s="6" t="s">
        <v>15</v>
      </c>
      <c r="F4003" s="7">
        <v>11</v>
      </c>
      <c r="G4003" s="7">
        <v>0</v>
      </c>
      <c r="H4003" s="7">
        <v>0</v>
      </c>
      <c r="I4003" s="7">
        <v>0</v>
      </c>
      <c r="J4003" s="7">
        <v>0</v>
      </c>
      <c r="K4003">
        <f t="shared" si="62"/>
        <v>28</v>
      </c>
      <c r="L4003" s="8" t="str" cm="1">
        <f t="array" ref="L4003">_xlfn.IFS(
 AND(K4003&gt;=89,K4003&lt;=92),"3개월",
 AND(K4003&gt;=58,K4003&lt;=62),"2개월",
 AND(K4003&gt;=28,K4003&lt;=32),"1개월",
 AND(K4003=0),"당월",
 TRUE,"그외"
)</f>
        <v>1개월</v>
      </c>
    </row>
    <row r="4004" spans="1:12" x14ac:dyDescent="0.3">
      <c r="A4004" s="5">
        <v>46082</v>
      </c>
      <c r="B4004" s="6" t="s">
        <v>60</v>
      </c>
      <c r="C4004" s="6" t="s">
        <v>117</v>
      </c>
      <c r="D4004" s="5">
        <v>46082</v>
      </c>
      <c r="E4004" s="6" t="s">
        <v>14</v>
      </c>
      <c r="F4004" s="7">
        <v>284</v>
      </c>
      <c r="G4004" s="7">
        <v>415492.95774647879</v>
      </c>
      <c r="H4004" s="7">
        <v>118000000</v>
      </c>
      <c r="I4004" s="7">
        <v>0</v>
      </c>
      <c r="J4004" s="7">
        <v>0</v>
      </c>
      <c r="K4004">
        <f t="shared" si="62"/>
        <v>0</v>
      </c>
      <c r="L4004" s="8" t="str" cm="1">
        <f t="array" ref="L4004">_xlfn.IFS(
 AND(K4004&gt;=89,K4004&lt;=92),"3개월",
 AND(K4004&gt;=58,K4004&lt;=62),"2개월",
 AND(K4004&gt;=28,K4004&lt;=32),"1개월",
 AND(K4004=0),"당월",
 TRUE,"그외"
)</f>
        <v>당월</v>
      </c>
    </row>
    <row r="4005" spans="1:12" x14ac:dyDescent="0.3">
      <c r="A4005" s="5">
        <v>46082</v>
      </c>
      <c r="B4005" s="6" t="s">
        <v>60</v>
      </c>
      <c r="C4005" s="6" t="s">
        <v>117</v>
      </c>
      <c r="D4005" s="5">
        <v>46082</v>
      </c>
      <c r="E4005" s="6" t="s">
        <v>15</v>
      </c>
      <c r="F4005" s="7">
        <v>1</v>
      </c>
      <c r="G4005" s="7">
        <v>0</v>
      </c>
      <c r="H4005" s="7">
        <v>0</v>
      </c>
      <c r="I4005" s="7">
        <v>0</v>
      </c>
      <c r="J4005" s="7">
        <v>0</v>
      </c>
      <c r="K4005">
        <f t="shared" si="62"/>
        <v>0</v>
      </c>
      <c r="L4005" s="8" t="str" cm="1">
        <f t="array" ref="L4005">_xlfn.IFS(
 AND(K4005&gt;=89,K4005&lt;=92),"3개월",
 AND(K4005&gt;=58,K4005&lt;=62),"2개월",
 AND(K4005&gt;=28,K4005&lt;=32),"1개월",
 AND(K4005=0),"당월",
 TRUE,"그외"
)</f>
        <v>당월</v>
      </c>
    </row>
    <row r="4006" spans="1:12" x14ac:dyDescent="0.3">
      <c r="A4006" s="5">
        <v>46082</v>
      </c>
      <c r="B4006" s="6" t="s">
        <v>75</v>
      </c>
      <c r="C4006" s="6" t="s">
        <v>76</v>
      </c>
      <c r="D4006" s="5">
        <v>45839</v>
      </c>
      <c r="E4006" s="6" t="s">
        <v>15</v>
      </c>
      <c r="F4006" s="7">
        <v>2</v>
      </c>
      <c r="G4006" s="7">
        <v>346500</v>
      </c>
      <c r="H4006" s="7">
        <v>693000</v>
      </c>
      <c r="I4006" s="7">
        <v>33000</v>
      </c>
      <c r="J4006" s="7">
        <v>0</v>
      </c>
      <c r="K4006">
        <f t="shared" si="62"/>
        <v>243</v>
      </c>
      <c r="L4006" s="8" t="str" cm="1">
        <f t="array" ref="L4006">_xlfn.IFS(
 AND(K4006&gt;=89,K4006&lt;=92),"3개월",
 AND(K4006&gt;=58,K4006&lt;=62),"2개월",
 AND(K4006&gt;=28,K4006&lt;=32),"1개월",
 AND(K4006=0),"당월",
 TRUE,"그외"
)</f>
        <v>그외</v>
      </c>
    </row>
    <row r="4007" spans="1:12" x14ac:dyDescent="0.3">
      <c r="A4007" s="5">
        <v>46082</v>
      </c>
      <c r="B4007" s="6" t="s">
        <v>75</v>
      </c>
      <c r="C4007" s="6" t="s">
        <v>76</v>
      </c>
      <c r="D4007" s="5">
        <v>45931</v>
      </c>
      <c r="E4007" s="6" t="s">
        <v>15</v>
      </c>
      <c r="F4007" s="7">
        <v>2</v>
      </c>
      <c r="G4007" s="7">
        <v>266400</v>
      </c>
      <c r="H4007" s="7">
        <v>532800</v>
      </c>
      <c r="I4007" s="7">
        <v>52800</v>
      </c>
      <c r="J4007" s="7">
        <v>0</v>
      </c>
      <c r="K4007">
        <f t="shared" si="62"/>
        <v>151</v>
      </c>
      <c r="L4007" s="8" t="str" cm="1">
        <f t="array" ref="L4007">_xlfn.IFS(
 AND(K4007&gt;=89,K4007&lt;=92),"3개월",
 AND(K4007&gt;=58,K4007&lt;=62),"2개월",
 AND(K4007&gt;=28,K4007&lt;=32),"1개월",
 AND(K4007=0),"당월",
 TRUE,"그외"
)</f>
        <v>그외</v>
      </c>
    </row>
    <row r="4008" spans="1:12" x14ac:dyDescent="0.3">
      <c r="A4008" s="5">
        <v>46082</v>
      </c>
      <c r="B4008" s="6" t="s">
        <v>75</v>
      </c>
      <c r="C4008" s="6" t="s">
        <v>76</v>
      </c>
      <c r="D4008" s="5">
        <v>45962</v>
      </c>
      <c r="E4008" s="6" t="s">
        <v>15</v>
      </c>
      <c r="F4008" s="7">
        <v>2</v>
      </c>
      <c r="G4008" s="7">
        <v>286700</v>
      </c>
      <c r="H4008" s="7">
        <v>573400</v>
      </c>
      <c r="I4008" s="7">
        <v>53400</v>
      </c>
      <c r="J4008" s="7">
        <v>0</v>
      </c>
      <c r="K4008">
        <f t="shared" si="62"/>
        <v>120</v>
      </c>
      <c r="L4008" s="8" t="str" cm="1">
        <f t="array" ref="L4008">_xlfn.IFS(
 AND(K4008&gt;=89,K4008&lt;=92),"3개월",
 AND(K4008&gt;=58,K4008&lt;=62),"2개월",
 AND(K4008&gt;=28,K4008&lt;=32),"1개월",
 AND(K4008=0),"당월",
 TRUE,"그외"
)</f>
        <v>그외</v>
      </c>
    </row>
    <row r="4009" spans="1:12" x14ac:dyDescent="0.3">
      <c r="A4009" s="5">
        <v>46082</v>
      </c>
      <c r="B4009" s="6" t="s">
        <v>75</v>
      </c>
      <c r="C4009" s="6" t="s">
        <v>76</v>
      </c>
      <c r="D4009" s="5">
        <v>46054</v>
      </c>
      <c r="E4009" s="6" t="s">
        <v>15</v>
      </c>
      <c r="F4009" s="7">
        <v>5</v>
      </c>
      <c r="G4009" s="7">
        <v>260000</v>
      </c>
      <c r="H4009" s="7">
        <v>1300000</v>
      </c>
      <c r="I4009" s="7">
        <v>110000</v>
      </c>
      <c r="J4009" s="7">
        <v>0</v>
      </c>
      <c r="K4009">
        <f t="shared" si="62"/>
        <v>28</v>
      </c>
      <c r="L4009" s="8" t="str" cm="1">
        <f t="array" ref="L4009">_xlfn.IFS(
 AND(K4009&gt;=89,K4009&lt;=92),"3개월",
 AND(K4009&gt;=58,K4009&lt;=62),"2개월",
 AND(K4009&gt;=28,K4009&lt;=32),"1개월",
 AND(K4009=0),"당월",
 TRUE,"그외"
)</f>
        <v>1개월</v>
      </c>
    </row>
    <row r="4010" spans="1:12" x14ac:dyDescent="0.3">
      <c r="A4010" s="5">
        <v>46082</v>
      </c>
      <c r="B4010" s="6" t="s">
        <v>75</v>
      </c>
      <c r="C4010" s="6" t="s">
        <v>76</v>
      </c>
      <c r="D4010" s="5">
        <v>46082</v>
      </c>
      <c r="E4010" s="6" t="s">
        <v>15</v>
      </c>
      <c r="F4010" s="7">
        <v>3</v>
      </c>
      <c r="G4010" s="7">
        <v>367233.33333333331</v>
      </c>
      <c r="H4010" s="7">
        <v>1101700</v>
      </c>
      <c r="I4010" s="7">
        <v>83700</v>
      </c>
      <c r="J4010" s="7">
        <v>0</v>
      </c>
      <c r="K4010">
        <f t="shared" si="62"/>
        <v>0</v>
      </c>
      <c r="L4010" s="8" t="str" cm="1">
        <f t="array" ref="L4010">_xlfn.IFS(
 AND(K4010&gt;=89,K4010&lt;=92),"3개월",
 AND(K4010&gt;=58,K4010&lt;=62),"2개월",
 AND(K4010&gt;=28,K4010&lt;=32),"1개월",
 AND(K4010=0),"당월",
 TRUE,"그외"
)</f>
        <v>당월</v>
      </c>
    </row>
    <row r="4011" spans="1:12" x14ac:dyDescent="0.3">
      <c r="A4011" s="5">
        <v>46082</v>
      </c>
      <c r="B4011" s="6" t="s">
        <v>75</v>
      </c>
      <c r="C4011" s="6" t="s">
        <v>77</v>
      </c>
      <c r="D4011" s="5">
        <v>45839</v>
      </c>
      <c r="E4011" s="6" t="s">
        <v>15</v>
      </c>
      <c r="F4011" s="7">
        <v>26</v>
      </c>
      <c r="G4011" s="7">
        <v>314536.38461538462</v>
      </c>
      <c r="H4011" s="7">
        <v>8177946</v>
      </c>
      <c r="I4011" s="7">
        <v>2414294</v>
      </c>
      <c r="J4011" s="7">
        <v>0</v>
      </c>
      <c r="K4011">
        <f t="shared" si="62"/>
        <v>243</v>
      </c>
      <c r="L4011" s="8" t="str" cm="1">
        <f t="array" ref="L4011">_xlfn.IFS(
 AND(K4011&gt;=89,K4011&lt;=92),"3개월",
 AND(K4011&gt;=58,K4011&lt;=62),"2개월",
 AND(K4011&gt;=28,K4011&lt;=32),"1개월",
 AND(K4011=0),"당월",
 TRUE,"그외"
)</f>
        <v>그외</v>
      </c>
    </row>
    <row r="4012" spans="1:12" x14ac:dyDescent="0.3">
      <c r="A4012" s="5">
        <v>46082</v>
      </c>
      <c r="B4012" s="6" t="s">
        <v>75</v>
      </c>
      <c r="C4012" s="6" t="s">
        <v>77</v>
      </c>
      <c r="D4012" s="5">
        <v>45870</v>
      </c>
      <c r="E4012" s="6" t="s">
        <v>15</v>
      </c>
      <c r="F4012" s="7">
        <v>137</v>
      </c>
      <c r="G4012" s="7">
        <v>308988.44525547448</v>
      </c>
      <c r="H4012" s="7">
        <v>42331417</v>
      </c>
      <c r="I4012" s="7">
        <v>8475108</v>
      </c>
      <c r="J4012" s="7">
        <v>0</v>
      </c>
      <c r="K4012">
        <f t="shared" si="62"/>
        <v>212</v>
      </c>
      <c r="L4012" s="8" t="str" cm="1">
        <f t="array" ref="L4012">_xlfn.IFS(
 AND(K4012&gt;=89,K4012&lt;=92),"3개월",
 AND(K4012&gt;=58,K4012&lt;=62),"2개월",
 AND(K4012&gt;=28,K4012&lt;=32),"1개월",
 AND(K4012=0),"당월",
 TRUE,"그외"
)</f>
        <v>그외</v>
      </c>
    </row>
    <row r="4013" spans="1:12" x14ac:dyDescent="0.3">
      <c r="A4013" s="5">
        <v>46082</v>
      </c>
      <c r="B4013" s="6" t="s">
        <v>75</v>
      </c>
      <c r="C4013" s="6" t="s">
        <v>77</v>
      </c>
      <c r="D4013" s="5">
        <v>45901</v>
      </c>
      <c r="E4013" s="6" t="s">
        <v>14</v>
      </c>
      <c r="F4013" s="7">
        <v>10</v>
      </c>
      <c r="G4013" s="7">
        <v>374714</v>
      </c>
      <c r="H4013" s="7">
        <v>3747140</v>
      </c>
      <c r="I4013" s="7">
        <v>216550</v>
      </c>
      <c r="J4013" s="7">
        <v>0</v>
      </c>
      <c r="K4013">
        <f t="shared" si="62"/>
        <v>181</v>
      </c>
      <c r="L4013" s="8" t="str" cm="1">
        <f t="array" ref="L4013">_xlfn.IFS(
 AND(K4013&gt;=89,K4013&lt;=92),"3개월",
 AND(K4013&gt;=58,K4013&lt;=62),"2개월",
 AND(K4013&gt;=28,K4013&lt;=32),"1개월",
 AND(K4013=0),"당월",
 TRUE,"그외"
)</f>
        <v>그외</v>
      </c>
    </row>
    <row r="4014" spans="1:12" x14ac:dyDescent="0.3">
      <c r="A4014" s="5">
        <v>46082</v>
      </c>
      <c r="B4014" s="6" t="s">
        <v>75</v>
      </c>
      <c r="C4014" s="6" t="s">
        <v>77</v>
      </c>
      <c r="D4014" s="5">
        <v>45901</v>
      </c>
      <c r="E4014" s="6" t="s">
        <v>15</v>
      </c>
      <c r="F4014" s="7">
        <v>238</v>
      </c>
      <c r="G4014" s="7">
        <v>277354.99159663857</v>
      </c>
      <c r="H4014" s="7">
        <v>66010488</v>
      </c>
      <c r="I4014" s="7">
        <v>9002907</v>
      </c>
      <c r="J4014" s="7">
        <v>0</v>
      </c>
      <c r="K4014">
        <f t="shared" si="62"/>
        <v>181</v>
      </c>
      <c r="L4014" s="8" t="str" cm="1">
        <f t="array" ref="L4014">_xlfn.IFS(
 AND(K4014&gt;=89,K4014&lt;=92),"3개월",
 AND(K4014&gt;=58,K4014&lt;=62),"2개월",
 AND(K4014&gt;=28,K4014&lt;=32),"1개월",
 AND(K4014=0),"당월",
 TRUE,"그외"
)</f>
        <v>그외</v>
      </c>
    </row>
    <row r="4015" spans="1:12" x14ac:dyDescent="0.3">
      <c r="A4015" s="5">
        <v>46082</v>
      </c>
      <c r="B4015" s="6" t="s">
        <v>75</v>
      </c>
      <c r="C4015" s="6" t="s">
        <v>77</v>
      </c>
      <c r="D4015" s="5">
        <v>45931</v>
      </c>
      <c r="E4015" s="6" t="s">
        <v>15</v>
      </c>
      <c r="F4015" s="7">
        <v>357</v>
      </c>
      <c r="G4015" s="7">
        <v>331035.01120448182</v>
      </c>
      <c r="H4015" s="7">
        <v>118179499</v>
      </c>
      <c r="I4015" s="7">
        <v>26953606</v>
      </c>
      <c r="J4015" s="7">
        <v>0</v>
      </c>
      <c r="K4015">
        <f t="shared" si="62"/>
        <v>151</v>
      </c>
      <c r="L4015" s="8" t="str" cm="1">
        <f t="array" ref="L4015">_xlfn.IFS(
 AND(K4015&gt;=89,K4015&lt;=92),"3개월",
 AND(K4015&gt;=58,K4015&lt;=62),"2개월",
 AND(K4015&gt;=28,K4015&lt;=32),"1개월",
 AND(K4015=0),"당월",
 TRUE,"그외"
)</f>
        <v>그외</v>
      </c>
    </row>
    <row r="4016" spans="1:12" x14ac:dyDescent="0.3">
      <c r="A4016" s="5">
        <v>46082</v>
      </c>
      <c r="B4016" s="6" t="s">
        <v>75</v>
      </c>
      <c r="C4016" s="6" t="s">
        <v>77</v>
      </c>
      <c r="D4016" s="5">
        <v>45962</v>
      </c>
      <c r="E4016" s="6" t="s">
        <v>14</v>
      </c>
      <c r="F4016" s="7">
        <v>24</v>
      </c>
      <c r="G4016" s="7">
        <v>320493.75</v>
      </c>
      <c r="H4016" s="7">
        <v>7691850</v>
      </c>
      <c r="I4016" s="7">
        <v>1807368</v>
      </c>
      <c r="J4016" s="7">
        <v>0</v>
      </c>
      <c r="K4016">
        <f t="shared" si="62"/>
        <v>120</v>
      </c>
      <c r="L4016" s="8" t="str" cm="1">
        <f t="array" ref="L4016">_xlfn.IFS(
 AND(K4016&gt;=89,K4016&lt;=92),"3개월",
 AND(K4016&gt;=58,K4016&lt;=62),"2개월",
 AND(K4016&gt;=28,K4016&lt;=32),"1개월",
 AND(K4016=0),"당월",
 TRUE,"그외"
)</f>
        <v>그외</v>
      </c>
    </row>
    <row r="4017" spans="1:12" x14ac:dyDescent="0.3">
      <c r="A4017" s="5">
        <v>46082</v>
      </c>
      <c r="B4017" s="6" t="s">
        <v>75</v>
      </c>
      <c r="C4017" s="6" t="s">
        <v>77</v>
      </c>
      <c r="D4017" s="5">
        <v>45962</v>
      </c>
      <c r="E4017" s="6" t="s">
        <v>15</v>
      </c>
      <c r="F4017" s="7">
        <v>582</v>
      </c>
      <c r="G4017" s="7">
        <v>302538.61855670111</v>
      </c>
      <c r="H4017" s="7">
        <v>176077476</v>
      </c>
      <c r="I4017" s="7">
        <v>43917877</v>
      </c>
      <c r="J4017" s="7">
        <v>0</v>
      </c>
      <c r="K4017">
        <f t="shared" si="62"/>
        <v>120</v>
      </c>
      <c r="L4017" s="8" t="str" cm="1">
        <f t="array" ref="L4017">_xlfn.IFS(
 AND(K4017&gt;=89,K4017&lt;=92),"3개월",
 AND(K4017&gt;=58,K4017&lt;=62),"2개월",
 AND(K4017&gt;=28,K4017&lt;=32),"1개월",
 AND(K4017=0),"당월",
 TRUE,"그외"
)</f>
        <v>그외</v>
      </c>
    </row>
    <row r="4018" spans="1:12" x14ac:dyDescent="0.3">
      <c r="A4018" s="5">
        <v>46082</v>
      </c>
      <c r="B4018" s="6" t="s">
        <v>75</v>
      </c>
      <c r="C4018" s="6" t="s">
        <v>77</v>
      </c>
      <c r="D4018" s="5">
        <v>45992</v>
      </c>
      <c r="E4018" s="6" t="s">
        <v>14</v>
      </c>
      <c r="F4018" s="7">
        <v>282</v>
      </c>
      <c r="G4018" s="7">
        <v>300361.88652482268</v>
      </c>
      <c r="H4018" s="7">
        <v>84702052</v>
      </c>
      <c r="I4018" s="7">
        <v>21143080</v>
      </c>
      <c r="J4018" s="7">
        <v>0</v>
      </c>
      <c r="K4018">
        <f t="shared" si="62"/>
        <v>90</v>
      </c>
      <c r="L4018" s="8" t="str" cm="1">
        <f t="array" ref="L4018">_xlfn.IFS(
 AND(K4018&gt;=89,K4018&lt;=92),"3개월",
 AND(K4018&gt;=58,K4018&lt;=62),"2개월",
 AND(K4018&gt;=28,K4018&lt;=32),"1개월",
 AND(K4018=0),"당월",
 TRUE,"그외"
)</f>
        <v>3개월</v>
      </c>
    </row>
    <row r="4019" spans="1:12" x14ac:dyDescent="0.3">
      <c r="A4019" s="5">
        <v>46082</v>
      </c>
      <c r="B4019" s="6" t="s">
        <v>75</v>
      </c>
      <c r="C4019" s="6" t="s">
        <v>77</v>
      </c>
      <c r="D4019" s="5">
        <v>45992</v>
      </c>
      <c r="E4019" s="6" t="s">
        <v>15</v>
      </c>
      <c r="F4019" s="7">
        <v>420</v>
      </c>
      <c r="G4019" s="7">
        <v>318564.49523809517</v>
      </c>
      <c r="H4019" s="7">
        <v>133797088</v>
      </c>
      <c r="I4019" s="7">
        <v>31715486</v>
      </c>
      <c r="J4019" s="7">
        <v>0</v>
      </c>
      <c r="K4019">
        <f t="shared" si="62"/>
        <v>90</v>
      </c>
      <c r="L4019" s="8" t="str" cm="1">
        <f t="array" ref="L4019">_xlfn.IFS(
 AND(K4019&gt;=89,K4019&lt;=92),"3개월",
 AND(K4019&gt;=58,K4019&lt;=62),"2개월",
 AND(K4019&gt;=28,K4019&lt;=32),"1개월",
 AND(K4019=0),"당월",
 TRUE,"그외"
)</f>
        <v>3개월</v>
      </c>
    </row>
    <row r="4020" spans="1:12" x14ac:dyDescent="0.3">
      <c r="A4020" s="5">
        <v>46082</v>
      </c>
      <c r="B4020" s="6" t="s">
        <v>75</v>
      </c>
      <c r="C4020" s="6" t="s">
        <v>77</v>
      </c>
      <c r="D4020" s="5">
        <v>46023</v>
      </c>
      <c r="E4020" s="6" t="s">
        <v>14</v>
      </c>
      <c r="F4020" s="7">
        <v>893</v>
      </c>
      <c r="G4020" s="7">
        <v>381281.67637178052</v>
      </c>
      <c r="H4020" s="7">
        <v>340484537</v>
      </c>
      <c r="I4020" s="7">
        <v>67281354</v>
      </c>
      <c r="J4020" s="7">
        <v>0</v>
      </c>
      <c r="K4020">
        <f t="shared" si="62"/>
        <v>59</v>
      </c>
      <c r="L4020" s="8" t="str" cm="1">
        <f t="array" ref="L4020">_xlfn.IFS(
 AND(K4020&gt;=89,K4020&lt;=92),"3개월",
 AND(K4020&gt;=58,K4020&lt;=62),"2개월",
 AND(K4020&gt;=28,K4020&lt;=32),"1개월",
 AND(K4020=0),"당월",
 TRUE,"그외"
)</f>
        <v>2개월</v>
      </c>
    </row>
    <row r="4021" spans="1:12" x14ac:dyDescent="0.3">
      <c r="A4021" s="5">
        <v>46082</v>
      </c>
      <c r="B4021" s="6" t="s">
        <v>75</v>
      </c>
      <c r="C4021" s="6" t="s">
        <v>77</v>
      </c>
      <c r="D4021" s="5">
        <v>46023</v>
      </c>
      <c r="E4021" s="6" t="s">
        <v>15</v>
      </c>
      <c r="F4021" s="7">
        <v>2780</v>
      </c>
      <c r="G4021" s="7">
        <v>287758.50647482008</v>
      </c>
      <c r="H4021" s="7">
        <v>799968648</v>
      </c>
      <c r="I4021" s="7">
        <v>207581207</v>
      </c>
      <c r="J4021" s="7">
        <v>0</v>
      </c>
      <c r="K4021">
        <f t="shared" si="62"/>
        <v>59</v>
      </c>
      <c r="L4021" s="8" t="str" cm="1">
        <f t="array" ref="L4021">_xlfn.IFS(
 AND(K4021&gt;=89,K4021&lt;=92),"3개월",
 AND(K4021&gt;=58,K4021&lt;=62),"2개월",
 AND(K4021&gt;=28,K4021&lt;=32),"1개월",
 AND(K4021=0),"당월",
 TRUE,"그외"
)</f>
        <v>2개월</v>
      </c>
    </row>
    <row r="4022" spans="1:12" x14ac:dyDescent="0.3">
      <c r="A4022" s="5">
        <v>46082</v>
      </c>
      <c r="B4022" s="6" t="s">
        <v>75</v>
      </c>
      <c r="C4022" s="6" t="s">
        <v>77</v>
      </c>
      <c r="D4022" s="5">
        <v>46054</v>
      </c>
      <c r="E4022" s="6" t="s">
        <v>14</v>
      </c>
      <c r="F4022" s="7">
        <v>2353</v>
      </c>
      <c r="G4022" s="7">
        <v>328035.17977050581</v>
      </c>
      <c r="H4022" s="7">
        <v>771866778</v>
      </c>
      <c r="I4022" s="7">
        <v>208796845</v>
      </c>
      <c r="J4022" s="7">
        <v>0</v>
      </c>
      <c r="K4022">
        <f t="shared" si="62"/>
        <v>28</v>
      </c>
      <c r="L4022" s="8" t="str" cm="1">
        <f t="array" ref="L4022">_xlfn.IFS(
 AND(K4022&gt;=89,K4022&lt;=92),"3개월",
 AND(K4022&gt;=58,K4022&lt;=62),"2개월",
 AND(K4022&gt;=28,K4022&lt;=32),"1개월",
 AND(K4022=0),"당월",
 TRUE,"그외"
)</f>
        <v>1개월</v>
      </c>
    </row>
    <row r="4023" spans="1:12" x14ac:dyDescent="0.3">
      <c r="A4023" s="5">
        <v>46082</v>
      </c>
      <c r="B4023" s="6" t="s">
        <v>75</v>
      </c>
      <c r="C4023" s="6" t="s">
        <v>77</v>
      </c>
      <c r="D4023" s="5">
        <v>46054</v>
      </c>
      <c r="E4023" s="6" t="s">
        <v>15</v>
      </c>
      <c r="F4023" s="7">
        <v>1720</v>
      </c>
      <c r="G4023" s="7">
        <v>431192.8843023256</v>
      </c>
      <c r="H4023" s="7">
        <v>741651761</v>
      </c>
      <c r="I4023" s="7">
        <v>150367943</v>
      </c>
      <c r="J4023" s="7">
        <v>0</v>
      </c>
      <c r="K4023">
        <f t="shared" si="62"/>
        <v>28</v>
      </c>
      <c r="L4023" s="8" t="str" cm="1">
        <f t="array" ref="L4023">_xlfn.IFS(
 AND(K4023&gt;=89,K4023&lt;=92),"3개월",
 AND(K4023&gt;=58,K4023&lt;=62),"2개월",
 AND(K4023&gt;=28,K4023&lt;=32),"1개월",
 AND(K4023=0),"당월",
 TRUE,"그외"
)</f>
        <v>1개월</v>
      </c>
    </row>
    <row r="4024" spans="1:12" x14ac:dyDescent="0.3">
      <c r="A4024" s="5">
        <v>46082</v>
      </c>
      <c r="B4024" s="6" t="s">
        <v>75</v>
      </c>
      <c r="C4024" s="6" t="s">
        <v>77</v>
      </c>
      <c r="D4024" s="5">
        <v>46082</v>
      </c>
      <c r="E4024" s="6" t="s">
        <v>14</v>
      </c>
      <c r="F4024" s="7">
        <v>263</v>
      </c>
      <c r="G4024" s="7">
        <v>279129.90494296578</v>
      </c>
      <c r="H4024" s="7">
        <v>73411165</v>
      </c>
      <c r="I4024" s="7">
        <v>23032237</v>
      </c>
      <c r="J4024" s="7">
        <v>0</v>
      </c>
      <c r="K4024">
        <f t="shared" si="62"/>
        <v>0</v>
      </c>
      <c r="L4024" s="8" t="str" cm="1">
        <f t="array" ref="L4024">_xlfn.IFS(
 AND(K4024&gt;=89,K4024&lt;=92),"3개월",
 AND(K4024&gt;=58,K4024&lt;=62),"2개월",
 AND(K4024&gt;=28,K4024&lt;=32),"1개월",
 AND(K4024=0),"당월",
 TRUE,"그외"
)</f>
        <v>당월</v>
      </c>
    </row>
    <row r="4025" spans="1:12" x14ac:dyDescent="0.3">
      <c r="A4025" s="5">
        <v>46082</v>
      </c>
      <c r="B4025" s="6" t="s">
        <v>75</v>
      </c>
      <c r="C4025" s="6" t="s">
        <v>77</v>
      </c>
      <c r="D4025" s="5">
        <v>46082</v>
      </c>
      <c r="E4025" s="6" t="s">
        <v>15</v>
      </c>
      <c r="F4025" s="7">
        <v>381</v>
      </c>
      <c r="G4025" s="7">
        <v>439524.56692913378</v>
      </c>
      <c r="H4025" s="7">
        <v>167458860</v>
      </c>
      <c r="I4025" s="7">
        <v>31887598</v>
      </c>
      <c r="J4025" s="7">
        <v>0</v>
      </c>
      <c r="K4025">
        <f t="shared" si="62"/>
        <v>0</v>
      </c>
      <c r="L4025" s="8" t="str" cm="1">
        <f t="array" ref="L4025">_xlfn.IFS(
 AND(K4025&gt;=89,K4025&lt;=92),"3개월",
 AND(K4025&gt;=58,K4025&lt;=62),"2개월",
 AND(K4025&gt;=28,K4025&lt;=32),"1개월",
 AND(K4025=0),"당월",
 TRUE,"그외"
)</f>
        <v>당월</v>
      </c>
    </row>
    <row r="4026" spans="1:12" x14ac:dyDescent="0.3">
      <c r="A4026" s="5">
        <v>46082</v>
      </c>
      <c r="B4026" s="6" t="s">
        <v>75</v>
      </c>
      <c r="C4026" s="6" t="s">
        <v>121</v>
      </c>
      <c r="D4026" s="5">
        <v>46082</v>
      </c>
      <c r="E4026" s="6" t="s">
        <v>15</v>
      </c>
      <c r="F4026" s="7">
        <v>1130</v>
      </c>
      <c r="G4026" s="7">
        <v>310325.37345132738</v>
      </c>
      <c r="H4026" s="7">
        <v>350667672</v>
      </c>
      <c r="I4026" s="7">
        <v>0</v>
      </c>
      <c r="J4026" s="7">
        <v>0</v>
      </c>
      <c r="K4026">
        <f t="shared" si="62"/>
        <v>0</v>
      </c>
      <c r="L4026" s="8" t="str" cm="1">
        <f t="array" ref="L4026">_xlfn.IFS(
 AND(K4026&gt;=89,K4026&lt;=92),"3개월",
 AND(K4026&gt;=58,K4026&lt;=62),"2개월",
 AND(K4026&gt;=28,K4026&lt;=32),"1개월",
 AND(K4026=0),"당월",
 TRUE,"그외"
)</f>
        <v>당월</v>
      </c>
    </row>
    <row r="4027" spans="1:12" x14ac:dyDescent="0.3">
      <c r="A4027" s="5">
        <v>46082</v>
      </c>
      <c r="B4027" s="6" t="s">
        <v>75</v>
      </c>
      <c r="C4027" s="6" t="s">
        <v>78</v>
      </c>
      <c r="D4027" s="5">
        <v>46054</v>
      </c>
      <c r="E4027" s="6" t="s">
        <v>14</v>
      </c>
      <c r="F4027" s="7">
        <v>285</v>
      </c>
      <c r="G4027" s="7">
        <v>257386.82456140351</v>
      </c>
      <c r="H4027" s="7">
        <v>73355245</v>
      </c>
      <c r="I4027" s="7">
        <v>0</v>
      </c>
      <c r="J4027" s="7">
        <v>0</v>
      </c>
      <c r="K4027">
        <f t="shared" si="62"/>
        <v>28</v>
      </c>
      <c r="L4027" s="8" t="str" cm="1">
        <f t="array" ref="L4027">_xlfn.IFS(
 AND(K4027&gt;=89,K4027&lt;=92),"3개월",
 AND(K4027&gt;=58,K4027&lt;=62),"2개월",
 AND(K4027&gt;=28,K4027&lt;=32),"1개월",
 AND(K4027=0),"당월",
 TRUE,"그외"
)</f>
        <v>1개월</v>
      </c>
    </row>
    <row r="4028" spans="1:12" x14ac:dyDescent="0.3">
      <c r="A4028" s="5">
        <v>46082</v>
      </c>
      <c r="B4028" s="6" t="s">
        <v>75</v>
      </c>
      <c r="C4028" s="6" t="s">
        <v>78</v>
      </c>
      <c r="D4028" s="5">
        <v>46054</v>
      </c>
      <c r="E4028" s="6" t="s">
        <v>15</v>
      </c>
      <c r="F4028" s="7">
        <v>2288</v>
      </c>
      <c r="G4028" s="7">
        <v>116420.3666958042</v>
      </c>
      <c r="H4028" s="7">
        <v>266369799</v>
      </c>
      <c r="I4028" s="7">
        <v>0</v>
      </c>
      <c r="J4028" s="7">
        <v>0</v>
      </c>
      <c r="K4028">
        <f t="shared" si="62"/>
        <v>28</v>
      </c>
      <c r="L4028" s="8" t="str" cm="1">
        <f t="array" ref="L4028">_xlfn.IFS(
 AND(K4028&gt;=89,K4028&lt;=92),"3개월",
 AND(K4028&gt;=58,K4028&lt;=62),"2개월",
 AND(K4028&gt;=28,K4028&lt;=32),"1개월",
 AND(K4028=0),"당월",
 TRUE,"그외"
)</f>
        <v>1개월</v>
      </c>
    </row>
    <row r="4029" spans="1:12" x14ac:dyDescent="0.3">
      <c r="A4029" s="5">
        <v>46082</v>
      </c>
      <c r="B4029" s="6" t="s">
        <v>75</v>
      </c>
      <c r="C4029" s="6" t="s">
        <v>78</v>
      </c>
      <c r="D4029" s="5">
        <v>46082</v>
      </c>
      <c r="E4029" s="6" t="s">
        <v>14</v>
      </c>
      <c r="F4029" s="7">
        <v>458</v>
      </c>
      <c r="G4029" s="7">
        <v>254213.22270742361</v>
      </c>
      <c r="H4029" s="7">
        <v>116429656</v>
      </c>
      <c r="I4029" s="7">
        <v>0</v>
      </c>
      <c r="J4029" s="7">
        <v>0</v>
      </c>
      <c r="K4029">
        <f t="shared" si="62"/>
        <v>0</v>
      </c>
      <c r="L4029" s="8" t="str" cm="1">
        <f t="array" ref="L4029">_xlfn.IFS(
 AND(K4029&gt;=89,K4029&lt;=92),"3개월",
 AND(K4029&gt;=58,K4029&lt;=62),"2개월",
 AND(K4029&gt;=28,K4029&lt;=32),"1개월",
 AND(K4029=0),"당월",
 TRUE,"그외"
)</f>
        <v>당월</v>
      </c>
    </row>
    <row r="4030" spans="1:12" x14ac:dyDescent="0.3">
      <c r="A4030" s="5">
        <v>46082</v>
      </c>
      <c r="B4030" s="6" t="s">
        <v>75</v>
      </c>
      <c r="C4030" s="6" t="s">
        <v>78</v>
      </c>
      <c r="D4030" s="5">
        <v>46082</v>
      </c>
      <c r="E4030" s="6" t="s">
        <v>15</v>
      </c>
      <c r="F4030" s="7">
        <v>6524</v>
      </c>
      <c r="G4030" s="7">
        <v>388134.73543838138</v>
      </c>
      <c r="H4030" s="7">
        <v>2532191014</v>
      </c>
      <c r="I4030" s="7">
        <v>0</v>
      </c>
      <c r="J4030" s="7">
        <v>0</v>
      </c>
      <c r="K4030">
        <f t="shared" si="62"/>
        <v>0</v>
      </c>
      <c r="L4030" s="8" t="str" cm="1">
        <f t="array" ref="L4030">_xlfn.IFS(
 AND(K4030&gt;=89,K4030&lt;=92),"3개월",
 AND(K4030&gt;=58,K4030&lt;=62),"2개월",
 AND(K4030&gt;=28,K4030&lt;=32),"1개월",
 AND(K4030=0),"당월",
 TRUE,"그외"
)</f>
        <v>당월</v>
      </c>
    </row>
    <row r="4031" spans="1:12" x14ac:dyDescent="0.3">
      <c r="A4031" s="5">
        <v>46082</v>
      </c>
      <c r="B4031" s="6" t="s">
        <v>75</v>
      </c>
      <c r="C4031" s="6" t="s">
        <v>79</v>
      </c>
      <c r="D4031" s="5">
        <v>45839</v>
      </c>
      <c r="E4031" s="6" t="s">
        <v>15</v>
      </c>
      <c r="F4031" s="7">
        <v>3</v>
      </c>
      <c r="G4031" s="7">
        <v>193600</v>
      </c>
      <c r="H4031" s="7">
        <v>580800</v>
      </c>
      <c r="I4031" s="7">
        <v>49500</v>
      </c>
      <c r="J4031" s="7">
        <v>0</v>
      </c>
      <c r="K4031">
        <f t="shared" si="62"/>
        <v>243</v>
      </c>
      <c r="L4031" s="8" t="str" cm="1">
        <f t="array" ref="L4031">_xlfn.IFS(
 AND(K4031&gt;=89,K4031&lt;=92),"3개월",
 AND(K4031&gt;=58,K4031&lt;=62),"2개월",
 AND(K4031&gt;=28,K4031&lt;=32),"1개월",
 AND(K4031=0),"당월",
 TRUE,"그외"
)</f>
        <v>그외</v>
      </c>
    </row>
    <row r="4032" spans="1:12" x14ac:dyDescent="0.3">
      <c r="A4032" s="5">
        <v>46082</v>
      </c>
      <c r="B4032" s="6" t="s">
        <v>75</v>
      </c>
      <c r="C4032" s="6" t="s">
        <v>79</v>
      </c>
      <c r="D4032" s="5">
        <v>45870</v>
      </c>
      <c r="E4032" s="6" t="s">
        <v>15</v>
      </c>
      <c r="F4032" s="7">
        <v>25</v>
      </c>
      <c r="G4032" s="7">
        <v>147444</v>
      </c>
      <c r="H4032" s="7">
        <v>3686100</v>
      </c>
      <c r="I4032" s="7">
        <v>650000</v>
      </c>
      <c r="J4032" s="7">
        <v>0</v>
      </c>
      <c r="K4032">
        <f t="shared" si="62"/>
        <v>212</v>
      </c>
      <c r="L4032" s="8" t="str" cm="1">
        <f t="array" ref="L4032">_xlfn.IFS(
 AND(K4032&gt;=89,K4032&lt;=92),"3개월",
 AND(K4032&gt;=58,K4032&lt;=62),"2개월",
 AND(K4032&gt;=28,K4032&lt;=32),"1개월",
 AND(K4032=0),"당월",
 TRUE,"그외"
)</f>
        <v>그외</v>
      </c>
    </row>
    <row r="4033" spans="1:12" x14ac:dyDescent="0.3">
      <c r="A4033" s="5">
        <v>46082</v>
      </c>
      <c r="B4033" s="6" t="s">
        <v>75</v>
      </c>
      <c r="C4033" s="6" t="s">
        <v>79</v>
      </c>
      <c r="D4033" s="5">
        <v>45901</v>
      </c>
      <c r="E4033" s="6" t="s">
        <v>14</v>
      </c>
      <c r="F4033" s="7">
        <v>16</v>
      </c>
      <c r="G4033" s="7">
        <v>117300</v>
      </c>
      <c r="H4033" s="7">
        <v>1876800</v>
      </c>
      <c r="I4033" s="7">
        <v>420800</v>
      </c>
      <c r="J4033" s="7">
        <v>0</v>
      </c>
      <c r="K4033">
        <f t="shared" si="62"/>
        <v>181</v>
      </c>
      <c r="L4033" s="8" t="str" cm="1">
        <f t="array" ref="L4033">_xlfn.IFS(
 AND(K4033&gt;=89,K4033&lt;=92),"3개월",
 AND(K4033&gt;=58,K4033&lt;=62),"2개월",
 AND(K4033&gt;=28,K4033&lt;=32),"1개월",
 AND(K4033=0),"당월",
 TRUE,"그외"
)</f>
        <v>그외</v>
      </c>
    </row>
    <row r="4034" spans="1:12" x14ac:dyDescent="0.3">
      <c r="A4034" s="5">
        <v>46082</v>
      </c>
      <c r="B4034" s="6" t="s">
        <v>75</v>
      </c>
      <c r="C4034" s="6" t="s">
        <v>79</v>
      </c>
      <c r="D4034" s="5">
        <v>45901</v>
      </c>
      <c r="E4034" s="6" t="s">
        <v>15</v>
      </c>
      <c r="F4034" s="7">
        <v>18</v>
      </c>
      <c r="G4034" s="7">
        <v>124307.2222222222</v>
      </c>
      <c r="H4034" s="7">
        <v>2237530</v>
      </c>
      <c r="I4034" s="7">
        <v>473400</v>
      </c>
      <c r="J4034" s="7">
        <v>0</v>
      </c>
      <c r="K4034">
        <f t="shared" si="62"/>
        <v>181</v>
      </c>
      <c r="L4034" s="8" t="str" cm="1">
        <f t="array" ref="L4034">_xlfn.IFS(
 AND(K4034&gt;=89,K4034&lt;=92),"3개월",
 AND(K4034&gt;=58,K4034&lt;=62),"2개월",
 AND(K4034&gt;=28,K4034&lt;=32),"1개월",
 AND(K4034=0),"당월",
 TRUE,"그외"
)</f>
        <v>그외</v>
      </c>
    </row>
    <row r="4035" spans="1:12" x14ac:dyDescent="0.3">
      <c r="A4035" s="5">
        <v>46082</v>
      </c>
      <c r="B4035" s="6" t="s">
        <v>75</v>
      </c>
      <c r="C4035" s="6" t="s">
        <v>79</v>
      </c>
      <c r="D4035" s="5">
        <v>45931</v>
      </c>
      <c r="E4035" s="6" t="s">
        <v>15</v>
      </c>
      <c r="F4035" s="7">
        <v>22</v>
      </c>
      <c r="G4035" s="7">
        <v>147110.81818181821</v>
      </c>
      <c r="H4035" s="7">
        <v>3236438</v>
      </c>
      <c r="I4035" s="7">
        <v>580800</v>
      </c>
      <c r="J4035" s="7">
        <v>0</v>
      </c>
      <c r="K4035">
        <f t="shared" si="62"/>
        <v>151</v>
      </c>
      <c r="L4035" s="8" t="str" cm="1">
        <f t="array" ref="L4035">_xlfn.IFS(
 AND(K4035&gt;=89,K4035&lt;=92),"3개월",
 AND(K4035&gt;=58,K4035&lt;=62),"2개월",
 AND(K4035&gt;=28,K4035&lt;=32),"1개월",
 AND(K4035=0),"당월",
 TRUE,"그외"
)</f>
        <v>그외</v>
      </c>
    </row>
    <row r="4036" spans="1:12" x14ac:dyDescent="0.3">
      <c r="A4036" s="5">
        <v>46082</v>
      </c>
      <c r="B4036" s="6" t="s">
        <v>75</v>
      </c>
      <c r="C4036" s="6" t="s">
        <v>79</v>
      </c>
      <c r="D4036" s="5">
        <v>45962</v>
      </c>
      <c r="E4036" s="6" t="s">
        <v>14</v>
      </c>
      <c r="F4036" s="7">
        <v>75</v>
      </c>
      <c r="G4036" s="7">
        <v>143820</v>
      </c>
      <c r="H4036" s="7">
        <v>10786500</v>
      </c>
      <c r="I4036" s="7">
        <v>2001000</v>
      </c>
      <c r="J4036" s="7">
        <v>0</v>
      </c>
      <c r="K4036">
        <f t="shared" si="62"/>
        <v>120</v>
      </c>
      <c r="L4036" s="8" t="str" cm="1">
        <f t="array" ref="L4036">_xlfn.IFS(
 AND(K4036&gt;=89,K4036&lt;=92),"3개월",
 AND(K4036&gt;=58,K4036&lt;=62),"2개월",
 AND(K4036&gt;=28,K4036&lt;=32),"1개월",
 AND(K4036=0),"당월",
 TRUE,"그외"
)</f>
        <v>그외</v>
      </c>
    </row>
    <row r="4037" spans="1:12" x14ac:dyDescent="0.3">
      <c r="A4037" s="5">
        <v>46082</v>
      </c>
      <c r="B4037" s="6" t="s">
        <v>75</v>
      </c>
      <c r="C4037" s="6" t="s">
        <v>79</v>
      </c>
      <c r="D4037" s="5">
        <v>45962</v>
      </c>
      <c r="E4037" s="6" t="s">
        <v>15</v>
      </c>
      <c r="F4037" s="7">
        <v>246</v>
      </c>
      <c r="G4037" s="7">
        <v>145703.15447154469</v>
      </c>
      <c r="H4037" s="7">
        <v>35842976</v>
      </c>
      <c r="I4037" s="7">
        <v>6610906</v>
      </c>
      <c r="J4037" s="7">
        <v>0</v>
      </c>
      <c r="K4037">
        <f t="shared" si="62"/>
        <v>120</v>
      </c>
      <c r="L4037" s="8" t="str" cm="1">
        <f t="array" ref="L4037">_xlfn.IFS(
 AND(K4037&gt;=89,K4037&lt;=92),"3개월",
 AND(K4037&gt;=58,K4037&lt;=62),"2개월",
 AND(K4037&gt;=28,K4037&lt;=32),"1개월",
 AND(K4037=0),"당월",
 TRUE,"그외"
)</f>
        <v>그외</v>
      </c>
    </row>
    <row r="4038" spans="1:12" x14ac:dyDescent="0.3">
      <c r="A4038" s="5">
        <v>46082</v>
      </c>
      <c r="B4038" s="6" t="s">
        <v>75</v>
      </c>
      <c r="C4038" s="6" t="s">
        <v>79</v>
      </c>
      <c r="D4038" s="5">
        <v>45992</v>
      </c>
      <c r="E4038" s="6" t="s">
        <v>14</v>
      </c>
      <c r="F4038" s="7">
        <v>262</v>
      </c>
      <c r="G4038" s="7">
        <v>127270.6106870229</v>
      </c>
      <c r="H4038" s="7">
        <v>33344900</v>
      </c>
      <c r="I4038" s="7">
        <v>8305400</v>
      </c>
      <c r="J4038" s="7">
        <v>0</v>
      </c>
      <c r="K4038">
        <f t="shared" si="62"/>
        <v>90</v>
      </c>
      <c r="L4038" s="8" t="str" cm="1">
        <f t="array" ref="L4038">_xlfn.IFS(
 AND(K4038&gt;=89,K4038&lt;=92),"3개월",
 AND(K4038&gt;=58,K4038&lt;=62),"2개월",
 AND(K4038&gt;=28,K4038&lt;=32),"1개월",
 AND(K4038=0),"당월",
 TRUE,"그외"
)</f>
        <v>3개월</v>
      </c>
    </row>
    <row r="4039" spans="1:12" x14ac:dyDescent="0.3">
      <c r="A4039" s="5">
        <v>46082</v>
      </c>
      <c r="B4039" s="6" t="s">
        <v>75</v>
      </c>
      <c r="C4039" s="6" t="s">
        <v>79</v>
      </c>
      <c r="D4039" s="5">
        <v>45992</v>
      </c>
      <c r="E4039" s="6" t="s">
        <v>15</v>
      </c>
      <c r="F4039" s="7">
        <v>209</v>
      </c>
      <c r="G4039" s="7">
        <v>184983.22966507179</v>
      </c>
      <c r="H4039" s="7">
        <v>38661495</v>
      </c>
      <c r="I4039" s="7">
        <v>7789997</v>
      </c>
      <c r="J4039" s="7">
        <v>0</v>
      </c>
      <c r="K4039">
        <f t="shared" si="62"/>
        <v>90</v>
      </c>
      <c r="L4039" s="8" t="str" cm="1">
        <f t="array" ref="L4039">_xlfn.IFS(
 AND(K4039&gt;=89,K4039&lt;=92),"3개월",
 AND(K4039&gt;=58,K4039&lt;=62),"2개월",
 AND(K4039&gt;=28,K4039&lt;=32),"1개월",
 AND(K4039=0),"당월",
 TRUE,"그외"
)</f>
        <v>3개월</v>
      </c>
    </row>
    <row r="4040" spans="1:12" x14ac:dyDescent="0.3">
      <c r="A4040" s="5">
        <v>46082</v>
      </c>
      <c r="B4040" s="6" t="s">
        <v>75</v>
      </c>
      <c r="C4040" s="6" t="s">
        <v>79</v>
      </c>
      <c r="D4040" s="5">
        <v>46023</v>
      </c>
      <c r="E4040" s="6" t="s">
        <v>14</v>
      </c>
      <c r="F4040" s="7">
        <v>1841</v>
      </c>
      <c r="G4040" s="7">
        <v>116474.9592612711</v>
      </c>
      <c r="H4040" s="7">
        <v>214430400</v>
      </c>
      <c r="I4040" s="7">
        <v>57106400</v>
      </c>
      <c r="J4040" s="7">
        <v>0</v>
      </c>
      <c r="K4040">
        <f t="shared" si="62"/>
        <v>59</v>
      </c>
      <c r="L4040" s="8" t="str" cm="1">
        <f t="array" ref="L4040">_xlfn.IFS(
 AND(K4040&gt;=89,K4040&lt;=92),"3개월",
 AND(K4040&gt;=58,K4040&lt;=62),"2개월",
 AND(K4040&gt;=28,K4040&lt;=32),"1개월",
 AND(K4040=0),"당월",
 TRUE,"그외"
)</f>
        <v>2개월</v>
      </c>
    </row>
    <row r="4041" spans="1:12" x14ac:dyDescent="0.3">
      <c r="A4041" s="5">
        <v>46082</v>
      </c>
      <c r="B4041" s="6" t="s">
        <v>75</v>
      </c>
      <c r="C4041" s="6" t="s">
        <v>79</v>
      </c>
      <c r="D4041" s="5">
        <v>46023</v>
      </c>
      <c r="E4041" s="6" t="s">
        <v>15</v>
      </c>
      <c r="F4041" s="7">
        <v>661</v>
      </c>
      <c r="G4041" s="7">
        <v>180582.70953101359</v>
      </c>
      <c r="H4041" s="7">
        <v>119365171</v>
      </c>
      <c r="I4041" s="7">
        <v>25073290</v>
      </c>
      <c r="J4041" s="7">
        <v>0</v>
      </c>
      <c r="K4041">
        <f t="shared" si="62"/>
        <v>59</v>
      </c>
      <c r="L4041" s="8" t="str" cm="1">
        <f t="array" ref="L4041">_xlfn.IFS(
 AND(K4041&gt;=89,K4041&lt;=92),"3개월",
 AND(K4041&gt;=58,K4041&lt;=62),"2개월",
 AND(K4041&gt;=28,K4041&lt;=32),"1개월",
 AND(K4041=0),"당월",
 TRUE,"그외"
)</f>
        <v>2개월</v>
      </c>
    </row>
    <row r="4042" spans="1:12" x14ac:dyDescent="0.3">
      <c r="A4042" s="5">
        <v>46082</v>
      </c>
      <c r="B4042" s="6" t="s">
        <v>75</v>
      </c>
      <c r="C4042" s="6" t="s">
        <v>79</v>
      </c>
      <c r="D4042" s="5">
        <v>46054</v>
      </c>
      <c r="E4042" s="6" t="s">
        <v>14</v>
      </c>
      <c r="F4042" s="7">
        <v>2542</v>
      </c>
      <c r="G4042" s="7">
        <v>115567.26986624709</v>
      </c>
      <c r="H4042" s="7">
        <v>293772000</v>
      </c>
      <c r="I4042" s="7">
        <v>53766000</v>
      </c>
      <c r="J4042" s="7">
        <v>0</v>
      </c>
      <c r="K4042">
        <f t="shared" ref="K4042:K4105" si="63">A4042-D4042</f>
        <v>28</v>
      </c>
      <c r="L4042" s="8" t="str" cm="1">
        <f t="array" ref="L4042">_xlfn.IFS(
 AND(K4042&gt;=89,K4042&lt;=92),"3개월",
 AND(K4042&gt;=58,K4042&lt;=62),"2개월",
 AND(K4042&gt;=28,K4042&lt;=32),"1개월",
 AND(K4042=0),"당월",
 TRUE,"그외"
)</f>
        <v>1개월</v>
      </c>
    </row>
    <row r="4043" spans="1:12" x14ac:dyDescent="0.3">
      <c r="A4043" s="5">
        <v>46082</v>
      </c>
      <c r="B4043" s="6" t="s">
        <v>75</v>
      </c>
      <c r="C4043" s="6" t="s">
        <v>79</v>
      </c>
      <c r="D4043" s="5">
        <v>46054</v>
      </c>
      <c r="E4043" s="6" t="s">
        <v>15</v>
      </c>
      <c r="F4043" s="7">
        <v>1871</v>
      </c>
      <c r="G4043" s="7">
        <v>152832.34740780329</v>
      </c>
      <c r="H4043" s="7">
        <v>285949322</v>
      </c>
      <c r="I4043" s="7">
        <v>61120707</v>
      </c>
      <c r="J4043" s="7">
        <v>0</v>
      </c>
      <c r="K4043">
        <f t="shared" si="63"/>
        <v>28</v>
      </c>
      <c r="L4043" s="8" t="str" cm="1">
        <f t="array" ref="L4043">_xlfn.IFS(
 AND(K4043&gt;=89,K4043&lt;=92),"3개월",
 AND(K4043&gt;=58,K4043&lt;=62),"2개월",
 AND(K4043&gt;=28,K4043&lt;=32),"1개월",
 AND(K4043=0),"당월",
 TRUE,"그외"
)</f>
        <v>1개월</v>
      </c>
    </row>
    <row r="4044" spans="1:12" x14ac:dyDescent="0.3">
      <c r="A4044" s="5">
        <v>46082</v>
      </c>
      <c r="B4044" s="6" t="s">
        <v>75</v>
      </c>
      <c r="C4044" s="6" t="s">
        <v>79</v>
      </c>
      <c r="D4044" s="5">
        <v>46082</v>
      </c>
      <c r="E4044" s="6" t="s">
        <v>14</v>
      </c>
      <c r="F4044" s="7">
        <v>966</v>
      </c>
      <c r="G4044" s="7">
        <v>119741.4078674948</v>
      </c>
      <c r="H4044" s="7">
        <v>115670200</v>
      </c>
      <c r="I4044" s="7">
        <v>26928200</v>
      </c>
      <c r="J4044" s="7">
        <v>0</v>
      </c>
      <c r="K4044">
        <f t="shared" si="63"/>
        <v>0</v>
      </c>
      <c r="L4044" s="8" t="str" cm="1">
        <f t="array" ref="L4044">_xlfn.IFS(
 AND(K4044&gt;=89,K4044&lt;=92),"3개월",
 AND(K4044&gt;=58,K4044&lt;=62),"2개월",
 AND(K4044&gt;=28,K4044&lt;=32),"1개월",
 AND(K4044=0),"당월",
 TRUE,"그외"
)</f>
        <v>당월</v>
      </c>
    </row>
    <row r="4045" spans="1:12" x14ac:dyDescent="0.3">
      <c r="A4045" s="5">
        <v>46082</v>
      </c>
      <c r="B4045" s="6" t="s">
        <v>75</v>
      </c>
      <c r="C4045" s="6" t="s">
        <v>79</v>
      </c>
      <c r="D4045" s="5">
        <v>46082</v>
      </c>
      <c r="E4045" s="6" t="s">
        <v>15</v>
      </c>
      <c r="F4045" s="7">
        <v>1065</v>
      </c>
      <c r="G4045" s="7">
        <v>194789.47981220661</v>
      </c>
      <c r="H4045" s="7">
        <v>207450796</v>
      </c>
      <c r="I4045" s="7">
        <v>43521787</v>
      </c>
      <c r="J4045" s="7">
        <v>0</v>
      </c>
      <c r="K4045">
        <f t="shared" si="63"/>
        <v>0</v>
      </c>
      <c r="L4045" s="8" t="str" cm="1">
        <f t="array" ref="L4045">_xlfn.IFS(
 AND(K4045&gt;=89,K4045&lt;=92),"3개월",
 AND(K4045&gt;=58,K4045&lt;=62),"2개월",
 AND(K4045&gt;=28,K4045&lt;=32),"1개월",
 AND(K4045=0),"당월",
 TRUE,"그외"
)</f>
        <v>당월</v>
      </c>
    </row>
    <row r="4046" spans="1:12" x14ac:dyDescent="0.3">
      <c r="A4046" s="5">
        <v>46082</v>
      </c>
      <c r="B4046" s="6" t="s">
        <v>75</v>
      </c>
      <c r="C4046" s="6" t="s">
        <v>80</v>
      </c>
      <c r="D4046" s="5">
        <v>45748</v>
      </c>
      <c r="E4046" s="6" t="s">
        <v>15</v>
      </c>
      <c r="F4046" s="7">
        <v>16</v>
      </c>
      <c r="G4046" s="7">
        <v>382539.5</v>
      </c>
      <c r="H4046" s="7">
        <v>6120632</v>
      </c>
      <c r="I4046" s="7">
        <v>666000</v>
      </c>
      <c r="J4046" s="7">
        <v>0</v>
      </c>
      <c r="K4046">
        <f t="shared" si="63"/>
        <v>334</v>
      </c>
      <c r="L4046" s="8" t="str" cm="1">
        <f t="array" ref="L4046">_xlfn.IFS(
 AND(K4046&gt;=89,K4046&lt;=92),"3개월",
 AND(K4046&gt;=58,K4046&lt;=62),"2개월",
 AND(K4046&gt;=28,K4046&lt;=32),"1개월",
 AND(K4046=0),"당월",
 TRUE,"그외"
)</f>
        <v>그외</v>
      </c>
    </row>
    <row r="4047" spans="1:12" x14ac:dyDescent="0.3">
      <c r="A4047" s="5">
        <v>46082</v>
      </c>
      <c r="B4047" s="6" t="s">
        <v>75</v>
      </c>
      <c r="C4047" s="6" t="s">
        <v>80</v>
      </c>
      <c r="D4047" s="5">
        <v>45778</v>
      </c>
      <c r="E4047" s="6" t="s">
        <v>15</v>
      </c>
      <c r="F4047" s="7">
        <v>19</v>
      </c>
      <c r="G4047" s="7">
        <v>382083.78947368421</v>
      </c>
      <c r="H4047" s="7">
        <v>7259592</v>
      </c>
      <c r="I4047" s="7">
        <v>269500</v>
      </c>
      <c r="J4047" s="7">
        <v>0</v>
      </c>
      <c r="K4047">
        <f t="shared" si="63"/>
        <v>304</v>
      </c>
      <c r="L4047" s="8" t="str" cm="1">
        <f t="array" ref="L4047">_xlfn.IFS(
 AND(K4047&gt;=89,K4047&lt;=92),"3개월",
 AND(K4047&gt;=58,K4047&lt;=62),"2개월",
 AND(K4047&gt;=28,K4047&lt;=32),"1개월",
 AND(K4047=0),"당월",
 TRUE,"그외"
)</f>
        <v>그외</v>
      </c>
    </row>
    <row r="4048" spans="1:12" x14ac:dyDescent="0.3">
      <c r="A4048" s="5">
        <v>46082</v>
      </c>
      <c r="B4048" s="6" t="s">
        <v>75</v>
      </c>
      <c r="C4048" s="6" t="s">
        <v>80</v>
      </c>
      <c r="D4048" s="5">
        <v>45809</v>
      </c>
      <c r="E4048" s="6" t="s">
        <v>15</v>
      </c>
      <c r="F4048" s="7">
        <v>17</v>
      </c>
      <c r="G4048" s="7">
        <v>371910.64705882361</v>
      </c>
      <c r="H4048" s="7">
        <v>6322481</v>
      </c>
      <c r="I4048" s="7">
        <v>328800</v>
      </c>
      <c r="J4048" s="7">
        <v>0</v>
      </c>
      <c r="K4048">
        <f t="shared" si="63"/>
        <v>273</v>
      </c>
      <c r="L4048" s="8" t="str" cm="1">
        <f t="array" ref="L4048">_xlfn.IFS(
 AND(K4048&gt;=89,K4048&lt;=92),"3개월",
 AND(K4048&gt;=58,K4048&lt;=62),"2개월",
 AND(K4048&gt;=28,K4048&lt;=32),"1개월",
 AND(K4048=0),"당월",
 TRUE,"그외"
)</f>
        <v>그외</v>
      </c>
    </row>
    <row r="4049" spans="1:12" x14ac:dyDescent="0.3">
      <c r="A4049" s="5">
        <v>46082</v>
      </c>
      <c r="B4049" s="6" t="s">
        <v>75</v>
      </c>
      <c r="C4049" s="6" t="s">
        <v>80</v>
      </c>
      <c r="D4049" s="5">
        <v>45839</v>
      </c>
      <c r="E4049" s="6" t="s">
        <v>15</v>
      </c>
      <c r="F4049" s="7">
        <v>54</v>
      </c>
      <c r="G4049" s="7">
        <v>359126.01851851848</v>
      </c>
      <c r="H4049" s="7">
        <v>19392805</v>
      </c>
      <c r="I4049" s="7">
        <v>1154200</v>
      </c>
      <c r="J4049" s="7">
        <v>0</v>
      </c>
      <c r="K4049">
        <f t="shared" si="63"/>
        <v>243</v>
      </c>
      <c r="L4049" s="8" t="str" cm="1">
        <f t="array" ref="L4049">_xlfn.IFS(
 AND(K4049&gt;=89,K4049&lt;=92),"3개월",
 AND(K4049&gt;=58,K4049&lt;=62),"2개월",
 AND(K4049&gt;=28,K4049&lt;=32),"1개월",
 AND(K4049=0),"당월",
 TRUE,"그외"
)</f>
        <v>그외</v>
      </c>
    </row>
    <row r="4050" spans="1:12" x14ac:dyDescent="0.3">
      <c r="A4050" s="5">
        <v>46082</v>
      </c>
      <c r="B4050" s="6" t="s">
        <v>75</v>
      </c>
      <c r="C4050" s="6" t="s">
        <v>80</v>
      </c>
      <c r="D4050" s="5">
        <v>45870</v>
      </c>
      <c r="E4050" s="6" t="s">
        <v>15</v>
      </c>
      <c r="F4050" s="7">
        <v>150</v>
      </c>
      <c r="G4050" s="7">
        <v>333971.59999999998</v>
      </c>
      <c r="H4050" s="7">
        <v>50095740</v>
      </c>
      <c r="I4050" s="7">
        <v>7627600</v>
      </c>
      <c r="J4050" s="7">
        <v>0</v>
      </c>
      <c r="K4050">
        <f t="shared" si="63"/>
        <v>212</v>
      </c>
      <c r="L4050" s="8" t="str" cm="1">
        <f t="array" ref="L4050">_xlfn.IFS(
 AND(K4050&gt;=89,K4050&lt;=92),"3개월",
 AND(K4050&gt;=58,K4050&lt;=62),"2개월",
 AND(K4050&gt;=28,K4050&lt;=32),"1개월",
 AND(K4050=0),"당월",
 TRUE,"그외"
)</f>
        <v>그외</v>
      </c>
    </row>
    <row r="4051" spans="1:12" x14ac:dyDescent="0.3">
      <c r="A4051" s="5">
        <v>46082</v>
      </c>
      <c r="B4051" s="6" t="s">
        <v>75</v>
      </c>
      <c r="C4051" s="6" t="s">
        <v>80</v>
      </c>
      <c r="D4051" s="5">
        <v>45901</v>
      </c>
      <c r="E4051" s="6" t="s">
        <v>15</v>
      </c>
      <c r="F4051" s="7">
        <v>95</v>
      </c>
      <c r="G4051" s="7">
        <v>441453.93684210518</v>
      </c>
      <c r="H4051" s="7">
        <v>41938124</v>
      </c>
      <c r="I4051" s="7">
        <v>2851800</v>
      </c>
      <c r="J4051" s="7">
        <v>0</v>
      </c>
      <c r="K4051">
        <f t="shared" si="63"/>
        <v>181</v>
      </c>
      <c r="L4051" s="8" t="str" cm="1">
        <f t="array" ref="L4051">_xlfn.IFS(
 AND(K4051&gt;=89,K4051&lt;=92),"3개월",
 AND(K4051&gt;=58,K4051&lt;=62),"2개월",
 AND(K4051&gt;=28,K4051&lt;=32),"1개월",
 AND(K4051=0),"당월",
 TRUE,"그외"
)</f>
        <v>그외</v>
      </c>
    </row>
    <row r="4052" spans="1:12" x14ac:dyDescent="0.3">
      <c r="A4052" s="5">
        <v>46082</v>
      </c>
      <c r="B4052" s="6" t="s">
        <v>75</v>
      </c>
      <c r="C4052" s="6" t="s">
        <v>80</v>
      </c>
      <c r="D4052" s="5">
        <v>45931</v>
      </c>
      <c r="E4052" s="6" t="s">
        <v>15</v>
      </c>
      <c r="F4052" s="7">
        <v>185</v>
      </c>
      <c r="G4052" s="7">
        <v>367814.91351351351</v>
      </c>
      <c r="H4052" s="7">
        <v>68045759</v>
      </c>
      <c r="I4052" s="7">
        <v>3937648</v>
      </c>
      <c r="J4052" s="7">
        <v>0</v>
      </c>
      <c r="K4052">
        <f t="shared" si="63"/>
        <v>151</v>
      </c>
      <c r="L4052" s="8" t="str" cm="1">
        <f t="array" ref="L4052">_xlfn.IFS(
 AND(K4052&gt;=89,K4052&lt;=92),"3개월",
 AND(K4052&gt;=58,K4052&lt;=62),"2개월",
 AND(K4052&gt;=28,K4052&lt;=32),"1개월",
 AND(K4052=0),"당월",
 TRUE,"그외"
)</f>
        <v>그외</v>
      </c>
    </row>
    <row r="4053" spans="1:12" x14ac:dyDescent="0.3">
      <c r="A4053" s="5">
        <v>46082</v>
      </c>
      <c r="B4053" s="6" t="s">
        <v>75</v>
      </c>
      <c r="C4053" s="6" t="s">
        <v>80</v>
      </c>
      <c r="D4053" s="5">
        <v>45962</v>
      </c>
      <c r="E4053" s="6" t="s">
        <v>14</v>
      </c>
      <c r="F4053" s="7">
        <v>446</v>
      </c>
      <c r="G4053" s="7">
        <v>172254.70852017941</v>
      </c>
      <c r="H4053" s="7">
        <v>76825600</v>
      </c>
      <c r="I4053" s="7">
        <v>28811600</v>
      </c>
      <c r="J4053" s="7">
        <v>0</v>
      </c>
      <c r="K4053">
        <f t="shared" si="63"/>
        <v>120</v>
      </c>
      <c r="L4053" s="8" t="str" cm="1">
        <f t="array" ref="L4053">_xlfn.IFS(
 AND(K4053&gt;=89,K4053&lt;=92),"3개월",
 AND(K4053&gt;=58,K4053&lt;=62),"2개월",
 AND(K4053&gt;=28,K4053&lt;=32),"1개월",
 AND(K4053=0),"당월",
 TRUE,"그외"
)</f>
        <v>그외</v>
      </c>
    </row>
    <row r="4054" spans="1:12" x14ac:dyDescent="0.3">
      <c r="A4054" s="5">
        <v>46082</v>
      </c>
      <c r="B4054" s="6" t="s">
        <v>75</v>
      </c>
      <c r="C4054" s="6" t="s">
        <v>80</v>
      </c>
      <c r="D4054" s="5">
        <v>45962</v>
      </c>
      <c r="E4054" s="6" t="s">
        <v>15</v>
      </c>
      <c r="F4054" s="7">
        <v>231</v>
      </c>
      <c r="G4054" s="7">
        <v>425051.70129870129</v>
      </c>
      <c r="H4054" s="7">
        <v>98186943</v>
      </c>
      <c r="I4054" s="7">
        <v>5888262</v>
      </c>
      <c r="J4054" s="7">
        <v>0</v>
      </c>
      <c r="K4054">
        <f t="shared" si="63"/>
        <v>120</v>
      </c>
      <c r="L4054" s="8" t="str" cm="1">
        <f t="array" ref="L4054">_xlfn.IFS(
 AND(K4054&gt;=89,K4054&lt;=92),"3개월",
 AND(K4054&gt;=58,K4054&lt;=62),"2개월",
 AND(K4054&gt;=28,K4054&lt;=32),"1개월",
 AND(K4054=0),"당월",
 TRUE,"그외"
)</f>
        <v>그외</v>
      </c>
    </row>
    <row r="4055" spans="1:12" x14ac:dyDescent="0.3">
      <c r="A4055" s="5">
        <v>46082</v>
      </c>
      <c r="B4055" s="6" t="s">
        <v>75</v>
      </c>
      <c r="C4055" s="6" t="s">
        <v>80</v>
      </c>
      <c r="D4055" s="5">
        <v>45992</v>
      </c>
      <c r="E4055" s="6" t="s">
        <v>14</v>
      </c>
      <c r="F4055" s="7">
        <v>88</v>
      </c>
      <c r="G4055" s="7">
        <v>281768.18181818182</v>
      </c>
      <c r="H4055" s="7">
        <v>24795600</v>
      </c>
      <c r="I4055" s="7">
        <v>6837600</v>
      </c>
      <c r="J4055" s="7">
        <v>0</v>
      </c>
      <c r="K4055">
        <f t="shared" si="63"/>
        <v>90</v>
      </c>
      <c r="L4055" s="8" t="str" cm="1">
        <f t="array" ref="L4055">_xlfn.IFS(
 AND(K4055&gt;=89,K4055&lt;=92),"3개월",
 AND(K4055&gt;=58,K4055&lt;=62),"2개월",
 AND(K4055&gt;=28,K4055&lt;=32),"1개월",
 AND(K4055=0),"당월",
 TRUE,"그외"
)</f>
        <v>3개월</v>
      </c>
    </row>
    <row r="4056" spans="1:12" x14ac:dyDescent="0.3">
      <c r="A4056" s="5">
        <v>46082</v>
      </c>
      <c r="B4056" s="6" t="s">
        <v>75</v>
      </c>
      <c r="C4056" s="6" t="s">
        <v>80</v>
      </c>
      <c r="D4056" s="5">
        <v>45992</v>
      </c>
      <c r="E4056" s="6" t="s">
        <v>15</v>
      </c>
      <c r="F4056" s="7">
        <v>578</v>
      </c>
      <c r="G4056" s="7">
        <v>407430.53806228371</v>
      </c>
      <c r="H4056" s="7">
        <v>235494851</v>
      </c>
      <c r="I4056" s="7">
        <v>16651384</v>
      </c>
      <c r="J4056" s="7">
        <v>0</v>
      </c>
      <c r="K4056">
        <f t="shared" si="63"/>
        <v>90</v>
      </c>
      <c r="L4056" s="8" t="str" cm="1">
        <f t="array" ref="L4056">_xlfn.IFS(
 AND(K4056&gt;=89,K4056&lt;=92),"3개월",
 AND(K4056&gt;=58,K4056&lt;=62),"2개월",
 AND(K4056&gt;=28,K4056&lt;=32),"1개월",
 AND(K4056=0),"당월",
 TRUE,"그외"
)</f>
        <v>3개월</v>
      </c>
    </row>
    <row r="4057" spans="1:12" x14ac:dyDescent="0.3">
      <c r="A4057" s="5">
        <v>46082</v>
      </c>
      <c r="B4057" s="6" t="s">
        <v>75</v>
      </c>
      <c r="C4057" s="6" t="s">
        <v>80</v>
      </c>
      <c r="D4057" s="5">
        <v>46023</v>
      </c>
      <c r="E4057" s="6" t="s">
        <v>14</v>
      </c>
      <c r="F4057" s="7">
        <v>1317</v>
      </c>
      <c r="G4057" s="7">
        <v>328287.31966590742</v>
      </c>
      <c r="H4057" s="7">
        <v>432354400</v>
      </c>
      <c r="I4057" s="7">
        <v>104093400</v>
      </c>
      <c r="J4057" s="7">
        <v>0</v>
      </c>
      <c r="K4057">
        <f t="shared" si="63"/>
        <v>59</v>
      </c>
      <c r="L4057" s="8" t="str" cm="1">
        <f t="array" ref="L4057">_xlfn.IFS(
 AND(K4057&gt;=89,K4057&lt;=92),"3개월",
 AND(K4057&gt;=58,K4057&lt;=62),"2개월",
 AND(K4057&gt;=28,K4057&lt;=32),"1개월",
 AND(K4057=0),"당월",
 TRUE,"그외"
)</f>
        <v>2개월</v>
      </c>
    </row>
    <row r="4058" spans="1:12" x14ac:dyDescent="0.3">
      <c r="A4058" s="5">
        <v>46082</v>
      </c>
      <c r="B4058" s="6" t="s">
        <v>75</v>
      </c>
      <c r="C4058" s="6" t="s">
        <v>80</v>
      </c>
      <c r="D4058" s="5">
        <v>46023</v>
      </c>
      <c r="E4058" s="6" t="s">
        <v>15</v>
      </c>
      <c r="F4058" s="7">
        <v>1815</v>
      </c>
      <c r="G4058" s="7">
        <v>423122.65123966942</v>
      </c>
      <c r="H4058" s="7">
        <v>767967612</v>
      </c>
      <c r="I4058" s="7">
        <v>56207142</v>
      </c>
      <c r="J4058" s="7">
        <v>0</v>
      </c>
      <c r="K4058">
        <f t="shared" si="63"/>
        <v>59</v>
      </c>
      <c r="L4058" s="8" t="str" cm="1">
        <f t="array" ref="L4058">_xlfn.IFS(
 AND(K4058&gt;=89,K4058&lt;=92),"3개월",
 AND(K4058&gt;=58,K4058&lt;=62),"2개월",
 AND(K4058&gt;=28,K4058&lt;=32),"1개월",
 AND(K4058=0),"당월",
 TRUE,"그외"
)</f>
        <v>2개월</v>
      </c>
    </row>
    <row r="4059" spans="1:12" x14ac:dyDescent="0.3">
      <c r="A4059" s="5">
        <v>46082</v>
      </c>
      <c r="B4059" s="6" t="s">
        <v>75</v>
      </c>
      <c r="C4059" s="6" t="s">
        <v>80</v>
      </c>
      <c r="D4059" s="5">
        <v>46054</v>
      </c>
      <c r="E4059" s="6" t="s">
        <v>14</v>
      </c>
      <c r="F4059" s="7">
        <v>2005</v>
      </c>
      <c r="G4059" s="7">
        <v>357412.76807980047</v>
      </c>
      <c r="H4059" s="7">
        <v>716612600</v>
      </c>
      <c r="I4059" s="7">
        <v>105513600</v>
      </c>
      <c r="J4059" s="7">
        <v>0</v>
      </c>
      <c r="K4059">
        <f t="shared" si="63"/>
        <v>28</v>
      </c>
      <c r="L4059" s="8" t="str" cm="1">
        <f t="array" ref="L4059">_xlfn.IFS(
 AND(K4059&gt;=89,K4059&lt;=92),"3개월",
 AND(K4059&gt;=58,K4059&lt;=62),"2개월",
 AND(K4059&gt;=28,K4059&lt;=32),"1개월",
 AND(K4059=0),"당월",
 TRUE,"그외"
)</f>
        <v>1개월</v>
      </c>
    </row>
    <row r="4060" spans="1:12" x14ac:dyDescent="0.3">
      <c r="A4060" s="5">
        <v>46082</v>
      </c>
      <c r="B4060" s="6" t="s">
        <v>75</v>
      </c>
      <c r="C4060" s="6" t="s">
        <v>80</v>
      </c>
      <c r="D4060" s="5">
        <v>46054</v>
      </c>
      <c r="E4060" s="6" t="s">
        <v>15</v>
      </c>
      <c r="F4060" s="7">
        <v>2810</v>
      </c>
      <c r="G4060" s="7">
        <v>416064.38291814952</v>
      </c>
      <c r="H4060" s="7">
        <v>1169140916</v>
      </c>
      <c r="I4060" s="7">
        <v>84808385</v>
      </c>
      <c r="J4060" s="7">
        <v>0</v>
      </c>
      <c r="K4060">
        <f t="shared" si="63"/>
        <v>28</v>
      </c>
      <c r="L4060" s="8" t="str" cm="1">
        <f t="array" ref="L4060">_xlfn.IFS(
 AND(K4060&gt;=89,K4060&lt;=92),"3개월",
 AND(K4060&gt;=58,K4060&lt;=62),"2개월",
 AND(K4060&gt;=28,K4060&lt;=32),"1개월",
 AND(K4060=0),"당월",
 TRUE,"그외"
)</f>
        <v>1개월</v>
      </c>
    </row>
    <row r="4061" spans="1:12" x14ac:dyDescent="0.3">
      <c r="A4061" s="5">
        <v>46082</v>
      </c>
      <c r="B4061" s="6" t="s">
        <v>75</v>
      </c>
      <c r="C4061" s="6" t="s">
        <v>80</v>
      </c>
      <c r="D4061" s="5">
        <v>46082</v>
      </c>
      <c r="E4061" s="6" t="s">
        <v>14</v>
      </c>
      <c r="F4061" s="7">
        <v>831</v>
      </c>
      <c r="G4061" s="7">
        <v>120603.6101083033</v>
      </c>
      <c r="H4061" s="7">
        <v>100221600</v>
      </c>
      <c r="I4061" s="7">
        <v>55921600</v>
      </c>
      <c r="J4061" s="7">
        <v>0</v>
      </c>
      <c r="K4061">
        <f t="shared" si="63"/>
        <v>0</v>
      </c>
      <c r="L4061" s="8" t="str" cm="1">
        <f t="array" ref="L4061">_xlfn.IFS(
 AND(K4061&gt;=89,K4061&lt;=92),"3개월",
 AND(K4061&gt;=58,K4061&lt;=62),"2개월",
 AND(K4061&gt;=28,K4061&lt;=32),"1개월",
 AND(K4061=0),"당월",
 TRUE,"그외"
)</f>
        <v>당월</v>
      </c>
    </row>
    <row r="4062" spans="1:12" x14ac:dyDescent="0.3">
      <c r="A4062" s="5">
        <v>46082</v>
      </c>
      <c r="B4062" s="6" t="s">
        <v>75</v>
      </c>
      <c r="C4062" s="6" t="s">
        <v>80</v>
      </c>
      <c r="D4062" s="5">
        <v>46082</v>
      </c>
      <c r="E4062" s="6" t="s">
        <v>15</v>
      </c>
      <c r="F4062" s="7">
        <v>1724</v>
      </c>
      <c r="G4062" s="7">
        <v>580382.05278422276</v>
      </c>
      <c r="H4062" s="7">
        <v>1000578659</v>
      </c>
      <c r="I4062" s="7">
        <v>58927600</v>
      </c>
      <c r="J4062" s="7">
        <v>0</v>
      </c>
      <c r="K4062">
        <f t="shared" si="63"/>
        <v>0</v>
      </c>
      <c r="L4062" s="8" t="str" cm="1">
        <f t="array" ref="L4062">_xlfn.IFS(
 AND(K4062&gt;=89,K4062&lt;=92),"3개월",
 AND(K4062&gt;=58,K4062&lt;=62),"2개월",
 AND(K4062&gt;=28,K4062&lt;=32),"1개월",
 AND(K4062=0),"당월",
 TRUE,"그외"
)</f>
        <v>당월</v>
      </c>
    </row>
    <row r="4063" spans="1:12" x14ac:dyDescent="0.3">
      <c r="A4063" s="5">
        <v>46082</v>
      </c>
      <c r="B4063" s="6" t="s">
        <v>81</v>
      </c>
      <c r="C4063" s="6" t="s">
        <v>94</v>
      </c>
      <c r="D4063" s="5">
        <v>45901</v>
      </c>
      <c r="E4063" s="6" t="s">
        <v>15</v>
      </c>
      <c r="F4063" s="7">
        <v>2</v>
      </c>
      <c r="G4063" s="7">
        <v>357553</v>
      </c>
      <c r="H4063" s="7">
        <v>715106</v>
      </c>
      <c r="I4063" s="7">
        <v>134796</v>
      </c>
      <c r="J4063" s="7">
        <v>0</v>
      </c>
      <c r="K4063">
        <f t="shared" si="63"/>
        <v>181</v>
      </c>
      <c r="L4063" s="8" t="str" cm="1">
        <f t="array" ref="L4063">_xlfn.IFS(
 AND(K4063&gt;=89,K4063&lt;=92),"3개월",
 AND(K4063&gt;=58,K4063&lt;=62),"2개월",
 AND(K4063&gt;=28,K4063&lt;=32),"1개월",
 AND(K4063=0),"당월",
 TRUE,"그외"
)</f>
        <v>그외</v>
      </c>
    </row>
    <row r="4064" spans="1:12" x14ac:dyDescent="0.3">
      <c r="A4064" s="5">
        <v>46082</v>
      </c>
      <c r="B4064" s="6" t="s">
        <v>81</v>
      </c>
      <c r="C4064" s="6" t="s">
        <v>94</v>
      </c>
      <c r="D4064" s="5">
        <v>45931</v>
      </c>
      <c r="E4064" s="6" t="s">
        <v>15</v>
      </c>
      <c r="F4064" s="7">
        <v>7</v>
      </c>
      <c r="G4064" s="7">
        <v>328283.85714285722</v>
      </c>
      <c r="H4064" s="7">
        <v>2297987</v>
      </c>
      <c r="I4064" s="7">
        <v>194600</v>
      </c>
      <c r="J4064" s="7">
        <v>0</v>
      </c>
      <c r="K4064">
        <f t="shared" si="63"/>
        <v>151</v>
      </c>
      <c r="L4064" s="8" t="str" cm="1">
        <f t="array" ref="L4064">_xlfn.IFS(
 AND(K4064&gt;=89,K4064&lt;=92),"3개월",
 AND(K4064&gt;=58,K4064&lt;=62),"2개월",
 AND(K4064&gt;=28,K4064&lt;=32),"1개월",
 AND(K4064=0),"당월",
 TRUE,"그외"
)</f>
        <v>그외</v>
      </c>
    </row>
    <row r="4065" spans="1:12" x14ac:dyDescent="0.3">
      <c r="A4065" s="5">
        <v>46082</v>
      </c>
      <c r="B4065" s="6" t="s">
        <v>81</v>
      </c>
      <c r="C4065" s="6" t="s">
        <v>94</v>
      </c>
      <c r="D4065" s="5">
        <v>45962</v>
      </c>
      <c r="E4065" s="6" t="s">
        <v>14</v>
      </c>
      <c r="F4065" s="7">
        <v>3</v>
      </c>
      <c r="G4065" s="7">
        <v>0</v>
      </c>
      <c r="H4065" s="7">
        <v>0</v>
      </c>
      <c r="I4065" s="7">
        <v>0</v>
      </c>
      <c r="J4065" s="7">
        <v>0</v>
      </c>
      <c r="K4065">
        <f t="shared" si="63"/>
        <v>120</v>
      </c>
      <c r="L4065" s="8" t="str" cm="1">
        <f t="array" ref="L4065">_xlfn.IFS(
 AND(K4065&gt;=89,K4065&lt;=92),"3개월",
 AND(K4065&gt;=58,K4065&lt;=62),"2개월",
 AND(K4065&gt;=28,K4065&lt;=32),"1개월",
 AND(K4065=0),"당월",
 TRUE,"그외"
)</f>
        <v>그외</v>
      </c>
    </row>
    <row r="4066" spans="1:12" x14ac:dyDescent="0.3">
      <c r="A4066" s="5">
        <v>46082</v>
      </c>
      <c r="B4066" s="6" t="s">
        <v>81</v>
      </c>
      <c r="C4066" s="6" t="s">
        <v>94</v>
      </c>
      <c r="D4066" s="5">
        <v>45962</v>
      </c>
      <c r="E4066" s="6" t="s">
        <v>15</v>
      </c>
      <c r="F4066" s="7">
        <v>30</v>
      </c>
      <c r="G4066" s="7">
        <v>307871.36666666658</v>
      </c>
      <c r="H4066" s="7">
        <v>9236141</v>
      </c>
      <c r="I4066" s="7">
        <v>843000</v>
      </c>
      <c r="J4066" s="7">
        <v>0</v>
      </c>
      <c r="K4066">
        <f t="shared" si="63"/>
        <v>120</v>
      </c>
      <c r="L4066" s="8" t="str" cm="1">
        <f t="array" ref="L4066">_xlfn.IFS(
 AND(K4066&gt;=89,K4066&lt;=92),"3개월",
 AND(K4066&gt;=58,K4066&lt;=62),"2개월",
 AND(K4066&gt;=28,K4066&lt;=32),"1개월",
 AND(K4066=0),"당월",
 TRUE,"그외"
)</f>
        <v>그외</v>
      </c>
    </row>
    <row r="4067" spans="1:12" x14ac:dyDescent="0.3">
      <c r="A4067" s="5">
        <v>46082</v>
      </c>
      <c r="B4067" s="6" t="s">
        <v>81</v>
      </c>
      <c r="C4067" s="6" t="s">
        <v>94</v>
      </c>
      <c r="D4067" s="5">
        <v>45992</v>
      </c>
      <c r="E4067" s="6" t="s">
        <v>14</v>
      </c>
      <c r="F4067" s="7">
        <v>8</v>
      </c>
      <c r="G4067" s="7">
        <v>0</v>
      </c>
      <c r="H4067" s="7">
        <v>0</v>
      </c>
      <c r="I4067" s="7">
        <v>0</v>
      </c>
      <c r="J4067" s="7">
        <v>0</v>
      </c>
      <c r="K4067">
        <f t="shared" si="63"/>
        <v>90</v>
      </c>
      <c r="L4067" s="8" t="str" cm="1">
        <f t="array" ref="L4067">_xlfn.IFS(
 AND(K4067&gt;=89,K4067&lt;=92),"3개월",
 AND(K4067&gt;=58,K4067&lt;=62),"2개월",
 AND(K4067&gt;=28,K4067&lt;=32),"1개월",
 AND(K4067=0),"당월",
 TRUE,"그외"
)</f>
        <v>3개월</v>
      </c>
    </row>
    <row r="4068" spans="1:12" x14ac:dyDescent="0.3">
      <c r="A4068" s="5">
        <v>46082</v>
      </c>
      <c r="B4068" s="6" t="s">
        <v>81</v>
      </c>
      <c r="C4068" s="6" t="s">
        <v>94</v>
      </c>
      <c r="D4068" s="5">
        <v>45992</v>
      </c>
      <c r="E4068" s="6" t="s">
        <v>15</v>
      </c>
      <c r="F4068" s="7">
        <v>110</v>
      </c>
      <c r="G4068" s="7">
        <v>350017.41818181821</v>
      </c>
      <c r="H4068" s="7">
        <v>38501916</v>
      </c>
      <c r="I4068" s="7">
        <v>4813114</v>
      </c>
      <c r="J4068" s="7">
        <v>0</v>
      </c>
      <c r="K4068">
        <f t="shared" si="63"/>
        <v>90</v>
      </c>
      <c r="L4068" s="8" t="str" cm="1">
        <f t="array" ref="L4068">_xlfn.IFS(
 AND(K4068&gt;=89,K4068&lt;=92),"3개월",
 AND(K4068&gt;=58,K4068&lt;=62),"2개월",
 AND(K4068&gt;=28,K4068&lt;=32),"1개월",
 AND(K4068=0),"당월",
 TRUE,"그외"
)</f>
        <v>3개월</v>
      </c>
    </row>
    <row r="4069" spans="1:12" x14ac:dyDescent="0.3">
      <c r="A4069" s="5">
        <v>46082</v>
      </c>
      <c r="B4069" s="6" t="s">
        <v>81</v>
      </c>
      <c r="C4069" s="6" t="s">
        <v>94</v>
      </c>
      <c r="D4069" s="5">
        <v>46023</v>
      </c>
      <c r="E4069" s="6" t="s">
        <v>14</v>
      </c>
      <c r="F4069" s="7">
        <v>40</v>
      </c>
      <c r="G4069" s="7">
        <v>98472.5</v>
      </c>
      <c r="H4069" s="7">
        <v>3938900</v>
      </c>
      <c r="I4069" s="7">
        <v>458900</v>
      </c>
      <c r="J4069" s="7">
        <v>0</v>
      </c>
      <c r="K4069">
        <f t="shared" si="63"/>
        <v>59</v>
      </c>
      <c r="L4069" s="8" t="str" cm="1">
        <f t="array" ref="L4069">_xlfn.IFS(
 AND(K4069&gt;=89,K4069&lt;=92),"3개월",
 AND(K4069&gt;=58,K4069&lt;=62),"2개월",
 AND(K4069&gt;=28,K4069&lt;=32),"1개월",
 AND(K4069=0),"당월",
 TRUE,"그외"
)</f>
        <v>2개월</v>
      </c>
    </row>
    <row r="4070" spans="1:12" x14ac:dyDescent="0.3">
      <c r="A4070" s="5">
        <v>46082</v>
      </c>
      <c r="B4070" s="6" t="s">
        <v>81</v>
      </c>
      <c r="C4070" s="6" t="s">
        <v>94</v>
      </c>
      <c r="D4070" s="5">
        <v>46023</v>
      </c>
      <c r="E4070" s="6" t="s">
        <v>15</v>
      </c>
      <c r="F4070" s="7">
        <v>135</v>
      </c>
      <c r="G4070" s="7">
        <v>401797.09629629628</v>
      </c>
      <c r="H4070" s="7">
        <v>54242608</v>
      </c>
      <c r="I4070" s="7">
        <v>6229696</v>
      </c>
      <c r="J4070" s="7">
        <v>0</v>
      </c>
      <c r="K4070">
        <f t="shared" si="63"/>
        <v>59</v>
      </c>
      <c r="L4070" s="8" t="str" cm="1">
        <f t="array" ref="L4070">_xlfn.IFS(
 AND(K4070&gt;=89,K4070&lt;=92),"3개월",
 AND(K4070&gt;=58,K4070&lt;=62),"2개월",
 AND(K4070&gt;=28,K4070&lt;=32),"1개월",
 AND(K4070=0),"당월",
 TRUE,"그외"
)</f>
        <v>2개월</v>
      </c>
    </row>
    <row r="4071" spans="1:12" x14ac:dyDescent="0.3">
      <c r="A4071" s="5">
        <v>46082</v>
      </c>
      <c r="B4071" s="6" t="s">
        <v>81</v>
      </c>
      <c r="C4071" s="6" t="s">
        <v>94</v>
      </c>
      <c r="D4071" s="5">
        <v>46054</v>
      </c>
      <c r="E4071" s="6" t="s">
        <v>14</v>
      </c>
      <c r="F4071" s="7">
        <v>260</v>
      </c>
      <c r="G4071" s="7">
        <v>522901.21153846162</v>
      </c>
      <c r="H4071" s="7">
        <v>135954315</v>
      </c>
      <c r="I4071" s="7">
        <v>11412100</v>
      </c>
      <c r="J4071" s="7">
        <v>0</v>
      </c>
      <c r="K4071">
        <f t="shared" si="63"/>
        <v>28</v>
      </c>
      <c r="L4071" s="8" t="str" cm="1">
        <f t="array" ref="L4071">_xlfn.IFS(
 AND(K4071&gt;=89,K4071&lt;=92),"3개월",
 AND(K4071&gt;=58,K4071&lt;=62),"2개월",
 AND(K4071&gt;=28,K4071&lt;=32),"1개월",
 AND(K4071=0),"당월",
 TRUE,"그외"
)</f>
        <v>1개월</v>
      </c>
    </row>
    <row r="4072" spans="1:12" x14ac:dyDescent="0.3">
      <c r="A4072" s="5">
        <v>46082</v>
      </c>
      <c r="B4072" s="6" t="s">
        <v>81</v>
      </c>
      <c r="C4072" s="6" t="s">
        <v>94</v>
      </c>
      <c r="D4072" s="5">
        <v>46054</v>
      </c>
      <c r="E4072" s="6" t="s">
        <v>15</v>
      </c>
      <c r="F4072" s="7">
        <v>430</v>
      </c>
      <c r="G4072" s="7">
        <v>353447.80465116282</v>
      </c>
      <c r="H4072" s="7">
        <v>151982556</v>
      </c>
      <c r="I4072" s="7">
        <v>14356987</v>
      </c>
      <c r="J4072" s="7">
        <v>0</v>
      </c>
      <c r="K4072">
        <f t="shared" si="63"/>
        <v>28</v>
      </c>
      <c r="L4072" s="8" t="str" cm="1">
        <f t="array" ref="L4072">_xlfn.IFS(
 AND(K4072&gt;=89,K4072&lt;=92),"3개월",
 AND(K4072&gt;=58,K4072&lt;=62),"2개월",
 AND(K4072&gt;=28,K4072&lt;=32),"1개월",
 AND(K4072=0),"당월",
 TRUE,"그외"
)</f>
        <v>1개월</v>
      </c>
    </row>
    <row r="4073" spans="1:12" x14ac:dyDescent="0.3">
      <c r="A4073" s="5">
        <v>46082</v>
      </c>
      <c r="B4073" s="6" t="s">
        <v>81</v>
      </c>
      <c r="C4073" s="6" t="s">
        <v>94</v>
      </c>
      <c r="D4073" s="5">
        <v>46082</v>
      </c>
      <c r="E4073" s="6" t="s">
        <v>14</v>
      </c>
      <c r="F4073" s="7">
        <v>657</v>
      </c>
      <c r="G4073" s="7">
        <v>268162.30289193301</v>
      </c>
      <c r="H4073" s="7">
        <v>176182633</v>
      </c>
      <c r="I4073" s="7">
        <v>19443780</v>
      </c>
      <c r="J4073" s="7">
        <v>0</v>
      </c>
      <c r="K4073">
        <f t="shared" si="63"/>
        <v>0</v>
      </c>
      <c r="L4073" s="8" t="str" cm="1">
        <f t="array" ref="L4073">_xlfn.IFS(
 AND(K4073&gt;=89,K4073&lt;=92),"3개월",
 AND(K4073&gt;=58,K4073&lt;=62),"2개월",
 AND(K4073&gt;=28,K4073&lt;=32),"1개월",
 AND(K4073=0),"당월",
 TRUE,"그외"
)</f>
        <v>당월</v>
      </c>
    </row>
    <row r="4074" spans="1:12" x14ac:dyDescent="0.3">
      <c r="A4074" s="5">
        <v>46082</v>
      </c>
      <c r="B4074" s="6" t="s">
        <v>81</v>
      </c>
      <c r="C4074" s="6" t="s">
        <v>94</v>
      </c>
      <c r="D4074" s="5">
        <v>46082</v>
      </c>
      <c r="E4074" s="6" t="s">
        <v>15</v>
      </c>
      <c r="F4074" s="7">
        <v>807</v>
      </c>
      <c r="G4074" s="7">
        <v>532261.72986369266</v>
      </c>
      <c r="H4074" s="7">
        <v>429535216</v>
      </c>
      <c r="I4074" s="7">
        <v>36407046</v>
      </c>
      <c r="J4074" s="7">
        <v>0</v>
      </c>
      <c r="K4074">
        <f t="shared" si="63"/>
        <v>0</v>
      </c>
      <c r="L4074" s="8" t="str" cm="1">
        <f t="array" ref="L4074">_xlfn.IFS(
 AND(K4074&gt;=89,K4074&lt;=92),"3개월",
 AND(K4074&gt;=58,K4074&lt;=62),"2개월",
 AND(K4074&gt;=28,K4074&lt;=32),"1개월",
 AND(K4074=0),"당월",
 TRUE,"그외"
)</f>
        <v>당월</v>
      </c>
    </row>
    <row r="4075" spans="1:12" x14ac:dyDescent="0.3">
      <c r="A4075" s="5">
        <v>46082</v>
      </c>
      <c r="B4075" s="6" t="s">
        <v>81</v>
      </c>
      <c r="C4075" s="6" t="s">
        <v>118</v>
      </c>
      <c r="D4075" s="5">
        <v>45870</v>
      </c>
      <c r="E4075" s="6" t="s">
        <v>15</v>
      </c>
      <c r="F4075" s="7">
        <v>2</v>
      </c>
      <c r="G4075" s="7">
        <v>276394</v>
      </c>
      <c r="H4075" s="7">
        <v>552788</v>
      </c>
      <c r="I4075" s="7">
        <v>0</v>
      </c>
      <c r="J4075" s="7">
        <v>0</v>
      </c>
      <c r="K4075">
        <f t="shared" si="63"/>
        <v>212</v>
      </c>
      <c r="L4075" s="8" t="str" cm="1">
        <f t="array" ref="L4075">_xlfn.IFS(
 AND(K4075&gt;=89,K4075&lt;=92),"3개월",
 AND(K4075&gt;=58,K4075&lt;=62),"2개월",
 AND(K4075&gt;=28,K4075&lt;=32),"1개월",
 AND(K4075=0),"당월",
 TRUE,"그외"
)</f>
        <v>그외</v>
      </c>
    </row>
    <row r="4076" spans="1:12" x14ac:dyDescent="0.3">
      <c r="A4076" s="5">
        <v>46082</v>
      </c>
      <c r="B4076" s="6" t="s">
        <v>81</v>
      </c>
      <c r="C4076" s="6" t="s">
        <v>118</v>
      </c>
      <c r="D4076" s="5">
        <v>45901</v>
      </c>
      <c r="E4076" s="6" t="s">
        <v>15</v>
      </c>
      <c r="F4076" s="7">
        <v>6</v>
      </c>
      <c r="G4076" s="7">
        <v>363202.33333333331</v>
      </c>
      <c r="H4076" s="7">
        <v>2179214</v>
      </c>
      <c r="I4076" s="7">
        <v>174691</v>
      </c>
      <c r="J4076" s="7">
        <v>0</v>
      </c>
      <c r="K4076">
        <f t="shared" si="63"/>
        <v>181</v>
      </c>
      <c r="L4076" s="8" t="str" cm="1">
        <f t="array" ref="L4076">_xlfn.IFS(
 AND(K4076&gt;=89,K4076&lt;=92),"3개월",
 AND(K4076&gt;=58,K4076&lt;=62),"2개월",
 AND(K4076&gt;=28,K4076&lt;=32),"1개월",
 AND(K4076=0),"당월",
 TRUE,"그외"
)</f>
        <v>그외</v>
      </c>
    </row>
    <row r="4077" spans="1:12" x14ac:dyDescent="0.3">
      <c r="A4077" s="5">
        <v>46082</v>
      </c>
      <c r="B4077" s="6" t="s">
        <v>81</v>
      </c>
      <c r="C4077" s="6" t="s">
        <v>118</v>
      </c>
      <c r="D4077" s="5">
        <v>45931</v>
      </c>
      <c r="E4077" s="6" t="s">
        <v>15</v>
      </c>
      <c r="F4077" s="7">
        <v>16</v>
      </c>
      <c r="G4077" s="7">
        <v>302292.375</v>
      </c>
      <c r="H4077" s="7">
        <v>4836678</v>
      </c>
      <c r="I4077" s="7">
        <v>484574</v>
      </c>
      <c r="J4077" s="7">
        <v>0</v>
      </c>
      <c r="K4077">
        <f t="shared" si="63"/>
        <v>151</v>
      </c>
      <c r="L4077" s="8" t="str" cm="1">
        <f t="array" ref="L4077">_xlfn.IFS(
 AND(K4077&gt;=89,K4077&lt;=92),"3개월",
 AND(K4077&gt;=58,K4077&lt;=62),"2개월",
 AND(K4077&gt;=28,K4077&lt;=32),"1개월",
 AND(K4077=0),"당월",
 TRUE,"그외"
)</f>
        <v>그외</v>
      </c>
    </row>
    <row r="4078" spans="1:12" x14ac:dyDescent="0.3">
      <c r="A4078" s="5">
        <v>46082</v>
      </c>
      <c r="B4078" s="6" t="s">
        <v>81</v>
      </c>
      <c r="C4078" s="6" t="s">
        <v>118</v>
      </c>
      <c r="D4078" s="5">
        <v>45962</v>
      </c>
      <c r="E4078" s="6" t="s">
        <v>15</v>
      </c>
      <c r="F4078" s="7">
        <v>1</v>
      </c>
      <c r="G4078" s="7">
        <v>392017</v>
      </c>
      <c r="H4078" s="7">
        <v>392017</v>
      </c>
      <c r="I4078" s="7">
        <v>28036</v>
      </c>
      <c r="J4078" s="7">
        <v>0</v>
      </c>
      <c r="K4078">
        <f t="shared" si="63"/>
        <v>120</v>
      </c>
      <c r="L4078" s="8" t="str" cm="1">
        <f t="array" ref="L4078">_xlfn.IFS(
 AND(K4078&gt;=89,K4078&lt;=92),"3개월",
 AND(K4078&gt;=58,K4078&lt;=62),"2개월",
 AND(K4078&gt;=28,K4078&lt;=32),"1개월",
 AND(K4078=0),"당월",
 TRUE,"그외"
)</f>
        <v>그외</v>
      </c>
    </row>
    <row r="4079" spans="1:12" x14ac:dyDescent="0.3">
      <c r="A4079" s="5">
        <v>46082</v>
      </c>
      <c r="B4079" s="6" t="s">
        <v>81</v>
      </c>
      <c r="C4079" s="6" t="s">
        <v>118</v>
      </c>
      <c r="D4079" s="5">
        <v>45992</v>
      </c>
      <c r="E4079" s="6" t="s">
        <v>15</v>
      </c>
      <c r="F4079" s="7">
        <v>35</v>
      </c>
      <c r="G4079" s="7">
        <v>365622.3142857143</v>
      </c>
      <c r="H4079" s="7">
        <v>12796781</v>
      </c>
      <c r="I4079" s="7">
        <v>1217979</v>
      </c>
      <c r="J4079" s="7">
        <v>0</v>
      </c>
      <c r="K4079">
        <f t="shared" si="63"/>
        <v>90</v>
      </c>
      <c r="L4079" s="8" t="str" cm="1">
        <f t="array" ref="L4079">_xlfn.IFS(
 AND(K4079&gt;=89,K4079&lt;=92),"3개월",
 AND(K4079&gt;=58,K4079&lt;=62),"2개월",
 AND(K4079&gt;=28,K4079&lt;=32),"1개월",
 AND(K4079=0),"당월",
 TRUE,"그외"
)</f>
        <v>3개월</v>
      </c>
    </row>
    <row r="4080" spans="1:12" x14ac:dyDescent="0.3">
      <c r="A4080" s="5">
        <v>46082</v>
      </c>
      <c r="B4080" s="6" t="s">
        <v>81</v>
      </c>
      <c r="C4080" s="6" t="s">
        <v>118</v>
      </c>
      <c r="D4080" s="5">
        <v>46023</v>
      </c>
      <c r="E4080" s="6" t="s">
        <v>14</v>
      </c>
      <c r="F4080" s="7">
        <v>60</v>
      </c>
      <c r="G4080" s="7">
        <v>311488.33333333331</v>
      </c>
      <c r="H4080" s="7">
        <v>18689300</v>
      </c>
      <c r="I4080" s="7">
        <v>2118000</v>
      </c>
      <c r="J4080" s="7">
        <v>0</v>
      </c>
      <c r="K4080">
        <f t="shared" si="63"/>
        <v>59</v>
      </c>
      <c r="L4080" s="8" t="str" cm="1">
        <f t="array" ref="L4080">_xlfn.IFS(
 AND(K4080&gt;=89,K4080&lt;=92),"3개월",
 AND(K4080&gt;=58,K4080&lt;=62),"2개월",
 AND(K4080&gt;=28,K4080&lt;=32),"1개월",
 AND(K4080=0),"당월",
 TRUE,"그외"
)</f>
        <v>2개월</v>
      </c>
    </row>
    <row r="4081" spans="1:12" x14ac:dyDescent="0.3">
      <c r="A4081" s="5">
        <v>46082</v>
      </c>
      <c r="B4081" s="6" t="s">
        <v>81</v>
      </c>
      <c r="C4081" s="6" t="s">
        <v>118</v>
      </c>
      <c r="D4081" s="5">
        <v>46023</v>
      </c>
      <c r="E4081" s="6" t="s">
        <v>15</v>
      </c>
      <c r="F4081" s="7">
        <v>146</v>
      </c>
      <c r="G4081" s="7">
        <v>377127.60958904109</v>
      </c>
      <c r="H4081" s="7">
        <v>55060631</v>
      </c>
      <c r="I4081" s="7">
        <v>5162248</v>
      </c>
      <c r="J4081" s="7">
        <v>0</v>
      </c>
      <c r="K4081">
        <f t="shared" si="63"/>
        <v>59</v>
      </c>
      <c r="L4081" s="8" t="str" cm="1">
        <f t="array" ref="L4081">_xlfn.IFS(
 AND(K4081&gt;=89,K4081&lt;=92),"3개월",
 AND(K4081&gt;=58,K4081&lt;=62),"2개월",
 AND(K4081&gt;=28,K4081&lt;=32),"1개월",
 AND(K4081=0),"당월",
 TRUE,"그외"
)</f>
        <v>2개월</v>
      </c>
    </row>
    <row r="4082" spans="1:12" x14ac:dyDescent="0.3">
      <c r="A4082" s="5">
        <v>46082</v>
      </c>
      <c r="B4082" s="6" t="s">
        <v>81</v>
      </c>
      <c r="C4082" s="6" t="s">
        <v>118</v>
      </c>
      <c r="D4082" s="5">
        <v>46054</v>
      </c>
      <c r="E4082" s="6" t="s">
        <v>14</v>
      </c>
      <c r="F4082" s="7">
        <v>18</v>
      </c>
      <c r="G4082" s="7">
        <v>336612.83333333331</v>
      </c>
      <c r="H4082" s="7">
        <v>6059031</v>
      </c>
      <c r="I4082" s="7">
        <v>499829</v>
      </c>
      <c r="J4082" s="7">
        <v>0</v>
      </c>
      <c r="K4082">
        <f t="shared" si="63"/>
        <v>28</v>
      </c>
      <c r="L4082" s="8" t="str" cm="1">
        <f t="array" ref="L4082">_xlfn.IFS(
 AND(K4082&gt;=89,K4082&lt;=92),"3개월",
 AND(K4082&gt;=58,K4082&lt;=62),"2개월",
 AND(K4082&gt;=28,K4082&lt;=32),"1개월",
 AND(K4082=0),"당월",
 TRUE,"그외"
)</f>
        <v>1개월</v>
      </c>
    </row>
    <row r="4083" spans="1:12" x14ac:dyDescent="0.3">
      <c r="A4083" s="5">
        <v>46082</v>
      </c>
      <c r="B4083" s="6" t="s">
        <v>81</v>
      </c>
      <c r="C4083" s="6" t="s">
        <v>118</v>
      </c>
      <c r="D4083" s="5">
        <v>46054</v>
      </c>
      <c r="E4083" s="6" t="s">
        <v>15</v>
      </c>
      <c r="F4083" s="7">
        <v>597</v>
      </c>
      <c r="G4083" s="7">
        <v>358734.33333333331</v>
      </c>
      <c r="H4083" s="7">
        <v>214164397</v>
      </c>
      <c r="I4083" s="7">
        <v>13460623</v>
      </c>
      <c r="J4083" s="7">
        <v>0</v>
      </c>
      <c r="K4083">
        <f t="shared" si="63"/>
        <v>28</v>
      </c>
      <c r="L4083" s="8" t="str" cm="1">
        <f t="array" ref="L4083">_xlfn.IFS(
 AND(K4083&gt;=89,K4083&lt;=92),"3개월",
 AND(K4083&gt;=58,K4083&lt;=62),"2개월",
 AND(K4083&gt;=28,K4083&lt;=32),"1개월",
 AND(K4083=0),"당월",
 TRUE,"그외"
)</f>
        <v>1개월</v>
      </c>
    </row>
    <row r="4084" spans="1:12" x14ac:dyDescent="0.3">
      <c r="A4084" s="5">
        <v>46082</v>
      </c>
      <c r="B4084" s="6" t="s">
        <v>81</v>
      </c>
      <c r="C4084" s="6" t="s">
        <v>118</v>
      </c>
      <c r="D4084" s="5">
        <v>46082</v>
      </c>
      <c r="E4084" s="6" t="s">
        <v>14</v>
      </c>
      <c r="F4084" s="7">
        <v>66</v>
      </c>
      <c r="G4084" s="7">
        <v>378157.34848484851</v>
      </c>
      <c r="H4084" s="7">
        <v>24958385</v>
      </c>
      <c r="I4084" s="7">
        <v>1891933</v>
      </c>
      <c r="J4084" s="7">
        <v>0</v>
      </c>
      <c r="K4084">
        <f t="shared" si="63"/>
        <v>0</v>
      </c>
      <c r="L4084" s="8" t="str" cm="1">
        <f t="array" ref="L4084">_xlfn.IFS(
 AND(K4084&gt;=89,K4084&lt;=92),"3개월",
 AND(K4084&gt;=58,K4084&lt;=62),"2개월",
 AND(K4084&gt;=28,K4084&lt;=32),"1개월",
 AND(K4084=0),"당월",
 TRUE,"그외"
)</f>
        <v>당월</v>
      </c>
    </row>
    <row r="4085" spans="1:12" x14ac:dyDescent="0.3">
      <c r="A4085" s="5">
        <v>46082</v>
      </c>
      <c r="B4085" s="6" t="s">
        <v>81</v>
      </c>
      <c r="C4085" s="6" t="s">
        <v>118</v>
      </c>
      <c r="D4085" s="5">
        <v>46082</v>
      </c>
      <c r="E4085" s="6" t="s">
        <v>15</v>
      </c>
      <c r="F4085" s="7">
        <v>607</v>
      </c>
      <c r="G4085" s="7">
        <v>604424.85008237232</v>
      </c>
      <c r="H4085" s="7">
        <v>366885884</v>
      </c>
      <c r="I4085" s="7">
        <v>18210669</v>
      </c>
      <c r="J4085" s="7">
        <v>0</v>
      </c>
      <c r="K4085">
        <f t="shared" si="63"/>
        <v>0</v>
      </c>
      <c r="L4085" s="8" t="str" cm="1">
        <f t="array" ref="L4085">_xlfn.IFS(
 AND(K4085&gt;=89,K4085&lt;=92),"3개월",
 AND(K4085&gt;=58,K4085&lt;=62),"2개월",
 AND(K4085&gt;=28,K4085&lt;=32),"1개월",
 AND(K4085=0),"당월",
 TRUE,"그외"
)</f>
        <v>당월</v>
      </c>
    </row>
    <row r="4086" spans="1:12" x14ac:dyDescent="0.3">
      <c r="A4086" s="5">
        <v>46082</v>
      </c>
      <c r="B4086" s="6" t="s">
        <v>84</v>
      </c>
      <c r="C4086" s="6" t="s">
        <v>85</v>
      </c>
      <c r="D4086" s="5">
        <v>45717</v>
      </c>
      <c r="E4086" s="6" t="s">
        <v>15</v>
      </c>
      <c r="F4086" s="7">
        <v>2</v>
      </c>
      <c r="G4086" s="7">
        <v>666679</v>
      </c>
      <c r="H4086" s="7">
        <v>1333358</v>
      </c>
      <c r="I4086" s="7">
        <v>285720</v>
      </c>
      <c r="J4086" s="7">
        <v>0</v>
      </c>
      <c r="K4086">
        <f t="shared" si="63"/>
        <v>365</v>
      </c>
      <c r="L4086" s="8" t="str" cm="1">
        <f t="array" ref="L4086">_xlfn.IFS(
 AND(K4086&gt;=89,K4086&lt;=92),"3개월",
 AND(K4086&gt;=58,K4086&lt;=62),"2개월",
 AND(K4086&gt;=28,K4086&lt;=32),"1개월",
 AND(K4086=0),"당월",
 TRUE,"그외"
)</f>
        <v>그외</v>
      </c>
    </row>
    <row r="4087" spans="1:12" x14ac:dyDescent="0.3">
      <c r="A4087" s="5">
        <v>46082</v>
      </c>
      <c r="B4087" s="6" t="s">
        <v>84</v>
      </c>
      <c r="C4087" s="6" t="s">
        <v>85</v>
      </c>
      <c r="D4087" s="5">
        <v>45748</v>
      </c>
      <c r="E4087" s="6" t="s">
        <v>15</v>
      </c>
      <c r="F4087" s="7">
        <v>112</v>
      </c>
      <c r="G4087" s="7">
        <v>739630.40178571432</v>
      </c>
      <c r="H4087" s="7">
        <v>82838605</v>
      </c>
      <c r="I4087" s="7">
        <v>10061707</v>
      </c>
      <c r="J4087" s="7">
        <v>0</v>
      </c>
      <c r="K4087">
        <f t="shared" si="63"/>
        <v>334</v>
      </c>
      <c r="L4087" s="8" t="str" cm="1">
        <f t="array" ref="L4087">_xlfn.IFS(
 AND(K4087&gt;=89,K4087&lt;=92),"3개월",
 AND(K4087&gt;=58,K4087&lt;=62),"2개월",
 AND(K4087&gt;=28,K4087&lt;=32),"1개월",
 AND(K4087=0),"당월",
 TRUE,"그외"
)</f>
        <v>그외</v>
      </c>
    </row>
    <row r="4088" spans="1:12" x14ac:dyDescent="0.3">
      <c r="A4088" s="5">
        <v>46082</v>
      </c>
      <c r="B4088" s="6" t="s">
        <v>84</v>
      </c>
      <c r="C4088" s="6" t="s">
        <v>85</v>
      </c>
      <c r="D4088" s="5">
        <v>45778</v>
      </c>
      <c r="E4088" s="6" t="s">
        <v>15</v>
      </c>
      <c r="F4088" s="7">
        <v>159</v>
      </c>
      <c r="G4088" s="7">
        <v>738257.53459119494</v>
      </c>
      <c r="H4088" s="7">
        <v>117382948</v>
      </c>
      <c r="I4088" s="7">
        <v>13883973</v>
      </c>
      <c r="J4088" s="7">
        <v>0</v>
      </c>
      <c r="K4088">
        <f t="shared" si="63"/>
        <v>304</v>
      </c>
      <c r="L4088" s="8" t="str" cm="1">
        <f t="array" ref="L4088">_xlfn.IFS(
 AND(K4088&gt;=89,K4088&lt;=92),"3개월",
 AND(K4088&gt;=58,K4088&lt;=62),"2개월",
 AND(K4088&gt;=28,K4088&lt;=32),"1개월",
 AND(K4088=0),"당월",
 TRUE,"그외"
)</f>
        <v>그외</v>
      </c>
    </row>
    <row r="4089" spans="1:12" x14ac:dyDescent="0.3">
      <c r="A4089" s="5">
        <v>46082</v>
      </c>
      <c r="B4089" s="6" t="s">
        <v>84</v>
      </c>
      <c r="C4089" s="6" t="s">
        <v>85</v>
      </c>
      <c r="D4089" s="5">
        <v>45809</v>
      </c>
      <c r="E4089" s="6" t="s">
        <v>15</v>
      </c>
      <c r="F4089" s="7">
        <v>186</v>
      </c>
      <c r="G4089" s="7">
        <v>758394.6451612903</v>
      </c>
      <c r="H4089" s="7">
        <v>141061404</v>
      </c>
      <c r="I4089" s="7">
        <v>12939514</v>
      </c>
      <c r="J4089" s="7">
        <v>0</v>
      </c>
      <c r="K4089">
        <f t="shared" si="63"/>
        <v>273</v>
      </c>
      <c r="L4089" s="8" t="str" cm="1">
        <f t="array" ref="L4089">_xlfn.IFS(
 AND(K4089&gt;=89,K4089&lt;=92),"3개월",
 AND(K4089&gt;=58,K4089&lt;=62),"2개월",
 AND(K4089&gt;=28,K4089&lt;=32),"1개월",
 AND(K4089=0),"당월",
 TRUE,"그외"
)</f>
        <v>그외</v>
      </c>
    </row>
    <row r="4090" spans="1:12" x14ac:dyDescent="0.3">
      <c r="A4090" s="5">
        <v>46082</v>
      </c>
      <c r="B4090" s="6" t="s">
        <v>84</v>
      </c>
      <c r="C4090" s="6" t="s">
        <v>85</v>
      </c>
      <c r="D4090" s="5">
        <v>45839</v>
      </c>
      <c r="E4090" s="6" t="s">
        <v>15</v>
      </c>
      <c r="F4090" s="7">
        <v>197</v>
      </c>
      <c r="G4090" s="7">
        <v>804284.27918781724</v>
      </c>
      <c r="H4090" s="7">
        <v>158444003</v>
      </c>
      <c r="I4090" s="7">
        <v>13694176</v>
      </c>
      <c r="J4090" s="7">
        <v>0</v>
      </c>
      <c r="K4090">
        <f t="shared" si="63"/>
        <v>243</v>
      </c>
      <c r="L4090" s="8" t="str" cm="1">
        <f t="array" ref="L4090">_xlfn.IFS(
 AND(K4090&gt;=89,K4090&lt;=92),"3개월",
 AND(K4090&gt;=58,K4090&lt;=62),"2개월",
 AND(K4090&gt;=28,K4090&lt;=32),"1개월",
 AND(K4090=0),"당월",
 TRUE,"그외"
)</f>
        <v>그외</v>
      </c>
    </row>
    <row r="4091" spans="1:12" x14ac:dyDescent="0.3">
      <c r="A4091" s="5">
        <v>46082</v>
      </c>
      <c r="B4091" s="6" t="s">
        <v>84</v>
      </c>
      <c r="C4091" s="6" t="s">
        <v>85</v>
      </c>
      <c r="D4091" s="5">
        <v>45870</v>
      </c>
      <c r="E4091" s="6" t="s">
        <v>15</v>
      </c>
      <c r="F4091" s="7">
        <v>177</v>
      </c>
      <c r="G4091" s="7">
        <v>648885.83615819213</v>
      </c>
      <c r="H4091" s="7">
        <v>114852793</v>
      </c>
      <c r="I4091" s="7">
        <v>15547910</v>
      </c>
      <c r="J4091" s="7">
        <v>0</v>
      </c>
      <c r="K4091">
        <f t="shared" si="63"/>
        <v>212</v>
      </c>
      <c r="L4091" s="8" t="str" cm="1">
        <f t="array" ref="L4091">_xlfn.IFS(
 AND(K4091&gt;=89,K4091&lt;=92),"3개월",
 AND(K4091&gt;=58,K4091&lt;=62),"2개월",
 AND(K4091&gt;=28,K4091&lt;=32),"1개월",
 AND(K4091=0),"당월",
 TRUE,"그외"
)</f>
        <v>그외</v>
      </c>
    </row>
    <row r="4092" spans="1:12" x14ac:dyDescent="0.3">
      <c r="A4092" s="5">
        <v>46082</v>
      </c>
      <c r="B4092" s="6" t="s">
        <v>84</v>
      </c>
      <c r="C4092" s="6" t="s">
        <v>85</v>
      </c>
      <c r="D4092" s="5">
        <v>45901</v>
      </c>
      <c r="E4092" s="6" t="s">
        <v>15</v>
      </c>
      <c r="F4092" s="7">
        <v>237</v>
      </c>
      <c r="G4092" s="7">
        <v>755678.02531645575</v>
      </c>
      <c r="H4092" s="7">
        <v>179095692</v>
      </c>
      <c r="I4092" s="7">
        <v>20474967</v>
      </c>
      <c r="J4092" s="7">
        <v>0</v>
      </c>
      <c r="K4092">
        <f t="shared" si="63"/>
        <v>181</v>
      </c>
      <c r="L4092" s="8" t="str" cm="1">
        <f t="array" ref="L4092">_xlfn.IFS(
 AND(K4092&gt;=89,K4092&lt;=92),"3개월",
 AND(K4092&gt;=58,K4092&lt;=62),"2개월",
 AND(K4092&gt;=28,K4092&lt;=32),"1개월",
 AND(K4092=0),"당월",
 TRUE,"그외"
)</f>
        <v>그외</v>
      </c>
    </row>
    <row r="4093" spans="1:12" x14ac:dyDescent="0.3">
      <c r="A4093" s="5">
        <v>46082</v>
      </c>
      <c r="B4093" s="6" t="s">
        <v>84</v>
      </c>
      <c r="C4093" s="6" t="s">
        <v>85</v>
      </c>
      <c r="D4093" s="5">
        <v>45931</v>
      </c>
      <c r="E4093" s="6" t="s">
        <v>15</v>
      </c>
      <c r="F4093" s="7">
        <v>494</v>
      </c>
      <c r="G4093" s="7">
        <v>764294.10323886643</v>
      </c>
      <c r="H4093" s="7">
        <v>377561287</v>
      </c>
      <c r="I4093" s="7">
        <v>43015761</v>
      </c>
      <c r="J4093" s="7">
        <v>0</v>
      </c>
      <c r="K4093">
        <f t="shared" si="63"/>
        <v>151</v>
      </c>
      <c r="L4093" s="8" t="str" cm="1">
        <f t="array" ref="L4093">_xlfn.IFS(
 AND(K4093&gt;=89,K4093&lt;=92),"3개월",
 AND(K4093&gt;=58,K4093&lt;=62),"2개월",
 AND(K4093&gt;=28,K4093&lt;=32),"1개월",
 AND(K4093=0),"당월",
 TRUE,"그외"
)</f>
        <v>그외</v>
      </c>
    </row>
    <row r="4094" spans="1:12" x14ac:dyDescent="0.3">
      <c r="A4094" s="5">
        <v>46082</v>
      </c>
      <c r="B4094" s="6" t="s">
        <v>84</v>
      </c>
      <c r="C4094" s="6" t="s">
        <v>85</v>
      </c>
      <c r="D4094" s="5">
        <v>45962</v>
      </c>
      <c r="E4094" s="6" t="s">
        <v>15</v>
      </c>
      <c r="F4094" s="7">
        <v>536</v>
      </c>
      <c r="G4094" s="7">
        <v>706382.17537313432</v>
      </c>
      <c r="H4094" s="7">
        <v>378620846</v>
      </c>
      <c r="I4094" s="7">
        <v>51789425</v>
      </c>
      <c r="J4094" s="7">
        <v>0</v>
      </c>
      <c r="K4094">
        <f t="shared" si="63"/>
        <v>120</v>
      </c>
      <c r="L4094" s="8" t="str" cm="1">
        <f t="array" ref="L4094">_xlfn.IFS(
 AND(K4094&gt;=89,K4094&lt;=92),"3개월",
 AND(K4094&gt;=58,K4094&lt;=62),"2개월",
 AND(K4094&gt;=28,K4094&lt;=32),"1개월",
 AND(K4094=0),"당월",
 TRUE,"그외"
)</f>
        <v>그외</v>
      </c>
    </row>
    <row r="4095" spans="1:12" x14ac:dyDescent="0.3">
      <c r="A4095" s="5">
        <v>46082</v>
      </c>
      <c r="B4095" s="6" t="s">
        <v>84</v>
      </c>
      <c r="C4095" s="6" t="s">
        <v>85</v>
      </c>
      <c r="D4095" s="5">
        <v>45992</v>
      </c>
      <c r="E4095" s="6" t="s">
        <v>15</v>
      </c>
      <c r="F4095" s="7">
        <v>912</v>
      </c>
      <c r="G4095" s="7">
        <v>733191.34649122809</v>
      </c>
      <c r="H4095" s="7">
        <v>668670508</v>
      </c>
      <c r="I4095" s="7">
        <v>91525394</v>
      </c>
      <c r="J4095" s="7">
        <v>0</v>
      </c>
      <c r="K4095">
        <f t="shared" si="63"/>
        <v>90</v>
      </c>
      <c r="L4095" s="8" t="str" cm="1">
        <f t="array" ref="L4095">_xlfn.IFS(
 AND(K4095&gt;=89,K4095&lt;=92),"3개월",
 AND(K4095&gt;=58,K4095&lt;=62),"2개월",
 AND(K4095&gt;=28,K4095&lt;=32),"1개월",
 AND(K4095=0),"당월",
 TRUE,"그외"
)</f>
        <v>3개월</v>
      </c>
    </row>
    <row r="4096" spans="1:12" x14ac:dyDescent="0.3">
      <c r="A4096" s="5">
        <v>46082</v>
      </c>
      <c r="B4096" s="6" t="s">
        <v>84</v>
      </c>
      <c r="C4096" s="6" t="s">
        <v>85</v>
      </c>
      <c r="D4096" s="5">
        <v>46023</v>
      </c>
      <c r="E4096" s="6" t="s">
        <v>14</v>
      </c>
      <c r="F4096" s="7">
        <v>60</v>
      </c>
      <c r="G4096" s="7">
        <v>2536803.333333333</v>
      </c>
      <c r="H4096" s="7">
        <v>152208200</v>
      </c>
      <c r="I4096" s="7">
        <v>4208200</v>
      </c>
      <c r="J4096" s="7">
        <v>0</v>
      </c>
      <c r="K4096">
        <f t="shared" si="63"/>
        <v>59</v>
      </c>
      <c r="L4096" s="8" t="str" cm="1">
        <f t="array" ref="L4096">_xlfn.IFS(
 AND(K4096&gt;=89,K4096&lt;=92),"3개월",
 AND(K4096&gt;=58,K4096&lt;=62),"2개월",
 AND(K4096&gt;=28,K4096&lt;=32),"1개월",
 AND(K4096=0),"당월",
 TRUE,"그외"
)</f>
        <v>2개월</v>
      </c>
    </row>
    <row r="4097" spans="1:12" x14ac:dyDescent="0.3">
      <c r="A4097" s="5">
        <v>46082</v>
      </c>
      <c r="B4097" s="6" t="s">
        <v>84</v>
      </c>
      <c r="C4097" s="6" t="s">
        <v>85</v>
      </c>
      <c r="D4097" s="5">
        <v>46023</v>
      </c>
      <c r="E4097" s="6" t="s">
        <v>15</v>
      </c>
      <c r="F4097" s="7">
        <v>1334</v>
      </c>
      <c r="G4097" s="7">
        <v>897937.85607196402</v>
      </c>
      <c r="H4097" s="7">
        <v>1197849100</v>
      </c>
      <c r="I4097" s="7">
        <v>130255732</v>
      </c>
      <c r="J4097" s="7">
        <v>0</v>
      </c>
      <c r="K4097">
        <f t="shared" si="63"/>
        <v>59</v>
      </c>
      <c r="L4097" s="8" t="str" cm="1">
        <f t="array" ref="L4097">_xlfn.IFS(
 AND(K4097&gt;=89,K4097&lt;=92),"3개월",
 AND(K4097&gt;=58,K4097&lt;=62),"2개월",
 AND(K4097&gt;=28,K4097&lt;=32),"1개월",
 AND(K4097=0),"당월",
 TRUE,"그외"
)</f>
        <v>2개월</v>
      </c>
    </row>
    <row r="4098" spans="1:12" x14ac:dyDescent="0.3">
      <c r="A4098" s="5">
        <v>46082</v>
      </c>
      <c r="B4098" s="6" t="s">
        <v>84</v>
      </c>
      <c r="C4098" s="6" t="s">
        <v>85</v>
      </c>
      <c r="D4098" s="5">
        <v>46054</v>
      </c>
      <c r="E4098" s="6" t="s">
        <v>14</v>
      </c>
      <c r="F4098" s="7">
        <v>682</v>
      </c>
      <c r="G4098" s="7">
        <v>499488.85630498541</v>
      </c>
      <c r="H4098" s="7">
        <v>340651400</v>
      </c>
      <c r="I4098" s="7">
        <v>13926400</v>
      </c>
      <c r="J4098" s="7">
        <v>0</v>
      </c>
      <c r="K4098">
        <f t="shared" si="63"/>
        <v>28</v>
      </c>
      <c r="L4098" s="8" t="str" cm="1">
        <f t="array" ref="L4098">_xlfn.IFS(
 AND(K4098&gt;=89,K4098&lt;=92),"3개월",
 AND(K4098&gt;=58,K4098&lt;=62),"2개월",
 AND(K4098&gt;=28,K4098&lt;=32),"1개월",
 AND(K4098=0),"당월",
 TRUE,"그외"
)</f>
        <v>1개월</v>
      </c>
    </row>
    <row r="4099" spans="1:12" x14ac:dyDescent="0.3">
      <c r="A4099" s="5">
        <v>46082</v>
      </c>
      <c r="B4099" s="6" t="s">
        <v>84</v>
      </c>
      <c r="C4099" s="6" t="s">
        <v>85</v>
      </c>
      <c r="D4099" s="5">
        <v>46054</v>
      </c>
      <c r="E4099" s="6" t="s">
        <v>15</v>
      </c>
      <c r="F4099" s="7">
        <v>1463</v>
      </c>
      <c r="G4099" s="7">
        <v>848085.91934381414</v>
      </c>
      <c r="H4099" s="7">
        <v>1240749700</v>
      </c>
      <c r="I4099" s="7">
        <v>118179170</v>
      </c>
      <c r="J4099" s="7">
        <v>0</v>
      </c>
      <c r="K4099">
        <f t="shared" si="63"/>
        <v>28</v>
      </c>
      <c r="L4099" s="8" t="str" cm="1">
        <f t="array" ref="L4099">_xlfn.IFS(
 AND(K4099&gt;=89,K4099&lt;=92),"3개월",
 AND(K4099&gt;=58,K4099&lt;=62),"2개월",
 AND(K4099&gt;=28,K4099&lt;=32),"1개월",
 AND(K4099=0),"당월",
 TRUE,"그외"
)</f>
        <v>1개월</v>
      </c>
    </row>
    <row r="4100" spans="1:12" x14ac:dyDescent="0.3">
      <c r="A4100" s="5">
        <v>46082</v>
      </c>
      <c r="B4100" s="6" t="s">
        <v>84</v>
      </c>
      <c r="C4100" s="6" t="s">
        <v>85</v>
      </c>
      <c r="D4100" s="5">
        <v>46082</v>
      </c>
      <c r="E4100" s="6" t="s">
        <v>14</v>
      </c>
      <c r="F4100" s="7">
        <v>690</v>
      </c>
      <c r="G4100" s="7">
        <v>517137.97101449268</v>
      </c>
      <c r="H4100" s="7">
        <v>356825200</v>
      </c>
      <c r="I4100" s="7">
        <v>10275200</v>
      </c>
      <c r="J4100" s="7">
        <v>0</v>
      </c>
      <c r="K4100">
        <f t="shared" si="63"/>
        <v>0</v>
      </c>
      <c r="L4100" s="8" t="str" cm="1">
        <f t="array" ref="L4100">_xlfn.IFS(
 AND(K4100&gt;=89,K4100&lt;=92),"3개월",
 AND(K4100&gt;=58,K4100&lt;=62),"2개월",
 AND(K4100&gt;=28,K4100&lt;=32),"1개월",
 AND(K4100=0),"당월",
 TRUE,"그외"
)</f>
        <v>당월</v>
      </c>
    </row>
    <row r="4101" spans="1:12" x14ac:dyDescent="0.3">
      <c r="A4101" s="5">
        <v>46082</v>
      </c>
      <c r="B4101" s="6" t="s">
        <v>84</v>
      </c>
      <c r="C4101" s="6" t="s">
        <v>85</v>
      </c>
      <c r="D4101" s="5">
        <v>46082</v>
      </c>
      <c r="E4101" s="6" t="s">
        <v>15</v>
      </c>
      <c r="F4101" s="7">
        <v>1486</v>
      </c>
      <c r="G4101" s="7">
        <v>1448845.0646029611</v>
      </c>
      <c r="H4101" s="7">
        <v>2152983766</v>
      </c>
      <c r="I4101" s="7">
        <v>155588101</v>
      </c>
      <c r="J4101" s="7">
        <v>0</v>
      </c>
      <c r="K4101">
        <f t="shared" si="63"/>
        <v>0</v>
      </c>
      <c r="L4101" s="8" t="str" cm="1">
        <f t="array" ref="L4101">_xlfn.IFS(
 AND(K4101&gt;=89,K4101&lt;=92),"3개월",
 AND(K4101&gt;=58,K4101&lt;=62),"2개월",
 AND(K4101&gt;=28,K4101&lt;=32),"1개월",
 AND(K4101=0),"당월",
 TRUE,"그외"
)</f>
        <v>당월</v>
      </c>
    </row>
    <row r="4102" spans="1:12" x14ac:dyDescent="0.3">
      <c r="A4102" s="5">
        <v>46082</v>
      </c>
      <c r="B4102" s="6" t="s">
        <v>84</v>
      </c>
      <c r="C4102" s="6" t="s">
        <v>86</v>
      </c>
      <c r="D4102" s="5">
        <v>45717</v>
      </c>
      <c r="E4102" s="6" t="s">
        <v>15</v>
      </c>
      <c r="F4102" s="7">
        <v>11</v>
      </c>
      <c r="G4102" s="7">
        <v>570509.09090909094</v>
      </c>
      <c r="H4102" s="7">
        <v>6275600</v>
      </c>
      <c r="I4102" s="7">
        <v>985600</v>
      </c>
      <c r="J4102" s="7">
        <v>0</v>
      </c>
      <c r="K4102">
        <f t="shared" si="63"/>
        <v>365</v>
      </c>
      <c r="L4102" s="8" t="str" cm="1">
        <f t="array" ref="L4102">_xlfn.IFS(
 AND(K4102&gt;=89,K4102&lt;=92),"3개월",
 AND(K4102&gt;=58,K4102&lt;=62),"2개월",
 AND(K4102&gt;=28,K4102&lt;=32),"1개월",
 AND(K4102=0),"당월",
 TRUE,"그외"
)</f>
        <v>그외</v>
      </c>
    </row>
    <row r="4103" spans="1:12" x14ac:dyDescent="0.3">
      <c r="A4103" s="5">
        <v>46082</v>
      </c>
      <c r="B4103" s="6" t="s">
        <v>84</v>
      </c>
      <c r="C4103" s="6" t="s">
        <v>86</v>
      </c>
      <c r="D4103" s="5">
        <v>45748</v>
      </c>
      <c r="E4103" s="6" t="s">
        <v>15</v>
      </c>
      <c r="F4103" s="7">
        <v>30</v>
      </c>
      <c r="G4103" s="7">
        <v>521901.26666666672</v>
      </c>
      <c r="H4103" s="7">
        <v>15657038</v>
      </c>
      <c r="I4103" s="7">
        <v>2150614</v>
      </c>
      <c r="J4103" s="7">
        <v>0</v>
      </c>
      <c r="K4103">
        <f t="shared" si="63"/>
        <v>334</v>
      </c>
      <c r="L4103" s="8" t="str" cm="1">
        <f t="array" ref="L4103">_xlfn.IFS(
 AND(K4103&gt;=89,K4103&lt;=92),"3개월",
 AND(K4103&gt;=58,K4103&lt;=62),"2개월",
 AND(K4103&gt;=28,K4103&lt;=32),"1개월",
 AND(K4103=0),"당월",
 TRUE,"그외"
)</f>
        <v>그외</v>
      </c>
    </row>
    <row r="4104" spans="1:12" x14ac:dyDescent="0.3">
      <c r="A4104" s="5">
        <v>46082</v>
      </c>
      <c r="B4104" s="6" t="s">
        <v>84</v>
      </c>
      <c r="C4104" s="6" t="s">
        <v>86</v>
      </c>
      <c r="D4104" s="5">
        <v>45778</v>
      </c>
      <c r="E4104" s="6" t="s">
        <v>15</v>
      </c>
      <c r="F4104" s="7">
        <v>70</v>
      </c>
      <c r="G4104" s="7">
        <v>626991.69999999995</v>
      </c>
      <c r="H4104" s="7">
        <v>43889419</v>
      </c>
      <c r="I4104" s="7">
        <v>5317588</v>
      </c>
      <c r="J4104" s="7">
        <v>0</v>
      </c>
      <c r="K4104">
        <f t="shared" si="63"/>
        <v>304</v>
      </c>
      <c r="L4104" s="8" t="str" cm="1">
        <f t="array" ref="L4104">_xlfn.IFS(
 AND(K4104&gt;=89,K4104&lt;=92),"3개월",
 AND(K4104&gt;=58,K4104&lt;=62),"2개월",
 AND(K4104&gt;=28,K4104&lt;=32),"1개월",
 AND(K4104=0),"당월",
 TRUE,"그외"
)</f>
        <v>그외</v>
      </c>
    </row>
    <row r="4105" spans="1:12" x14ac:dyDescent="0.3">
      <c r="A4105" s="5">
        <v>46082</v>
      </c>
      <c r="B4105" s="6" t="s">
        <v>84</v>
      </c>
      <c r="C4105" s="6" t="s">
        <v>86</v>
      </c>
      <c r="D4105" s="5">
        <v>45809</v>
      </c>
      <c r="E4105" s="6" t="s">
        <v>15</v>
      </c>
      <c r="F4105" s="7">
        <v>198</v>
      </c>
      <c r="G4105" s="7">
        <v>448568.53535353538</v>
      </c>
      <c r="H4105" s="7">
        <v>88816570</v>
      </c>
      <c r="I4105" s="7">
        <v>10430277</v>
      </c>
      <c r="J4105" s="7">
        <v>0</v>
      </c>
      <c r="K4105">
        <f t="shared" si="63"/>
        <v>273</v>
      </c>
      <c r="L4105" s="8" t="str" cm="1">
        <f t="array" ref="L4105">_xlfn.IFS(
 AND(K4105&gt;=89,K4105&lt;=92),"3개월",
 AND(K4105&gt;=58,K4105&lt;=62),"2개월",
 AND(K4105&gt;=28,K4105&lt;=32),"1개월",
 AND(K4105=0),"당월",
 TRUE,"그외"
)</f>
        <v>그외</v>
      </c>
    </row>
    <row r="4106" spans="1:12" x14ac:dyDescent="0.3">
      <c r="A4106" s="5">
        <v>46082</v>
      </c>
      <c r="B4106" s="6" t="s">
        <v>84</v>
      </c>
      <c r="C4106" s="6" t="s">
        <v>86</v>
      </c>
      <c r="D4106" s="5">
        <v>45839</v>
      </c>
      <c r="E4106" s="6" t="s">
        <v>15</v>
      </c>
      <c r="F4106" s="7">
        <v>154</v>
      </c>
      <c r="G4106" s="7">
        <v>748326.99350649351</v>
      </c>
      <c r="H4106" s="7">
        <v>115242357</v>
      </c>
      <c r="I4106" s="7">
        <v>10460311</v>
      </c>
      <c r="J4106" s="7">
        <v>0</v>
      </c>
      <c r="K4106">
        <f t="shared" ref="K4106:K4169" si="64">A4106-D4106</f>
        <v>243</v>
      </c>
      <c r="L4106" s="8" t="str" cm="1">
        <f t="array" ref="L4106">_xlfn.IFS(
 AND(K4106&gt;=89,K4106&lt;=92),"3개월",
 AND(K4106&gt;=58,K4106&lt;=62),"2개월",
 AND(K4106&gt;=28,K4106&lt;=32),"1개월",
 AND(K4106=0),"당월",
 TRUE,"그외"
)</f>
        <v>그외</v>
      </c>
    </row>
    <row r="4107" spans="1:12" x14ac:dyDescent="0.3">
      <c r="A4107" s="5">
        <v>46082</v>
      </c>
      <c r="B4107" s="6" t="s">
        <v>84</v>
      </c>
      <c r="C4107" s="6" t="s">
        <v>86</v>
      </c>
      <c r="D4107" s="5">
        <v>45870</v>
      </c>
      <c r="E4107" s="6" t="s">
        <v>15</v>
      </c>
      <c r="F4107" s="7">
        <v>152</v>
      </c>
      <c r="G4107" s="7">
        <v>696506.34210526315</v>
      </c>
      <c r="H4107" s="7">
        <v>105868964</v>
      </c>
      <c r="I4107" s="7">
        <v>12967284</v>
      </c>
      <c r="J4107" s="7">
        <v>0</v>
      </c>
      <c r="K4107">
        <f t="shared" si="64"/>
        <v>212</v>
      </c>
      <c r="L4107" s="8" t="str" cm="1">
        <f t="array" ref="L4107">_xlfn.IFS(
 AND(K4107&gt;=89,K4107&lt;=92),"3개월",
 AND(K4107&gt;=58,K4107&lt;=62),"2개월",
 AND(K4107&gt;=28,K4107&lt;=32),"1개월",
 AND(K4107=0),"당월",
 TRUE,"그외"
)</f>
        <v>그외</v>
      </c>
    </row>
    <row r="4108" spans="1:12" x14ac:dyDescent="0.3">
      <c r="A4108" s="5">
        <v>46082</v>
      </c>
      <c r="B4108" s="6" t="s">
        <v>84</v>
      </c>
      <c r="C4108" s="6" t="s">
        <v>86</v>
      </c>
      <c r="D4108" s="5">
        <v>45901</v>
      </c>
      <c r="E4108" s="6" t="s">
        <v>15</v>
      </c>
      <c r="F4108" s="7">
        <v>191</v>
      </c>
      <c r="G4108" s="7">
        <v>746087.84293193719</v>
      </c>
      <c r="H4108" s="7">
        <v>142502778</v>
      </c>
      <c r="I4108" s="7">
        <v>18143601</v>
      </c>
      <c r="J4108" s="7">
        <v>0</v>
      </c>
      <c r="K4108">
        <f t="shared" si="64"/>
        <v>181</v>
      </c>
      <c r="L4108" s="8" t="str" cm="1">
        <f t="array" ref="L4108">_xlfn.IFS(
 AND(K4108&gt;=89,K4108&lt;=92),"3개월",
 AND(K4108&gt;=58,K4108&lt;=62),"2개월",
 AND(K4108&gt;=28,K4108&lt;=32),"1개월",
 AND(K4108=0),"당월",
 TRUE,"그외"
)</f>
        <v>그외</v>
      </c>
    </row>
    <row r="4109" spans="1:12" x14ac:dyDescent="0.3">
      <c r="A4109" s="5">
        <v>46082</v>
      </c>
      <c r="B4109" s="6" t="s">
        <v>84</v>
      </c>
      <c r="C4109" s="6" t="s">
        <v>86</v>
      </c>
      <c r="D4109" s="5">
        <v>45931</v>
      </c>
      <c r="E4109" s="6" t="s">
        <v>15</v>
      </c>
      <c r="F4109" s="7">
        <v>335</v>
      </c>
      <c r="G4109" s="7">
        <v>638131.59701492533</v>
      </c>
      <c r="H4109" s="7">
        <v>213774085</v>
      </c>
      <c r="I4109" s="7">
        <v>30703112</v>
      </c>
      <c r="J4109" s="7">
        <v>0</v>
      </c>
      <c r="K4109">
        <f t="shared" si="64"/>
        <v>151</v>
      </c>
      <c r="L4109" s="8" t="str" cm="1">
        <f t="array" ref="L4109">_xlfn.IFS(
 AND(K4109&gt;=89,K4109&lt;=92),"3개월",
 AND(K4109&gt;=58,K4109&lt;=62),"2개월",
 AND(K4109&gt;=28,K4109&lt;=32),"1개월",
 AND(K4109=0),"당월",
 TRUE,"그외"
)</f>
        <v>그외</v>
      </c>
    </row>
    <row r="4110" spans="1:12" x14ac:dyDescent="0.3">
      <c r="A4110" s="5">
        <v>46082</v>
      </c>
      <c r="B4110" s="6" t="s">
        <v>84</v>
      </c>
      <c r="C4110" s="6" t="s">
        <v>86</v>
      </c>
      <c r="D4110" s="5">
        <v>45962</v>
      </c>
      <c r="E4110" s="6" t="s">
        <v>15</v>
      </c>
      <c r="F4110" s="7">
        <v>397</v>
      </c>
      <c r="G4110" s="7">
        <v>727187.52644836274</v>
      </c>
      <c r="H4110" s="7">
        <v>288693448</v>
      </c>
      <c r="I4110" s="7">
        <v>39682095</v>
      </c>
      <c r="J4110" s="7">
        <v>0</v>
      </c>
      <c r="K4110">
        <f t="shared" si="64"/>
        <v>120</v>
      </c>
      <c r="L4110" s="8" t="str" cm="1">
        <f t="array" ref="L4110">_xlfn.IFS(
 AND(K4110&gt;=89,K4110&lt;=92),"3개월",
 AND(K4110&gt;=58,K4110&lt;=62),"2개월",
 AND(K4110&gt;=28,K4110&lt;=32),"1개월",
 AND(K4110=0),"당월",
 TRUE,"그외"
)</f>
        <v>그외</v>
      </c>
    </row>
    <row r="4111" spans="1:12" x14ac:dyDescent="0.3">
      <c r="A4111" s="5">
        <v>46082</v>
      </c>
      <c r="B4111" s="6" t="s">
        <v>84</v>
      </c>
      <c r="C4111" s="6" t="s">
        <v>86</v>
      </c>
      <c r="D4111" s="5">
        <v>45992</v>
      </c>
      <c r="E4111" s="6" t="s">
        <v>14</v>
      </c>
      <c r="F4111" s="7">
        <v>2</v>
      </c>
      <c r="G4111" s="7">
        <v>427700</v>
      </c>
      <c r="H4111" s="7">
        <v>855400</v>
      </c>
      <c r="I4111" s="7">
        <v>155400</v>
      </c>
      <c r="J4111" s="7">
        <v>0</v>
      </c>
      <c r="K4111">
        <f t="shared" si="64"/>
        <v>90</v>
      </c>
      <c r="L4111" s="8" t="str" cm="1">
        <f t="array" ref="L4111">_xlfn.IFS(
 AND(K4111&gt;=89,K4111&lt;=92),"3개월",
 AND(K4111&gt;=58,K4111&lt;=62),"2개월",
 AND(K4111&gt;=28,K4111&lt;=32),"1개월",
 AND(K4111=0),"당월",
 TRUE,"그외"
)</f>
        <v>3개월</v>
      </c>
    </row>
    <row r="4112" spans="1:12" x14ac:dyDescent="0.3">
      <c r="A4112" s="5">
        <v>46082</v>
      </c>
      <c r="B4112" s="6" t="s">
        <v>84</v>
      </c>
      <c r="C4112" s="6" t="s">
        <v>86</v>
      </c>
      <c r="D4112" s="5">
        <v>45992</v>
      </c>
      <c r="E4112" s="6" t="s">
        <v>15</v>
      </c>
      <c r="F4112" s="7">
        <v>1017</v>
      </c>
      <c r="G4112" s="7">
        <v>575661.61160275317</v>
      </c>
      <c r="H4112" s="7">
        <v>585447859</v>
      </c>
      <c r="I4112" s="7">
        <v>109465402</v>
      </c>
      <c r="J4112" s="7">
        <v>0</v>
      </c>
      <c r="K4112">
        <f t="shared" si="64"/>
        <v>90</v>
      </c>
      <c r="L4112" s="8" t="str" cm="1">
        <f t="array" ref="L4112">_xlfn.IFS(
 AND(K4112&gt;=89,K4112&lt;=92),"3개월",
 AND(K4112&gt;=58,K4112&lt;=62),"2개월",
 AND(K4112&gt;=28,K4112&lt;=32),"1개월",
 AND(K4112=0),"당월",
 TRUE,"그외"
)</f>
        <v>3개월</v>
      </c>
    </row>
    <row r="4113" spans="1:12" x14ac:dyDescent="0.3">
      <c r="A4113" s="5">
        <v>46082</v>
      </c>
      <c r="B4113" s="6" t="s">
        <v>84</v>
      </c>
      <c r="C4113" s="6" t="s">
        <v>86</v>
      </c>
      <c r="D4113" s="5">
        <v>46023</v>
      </c>
      <c r="E4113" s="6" t="s">
        <v>14</v>
      </c>
      <c r="F4113" s="7">
        <v>8</v>
      </c>
      <c r="G4113" s="7">
        <v>9121875</v>
      </c>
      <c r="H4113" s="7">
        <v>72975000</v>
      </c>
      <c r="I4113" s="7">
        <v>0</v>
      </c>
      <c r="J4113" s="7">
        <v>0</v>
      </c>
      <c r="K4113">
        <f t="shared" si="64"/>
        <v>59</v>
      </c>
      <c r="L4113" s="8" t="str" cm="1">
        <f t="array" ref="L4113">_xlfn.IFS(
 AND(K4113&gt;=89,K4113&lt;=92),"3개월",
 AND(K4113&gt;=58,K4113&lt;=62),"2개월",
 AND(K4113&gt;=28,K4113&lt;=32),"1개월",
 AND(K4113=0),"당월",
 TRUE,"그외"
)</f>
        <v>2개월</v>
      </c>
    </row>
    <row r="4114" spans="1:12" x14ac:dyDescent="0.3">
      <c r="A4114" s="5">
        <v>46082</v>
      </c>
      <c r="B4114" s="6" t="s">
        <v>84</v>
      </c>
      <c r="C4114" s="6" t="s">
        <v>86</v>
      </c>
      <c r="D4114" s="5">
        <v>46023</v>
      </c>
      <c r="E4114" s="6" t="s">
        <v>15</v>
      </c>
      <c r="F4114" s="7">
        <v>1265</v>
      </c>
      <c r="G4114" s="7">
        <v>638430.20079051389</v>
      </c>
      <c r="H4114" s="7">
        <v>807614204</v>
      </c>
      <c r="I4114" s="7">
        <v>130093552</v>
      </c>
      <c r="J4114" s="7">
        <v>0</v>
      </c>
      <c r="K4114">
        <f t="shared" si="64"/>
        <v>59</v>
      </c>
      <c r="L4114" s="8" t="str" cm="1">
        <f t="array" ref="L4114">_xlfn.IFS(
 AND(K4114&gt;=89,K4114&lt;=92),"3개월",
 AND(K4114&gt;=58,K4114&lt;=62),"2개월",
 AND(K4114&gt;=28,K4114&lt;=32),"1개월",
 AND(K4114=0),"당월",
 TRUE,"그외"
)</f>
        <v>2개월</v>
      </c>
    </row>
    <row r="4115" spans="1:12" x14ac:dyDescent="0.3">
      <c r="A4115" s="5">
        <v>46082</v>
      </c>
      <c r="B4115" s="6" t="s">
        <v>84</v>
      </c>
      <c r="C4115" s="6" t="s">
        <v>86</v>
      </c>
      <c r="D4115" s="5">
        <v>46054</v>
      </c>
      <c r="E4115" s="6" t="s">
        <v>14</v>
      </c>
      <c r="F4115" s="7">
        <v>1319</v>
      </c>
      <c r="G4115" s="7">
        <v>433699.45943896892</v>
      </c>
      <c r="H4115" s="7">
        <v>572049587</v>
      </c>
      <c r="I4115" s="7">
        <v>71951016</v>
      </c>
      <c r="J4115" s="7">
        <v>0</v>
      </c>
      <c r="K4115">
        <f t="shared" si="64"/>
        <v>28</v>
      </c>
      <c r="L4115" s="8" t="str" cm="1">
        <f t="array" ref="L4115">_xlfn.IFS(
 AND(K4115&gt;=89,K4115&lt;=92),"3개월",
 AND(K4115&gt;=58,K4115&lt;=62),"2개월",
 AND(K4115&gt;=28,K4115&lt;=32),"1개월",
 AND(K4115=0),"당월",
 TRUE,"그외"
)</f>
        <v>1개월</v>
      </c>
    </row>
    <row r="4116" spans="1:12" x14ac:dyDescent="0.3">
      <c r="A4116" s="5">
        <v>46082</v>
      </c>
      <c r="B4116" s="6" t="s">
        <v>84</v>
      </c>
      <c r="C4116" s="6" t="s">
        <v>86</v>
      </c>
      <c r="D4116" s="5">
        <v>46054</v>
      </c>
      <c r="E4116" s="6" t="s">
        <v>15</v>
      </c>
      <c r="F4116" s="7">
        <v>1853</v>
      </c>
      <c r="G4116" s="7">
        <v>685774.44630329194</v>
      </c>
      <c r="H4116" s="7">
        <v>1270740049</v>
      </c>
      <c r="I4116" s="7">
        <v>146042492</v>
      </c>
      <c r="J4116" s="7">
        <v>0</v>
      </c>
      <c r="K4116">
        <f t="shared" si="64"/>
        <v>28</v>
      </c>
      <c r="L4116" s="8" t="str" cm="1">
        <f t="array" ref="L4116">_xlfn.IFS(
 AND(K4116&gt;=89,K4116&lt;=92),"3개월",
 AND(K4116&gt;=58,K4116&lt;=62),"2개월",
 AND(K4116&gt;=28,K4116&lt;=32),"1개월",
 AND(K4116=0),"당월",
 TRUE,"그외"
)</f>
        <v>1개월</v>
      </c>
    </row>
    <row r="4117" spans="1:12" x14ac:dyDescent="0.3">
      <c r="A4117" s="5">
        <v>46082</v>
      </c>
      <c r="B4117" s="6" t="s">
        <v>84</v>
      </c>
      <c r="C4117" s="6" t="s">
        <v>86</v>
      </c>
      <c r="D4117" s="5">
        <v>46082</v>
      </c>
      <c r="E4117" s="6" t="s">
        <v>14</v>
      </c>
      <c r="F4117" s="7">
        <v>1419</v>
      </c>
      <c r="G4117" s="7">
        <v>468865.25369978859</v>
      </c>
      <c r="H4117" s="7">
        <v>665319795</v>
      </c>
      <c r="I4117" s="7">
        <v>98971742</v>
      </c>
      <c r="J4117" s="7">
        <v>0</v>
      </c>
      <c r="K4117">
        <f t="shared" si="64"/>
        <v>0</v>
      </c>
      <c r="L4117" s="8" t="str" cm="1">
        <f t="array" ref="L4117">_xlfn.IFS(
 AND(K4117&gt;=89,K4117&lt;=92),"3개월",
 AND(K4117&gt;=58,K4117&lt;=62),"2개월",
 AND(K4117&gt;=28,K4117&lt;=32),"1개월",
 AND(K4117=0),"당월",
 TRUE,"그외"
)</f>
        <v>당월</v>
      </c>
    </row>
    <row r="4118" spans="1:12" x14ac:dyDescent="0.3">
      <c r="A4118" s="5">
        <v>46082</v>
      </c>
      <c r="B4118" s="6" t="s">
        <v>84</v>
      </c>
      <c r="C4118" s="6" t="s">
        <v>86</v>
      </c>
      <c r="D4118" s="5">
        <v>46082</v>
      </c>
      <c r="E4118" s="6" t="s">
        <v>15</v>
      </c>
      <c r="F4118" s="7">
        <v>2769</v>
      </c>
      <c r="G4118" s="7">
        <v>1163749.361141206</v>
      </c>
      <c r="H4118" s="7">
        <v>3222421981</v>
      </c>
      <c r="I4118" s="7">
        <v>307793831</v>
      </c>
      <c r="J4118" s="7">
        <v>0</v>
      </c>
      <c r="K4118">
        <f t="shared" si="64"/>
        <v>0</v>
      </c>
      <c r="L4118" s="8" t="str" cm="1">
        <f t="array" ref="L4118">_xlfn.IFS(
 AND(K4118&gt;=89,K4118&lt;=92),"3개월",
 AND(K4118&gt;=58,K4118&lt;=62),"2개월",
 AND(K4118&gt;=28,K4118&lt;=32),"1개월",
 AND(K4118=0),"당월",
 TRUE,"그외"
)</f>
        <v>당월</v>
      </c>
    </row>
    <row r="4119" spans="1:12" x14ac:dyDescent="0.3">
      <c r="A4119" s="5">
        <v>46082</v>
      </c>
      <c r="B4119" s="6" t="s">
        <v>84</v>
      </c>
      <c r="C4119" s="6" t="s">
        <v>86</v>
      </c>
      <c r="D4119" s="5">
        <v>46113</v>
      </c>
      <c r="E4119" s="6" t="s">
        <v>15</v>
      </c>
      <c r="F4119" s="7">
        <v>1</v>
      </c>
      <c r="G4119" s="7">
        <v>264600</v>
      </c>
      <c r="H4119" s="7">
        <v>264600</v>
      </c>
      <c r="I4119" s="7">
        <v>64600</v>
      </c>
      <c r="J4119" s="7">
        <v>0</v>
      </c>
      <c r="K4119">
        <f t="shared" si="64"/>
        <v>-31</v>
      </c>
      <c r="L4119" s="8" t="str" cm="1">
        <f t="array" ref="L4119">_xlfn.IFS(
 AND(K4119&gt;=89,K4119&lt;=92),"3개월",
 AND(K4119&gt;=58,K4119&lt;=62),"2개월",
 AND(K4119&gt;=28,K4119&lt;=32),"1개월",
 AND(K4119=0),"당월",
 TRUE,"그외"
)</f>
        <v>그외</v>
      </c>
    </row>
    <row r="4120" spans="1:12" x14ac:dyDescent="0.3">
      <c r="A4120" s="5">
        <v>46082</v>
      </c>
      <c r="B4120" s="6" t="s">
        <v>84</v>
      </c>
      <c r="C4120" s="6" t="s">
        <v>87</v>
      </c>
      <c r="D4120" s="5">
        <v>45748</v>
      </c>
      <c r="E4120" s="6" t="s">
        <v>15</v>
      </c>
      <c r="F4120" s="7">
        <v>15</v>
      </c>
      <c r="G4120" s="7">
        <v>474026.4</v>
      </c>
      <c r="H4120" s="7">
        <v>7110396</v>
      </c>
      <c r="I4120" s="7">
        <v>1858015</v>
      </c>
      <c r="J4120" s="7">
        <v>0</v>
      </c>
      <c r="K4120">
        <f t="shared" si="64"/>
        <v>334</v>
      </c>
      <c r="L4120" s="8" t="str" cm="1">
        <f t="array" ref="L4120">_xlfn.IFS(
 AND(K4120&gt;=89,K4120&lt;=92),"3개월",
 AND(K4120&gt;=58,K4120&lt;=62),"2개월",
 AND(K4120&gt;=28,K4120&lt;=32),"1개월",
 AND(K4120=0),"당월",
 TRUE,"그외"
)</f>
        <v>그외</v>
      </c>
    </row>
    <row r="4121" spans="1:12" x14ac:dyDescent="0.3">
      <c r="A4121" s="5">
        <v>46082</v>
      </c>
      <c r="B4121" s="6" t="s">
        <v>84</v>
      </c>
      <c r="C4121" s="6" t="s">
        <v>87</v>
      </c>
      <c r="D4121" s="5">
        <v>45778</v>
      </c>
      <c r="E4121" s="6" t="s">
        <v>15</v>
      </c>
      <c r="F4121" s="7">
        <v>23</v>
      </c>
      <c r="G4121" s="7">
        <v>628621</v>
      </c>
      <c r="H4121" s="7">
        <v>14458283</v>
      </c>
      <c r="I4121" s="7">
        <v>2487683</v>
      </c>
      <c r="J4121" s="7">
        <v>0</v>
      </c>
      <c r="K4121">
        <f t="shared" si="64"/>
        <v>304</v>
      </c>
      <c r="L4121" s="8" t="str" cm="1">
        <f t="array" ref="L4121">_xlfn.IFS(
 AND(K4121&gt;=89,K4121&lt;=92),"3개월",
 AND(K4121&gt;=58,K4121&lt;=62),"2개월",
 AND(K4121&gt;=28,K4121&lt;=32),"1개월",
 AND(K4121=0),"당월",
 TRUE,"그외"
)</f>
        <v>그외</v>
      </c>
    </row>
    <row r="4122" spans="1:12" x14ac:dyDescent="0.3">
      <c r="A4122" s="5">
        <v>46082</v>
      </c>
      <c r="B4122" s="6" t="s">
        <v>84</v>
      </c>
      <c r="C4122" s="6" t="s">
        <v>87</v>
      </c>
      <c r="D4122" s="5">
        <v>45809</v>
      </c>
      <c r="E4122" s="6" t="s">
        <v>15</v>
      </c>
      <c r="F4122" s="7">
        <v>42</v>
      </c>
      <c r="G4122" s="7">
        <v>531334.54761904757</v>
      </c>
      <c r="H4122" s="7">
        <v>22316051</v>
      </c>
      <c r="I4122" s="7">
        <v>3912031</v>
      </c>
      <c r="J4122" s="7">
        <v>0</v>
      </c>
      <c r="K4122">
        <f t="shared" si="64"/>
        <v>273</v>
      </c>
      <c r="L4122" s="8" t="str" cm="1">
        <f t="array" ref="L4122">_xlfn.IFS(
 AND(K4122&gt;=89,K4122&lt;=92),"3개월",
 AND(K4122&gt;=58,K4122&lt;=62),"2개월",
 AND(K4122&gt;=28,K4122&lt;=32),"1개월",
 AND(K4122=0),"당월",
 TRUE,"그외"
)</f>
        <v>그외</v>
      </c>
    </row>
    <row r="4123" spans="1:12" x14ac:dyDescent="0.3">
      <c r="A4123" s="5">
        <v>46082</v>
      </c>
      <c r="B4123" s="6" t="s">
        <v>84</v>
      </c>
      <c r="C4123" s="6" t="s">
        <v>87</v>
      </c>
      <c r="D4123" s="5">
        <v>45839</v>
      </c>
      <c r="E4123" s="6" t="s">
        <v>15</v>
      </c>
      <c r="F4123" s="7">
        <v>49</v>
      </c>
      <c r="G4123" s="7">
        <v>475761.02040816331</v>
      </c>
      <c r="H4123" s="7">
        <v>23312290</v>
      </c>
      <c r="I4123" s="7">
        <v>5025871</v>
      </c>
      <c r="J4123" s="7">
        <v>0</v>
      </c>
      <c r="K4123">
        <f t="shared" si="64"/>
        <v>243</v>
      </c>
      <c r="L4123" s="8" t="str" cm="1">
        <f t="array" ref="L4123">_xlfn.IFS(
 AND(K4123&gt;=89,K4123&lt;=92),"3개월",
 AND(K4123&gt;=58,K4123&lt;=62),"2개월",
 AND(K4123&gt;=28,K4123&lt;=32),"1개월",
 AND(K4123=0),"당월",
 TRUE,"그외"
)</f>
        <v>그외</v>
      </c>
    </row>
    <row r="4124" spans="1:12" x14ac:dyDescent="0.3">
      <c r="A4124" s="5">
        <v>46082</v>
      </c>
      <c r="B4124" s="6" t="s">
        <v>84</v>
      </c>
      <c r="C4124" s="6" t="s">
        <v>87</v>
      </c>
      <c r="D4124" s="5">
        <v>45870</v>
      </c>
      <c r="E4124" s="6" t="s">
        <v>15</v>
      </c>
      <c r="F4124" s="7">
        <v>67</v>
      </c>
      <c r="G4124" s="7">
        <v>560289.25373134331</v>
      </c>
      <c r="H4124" s="7">
        <v>37539380</v>
      </c>
      <c r="I4124" s="7">
        <v>8196091</v>
      </c>
      <c r="J4124" s="7">
        <v>0</v>
      </c>
      <c r="K4124">
        <f t="shared" si="64"/>
        <v>212</v>
      </c>
      <c r="L4124" s="8" t="str" cm="1">
        <f t="array" ref="L4124">_xlfn.IFS(
 AND(K4124&gt;=89,K4124&lt;=92),"3개월",
 AND(K4124&gt;=58,K4124&lt;=62),"2개월",
 AND(K4124&gt;=28,K4124&lt;=32),"1개월",
 AND(K4124=0),"당월",
 TRUE,"그외"
)</f>
        <v>그외</v>
      </c>
    </row>
    <row r="4125" spans="1:12" x14ac:dyDescent="0.3">
      <c r="A4125" s="5">
        <v>46082</v>
      </c>
      <c r="B4125" s="6" t="s">
        <v>84</v>
      </c>
      <c r="C4125" s="6" t="s">
        <v>87</v>
      </c>
      <c r="D4125" s="5">
        <v>45901</v>
      </c>
      <c r="E4125" s="6" t="s">
        <v>15</v>
      </c>
      <c r="F4125" s="7">
        <v>118</v>
      </c>
      <c r="G4125" s="7">
        <v>648355.26271186443</v>
      </c>
      <c r="H4125" s="7">
        <v>76505921</v>
      </c>
      <c r="I4125" s="7">
        <v>13580308</v>
      </c>
      <c r="J4125" s="7">
        <v>0</v>
      </c>
      <c r="K4125">
        <f t="shared" si="64"/>
        <v>181</v>
      </c>
      <c r="L4125" s="8" t="str" cm="1">
        <f t="array" ref="L4125">_xlfn.IFS(
 AND(K4125&gt;=89,K4125&lt;=92),"3개월",
 AND(K4125&gt;=58,K4125&lt;=62),"2개월",
 AND(K4125&gt;=28,K4125&lt;=32),"1개월",
 AND(K4125=0),"당월",
 TRUE,"그외"
)</f>
        <v>그외</v>
      </c>
    </row>
    <row r="4126" spans="1:12" x14ac:dyDescent="0.3">
      <c r="A4126" s="5">
        <v>46082</v>
      </c>
      <c r="B4126" s="6" t="s">
        <v>84</v>
      </c>
      <c r="C4126" s="6" t="s">
        <v>87</v>
      </c>
      <c r="D4126" s="5">
        <v>45931</v>
      </c>
      <c r="E4126" s="6" t="s">
        <v>15</v>
      </c>
      <c r="F4126" s="7">
        <v>228</v>
      </c>
      <c r="G4126" s="7">
        <v>603012.88157894742</v>
      </c>
      <c r="H4126" s="7">
        <v>137486937</v>
      </c>
      <c r="I4126" s="7">
        <v>23836157</v>
      </c>
      <c r="J4126" s="7">
        <v>0</v>
      </c>
      <c r="K4126">
        <f t="shared" si="64"/>
        <v>151</v>
      </c>
      <c r="L4126" s="8" t="str" cm="1">
        <f t="array" ref="L4126">_xlfn.IFS(
 AND(K4126&gt;=89,K4126&lt;=92),"3개월",
 AND(K4126&gt;=58,K4126&lt;=62),"2개월",
 AND(K4126&gt;=28,K4126&lt;=32),"1개월",
 AND(K4126=0),"당월",
 TRUE,"그외"
)</f>
        <v>그외</v>
      </c>
    </row>
    <row r="4127" spans="1:12" x14ac:dyDescent="0.3">
      <c r="A4127" s="5">
        <v>46082</v>
      </c>
      <c r="B4127" s="6" t="s">
        <v>84</v>
      </c>
      <c r="C4127" s="6" t="s">
        <v>87</v>
      </c>
      <c r="D4127" s="5">
        <v>45962</v>
      </c>
      <c r="E4127" s="6" t="s">
        <v>15</v>
      </c>
      <c r="F4127" s="7">
        <v>644</v>
      </c>
      <c r="G4127" s="7">
        <v>417559.63664596272</v>
      </c>
      <c r="H4127" s="7">
        <v>268908406</v>
      </c>
      <c r="I4127" s="7">
        <v>67832696</v>
      </c>
      <c r="J4127" s="7">
        <v>0</v>
      </c>
      <c r="K4127">
        <f t="shared" si="64"/>
        <v>120</v>
      </c>
      <c r="L4127" s="8" t="str" cm="1">
        <f t="array" ref="L4127">_xlfn.IFS(
 AND(K4127&gt;=89,K4127&lt;=92),"3개월",
 AND(K4127&gt;=58,K4127&lt;=62),"2개월",
 AND(K4127&gt;=28,K4127&lt;=32),"1개월",
 AND(K4127=0),"당월",
 TRUE,"그외"
)</f>
        <v>그외</v>
      </c>
    </row>
    <row r="4128" spans="1:12" x14ac:dyDescent="0.3">
      <c r="A4128" s="5">
        <v>46082</v>
      </c>
      <c r="B4128" s="6" t="s">
        <v>84</v>
      </c>
      <c r="C4128" s="6" t="s">
        <v>87</v>
      </c>
      <c r="D4128" s="5">
        <v>45992</v>
      </c>
      <c r="E4128" s="6" t="s">
        <v>15</v>
      </c>
      <c r="F4128" s="7">
        <v>879</v>
      </c>
      <c r="G4128" s="7">
        <v>482112.81001137663</v>
      </c>
      <c r="H4128" s="7">
        <v>423777160</v>
      </c>
      <c r="I4128" s="7">
        <v>100902777</v>
      </c>
      <c r="J4128" s="7">
        <v>0</v>
      </c>
      <c r="K4128">
        <f t="shared" si="64"/>
        <v>90</v>
      </c>
      <c r="L4128" s="8" t="str" cm="1">
        <f t="array" ref="L4128">_xlfn.IFS(
 AND(K4128&gt;=89,K4128&lt;=92),"3개월",
 AND(K4128&gt;=58,K4128&lt;=62),"2개월",
 AND(K4128&gt;=28,K4128&lt;=32),"1개월",
 AND(K4128=0),"당월",
 TRUE,"그외"
)</f>
        <v>3개월</v>
      </c>
    </row>
    <row r="4129" spans="1:12" x14ac:dyDescent="0.3">
      <c r="A4129" s="5">
        <v>46082</v>
      </c>
      <c r="B4129" s="6" t="s">
        <v>84</v>
      </c>
      <c r="C4129" s="6" t="s">
        <v>87</v>
      </c>
      <c r="D4129" s="5">
        <v>46023</v>
      </c>
      <c r="E4129" s="6" t="s">
        <v>14</v>
      </c>
      <c r="F4129" s="7">
        <v>723</v>
      </c>
      <c r="G4129" s="7">
        <v>234897.92531120329</v>
      </c>
      <c r="H4129" s="7">
        <v>169831200</v>
      </c>
      <c r="I4129" s="7">
        <v>57406200</v>
      </c>
      <c r="J4129" s="7">
        <v>0</v>
      </c>
      <c r="K4129">
        <f t="shared" si="64"/>
        <v>59</v>
      </c>
      <c r="L4129" s="8" t="str" cm="1">
        <f t="array" ref="L4129">_xlfn.IFS(
 AND(K4129&gt;=89,K4129&lt;=92),"3개월",
 AND(K4129&gt;=58,K4129&lt;=62),"2개월",
 AND(K4129&gt;=28,K4129&lt;=32),"1개월",
 AND(K4129=0),"당월",
 TRUE,"그외"
)</f>
        <v>2개월</v>
      </c>
    </row>
    <row r="4130" spans="1:12" x14ac:dyDescent="0.3">
      <c r="A4130" s="5">
        <v>46082</v>
      </c>
      <c r="B4130" s="6" t="s">
        <v>84</v>
      </c>
      <c r="C4130" s="6" t="s">
        <v>87</v>
      </c>
      <c r="D4130" s="5">
        <v>46023</v>
      </c>
      <c r="E4130" s="6" t="s">
        <v>15</v>
      </c>
      <c r="F4130" s="7">
        <v>1040</v>
      </c>
      <c r="G4130" s="7">
        <v>584475.38653846155</v>
      </c>
      <c r="H4130" s="7">
        <v>607854402</v>
      </c>
      <c r="I4130" s="7">
        <v>116307931</v>
      </c>
      <c r="J4130" s="7">
        <v>0</v>
      </c>
      <c r="K4130">
        <f t="shared" si="64"/>
        <v>59</v>
      </c>
      <c r="L4130" s="8" t="str" cm="1">
        <f t="array" ref="L4130">_xlfn.IFS(
 AND(K4130&gt;=89,K4130&lt;=92),"3개월",
 AND(K4130&gt;=58,K4130&lt;=62),"2개월",
 AND(K4130&gt;=28,K4130&lt;=32),"1개월",
 AND(K4130=0),"당월",
 TRUE,"그외"
)</f>
        <v>2개월</v>
      </c>
    </row>
    <row r="4131" spans="1:12" x14ac:dyDescent="0.3">
      <c r="A4131" s="5">
        <v>46082</v>
      </c>
      <c r="B4131" s="6" t="s">
        <v>84</v>
      </c>
      <c r="C4131" s="6" t="s">
        <v>87</v>
      </c>
      <c r="D4131" s="5">
        <v>46054</v>
      </c>
      <c r="E4131" s="6" t="s">
        <v>14</v>
      </c>
      <c r="F4131" s="7">
        <v>419</v>
      </c>
      <c r="G4131" s="7">
        <v>327431.02625298331</v>
      </c>
      <c r="H4131" s="7">
        <v>137193600</v>
      </c>
      <c r="I4131" s="7">
        <v>22893600</v>
      </c>
      <c r="J4131" s="7">
        <v>0</v>
      </c>
      <c r="K4131">
        <f t="shared" si="64"/>
        <v>28</v>
      </c>
      <c r="L4131" s="8" t="str" cm="1">
        <f t="array" ref="L4131">_xlfn.IFS(
 AND(K4131&gt;=89,K4131&lt;=92),"3개월",
 AND(K4131&gt;=58,K4131&lt;=62),"2개월",
 AND(K4131&gt;=28,K4131&lt;=32),"1개월",
 AND(K4131=0),"당월",
 TRUE,"그외"
)</f>
        <v>1개월</v>
      </c>
    </row>
    <row r="4132" spans="1:12" x14ac:dyDescent="0.3">
      <c r="A4132" s="5">
        <v>46082</v>
      </c>
      <c r="B4132" s="6" t="s">
        <v>84</v>
      </c>
      <c r="C4132" s="6" t="s">
        <v>87</v>
      </c>
      <c r="D4132" s="5">
        <v>46054</v>
      </c>
      <c r="E4132" s="6" t="s">
        <v>15</v>
      </c>
      <c r="F4132" s="7">
        <v>1547</v>
      </c>
      <c r="G4132" s="7">
        <v>562952.2734324499</v>
      </c>
      <c r="H4132" s="7">
        <v>870887167</v>
      </c>
      <c r="I4132" s="7">
        <v>150342645</v>
      </c>
      <c r="J4132" s="7">
        <v>0</v>
      </c>
      <c r="K4132">
        <f t="shared" si="64"/>
        <v>28</v>
      </c>
      <c r="L4132" s="8" t="str" cm="1">
        <f t="array" ref="L4132">_xlfn.IFS(
 AND(K4132&gt;=89,K4132&lt;=92),"3개월",
 AND(K4132&gt;=58,K4132&lt;=62),"2개월",
 AND(K4132&gt;=28,K4132&lt;=32),"1개월",
 AND(K4132=0),"당월",
 TRUE,"그외"
)</f>
        <v>1개월</v>
      </c>
    </row>
    <row r="4133" spans="1:12" x14ac:dyDescent="0.3">
      <c r="A4133" s="5">
        <v>46082</v>
      </c>
      <c r="B4133" s="6" t="s">
        <v>84</v>
      </c>
      <c r="C4133" s="6" t="s">
        <v>87</v>
      </c>
      <c r="D4133" s="5">
        <v>46082</v>
      </c>
      <c r="E4133" s="6" t="s">
        <v>14</v>
      </c>
      <c r="F4133" s="7">
        <v>343</v>
      </c>
      <c r="G4133" s="7">
        <v>458968.68221574352</v>
      </c>
      <c r="H4133" s="7">
        <v>157426258</v>
      </c>
      <c r="I4133" s="7">
        <v>29205358</v>
      </c>
      <c r="J4133" s="7">
        <v>0</v>
      </c>
      <c r="K4133">
        <f t="shared" si="64"/>
        <v>0</v>
      </c>
      <c r="L4133" s="8" t="str" cm="1">
        <f t="array" ref="L4133">_xlfn.IFS(
 AND(K4133&gt;=89,K4133&lt;=92),"3개월",
 AND(K4133&gt;=58,K4133&lt;=62),"2개월",
 AND(K4133&gt;=28,K4133&lt;=32),"1개월",
 AND(K4133=0),"당월",
 TRUE,"그외"
)</f>
        <v>당월</v>
      </c>
    </row>
    <row r="4134" spans="1:12" x14ac:dyDescent="0.3">
      <c r="A4134" s="5">
        <v>46082</v>
      </c>
      <c r="B4134" s="6" t="s">
        <v>84</v>
      </c>
      <c r="C4134" s="6" t="s">
        <v>87</v>
      </c>
      <c r="D4134" s="5">
        <v>46082</v>
      </c>
      <c r="E4134" s="6" t="s">
        <v>15</v>
      </c>
      <c r="F4134" s="7">
        <v>1390</v>
      </c>
      <c r="G4134" s="7">
        <v>1278724.997122302</v>
      </c>
      <c r="H4134" s="7">
        <v>1777427746</v>
      </c>
      <c r="I4134" s="7">
        <v>165946675</v>
      </c>
      <c r="J4134" s="7">
        <v>0</v>
      </c>
      <c r="K4134">
        <f t="shared" si="64"/>
        <v>0</v>
      </c>
      <c r="L4134" s="8" t="str" cm="1">
        <f t="array" ref="L4134">_xlfn.IFS(
 AND(K4134&gt;=89,K4134&lt;=92),"3개월",
 AND(K4134&gt;=58,K4134&lt;=62),"2개월",
 AND(K4134&gt;=28,K4134&lt;=32),"1개월",
 AND(K4134=0),"당월",
 TRUE,"그외"
)</f>
        <v>당월</v>
      </c>
    </row>
    <row r="4135" spans="1:12" x14ac:dyDescent="0.3">
      <c r="A4135" s="5">
        <v>46082</v>
      </c>
      <c r="B4135" s="6" t="s">
        <v>84</v>
      </c>
      <c r="C4135" s="6" t="s">
        <v>88</v>
      </c>
      <c r="D4135" s="5">
        <v>45748</v>
      </c>
      <c r="E4135" s="6" t="s">
        <v>15</v>
      </c>
      <c r="F4135" s="7">
        <v>16</v>
      </c>
      <c r="G4135" s="7">
        <v>524638.75</v>
      </c>
      <c r="H4135" s="7">
        <v>8394220</v>
      </c>
      <c r="I4135" s="7">
        <v>1370828</v>
      </c>
      <c r="J4135" s="7">
        <v>0</v>
      </c>
      <c r="K4135">
        <f t="shared" si="64"/>
        <v>334</v>
      </c>
      <c r="L4135" s="8" t="str" cm="1">
        <f t="array" ref="L4135">_xlfn.IFS(
 AND(K4135&gt;=89,K4135&lt;=92),"3개월",
 AND(K4135&gt;=58,K4135&lt;=62),"2개월",
 AND(K4135&gt;=28,K4135&lt;=32),"1개월",
 AND(K4135=0),"당월",
 TRUE,"그외"
)</f>
        <v>그외</v>
      </c>
    </row>
    <row r="4136" spans="1:12" x14ac:dyDescent="0.3">
      <c r="A4136" s="5">
        <v>46082</v>
      </c>
      <c r="B4136" s="6" t="s">
        <v>84</v>
      </c>
      <c r="C4136" s="6" t="s">
        <v>88</v>
      </c>
      <c r="D4136" s="5">
        <v>45778</v>
      </c>
      <c r="E4136" s="6" t="s">
        <v>15</v>
      </c>
      <c r="F4136" s="7">
        <v>39</v>
      </c>
      <c r="G4136" s="7">
        <v>505585.12820512819</v>
      </c>
      <c r="H4136" s="7">
        <v>19717820</v>
      </c>
      <c r="I4136" s="7">
        <v>2990168</v>
      </c>
      <c r="J4136" s="7">
        <v>0</v>
      </c>
      <c r="K4136">
        <f t="shared" si="64"/>
        <v>304</v>
      </c>
      <c r="L4136" s="8" t="str" cm="1">
        <f t="array" ref="L4136">_xlfn.IFS(
 AND(K4136&gt;=89,K4136&lt;=92),"3개월",
 AND(K4136&gt;=58,K4136&lt;=62),"2개월",
 AND(K4136&gt;=28,K4136&lt;=32),"1개월",
 AND(K4136=0),"당월",
 TRUE,"그외"
)</f>
        <v>그외</v>
      </c>
    </row>
    <row r="4137" spans="1:12" x14ac:dyDescent="0.3">
      <c r="A4137" s="5">
        <v>46082</v>
      </c>
      <c r="B4137" s="6" t="s">
        <v>84</v>
      </c>
      <c r="C4137" s="6" t="s">
        <v>88</v>
      </c>
      <c r="D4137" s="5">
        <v>45809</v>
      </c>
      <c r="E4137" s="6" t="s">
        <v>15</v>
      </c>
      <c r="F4137" s="7">
        <v>131</v>
      </c>
      <c r="G4137" s="7">
        <v>468650.18320610689</v>
      </c>
      <c r="H4137" s="7">
        <v>61393174</v>
      </c>
      <c r="I4137" s="7">
        <v>7651736</v>
      </c>
      <c r="J4137" s="7">
        <v>0</v>
      </c>
      <c r="K4137">
        <f t="shared" si="64"/>
        <v>273</v>
      </c>
      <c r="L4137" s="8" t="str" cm="1">
        <f t="array" ref="L4137">_xlfn.IFS(
 AND(K4137&gt;=89,K4137&lt;=92),"3개월",
 AND(K4137&gt;=58,K4137&lt;=62),"2개월",
 AND(K4137&gt;=28,K4137&lt;=32),"1개월",
 AND(K4137=0),"당월",
 TRUE,"그외"
)</f>
        <v>그외</v>
      </c>
    </row>
    <row r="4138" spans="1:12" x14ac:dyDescent="0.3">
      <c r="A4138" s="5">
        <v>46082</v>
      </c>
      <c r="B4138" s="6" t="s">
        <v>84</v>
      </c>
      <c r="C4138" s="6" t="s">
        <v>88</v>
      </c>
      <c r="D4138" s="5">
        <v>45839</v>
      </c>
      <c r="E4138" s="6" t="s">
        <v>15</v>
      </c>
      <c r="F4138" s="7">
        <v>93</v>
      </c>
      <c r="G4138" s="7">
        <v>629716.36559139786</v>
      </c>
      <c r="H4138" s="7">
        <v>58563622</v>
      </c>
      <c r="I4138" s="7">
        <v>6219282</v>
      </c>
      <c r="J4138" s="7">
        <v>0</v>
      </c>
      <c r="K4138">
        <f t="shared" si="64"/>
        <v>243</v>
      </c>
      <c r="L4138" s="8" t="str" cm="1">
        <f t="array" ref="L4138">_xlfn.IFS(
 AND(K4138&gt;=89,K4138&lt;=92),"3개월",
 AND(K4138&gt;=58,K4138&lt;=62),"2개월",
 AND(K4138&gt;=28,K4138&lt;=32),"1개월",
 AND(K4138=0),"당월",
 TRUE,"그외"
)</f>
        <v>그외</v>
      </c>
    </row>
    <row r="4139" spans="1:12" x14ac:dyDescent="0.3">
      <c r="A4139" s="5">
        <v>46082</v>
      </c>
      <c r="B4139" s="6" t="s">
        <v>84</v>
      </c>
      <c r="C4139" s="6" t="s">
        <v>88</v>
      </c>
      <c r="D4139" s="5">
        <v>45870</v>
      </c>
      <c r="E4139" s="6" t="s">
        <v>15</v>
      </c>
      <c r="F4139" s="7">
        <v>90</v>
      </c>
      <c r="G4139" s="7">
        <v>741228.35555555555</v>
      </c>
      <c r="H4139" s="7">
        <v>66710552</v>
      </c>
      <c r="I4139" s="7">
        <v>9972763</v>
      </c>
      <c r="J4139" s="7">
        <v>0</v>
      </c>
      <c r="K4139">
        <f t="shared" si="64"/>
        <v>212</v>
      </c>
      <c r="L4139" s="8" t="str" cm="1">
        <f t="array" ref="L4139">_xlfn.IFS(
 AND(K4139&gt;=89,K4139&lt;=92),"3개월",
 AND(K4139&gt;=58,K4139&lt;=62),"2개월",
 AND(K4139&gt;=28,K4139&lt;=32),"1개월",
 AND(K4139=0),"당월",
 TRUE,"그외"
)</f>
        <v>그외</v>
      </c>
    </row>
    <row r="4140" spans="1:12" x14ac:dyDescent="0.3">
      <c r="A4140" s="5">
        <v>46082</v>
      </c>
      <c r="B4140" s="6" t="s">
        <v>84</v>
      </c>
      <c r="C4140" s="6" t="s">
        <v>88</v>
      </c>
      <c r="D4140" s="5">
        <v>45901</v>
      </c>
      <c r="E4140" s="6" t="s">
        <v>15</v>
      </c>
      <c r="F4140" s="7">
        <v>99</v>
      </c>
      <c r="G4140" s="7">
        <v>702191.4242424242</v>
      </c>
      <c r="H4140" s="7">
        <v>69516951</v>
      </c>
      <c r="I4140" s="7">
        <v>9036039</v>
      </c>
      <c r="J4140" s="7">
        <v>0</v>
      </c>
      <c r="K4140">
        <f t="shared" si="64"/>
        <v>181</v>
      </c>
      <c r="L4140" s="8" t="str" cm="1">
        <f t="array" ref="L4140">_xlfn.IFS(
 AND(K4140&gt;=89,K4140&lt;=92),"3개월",
 AND(K4140&gt;=58,K4140&lt;=62),"2개월",
 AND(K4140&gt;=28,K4140&lt;=32),"1개월",
 AND(K4140=0),"당월",
 TRUE,"그외"
)</f>
        <v>그외</v>
      </c>
    </row>
    <row r="4141" spans="1:12" x14ac:dyDescent="0.3">
      <c r="A4141" s="5">
        <v>46082</v>
      </c>
      <c r="B4141" s="6" t="s">
        <v>84</v>
      </c>
      <c r="C4141" s="6" t="s">
        <v>88</v>
      </c>
      <c r="D4141" s="5">
        <v>45931</v>
      </c>
      <c r="E4141" s="6" t="s">
        <v>15</v>
      </c>
      <c r="F4141" s="7">
        <v>184</v>
      </c>
      <c r="G4141" s="7">
        <v>604786.53804347827</v>
      </c>
      <c r="H4141" s="7">
        <v>111280723</v>
      </c>
      <c r="I4141" s="7">
        <v>16244307</v>
      </c>
      <c r="J4141" s="7">
        <v>0</v>
      </c>
      <c r="K4141">
        <f t="shared" si="64"/>
        <v>151</v>
      </c>
      <c r="L4141" s="8" t="str" cm="1">
        <f t="array" ref="L4141">_xlfn.IFS(
 AND(K4141&gt;=89,K4141&lt;=92),"3개월",
 AND(K4141&gt;=58,K4141&lt;=62),"2개월",
 AND(K4141&gt;=28,K4141&lt;=32),"1개월",
 AND(K4141=0),"당월",
 TRUE,"그외"
)</f>
        <v>그외</v>
      </c>
    </row>
    <row r="4142" spans="1:12" x14ac:dyDescent="0.3">
      <c r="A4142" s="5">
        <v>46082</v>
      </c>
      <c r="B4142" s="6" t="s">
        <v>84</v>
      </c>
      <c r="C4142" s="6" t="s">
        <v>88</v>
      </c>
      <c r="D4142" s="5">
        <v>45962</v>
      </c>
      <c r="E4142" s="6" t="s">
        <v>15</v>
      </c>
      <c r="F4142" s="7">
        <v>233</v>
      </c>
      <c r="G4142" s="7">
        <v>706254.60515021463</v>
      </c>
      <c r="H4142" s="7">
        <v>164557323</v>
      </c>
      <c r="I4142" s="7">
        <v>24965472</v>
      </c>
      <c r="J4142" s="7">
        <v>0</v>
      </c>
      <c r="K4142">
        <f t="shared" si="64"/>
        <v>120</v>
      </c>
      <c r="L4142" s="8" t="str" cm="1">
        <f t="array" ref="L4142">_xlfn.IFS(
 AND(K4142&gt;=89,K4142&lt;=92),"3개월",
 AND(K4142&gt;=58,K4142&lt;=62),"2개월",
 AND(K4142&gt;=28,K4142&lt;=32),"1개월",
 AND(K4142=0),"당월",
 TRUE,"그외"
)</f>
        <v>그외</v>
      </c>
    </row>
    <row r="4143" spans="1:12" x14ac:dyDescent="0.3">
      <c r="A4143" s="5">
        <v>46082</v>
      </c>
      <c r="B4143" s="6" t="s">
        <v>84</v>
      </c>
      <c r="C4143" s="6" t="s">
        <v>88</v>
      </c>
      <c r="D4143" s="5">
        <v>45992</v>
      </c>
      <c r="E4143" s="6" t="s">
        <v>15</v>
      </c>
      <c r="F4143" s="7">
        <v>669</v>
      </c>
      <c r="G4143" s="7">
        <v>517777.83557548578</v>
      </c>
      <c r="H4143" s="7">
        <v>346393372</v>
      </c>
      <c r="I4143" s="7">
        <v>68407280</v>
      </c>
      <c r="J4143" s="7">
        <v>0</v>
      </c>
      <c r="K4143">
        <f t="shared" si="64"/>
        <v>90</v>
      </c>
      <c r="L4143" s="8" t="str" cm="1">
        <f t="array" ref="L4143">_xlfn.IFS(
 AND(K4143&gt;=89,K4143&lt;=92),"3개월",
 AND(K4143&gt;=58,K4143&lt;=62),"2개월",
 AND(K4143&gt;=28,K4143&lt;=32),"1개월",
 AND(K4143=0),"당월",
 TRUE,"그외"
)</f>
        <v>3개월</v>
      </c>
    </row>
    <row r="4144" spans="1:12" x14ac:dyDescent="0.3">
      <c r="A4144" s="5">
        <v>46082</v>
      </c>
      <c r="B4144" s="6" t="s">
        <v>84</v>
      </c>
      <c r="C4144" s="6" t="s">
        <v>88</v>
      </c>
      <c r="D4144" s="5">
        <v>46023</v>
      </c>
      <c r="E4144" s="6" t="s">
        <v>15</v>
      </c>
      <c r="F4144" s="7">
        <v>1702</v>
      </c>
      <c r="G4144" s="7">
        <v>479807.37309048179</v>
      </c>
      <c r="H4144" s="7">
        <v>816632149</v>
      </c>
      <c r="I4144" s="7">
        <v>186657524</v>
      </c>
      <c r="J4144" s="7">
        <v>0</v>
      </c>
      <c r="K4144">
        <f t="shared" si="64"/>
        <v>59</v>
      </c>
      <c r="L4144" s="8" t="str" cm="1">
        <f t="array" ref="L4144">_xlfn.IFS(
 AND(K4144&gt;=89,K4144&lt;=92),"3개월",
 AND(K4144&gt;=58,K4144&lt;=62),"2개월",
 AND(K4144&gt;=28,K4144&lt;=32),"1개월",
 AND(K4144=0),"당월",
 TRUE,"그외"
)</f>
        <v>2개월</v>
      </c>
    </row>
    <row r="4145" spans="1:12" x14ac:dyDescent="0.3">
      <c r="A4145" s="5">
        <v>46082</v>
      </c>
      <c r="B4145" s="6" t="s">
        <v>84</v>
      </c>
      <c r="C4145" s="6" t="s">
        <v>88</v>
      </c>
      <c r="D4145" s="5">
        <v>46054</v>
      </c>
      <c r="E4145" s="6" t="s">
        <v>14</v>
      </c>
      <c r="F4145" s="7">
        <v>334</v>
      </c>
      <c r="G4145" s="7">
        <v>457269.41916167672</v>
      </c>
      <c r="H4145" s="7">
        <v>152727986</v>
      </c>
      <c r="I4145" s="7">
        <v>18169600</v>
      </c>
      <c r="J4145" s="7">
        <v>0</v>
      </c>
      <c r="K4145">
        <f t="shared" si="64"/>
        <v>28</v>
      </c>
      <c r="L4145" s="8" t="str" cm="1">
        <f t="array" ref="L4145">_xlfn.IFS(
 AND(K4145&gt;=89,K4145&lt;=92),"3개월",
 AND(K4145&gt;=58,K4145&lt;=62),"2개월",
 AND(K4145&gt;=28,K4145&lt;=32),"1개월",
 AND(K4145=0),"당월",
 TRUE,"그외"
)</f>
        <v>1개월</v>
      </c>
    </row>
    <row r="4146" spans="1:12" x14ac:dyDescent="0.3">
      <c r="A4146" s="5">
        <v>46082</v>
      </c>
      <c r="B4146" s="6" t="s">
        <v>84</v>
      </c>
      <c r="C4146" s="6" t="s">
        <v>88</v>
      </c>
      <c r="D4146" s="5">
        <v>46054</v>
      </c>
      <c r="E4146" s="6" t="s">
        <v>15</v>
      </c>
      <c r="F4146" s="7">
        <v>1710</v>
      </c>
      <c r="G4146" s="7">
        <v>581707.58888888895</v>
      </c>
      <c r="H4146" s="7">
        <v>994719977</v>
      </c>
      <c r="I4146" s="7">
        <v>168738177</v>
      </c>
      <c r="J4146" s="7">
        <v>0</v>
      </c>
      <c r="K4146">
        <f t="shared" si="64"/>
        <v>28</v>
      </c>
      <c r="L4146" s="8" t="str" cm="1">
        <f t="array" ref="L4146">_xlfn.IFS(
 AND(K4146&gt;=89,K4146&lt;=92),"3개월",
 AND(K4146&gt;=58,K4146&lt;=62),"2개월",
 AND(K4146&gt;=28,K4146&lt;=32),"1개월",
 AND(K4146=0),"당월",
 TRUE,"그외"
)</f>
        <v>1개월</v>
      </c>
    </row>
    <row r="4147" spans="1:12" x14ac:dyDescent="0.3">
      <c r="A4147" s="5">
        <v>46082</v>
      </c>
      <c r="B4147" s="6" t="s">
        <v>84</v>
      </c>
      <c r="C4147" s="6" t="s">
        <v>88</v>
      </c>
      <c r="D4147" s="5">
        <v>46082</v>
      </c>
      <c r="E4147" s="6" t="s">
        <v>14</v>
      </c>
      <c r="F4147" s="7">
        <v>334</v>
      </c>
      <c r="G4147" s="7">
        <v>474204.77844311378</v>
      </c>
      <c r="H4147" s="7">
        <v>158384396</v>
      </c>
      <c r="I4147" s="7">
        <v>22578400</v>
      </c>
      <c r="J4147" s="7">
        <v>0</v>
      </c>
      <c r="K4147">
        <f t="shared" si="64"/>
        <v>0</v>
      </c>
      <c r="L4147" s="8" t="str" cm="1">
        <f t="array" ref="L4147">_xlfn.IFS(
 AND(K4147&gt;=89,K4147&lt;=92),"3개월",
 AND(K4147&gt;=58,K4147&lt;=62),"2개월",
 AND(K4147&gt;=28,K4147&lt;=32),"1개월",
 AND(K4147=0),"당월",
 TRUE,"그외"
)</f>
        <v>당월</v>
      </c>
    </row>
    <row r="4148" spans="1:12" x14ac:dyDescent="0.3">
      <c r="A4148" s="5">
        <v>46082</v>
      </c>
      <c r="B4148" s="6" t="s">
        <v>84</v>
      </c>
      <c r="C4148" s="6" t="s">
        <v>88</v>
      </c>
      <c r="D4148" s="5">
        <v>46082</v>
      </c>
      <c r="E4148" s="6" t="s">
        <v>15</v>
      </c>
      <c r="F4148" s="7">
        <v>1444</v>
      </c>
      <c r="G4148" s="7">
        <v>1291437.575484765</v>
      </c>
      <c r="H4148" s="7">
        <v>1864835859</v>
      </c>
      <c r="I4148" s="7">
        <v>176348648</v>
      </c>
      <c r="J4148" s="7">
        <v>0</v>
      </c>
      <c r="K4148">
        <f t="shared" si="64"/>
        <v>0</v>
      </c>
      <c r="L4148" s="8" t="str" cm="1">
        <f t="array" ref="L4148">_xlfn.IFS(
 AND(K4148&gt;=89,K4148&lt;=92),"3개월",
 AND(K4148&gt;=58,K4148&lt;=62),"2개월",
 AND(K4148&gt;=28,K4148&lt;=32),"1개월",
 AND(K4148=0),"당월",
 TRUE,"그외"
)</f>
        <v>당월</v>
      </c>
    </row>
    <row r="4149" spans="1:12" x14ac:dyDescent="0.3">
      <c r="A4149" s="5">
        <v>46082</v>
      </c>
      <c r="B4149" s="6" t="s">
        <v>89</v>
      </c>
      <c r="C4149" s="6" t="s">
        <v>90</v>
      </c>
      <c r="D4149" s="5">
        <v>45839</v>
      </c>
      <c r="E4149" s="6" t="s">
        <v>15</v>
      </c>
      <c r="F4149" s="7">
        <v>22</v>
      </c>
      <c r="G4149" s="7">
        <v>408164.81818181818</v>
      </c>
      <c r="H4149" s="7">
        <v>8979626</v>
      </c>
      <c r="I4149" s="7">
        <v>1029040</v>
      </c>
      <c r="J4149" s="7">
        <v>0</v>
      </c>
      <c r="K4149">
        <f t="shared" si="64"/>
        <v>243</v>
      </c>
      <c r="L4149" s="8" t="str" cm="1">
        <f t="array" ref="L4149">_xlfn.IFS(
 AND(K4149&gt;=89,K4149&lt;=92),"3개월",
 AND(K4149&gt;=58,K4149&lt;=62),"2개월",
 AND(K4149&gt;=28,K4149&lt;=32),"1개월",
 AND(K4149=0),"당월",
 TRUE,"그외"
)</f>
        <v>그외</v>
      </c>
    </row>
    <row r="4150" spans="1:12" x14ac:dyDescent="0.3">
      <c r="A4150" s="5">
        <v>46082</v>
      </c>
      <c r="B4150" s="6" t="s">
        <v>89</v>
      </c>
      <c r="C4150" s="6" t="s">
        <v>90</v>
      </c>
      <c r="D4150" s="5">
        <v>45870</v>
      </c>
      <c r="E4150" s="6" t="s">
        <v>15</v>
      </c>
      <c r="F4150" s="7">
        <v>67</v>
      </c>
      <c r="G4150" s="7">
        <v>414958.43283582089</v>
      </c>
      <c r="H4150" s="7">
        <v>27802215</v>
      </c>
      <c r="I4150" s="7">
        <v>4536369</v>
      </c>
      <c r="J4150" s="7">
        <v>0</v>
      </c>
      <c r="K4150">
        <f t="shared" si="64"/>
        <v>212</v>
      </c>
      <c r="L4150" s="8" t="str" cm="1">
        <f t="array" ref="L4150">_xlfn.IFS(
 AND(K4150&gt;=89,K4150&lt;=92),"3개월",
 AND(K4150&gt;=58,K4150&lt;=62),"2개월",
 AND(K4150&gt;=28,K4150&lt;=32),"1개월",
 AND(K4150=0),"당월",
 TRUE,"그외"
)</f>
        <v>그외</v>
      </c>
    </row>
    <row r="4151" spans="1:12" x14ac:dyDescent="0.3">
      <c r="A4151" s="5">
        <v>46082</v>
      </c>
      <c r="B4151" s="6" t="s">
        <v>89</v>
      </c>
      <c r="C4151" s="6" t="s">
        <v>90</v>
      </c>
      <c r="D4151" s="5">
        <v>45901</v>
      </c>
      <c r="E4151" s="6" t="s">
        <v>15</v>
      </c>
      <c r="F4151" s="7">
        <v>62</v>
      </c>
      <c r="G4151" s="7">
        <v>543492.11290322582</v>
      </c>
      <c r="H4151" s="7">
        <v>33696511</v>
      </c>
      <c r="I4151" s="7">
        <v>4192150</v>
      </c>
      <c r="J4151" s="7">
        <v>0</v>
      </c>
      <c r="K4151">
        <f t="shared" si="64"/>
        <v>181</v>
      </c>
      <c r="L4151" s="8" t="str" cm="1">
        <f t="array" ref="L4151">_xlfn.IFS(
 AND(K4151&gt;=89,K4151&lt;=92),"3개월",
 AND(K4151&gt;=58,K4151&lt;=62),"2개월",
 AND(K4151&gt;=28,K4151&lt;=32),"1개월",
 AND(K4151=0),"당월",
 TRUE,"그외"
)</f>
        <v>그외</v>
      </c>
    </row>
    <row r="4152" spans="1:12" x14ac:dyDescent="0.3">
      <c r="A4152" s="5">
        <v>46082</v>
      </c>
      <c r="B4152" s="6" t="s">
        <v>89</v>
      </c>
      <c r="C4152" s="6" t="s">
        <v>90</v>
      </c>
      <c r="D4152" s="5">
        <v>45931</v>
      </c>
      <c r="E4152" s="6" t="s">
        <v>15</v>
      </c>
      <c r="F4152" s="7">
        <v>137</v>
      </c>
      <c r="G4152" s="7">
        <v>590915.64233576646</v>
      </c>
      <c r="H4152" s="7">
        <v>80955443</v>
      </c>
      <c r="I4152" s="7">
        <v>13597619</v>
      </c>
      <c r="J4152" s="7">
        <v>0</v>
      </c>
      <c r="K4152">
        <f t="shared" si="64"/>
        <v>151</v>
      </c>
      <c r="L4152" s="8" t="str" cm="1">
        <f t="array" ref="L4152">_xlfn.IFS(
 AND(K4152&gt;=89,K4152&lt;=92),"3개월",
 AND(K4152&gt;=58,K4152&lt;=62),"2개월",
 AND(K4152&gt;=28,K4152&lt;=32),"1개월",
 AND(K4152=0),"당월",
 TRUE,"그외"
)</f>
        <v>그외</v>
      </c>
    </row>
    <row r="4153" spans="1:12" x14ac:dyDescent="0.3">
      <c r="A4153" s="5">
        <v>46082</v>
      </c>
      <c r="B4153" s="6" t="s">
        <v>89</v>
      </c>
      <c r="C4153" s="6" t="s">
        <v>90</v>
      </c>
      <c r="D4153" s="5">
        <v>45962</v>
      </c>
      <c r="E4153" s="6" t="s">
        <v>14</v>
      </c>
      <c r="F4153" s="7">
        <v>18</v>
      </c>
      <c r="G4153" s="7">
        <v>347933.33333333331</v>
      </c>
      <c r="H4153" s="7">
        <v>6262800</v>
      </c>
      <c r="I4153" s="7">
        <v>1162800</v>
      </c>
      <c r="J4153" s="7">
        <v>0</v>
      </c>
      <c r="K4153">
        <f t="shared" si="64"/>
        <v>120</v>
      </c>
      <c r="L4153" s="8" t="str" cm="1">
        <f t="array" ref="L4153">_xlfn.IFS(
 AND(K4153&gt;=89,K4153&lt;=92),"3개월",
 AND(K4153&gt;=58,K4153&lt;=62),"2개월",
 AND(K4153&gt;=28,K4153&lt;=32),"1개월",
 AND(K4153=0),"당월",
 TRUE,"그외"
)</f>
        <v>그외</v>
      </c>
    </row>
    <row r="4154" spans="1:12" x14ac:dyDescent="0.3">
      <c r="A4154" s="5">
        <v>46082</v>
      </c>
      <c r="B4154" s="6" t="s">
        <v>89</v>
      </c>
      <c r="C4154" s="6" t="s">
        <v>90</v>
      </c>
      <c r="D4154" s="5">
        <v>45962</v>
      </c>
      <c r="E4154" s="6" t="s">
        <v>15</v>
      </c>
      <c r="F4154" s="7">
        <v>267</v>
      </c>
      <c r="G4154" s="7">
        <v>598481.80898876407</v>
      </c>
      <c r="H4154" s="7">
        <v>159794643</v>
      </c>
      <c r="I4154" s="7">
        <v>30106274</v>
      </c>
      <c r="J4154" s="7">
        <v>0</v>
      </c>
      <c r="K4154">
        <f t="shared" si="64"/>
        <v>120</v>
      </c>
      <c r="L4154" s="8" t="str" cm="1">
        <f t="array" ref="L4154">_xlfn.IFS(
 AND(K4154&gt;=89,K4154&lt;=92),"3개월",
 AND(K4154&gt;=58,K4154&lt;=62),"2개월",
 AND(K4154&gt;=28,K4154&lt;=32),"1개월",
 AND(K4154=0),"당월",
 TRUE,"그외"
)</f>
        <v>그외</v>
      </c>
    </row>
    <row r="4155" spans="1:12" x14ac:dyDescent="0.3">
      <c r="A4155" s="5">
        <v>46082</v>
      </c>
      <c r="B4155" s="6" t="s">
        <v>89</v>
      </c>
      <c r="C4155" s="6" t="s">
        <v>90</v>
      </c>
      <c r="D4155" s="5">
        <v>45992</v>
      </c>
      <c r="E4155" s="6" t="s">
        <v>15</v>
      </c>
      <c r="F4155" s="7">
        <v>563</v>
      </c>
      <c r="G4155" s="7">
        <v>566898.55417406745</v>
      </c>
      <c r="H4155" s="7">
        <v>319163886</v>
      </c>
      <c r="I4155" s="7">
        <v>69164460</v>
      </c>
      <c r="J4155" s="7">
        <v>0</v>
      </c>
      <c r="K4155">
        <f t="shared" si="64"/>
        <v>90</v>
      </c>
      <c r="L4155" s="8" t="str" cm="1">
        <f t="array" ref="L4155">_xlfn.IFS(
 AND(K4155&gt;=89,K4155&lt;=92),"3개월",
 AND(K4155&gt;=58,K4155&lt;=62),"2개월",
 AND(K4155&gt;=28,K4155&lt;=32),"1개월",
 AND(K4155=0),"당월",
 TRUE,"그외"
)</f>
        <v>3개월</v>
      </c>
    </row>
    <row r="4156" spans="1:12" x14ac:dyDescent="0.3">
      <c r="A4156" s="5">
        <v>46082</v>
      </c>
      <c r="B4156" s="6" t="s">
        <v>89</v>
      </c>
      <c r="C4156" s="6" t="s">
        <v>90</v>
      </c>
      <c r="D4156" s="5">
        <v>46023</v>
      </c>
      <c r="E4156" s="6" t="s">
        <v>14</v>
      </c>
      <c r="F4156" s="7">
        <v>1</v>
      </c>
      <c r="G4156" s="7">
        <v>379400</v>
      </c>
      <c r="H4156" s="7">
        <v>379400</v>
      </c>
      <c r="I4156" s="7">
        <v>79400</v>
      </c>
      <c r="J4156" s="7">
        <v>0</v>
      </c>
      <c r="K4156">
        <f t="shared" si="64"/>
        <v>59</v>
      </c>
      <c r="L4156" s="8" t="str" cm="1">
        <f t="array" ref="L4156">_xlfn.IFS(
 AND(K4156&gt;=89,K4156&lt;=92),"3개월",
 AND(K4156&gt;=58,K4156&lt;=62),"2개월",
 AND(K4156&gt;=28,K4156&lt;=32),"1개월",
 AND(K4156=0),"당월",
 TRUE,"그외"
)</f>
        <v>2개월</v>
      </c>
    </row>
    <row r="4157" spans="1:12" x14ac:dyDescent="0.3">
      <c r="A4157" s="5">
        <v>46082</v>
      </c>
      <c r="B4157" s="6" t="s">
        <v>89</v>
      </c>
      <c r="C4157" s="6" t="s">
        <v>90</v>
      </c>
      <c r="D4157" s="5">
        <v>46023</v>
      </c>
      <c r="E4157" s="6" t="s">
        <v>15</v>
      </c>
      <c r="F4157" s="7">
        <v>2783</v>
      </c>
      <c r="G4157" s="7">
        <v>498027.73661516351</v>
      </c>
      <c r="H4157" s="7">
        <v>1386011191</v>
      </c>
      <c r="I4157" s="7">
        <v>341108368</v>
      </c>
      <c r="J4157" s="7">
        <v>0</v>
      </c>
      <c r="K4157">
        <f t="shared" si="64"/>
        <v>59</v>
      </c>
      <c r="L4157" s="8" t="str" cm="1">
        <f t="array" ref="L4157">_xlfn.IFS(
 AND(K4157&gt;=89,K4157&lt;=92),"3개월",
 AND(K4157&gt;=58,K4157&lt;=62),"2개월",
 AND(K4157&gt;=28,K4157&lt;=32),"1개월",
 AND(K4157=0),"당월",
 TRUE,"그외"
)</f>
        <v>2개월</v>
      </c>
    </row>
    <row r="4158" spans="1:12" x14ac:dyDescent="0.3">
      <c r="A4158" s="5">
        <v>46082</v>
      </c>
      <c r="B4158" s="6" t="s">
        <v>89</v>
      </c>
      <c r="C4158" s="6" t="s">
        <v>90</v>
      </c>
      <c r="D4158" s="5">
        <v>46054</v>
      </c>
      <c r="E4158" s="6" t="s">
        <v>14</v>
      </c>
      <c r="F4158" s="7">
        <v>338</v>
      </c>
      <c r="G4158" s="7">
        <v>335226.27514792897</v>
      </c>
      <c r="H4158" s="7">
        <v>113306481</v>
      </c>
      <c r="I4158" s="7">
        <v>36979001</v>
      </c>
      <c r="J4158" s="7">
        <v>0</v>
      </c>
      <c r="K4158">
        <f t="shared" si="64"/>
        <v>28</v>
      </c>
      <c r="L4158" s="8" t="str" cm="1">
        <f t="array" ref="L4158">_xlfn.IFS(
 AND(K4158&gt;=89,K4158&lt;=92),"3개월",
 AND(K4158&gt;=58,K4158&lt;=62),"2개월",
 AND(K4158&gt;=28,K4158&lt;=32),"1개월",
 AND(K4158=0),"당월",
 TRUE,"그외"
)</f>
        <v>1개월</v>
      </c>
    </row>
    <row r="4159" spans="1:12" x14ac:dyDescent="0.3">
      <c r="A4159" s="5">
        <v>46082</v>
      </c>
      <c r="B4159" s="6" t="s">
        <v>89</v>
      </c>
      <c r="C4159" s="6" t="s">
        <v>90</v>
      </c>
      <c r="D4159" s="5">
        <v>46054</v>
      </c>
      <c r="E4159" s="6" t="s">
        <v>15</v>
      </c>
      <c r="F4159" s="7">
        <v>2991</v>
      </c>
      <c r="G4159" s="7">
        <v>559591.27883650956</v>
      </c>
      <c r="H4159" s="7">
        <v>1673737515</v>
      </c>
      <c r="I4159" s="7">
        <v>331736375</v>
      </c>
      <c r="J4159" s="7">
        <v>0</v>
      </c>
      <c r="K4159">
        <f t="shared" si="64"/>
        <v>28</v>
      </c>
      <c r="L4159" s="8" t="str" cm="1">
        <f t="array" ref="L4159">_xlfn.IFS(
 AND(K4159&gt;=89,K4159&lt;=92),"3개월",
 AND(K4159&gt;=58,K4159&lt;=62),"2개월",
 AND(K4159&gt;=28,K4159&lt;=32),"1개월",
 AND(K4159=0),"당월",
 TRUE,"그외"
)</f>
        <v>1개월</v>
      </c>
    </row>
    <row r="4160" spans="1:12" x14ac:dyDescent="0.3">
      <c r="A4160" s="5">
        <v>46082</v>
      </c>
      <c r="B4160" s="6" t="s">
        <v>89</v>
      </c>
      <c r="C4160" s="6" t="s">
        <v>90</v>
      </c>
      <c r="D4160" s="5">
        <v>46082</v>
      </c>
      <c r="E4160" s="6" t="s">
        <v>14</v>
      </c>
      <c r="F4160" s="7">
        <v>296</v>
      </c>
      <c r="G4160" s="7">
        <v>434497.59797297302</v>
      </c>
      <c r="H4160" s="7">
        <v>128611289</v>
      </c>
      <c r="I4160" s="7">
        <v>51974131</v>
      </c>
      <c r="J4160" s="7">
        <v>0</v>
      </c>
      <c r="K4160">
        <f t="shared" si="64"/>
        <v>0</v>
      </c>
      <c r="L4160" s="8" t="str" cm="1">
        <f t="array" ref="L4160">_xlfn.IFS(
 AND(K4160&gt;=89,K4160&lt;=92),"3개월",
 AND(K4160&gt;=58,K4160&lt;=62),"2개월",
 AND(K4160&gt;=28,K4160&lt;=32),"1개월",
 AND(K4160=0),"당월",
 TRUE,"그외"
)</f>
        <v>당월</v>
      </c>
    </row>
    <row r="4161" spans="1:12" x14ac:dyDescent="0.3">
      <c r="A4161" s="5">
        <v>46082</v>
      </c>
      <c r="B4161" s="6" t="s">
        <v>89</v>
      </c>
      <c r="C4161" s="6" t="s">
        <v>90</v>
      </c>
      <c r="D4161" s="5">
        <v>46082</v>
      </c>
      <c r="E4161" s="6" t="s">
        <v>15</v>
      </c>
      <c r="F4161" s="7">
        <v>2539</v>
      </c>
      <c r="G4161" s="7">
        <v>780267.71287908626</v>
      </c>
      <c r="H4161" s="7">
        <v>1981099723</v>
      </c>
      <c r="I4161" s="7">
        <v>350921580</v>
      </c>
      <c r="J4161" s="7">
        <v>0</v>
      </c>
      <c r="K4161">
        <f t="shared" si="64"/>
        <v>0</v>
      </c>
      <c r="L4161" s="8" t="str" cm="1">
        <f t="array" ref="L4161">_xlfn.IFS(
 AND(K4161&gt;=89,K4161&lt;=92),"3개월",
 AND(K4161&gt;=58,K4161&lt;=62),"2개월",
 AND(K4161&gt;=28,K4161&lt;=32),"1개월",
 AND(K4161=0),"당월",
 TRUE,"그외"
)</f>
        <v>당월</v>
      </c>
    </row>
    <row r="4162" spans="1:12" x14ac:dyDescent="0.3">
      <c r="A4162" s="5">
        <v>46082</v>
      </c>
      <c r="B4162" s="6" t="s">
        <v>89</v>
      </c>
      <c r="C4162" s="6" t="s">
        <v>90</v>
      </c>
      <c r="D4162" s="5">
        <v>46113</v>
      </c>
      <c r="E4162" s="6" t="s">
        <v>15</v>
      </c>
      <c r="F4162" s="7">
        <v>1</v>
      </c>
      <c r="G4162" s="7">
        <v>585943</v>
      </c>
      <c r="H4162" s="7">
        <v>585943</v>
      </c>
      <c r="I4162" s="7">
        <v>0</v>
      </c>
      <c r="J4162" s="7">
        <v>0</v>
      </c>
      <c r="K4162">
        <f t="shared" si="64"/>
        <v>-31</v>
      </c>
      <c r="L4162" s="8" t="str" cm="1">
        <f t="array" ref="L4162">_xlfn.IFS(
 AND(K4162&gt;=89,K4162&lt;=92),"3개월",
 AND(K4162&gt;=58,K4162&lt;=62),"2개월",
 AND(K4162&gt;=28,K4162&lt;=32),"1개월",
 AND(K4162=0),"당월",
 TRUE,"그외"
)</f>
        <v>그외</v>
      </c>
    </row>
    <row r="4163" spans="1:12" x14ac:dyDescent="0.3">
      <c r="A4163" s="5">
        <v>45658</v>
      </c>
      <c r="B4163" s="6" t="s">
        <v>12</v>
      </c>
      <c r="C4163" s="6" t="s">
        <v>13</v>
      </c>
      <c r="D4163" s="5">
        <v>45505</v>
      </c>
      <c r="E4163" s="6" t="s">
        <v>15</v>
      </c>
      <c r="F4163" s="7">
        <v>914</v>
      </c>
      <c r="G4163" s="7">
        <v>40338.644420131292</v>
      </c>
      <c r="H4163" s="7">
        <v>36869521</v>
      </c>
      <c r="I4163" s="7">
        <v>9048600</v>
      </c>
      <c r="J4163" s="7">
        <v>822600</v>
      </c>
      <c r="K4163">
        <f t="shared" si="64"/>
        <v>153</v>
      </c>
      <c r="L4163" s="8" t="str" cm="1">
        <f t="array" ref="L4163">_xlfn.IFS(
 AND(K4163&gt;=89,K4163&lt;=92),"3개월",
 AND(K4163&gt;=58,K4163&lt;=62),"2개월",
 AND(K4163&gt;=28,K4163&lt;=32),"1개월",
 AND(K4163=0),"당월",
 TRUE,"그외"
)</f>
        <v>그외</v>
      </c>
    </row>
    <row r="4164" spans="1:12" x14ac:dyDescent="0.3">
      <c r="A4164" s="5">
        <v>45658</v>
      </c>
      <c r="B4164" s="6" t="s">
        <v>12</v>
      </c>
      <c r="C4164" s="6" t="s">
        <v>13</v>
      </c>
      <c r="D4164" s="5">
        <v>45536</v>
      </c>
      <c r="E4164" s="6" t="s">
        <v>15</v>
      </c>
      <c r="F4164" s="7">
        <v>1388</v>
      </c>
      <c r="G4164" s="7">
        <v>43963.691642651298</v>
      </c>
      <c r="H4164" s="7">
        <v>61021604</v>
      </c>
      <c r="I4164" s="7">
        <v>13741200</v>
      </c>
      <c r="J4164" s="7">
        <v>1249200</v>
      </c>
      <c r="K4164">
        <f t="shared" si="64"/>
        <v>122</v>
      </c>
      <c r="L4164" s="8" t="str" cm="1">
        <f t="array" ref="L4164">_xlfn.IFS(
 AND(K4164&gt;=89,K4164&lt;=92),"3개월",
 AND(K4164&gt;=58,K4164&lt;=62),"2개월",
 AND(K4164&gt;=28,K4164&lt;=32),"1개월",
 AND(K4164=0),"당월",
 TRUE,"그외"
)</f>
        <v>그외</v>
      </c>
    </row>
    <row r="4165" spans="1:12" x14ac:dyDescent="0.3">
      <c r="A4165" s="5">
        <v>45658</v>
      </c>
      <c r="B4165" s="6" t="s">
        <v>12</v>
      </c>
      <c r="C4165" s="6" t="s">
        <v>13</v>
      </c>
      <c r="D4165" s="5">
        <v>45566</v>
      </c>
      <c r="E4165" s="6" t="s">
        <v>15</v>
      </c>
      <c r="F4165" s="7">
        <v>3408</v>
      </c>
      <c r="G4165" s="7">
        <v>44005.608861502347</v>
      </c>
      <c r="H4165" s="7">
        <v>149971115</v>
      </c>
      <c r="I4165" s="7">
        <v>29921100</v>
      </c>
      <c r="J4165" s="7">
        <v>2720100</v>
      </c>
      <c r="K4165">
        <f t="shared" si="64"/>
        <v>92</v>
      </c>
      <c r="L4165" s="8" t="str" cm="1">
        <f t="array" ref="L4165">_xlfn.IFS(
 AND(K4165&gt;=89,K4165&lt;=92),"3개월",
 AND(K4165&gt;=58,K4165&lt;=62),"2개월",
 AND(K4165&gt;=28,K4165&lt;=32),"1개월",
 AND(K4165=0),"당월",
 TRUE,"그외"
)</f>
        <v>3개월</v>
      </c>
    </row>
    <row r="4166" spans="1:12" x14ac:dyDescent="0.3">
      <c r="A4166" s="5">
        <v>45658</v>
      </c>
      <c r="B4166" s="6" t="s">
        <v>12</v>
      </c>
      <c r="C4166" s="6" t="s">
        <v>13</v>
      </c>
      <c r="D4166" s="5">
        <v>45597</v>
      </c>
      <c r="E4166" s="6" t="s">
        <v>14</v>
      </c>
      <c r="F4166" s="7">
        <v>56</v>
      </c>
      <c r="G4166" s="7">
        <v>34273</v>
      </c>
      <c r="H4166" s="7">
        <v>1919288</v>
      </c>
      <c r="I4166" s="7">
        <v>431200</v>
      </c>
      <c r="J4166" s="7">
        <v>39200</v>
      </c>
      <c r="K4166">
        <f t="shared" si="64"/>
        <v>61</v>
      </c>
      <c r="L4166" s="8" t="str" cm="1">
        <f t="array" ref="L4166">_xlfn.IFS(
 AND(K4166&gt;=89,K4166&lt;=92),"3개월",
 AND(K4166&gt;=58,K4166&lt;=62),"2개월",
 AND(K4166&gt;=28,K4166&lt;=32),"1개월",
 AND(K4166=0),"당월",
 TRUE,"그외"
)</f>
        <v>2개월</v>
      </c>
    </row>
    <row r="4167" spans="1:12" x14ac:dyDescent="0.3">
      <c r="A4167" s="5">
        <v>45658</v>
      </c>
      <c r="B4167" s="6" t="s">
        <v>12</v>
      </c>
      <c r="C4167" s="6" t="s">
        <v>13</v>
      </c>
      <c r="D4167" s="5">
        <v>45597</v>
      </c>
      <c r="E4167" s="6" t="s">
        <v>15</v>
      </c>
      <c r="F4167" s="7">
        <v>8035</v>
      </c>
      <c r="G4167" s="7">
        <v>53280.571997510888</v>
      </c>
      <c r="H4167" s="7">
        <v>428109396</v>
      </c>
      <c r="I4167" s="7">
        <v>61629700</v>
      </c>
      <c r="J4167" s="7">
        <v>5602700</v>
      </c>
      <c r="K4167">
        <f t="shared" si="64"/>
        <v>61</v>
      </c>
      <c r="L4167" s="8" t="str" cm="1">
        <f t="array" ref="L4167">_xlfn.IFS(
 AND(K4167&gt;=89,K4167&lt;=92),"3개월",
 AND(K4167&gt;=58,K4167&lt;=62),"2개월",
 AND(K4167&gt;=28,K4167&lt;=32),"1개월",
 AND(K4167=0),"당월",
 TRUE,"그외"
)</f>
        <v>2개월</v>
      </c>
    </row>
    <row r="4168" spans="1:12" x14ac:dyDescent="0.3">
      <c r="A4168" s="5">
        <v>45658</v>
      </c>
      <c r="B4168" s="6" t="s">
        <v>12</v>
      </c>
      <c r="C4168" s="6" t="s">
        <v>13</v>
      </c>
      <c r="D4168" s="5">
        <v>45627</v>
      </c>
      <c r="E4168" s="6" t="s">
        <v>14</v>
      </c>
      <c r="F4168" s="7">
        <v>532</v>
      </c>
      <c r="G4168" s="7">
        <v>61670.984962406023</v>
      </c>
      <c r="H4168" s="7">
        <v>32808964</v>
      </c>
      <c r="I4168" s="7">
        <v>4680500</v>
      </c>
      <c r="J4168" s="7">
        <v>425500</v>
      </c>
      <c r="K4168">
        <f t="shared" si="64"/>
        <v>31</v>
      </c>
      <c r="L4168" s="8" t="str" cm="1">
        <f t="array" ref="L4168">_xlfn.IFS(
 AND(K4168&gt;=89,K4168&lt;=92),"3개월",
 AND(K4168&gt;=58,K4168&lt;=62),"2개월",
 AND(K4168&gt;=28,K4168&lt;=32),"1개월",
 AND(K4168=0),"당월",
 TRUE,"그외"
)</f>
        <v>1개월</v>
      </c>
    </row>
    <row r="4169" spans="1:12" x14ac:dyDescent="0.3">
      <c r="A4169" s="5">
        <v>45658</v>
      </c>
      <c r="B4169" s="6" t="s">
        <v>12</v>
      </c>
      <c r="C4169" s="6" t="s">
        <v>13</v>
      </c>
      <c r="D4169" s="5">
        <v>45627</v>
      </c>
      <c r="E4169" s="6" t="s">
        <v>15</v>
      </c>
      <c r="F4169" s="7">
        <v>53436</v>
      </c>
      <c r="G4169" s="7">
        <v>51288.845909124931</v>
      </c>
      <c r="H4169" s="7">
        <v>2740670770</v>
      </c>
      <c r="I4169" s="7">
        <v>467053800</v>
      </c>
      <c r="J4169" s="7">
        <v>42459435</v>
      </c>
      <c r="K4169">
        <f t="shared" si="64"/>
        <v>31</v>
      </c>
      <c r="L4169" s="8" t="str" cm="1">
        <f t="array" ref="L4169">_xlfn.IFS(
 AND(K4169&gt;=89,K4169&lt;=92),"3개월",
 AND(K4169&gt;=58,K4169&lt;=62),"2개월",
 AND(K4169&gt;=28,K4169&lt;=32),"1개월",
 AND(K4169=0),"당월",
 TRUE,"그외"
)</f>
        <v>1개월</v>
      </c>
    </row>
    <row r="4170" spans="1:12" x14ac:dyDescent="0.3">
      <c r="A4170" s="5">
        <v>45658</v>
      </c>
      <c r="B4170" s="6" t="s">
        <v>12</v>
      </c>
      <c r="C4170" s="6" t="s">
        <v>13</v>
      </c>
      <c r="D4170" s="5">
        <v>45658</v>
      </c>
      <c r="E4170" s="6" t="s">
        <v>14</v>
      </c>
      <c r="F4170" s="7">
        <v>839</v>
      </c>
      <c r="G4170" s="7">
        <v>80971.129916567341</v>
      </c>
      <c r="H4170" s="7">
        <v>67934778</v>
      </c>
      <c r="I4170" s="7">
        <v>7348000</v>
      </c>
      <c r="J4170" s="7">
        <v>668000</v>
      </c>
      <c r="K4170">
        <f t="shared" ref="K4170:K4233" si="65">A4170-D4170</f>
        <v>0</v>
      </c>
      <c r="L4170" s="8" t="str" cm="1">
        <f t="array" ref="L4170">_xlfn.IFS(
 AND(K4170&gt;=89,K4170&lt;=92),"3개월",
 AND(K4170&gt;=58,K4170&lt;=62),"2개월",
 AND(K4170&gt;=28,K4170&lt;=32),"1개월",
 AND(K4170=0),"당월",
 TRUE,"그외"
)</f>
        <v>당월</v>
      </c>
    </row>
    <row r="4171" spans="1:12" x14ac:dyDescent="0.3">
      <c r="A4171" s="5">
        <v>45658</v>
      </c>
      <c r="B4171" s="6" t="s">
        <v>12</v>
      </c>
      <c r="C4171" s="6" t="s">
        <v>13</v>
      </c>
      <c r="D4171" s="5">
        <v>45658</v>
      </c>
      <c r="E4171" s="6" t="s">
        <v>15</v>
      </c>
      <c r="F4171" s="7">
        <v>81951</v>
      </c>
      <c r="G4171" s="7">
        <v>48660.30615855816</v>
      </c>
      <c r="H4171" s="7">
        <v>3987760750</v>
      </c>
      <c r="I4171" s="7">
        <v>715928200</v>
      </c>
      <c r="J4171" s="7">
        <v>65084380</v>
      </c>
      <c r="K4171">
        <f t="shared" si="65"/>
        <v>0</v>
      </c>
      <c r="L4171" s="8" t="str" cm="1">
        <f t="array" ref="L4171">_xlfn.IFS(
 AND(K4171&gt;=89,K4171&lt;=92),"3개월",
 AND(K4171&gt;=58,K4171&lt;=62),"2개월",
 AND(K4171&gt;=28,K4171&lt;=32),"1개월",
 AND(K4171=0),"당월",
 TRUE,"그외"
)</f>
        <v>당월</v>
      </c>
    </row>
    <row r="4172" spans="1:12" x14ac:dyDescent="0.3">
      <c r="A4172" s="5">
        <v>45658</v>
      </c>
      <c r="B4172" s="6" t="s">
        <v>12</v>
      </c>
      <c r="C4172" s="6" t="s">
        <v>16</v>
      </c>
      <c r="D4172" s="5">
        <v>45505</v>
      </c>
      <c r="E4172" s="6" t="s">
        <v>15</v>
      </c>
      <c r="F4172" s="7">
        <v>439</v>
      </c>
      <c r="G4172" s="7">
        <v>39310.177676537583</v>
      </c>
      <c r="H4172" s="7">
        <v>17257168</v>
      </c>
      <c r="I4172" s="7">
        <v>4346100</v>
      </c>
      <c r="J4172" s="7">
        <v>395100</v>
      </c>
      <c r="K4172">
        <f t="shared" si="65"/>
        <v>153</v>
      </c>
      <c r="L4172" s="8" t="str" cm="1">
        <f t="array" ref="L4172">_xlfn.IFS(
 AND(K4172&gt;=89,K4172&lt;=92),"3개월",
 AND(K4172&gt;=58,K4172&lt;=62),"2개월",
 AND(K4172&gt;=28,K4172&lt;=32),"1개월",
 AND(K4172=0),"당월",
 TRUE,"그외"
)</f>
        <v>그외</v>
      </c>
    </row>
    <row r="4173" spans="1:12" x14ac:dyDescent="0.3">
      <c r="A4173" s="5">
        <v>45658</v>
      </c>
      <c r="B4173" s="6" t="s">
        <v>12</v>
      </c>
      <c r="C4173" s="6" t="s">
        <v>16</v>
      </c>
      <c r="D4173" s="5">
        <v>45536</v>
      </c>
      <c r="E4173" s="6" t="s">
        <v>15</v>
      </c>
      <c r="F4173" s="7">
        <v>1059</v>
      </c>
      <c r="G4173" s="7">
        <v>44039.714825306903</v>
      </c>
      <c r="H4173" s="7">
        <v>46638058</v>
      </c>
      <c r="I4173" s="7">
        <v>10484100</v>
      </c>
      <c r="J4173" s="7">
        <v>953100</v>
      </c>
      <c r="K4173">
        <f t="shared" si="65"/>
        <v>122</v>
      </c>
      <c r="L4173" s="8" t="str" cm="1">
        <f t="array" ref="L4173">_xlfn.IFS(
 AND(K4173&gt;=89,K4173&lt;=92),"3개월",
 AND(K4173&gt;=58,K4173&lt;=62),"2개월",
 AND(K4173&gt;=28,K4173&lt;=32),"1개월",
 AND(K4173=0),"당월",
 TRUE,"그외"
)</f>
        <v>그외</v>
      </c>
    </row>
    <row r="4174" spans="1:12" x14ac:dyDescent="0.3">
      <c r="A4174" s="5">
        <v>45658</v>
      </c>
      <c r="B4174" s="6" t="s">
        <v>12</v>
      </c>
      <c r="C4174" s="6" t="s">
        <v>16</v>
      </c>
      <c r="D4174" s="5">
        <v>45566</v>
      </c>
      <c r="E4174" s="6" t="s">
        <v>14</v>
      </c>
      <c r="F4174" s="7">
        <v>134</v>
      </c>
      <c r="G4174" s="7">
        <v>87960.089552238802</v>
      </c>
      <c r="H4174" s="7">
        <v>11786652</v>
      </c>
      <c r="I4174" s="7">
        <v>1179200</v>
      </c>
      <c r="J4174" s="7">
        <v>107200</v>
      </c>
      <c r="K4174">
        <f t="shared" si="65"/>
        <v>92</v>
      </c>
      <c r="L4174" s="8" t="str" cm="1">
        <f t="array" ref="L4174">_xlfn.IFS(
 AND(K4174&gt;=89,K4174&lt;=92),"3개월",
 AND(K4174&gt;=58,K4174&lt;=62),"2개월",
 AND(K4174&gt;=28,K4174&lt;=32),"1개월",
 AND(K4174=0),"당월",
 TRUE,"그외"
)</f>
        <v>3개월</v>
      </c>
    </row>
    <row r="4175" spans="1:12" x14ac:dyDescent="0.3">
      <c r="A4175" s="5">
        <v>45658</v>
      </c>
      <c r="B4175" s="6" t="s">
        <v>12</v>
      </c>
      <c r="C4175" s="6" t="s">
        <v>16</v>
      </c>
      <c r="D4175" s="5">
        <v>45566</v>
      </c>
      <c r="E4175" s="6" t="s">
        <v>15</v>
      </c>
      <c r="F4175" s="7">
        <v>2136</v>
      </c>
      <c r="G4175" s="7">
        <v>47041.794943820227</v>
      </c>
      <c r="H4175" s="7">
        <v>100481274</v>
      </c>
      <c r="I4175" s="7">
        <v>18808900</v>
      </c>
      <c r="J4175" s="7">
        <v>1709900</v>
      </c>
      <c r="K4175">
        <f t="shared" si="65"/>
        <v>92</v>
      </c>
      <c r="L4175" s="8" t="str" cm="1">
        <f t="array" ref="L4175">_xlfn.IFS(
 AND(K4175&gt;=89,K4175&lt;=92),"3개월",
 AND(K4175&gt;=58,K4175&lt;=62),"2개월",
 AND(K4175&gt;=28,K4175&lt;=32),"1개월",
 AND(K4175=0),"당월",
 TRUE,"그외"
)</f>
        <v>3개월</v>
      </c>
    </row>
    <row r="4176" spans="1:12" x14ac:dyDescent="0.3">
      <c r="A4176" s="5">
        <v>45658</v>
      </c>
      <c r="B4176" s="6" t="s">
        <v>12</v>
      </c>
      <c r="C4176" s="6" t="s">
        <v>16</v>
      </c>
      <c r="D4176" s="5">
        <v>45597</v>
      </c>
      <c r="E4176" s="6" t="s">
        <v>14</v>
      </c>
      <c r="F4176" s="7">
        <v>72</v>
      </c>
      <c r="G4176" s="7">
        <v>41546.125</v>
      </c>
      <c r="H4176" s="7">
        <v>2991321</v>
      </c>
      <c r="I4176" s="7">
        <v>554400</v>
      </c>
      <c r="J4176" s="7">
        <v>50400</v>
      </c>
      <c r="K4176">
        <f t="shared" si="65"/>
        <v>61</v>
      </c>
      <c r="L4176" s="8" t="str" cm="1">
        <f t="array" ref="L4176">_xlfn.IFS(
 AND(K4176&gt;=89,K4176&lt;=92),"3개월",
 AND(K4176&gt;=58,K4176&lt;=62),"2개월",
 AND(K4176&gt;=28,K4176&lt;=32),"1개월",
 AND(K4176=0),"당월",
 TRUE,"그외"
)</f>
        <v>2개월</v>
      </c>
    </row>
    <row r="4177" spans="1:12" x14ac:dyDescent="0.3">
      <c r="A4177" s="5">
        <v>45658</v>
      </c>
      <c r="B4177" s="6" t="s">
        <v>12</v>
      </c>
      <c r="C4177" s="6" t="s">
        <v>16</v>
      </c>
      <c r="D4177" s="5">
        <v>45597</v>
      </c>
      <c r="E4177" s="6" t="s">
        <v>15</v>
      </c>
      <c r="F4177" s="7">
        <v>6978</v>
      </c>
      <c r="G4177" s="7">
        <v>50057.375609057039</v>
      </c>
      <c r="H4177" s="7">
        <v>349300367</v>
      </c>
      <c r="I4177" s="7">
        <v>53725100</v>
      </c>
      <c r="J4177" s="7">
        <v>4884100</v>
      </c>
      <c r="K4177">
        <f t="shared" si="65"/>
        <v>61</v>
      </c>
      <c r="L4177" s="8" t="str" cm="1">
        <f t="array" ref="L4177">_xlfn.IFS(
 AND(K4177&gt;=89,K4177&lt;=92),"3개월",
 AND(K4177&gt;=58,K4177&lt;=62),"2개월",
 AND(K4177&gt;=28,K4177&lt;=32),"1개월",
 AND(K4177=0),"당월",
 TRUE,"그외"
)</f>
        <v>2개월</v>
      </c>
    </row>
    <row r="4178" spans="1:12" x14ac:dyDescent="0.3">
      <c r="A4178" s="5">
        <v>45658</v>
      </c>
      <c r="B4178" s="6" t="s">
        <v>12</v>
      </c>
      <c r="C4178" s="6" t="s">
        <v>16</v>
      </c>
      <c r="D4178" s="5">
        <v>45627</v>
      </c>
      <c r="E4178" s="6" t="s">
        <v>14</v>
      </c>
      <c r="F4178" s="7">
        <v>256</v>
      </c>
      <c r="G4178" s="7">
        <v>59477.0703125</v>
      </c>
      <c r="H4178" s="7">
        <v>15226130</v>
      </c>
      <c r="I4178" s="7">
        <v>2252800</v>
      </c>
      <c r="J4178" s="7">
        <v>204800</v>
      </c>
      <c r="K4178">
        <f t="shared" si="65"/>
        <v>31</v>
      </c>
      <c r="L4178" s="8" t="str" cm="1">
        <f t="array" ref="L4178">_xlfn.IFS(
 AND(K4178&gt;=89,K4178&lt;=92),"3개월",
 AND(K4178&gt;=58,K4178&lt;=62),"2개월",
 AND(K4178&gt;=28,K4178&lt;=32),"1개월",
 AND(K4178=0),"당월",
 TRUE,"그외"
)</f>
        <v>1개월</v>
      </c>
    </row>
    <row r="4179" spans="1:12" x14ac:dyDescent="0.3">
      <c r="A4179" s="5">
        <v>45658</v>
      </c>
      <c r="B4179" s="6" t="s">
        <v>12</v>
      </c>
      <c r="C4179" s="6" t="s">
        <v>16</v>
      </c>
      <c r="D4179" s="5">
        <v>45627</v>
      </c>
      <c r="E4179" s="6" t="s">
        <v>15</v>
      </c>
      <c r="F4179" s="7">
        <v>26211</v>
      </c>
      <c r="G4179" s="7">
        <v>51884.065773911723</v>
      </c>
      <c r="H4179" s="7">
        <v>1359933248</v>
      </c>
      <c r="I4179" s="7">
        <v>229927621</v>
      </c>
      <c r="J4179" s="7">
        <v>20901100</v>
      </c>
      <c r="K4179">
        <f t="shared" si="65"/>
        <v>31</v>
      </c>
      <c r="L4179" s="8" t="str" cm="1">
        <f t="array" ref="L4179">_xlfn.IFS(
 AND(K4179&gt;=89,K4179&lt;=92),"3개월",
 AND(K4179&gt;=58,K4179&lt;=62),"2개월",
 AND(K4179&gt;=28,K4179&lt;=32),"1개월",
 AND(K4179=0),"당월",
 TRUE,"그외"
)</f>
        <v>1개월</v>
      </c>
    </row>
    <row r="4180" spans="1:12" x14ac:dyDescent="0.3">
      <c r="A4180" s="5">
        <v>45658</v>
      </c>
      <c r="B4180" s="6" t="s">
        <v>12</v>
      </c>
      <c r="C4180" s="6" t="s">
        <v>16</v>
      </c>
      <c r="D4180" s="5">
        <v>45658</v>
      </c>
      <c r="E4180" s="6" t="s">
        <v>14</v>
      </c>
      <c r="F4180" s="7">
        <v>71</v>
      </c>
      <c r="G4180" s="7">
        <v>51829.281690140837</v>
      </c>
      <c r="H4180" s="7">
        <v>3679879</v>
      </c>
      <c r="I4180" s="7">
        <v>624800</v>
      </c>
      <c r="J4180" s="7">
        <v>56800</v>
      </c>
      <c r="K4180">
        <f t="shared" si="65"/>
        <v>0</v>
      </c>
      <c r="L4180" s="8" t="str" cm="1">
        <f t="array" ref="L4180">_xlfn.IFS(
 AND(K4180&gt;=89,K4180&lt;=92),"3개월",
 AND(K4180&gt;=58,K4180&lt;=62),"2개월",
 AND(K4180&gt;=28,K4180&lt;=32),"1개월",
 AND(K4180=0),"당월",
 TRUE,"그외"
)</f>
        <v>당월</v>
      </c>
    </row>
    <row r="4181" spans="1:12" x14ac:dyDescent="0.3">
      <c r="A4181" s="5">
        <v>45658</v>
      </c>
      <c r="B4181" s="6" t="s">
        <v>12</v>
      </c>
      <c r="C4181" s="6" t="s">
        <v>16</v>
      </c>
      <c r="D4181" s="5">
        <v>45658</v>
      </c>
      <c r="E4181" s="6" t="s">
        <v>15</v>
      </c>
      <c r="F4181" s="7">
        <v>34362</v>
      </c>
      <c r="G4181" s="7">
        <v>48797.808072871187</v>
      </c>
      <c r="H4181" s="7">
        <v>1676790281</v>
      </c>
      <c r="I4181" s="7">
        <v>301230600</v>
      </c>
      <c r="J4181" s="7">
        <v>27384600</v>
      </c>
      <c r="K4181">
        <f t="shared" si="65"/>
        <v>0</v>
      </c>
      <c r="L4181" s="8" t="str" cm="1">
        <f t="array" ref="L4181">_xlfn.IFS(
 AND(K4181&gt;=89,K4181&lt;=92),"3개월",
 AND(K4181&gt;=58,K4181&lt;=62),"2개월",
 AND(K4181&gt;=28,K4181&lt;=32),"1개월",
 AND(K4181=0),"당월",
 TRUE,"그외"
)</f>
        <v>당월</v>
      </c>
    </row>
    <row r="4182" spans="1:12" x14ac:dyDescent="0.3">
      <c r="A4182" s="5">
        <v>45658</v>
      </c>
      <c r="B4182" s="6" t="s">
        <v>12</v>
      </c>
      <c r="C4182" s="6" t="s">
        <v>17</v>
      </c>
      <c r="D4182" s="5">
        <v>45505</v>
      </c>
      <c r="E4182" s="6" t="s">
        <v>15</v>
      </c>
      <c r="F4182" s="7">
        <v>72</v>
      </c>
      <c r="G4182" s="7">
        <v>52502.736111111109</v>
      </c>
      <c r="H4182" s="7">
        <v>3780197</v>
      </c>
      <c r="I4182" s="7">
        <v>712800</v>
      </c>
      <c r="J4182" s="7">
        <v>64800</v>
      </c>
      <c r="K4182">
        <f t="shared" si="65"/>
        <v>153</v>
      </c>
      <c r="L4182" s="8" t="str" cm="1">
        <f t="array" ref="L4182">_xlfn.IFS(
 AND(K4182&gt;=89,K4182&lt;=92),"3개월",
 AND(K4182&gt;=58,K4182&lt;=62),"2개월",
 AND(K4182&gt;=28,K4182&lt;=32),"1개월",
 AND(K4182=0),"당월",
 TRUE,"그외"
)</f>
        <v>그외</v>
      </c>
    </row>
    <row r="4183" spans="1:12" x14ac:dyDescent="0.3">
      <c r="A4183" s="5">
        <v>45658</v>
      </c>
      <c r="B4183" s="6" t="s">
        <v>12</v>
      </c>
      <c r="C4183" s="6" t="s">
        <v>17</v>
      </c>
      <c r="D4183" s="5">
        <v>45536</v>
      </c>
      <c r="E4183" s="6" t="s">
        <v>15</v>
      </c>
      <c r="F4183" s="7">
        <v>190</v>
      </c>
      <c r="G4183" s="7">
        <v>43287.484210526323</v>
      </c>
      <c r="H4183" s="7">
        <v>8224622</v>
      </c>
      <c r="I4183" s="7">
        <v>1881000</v>
      </c>
      <c r="J4183" s="7">
        <v>171000</v>
      </c>
      <c r="K4183">
        <f t="shared" si="65"/>
        <v>122</v>
      </c>
      <c r="L4183" s="8" t="str" cm="1">
        <f t="array" ref="L4183">_xlfn.IFS(
 AND(K4183&gt;=89,K4183&lt;=92),"3개월",
 AND(K4183&gt;=58,K4183&lt;=62),"2개월",
 AND(K4183&gt;=28,K4183&lt;=32),"1개월",
 AND(K4183=0),"당월",
 TRUE,"그외"
)</f>
        <v>그외</v>
      </c>
    </row>
    <row r="4184" spans="1:12" x14ac:dyDescent="0.3">
      <c r="A4184" s="5">
        <v>45658</v>
      </c>
      <c r="B4184" s="6" t="s">
        <v>12</v>
      </c>
      <c r="C4184" s="6" t="s">
        <v>17</v>
      </c>
      <c r="D4184" s="5">
        <v>45566</v>
      </c>
      <c r="E4184" s="6" t="s">
        <v>15</v>
      </c>
      <c r="F4184" s="7">
        <v>669</v>
      </c>
      <c r="G4184" s="7">
        <v>48343.414050822117</v>
      </c>
      <c r="H4184" s="7">
        <v>32341744</v>
      </c>
      <c r="I4184" s="7">
        <v>5869600</v>
      </c>
      <c r="J4184" s="7">
        <v>533600</v>
      </c>
      <c r="K4184">
        <f t="shared" si="65"/>
        <v>92</v>
      </c>
      <c r="L4184" s="8" t="str" cm="1">
        <f t="array" ref="L4184">_xlfn.IFS(
 AND(K4184&gt;=89,K4184&lt;=92),"3개월",
 AND(K4184&gt;=58,K4184&lt;=62),"2개월",
 AND(K4184&gt;=28,K4184&lt;=32),"1개월",
 AND(K4184=0),"당월",
 TRUE,"그외"
)</f>
        <v>3개월</v>
      </c>
    </row>
    <row r="4185" spans="1:12" x14ac:dyDescent="0.3">
      <c r="A4185" s="5">
        <v>45658</v>
      </c>
      <c r="B4185" s="6" t="s">
        <v>12</v>
      </c>
      <c r="C4185" s="6" t="s">
        <v>17</v>
      </c>
      <c r="D4185" s="5">
        <v>45597</v>
      </c>
      <c r="E4185" s="6" t="s">
        <v>14</v>
      </c>
      <c r="F4185" s="7">
        <v>37</v>
      </c>
      <c r="G4185" s="7">
        <v>71546</v>
      </c>
      <c r="H4185" s="7">
        <v>2647202</v>
      </c>
      <c r="I4185" s="7">
        <v>284900</v>
      </c>
      <c r="J4185" s="7">
        <v>25900</v>
      </c>
      <c r="K4185">
        <f t="shared" si="65"/>
        <v>61</v>
      </c>
      <c r="L4185" s="8" t="str" cm="1">
        <f t="array" ref="L4185">_xlfn.IFS(
 AND(K4185&gt;=89,K4185&lt;=92),"3개월",
 AND(K4185&gt;=58,K4185&lt;=62),"2개월",
 AND(K4185&gt;=28,K4185&lt;=32),"1개월",
 AND(K4185=0),"당월",
 TRUE,"그외"
)</f>
        <v>2개월</v>
      </c>
    </row>
    <row r="4186" spans="1:12" x14ac:dyDescent="0.3">
      <c r="A4186" s="5">
        <v>45658</v>
      </c>
      <c r="B4186" s="6" t="s">
        <v>12</v>
      </c>
      <c r="C4186" s="6" t="s">
        <v>17</v>
      </c>
      <c r="D4186" s="5">
        <v>45597</v>
      </c>
      <c r="E4186" s="6" t="s">
        <v>15</v>
      </c>
      <c r="F4186" s="7">
        <v>3089</v>
      </c>
      <c r="G4186" s="7">
        <v>49265.302686953713</v>
      </c>
      <c r="H4186" s="7">
        <v>152180520</v>
      </c>
      <c r="I4186" s="7">
        <v>23775400</v>
      </c>
      <c r="J4186" s="7">
        <v>2161400</v>
      </c>
      <c r="K4186">
        <f t="shared" si="65"/>
        <v>61</v>
      </c>
      <c r="L4186" s="8" t="str" cm="1">
        <f t="array" ref="L4186">_xlfn.IFS(
 AND(K4186&gt;=89,K4186&lt;=92),"3개월",
 AND(K4186&gt;=58,K4186&lt;=62),"2개월",
 AND(K4186&gt;=28,K4186&lt;=32),"1개월",
 AND(K4186=0),"당월",
 TRUE,"그외"
)</f>
        <v>2개월</v>
      </c>
    </row>
    <row r="4187" spans="1:12" x14ac:dyDescent="0.3">
      <c r="A4187" s="5">
        <v>45658</v>
      </c>
      <c r="B4187" s="6" t="s">
        <v>12</v>
      </c>
      <c r="C4187" s="6" t="s">
        <v>17</v>
      </c>
      <c r="D4187" s="5">
        <v>45627</v>
      </c>
      <c r="E4187" s="6" t="s">
        <v>14</v>
      </c>
      <c r="F4187" s="7">
        <v>87</v>
      </c>
      <c r="G4187" s="7">
        <v>56725.666666666657</v>
      </c>
      <c r="H4187" s="7">
        <v>4935133</v>
      </c>
      <c r="I4187" s="7">
        <v>765600</v>
      </c>
      <c r="J4187" s="7">
        <v>69600</v>
      </c>
      <c r="K4187">
        <f t="shared" si="65"/>
        <v>31</v>
      </c>
      <c r="L4187" s="8" t="str" cm="1">
        <f t="array" ref="L4187">_xlfn.IFS(
 AND(K4187&gt;=89,K4187&lt;=92),"3개월",
 AND(K4187&gt;=58,K4187&lt;=62),"2개월",
 AND(K4187&gt;=28,K4187&lt;=32),"1개월",
 AND(K4187=0),"당월",
 TRUE,"그외"
)</f>
        <v>1개월</v>
      </c>
    </row>
    <row r="4188" spans="1:12" x14ac:dyDescent="0.3">
      <c r="A4188" s="5">
        <v>45658</v>
      </c>
      <c r="B4188" s="6" t="s">
        <v>12</v>
      </c>
      <c r="C4188" s="6" t="s">
        <v>17</v>
      </c>
      <c r="D4188" s="5">
        <v>45627</v>
      </c>
      <c r="E4188" s="6" t="s">
        <v>15</v>
      </c>
      <c r="F4188" s="7">
        <v>14016</v>
      </c>
      <c r="G4188" s="7">
        <v>46386.745291095889</v>
      </c>
      <c r="H4188" s="7">
        <v>650156622</v>
      </c>
      <c r="I4188" s="7">
        <v>123151716</v>
      </c>
      <c r="J4188" s="7">
        <v>11193000</v>
      </c>
      <c r="K4188">
        <f t="shared" si="65"/>
        <v>31</v>
      </c>
      <c r="L4188" s="8" t="str" cm="1">
        <f t="array" ref="L4188">_xlfn.IFS(
 AND(K4188&gt;=89,K4188&lt;=92),"3개월",
 AND(K4188&gt;=58,K4188&lt;=62),"2개월",
 AND(K4188&gt;=28,K4188&lt;=32),"1개월",
 AND(K4188=0),"당월",
 TRUE,"그외"
)</f>
        <v>1개월</v>
      </c>
    </row>
    <row r="4189" spans="1:12" x14ac:dyDescent="0.3">
      <c r="A4189" s="5">
        <v>45658</v>
      </c>
      <c r="B4189" s="6" t="s">
        <v>12</v>
      </c>
      <c r="C4189" s="6" t="s">
        <v>17</v>
      </c>
      <c r="D4189" s="5">
        <v>45658</v>
      </c>
      <c r="E4189" s="6" t="s">
        <v>14</v>
      </c>
      <c r="F4189" s="7">
        <v>89</v>
      </c>
      <c r="G4189" s="7">
        <v>39501.831460674162</v>
      </c>
      <c r="H4189" s="7">
        <v>3515663</v>
      </c>
      <c r="I4189" s="7">
        <v>783200</v>
      </c>
      <c r="J4189" s="7">
        <v>71200</v>
      </c>
      <c r="K4189">
        <f t="shared" si="65"/>
        <v>0</v>
      </c>
      <c r="L4189" s="8" t="str" cm="1">
        <f t="array" ref="L4189">_xlfn.IFS(
 AND(K4189&gt;=89,K4189&lt;=92),"3개월",
 AND(K4189&gt;=58,K4189&lt;=62),"2개월",
 AND(K4189&gt;=28,K4189&lt;=32),"1개월",
 AND(K4189=0),"당월",
 TRUE,"그외"
)</f>
        <v>당월</v>
      </c>
    </row>
    <row r="4190" spans="1:12" x14ac:dyDescent="0.3">
      <c r="A4190" s="5">
        <v>45658</v>
      </c>
      <c r="B4190" s="6" t="s">
        <v>12</v>
      </c>
      <c r="C4190" s="6" t="s">
        <v>17</v>
      </c>
      <c r="D4190" s="5">
        <v>45658</v>
      </c>
      <c r="E4190" s="6" t="s">
        <v>15</v>
      </c>
      <c r="F4190" s="7">
        <v>21030</v>
      </c>
      <c r="G4190" s="7">
        <v>42561.908273894427</v>
      </c>
      <c r="H4190" s="7">
        <v>895076931</v>
      </c>
      <c r="I4190" s="7">
        <v>184770943</v>
      </c>
      <c r="J4190" s="7">
        <v>16792500</v>
      </c>
      <c r="K4190">
        <f t="shared" si="65"/>
        <v>0</v>
      </c>
      <c r="L4190" s="8" t="str" cm="1">
        <f t="array" ref="L4190">_xlfn.IFS(
 AND(K4190&gt;=89,K4190&lt;=92),"3개월",
 AND(K4190&gt;=58,K4190&lt;=62),"2개월",
 AND(K4190&gt;=28,K4190&lt;=32),"1개월",
 AND(K4190=0),"당월",
 TRUE,"그외"
)</f>
        <v>당월</v>
      </c>
    </row>
    <row r="4191" spans="1:12" x14ac:dyDescent="0.3">
      <c r="A4191" s="5">
        <v>45658</v>
      </c>
      <c r="B4191" s="6" t="s">
        <v>12</v>
      </c>
      <c r="C4191" s="6" t="s">
        <v>18</v>
      </c>
      <c r="D4191" s="5">
        <v>45505</v>
      </c>
      <c r="E4191" s="6" t="s">
        <v>15</v>
      </c>
      <c r="F4191" s="7">
        <v>160</v>
      </c>
      <c r="G4191" s="7">
        <v>50706.762499999997</v>
      </c>
      <c r="H4191" s="7">
        <v>8113082</v>
      </c>
      <c r="I4191" s="7">
        <v>1584000</v>
      </c>
      <c r="J4191" s="7">
        <v>144000</v>
      </c>
      <c r="K4191">
        <f t="shared" si="65"/>
        <v>153</v>
      </c>
      <c r="L4191" s="8" t="str" cm="1">
        <f t="array" ref="L4191">_xlfn.IFS(
 AND(K4191&gt;=89,K4191&lt;=92),"3개월",
 AND(K4191&gt;=58,K4191&lt;=62),"2개월",
 AND(K4191&gt;=28,K4191&lt;=32),"1개월",
 AND(K4191=0),"당월",
 TRUE,"그외"
)</f>
        <v>그외</v>
      </c>
    </row>
    <row r="4192" spans="1:12" x14ac:dyDescent="0.3">
      <c r="A4192" s="5">
        <v>45658</v>
      </c>
      <c r="B4192" s="6" t="s">
        <v>12</v>
      </c>
      <c r="C4192" s="6" t="s">
        <v>18</v>
      </c>
      <c r="D4192" s="5">
        <v>45536</v>
      </c>
      <c r="E4192" s="6" t="s">
        <v>15</v>
      </c>
      <c r="F4192" s="7">
        <v>337</v>
      </c>
      <c r="G4192" s="7">
        <v>49330.362017804153</v>
      </c>
      <c r="H4192" s="7">
        <v>16624332</v>
      </c>
      <c r="I4192" s="7">
        <v>3336300</v>
      </c>
      <c r="J4192" s="7">
        <v>303300</v>
      </c>
      <c r="K4192">
        <f t="shared" si="65"/>
        <v>122</v>
      </c>
      <c r="L4192" s="8" t="str" cm="1">
        <f t="array" ref="L4192">_xlfn.IFS(
 AND(K4192&gt;=89,K4192&lt;=92),"3개월",
 AND(K4192&gt;=58,K4192&lt;=62),"2개월",
 AND(K4192&gt;=28,K4192&lt;=32),"1개월",
 AND(K4192=0),"당월",
 TRUE,"그외"
)</f>
        <v>그외</v>
      </c>
    </row>
    <row r="4193" spans="1:12" x14ac:dyDescent="0.3">
      <c r="A4193" s="5">
        <v>45658</v>
      </c>
      <c r="B4193" s="6" t="s">
        <v>12</v>
      </c>
      <c r="C4193" s="6" t="s">
        <v>18</v>
      </c>
      <c r="D4193" s="5">
        <v>45566</v>
      </c>
      <c r="E4193" s="6" t="s">
        <v>15</v>
      </c>
      <c r="F4193" s="7">
        <v>905</v>
      </c>
      <c r="G4193" s="7">
        <v>54195.432044198897</v>
      </c>
      <c r="H4193" s="7">
        <v>49046866</v>
      </c>
      <c r="I4193" s="7">
        <v>7959600</v>
      </c>
      <c r="J4193" s="7">
        <v>723600</v>
      </c>
      <c r="K4193">
        <f t="shared" si="65"/>
        <v>92</v>
      </c>
      <c r="L4193" s="8" t="str" cm="1">
        <f t="array" ref="L4193">_xlfn.IFS(
 AND(K4193&gt;=89,K4193&lt;=92),"3개월",
 AND(K4193&gt;=58,K4193&lt;=62),"2개월",
 AND(K4193&gt;=28,K4193&lt;=32),"1개월",
 AND(K4193=0),"당월",
 TRUE,"그외"
)</f>
        <v>3개월</v>
      </c>
    </row>
    <row r="4194" spans="1:12" x14ac:dyDescent="0.3">
      <c r="A4194" s="5">
        <v>45658</v>
      </c>
      <c r="B4194" s="6" t="s">
        <v>12</v>
      </c>
      <c r="C4194" s="6" t="s">
        <v>18</v>
      </c>
      <c r="D4194" s="5">
        <v>45597</v>
      </c>
      <c r="E4194" s="6" t="s">
        <v>14</v>
      </c>
      <c r="F4194" s="7">
        <v>116</v>
      </c>
      <c r="G4194" s="7">
        <v>69751.181034482754</v>
      </c>
      <c r="H4194" s="7">
        <v>8091137</v>
      </c>
      <c r="I4194" s="7">
        <v>893200</v>
      </c>
      <c r="J4194" s="7">
        <v>81200</v>
      </c>
      <c r="K4194">
        <f t="shared" si="65"/>
        <v>61</v>
      </c>
      <c r="L4194" s="8" t="str" cm="1">
        <f t="array" ref="L4194">_xlfn.IFS(
 AND(K4194&gt;=89,K4194&lt;=92),"3개월",
 AND(K4194&gt;=58,K4194&lt;=62),"2개월",
 AND(K4194&gt;=28,K4194&lt;=32),"1개월",
 AND(K4194=0),"당월",
 TRUE,"그외"
)</f>
        <v>2개월</v>
      </c>
    </row>
    <row r="4195" spans="1:12" x14ac:dyDescent="0.3">
      <c r="A4195" s="5">
        <v>45658</v>
      </c>
      <c r="B4195" s="6" t="s">
        <v>12</v>
      </c>
      <c r="C4195" s="6" t="s">
        <v>18</v>
      </c>
      <c r="D4195" s="5">
        <v>45597</v>
      </c>
      <c r="E4195" s="6" t="s">
        <v>15</v>
      </c>
      <c r="F4195" s="7">
        <v>4033</v>
      </c>
      <c r="G4195" s="7">
        <v>57352.137862633273</v>
      </c>
      <c r="H4195" s="7">
        <v>231301172</v>
      </c>
      <c r="I4195" s="7">
        <v>30989200</v>
      </c>
      <c r="J4195" s="7">
        <v>2817200</v>
      </c>
      <c r="K4195">
        <f t="shared" si="65"/>
        <v>61</v>
      </c>
      <c r="L4195" s="8" t="str" cm="1">
        <f t="array" ref="L4195">_xlfn.IFS(
 AND(K4195&gt;=89,K4195&lt;=92),"3개월",
 AND(K4195&gt;=58,K4195&lt;=62),"2개월",
 AND(K4195&gt;=28,K4195&lt;=32),"1개월",
 AND(K4195=0),"당월",
 TRUE,"그외"
)</f>
        <v>2개월</v>
      </c>
    </row>
    <row r="4196" spans="1:12" x14ac:dyDescent="0.3">
      <c r="A4196" s="5">
        <v>45658</v>
      </c>
      <c r="B4196" s="6" t="s">
        <v>12</v>
      </c>
      <c r="C4196" s="6" t="s">
        <v>18</v>
      </c>
      <c r="D4196" s="5">
        <v>45627</v>
      </c>
      <c r="E4196" s="6" t="s">
        <v>14</v>
      </c>
      <c r="F4196" s="7">
        <v>481</v>
      </c>
      <c r="G4196" s="7">
        <v>68920.4449064449</v>
      </c>
      <c r="H4196" s="7">
        <v>33150734</v>
      </c>
      <c r="I4196" s="7">
        <v>4230600</v>
      </c>
      <c r="J4196" s="7">
        <v>384600</v>
      </c>
      <c r="K4196">
        <f t="shared" si="65"/>
        <v>31</v>
      </c>
      <c r="L4196" s="8" t="str" cm="1">
        <f t="array" ref="L4196">_xlfn.IFS(
 AND(K4196&gt;=89,K4196&lt;=92),"3개월",
 AND(K4196&gt;=58,K4196&lt;=62),"2개월",
 AND(K4196&gt;=28,K4196&lt;=32),"1개월",
 AND(K4196=0),"당월",
 TRUE,"그외"
)</f>
        <v>1개월</v>
      </c>
    </row>
    <row r="4197" spans="1:12" x14ac:dyDescent="0.3">
      <c r="A4197" s="5">
        <v>45658</v>
      </c>
      <c r="B4197" s="6" t="s">
        <v>12</v>
      </c>
      <c r="C4197" s="6" t="s">
        <v>18</v>
      </c>
      <c r="D4197" s="5">
        <v>45627</v>
      </c>
      <c r="E4197" s="6" t="s">
        <v>15</v>
      </c>
      <c r="F4197" s="7">
        <v>13894</v>
      </c>
      <c r="G4197" s="7">
        <v>63394.139196775577</v>
      </c>
      <c r="H4197" s="7">
        <v>880798170</v>
      </c>
      <c r="I4197" s="7">
        <v>122038800</v>
      </c>
      <c r="J4197" s="7">
        <v>11094436</v>
      </c>
      <c r="K4197">
        <f t="shared" si="65"/>
        <v>31</v>
      </c>
      <c r="L4197" s="8" t="str" cm="1">
        <f t="array" ref="L4197">_xlfn.IFS(
 AND(K4197&gt;=89,K4197&lt;=92),"3개월",
 AND(K4197&gt;=58,K4197&lt;=62),"2개월",
 AND(K4197&gt;=28,K4197&lt;=32),"1개월",
 AND(K4197=0),"당월",
 TRUE,"그외"
)</f>
        <v>1개월</v>
      </c>
    </row>
    <row r="4198" spans="1:12" x14ac:dyDescent="0.3">
      <c r="A4198" s="5">
        <v>45658</v>
      </c>
      <c r="B4198" s="6" t="s">
        <v>12</v>
      </c>
      <c r="C4198" s="6" t="s">
        <v>18</v>
      </c>
      <c r="D4198" s="5">
        <v>45658</v>
      </c>
      <c r="E4198" s="6" t="s">
        <v>14</v>
      </c>
      <c r="F4198" s="7">
        <v>77</v>
      </c>
      <c r="G4198" s="7">
        <v>74907.142857142855</v>
      </c>
      <c r="H4198" s="7">
        <v>5767850</v>
      </c>
      <c r="I4198" s="7">
        <v>677600</v>
      </c>
      <c r="J4198" s="7">
        <v>61600</v>
      </c>
      <c r="K4198">
        <f t="shared" si="65"/>
        <v>0</v>
      </c>
      <c r="L4198" s="8" t="str" cm="1">
        <f t="array" ref="L4198">_xlfn.IFS(
 AND(K4198&gt;=89,K4198&lt;=92),"3개월",
 AND(K4198&gt;=58,K4198&lt;=62),"2개월",
 AND(K4198&gt;=28,K4198&lt;=32),"1개월",
 AND(K4198=0),"당월",
 TRUE,"그외"
)</f>
        <v>당월</v>
      </c>
    </row>
    <row r="4199" spans="1:12" x14ac:dyDescent="0.3">
      <c r="A4199" s="5">
        <v>45658</v>
      </c>
      <c r="B4199" s="6" t="s">
        <v>12</v>
      </c>
      <c r="C4199" s="6" t="s">
        <v>18</v>
      </c>
      <c r="D4199" s="5">
        <v>45658</v>
      </c>
      <c r="E4199" s="6" t="s">
        <v>15</v>
      </c>
      <c r="F4199" s="7">
        <v>13669</v>
      </c>
      <c r="G4199" s="7">
        <v>63380.539980978858</v>
      </c>
      <c r="H4199" s="7">
        <v>866348601</v>
      </c>
      <c r="I4199" s="7">
        <v>119972600</v>
      </c>
      <c r="J4199" s="7">
        <v>10906600</v>
      </c>
      <c r="K4199">
        <f t="shared" si="65"/>
        <v>0</v>
      </c>
      <c r="L4199" s="8" t="str" cm="1">
        <f t="array" ref="L4199">_xlfn.IFS(
 AND(K4199&gt;=89,K4199&lt;=92),"3개월",
 AND(K4199&gt;=58,K4199&lt;=62),"2개월",
 AND(K4199&gt;=28,K4199&lt;=32),"1개월",
 AND(K4199=0),"당월",
 TRUE,"그외"
)</f>
        <v>당월</v>
      </c>
    </row>
    <row r="4200" spans="1:12" x14ac:dyDescent="0.3">
      <c r="A4200" s="5">
        <v>45658</v>
      </c>
      <c r="B4200" s="6" t="s">
        <v>12</v>
      </c>
      <c r="C4200" s="6" t="s">
        <v>19</v>
      </c>
      <c r="D4200" s="5">
        <v>45536</v>
      </c>
      <c r="E4200" s="6" t="s">
        <v>15</v>
      </c>
      <c r="F4200" s="7">
        <v>8</v>
      </c>
      <c r="G4200" s="7">
        <v>68091</v>
      </c>
      <c r="H4200" s="7">
        <v>544728</v>
      </c>
      <c r="I4200" s="7">
        <v>79200</v>
      </c>
      <c r="J4200" s="7">
        <v>7200</v>
      </c>
      <c r="K4200">
        <f t="shared" si="65"/>
        <v>122</v>
      </c>
      <c r="L4200" s="8" t="str" cm="1">
        <f t="array" ref="L4200">_xlfn.IFS(
 AND(K4200&gt;=89,K4200&lt;=92),"3개월",
 AND(K4200&gt;=58,K4200&lt;=62),"2개월",
 AND(K4200&gt;=28,K4200&lt;=32),"1개월",
 AND(K4200=0),"당월",
 TRUE,"그외"
)</f>
        <v>그외</v>
      </c>
    </row>
    <row r="4201" spans="1:12" x14ac:dyDescent="0.3">
      <c r="A4201" s="5">
        <v>45658</v>
      </c>
      <c r="B4201" s="6" t="s">
        <v>12</v>
      </c>
      <c r="C4201" s="6" t="s">
        <v>19</v>
      </c>
      <c r="D4201" s="5">
        <v>45566</v>
      </c>
      <c r="E4201" s="6" t="s">
        <v>15</v>
      </c>
      <c r="F4201" s="7">
        <v>16</v>
      </c>
      <c r="G4201" s="7">
        <v>59602.5625</v>
      </c>
      <c r="H4201" s="7">
        <v>953641</v>
      </c>
      <c r="I4201" s="7">
        <v>114400</v>
      </c>
      <c r="J4201" s="7">
        <v>10400</v>
      </c>
      <c r="K4201">
        <f t="shared" si="65"/>
        <v>92</v>
      </c>
      <c r="L4201" s="8" t="str" cm="1">
        <f t="array" ref="L4201">_xlfn.IFS(
 AND(K4201&gt;=89,K4201&lt;=92),"3개월",
 AND(K4201&gt;=58,K4201&lt;=62),"2개월",
 AND(K4201&gt;=28,K4201&lt;=32),"1개월",
 AND(K4201=0),"당월",
 TRUE,"그외"
)</f>
        <v>3개월</v>
      </c>
    </row>
    <row r="4202" spans="1:12" x14ac:dyDescent="0.3">
      <c r="A4202" s="5">
        <v>45658</v>
      </c>
      <c r="B4202" s="6" t="s">
        <v>12</v>
      </c>
      <c r="C4202" s="6" t="s">
        <v>19</v>
      </c>
      <c r="D4202" s="5">
        <v>45597</v>
      </c>
      <c r="E4202" s="6" t="s">
        <v>15</v>
      </c>
      <c r="F4202" s="7">
        <v>301</v>
      </c>
      <c r="G4202" s="7">
        <v>38220.671096345512</v>
      </c>
      <c r="H4202" s="7">
        <v>11504422</v>
      </c>
      <c r="I4202" s="7">
        <v>2017400</v>
      </c>
      <c r="J4202" s="7">
        <v>183400</v>
      </c>
      <c r="K4202">
        <f t="shared" si="65"/>
        <v>61</v>
      </c>
      <c r="L4202" s="8" t="str" cm="1">
        <f t="array" ref="L4202">_xlfn.IFS(
 AND(K4202&gt;=89,K4202&lt;=92),"3개월",
 AND(K4202&gt;=58,K4202&lt;=62),"2개월",
 AND(K4202&gt;=28,K4202&lt;=32),"1개월",
 AND(K4202=0),"당월",
 TRUE,"그외"
)</f>
        <v>2개월</v>
      </c>
    </row>
    <row r="4203" spans="1:12" x14ac:dyDescent="0.3">
      <c r="A4203" s="5">
        <v>45658</v>
      </c>
      <c r="B4203" s="6" t="s">
        <v>12</v>
      </c>
      <c r="C4203" s="6" t="s">
        <v>19</v>
      </c>
      <c r="D4203" s="5">
        <v>45627</v>
      </c>
      <c r="E4203" s="6" t="s">
        <v>15</v>
      </c>
      <c r="F4203" s="7">
        <v>5500</v>
      </c>
      <c r="G4203" s="7">
        <v>43592.456909090914</v>
      </c>
      <c r="H4203" s="7">
        <v>239758513</v>
      </c>
      <c r="I4203" s="7">
        <v>46781900</v>
      </c>
      <c r="J4203" s="7">
        <v>4252900</v>
      </c>
      <c r="K4203">
        <f t="shared" si="65"/>
        <v>31</v>
      </c>
      <c r="L4203" s="8" t="str" cm="1">
        <f t="array" ref="L4203">_xlfn.IFS(
 AND(K4203&gt;=89,K4203&lt;=92),"3개월",
 AND(K4203&gt;=58,K4203&lt;=62),"2개월",
 AND(K4203&gt;=28,K4203&lt;=32),"1개월",
 AND(K4203=0),"당월",
 TRUE,"그외"
)</f>
        <v>1개월</v>
      </c>
    </row>
    <row r="4204" spans="1:12" x14ac:dyDescent="0.3">
      <c r="A4204" s="5">
        <v>45658</v>
      </c>
      <c r="B4204" s="6" t="s">
        <v>12</v>
      </c>
      <c r="C4204" s="6" t="s">
        <v>19</v>
      </c>
      <c r="D4204" s="5">
        <v>45658</v>
      </c>
      <c r="E4204" s="6" t="s">
        <v>14</v>
      </c>
      <c r="F4204" s="7">
        <v>37</v>
      </c>
      <c r="G4204" s="7">
        <v>86182</v>
      </c>
      <c r="H4204" s="7">
        <v>3188734</v>
      </c>
      <c r="I4204" s="7">
        <v>325600</v>
      </c>
      <c r="J4204" s="7">
        <v>29600</v>
      </c>
      <c r="K4204">
        <f t="shared" si="65"/>
        <v>0</v>
      </c>
      <c r="L4204" s="8" t="str" cm="1">
        <f t="array" ref="L4204">_xlfn.IFS(
 AND(K4204&gt;=89,K4204&lt;=92),"3개월",
 AND(K4204&gt;=58,K4204&lt;=62),"2개월",
 AND(K4204&gt;=28,K4204&lt;=32),"1개월",
 AND(K4204=0),"당월",
 TRUE,"그외"
)</f>
        <v>당월</v>
      </c>
    </row>
    <row r="4205" spans="1:12" x14ac:dyDescent="0.3">
      <c r="A4205" s="5">
        <v>45658</v>
      </c>
      <c r="B4205" s="6" t="s">
        <v>12</v>
      </c>
      <c r="C4205" s="6" t="s">
        <v>19</v>
      </c>
      <c r="D4205" s="5">
        <v>45658</v>
      </c>
      <c r="E4205" s="6" t="s">
        <v>15</v>
      </c>
      <c r="F4205" s="7">
        <v>12689</v>
      </c>
      <c r="G4205" s="7">
        <v>40395.412483253211</v>
      </c>
      <c r="H4205" s="7">
        <v>512577389</v>
      </c>
      <c r="I4205" s="7">
        <v>109271800</v>
      </c>
      <c r="J4205" s="7">
        <v>9933800</v>
      </c>
      <c r="K4205">
        <f t="shared" si="65"/>
        <v>0</v>
      </c>
      <c r="L4205" s="8" t="str" cm="1">
        <f t="array" ref="L4205">_xlfn.IFS(
 AND(K4205&gt;=89,K4205&lt;=92),"3개월",
 AND(K4205&gt;=58,K4205&lt;=62),"2개월",
 AND(K4205&gt;=28,K4205&lt;=32),"1개월",
 AND(K4205=0),"당월",
 TRUE,"그외"
)</f>
        <v>당월</v>
      </c>
    </row>
    <row r="4206" spans="1:12" x14ac:dyDescent="0.3">
      <c r="A4206" s="5">
        <v>45658</v>
      </c>
      <c r="B4206" s="6" t="s">
        <v>20</v>
      </c>
      <c r="C4206" s="6" t="s">
        <v>22</v>
      </c>
      <c r="D4206" s="5">
        <v>45474</v>
      </c>
      <c r="E4206" s="6" t="s">
        <v>15</v>
      </c>
      <c r="F4206" s="7">
        <v>14</v>
      </c>
      <c r="G4206" s="7">
        <v>145638</v>
      </c>
      <c r="H4206" s="7">
        <v>2038932</v>
      </c>
      <c r="I4206" s="7">
        <v>293968</v>
      </c>
      <c r="J4206" s="7">
        <v>0</v>
      </c>
      <c r="K4206">
        <f t="shared" si="65"/>
        <v>184</v>
      </c>
      <c r="L4206" s="8" t="str" cm="1">
        <f t="array" ref="L4206">_xlfn.IFS(
 AND(K4206&gt;=89,K4206&lt;=92),"3개월",
 AND(K4206&gt;=58,K4206&lt;=62),"2개월",
 AND(K4206&gt;=28,K4206&lt;=32),"1개월",
 AND(K4206=0),"당월",
 TRUE,"그외"
)</f>
        <v>그외</v>
      </c>
    </row>
    <row r="4207" spans="1:12" x14ac:dyDescent="0.3">
      <c r="A4207" s="5">
        <v>45658</v>
      </c>
      <c r="B4207" s="6" t="s">
        <v>20</v>
      </c>
      <c r="C4207" s="6" t="s">
        <v>22</v>
      </c>
      <c r="D4207" s="5">
        <v>45505</v>
      </c>
      <c r="E4207" s="6" t="s">
        <v>15</v>
      </c>
      <c r="F4207" s="7">
        <v>977</v>
      </c>
      <c r="G4207" s="7">
        <v>133151.36290685771</v>
      </c>
      <c r="H4207" s="7">
        <v>130088881.56</v>
      </c>
      <c r="I4207" s="7">
        <v>15362051.560000001</v>
      </c>
      <c r="J4207" s="7">
        <v>0</v>
      </c>
      <c r="K4207">
        <f t="shared" si="65"/>
        <v>153</v>
      </c>
      <c r="L4207" s="8" t="str" cm="1">
        <f t="array" ref="L4207">_xlfn.IFS(
 AND(K4207&gt;=89,K4207&lt;=92),"3개월",
 AND(K4207&gt;=58,K4207&lt;=62),"2개월",
 AND(K4207&gt;=28,K4207&lt;=32),"1개월",
 AND(K4207=0),"당월",
 TRUE,"그외"
)</f>
        <v>그외</v>
      </c>
    </row>
    <row r="4208" spans="1:12" x14ac:dyDescent="0.3">
      <c r="A4208" s="5">
        <v>45658</v>
      </c>
      <c r="B4208" s="6" t="s">
        <v>20</v>
      </c>
      <c r="C4208" s="6" t="s">
        <v>22</v>
      </c>
      <c r="D4208" s="5">
        <v>45536</v>
      </c>
      <c r="E4208" s="6" t="s">
        <v>15</v>
      </c>
      <c r="F4208" s="7">
        <v>1357</v>
      </c>
      <c r="G4208" s="7">
        <v>157385.42299189389</v>
      </c>
      <c r="H4208" s="7">
        <v>213572019</v>
      </c>
      <c r="I4208" s="7">
        <v>21889900</v>
      </c>
      <c r="J4208" s="7">
        <v>0</v>
      </c>
      <c r="K4208">
        <f t="shared" si="65"/>
        <v>122</v>
      </c>
      <c r="L4208" s="8" t="str" cm="1">
        <f t="array" ref="L4208">_xlfn.IFS(
 AND(K4208&gt;=89,K4208&lt;=92),"3개월",
 AND(K4208&gt;=58,K4208&lt;=62),"2개월",
 AND(K4208&gt;=28,K4208&lt;=32),"1개월",
 AND(K4208=0),"당월",
 TRUE,"그외"
)</f>
        <v>그외</v>
      </c>
    </row>
    <row r="4209" spans="1:12" x14ac:dyDescent="0.3">
      <c r="A4209" s="5">
        <v>45658</v>
      </c>
      <c r="B4209" s="6" t="s">
        <v>20</v>
      </c>
      <c r="C4209" s="6" t="s">
        <v>22</v>
      </c>
      <c r="D4209" s="5">
        <v>45566</v>
      </c>
      <c r="E4209" s="6" t="s">
        <v>14</v>
      </c>
      <c r="F4209" s="7">
        <v>6</v>
      </c>
      <c r="G4209" s="7">
        <v>89400</v>
      </c>
      <c r="H4209" s="7">
        <v>536400</v>
      </c>
      <c r="I4209" s="7">
        <v>56400</v>
      </c>
      <c r="J4209" s="7">
        <v>0</v>
      </c>
      <c r="K4209">
        <f t="shared" si="65"/>
        <v>92</v>
      </c>
      <c r="L4209" s="8" t="str" cm="1">
        <f t="array" ref="L4209">_xlfn.IFS(
 AND(K4209&gt;=89,K4209&lt;=92),"3개월",
 AND(K4209&gt;=58,K4209&lt;=62),"2개월",
 AND(K4209&gt;=28,K4209&lt;=32),"1개월",
 AND(K4209=0),"당월",
 TRUE,"그외"
)</f>
        <v>3개월</v>
      </c>
    </row>
    <row r="4210" spans="1:12" x14ac:dyDescent="0.3">
      <c r="A4210" s="5">
        <v>45658</v>
      </c>
      <c r="B4210" s="6" t="s">
        <v>20</v>
      </c>
      <c r="C4210" s="6" t="s">
        <v>22</v>
      </c>
      <c r="D4210" s="5">
        <v>45566</v>
      </c>
      <c r="E4210" s="6" t="s">
        <v>15</v>
      </c>
      <c r="F4210" s="7">
        <v>2918</v>
      </c>
      <c r="G4210" s="7">
        <v>162313.80740233039</v>
      </c>
      <c r="H4210" s="7">
        <v>473631690</v>
      </c>
      <c r="I4210" s="7">
        <v>38607251</v>
      </c>
      <c r="J4210" s="7">
        <v>0</v>
      </c>
      <c r="K4210">
        <f t="shared" si="65"/>
        <v>92</v>
      </c>
      <c r="L4210" s="8" t="str" cm="1">
        <f t="array" ref="L4210">_xlfn.IFS(
 AND(K4210&gt;=89,K4210&lt;=92),"3개월",
 AND(K4210&gt;=58,K4210&lt;=62),"2개월",
 AND(K4210&gt;=28,K4210&lt;=32),"1개월",
 AND(K4210=0),"당월",
 TRUE,"그외"
)</f>
        <v>3개월</v>
      </c>
    </row>
    <row r="4211" spans="1:12" x14ac:dyDescent="0.3">
      <c r="A4211" s="5">
        <v>45658</v>
      </c>
      <c r="B4211" s="6" t="s">
        <v>20</v>
      </c>
      <c r="C4211" s="6" t="s">
        <v>22</v>
      </c>
      <c r="D4211" s="5">
        <v>45597</v>
      </c>
      <c r="E4211" s="6" t="s">
        <v>14</v>
      </c>
      <c r="F4211" s="7">
        <v>82</v>
      </c>
      <c r="G4211" s="7">
        <v>109787.8048780488</v>
      </c>
      <c r="H4211" s="7">
        <v>9002600</v>
      </c>
      <c r="I4211" s="7">
        <v>762600</v>
      </c>
      <c r="J4211" s="7">
        <v>0</v>
      </c>
      <c r="K4211">
        <f t="shared" si="65"/>
        <v>61</v>
      </c>
      <c r="L4211" s="8" t="str" cm="1">
        <f t="array" ref="L4211">_xlfn.IFS(
 AND(K4211&gt;=89,K4211&lt;=92),"3개월",
 AND(K4211&gt;=58,K4211&lt;=62),"2개월",
 AND(K4211&gt;=28,K4211&lt;=32),"1개월",
 AND(K4211=0),"당월",
 TRUE,"그외"
)</f>
        <v>2개월</v>
      </c>
    </row>
    <row r="4212" spans="1:12" x14ac:dyDescent="0.3">
      <c r="A4212" s="5">
        <v>45658</v>
      </c>
      <c r="B4212" s="6" t="s">
        <v>20</v>
      </c>
      <c r="C4212" s="6" t="s">
        <v>22</v>
      </c>
      <c r="D4212" s="5">
        <v>45597</v>
      </c>
      <c r="E4212" s="6" t="s">
        <v>15</v>
      </c>
      <c r="F4212" s="7">
        <v>9930</v>
      </c>
      <c r="G4212" s="7">
        <v>156950.1918429003</v>
      </c>
      <c r="H4212" s="7">
        <v>1558515405</v>
      </c>
      <c r="I4212" s="7">
        <v>132144515</v>
      </c>
      <c r="J4212" s="7">
        <v>0</v>
      </c>
      <c r="K4212">
        <f t="shared" si="65"/>
        <v>61</v>
      </c>
      <c r="L4212" s="8" t="str" cm="1">
        <f t="array" ref="L4212">_xlfn.IFS(
 AND(K4212&gt;=89,K4212&lt;=92),"3개월",
 AND(K4212&gt;=58,K4212&lt;=62),"2개월",
 AND(K4212&gt;=28,K4212&lt;=32),"1개월",
 AND(K4212=0),"당월",
 TRUE,"그외"
)</f>
        <v>2개월</v>
      </c>
    </row>
    <row r="4213" spans="1:12" x14ac:dyDescent="0.3">
      <c r="A4213" s="5">
        <v>45658</v>
      </c>
      <c r="B4213" s="6" t="s">
        <v>20</v>
      </c>
      <c r="C4213" s="6" t="s">
        <v>22</v>
      </c>
      <c r="D4213" s="5">
        <v>45627</v>
      </c>
      <c r="E4213" s="6" t="s">
        <v>14</v>
      </c>
      <c r="F4213" s="7">
        <v>2367</v>
      </c>
      <c r="G4213" s="7">
        <v>132008.32277144061</v>
      </c>
      <c r="H4213" s="7">
        <v>312463700</v>
      </c>
      <c r="I4213" s="7">
        <v>26273700</v>
      </c>
      <c r="J4213" s="7">
        <v>0</v>
      </c>
      <c r="K4213">
        <f t="shared" si="65"/>
        <v>31</v>
      </c>
      <c r="L4213" s="8" t="str" cm="1">
        <f t="array" ref="L4213">_xlfn.IFS(
 AND(K4213&gt;=89,K4213&lt;=92),"3개월",
 AND(K4213&gt;=58,K4213&lt;=62),"2개월",
 AND(K4213&gt;=28,K4213&lt;=32),"1개월",
 AND(K4213=0),"당월",
 TRUE,"그외"
)</f>
        <v>1개월</v>
      </c>
    </row>
    <row r="4214" spans="1:12" x14ac:dyDescent="0.3">
      <c r="A4214" s="5">
        <v>45658</v>
      </c>
      <c r="B4214" s="6" t="s">
        <v>20</v>
      </c>
      <c r="C4214" s="6" t="s">
        <v>22</v>
      </c>
      <c r="D4214" s="5">
        <v>45627</v>
      </c>
      <c r="E4214" s="6" t="s">
        <v>15</v>
      </c>
      <c r="F4214" s="7">
        <v>15781</v>
      </c>
      <c r="G4214" s="7">
        <v>150259.67568595149</v>
      </c>
      <c r="H4214" s="7">
        <v>2371247942</v>
      </c>
      <c r="I4214" s="7">
        <v>230254289</v>
      </c>
      <c r="J4214" s="7">
        <v>0</v>
      </c>
      <c r="K4214">
        <f t="shared" si="65"/>
        <v>31</v>
      </c>
      <c r="L4214" s="8" t="str" cm="1">
        <f t="array" ref="L4214">_xlfn.IFS(
 AND(K4214&gt;=89,K4214&lt;=92),"3개월",
 AND(K4214&gt;=58,K4214&lt;=62),"2개월",
 AND(K4214&gt;=28,K4214&lt;=32),"1개월",
 AND(K4214=0),"당월",
 TRUE,"그외"
)</f>
        <v>1개월</v>
      </c>
    </row>
    <row r="4215" spans="1:12" x14ac:dyDescent="0.3">
      <c r="A4215" s="5">
        <v>45658</v>
      </c>
      <c r="B4215" s="6" t="s">
        <v>20</v>
      </c>
      <c r="C4215" s="6" t="s">
        <v>22</v>
      </c>
      <c r="D4215" s="5">
        <v>45658</v>
      </c>
      <c r="E4215" s="6" t="s">
        <v>14</v>
      </c>
      <c r="F4215" s="7">
        <v>4316</v>
      </c>
      <c r="G4215" s="7">
        <v>143214.5843373494</v>
      </c>
      <c r="H4215" s="7">
        <v>618114146</v>
      </c>
      <c r="I4215" s="7">
        <v>48761600</v>
      </c>
      <c r="J4215" s="7">
        <v>0</v>
      </c>
      <c r="K4215">
        <f t="shared" si="65"/>
        <v>0</v>
      </c>
      <c r="L4215" s="8" t="str" cm="1">
        <f t="array" ref="L4215">_xlfn.IFS(
 AND(K4215&gt;=89,K4215&lt;=92),"3개월",
 AND(K4215&gt;=58,K4215&lt;=62),"2개월",
 AND(K4215&gt;=28,K4215&lt;=32),"1개월",
 AND(K4215=0),"당월",
 TRUE,"그외"
)</f>
        <v>당월</v>
      </c>
    </row>
    <row r="4216" spans="1:12" x14ac:dyDescent="0.3">
      <c r="A4216" s="5">
        <v>45658</v>
      </c>
      <c r="B4216" s="6" t="s">
        <v>20</v>
      </c>
      <c r="C4216" s="6" t="s">
        <v>22</v>
      </c>
      <c r="D4216" s="5">
        <v>45658</v>
      </c>
      <c r="E4216" s="6" t="s">
        <v>15</v>
      </c>
      <c r="F4216" s="7">
        <v>8080</v>
      </c>
      <c r="G4216" s="7">
        <v>162733.69603960399</v>
      </c>
      <c r="H4216" s="7">
        <v>1314888264</v>
      </c>
      <c r="I4216" s="7">
        <v>116980183</v>
      </c>
      <c r="J4216" s="7">
        <v>0</v>
      </c>
      <c r="K4216">
        <f t="shared" si="65"/>
        <v>0</v>
      </c>
      <c r="L4216" s="8" t="str" cm="1">
        <f t="array" ref="L4216">_xlfn.IFS(
 AND(K4216&gt;=89,K4216&lt;=92),"3개월",
 AND(K4216&gt;=58,K4216&lt;=62),"2개월",
 AND(K4216&gt;=28,K4216&lt;=32),"1개월",
 AND(K4216=0),"당월",
 TRUE,"그외"
)</f>
        <v>당월</v>
      </c>
    </row>
    <row r="4217" spans="1:12" x14ac:dyDescent="0.3">
      <c r="A4217" s="5">
        <v>45658</v>
      </c>
      <c r="B4217" s="6" t="s">
        <v>20</v>
      </c>
      <c r="C4217" s="6" t="s">
        <v>23</v>
      </c>
      <c r="D4217" s="5">
        <v>45536</v>
      </c>
      <c r="E4217" s="6" t="s">
        <v>15</v>
      </c>
      <c r="F4217" s="7">
        <v>3</v>
      </c>
      <c r="G4217" s="7">
        <v>192400</v>
      </c>
      <c r="H4217" s="7">
        <v>577200</v>
      </c>
      <c r="I4217" s="7">
        <v>37200</v>
      </c>
      <c r="J4217" s="7">
        <v>0</v>
      </c>
      <c r="K4217">
        <f t="shared" si="65"/>
        <v>122</v>
      </c>
      <c r="L4217" s="8" t="str" cm="1">
        <f t="array" ref="L4217">_xlfn.IFS(
 AND(K4217&gt;=89,K4217&lt;=92),"3개월",
 AND(K4217&gt;=58,K4217&lt;=62),"2개월",
 AND(K4217&gt;=28,K4217&lt;=32),"1개월",
 AND(K4217=0),"당월",
 TRUE,"그외"
)</f>
        <v>그외</v>
      </c>
    </row>
    <row r="4218" spans="1:12" x14ac:dyDescent="0.3">
      <c r="A4218" s="5">
        <v>45658</v>
      </c>
      <c r="B4218" s="6" t="s">
        <v>20</v>
      </c>
      <c r="C4218" s="6" t="s">
        <v>23</v>
      </c>
      <c r="D4218" s="5">
        <v>45566</v>
      </c>
      <c r="E4218" s="6" t="s">
        <v>15</v>
      </c>
      <c r="F4218" s="7">
        <v>654</v>
      </c>
      <c r="G4218" s="7">
        <v>165010.03363914369</v>
      </c>
      <c r="H4218" s="7">
        <v>107916562</v>
      </c>
      <c r="I4218" s="7">
        <v>7616900</v>
      </c>
      <c r="J4218" s="7">
        <v>0</v>
      </c>
      <c r="K4218">
        <f t="shared" si="65"/>
        <v>92</v>
      </c>
      <c r="L4218" s="8" t="str" cm="1">
        <f t="array" ref="L4218">_xlfn.IFS(
 AND(K4218&gt;=89,K4218&lt;=92),"3개월",
 AND(K4218&gt;=58,K4218&lt;=62),"2개월",
 AND(K4218&gt;=28,K4218&lt;=32),"1개월",
 AND(K4218=0),"당월",
 TRUE,"그외"
)</f>
        <v>3개월</v>
      </c>
    </row>
    <row r="4219" spans="1:12" x14ac:dyDescent="0.3">
      <c r="A4219" s="5">
        <v>45658</v>
      </c>
      <c r="B4219" s="6" t="s">
        <v>20</v>
      </c>
      <c r="C4219" s="6" t="s">
        <v>23</v>
      </c>
      <c r="D4219" s="5">
        <v>45597</v>
      </c>
      <c r="E4219" s="6" t="s">
        <v>14</v>
      </c>
      <c r="F4219" s="7">
        <v>400</v>
      </c>
      <c r="G4219" s="7">
        <v>97275</v>
      </c>
      <c r="H4219" s="7">
        <v>38910000</v>
      </c>
      <c r="I4219" s="7">
        <v>3720000</v>
      </c>
      <c r="J4219" s="7">
        <v>0</v>
      </c>
      <c r="K4219">
        <f t="shared" si="65"/>
        <v>61</v>
      </c>
      <c r="L4219" s="8" t="str" cm="1">
        <f t="array" ref="L4219">_xlfn.IFS(
 AND(K4219&gt;=89,K4219&lt;=92),"3개월",
 AND(K4219&gt;=58,K4219&lt;=62),"2개월",
 AND(K4219&gt;=28,K4219&lt;=32),"1개월",
 AND(K4219=0),"당월",
 TRUE,"그외"
)</f>
        <v>2개월</v>
      </c>
    </row>
    <row r="4220" spans="1:12" x14ac:dyDescent="0.3">
      <c r="A4220" s="5">
        <v>45658</v>
      </c>
      <c r="B4220" s="6" t="s">
        <v>20</v>
      </c>
      <c r="C4220" s="6" t="s">
        <v>23</v>
      </c>
      <c r="D4220" s="5">
        <v>45597</v>
      </c>
      <c r="E4220" s="6" t="s">
        <v>15</v>
      </c>
      <c r="F4220" s="7">
        <v>2295</v>
      </c>
      <c r="G4220" s="7">
        <v>143274.48148148149</v>
      </c>
      <c r="H4220" s="7">
        <v>328814935</v>
      </c>
      <c r="I4220" s="7">
        <v>26451437</v>
      </c>
      <c r="J4220" s="7">
        <v>0</v>
      </c>
      <c r="K4220">
        <f t="shared" si="65"/>
        <v>61</v>
      </c>
      <c r="L4220" s="8" t="str" cm="1">
        <f t="array" ref="L4220">_xlfn.IFS(
 AND(K4220&gt;=89,K4220&lt;=92),"3개월",
 AND(K4220&gt;=58,K4220&lt;=62),"2개월",
 AND(K4220&gt;=28,K4220&lt;=32),"1개월",
 AND(K4220=0),"당월",
 TRUE,"그외"
)</f>
        <v>2개월</v>
      </c>
    </row>
    <row r="4221" spans="1:12" x14ac:dyDescent="0.3">
      <c r="A4221" s="5">
        <v>45658</v>
      </c>
      <c r="B4221" s="6" t="s">
        <v>20</v>
      </c>
      <c r="C4221" s="6" t="s">
        <v>23</v>
      </c>
      <c r="D4221" s="5">
        <v>45627</v>
      </c>
      <c r="E4221" s="6" t="s">
        <v>14</v>
      </c>
      <c r="F4221" s="7">
        <v>390</v>
      </c>
      <c r="G4221" s="7">
        <v>122228.2051282051</v>
      </c>
      <c r="H4221" s="7">
        <v>47669000</v>
      </c>
      <c r="I4221" s="7">
        <v>4329000</v>
      </c>
      <c r="J4221" s="7">
        <v>0</v>
      </c>
      <c r="K4221">
        <f t="shared" si="65"/>
        <v>31</v>
      </c>
      <c r="L4221" s="8" t="str" cm="1">
        <f t="array" ref="L4221">_xlfn.IFS(
 AND(K4221&gt;=89,K4221&lt;=92),"3개월",
 AND(K4221&gt;=58,K4221&lt;=62),"2개월",
 AND(K4221&gt;=28,K4221&lt;=32),"1개월",
 AND(K4221=0),"당월",
 TRUE,"그외"
)</f>
        <v>1개월</v>
      </c>
    </row>
    <row r="4222" spans="1:12" x14ac:dyDescent="0.3">
      <c r="A4222" s="5">
        <v>45658</v>
      </c>
      <c r="B4222" s="6" t="s">
        <v>20</v>
      </c>
      <c r="C4222" s="6" t="s">
        <v>23</v>
      </c>
      <c r="D4222" s="5">
        <v>45627</v>
      </c>
      <c r="E4222" s="6" t="s">
        <v>15</v>
      </c>
      <c r="F4222" s="7">
        <v>3308</v>
      </c>
      <c r="G4222" s="7">
        <v>146697.32224909309</v>
      </c>
      <c r="H4222" s="7">
        <v>485274742</v>
      </c>
      <c r="I4222" s="7">
        <v>41685344</v>
      </c>
      <c r="J4222" s="7">
        <v>0</v>
      </c>
      <c r="K4222">
        <f t="shared" si="65"/>
        <v>31</v>
      </c>
      <c r="L4222" s="8" t="str" cm="1">
        <f t="array" ref="L4222">_xlfn.IFS(
 AND(K4222&gt;=89,K4222&lt;=92),"3개월",
 AND(K4222&gt;=58,K4222&lt;=62),"2개월",
 AND(K4222&gt;=28,K4222&lt;=32),"1개월",
 AND(K4222=0),"당월",
 TRUE,"그외"
)</f>
        <v>1개월</v>
      </c>
    </row>
    <row r="4223" spans="1:12" x14ac:dyDescent="0.3">
      <c r="A4223" s="5">
        <v>45658</v>
      </c>
      <c r="B4223" s="6" t="s">
        <v>20</v>
      </c>
      <c r="C4223" s="6" t="s">
        <v>23</v>
      </c>
      <c r="D4223" s="5">
        <v>45658</v>
      </c>
      <c r="E4223" s="6" t="s">
        <v>14</v>
      </c>
      <c r="F4223" s="7">
        <v>605</v>
      </c>
      <c r="G4223" s="7">
        <v>144389.20330578511</v>
      </c>
      <c r="H4223" s="7">
        <v>87355468</v>
      </c>
      <c r="I4223" s="7">
        <v>6836500</v>
      </c>
      <c r="J4223" s="7">
        <v>0</v>
      </c>
      <c r="K4223">
        <f t="shared" si="65"/>
        <v>0</v>
      </c>
      <c r="L4223" s="8" t="str" cm="1">
        <f t="array" ref="L4223">_xlfn.IFS(
 AND(K4223&gt;=89,K4223&lt;=92),"3개월",
 AND(K4223&gt;=58,K4223&lt;=62),"2개월",
 AND(K4223&gt;=28,K4223&lt;=32),"1개월",
 AND(K4223=0),"당월",
 TRUE,"그외"
)</f>
        <v>당월</v>
      </c>
    </row>
    <row r="4224" spans="1:12" x14ac:dyDescent="0.3">
      <c r="A4224" s="5">
        <v>45658</v>
      </c>
      <c r="B4224" s="6" t="s">
        <v>20</v>
      </c>
      <c r="C4224" s="6" t="s">
        <v>23</v>
      </c>
      <c r="D4224" s="5">
        <v>45658</v>
      </c>
      <c r="E4224" s="6" t="s">
        <v>15</v>
      </c>
      <c r="F4224" s="7">
        <v>1329</v>
      </c>
      <c r="G4224" s="7">
        <v>152607.59518434911</v>
      </c>
      <c r="H4224" s="7">
        <v>202815494</v>
      </c>
      <c r="I4224" s="7">
        <v>17512619</v>
      </c>
      <c r="J4224" s="7">
        <v>0</v>
      </c>
      <c r="K4224">
        <f t="shared" si="65"/>
        <v>0</v>
      </c>
      <c r="L4224" s="8" t="str" cm="1">
        <f t="array" ref="L4224">_xlfn.IFS(
 AND(K4224&gt;=89,K4224&lt;=92),"3개월",
 AND(K4224&gt;=58,K4224&lt;=62),"2개월",
 AND(K4224&gt;=28,K4224&lt;=32),"1개월",
 AND(K4224=0),"당월",
 TRUE,"그외"
)</f>
        <v>당월</v>
      </c>
    </row>
    <row r="4225" spans="1:12" x14ac:dyDescent="0.3">
      <c r="A4225" s="5">
        <v>45658</v>
      </c>
      <c r="B4225" s="6" t="s">
        <v>20</v>
      </c>
      <c r="C4225" s="6" t="s">
        <v>24</v>
      </c>
      <c r="D4225" s="5">
        <v>45505</v>
      </c>
      <c r="E4225" s="6" t="s">
        <v>15</v>
      </c>
      <c r="F4225" s="7">
        <v>433</v>
      </c>
      <c r="G4225" s="7">
        <v>156388.6004618938</v>
      </c>
      <c r="H4225" s="7">
        <v>67716264</v>
      </c>
      <c r="I4225" s="7">
        <v>6856908</v>
      </c>
      <c r="J4225" s="7">
        <v>0</v>
      </c>
      <c r="K4225">
        <f t="shared" si="65"/>
        <v>153</v>
      </c>
      <c r="L4225" s="8" t="str" cm="1">
        <f t="array" ref="L4225">_xlfn.IFS(
 AND(K4225&gt;=89,K4225&lt;=92),"3개월",
 AND(K4225&gt;=58,K4225&lt;=62),"2개월",
 AND(K4225&gt;=28,K4225&lt;=32),"1개월",
 AND(K4225=0),"당월",
 TRUE,"그외"
)</f>
        <v>그외</v>
      </c>
    </row>
    <row r="4226" spans="1:12" x14ac:dyDescent="0.3">
      <c r="A4226" s="5">
        <v>45658</v>
      </c>
      <c r="B4226" s="6" t="s">
        <v>20</v>
      </c>
      <c r="C4226" s="6" t="s">
        <v>24</v>
      </c>
      <c r="D4226" s="5">
        <v>45536</v>
      </c>
      <c r="E4226" s="6" t="s">
        <v>15</v>
      </c>
      <c r="F4226" s="7">
        <v>619</v>
      </c>
      <c r="G4226" s="7">
        <v>158239.69628432961</v>
      </c>
      <c r="H4226" s="7">
        <v>97950372</v>
      </c>
      <c r="I4226" s="7">
        <v>8872037</v>
      </c>
      <c r="J4226" s="7">
        <v>0</v>
      </c>
      <c r="K4226">
        <f t="shared" si="65"/>
        <v>122</v>
      </c>
      <c r="L4226" s="8" t="str" cm="1">
        <f t="array" ref="L4226">_xlfn.IFS(
 AND(K4226&gt;=89,K4226&lt;=92),"3개월",
 AND(K4226&gt;=58,K4226&lt;=62),"2개월",
 AND(K4226&gt;=28,K4226&lt;=32),"1개월",
 AND(K4226=0),"당월",
 TRUE,"그외"
)</f>
        <v>그외</v>
      </c>
    </row>
    <row r="4227" spans="1:12" x14ac:dyDescent="0.3">
      <c r="A4227" s="5">
        <v>45658</v>
      </c>
      <c r="B4227" s="6" t="s">
        <v>20</v>
      </c>
      <c r="C4227" s="6" t="s">
        <v>24</v>
      </c>
      <c r="D4227" s="5">
        <v>45566</v>
      </c>
      <c r="E4227" s="6" t="s">
        <v>15</v>
      </c>
      <c r="F4227" s="7">
        <v>927</v>
      </c>
      <c r="G4227" s="7">
        <v>163402.00755124059</v>
      </c>
      <c r="H4227" s="7">
        <v>151473661</v>
      </c>
      <c r="I4227" s="7">
        <v>12046461</v>
      </c>
      <c r="J4227" s="7">
        <v>0</v>
      </c>
      <c r="K4227">
        <f t="shared" si="65"/>
        <v>92</v>
      </c>
      <c r="L4227" s="8" t="str" cm="1">
        <f t="array" ref="L4227">_xlfn.IFS(
 AND(K4227&gt;=89,K4227&lt;=92),"3개월",
 AND(K4227&gt;=58,K4227&lt;=62),"2개월",
 AND(K4227&gt;=28,K4227&lt;=32),"1개월",
 AND(K4227=0),"당월",
 TRUE,"그외"
)</f>
        <v>3개월</v>
      </c>
    </row>
    <row r="4228" spans="1:12" x14ac:dyDescent="0.3">
      <c r="A4228" s="5">
        <v>45658</v>
      </c>
      <c r="B4228" s="6" t="s">
        <v>20</v>
      </c>
      <c r="C4228" s="6" t="s">
        <v>24</v>
      </c>
      <c r="D4228" s="5">
        <v>45597</v>
      </c>
      <c r="E4228" s="6" t="s">
        <v>14</v>
      </c>
      <c r="F4228" s="7">
        <v>8</v>
      </c>
      <c r="G4228" s="7">
        <v>145300</v>
      </c>
      <c r="H4228" s="7">
        <v>1162400</v>
      </c>
      <c r="I4228" s="7">
        <v>74400</v>
      </c>
      <c r="J4228" s="7">
        <v>0</v>
      </c>
      <c r="K4228">
        <f t="shared" si="65"/>
        <v>61</v>
      </c>
      <c r="L4228" s="8" t="str" cm="1">
        <f t="array" ref="L4228">_xlfn.IFS(
 AND(K4228&gt;=89,K4228&lt;=92),"3개월",
 AND(K4228&gt;=58,K4228&lt;=62),"2개월",
 AND(K4228&gt;=28,K4228&lt;=32),"1개월",
 AND(K4228=0),"당월",
 TRUE,"그외"
)</f>
        <v>2개월</v>
      </c>
    </row>
    <row r="4229" spans="1:12" x14ac:dyDescent="0.3">
      <c r="A4229" s="5">
        <v>45658</v>
      </c>
      <c r="B4229" s="6" t="s">
        <v>20</v>
      </c>
      <c r="C4229" s="6" t="s">
        <v>24</v>
      </c>
      <c r="D4229" s="5">
        <v>45597</v>
      </c>
      <c r="E4229" s="6" t="s">
        <v>15</v>
      </c>
      <c r="F4229" s="7">
        <v>2357</v>
      </c>
      <c r="G4229" s="7">
        <v>170437.1154009334</v>
      </c>
      <c r="H4229" s="7">
        <v>401720281</v>
      </c>
      <c r="I4229" s="7">
        <v>29003225</v>
      </c>
      <c r="J4229" s="7">
        <v>0</v>
      </c>
      <c r="K4229">
        <f t="shared" si="65"/>
        <v>61</v>
      </c>
      <c r="L4229" s="8" t="str" cm="1">
        <f t="array" ref="L4229">_xlfn.IFS(
 AND(K4229&gt;=89,K4229&lt;=92),"3개월",
 AND(K4229&gt;=58,K4229&lt;=62),"2개월",
 AND(K4229&gt;=28,K4229&lt;=32),"1개월",
 AND(K4229=0),"당월",
 TRUE,"그외"
)</f>
        <v>2개월</v>
      </c>
    </row>
    <row r="4230" spans="1:12" x14ac:dyDescent="0.3">
      <c r="A4230" s="5">
        <v>45658</v>
      </c>
      <c r="B4230" s="6" t="s">
        <v>20</v>
      </c>
      <c r="C4230" s="6" t="s">
        <v>24</v>
      </c>
      <c r="D4230" s="5">
        <v>45627</v>
      </c>
      <c r="E4230" s="6" t="s">
        <v>14</v>
      </c>
      <c r="F4230" s="7">
        <v>1174</v>
      </c>
      <c r="G4230" s="7">
        <v>167757.92163543441</v>
      </c>
      <c r="H4230" s="7">
        <v>196947800</v>
      </c>
      <c r="I4230" s="7">
        <v>13027800</v>
      </c>
      <c r="J4230" s="7">
        <v>0</v>
      </c>
      <c r="K4230">
        <f t="shared" si="65"/>
        <v>31</v>
      </c>
      <c r="L4230" s="8" t="str" cm="1">
        <f t="array" ref="L4230">_xlfn.IFS(
 AND(K4230&gt;=89,K4230&lt;=92),"3개월",
 AND(K4230&gt;=58,K4230&lt;=62),"2개월",
 AND(K4230&gt;=28,K4230&lt;=32),"1개월",
 AND(K4230=0),"당월",
 TRUE,"그외"
)</f>
        <v>1개월</v>
      </c>
    </row>
    <row r="4231" spans="1:12" x14ac:dyDescent="0.3">
      <c r="A4231" s="5">
        <v>45658</v>
      </c>
      <c r="B4231" s="6" t="s">
        <v>20</v>
      </c>
      <c r="C4231" s="6" t="s">
        <v>24</v>
      </c>
      <c r="D4231" s="5">
        <v>45627</v>
      </c>
      <c r="E4231" s="6" t="s">
        <v>15</v>
      </c>
      <c r="F4231" s="7">
        <v>3644</v>
      </c>
      <c r="G4231" s="7">
        <v>168499.65587266741</v>
      </c>
      <c r="H4231" s="7">
        <v>614012746</v>
      </c>
      <c r="I4231" s="7">
        <v>47136406</v>
      </c>
      <c r="J4231" s="7">
        <v>0</v>
      </c>
      <c r="K4231">
        <f t="shared" si="65"/>
        <v>31</v>
      </c>
      <c r="L4231" s="8" t="str" cm="1">
        <f t="array" ref="L4231">_xlfn.IFS(
 AND(K4231&gt;=89,K4231&lt;=92),"3개월",
 AND(K4231&gt;=58,K4231&lt;=62),"2개월",
 AND(K4231&gt;=28,K4231&lt;=32),"1개월",
 AND(K4231=0),"당월",
 TRUE,"그외"
)</f>
        <v>1개월</v>
      </c>
    </row>
    <row r="4232" spans="1:12" x14ac:dyDescent="0.3">
      <c r="A4232" s="5">
        <v>45658</v>
      </c>
      <c r="B4232" s="6" t="s">
        <v>20</v>
      </c>
      <c r="C4232" s="6" t="s">
        <v>24</v>
      </c>
      <c r="D4232" s="5">
        <v>45658</v>
      </c>
      <c r="E4232" s="6" t="s">
        <v>14</v>
      </c>
      <c r="F4232" s="7">
        <v>1024</v>
      </c>
      <c r="G4232" s="7">
        <v>156814.6484375</v>
      </c>
      <c r="H4232" s="7">
        <v>160578200</v>
      </c>
      <c r="I4232" s="7">
        <v>11570200</v>
      </c>
      <c r="J4232" s="7">
        <v>0</v>
      </c>
      <c r="K4232">
        <f t="shared" si="65"/>
        <v>0</v>
      </c>
      <c r="L4232" s="8" t="str" cm="1">
        <f t="array" ref="L4232">_xlfn.IFS(
 AND(K4232&gt;=89,K4232&lt;=92),"3개월",
 AND(K4232&gt;=58,K4232&lt;=62),"2개월",
 AND(K4232&gt;=28,K4232&lt;=32),"1개월",
 AND(K4232=0),"당월",
 TRUE,"그외"
)</f>
        <v>당월</v>
      </c>
    </row>
    <row r="4233" spans="1:12" x14ac:dyDescent="0.3">
      <c r="A4233" s="5">
        <v>45658</v>
      </c>
      <c r="B4233" s="6" t="s">
        <v>20</v>
      </c>
      <c r="C4233" s="6" t="s">
        <v>24</v>
      </c>
      <c r="D4233" s="5">
        <v>45658</v>
      </c>
      <c r="E4233" s="6" t="s">
        <v>15</v>
      </c>
      <c r="F4233" s="7">
        <v>1229</v>
      </c>
      <c r="G4233" s="7">
        <v>179843.99593165179</v>
      </c>
      <c r="H4233" s="7">
        <v>221028271</v>
      </c>
      <c r="I4233" s="7">
        <v>17342119</v>
      </c>
      <c r="J4233" s="7">
        <v>0</v>
      </c>
      <c r="K4233">
        <f t="shared" si="65"/>
        <v>0</v>
      </c>
      <c r="L4233" s="8" t="str" cm="1">
        <f t="array" ref="L4233">_xlfn.IFS(
 AND(K4233&gt;=89,K4233&lt;=92),"3개월",
 AND(K4233&gt;=58,K4233&lt;=62),"2개월",
 AND(K4233&gt;=28,K4233&lt;=32),"1개월",
 AND(K4233=0),"당월",
 TRUE,"그외"
)</f>
        <v>당월</v>
      </c>
    </row>
    <row r="4234" spans="1:12" x14ac:dyDescent="0.3">
      <c r="A4234" s="5">
        <v>45658</v>
      </c>
      <c r="B4234" s="6" t="s">
        <v>20</v>
      </c>
      <c r="C4234" s="6" t="s">
        <v>27</v>
      </c>
      <c r="D4234" s="5">
        <v>45474</v>
      </c>
      <c r="E4234" s="6" t="s">
        <v>15</v>
      </c>
      <c r="F4234" s="7">
        <v>40</v>
      </c>
      <c r="G4234" s="7">
        <v>202670.35</v>
      </c>
      <c r="H4234" s="7">
        <v>8106814</v>
      </c>
      <c r="I4234" s="7">
        <v>858093</v>
      </c>
      <c r="J4234" s="7">
        <v>0</v>
      </c>
      <c r="K4234">
        <f t="shared" ref="K4234:K4297" si="66">A4234-D4234</f>
        <v>184</v>
      </c>
      <c r="L4234" s="8" t="str" cm="1">
        <f t="array" ref="L4234">_xlfn.IFS(
 AND(K4234&gt;=89,K4234&lt;=92),"3개월",
 AND(K4234&gt;=58,K4234&lt;=62),"2개월",
 AND(K4234&gt;=28,K4234&lt;=32),"1개월",
 AND(K4234=0),"당월",
 TRUE,"그외"
)</f>
        <v>그외</v>
      </c>
    </row>
    <row r="4235" spans="1:12" x14ac:dyDescent="0.3">
      <c r="A4235" s="5">
        <v>45658</v>
      </c>
      <c r="B4235" s="6" t="s">
        <v>20</v>
      </c>
      <c r="C4235" s="6" t="s">
        <v>27</v>
      </c>
      <c r="D4235" s="5">
        <v>45505</v>
      </c>
      <c r="E4235" s="6" t="s">
        <v>15</v>
      </c>
      <c r="F4235" s="7">
        <v>530</v>
      </c>
      <c r="G4235" s="7">
        <v>162002.46935849061</v>
      </c>
      <c r="H4235" s="7">
        <v>85861308.76000002</v>
      </c>
      <c r="I4235" s="7">
        <v>10524995.76</v>
      </c>
      <c r="J4235" s="7">
        <v>0</v>
      </c>
      <c r="K4235">
        <f t="shared" si="66"/>
        <v>153</v>
      </c>
      <c r="L4235" s="8" t="str" cm="1">
        <f t="array" ref="L4235">_xlfn.IFS(
 AND(K4235&gt;=89,K4235&lt;=92),"3개월",
 AND(K4235&gt;=58,K4235&lt;=62),"2개월",
 AND(K4235&gt;=28,K4235&lt;=32),"1개월",
 AND(K4235=0),"당월",
 TRUE,"그외"
)</f>
        <v>그외</v>
      </c>
    </row>
    <row r="4236" spans="1:12" x14ac:dyDescent="0.3">
      <c r="A4236" s="5">
        <v>45658</v>
      </c>
      <c r="B4236" s="6" t="s">
        <v>20</v>
      </c>
      <c r="C4236" s="6" t="s">
        <v>27</v>
      </c>
      <c r="D4236" s="5">
        <v>45536</v>
      </c>
      <c r="E4236" s="6" t="s">
        <v>15</v>
      </c>
      <c r="F4236" s="7">
        <v>502</v>
      </c>
      <c r="G4236" s="7">
        <v>141195.17593625499</v>
      </c>
      <c r="H4236" s="7">
        <v>70879978.319999993</v>
      </c>
      <c r="I4236" s="7">
        <v>11378068.32</v>
      </c>
      <c r="J4236" s="7">
        <v>0</v>
      </c>
      <c r="K4236">
        <f t="shared" si="66"/>
        <v>122</v>
      </c>
      <c r="L4236" s="8" t="str" cm="1">
        <f t="array" ref="L4236">_xlfn.IFS(
 AND(K4236&gt;=89,K4236&lt;=92),"3개월",
 AND(K4236&gt;=58,K4236&lt;=62),"2개월",
 AND(K4236&gt;=28,K4236&lt;=32),"1개월",
 AND(K4236=0),"당월",
 TRUE,"그외"
)</f>
        <v>그외</v>
      </c>
    </row>
    <row r="4237" spans="1:12" x14ac:dyDescent="0.3">
      <c r="A4237" s="5">
        <v>45658</v>
      </c>
      <c r="B4237" s="6" t="s">
        <v>20</v>
      </c>
      <c r="C4237" s="6" t="s">
        <v>27</v>
      </c>
      <c r="D4237" s="5">
        <v>45566</v>
      </c>
      <c r="E4237" s="6" t="s">
        <v>14</v>
      </c>
      <c r="F4237" s="7">
        <v>10</v>
      </c>
      <c r="G4237" s="7">
        <v>171400</v>
      </c>
      <c r="H4237" s="7">
        <v>1714000</v>
      </c>
      <c r="I4237" s="7">
        <v>94000</v>
      </c>
      <c r="J4237" s="7">
        <v>0</v>
      </c>
      <c r="K4237">
        <f t="shared" si="66"/>
        <v>92</v>
      </c>
      <c r="L4237" s="8" t="str" cm="1">
        <f t="array" ref="L4237">_xlfn.IFS(
 AND(K4237&gt;=89,K4237&lt;=92),"3개월",
 AND(K4237&gt;=58,K4237&lt;=62),"2개월",
 AND(K4237&gt;=28,K4237&lt;=32),"1개월",
 AND(K4237=0),"당월",
 TRUE,"그외"
)</f>
        <v>3개월</v>
      </c>
    </row>
    <row r="4238" spans="1:12" x14ac:dyDescent="0.3">
      <c r="A4238" s="5">
        <v>45658</v>
      </c>
      <c r="B4238" s="6" t="s">
        <v>20</v>
      </c>
      <c r="C4238" s="6" t="s">
        <v>27</v>
      </c>
      <c r="D4238" s="5">
        <v>45566</v>
      </c>
      <c r="E4238" s="6" t="s">
        <v>15</v>
      </c>
      <c r="F4238" s="7">
        <v>1477</v>
      </c>
      <c r="G4238" s="7">
        <v>158594.17535545031</v>
      </c>
      <c r="H4238" s="7">
        <v>234243597</v>
      </c>
      <c r="I4238" s="7">
        <v>22764875</v>
      </c>
      <c r="J4238" s="7">
        <v>0</v>
      </c>
      <c r="K4238">
        <f t="shared" si="66"/>
        <v>92</v>
      </c>
      <c r="L4238" s="8" t="str" cm="1">
        <f t="array" ref="L4238">_xlfn.IFS(
 AND(K4238&gt;=89,K4238&lt;=92),"3개월",
 AND(K4238&gt;=58,K4238&lt;=62),"2개월",
 AND(K4238&gt;=28,K4238&lt;=32),"1개월",
 AND(K4238=0),"당월",
 TRUE,"그외"
)</f>
        <v>3개월</v>
      </c>
    </row>
    <row r="4239" spans="1:12" x14ac:dyDescent="0.3">
      <c r="A4239" s="5">
        <v>45658</v>
      </c>
      <c r="B4239" s="6" t="s">
        <v>20</v>
      </c>
      <c r="C4239" s="6" t="s">
        <v>27</v>
      </c>
      <c r="D4239" s="5">
        <v>45597</v>
      </c>
      <c r="E4239" s="6" t="s">
        <v>14</v>
      </c>
      <c r="F4239" s="7">
        <v>338</v>
      </c>
      <c r="G4239" s="7">
        <v>131104.73372781061</v>
      </c>
      <c r="H4239" s="7">
        <v>44313400</v>
      </c>
      <c r="I4239" s="7">
        <v>3143400</v>
      </c>
      <c r="J4239" s="7">
        <v>0</v>
      </c>
      <c r="K4239">
        <f t="shared" si="66"/>
        <v>61</v>
      </c>
      <c r="L4239" s="8" t="str" cm="1">
        <f t="array" ref="L4239">_xlfn.IFS(
 AND(K4239&gt;=89,K4239&lt;=92),"3개월",
 AND(K4239&gt;=58,K4239&lt;=62),"2개월",
 AND(K4239&gt;=28,K4239&lt;=32),"1개월",
 AND(K4239=0),"당월",
 TRUE,"그외"
)</f>
        <v>2개월</v>
      </c>
    </row>
    <row r="4240" spans="1:12" x14ac:dyDescent="0.3">
      <c r="A4240" s="5">
        <v>45658</v>
      </c>
      <c r="B4240" s="6" t="s">
        <v>20</v>
      </c>
      <c r="C4240" s="6" t="s">
        <v>27</v>
      </c>
      <c r="D4240" s="5">
        <v>45597</v>
      </c>
      <c r="E4240" s="6" t="s">
        <v>15</v>
      </c>
      <c r="F4240" s="7">
        <v>7912</v>
      </c>
      <c r="G4240" s="7">
        <v>155074.40154196159</v>
      </c>
      <c r="H4240" s="7">
        <v>1226948665</v>
      </c>
      <c r="I4240" s="7">
        <v>111226850</v>
      </c>
      <c r="J4240" s="7">
        <v>0</v>
      </c>
      <c r="K4240">
        <f t="shared" si="66"/>
        <v>61</v>
      </c>
      <c r="L4240" s="8" t="str" cm="1">
        <f t="array" ref="L4240">_xlfn.IFS(
 AND(K4240&gt;=89,K4240&lt;=92),"3개월",
 AND(K4240&gt;=58,K4240&lt;=62),"2개월",
 AND(K4240&gt;=28,K4240&lt;=32),"1개월",
 AND(K4240=0),"당월",
 TRUE,"그외"
)</f>
        <v>2개월</v>
      </c>
    </row>
    <row r="4241" spans="1:12" x14ac:dyDescent="0.3">
      <c r="A4241" s="5">
        <v>45658</v>
      </c>
      <c r="B4241" s="6" t="s">
        <v>20</v>
      </c>
      <c r="C4241" s="6" t="s">
        <v>27</v>
      </c>
      <c r="D4241" s="5">
        <v>45627</v>
      </c>
      <c r="E4241" s="6" t="s">
        <v>14</v>
      </c>
      <c r="F4241" s="7">
        <v>2790</v>
      </c>
      <c r="G4241" s="7">
        <v>148926.2365591398</v>
      </c>
      <c r="H4241" s="7">
        <v>415504200</v>
      </c>
      <c r="I4241" s="7">
        <v>32114568</v>
      </c>
      <c r="J4241" s="7">
        <v>0</v>
      </c>
      <c r="K4241">
        <f t="shared" si="66"/>
        <v>31</v>
      </c>
      <c r="L4241" s="8" t="str" cm="1">
        <f t="array" ref="L4241">_xlfn.IFS(
 AND(K4241&gt;=89,K4241&lt;=92),"3개월",
 AND(K4241&gt;=58,K4241&lt;=62),"2개월",
 AND(K4241&gt;=28,K4241&lt;=32),"1개월",
 AND(K4241=0),"당월",
 TRUE,"그외"
)</f>
        <v>1개월</v>
      </c>
    </row>
    <row r="4242" spans="1:12" x14ac:dyDescent="0.3">
      <c r="A4242" s="5">
        <v>45658</v>
      </c>
      <c r="B4242" s="6" t="s">
        <v>20</v>
      </c>
      <c r="C4242" s="6" t="s">
        <v>27</v>
      </c>
      <c r="D4242" s="5">
        <v>45627</v>
      </c>
      <c r="E4242" s="6" t="s">
        <v>15</v>
      </c>
      <c r="F4242" s="7">
        <v>12209</v>
      </c>
      <c r="G4242" s="7">
        <v>149529.3842247522</v>
      </c>
      <c r="H4242" s="7">
        <v>1825604252</v>
      </c>
      <c r="I4242" s="7">
        <v>186558392</v>
      </c>
      <c r="J4242" s="7">
        <v>0</v>
      </c>
      <c r="K4242">
        <f t="shared" si="66"/>
        <v>31</v>
      </c>
      <c r="L4242" s="8" t="str" cm="1">
        <f t="array" ref="L4242">_xlfn.IFS(
 AND(K4242&gt;=89,K4242&lt;=92),"3개월",
 AND(K4242&gt;=58,K4242&lt;=62),"2개월",
 AND(K4242&gt;=28,K4242&lt;=32),"1개월",
 AND(K4242=0),"당월",
 TRUE,"그외"
)</f>
        <v>1개월</v>
      </c>
    </row>
    <row r="4243" spans="1:12" x14ac:dyDescent="0.3">
      <c r="A4243" s="5">
        <v>45658</v>
      </c>
      <c r="B4243" s="6" t="s">
        <v>20</v>
      </c>
      <c r="C4243" s="6" t="s">
        <v>27</v>
      </c>
      <c r="D4243" s="5">
        <v>45658</v>
      </c>
      <c r="E4243" s="6" t="s">
        <v>14</v>
      </c>
      <c r="F4243" s="7">
        <v>1694</v>
      </c>
      <c r="G4243" s="7">
        <v>163744.2739079103</v>
      </c>
      <c r="H4243" s="7">
        <v>277382800</v>
      </c>
      <c r="I4243" s="7">
        <v>19132800</v>
      </c>
      <c r="J4243" s="7">
        <v>0</v>
      </c>
      <c r="K4243">
        <f t="shared" si="66"/>
        <v>0</v>
      </c>
      <c r="L4243" s="8" t="str" cm="1">
        <f t="array" ref="L4243">_xlfn.IFS(
 AND(K4243&gt;=89,K4243&lt;=92),"3개월",
 AND(K4243&gt;=58,K4243&lt;=62),"2개월",
 AND(K4243&gt;=28,K4243&lt;=32),"1개월",
 AND(K4243=0),"당월",
 TRUE,"그외"
)</f>
        <v>당월</v>
      </c>
    </row>
    <row r="4244" spans="1:12" x14ac:dyDescent="0.3">
      <c r="A4244" s="5">
        <v>45658</v>
      </c>
      <c r="B4244" s="6" t="s">
        <v>20</v>
      </c>
      <c r="C4244" s="6" t="s">
        <v>27</v>
      </c>
      <c r="D4244" s="5">
        <v>45658</v>
      </c>
      <c r="E4244" s="6" t="s">
        <v>15</v>
      </c>
      <c r="F4244" s="7">
        <v>7858</v>
      </c>
      <c r="G4244" s="7">
        <v>169693.31852888779</v>
      </c>
      <c r="H4244" s="7">
        <v>1333450097</v>
      </c>
      <c r="I4244" s="7">
        <v>127261918</v>
      </c>
      <c r="J4244" s="7">
        <v>0</v>
      </c>
      <c r="K4244">
        <f t="shared" si="66"/>
        <v>0</v>
      </c>
      <c r="L4244" s="8" t="str" cm="1">
        <f t="array" ref="L4244">_xlfn.IFS(
 AND(K4244&gt;=89,K4244&lt;=92),"3개월",
 AND(K4244&gt;=58,K4244&lt;=62),"2개월",
 AND(K4244&gt;=28,K4244&lt;=32),"1개월",
 AND(K4244=0),"당월",
 TRUE,"그외"
)</f>
        <v>당월</v>
      </c>
    </row>
    <row r="4245" spans="1:12" x14ac:dyDescent="0.3">
      <c r="A4245" s="5">
        <v>45658</v>
      </c>
      <c r="B4245" s="6" t="s">
        <v>20</v>
      </c>
      <c r="C4245" s="6" t="s">
        <v>28</v>
      </c>
      <c r="D4245" s="5">
        <v>45505</v>
      </c>
      <c r="E4245" s="6" t="s">
        <v>15</v>
      </c>
      <c r="F4245" s="7">
        <v>254</v>
      </c>
      <c r="G4245" s="7">
        <v>129522.85039370081</v>
      </c>
      <c r="H4245" s="7">
        <v>32898804</v>
      </c>
      <c r="I4245" s="7">
        <v>3786296</v>
      </c>
      <c r="J4245" s="7">
        <v>0</v>
      </c>
      <c r="K4245">
        <f t="shared" si="66"/>
        <v>153</v>
      </c>
      <c r="L4245" s="8" t="str" cm="1">
        <f t="array" ref="L4245">_xlfn.IFS(
 AND(K4245&gt;=89,K4245&lt;=92),"3개월",
 AND(K4245&gt;=58,K4245&lt;=62),"2개월",
 AND(K4245&gt;=28,K4245&lt;=32),"1개월",
 AND(K4245=0),"당월",
 TRUE,"그외"
)</f>
        <v>그외</v>
      </c>
    </row>
    <row r="4246" spans="1:12" x14ac:dyDescent="0.3">
      <c r="A4246" s="5">
        <v>45658</v>
      </c>
      <c r="B4246" s="6" t="s">
        <v>20</v>
      </c>
      <c r="C4246" s="6" t="s">
        <v>28</v>
      </c>
      <c r="D4246" s="5">
        <v>45536</v>
      </c>
      <c r="E4246" s="6" t="s">
        <v>15</v>
      </c>
      <c r="F4246" s="7">
        <v>262</v>
      </c>
      <c r="G4246" s="7">
        <v>152077.80152671761</v>
      </c>
      <c r="H4246" s="7">
        <v>39844384</v>
      </c>
      <c r="I4246" s="7">
        <v>3829574</v>
      </c>
      <c r="J4246" s="7">
        <v>0</v>
      </c>
      <c r="K4246">
        <f t="shared" si="66"/>
        <v>122</v>
      </c>
      <c r="L4246" s="8" t="str" cm="1">
        <f t="array" ref="L4246">_xlfn.IFS(
 AND(K4246&gt;=89,K4246&lt;=92),"3개월",
 AND(K4246&gt;=58,K4246&lt;=62),"2개월",
 AND(K4246&gt;=28,K4246&lt;=32),"1개월",
 AND(K4246=0),"당월",
 TRUE,"그외"
)</f>
        <v>그외</v>
      </c>
    </row>
    <row r="4247" spans="1:12" x14ac:dyDescent="0.3">
      <c r="A4247" s="5">
        <v>45658</v>
      </c>
      <c r="B4247" s="6" t="s">
        <v>20</v>
      </c>
      <c r="C4247" s="6" t="s">
        <v>28</v>
      </c>
      <c r="D4247" s="5">
        <v>45566</v>
      </c>
      <c r="E4247" s="6" t="s">
        <v>15</v>
      </c>
      <c r="F4247" s="7">
        <v>798</v>
      </c>
      <c r="G4247" s="7">
        <v>174843.66666666669</v>
      </c>
      <c r="H4247" s="7">
        <v>139525246</v>
      </c>
      <c r="I4247" s="7">
        <v>10248069</v>
      </c>
      <c r="J4247" s="7">
        <v>0</v>
      </c>
      <c r="K4247">
        <f t="shared" si="66"/>
        <v>92</v>
      </c>
      <c r="L4247" s="8" t="str" cm="1">
        <f t="array" ref="L4247">_xlfn.IFS(
 AND(K4247&gt;=89,K4247&lt;=92),"3개월",
 AND(K4247&gt;=58,K4247&lt;=62),"2개월",
 AND(K4247&gt;=28,K4247&lt;=32),"1개월",
 AND(K4247=0),"당월",
 TRUE,"그외"
)</f>
        <v>3개월</v>
      </c>
    </row>
    <row r="4248" spans="1:12" x14ac:dyDescent="0.3">
      <c r="A4248" s="5">
        <v>45658</v>
      </c>
      <c r="B4248" s="6" t="s">
        <v>20</v>
      </c>
      <c r="C4248" s="6" t="s">
        <v>28</v>
      </c>
      <c r="D4248" s="5">
        <v>45597</v>
      </c>
      <c r="E4248" s="6" t="s">
        <v>14</v>
      </c>
      <c r="F4248" s="7">
        <v>124</v>
      </c>
      <c r="G4248" s="7">
        <v>133977.4193548387</v>
      </c>
      <c r="H4248" s="7">
        <v>16613200</v>
      </c>
      <c r="I4248" s="7">
        <v>1153200</v>
      </c>
      <c r="J4248" s="7">
        <v>0</v>
      </c>
      <c r="K4248">
        <f t="shared" si="66"/>
        <v>61</v>
      </c>
      <c r="L4248" s="8" t="str" cm="1">
        <f t="array" ref="L4248">_xlfn.IFS(
 AND(K4248&gt;=89,K4248&lt;=92),"3개월",
 AND(K4248&gt;=58,K4248&lt;=62),"2개월",
 AND(K4248&gt;=28,K4248&lt;=32),"1개월",
 AND(K4248=0),"당월",
 TRUE,"그외"
)</f>
        <v>2개월</v>
      </c>
    </row>
    <row r="4249" spans="1:12" x14ac:dyDescent="0.3">
      <c r="A4249" s="5">
        <v>45658</v>
      </c>
      <c r="B4249" s="6" t="s">
        <v>20</v>
      </c>
      <c r="C4249" s="6" t="s">
        <v>28</v>
      </c>
      <c r="D4249" s="5">
        <v>45597</v>
      </c>
      <c r="E4249" s="6" t="s">
        <v>15</v>
      </c>
      <c r="F4249" s="7">
        <v>2719</v>
      </c>
      <c r="G4249" s="7">
        <v>164864.0091945568</v>
      </c>
      <c r="H4249" s="7">
        <v>448265241</v>
      </c>
      <c r="I4249" s="7">
        <v>31159047</v>
      </c>
      <c r="J4249" s="7">
        <v>0</v>
      </c>
      <c r="K4249">
        <f t="shared" si="66"/>
        <v>61</v>
      </c>
      <c r="L4249" s="8" t="str" cm="1">
        <f t="array" ref="L4249">_xlfn.IFS(
 AND(K4249&gt;=89,K4249&lt;=92),"3개월",
 AND(K4249&gt;=58,K4249&lt;=62),"2개월",
 AND(K4249&gt;=28,K4249&lt;=32),"1개월",
 AND(K4249=0),"당월",
 TRUE,"그외"
)</f>
        <v>2개월</v>
      </c>
    </row>
    <row r="4250" spans="1:12" x14ac:dyDescent="0.3">
      <c r="A4250" s="5">
        <v>45658</v>
      </c>
      <c r="B4250" s="6" t="s">
        <v>20</v>
      </c>
      <c r="C4250" s="6" t="s">
        <v>28</v>
      </c>
      <c r="D4250" s="5">
        <v>45627</v>
      </c>
      <c r="E4250" s="6" t="s">
        <v>14</v>
      </c>
      <c r="F4250" s="7">
        <v>1030</v>
      </c>
      <c r="G4250" s="7">
        <v>139595.14563106789</v>
      </c>
      <c r="H4250" s="7">
        <v>143783000</v>
      </c>
      <c r="I4250" s="7">
        <v>11433000</v>
      </c>
      <c r="J4250" s="7">
        <v>0</v>
      </c>
      <c r="K4250">
        <f t="shared" si="66"/>
        <v>31</v>
      </c>
      <c r="L4250" s="8" t="str" cm="1">
        <f t="array" ref="L4250">_xlfn.IFS(
 AND(K4250&gt;=89,K4250&lt;=92),"3개월",
 AND(K4250&gt;=58,K4250&lt;=62),"2개월",
 AND(K4250&gt;=28,K4250&lt;=32),"1개월",
 AND(K4250=0),"당월",
 TRUE,"그외"
)</f>
        <v>1개월</v>
      </c>
    </row>
    <row r="4251" spans="1:12" x14ac:dyDescent="0.3">
      <c r="A4251" s="5">
        <v>45658</v>
      </c>
      <c r="B4251" s="6" t="s">
        <v>20</v>
      </c>
      <c r="C4251" s="6" t="s">
        <v>28</v>
      </c>
      <c r="D4251" s="5">
        <v>45627</v>
      </c>
      <c r="E4251" s="6" t="s">
        <v>15</v>
      </c>
      <c r="F4251" s="7">
        <v>3145</v>
      </c>
      <c r="G4251" s="7">
        <v>186048.50365659781</v>
      </c>
      <c r="H4251" s="7">
        <v>585122544</v>
      </c>
      <c r="I4251" s="7">
        <v>40796192</v>
      </c>
      <c r="J4251" s="7">
        <v>0</v>
      </c>
      <c r="K4251">
        <f t="shared" si="66"/>
        <v>31</v>
      </c>
      <c r="L4251" s="8" t="str" cm="1">
        <f t="array" ref="L4251">_xlfn.IFS(
 AND(K4251&gt;=89,K4251&lt;=92),"3개월",
 AND(K4251&gt;=58,K4251&lt;=62),"2개월",
 AND(K4251&gt;=28,K4251&lt;=32),"1개월",
 AND(K4251=0),"당월",
 TRUE,"그외"
)</f>
        <v>1개월</v>
      </c>
    </row>
    <row r="4252" spans="1:12" x14ac:dyDescent="0.3">
      <c r="A4252" s="5">
        <v>45658</v>
      </c>
      <c r="B4252" s="6" t="s">
        <v>20</v>
      </c>
      <c r="C4252" s="6" t="s">
        <v>28</v>
      </c>
      <c r="D4252" s="5">
        <v>45658</v>
      </c>
      <c r="E4252" s="6" t="s">
        <v>14</v>
      </c>
      <c r="F4252" s="7">
        <v>485</v>
      </c>
      <c r="G4252" s="7">
        <v>155004.39587628859</v>
      </c>
      <c r="H4252" s="7">
        <v>75177132</v>
      </c>
      <c r="I4252" s="7">
        <v>5476100</v>
      </c>
      <c r="J4252" s="7">
        <v>0</v>
      </c>
      <c r="K4252">
        <f t="shared" si="66"/>
        <v>0</v>
      </c>
      <c r="L4252" s="8" t="str" cm="1">
        <f t="array" ref="L4252">_xlfn.IFS(
 AND(K4252&gt;=89,K4252&lt;=92),"3개월",
 AND(K4252&gt;=58,K4252&lt;=62),"2개월",
 AND(K4252&gt;=28,K4252&lt;=32),"1개월",
 AND(K4252=0),"당월",
 TRUE,"그외"
)</f>
        <v>당월</v>
      </c>
    </row>
    <row r="4253" spans="1:12" x14ac:dyDescent="0.3">
      <c r="A4253" s="5">
        <v>45658</v>
      </c>
      <c r="B4253" s="6" t="s">
        <v>20</v>
      </c>
      <c r="C4253" s="6" t="s">
        <v>28</v>
      </c>
      <c r="D4253" s="5">
        <v>45658</v>
      </c>
      <c r="E4253" s="6" t="s">
        <v>15</v>
      </c>
      <c r="F4253" s="7">
        <v>1956</v>
      </c>
      <c r="G4253" s="7">
        <v>196731.0628834356</v>
      </c>
      <c r="H4253" s="7">
        <v>384805959</v>
      </c>
      <c r="I4253" s="7">
        <v>27999160</v>
      </c>
      <c r="J4253" s="7">
        <v>0</v>
      </c>
      <c r="K4253">
        <f t="shared" si="66"/>
        <v>0</v>
      </c>
      <c r="L4253" s="8" t="str" cm="1">
        <f t="array" ref="L4253">_xlfn.IFS(
 AND(K4253&gt;=89,K4253&lt;=92),"3개월",
 AND(K4253&gt;=58,K4253&lt;=62),"2개월",
 AND(K4253&gt;=28,K4253&lt;=32),"1개월",
 AND(K4253=0),"당월",
 TRUE,"그외"
)</f>
        <v>당월</v>
      </c>
    </row>
    <row r="4254" spans="1:12" x14ac:dyDescent="0.3">
      <c r="A4254" s="5">
        <v>45658</v>
      </c>
      <c r="B4254" s="6" t="s">
        <v>20</v>
      </c>
      <c r="C4254" s="6" t="s">
        <v>29</v>
      </c>
      <c r="D4254" s="5">
        <v>45474</v>
      </c>
      <c r="E4254" s="6" t="s">
        <v>15</v>
      </c>
      <c r="F4254" s="7">
        <v>4</v>
      </c>
      <c r="G4254" s="7">
        <v>162300</v>
      </c>
      <c r="H4254" s="7">
        <v>649200</v>
      </c>
      <c r="I4254" s="7">
        <v>49200</v>
      </c>
      <c r="J4254" s="7">
        <v>0</v>
      </c>
      <c r="K4254">
        <f t="shared" si="66"/>
        <v>184</v>
      </c>
      <c r="L4254" s="8" t="str" cm="1">
        <f t="array" ref="L4254">_xlfn.IFS(
 AND(K4254&gt;=89,K4254&lt;=92),"3개월",
 AND(K4254&gt;=58,K4254&lt;=62),"2개월",
 AND(K4254&gt;=28,K4254&lt;=32),"1개월",
 AND(K4254=0),"당월",
 TRUE,"그외"
)</f>
        <v>그외</v>
      </c>
    </row>
    <row r="4255" spans="1:12" x14ac:dyDescent="0.3">
      <c r="A4255" s="5">
        <v>45658</v>
      </c>
      <c r="B4255" s="6" t="s">
        <v>20</v>
      </c>
      <c r="C4255" s="6" t="s">
        <v>29</v>
      </c>
      <c r="D4255" s="5">
        <v>45505</v>
      </c>
      <c r="E4255" s="6" t="s">
        <v>15</v>
      </c>
      <c r="F4255" s="7">
        <v>886</v>
      </c>
      <c r="G4255" s="7">
        <v>160849.79765237021</v>
      </c>
      <c r="H4255" s="7">
        <v>142512920.72</v>
      </c>
      <c r="I4255" s="7">
        <v>13789246.720000001</v>
      </c>
      <c r="J4255" s="7">
        <v>0</v>
      </c>
      <c r="K4255">
        <f t="shared" si="66"/>
        <v>153</v>
      </c>
      <c r="L4255" s="8" t="str" cm="1">
        <f t="array" ref="L4255">_xlfn.IFS(
 AND(K4255&gt;=89,K4255&lt;=92),"3개월",
 AND(K4255&gt;=58,K4255&lt;=62),"2개월",
 AND(K4255&gt;=28,K4255&lt;=32),"1개월",
 AND(K4255=0),"당월",
 TRUE,"그외"
)</f>
        <v>그외</v>
      </c>
    </row>
    <row r="4256" spans="1:12" x14ac:dyDescent="0.3">
      <c r="A4256" s="5">
        <v>45658</v>
      </c>
      <c r="B4256" s="6" t="s">
        <v>20</v>
      </c>
      <c r="C4256" s="6" t="s">
        <v>29</v>
      </c>
      <c r="D4256" s="5">
        <v>45536</v>
      </c>
      <c r="E4256" s="6" t="s">
        <v>15</v>
      </c>
      <c r="F4256" s="7">
        <v>1116</v>
      </c>
      <c r="G4256" s="7">
        <v>182850.85752688171</v>
      </c>
      <c r="H4256" s="7">
        <v>204061557</v>
      </c>
      <c r="I4256" s="7">
        <v>15199666</v>
      </c>
      <c r="J4256" s="7">
        <v>0</v>
      </c>
      <c r="K4256">
        <f t="shared" si="66"/>
        <v>122</v>
      </c>
      <c r="L4256" s="8" t="str" cm="1">
        <f t="array" ref="L4256">_xlfn.IFS(
 AND(K4256&gt;=89,K4256&lt;=92),"3개월",
 AND(K4256&gt;=58,K4256&lt;=62),"2개월",
 AND(K4256&gt;=28,K4256&lt;=32),"1개월",
 AND(K4256=0),"당월",
 TRUE,"그외"
)</f>
        <v>그외</v>
      </c>
    </row>
    <row r="4257" spans="1:12" x14ac:dyDescent="0.3">
      <c r="A4257" s="5">
        <v>45658</v>
      </c>
      <c r="B4257" s="6" t="s">
        <v>20</v>
      </c>
      <c r="C4257" s="6" t="s">
        <v>29</v>
      </c>
      <c r="D4257" s="5">
        <v>45566</v>
      </c>
      <c r="E4257" s="6" t="s">
        <v>14</v>
      </c>
      <c r="F4257" s="7">
        <v>16</v>
      </c>
      <c r="G4257" s="7">
        <v>160400</v>
      </c>
      <c r="H4257" s="7">
        <v>2566400</v>
      </c>
      <c r="I4257" s="7">
        <v>150400</v>
      </c>
      <c r="J4257" s="7">
        <v>0</v>
      </c>
      <c r="K4257">
        <f t="shared" si="66"/>
        <v>92</v>
      </c>
      <c r="L4257" s="8" t="str" cm="1">
        <f t="array" ref="L4257">_xlfn.IFS(
 AND(K4257&gt;=89,K4257&lt;=92),"3개월",
 AND(K4257&gt;=58,K4257&lt;=62),"2개월",
 AND(K4257&gt;=28,K4257&lt;=32),"1개월",
 AND(K4257=0),"당월",
 TRUE,"그외"
)</f>
        <v>3개월</v>
      </c>
    </row>
    <row r="4258" spans="1:12" x14ac:dyDescent="0.3">
      <c r="A4258" s="5">
        <v>45658</v>
      </c>
      <c r="B4258" s="6" t="s">
        <v>20</v>
      </c>
      <c r="C4258" s="6" t="s">
        <v>29</v>
      </c>
      <c r="D4258" s="5">
        <v>45566</v>
      </c>
      <c r="E4258" s="6" t="s">
        <v>15</v>
      </c>
      <c r="F4258" s="7">
        <v>1738</v>
      </c>
      <c r="G4258" s="7">
        <v>194058.60011507481</v>
      </c>
      <c r="H4258" s="7">
        <v>337273847</v>
      </c>
      <c r="I4258" s="7">
        <v>18966517</v>
      </c>
      <c r="J4258" s="7">
        <v>0</v>
      </c>
      <c r="K4258">
        <f t="shared" si="66"/>
        <v>92</v>
      </c>
      <c r="L4258" s="8" t="str" cm="1">
        <f t="array" ref="L4258">_xlfn.IFS(
 AND(K4258&gt;=89,K4258&lt;=92),"3개월",
 AND(K4258&gt;=58,K4258&lt;=62),"2개월",
 AND(K4258&gt;=28,K4258&lt;=32),"1개월",
 AND(K4258=0),"당월",
 TRUE,"그외"
)</f>
        <v>3개월</v>
      </c>
    </row>
    <row r="4259" spans="1:12" x14ac:dyDescent="0.3">
      <c r="A4259" s="5">
        <v>45658</v>
      </c>
      <c r="B4259" s="6" t="s">
        <v>20</v>
      </c>
      <c r="C4259" s="6" t="s">
        <v>29</v>
      </c>
      <c r="D4259" s="5">
        <v>45597</v>
      </c>
      <c r="E4259" s="6" t="s">
        <v>14</v>
      </c>
      <c r="F4259" s="7">
        <v>418</v>
      </c>
      <c r="G4259" s="7">
        <v>170826.31578947371</v>
      </c>
      <c r="H4259" s="7">
        <v>71405400</v>
      </c>
      <c r="I4259" s="7">
        <v>3887400</v>
      </c>
      <c r="J4259" s="7">
        <v>0</v>
      </c>
      <c r="K4259">
        <f t="shared" si="66"/>
        <v>61</v>
      </c>
      <c r="L4259" s="8" t="str" cm="1">
        <f t="array" ref="L4259">_xlfn.IFS(
 AND(K4259&gt;=89,K4259&lt;=92),"3개월",
 AND(K4259&gt;=58,K4259&lt;=62),"2개월",
 AND(K4259&gt;=28,K4259&lt;=32),"1개월",
 AND(K4259=0),"당월",
 TRUE,"그외"
)</f>
        <v>2개월</v>
      </c>
    </row>
    <row r="4260" spans="1:12" x14ac:dyDescent="0.3">
      <c r="A4260" s="5">
        <v>45658</v>
      </c>
      <c r="B4260" s="6" t="s">
        <v>20</v>
      </c>
      <c r="C4260" s="6" t="s">
        <v>29</v>
      </c>
      <c r="D4260" s="5">
        <v>45597</v>
      </c>
      <c r="E4260" s="6" t="s">
        <v>15</v>
      </c>
      <c r="F4260" s="7">
        <v>4232</v>
      </c>
      <c r="G4260" s="7">
        <v>200682.5850661626</v>
      </c>
      <c r="H4260" s="7">
        <v>849288700</v>
      </c>
      <c r="I4260" s="7">
        <v>47377161</v>
      </c>
      <c r="J4260" s="7">
        <v>0</v>
      </c>
      <c r="K4260">
        <f t="shared" si="66"/>
        <v>61</v>
      </c>
      <c r="L4260" s="8" t="str" cm="1">
        <f t="array" ref="L4260">_xlfn.IFS(
 AND(K4260&gt;=89,K4260&lt;=92),"3개월",
 AND(K4260&gt;=58,K4260&lt;=62),"2개월",
 AND(K4260&gt;=28,K4260&lt;=32),"1개월",
 AND(K4260=0),"당월",
 TRUE,"그외"
)</f>
        <v>2개월</v>
      </c>
    </row>
    <row r="4261" spans="1:12" x14ac:dyDescent="0.3">
      <c r="A4261" s="5">
        <v>45658</v>
      </c>
      <c r="B4261" s="6" t="s">
        <v>20</v>
      </c>
      <c r="C4261" s="6" t="s">
        <v>29</v>
      </c>
      <c r="D4261" s="5">
        <v>45627</v>
      </c>
      <c r="E4261" s="6" t="s">
        <v>14</v>
      </c>
      <c r="F4261" s="7">
        <v>1860</v>
      </c>
      <c r="G4261" s="7">
        <v>196603.7634408602</v>
      </c>
      <c r="H4261" s="7">
        <v>365683000</v>
      </c>
      <c r="I4261" s="7">
        <v>20628000</v>
      </c>
      <c r="J4261" s="7">
        <v>0</v>
      </c>
      <c r="K4261">
        <f t="shared" si="66"/>
        <v>31</v>
      </c>
      <c r="L4261" s="8" t="str" cm="1">
        <f t="array" ref="L4261">_xlfn.IFS(
 AND(K4261&gt;=89,K4261&lt;=92),"3개월",
 AND(K4261&gt;=58,K4261&lt;=62),"2개월",
 AND(K4261&gt;=28,K4261&lt;=32),"1개월",
 AND(K4261=0),"당월",
 TRUE,"그외"
)</f>
        <v>1개월</v>
      </c>
    </row>
    <row r="4262" spans="1:12" x14ac:dyDescent="0.3">
      <c r="A4262" s="5">
        <v>45658</v>
      </c>
      <c r="B4262" s="6" t="s">
        <v>20</v>
      </c>
      <c r="C4262" s="6" t="s">
        <v>29</v>
      </c>
      <c r="D4262" s="5">
        <v>45627</v>
      </c>
      <c r="E4262" s="6" t="s">
        <v>15</v>
      </c>
      <c r="F4262" s="7">
        <v>7454</v>
      </c>
      <c r="G4262" s="7">
        <v>198680.7366514623</v>
      </c>
      <c r="H4262" s="7">
        <v>1480966211</v>
      </c>
      <c r="I4262" s="7">
        <v>95840043</v>
      </c>
      <c r="J4262" s="7">
        <v>0</v>
      </c>
      <c r="K4262">
        <f t="shared" si="66"/>
        <v>31</v>
      </c>
      <c r="L4262" s="8" t="str" cm="1">
        <f t="array" ref="L4262">_xlfn.IFS(
 AND(K4262&gt;=89,K4262&lt;=92),"3개월",
 AND(K4262&gt;=58,K4262&lt;=62),"2개월",
 AND(K4262&gt;=28,K4262&lt;=32),"1개월",
 AND(K4262=0),"당월",
 TRUE,"그외"
)</f>
        <v>1개월</v>
      </c>
    </row>
    <row r="4263" spans="1:12" x14ac:dyDescent="0.3">
      <c r="A4263" s="5">
        <v>45658</v>
      </c>
      <c r="B4263" s="6" t="s">
        <v>20</v>
      </c>
      <c r="C4263" s="6" t="s">
        <v>29</v>
      </c>
      <c r="D4263" s="5">
        <v>45658</v>
      </c>
      <c r="E4263" s="6" t="s">
        <v>14</v>
      </c>
      <c r="F4263" s="7">
        <v>1333</v>
      </c>
      <c r="G4263" s="7">
        <v>192182.37059264819</v>
      </c>
      <c r="H4263" s="7">
        <v>256179100</v>
      </c>
      <c r="I4263" s="7">
        <v>15059100</v>
      </c>
      <c r="J4263" s="7">
        <v>0</v>
      </c>
      <c r="K4263">
        <f t="shared" si="66"/>
        <v>0</v>
      </c>
      <c r="L4263" s="8" t="str" cm="1">
        <f t="array" ref="L4263">_xlfn.IFS(
 AND(K4263&gt;=89,K4263&lt;=92),"3개월",
 AND(K4263&gt;=58,K4263&lt;=62),"2개월",
 AND(K4263&gt;=28,K4263&lt;=32),"1개월",
 AND(K4263=0),"당월",
 TRUE,"그외"
)</f>
        <v>당월</v>
      </c>
    </row>
    <row r="4264" spans="1:12" x14ac:dyDescent="0.3">
      <c r="A4264" s="5">
        <v>45658</v>
      </c>
      <c r="B4264" s="6" t="s">
        <v>20</v>
      </c>
      <c r="C4264" s="6" t="s">
        <v>29</v>
      </c>
      <c r="D4264" s="5">
        <v>45658</v>
      </c>
      <c r="E4264" s="6" t="s">
        <v>15</v>
      </c>
      <c r="F4264" s="7">
        <v>3168</v>
      </c>
      <c r="G4264" s="7">
        <v>231845.55965909091</v>
      </c>
      <c r="H4264" s="7">
        <v>734486733</v>
      </c>
      <c r="I4264" s="7">
        <v>44101357</v>
      </c>
      <c r="J4264" s="7">
        <v>0</v>
      </c>
      <c r="K4264">
        <f t="shared" si="66"/>
        <v>0</v>
      </c>
      <c r="L4264" s="8" t="str" cm="1">
        <f t="array" ref="L4264">_xlfn.IFS(
 AND(K4264&gt;=89,K4264&lt;=92),"3개월",
 AND(K4264&gt;=58,K4264&lt;=62),"2개월",
 AND(K4264&gt;=28,K4264&lt;=32),"1개월",
 AND(K4264=0),"당월",
 TRUE,"그외"
)</f>
        <v>당월</v>
      </c>
    </row>
    <row r="4265" spans="1:12" x14ac:dyDescent="0.3">
      <c r="A4265" s="5">
        <v>45658</v>
      </c>
      <c r="B4265" s="6" t="s">
        <v>20</v>
      </c>
      <c r="C4265" s="6" t="s">
        <v>30</v>
      </c>
      <c r="D4265" s="5">
        <v>45505</v>
      </c>
      <c r="E4265" s="6" t="s">
        <v>15</v>
      </c>
      <c r="F4265" s="7">
        <v>775</v>
      </c>
      <c r="G4265" s="7">
        <v>160147.9350193548</v>
      </c>
      <c r="H4265" s="7">
        <v>124114649.64</v>
      </c>
      <c r="I4265" s="7">
        <v>11370179.640000001</v>
      </c>
      <c r="J4265" s="7">
        <v>0</v>
      </c>
      <c r="K4265">
        <f t="shared" si="66"/>
        <v>153</v>
      </c>
      <c r="L4265" s="8" t="str" cm="1">
        <f t="array" ref="L4265">_xlfn.IFS(
 AND(K4265&gt;=89,K4265&lt;=92),"3개월",
 AND(K4265&gt;=58,K4265&lt;=62),"2개월",
 AND(K4265&gt;=28,K4265&lt;=32),"1개월",
 AND(K4265=0),"당월",
 TRUE,"그외"
)</f>
        <v>그외</v>
      </c>
    </row>
    <row r="4266" spans="1:12" x14ac:dyDescent="0.3">
      <c r="A4266" s="5">
        <v>45658</v>
      </c>
      <c r="B4266" s="6" t="s">
        <v>20</v>
      </c>
      <c r="C4266" s="6" t="s">
        <v>30</v>
      </c>
      <c r="D4266" s="5">
        <v>45536</v>
      </c>
      <c r="E4266" s="6" t="s">
        <v>15</v>
      </c>
      <c r="F4266" s="7">
        <v>618</v>
      </c>
      <c r="G4266" s="7">
        <v>181998.00485436889</v>
      </c>
      <c r="H4266" s="7">
        <v>112474767</v>
      </c>
      <c r="I4266" s="7">
        <v>8216402</v>
      </c>
      <c r="J4266" s="7">
        <v>0</v>
      </c>
      <c r="K4266">
        <f t="shared" si="66"/>
        <v>122</v>
      </c>
      <c r="L4266" s="8" t="str" cm="1">
        <f t="array" ref="L4266">_xlfn.IFS(
 AND(K4266&gt;=89,K4266&lt;=92),"3개월",
 AND(K4266&gt;=58,K4266&lt;=62),"2개월",
 AND(K4266&gt;=28,K4266&lt;=32),"1개월",
 AND(K4266=0),"당월",
 TRUE,"그외"
)</f>
        <v>그외</v>
      </c>
    </row>
    <row r="4267" spans="1:12" x14ac:dyDescent="0.3">
      <c r="A4267" s="5">
        <v>45658</v>
      </c>
      <c r="B4267" s="6" t="s">
        <v>20</v>
      </c>
      <c r="C4267" s="6" t="s">
        <v>30</v>
      </c>
      <c r="D4267" s="5">
        <v>45566</v>
      </c>
      <c r="E4267" s="6" t="s">
        <v>14</v>
      </c>
      <c r="F4267" s="7">
        <v>12</v>
      </c>
      <c r="G4267" s="7">
        <v>170400</v>
      </c>
      <c r="H4267" s="7">
        <v>2044800</v>
      </c>
      <c r="I4267" s="7">
        <v>112800</v>
      </c>
      <c r="J4267" s="7">
        <v>0</v>
      </c>
      <c r="K4267">
        <f t="shared" si="66"/>
        <v>92</v>
      </c>
      <c r="L4267" s="8" t="str" cm="1">
        <f t="array" ref="L4267">_xlfn.IFS(
 AND(K4267&gt;=89,K4267&lt;=92),"3개월",
 AND(K4267&gt;=58,K4267&lt;=62),"2개월",
 AND(K4267&gt;=28,K4267&lt;=32),"1개월",
 AND(K4267=0),"당월",
 TRUE,"그외"
)</f>
        <v>3개월</v>
      </c>
    </row>
    <row r="4268" spans="1:12" x14ac:dyDescent="0.3">
      <c r="A4268" s="5">
        <v>45658</v>
      </c>
      <c r="B4268" s="6" t="s">
        <v>20</v>
      </c>
      <c r="C4268" s="6" t="s">
        <v>30</v>
      </c>
      <c r="D4268" s="5">
        <v>45566</v>
      </c>
      <c r="E4268" s="6" t="s">
        <v>15</v>
      </c>
      <c r="F4268" s="7">
        <v>553</v>
      </c>
      <c r="G4268" s="7">
        <v>196130.86256781191</v>
      </c>
      <c r="H4268" s="7">
        <v>108460367</v>
      </c>
      <c r="I4268" s="7">
        <v>6637558</v>
      </c>
      <c r="J4268" s="7">
        <v>0</v>
      </c>
      <c r="K4268">
        <f t="shared" si="66"/>
        <v>92</v>
      </c>
      <c r="L4268" s="8" t="str" cm="1">
        <f t="array" ref="L4268">_xlfn.IFS(
 AND(K4268&gt;=89,K4268&lt;=92),"3개월",
 AND(K4268&gt;=58,K4268&lt;=62),"2개월",
 AND(K4268&gt;=28,K4268&lt;=32),"1개월",
 AND(K4268=0),"당월",
 TRUE,"그외"
)</f>
        <v>3개월</v>
      </c>
    </row>
    <row r="4269" spans="1:12" x14ac:dyDescent="0.3">
      <c r="A4269" s="5">
        <v>45658</v>
      </c>
      <c r="B4269" s="6" t="s">
        <v>20</v>
      </c>
      <c r="C4269" s="6" t="s">
        <v>30</v>
      </c>
      <c r="D4269" s="5">
        <v>45597</v>
      </c>
      <c r="E4269" s="6" t="s">
        <v>14</v>
      </c>
      <c r="F4269" s="7">
        <v>393</v>
      </c>
      <c r="G4269" s="7">
        <v>153938.67684478371</v>
      </c>
      <c r="H4269" s="7">
        <v>60497900</v>
      </c>
      <c r="I4269" s="7">
        <v>3654900</v>
      </c>
      <c r="J4269" s="7">
        <v>0</v>
      </c>
      <c r="K4269">
        <f t="shared" si="66"/>
        <v>61</v>
      </c>
      <c r="L4269" s="8" t="str" cm="1">
        <f t="array" ref="L4269">_xlfn.IFS(
 AND(K4269&gt;=89,K4269&lt;=92),"3개월",
 AND(K4269&gt;=58,K4269&lt;=62),"2개월",
 AND(K4269&gt;=28,K4269&lt;=32),"1개월",
 AND(K4269=0),"당월",
 TRUE,"그외"
)</f>
        <v>2개월</v>
      </c>
    </row>
    <row r="4270" spans="1:12" x14ac:dyDescent="0.3">
      <c r="A4270" s="5">
        <v>45658</v>
      </c>
      <c r="B4270" s="6" t="s">
        <v>20</v>
      </c>
      <c r="C4270" s="6" t="s">
        <v>30</v>
      </c>
      <c r="D4270" s="5">
        <v>45597</v>
      </c>
      <c r="E4270" s="6" t="s">
        <v>15</v>
      </c>
      <c r="F4270" s="7">
        <v>1046</v>
      </c>
      <c r="G4270" s="7">
        <v>192743.95219885281</v>
      </c>
      <c r="H4270" s="7">
        <v>201610174</v>
      </c>
      <c r="I4270" s="7">
        <v>13032109</v>
      </c>
      <c r="J4270" s="7">
        <v>0</v>
      </c>
      <c r="K4270">
        <f t="shared" si="66"/>
        <v>61</v>
      </c>
      <c r="L4270" s="8" t="str" cm="1">
        <f t="array" ref="L4270">_xlfn.IFS(
 AND(K4270&gt;=89,K4270&lt;=92),"3개월",
 AND(K4270&gt;=58,K4270&lt;=62),"2개월",
 AND(K4270&gt;=28,K4270&lt;=32),"1개월",
 AND(K4270=0),"당월",
 TRUE,"그외"
)</f>
        <v>2개월</v>
      </c>
    </row>
    <row r="4271" spans="1:12" x14ac:dyDescent="0.3">
      <c r="A4271" s="5">
        <v>45658</v>
      </c>
      <c r="B4271" s="6" t="s">
        <v>20</v>
      </c>
      <c r="C4271" s="6" t="s">
        <v>30</v>
      </c>
      <c r="D4271" s="5">
        <v>45627</v>
      </c>
      <c r="E4271" s="6" t="s">
        <v>14</v>
      </c>
      <c r="F4271" s="7">
        <v>2051</v>
      </c>
      <c r="G4271" s="7">
        <v>149640.9068746953</v>
      </c>
      <c r="H4271" s="7">
        <v>306913500</v>
      </c>
      <c r="I4271" s="7">
        <v>22762500</v>
      </c>
      <c r="J4271" s="7">
        <v>0</v>
      </c>
      <c r="K4271">
        <f t="shared" si="66"/>
        <v>31</v>
      </c>
      <c r="L4271" s="8" t="str" cm="1">
        <f t="array" ref="L4271">_xlfn.IFS(
 AND(K4271&gt;=89,K4271&lt;=92),"3개월",
 AND(K4271&gt;=58,K4271&lt;=62),"2개월",
 AND(K4271&gt;=28,K4271&lt;=32),"1개월",
 AND(K4271=0),"당월",
 TRUE,"그외"
)</f>
        <v>1개월</v>
      </c>
    </row>
    <row r="4272" spans="1:12" x14ac:dyDescent="0.3">
      <c r="A4272" s="5">
        <v>45658</v>
      </c>
      <c r="B4272" s="6" t="s">
        <v>20</v>
      </c>
      <c r="C4272" s="6" t="s">
        <v>30</v>
      </c>
      <c r="D4272" s="5">
        <v>45627</v>
      </c>
      <c r="E4272" s="6" t="s">
        <v>15</v>
      </c>
      <c r="F4272" s="7">
        <v>3237</v>
      </c>
      <c r="G4272" s="7">
        <v>196766.51961692929</v>
      </c>
      <c r="H4272" s="7">
        <v>636933224</v>
      </c>
      <c r="I4272" s="7">
        <v>43455126</v>
      </c>
      <c r="J4272" s="7">
        <v>0</v>
      </c>
      <c r="K4272">
        <f t="shared" si="66"/>
        <v>31</v>
      </c>
      <c r="L4272" s="8" t="str" cm="1">
        <f t="array" ref="L4272">_xlfn.IFS(
 AND(K4272&gt;=89,K4272&lt;=92),"3개월",
 AND(K4272&gt;=58,K4272&lt;=62),"2개월",
 AND(K4272&gt;=28,K4272&lt;=32),"1개월",
 AND(K4272=0),"당월",
 TRUE,"그외"
)</f>
        <v>1개월</v>
      </c>
    </row>
    <row r="4273" spans="1:12" x14ac:dyDescent="0.3">
      <c r="A4273" s="5">
        <v>45658</v>
      </c>
      <c r="B4273" s="6" t="s">
        <v>20</v>
      </c>
      <c r="C4273" s="6" t="s">
        <v>30</v>
      </c>
      <c r="D4273" s="5">
        <v>45658</v>
      </c>
      <c r="E4273" s="6" t="s">
        <v>14</v>
      </c>
      <c r="F4273" s="7">
        <v>604</v>
      </c>
      <c r="G4273" s="7">
        <v>205962.58278145699</v>
      </c>
      <c r="H4273" s="7">
        <v>124401400</v>
      </c>
      <c r="I4273" s="7">
        <v>6820400</v>
      </c>
      <c r="J4273" s="7">
        <v>0</v>
      </c>
      <c r="K4273">
        <f t="shared" si="66"/>
        <v>0</v>
      </c>
      <c r="L4273" s="8" t="str" cm="1">
        <f t="array" ref="L4273">_xlfn.IFS(
 AND(K4273&gt;=89,K4273&lt;=92),"3개월",
 AND(K4273&gt;=58,K4273&lt;=62),"2개월",
 AND(K4273&gt;=28,K4273&lt;=32),"1개월",
 AND(K4273=0),"당월",
 TRUE,"그외"
)</f>
        <v>당월</v>
      </c>
    </row>
    <row r="4274" spans="1:12" x14ac:dyDescent="0.3">
      <c r="A4274" s="5">
        <v>45658</v>
      </c>
      <c r="B4274" s="6" t="s">
        <v>20</v>
      </c>
      <c r="C4274" s="6" t="s">
        <v>30</v>
      </c>
      <c r="D4274" s="5">
        <v>45658</v>
      </c>
      <c r="E4274" s="6" t="s">
        <v>15</v>
      </c>
      <c r="F4274" s="7">
        <v>1755</v>
      </c>
      <c r="G4274" s="7">
        <v>219153.03133903141</v>
      </c>
      <c r="H4274" s="7">
        <v>384613570</v>
      </c>
      <c r="I4274" s="7">
        <v>26151725</v>
      </c>
      <c r="J4274" s="7">
        <v>0</v>
      </c>
      <c r="K4274">
        <f t="shared" si="66"/>
        <v>0</v>
      </c>
      <c r="L4274" s="8" t="str" cm="1">
        <f t="array" ref="L4274">_xlfn.IFS(
 AND(K4274&gt;=89,K4274&lt;=92),"3개월",
 AND(K4274&gt;=58,K4274&lt;=62),"2개월",
 AND(K4274&gt;=28,K4274&lt;=32),"1개월",
 AND(K4274=0),"당월",
 TRUE,"그외"
)</f>
        <v>당월</v>
      </c>
    </row>
    <row r="4275" spans="1:12" x14ac:dyDescent="0.3">
      <c r="A4275" s="5">
        <v>45658</v>
      </c>
      <c r="B4275" s="6" t="s">
        <v>20</v>
      </c>
      <c r="C4275" s="6" t="s">
        <v>31</v>
      </c>
      <c r="D4275" s="5">
        <v>45474</v>
      </c>
      <c r="E4275" s="6" t="s">
        <v>15</v>
      </c>
      <c r="F4275" s="7">
        <v>16</v>
      </c>
      <c r="G4275" s="7">
        <v>176167.5</v>
      </c>
      <c r="H4275" s="7">
        <v>2818680</v>
      </c>
      <c r="I4275" s="7">
        <v>381942</v>
      </c>
      <c r="J4275" s="7">
        <v>0</v>
      </c>
      <c r="K4275">
        <f t="shared" si="66"/>
        <v>184</v>
      </c>
      <c r="L4275" s="8" t="str" cm="1">
        <f t="array" ref="L4275">_xlfn.IFS(
 AND(K4275&gt;=89,K4275&lt;=92),"3개월",
 AND(K4275&gt;=58,K4275&lt;=62),"2개월",
 AND(K4275&gt;=28,K4275&lt;=32),"1개월",
 AND(K4275=0),"당월",
 TRUE,"그외"
)</f>
        <v>그외</v>
      </c>
    </row>
    <row r="4276" spans="1:12" x14ac:dyDescent="0.3">
      <c r="A4276" s="5">
        <v>45658</v>
      </c>
      <c r="B4276" s="6" t="s">
        <v>20</v>
      </c>
      <c r="C4276" s="6" t="s">
        <v>31</v>
      </c>
      <c r="D4276" s="5">
        <v>45505</v>
      </c>
      <c r="E4276" s="6" t="s">
        <v>15</v>
      </c>
      <c r="F4276" s="7">
        <v>339</v>
      </c>
      <c r="G4276" s="7">
        <v>181805.66466076701</v>
      </c>
      <c r="H4276" s="7">
        <v>61632120.32</v>
      </c>
      <c r="I4276" s="7">
        <v>7561334.3200000003</v>
      </c>
      <c r="J4276" s="7">
        <v>0</v>
      </c>
      <c r="K4276">
        <f t="shared" si="66"/>
        <v>153</v>
      </c>
      <c r="L4276" s="8" t="str" cm="1">
        <f t="array" ref="L4276">_xlfn.IFS(
 AND(K4276&gt;=89,K4276&lt;=92),"3개월",
 AND(K4276&gt;=58,K4276&lt;=62),"2개월",
 AND(K4276&gt;=28,K4276&lt;=32),"1개월",
 AND(K4276=0),"당월",
 TRUE,"그외"
)</f>
        <v>그외</v>
      </c>
    </row>
    <row r="4277" spans="1:12" x14ac:dyDescent="0.3">
      <c r="A4277" s="5">
        <v>45658</v>
      </c>
      <c r="B4277" s="6" t="s">
        <v>20</v>
      </c>
      <c r="C4277" s="6" t="s">
        <v>31</v>
      </c>
      <c r="D4277" s="5">
        <v>45536</v>
      </c>
      <c r="E4277" s="6" t="s">
        <v>15</v>
      </c>
      <c r="F4277" s="7">
        <v>391</v>
      </c>
      <c r="G4277" s="7">
        <v>196447.15345268539</v>
      </c>
      <c r="H4277" s="7">
        <v>76810837</v>
      </c>
      <c r="I4277" s="7">
        <v>8351955</v>
      </c>
      <c r="J4277" s="7">
        <v>0</v>
      </c>
      <c r="K4277">
        <f t="shared" si="66"/>
        <v>122</v>
      </c>
      <c r="L4277" s="8" t="str" cm="1">
        <f t="array" ref="L4277">_xlfn.IFS(
 AND(K4277&gt;=89,K4277&lt;=92),"3개월",
 AND(K4277&gt;=58,K4277&lt;=62),"2개월",
 AND(K4277&gt;=28,K4277&lt;=32),"1개월",
 AND(K4277=0),"당월",
 TRUE,"그외"
)</f>
        <v>그외</v>
      </c>
    </row>
    <row r="4278" spans="1:12" x14ac:dyDescent="0.3">
      <c r="A4278" s="5">
        <v>45658</v>
      </c>
      <c r="B4278" s="6" t="s">
        <v>20</v>
      </c>
      <c r="C4278" s="6" t="s">
        <v>31</v>
      </c>
      <c r="D4278" s="5">
        <v>45566</v>
      </c>
      <c r="E4278" s="6" t="s">
        <v>14</v>
      </c>
      <c r="F4278" s="7">
        <v>8</v>
      </c>
      <c r="G4278" s="7">
        <v>1294550</v>
      </c>
      <c r="H4278" s="7">
        <v>10356400</v>
      </c>
      <c r="I4278" s="7">
        <v>37600</v>
      </c>
      <c r="J4278" s="7">
        <v>0</v>
      </c>
      <c r="K4278">
        <f t="shared" si="66"/>
        <v>92</v>
      </c>
      <c r="L4278" s="8" t="str" cm="1">
        <f t="array" ref="L4278">_xlfn.IFS(
 AND(K4278&gt;=89,K4278&lt;=92),"3개월",
 AND(K4278&gt;=58,K4278&lt;=62),"2개월",
 AND(K4278&gt;=28,K4278&lt;=32),"1개월",
 AND(K4278=0),"당월",
 TRUE,"그외"
)</f>
        <v>3개월</v>
      </c>
    </row>
    <row r="4279" spans="1:12" x14ac:dyDescent="0.3">
      <c r="A4279" s="5">
        <v>45658</v>
      </c>
      <c r="B4279" s="6" t="s">
        <v>20</v>
      </c>
      <c r="C4279" s="6" t="s">
        <v>31</v>
      </c>
      <c r="D4279" s="5">
        <v>45566</v>
      </c>
      <c r="E4279" s="6" t="s">
        <v>15</v>
      </c>
      <c r="F4279" s="7">
        <v>728</v>
      </c>
      <c r="G4279" s="7">
        <v>197834.95741758239</v>
      </c>
      <c r="H4279" s="7">
        <v>144023849</v>
      </c>
      <c r="I4279" s="7">
        <v>13475600</v>
      </c>
      <c r="J4279" s="7">
        <v>0</v>
      </c>
      <c r="K4279">
        <f t="shared" si="66"/>
        <v>92</v>
      </c>
      <c r="L4279" s="8" t="str" cm="1">
        <f t="array" ref="L4279">_xlfn.IFS(
 AND(K4279&gt;=89,K4279&lt;=92),"3개월",
 AND(K4279&gt;=58,K4279&lt;=62),"2개월",
 AND(K4279&gt;=28,K4279&lt;=32),"1개월",
 AND(K4279=0),"당월",
 TRUE,"그외"
)</f>
        <v>3개월</v>
      </c>
    </row>
    <row r="4280" spans="1:12" x14ac:dyDescent="0.3">
      <c r="A4280" s="5">
        <v>45658</v>
      </c>
      <c r="B4280" s="6" t="s">
        <v>20</v>
      </c>
      <c r="C4280" s="6" t="s">
        <v>31</v>
      </c>
      <c r="D4280" s="5">
        <v>45597</v>
      </c>
      <c r="E4280" s="6" t="s">
        <v>14</v>
      </c>
      <c r="F4280" s="7">
        <v>42</v>
      </c>
      <c r="G4280" s="7">
        <v>119776.1904761905</v>
      </c>
      <c r="H4280" s="7">
        <v>5030600</v>
      </c>
      <c r="I4280" s="7">
        <v>390600</v>
      </c>
      <c r="J4280" s="7">
        <v>0</v>
      </c>
      <c r="K4280">
        <f t="shared" si="66"/>
        <v>61</v>
      </c>
      <c r="L4280" s="8" t="str" cm="1">
        <f t="array" ref="L4280">_xlfn.IFS(
 AND(K4280&gt;=89,K4280&lt;=92),"3개월",
 AND(K4280&gt;=58,K4280&lt;=62),"2개월",
 AND(K4280&gt;=28,K4280&lt;=32),"1개월",
 AND(K4280=0),"당월",
 TRUE,"그외"
)</f>
        <v>2개월</v>
      </c>
    </row>
    <row r="4281" spans="1:12" x14ac:dyDescent="0.3">
      <c r="A4281" s="5">
        <v>45658</v>
      </c>
      <c r="B4281" s="6" t="s">
        <v>20</v>
      </c>
      <c r="C4281" s="6" t="s">
        <v>31</v>
      </c>
      <c r="D4281" s="5">
        <v>45597</v>
      </c>
      <c r="E4281" s="6" t="s">
        <v>15</v>
      </c>
      <c r="F4281" s="7">
        <v>1932</v>
      </c>
      <c r="G4281" s="7">
        <v>175758.2096273292</v>
      </c>
      <c r="H4281" s="7">
        <v>339564861</v>
      </c>
      <c r="I4281" s="7">
        <v>33347091</v>
      </c>
      <c r="J4281" s="7">
        <v>0</v>
      </c>
      <c r="K4281">
        <f t="shared" si="66"/>
        <v>61</v>
      </c>
      <c r="L4281" s="8" t="str" cm="1">
        <f t="array" ref="L4281">_xlfn.IFS(
 AND(K4281&gt;=89,K4281&lt;=92),"3개월",
 AND(K4281&gt;=58,K4281&lt;=62),"2개월",
 AND(K4281&gt;=28,K4281&lt;=32),"1개월",
 AND(K4281=0),"당월",
 TRUE,"그외"
)</f>
        <v>2개월</v>
      </c>
    </row>
    <row r="4282" spans="1:12" x14ac:dyDescent="0.3">
      <c r="A4282" s="5">
        <v>45658</v>
      </c>
      <c r="B4282" s="6" t="s">
        <v>20</v>
      </c>
      <c r="C4282" s="6" t="s">
        <v>31</v>
      </c>
      <c r="D4282" s="5">
        <v>45627</v>
      </c>
      <c r="E4282" s="6" t="s">
        <v>14</v>
      </c>
      <c r="F4282" s="7">
        <v>868</v>
      </c>
      <c r="G4282" s="7">
        <v>116262.4735023041</v>
      </c>
      <c r="H4282" s="7">
        <v>100915827</v>
      </c>
      <c r="I4282" s="7">
        <v>10399573</v>
      </c>
      <c r="J4282" s="7">
        <v>0</v>
      </c>
      <c r="K4282">
        <f t="shared" si="66"/>
        <v>31</v>
      </c>
      <c r="L4282" s="8" t="str" cm="1">
        <f t="array" ref="L4282">_xlfn.IFS(
 AND(K4282&gt;=89,K4282&lt;=92),"3개월",
 AND(K4282&gt;=58,K4282&lt;=62),"2개월",
 AND(K4282&gt;=28,K4282&lt;=32),"1개월",
 AND(K4282=0),"당월",
 TRUE,"그외"
)</f>
        <v>1개월</v>
      </c>
    </row>
    <row r="4283" spans="1:12" x14ac:dyDescent="0.3">
      <c r="A4283" s="5">
        <v>45658</v>
      </c>
      <c r="B4283" s="6" t="s">
        <v>20</v>
      </c>
      <c r="C4283" s="6" t="s">
        <v>31</v>
      </c>
      <c r="D4283" s="5">
        <v>45627</v>
      </c>
      <c r="E4283" s="6" t="s">
        <v>15</v>
      </c>
      <c r="F4283" s="7">
        <v>4109</v>
      </c>
      <c r="G4283" s="7">
        <v>159458.66658554389</v>
      </c>
      <c r="H4283" s="7">
        <v>655215661</v>
      </c>
      <c r="I4283" s="7">
        <v>65482723</v>
      </c>
      <c r="J4283" s="7">
        <v>0</v>
      </c>
      <c r="K4283">
        <f t="shared" si="66"/>
        <v>31</v>
      </c>
      <c r="L4283" s="8" t="str" cm="1">
        <f t="array" ref="L4283">_xlfn.IFS(
 AND(K4283&gt;=89,K4283&lt;=92),"3개월",
 AND(K4283&gt;=58,K4283&lt;=62),"2개월",
 AND(K4283&gt;=28,K4283&lt;=32),"1개월",
 AND(K4283=0),"당월",
 TRUE,"그외"
)</f>
        <v>1개월</v>
      </c>
    </row>
    <row r="4284" spans="1:12" x14ac:dyDescent="0.3">
      <c r="A4284" s="5">
        <v>45658</v>
      </c>
      <c r="B4284" s="6" t="s">
        <v>20</v>
      </c>
      <c r="C4284" s="6" t="s">
        <v>31</v>
      </c>
      <c r="D4284" s="5">
        <v>45658</v>
      </c>
      <c r="E4284" s="6" t="s">
        <v>14</v>
      </c>
      <c r="F4284" s="7">
        <v>323</v>
      </c>
      <c r="G4284" s="7">
        <v>129220.12383900931</v>
      </c>
      <c r="H4284" s="7">
        <v>41738100</v>
      </c>
      <c r="I4284" s="7">
        <v>3649100</v>
      </c>
      <c r="J4284" s="7">
        <v>0</v>
      </c>
      <c r="K4284">
        <f t="shared" si="66"/>
        <v>0</v>
      </c>
      <c r="L4284" s="8" t="str" cm="1">
        <f t="array" ref="L4284">_xlfn.IFS(
 AND(K4284&gt;=89,K4284&lt;=92),"3개월",
 AND(K4284&gt;=58,K4284&lt;=62),"2개월",
 AND(K4284&gt;=28,K4284&lt;=32),"1개월",
 AND(K4284=0),"당월",
 TRUE,"그외"
)</f>
        <v>당월</v>
      </c>
    </row>
    <row r="4285" spans="1:12" x14ac:dyDescent="0.3">
      <c r="A4285" s="5">
        <v>45658</v>
      </c>
      <c r="B4285" s="6" t="s">
        <v>20</v>
      </c>
      <c r="C4285" s="6" t="s">
        <v>31</v>
      </c>
      <c r="D4285" s="5">
        <v>45658</v>
      </c>
      <c r="E4285" s="6" t="s">
        <v>15</v>
      </c>
      <c r="F4285" s="7">
        <v>2093</v>
      </c>
      <c r="G4285" s="7">
        <v>190273.07644529379</v>
      </c>
      <c r="H4285" s="7">
        <v>398241549</v>
      </c>
      <c r="I4285" s="7">
        <v>33773073</v>
      </c>
      <c r="J4285" s="7">
        <v>0</v>
      </c>
      <c r="K4285">
        <f t="shared" si="66"/>
        <v>0</v>
      </c>
      <c r="L4285" s="8" t="str" cm="1">
        <f t="array" ref="L4285">_xlfn.IFS(
 AND(K4285&gt;=89,K4285&lt;=92),"3개월",
 AND(K4285&gt;=58,K4285&lt;=62),"2개월",
 AND(K4285&gt;=28,K4285&lt;=32),"1개월",
 AND(K4285=0),"당월",
 TRUE,"그외"
)</f>
        <v>당월</v>
      </c>
    </row>
    <row r="4286" spans="1:12" x14ac:dyDescent="0.3">
      <c r="A4286" s="5">
        <v>45658</v>
      </c>
      <c r="B4286" s="6" t="s">
        <v>20</v>
      </c>
      <c r="C4286" s="6" t="s">
        <v>32</v>
      </c>
      <c r="D4286" s="5">
        <v>45474</v>
      </c>
      <c r="E4286" s="6" t="s">
        <v>15</v>
      </c>
      <c r="F4286" s="7">
        <v>13</v>
      </c>
      <c r="G4286" s="7">
        <v>223867.4615384615</v>
      </c>
      <c r="H4286" s="7">
        <v>2910277</v>
      </c>
      <c r="I4286" s="7">
        <v>432927</v>
      </c>
      <c r="J4286" s="7">
        <v>0</v>
      </c>
      <c r="K4286">
        <f t="shared" si="66"/>
        <v>184</v>
      </c>
      <c r="L4286" s="8" t="str" cm="1">
        <f t="array" ref="L4286">_xlfn.IFS(
 AND(K4286&gt;=89,K4286&lt;=92),"3개월",
 AND(K4286&gt;=58,K4286&lt;=62),"2개월",
 AND(K4286&gt;=28,K4286&lt;=32),"1개월",
 AND(K4286=0),"당월",
 TRUE,"그외"
)</f>
        <v>그외</v>
      </c>
    </row>
    <row r="4287" spans="1:12" x14ac:dyDescent="0.3">
      <c r="A4287" s="5">
        <v>45658</v>
      </c>
      <c r="B4287" s="6" t="s">
        <v>20</v>
      </c>
      <c r="C4287" s="6" t="s">
        <v>32</v>
      </c>
      <c r="D4287" s="5">
        <v>45505</v>
      </c>
      <c r="E4287" s="6" t="s">
        <v>15</v>
      </c>
      <c r="F4287" s="7">
        <v>801</v>
      </c>
      <c r="G4287" s="7">
        <v>135632.47430711609</v>
      </c>
      <c r="H4287" s="7">
        <v>108641611.92</v>
      </c>
      <c r="I4287" s="7">
        <v>20806394.920000002</v>
      </c>
      <c r="J4287" s="7">
        <v>0</v>
      </c>
      <c r="K4287">
        <f t="shared" si="66"/>
        <v>153</v>
      </c>
      <c r="L4287" s="8" t="str" cm="1">
        <f t="array" ref="L4287">_xlfn.IFS(
 AND(K4287&gt;=89,K4287&lt;=92),"3개월",
 AND(K4287&gt;=58,K4287&lt;=62),"2개월",
 AND(K4287&gt;=28,K4287&lt;=32),"1개월",
 AND(K4287=0),"당월",
 TRUE,"그외"
)</f>
        <v>그외</v>
      </c>
    </row>
    <row r="4288" spans="1:12" x14ac:dyDescent="0.3">
      <c r="A4288" s="5">
        <v>45658</v>
      </c>
      <c r="B4288" s="6" t="s">
        <v>20</v>
      </c>
      <c r="C4288" s="6" t="s">
        <v>32</v>
      </c>
      <c r="D4288" s="5">
        <v>45536</v>
      </c>
      <c r="E4288" s="6" t="s">
        <v>15</v>
      </c>
      <c r="F4288" s="7">
        <v>2342</v>
      </c>
      <c r="G4288" s="7">
        <v>162409.781383433</v>
      </c>
      <c r="H4288" s="7">
        <v>380363708</v>
      </c>
      <c r="I4288" s="7">
        <v>60329513</v>
      </c>
      <c r="J4288" s="7">
        <v>0</v>
      </c>
      <c r="K4288">
        <f t="shared" si="66"/>
        <v>122</v>
      </c>
      <c r="L4288" s="8" t="str" cm="1">
        <f t="array" ref="L4288">_xlfn.IFS(
 AND(K4288&gt;=89,K4288&lt;=92),"3개월",
 AND(K4288&gt;=58,K4288&lt;=62),"2개월",
 AND(K4288&gt;=28,K4288&lt;=32),"1개월",
 AND(K4288=0),"당월",
 TRUE,"그외"
)</f>
        <v>그외</v>
      </c>
    </row>
    <row r="4289" spans="1:12" x14ac:dyDescent="0.3">
      <c r="A4289" s="5">
        <v>45658</v>
      </c>
      <c r="B4289" s="6" t="s">
        <v>20</v>
      </c>
      <c r="C4289" s="6" t="s">
        <v>32</v>
      </c>
      <c r="D4289" s="5">
        <v>45566</v>
      </c>
      <c r="E4289" s="6" t="s">
        <v>14</v>
      </c>
      <c r="F4289" s="7">
        <v>12</v>
      </c>
      <c r="G4289" s="7">
        <v>116000</v>
      </c>
      <c r="H4289" s="7">
        <v>1392000</v>
      </c>
      <c r="I4289" s="7">
        <v>192000</v>
      </c>
      <c r="J4289" s="7">
        <v>0</v>
      </c>
      <c r="K4289">
        <f t="shared" si="66"/>
        <v>92</v>
      </c>
      <c r="L4289" s="8" t="str" cm="1">
        <f t="array" ref="L4289">_xlfn.IFS(
 AND(K4289&gt;=89,K4289&lt;=92),"3개월",
 AND(K4289&gt;=58,K4289&lt;=62),"2개월",
 AND(K4289&gt;=28,K4289&lt;=32),"1개월",
 AND(K4289=0),"당월",
 TRUE,"그외"
)</f>
        <v>3개월</v>
      </c>
    </row>
    <row r="4290" spans="1:12" x14ac:dyDescent="0.3">
      <c r="A4290" s="5">
        <v>45658</v>
      </c>
      <c r="B4290" s="6" t="s">
        <v>20</v>
      </c>
      <c r="C4290" s="6" t="s">
        <v>32</v>
      </c>
      <c r="D4290" s="5">
        <v>45566</v>
      </c>
      <c r="E4290" s="6" t="s">
        <v>15</v>
      </c>
      <c r="F4290" s="7">
        <v>3419</v>
      </c>
      <c r="G4290" s="7">
        <v>166395.7396899678</v>
      </c>
      <c r="H4290" s="7">
        <v>568907034</v>
      </c>
      <c r="I4290" s="7">
        <v>77299729</v>
      </c>
      <c r="J4290" s="7">
        <v>0</v>
      </c>
      <c r="K4290">
        <f t="shared" si="66"/>
        <v>92</v>
      </c>
      <c r="L4290" s="8" t="str" cm="1">
        <f t="array" ref="L4290">_xlfn.IFS(
 AND(K4290&gt;=89,K4290&lt;=92),"3개월",
 AND(K4290&gt;=58,K4290&lt;=62),"2개월",
 AND(K4290&gt;=28,K4290&lt;=32),"1개월",
 AND(K4290=0),"당월",
 TRUE,"그외"
)</f>
        <v>3개월</v>
      </c>
    </row>
    <row r="4291" spans="1:12" x14ac:dyDescent="0.3">
      <c r="A4291" s="5">
        <v>45658</v>
      </c>
      <c r="B4291" s="6" t="s">
        <v>20</v>
      </c>
      <c r="C4291" s="6" t="s">
        <v>32</v>
      </c>
      <c r="D4291" s="5">
        <v>45597</v>
      </c>
      <c r="E4291" s="6" t="s">
        <v>14</v>
      </c>
      <c r="F4291" s="7">
        <v>75</v>
      </c>
      <c r="G4291" s="7">
        <v>154666.66666666669</v>
      </c>
      <c r="H4291" s="7">
        <v>11600000</v>
      </c>
      <c r="I4291" s="7">
        <v>1200000</v>
      </c>
      <c r="J4291" s="7">
        <v>0</v>
      </c>
      <c r="K4291">
        <f t="shared" si="66"/>
        <v>61</v>
      </c>
      <c r="L4291" s="8" t="str" cm="1">
        <f t="array" ref="L4291">_xlfn.IFS(
 AND(K4291&gt;=89,K4291&lt;=92),"3개월",
 AND(K4291&gt;=58,K4291&lt;=62),"2개월",
 AND(K4291&gt;=28,K4291&lt;=32),"1개월",
 AND(K4291=0),"당월",
 TRUE,"그외"
)</f>
        <v>2개월</v>
      </c>
    </row>
    <row r="4292" spans="1:12" x14ac:dyDescent="0.3">
      <c r="A4292" s="5">
        <v>45658</v>
      </c>
      <c r="B4292" s="6" t="s">
        <v>20</v>
      </c>
      <c r="C4292" s="6" t="s">
        <v>32</v>
      </c>
      <c r="D4292" s="5">
        <v>45597</v>
      </c>
      <c r="E4292" s="6" t="s">
        <v>15</v>
      </c>
      <c r="F4292" s="7">
        <v>6028</v>
      </c>
      <c r="G4292" s="7">
        <v>178849.33112143329</v>
      </c>
      <c r="H4292" s="7">
        <v>1078103768</v>
      </c>
      <c r="I4292" s="7">
        <v>148374025</v>
      </c>
      <c r="J4292" s="7">
        <v>0</v>
      </c>
      <c r="K4292">
        <f t="shared" si="66"/>
        <v>61</v>
      </c>
      <c r="L4292" s="8" t="str" cm="1">
        <f t="array" ref="L4292">_xlfn.IFS(
 AND(K4292&gt;=89,K4292&lt;=92),"3개월",
 AND(K4292&gt;=58,K4292&lt;=62),"2개월",
 AND(K4292&gt;=28,K4292&lt;=32),"1개월",
 AND(K4292=0),"당월",
 TRUE,"그외"
)</f>
        <v>2개월</v>
      </c>
    </row>
    <row r="4293" spans="1:12" x14ac:dyDescent="0.3">
      <c r="A4293" s="5">
        <v>45658</v>
      </c>
      <c r="B4293" s="6" t="s">
        <v>20</v>
      </c>
      <c r="C4293" s="6" t="s">
        <v>32</v>
      </c>
      <c r="D4293" s="5">
        <v>45627</v>
      </c>
      <c r="E4293" s="6" t="s">
        <v>14</v>
      </c>
      <c r="F4293" s="7">
        <v>1794</v>
      </c>
      <c r="G4293" s="7">
        <v>176710.90412486071</v>
      </c>
      <c r="H4293" s="7">
        <v>317019362</v>
      </c>
      <c r="I4293" s="7">
        <v>36404746</v>
      </c>
      <c r="J4293" s="7">
        <v>0</v>
      </c>
      <c r="K4293">
        <f t="shared" si="66"/>
        <v>31</v>
      </c>
      <c r="L4293" s="8" t="str" cm="1">
        <f t="array" ref="L4293">_xlfn.IFS(
 AND(K4293&gt;=89,K4293&lt;=92),"3개월",
 AND(K4293&gt;=58,K4293&lt;=62),"2개월",
 AND(K4293&gt;=28,K4293&lt;=32),"1개월",
 AND(K4293=0),"당월",
 TRUE,"그외"
)</f>
        <v>1개월</v>
      </c>
    </row>
    <row r="4294" spans="1:12" x14ac:dyDescent="0.3">
      <c r="A4294" s="5">
        <v>45658</v>
      </c>
      <c r="B4294" s="6" t="s">
        <v>20</v>
      </c>
      <c r="C4294" s="6" t="s">
        <v>32</v>
      </c>
      <c r="D4294" s="5">
        <v>45627</v>
      </c>
      <c r="E4294" s="6" t="s">
        <v>15</v>
      </c>
      <c r="F4294" s="7">
        <v>9101</v>
      </c>
      <c r="G4294" s="7">
        <v>173376.15199648391</v>
      </c>
      <c r="H4294" s="7">
        <v>1577896359.3199999</v>
      </c>
      <c r="I4294" s="7">
        <v>200920959.31999999</v>
      </c>
      <c r="J4294" s="7">
        <v>0</v>
      </c>
      <c r="K4294">
        <f t="shared" si="66"/>
        <v>31</v>
      </c>
      <c r="L4294" s="8" t="str" cm="1">
        <f t="array" ref="L4294">_xlfn.IFS(
 AND(K4294&gt;=89,K4294&lt;=92),"3개월",
 AND(K4294&gt;=58,K4294&lt;=62),"2개월",
 AND(K4294&gt;=28,K4294&lt;=32),"1개월",
 AND(K4294=0),"당월",
 TRUE,"그외"
)</f>
        <v>1개월</v>
      </c>
    </row>
    <row r="4295" spans="1:12" x14ac:dyDescent="0.3">
      <c r="A4295" s="5">
        <v>45658</v>
      </c>
      <c r="B4295" s="6" t="s">
        <v>20</v>
      </c>
      <c r="C4295" s="6" t="s">
        <v>32</v>
      </c>
      <c r="D4295" s="5">
        <v>45658</v>
      </c>
      <c r="E4295" s="6" t="s">
        <v>14</v>
      </c>
      <c r="F4295" s="7">
        <v>1160</v>
      </c>
      <c r="G4295" s="7">
        <v>213834.5948275862</v>
      </c>
      <c r="H4295" s="7">
        <v>248048130</v>
      </c>
      <c r="I4295" s="7">
        <v>23163386</v>
      </c>
      <c r="J4295" s="7">
        <v>0</v>
      </c>
      <c r="K4295">
        <f t="shared" si="66"/>
        <v>0</v>
      </c>
      <c r="L4295" s="8" t="str" cm="1">
        <f t="array" ref="L4295">_xlfn.IFS(
 AND(K4295&gt;=89,K4295&lt;=92),"3개월",
 AND(K4295&gt;=58,K4295&lt;=62),"2개월",
 AND(K4295&gt;=28,K4295&lt;=32),"1개월",
 AND(K4295=0),"당월",
 TRUE,"그외"
)</f>
        <v>당월</v>
      </c>
    </row>
    <row r="4296" spans="1:12" x14ac:dyDescent="0.3">
      <c r="A4296" s="5">
        <v>45658</v>
      </c>
      <c r="B4296" s="6" t="s">
        <v>20</v>
      </c>
      <c r="C4296" s="6" t="s">
        <v>32</v>
      </c>
      <c r="D4296" s="5">
        <v>45658</v>
      </c>
      <c r="E4296" s="6" t="s">
        <v>15</v>
      </c>
      <c r="F4296" s="7">
        <v>6966</v>
      </c>
      <c r="G4296" s="7">
        <v>187769.42549526269</v>
      </c>
      <c r="H4296" s="7">
        <v>1308001818</v>
      </c>
      <c r="I4296" s="7">
        <v>155718047</v>
      </c>
      <c r="J4296" s="7">
        <v>0</v>
      </c>
      <c r="K4296">
        <f t="shared" si="66"/>
        <v>0</v>
      </c>
      <c r="L4296" s="8" t="str" cm="1">
        <f t="array" ref="L4296">_xlfn.IFS(
 AND(K4296&gt;=89,K4296&lt;=92),"3개월",
 AND(K4296&gt;=58,K4296&lt;=62),"2개월",
 AND(K4296&gt;=28,K4296&lt;=32),"1개월",
 AND(K4296=0),"당월",
 TRUE,"그외"
)</f>
        <v>당월</v>
      </c>
    </row>
    <row r="4297" spans="1:12" x14ac:dyDescent="0.3">
      <c r="A4297" s="5">
        <v>45658</v>
      </c>
      <c r="B4297" s="6" t="s">
        <v>20</v>
      </c>
      <c r="C4297" s="6" t="s">
        <v>33</v>
      </c>
      <c r="D4297" s="5">
        <v>45474</v>
      </c>
      <c r="E4297" s="6" t="s">
        <v>15</v>
      </c>
      <c r="F4297" s="7">
        <v>17</v>
      </c>
      <c r="G4297" s="7">
        <v>197712.4705882353</v>
      </c>
      <c r="H4297" s="7">
        <v>3361112</v>
      </c>
      <c r="I4297" s="7">
        <v>542356</v>
      </c>
      <c r="J4297" s="7">
        <v>0</v>
      </c>
      <c r="K4297">
        <f t="shared" si="66"/>
        <v>184</v>
      </c>
      <c r="L4297" s="8" t="str" cm="1">
        <f t="array" ref="L4297">_xlfn.IFS(
 AND(K4297&gt;=89,K4297&lt;=92),"3개월",
 AND(K4297&gt;=58,K4297&lt;=62),"2개월",
 AND(K4297&gt;=28,K4297&lt;=32),"1개월",
 AND(K4297=0),"당월",
 TRUE,"그외"
)</f>
        <v>그외</v>
      </c>
    </row>
    <row r="4298" spans="1:12" x14ac:dyDescent="0.3">
      <c r="A4298" s="5">
        <v>45658</v>
      </c>
      <c r="B4298" s="6" t="s">
        <v>20</v>
      </c>
      <c r="C4298" s="6" t="s">
        <v>33</v>
      </c>
      <c r="D4298" s="5">
        <v>45505</v>
      </c>
      <c r="E4298" s="6" t="s">
        <v>15</v>
      </c>
      <c r="F4298" s="7">
        <v>605</v>
      </c>
      <c r="G4298" s="7">
        <v>214226.2021157025</v>
      </c>
      <c r="H4298" s="7">
        <v>129606852.28</v>
      </c>
      <c r="I4298" s="7">
        <v>17137132.280000001</v>
      </c>
      <c r="J4298" s="7">
        <v>0</v>
      </c>
      <c r="K4298">
        <f t="shared" ref="K4298:K4361" si="67">A4298-D4298</f>
        <v>153</v>
      </c>
      <c r="L4298" s="8" t="str" cm="1">
        <f t="array" ref="L4298">_xlfn.IFS(
 AND(K4298&gt;=89,K4298&lt;=92),"3개월",
 AND(K4298&gt;=58,K4298&lt;=62),"2개월",
 AND(K4298&gt;=28,K4298&lt;=32),"1개월",
 AND(K4298=0),"당월",
 TRUE,"그외"
)</f>
        <v>그외</v>
      </c>
    </row>
    <row r="4299" spans="1:12" x14ac:dyDescent="0.3">
      <c r="A4299" s="5">
        <v>45658</v>
      </c>
      <c r="B4299" s="6" t="s">
        <v>20</v>
      </c>
      <c r="C4299" s="6" t="s">
        <v>33</v>
      </c>
      <c r="D4299" s="5">
        <v>45536</v>
      </c>
      <c r="E4299" s="6" t="s">
        <v>15</v>
      </c>
      <c r="F4299" s="7">
        <v>731</v>
      </c>
      <c r="G4299" s="7">
        <v>223443.47332421341</v>
      </c>
      <c r="H4299" s="7">
        <v>163337179</v>
      </c>
      <c r="I4299" s="7">
        <v>18096975</v>
      </c>
      <c r="J4299" s="7">
        <v>0</v>
      </c>
      <c r="K4299">
        <f t="shared" si="67"/>
        <v>122</v>
      </c>
      <c r="L4299" s="8" t="str" cm="1">
        <f t="array" ref="L4299">_xlfn.IFS(
 AND(K4299&gt;=89,K4299&lt;=92),"3개월",
 AND(K4299&gt;=58,K4299&lt;=62),"2개월",
 AND(K4299&gt;=28,K4299&lt;=32),"1개월",
 AND(K4299=0),"당월",
 TRUE,"그외"
)</f>
        <v>그외</v>
      </c>
    </row>
    <row r="4300" spans="1:12" x14ac:dyDescent="0.3">
      <c r="A4300" s="5">
        <v>45658</v>
      </c>
      <c r="B4300" s="6" t="s">
        <v>20</v>
      </c>
      <c r="C4300" s="6" t="s">
        <v>33</v>
      </c>
      <c r="D4300" s="5">
        <v>45566</v>
      </c>
      <c r="E4300" s="6" t="s">
        <v>15</v>
      </c>
      <c r="F4300" s="7">
        <v>1066</v>
      </c>
      <c r="G4300" s="7">
        <v>242628.04315196999</v>
      </c>
      <c r="H4300" s="7">
        <v>258641494</v>
      </c>
      <c r="I4300" s="7">
        <v>21805699</v>
      </c>
      <c r="J4300" s="7">
        <v>0</v>
      </c>
      <c r="K4300">
        <f t="shared" si="67"/>
        <v>92</v>
      </c>
      <c r="L4300" s="8" t="str" cm="1">
        <f t="array" ref="L4300">_xlfn.IFS(
 AND(K4300&gt;=89,K4300&lt;=92),"3개월",
 AND(K4300&gt;=58,K4300&lt;=62),"2개월",
 AND(K4300&gt;=28,K4300&lt;=32),"1개월",
 AND(K4300=0),"당월",
 TRUE,"그외"
)</f>
        <v>3개월</v>
      </c>
    </row>
    <row r="4301" spans="1:12" x14ac:dyDescent="0.3">
      <c r="A4301" s="5">
        <v>45658</v>
      </c>
      <c r="B4301" s="6" t="s">
        <v>20</v>
      </c>
      <c r="C4301" s="6" t="s">
        <v>33</v>
      </c>
      <c r="D4301" s="5">
        <v>45597</v>
      </c>
      <c r="E4301" s="6" t="s">
        <v>14</v>
      </c>
      <c r="F4301" s="7">
        <v>24</v>
      </c>
      <c r="G4301" s="7">
        <v>266000</v>
      </c>
      <c r="H4301" s="7">
        <v>6384000</v>
      </c>
      <c r="I4301" s="7">
        <v>384000</v>
      </c>
      <c r="J4301" s="7">
        <v>0</v>
      </c>
      <c r="K4301">
        <f t="shared" si="67"/>
        <v>61</v>
      </c>
      <c r="L4301" s="8" t="str" cm="1">
        <f t="array" ref="L4301">_xlfn.IFS(
 AND(K4301&gt;=89,K4301&lt;=92),"3개월",
 AND(K4301&gt;=58,K4301&lt;=62),"2개월",
 AND(K4301&gt;=28,K4301&lt;=32),"1개월",
 AND(K4301=0),"당월",
 TRUE,"그외"
)</f>
        <v>2개월</v>
      </c>
    </row>
    <row r="4302" spans="1:12" x14ac:dyDescent="0.3">
      <c r="A4302" s="5">
        <v>45658</v>
      </c>
      <c r="B4302" s="6" t="s">
        <v>20</v>
      </c>
      <c r="C4302" s="6" t="s">
        <v>33</v>
      </c>
      <c r="D4302" s="5">
        <v>45597</v>
      </c>
      <c r="E4302" s="6" t="s">
        <v>15</v>
      </c>
      <c r="F4302" s="7">
        <v>2225</v>
      </c>
      <c r="G4302" s="7">
        <v>240138.8768539326</v>
      </c>
      <c r="H4302" s="7">
        <v>534309001</v>
      </c>
      <c r="I4302" s="7">
        <v>45449691</v>
      </c>
      <c r="J4302" s="7">
        <v>0</v>
      </c>
      <c r="K4302">
        <f t="shared" si="67"/>
        <v>61</v>
      </c>
      <c r="L4302" s="8" t="str" cm="1">
        <f t="array" ref="L4302">_xlfn.IFS(
 AND(K4302&gt;=89,K4302&lt;=92),"3개월",
 AND(K4302&gt;=58,K4302&lt;=62),"2개월",
 AND(K4302&gt;=28,K4302&lt;=32),"1개월",
 AND(K4302=0),"당월",
 TRUE,"그외"
)</f>
        <v>2개월</v>
      </c>
    </row>
    <row r="4303" spans="1:12" x14ac:dyDescent="0.3">
      <c r="A4303" s="5">
        <v>45658</v>
      </c>
      <c r="B4303" s="6" t="s">
        <v>20</v>
      </c>
      <c r="C4303" s="6" t="s">
        <v>33</v>
      </c>
      <c r="D4303" s="5">
        <v>45627</v>
      </c>
      <c r="E4303" s="6" t="s">
        <v>14</v>
      </c>
      <c r="F4303" s="7">
        <v>639</v>
      </c>
      <c r="G4303" s="7">
        <v>228113.92801251961</v>
      </c>
      <c r="H4303" s="7">
        <v>145764800</v>
      </c>
      <c r="I4303" s="7">
        <v>12389800</v>
      </c>
      <c r="J4303" s="7">
        <v>0</v>
      </c>
      <c r="K4303">
        <f t="shared" si="67"/>
        <v>31</v>
      </c>
      <c r="L4303" s="8" t="str" cm="1">
        <f t="array" ref="L4303">_xlfn.IFS(
 AND(K4303&gt;=89,K4303&lt;=92),"3개월",
 AND(K4303&gt;=58,K4303&lt;=62),"2개월",
 AND(K4303&gt;=28,K4303&lt;=32),"1개월",
 AND(K4303=0),"당월",
 TRUE,"그외"
)</f>
        <v>1개월</v>
      </c>
    </row>
    <row r="4304" spans="1:12" x14ac:dyDescent="0.3">
      <c r="A4304" s="5">
        <v>45658</v>
      </c>
      <c r="B4304" s="6" t="s">
        <v>20</v>
      </c>
      <c r="C4304" s="6" t="s">
        <v>33</v>
      </c>
      <c r="D4304" s="5">
        <v>45627</v>
      </c>
      <c r="E4304" s="6" t="s">
        <v>15</v>
      </c>
      <c r="F4304" s="7">
        <v>3417</v>
      </c>
      <c r="G4304" s="7">
        <v>235309.44483465029</v>
      </c>
      <c r="H4304" s="7">
        <v>804052373</v>
      </c>
      <c r="I4304" s="7">
        <v>73052689</v>
      </c>
      <c r="J4304" s="7">
        <v>0</v>
      </c>
      <c r="K4304">
        <f t="shared" si="67"/>
        <v>31</v>
      </c>
      <c r="L4304" s="8" t="str" cm="1">
        <f t="array" ref="L4304">_xlfn.IFS(
 AND(K4304&gt;=89,K4304&lt;=92),"3개월",
 AND(K4304&gt;=58,K4304&lt;=62),"2개월",
 AND(K4304&gt;=28,K4304&lt;=32),"1개월",
 AND(K4304=0),"당월",
 TRUE,"그외"
)</f>
        <v>1개월</v>
      </c>
    </row>
    <row r="4305" spans="1:12" x14ac:dyDescent="0.3">
      <c r="A4305" s="5">
        <v>45658</v>
      </c>
      <c r="B4305" s="6" t="s">
        <v>20</v>
      </c>
      <c r="C4305" s="6" t="s">
        <v>33</v>
      </c>
      <c r="D4305" s="5">
        <v>45658</v>
      </c>
      <c r="E4305" s="6" t="s">
        <v>14</v>
      </c>
      <c r="F4305" s="7">
        <v>747</v>
      </c>
      <c r="G4305" s="7">
        <v>210636.27844712179</v>
      </c>
      <c r="H4305" s="7">
        <v>157345300</v>
      </c>
      <c r="I4305" s="7">
        <v>14712300</v>
      </c>
      <c r="J4305" s="7">
        <v>0</v>
      </c>
      <c r="K4305">
        <f t="shared" si="67"/>
        <v>0</v>
      </c>
      <c r="L4305" s="8" t="str" cm="1">
        <f t="array" ref="L4305">_xlfn.IFS(
 AND(K4305&gt;=89,K4305&lt;=92),"3개월",
 AND(K4305&gt;=58,K4305&lt;=62),"2개월",
 AND(K4305&gt;=28,K4305&lt;=32),"1개월",
 AND(K4305=0),"당월",
 TRUE,"그외"
)</f>
        <v>당월</v>
      </c>
    </row>
    <row r="4306" spans="1:12" x14ac:dyDescent="0.3">
      <c r="A4306" s="5">
        <v>45658</v>
      </c>
      <c r="B4306" s="6" t="s">
        <v>20</v>
      </c>
      <c r="C4306" s="6" t="s">
        <v>33</v>
      </c>
      <c r="D4306" s="5">
        <v>45658</v>
      </c>
      <c r="E4306" s="6" t="s">
        <v>15</v>
      </c>
      <c r="F4306" s="7">
        <v>1575</v>
      </c>
      <c r="G4306" s="7">
        <v>253391.85904761899</v>
      </c>
      <c r="H4306" s="7">
        <v>399092178</v>
      </c>
      <c r="I4306" s="7">
        <v>35111315</v>
      </c>
      <c r="J4306" s="7">
        <v>0</v>
      </c>
      <c r="K4306">
        <f t="shared" si="67"/>
        <v>0</v>
      </c>
      <c r="L4306" s="8" t="str" cm="1">
        <f t="array" ref="L4306">_xlfn.IFS(
 AND(K4306&gt;=89,K4306&lt;=92),"3개월",
 AND(K4306&gt;=58,K4306&lt;=62),"2개월",
 AND(K4306&gt;=28,K4306&lt;=32),"1개월",
 AND(K4306=0),"당월",
 TRUE,"그외"
)</f>
        <v>당월</v>
      </c>
    </row>
    <row r="4307" spans="1:12" x14ac:dyDescent="0.3">
      <c r="A4307" s="5">
        <v>45658</v>
      </c>
      <c r="B4307" s="6" t="s">
        <v>20</v>
      </c>
      <c r="C4307" s="6" t="s">
        <v>35</v>
      </c>
      <c r="D4307" s="5">
        <v>45474</v>
      </c>
      <c r="E4307" s="6" t="s">
        <v>15</v>
      </c>
      <c r="F4307" s="7">
        <v>23</v>
      </c>
      <c r="G4307" s="7">
        <v>314104.13043478259</v>
      </c>
      <c r="H4307" s="7">
        <v>7224395</v>
      </c>
      <c r="I4307" s="7">
        <v>653277</v>
      </c>
      <c r="J4307" s="7">
        <v>0</v>
      </c>
      <c r="K4307">
        <f t="shared" si="67"/>
        <v>184</v>
      </c>
      <c r="L4307" s="8" t="str" cm="1">
        <f t="array" ref="L4307">_xlfn.IFS(
 AND(K4307&gt;=89,K4307&lt;=92),"3개월",
 AND(K4307&gt;=58,K4307&lt;=62),"2개월",
 AND(K4307&gt;=28,K4307&lt;=32),"1개월",
 AND(K4307=0),"당월",
 TRUE,"그외"
)</f>
        <v>그외</v>
      </c>
    </row>
    <row r="4308" spans="1:12" x14ac:dyDescent="0.3">
      <c r="A4308" s="5">
        <v>45658</v>
      </c>
      <c r="B4308" s="6" t="s">
        <v>20</v>
      </c>
      <c r="C4308" s="6" t="s">
        <v>35</v>
      </c>
      <c r="D4308" s="5">
        <v>45505</v>
      </c>
      <c r="E4308" s="6" t="s">
        <v>15</v>
      </c>
      <c r="F4308" s="7">
        <v>395</v>
      </c>
      <c r="G4308" s="7">
        <v>328064.39615189872</v>
      </c>
      <c r="H4308" s="7">
        <v>129585436.48</v>
      </c>
      <c r="I4308" s="7">
        <v>11361128.48</v>
      </c>
      <c r="J4308" s="7">
        <v>0</v>
      </c>
      <c r="K4308">
        <f t="shared" si="67"/>
        <v>153</v>
      </c>
      <c r="L4308" s="8" t="str" cm="1">
        <f t="array" ref="L4308">_xlfn.IFS(
 AND(K4308&gt;=89,K4308&lt;=92),"3개월",
 AND(K4308&gt;=58,K4308&lt;=62),"2개월",
 AND(K4308&gt;=28,K4308&lt;=32),"1개월",
 AND(K4308=0),"당월",
 TRUE,"그외"
)</f>
        <v>그외</v>
      </c>
    </row>
    <row r="4309" spans="1:12" x14ac:dyDescent="0.3">
      <c r="A4309" s="5">
        <v>45658</v>
      </c>
      <c r="B4309" s="6" t="s">
        <v>20</v>
      </c>
      <c r="C4309" s="6" t="s">
        <v>35</v>
      </c>
      <c r="D4309" s="5">
        <v>45536</v>
      </c>
      <c r="E4309" s="6" t="s">
        <v>15</v>
      </c>
      <c r="F4309" s="7">
        <v>264</v>
      </c>
      <c r="G4309" s="7">
        <v>338447.69696969702</v>
      </c>
      <c r="H4309" s="7">
        <v>89350192</v>
      </c>
      <c r="I4309" s="7">
        <v>7273766</v>
      </c>
      <c r="J4309" s="7">
        <v>0</v>
      </c>
      <c r="K4309">
        <f t="shared" si="67"/>
        <v>122</v>
      </c>
      <c r="L4309" s="8" t="str" cm="1">
        <f t="array" ref="L4309">_xlfn.IFS(
 AND(K4309&gt;=89,K4309&lt;=92),"3개월",
 AND(K4309&gt;=58,K4309&lt;=62),"2개월",
 AND(K4309&gt;=28,K4309&lt;=32),"1개월",
 AND(K4309=0),"당월",
 TRUE,"그외"
)</f>
        <v>그외</v>
      </c>
    </row>
    <row r="4310" spans="1:12" x14ac:dyDescent="0.3">
      <c r="A4310" s="5">
        <v>45658</v>
      </c>
      <c r="B4310" s="6" t="s">
        <v>20</v>
      </c>
      <c r="C4310" s="6" t="s">
        <v>35</v>
      </c>
      <c r="D4310" s="5">
        <v>45566</v>
      </c>
      <c r="E4310" s="6" t="s">
        <v>14</v>
      </c>
      <c r="F4310" s="7">
        <v>2</v>
      </c>
      <c r="G4310" s="7">
        <v>256000</v>
      </c>
      <c r="H4310" s="7">
        <v>512000</v>
      </c>
      <c r="I4310" s="7">
        <v>32000</v>
      </c>
      <c r="J4310" s="7">
        <v>0</v>
      </c>
      <c r="K4310">
        <f t="shared" si="67"/>
        <v>92</v>
      </c>
      <c r="L4310" s="8" t="str" cm="1">
        <f t="array" ref="L4310">_xlfn.IFS(
 AND(K4310&gt;=89,K4310&lt;=92),"3개월",
 AND(K4310&gt;=58,K4310&lt;=62),"2개월",
 AND(K4310&gt;=28,K4310&lt;=32),"1개월",
 AND(K4310=0),"당월",
 TRUE,"그외"
)</f>
        <v>3개월</v>
      </c>
    </row>
    <row r="4311" spans="1:12" x14ac:dyDescent="0.3">
      <c r="A4311" s="5">
        <v>45658</v>
      </c>
      <c r="B4311" s="6" t="s">
        <v>20</v>
      </c>
      <c r="C4311" s="6" t="s">
        <v>35</v>
      </c>
      <c r="D4311" s="5">
        <v>45566</v>
      </c>
      <c r="E4311" s="6" t="s">
        <v>15</v>
      </c>
      <c r="F4311" s="7">
        <v>750</v>
      </c>
      <c r="G4311" s="7">
        <v>315019.91200000001</v>
      </c>
      <c r="H4311" s="7">
        <v>236264934</v>
      </c>
      <c r="I4311" s="7">
        <v>14417321</v>
      </c>
      <c r="J4311" s="7">
        <v>0</v>
      </c>
      <c r="K4311">
        <f t="shared" si="67"/>
        <v>92</v>
      </c>
      <c r="L4311" s="8" t="str" cm="1">
        <f t="array" ref="L4311">_xlfn.IFS(
 AND(K4311&gt;=89,K4311&lt;=92),"3개월",
 AND(K4311&gt;=58,K4311&lt;=62),"2개월",
 AND(K4311&gt;=28,K4311&lt;=32),"1개월",
 AND(K4311=0),"당월",
 TRUE,"그외"
)</f>
        <v>3개월</v>
      </c>
    </row>
    <row r="4312" spans="1:12" x14ac:dyDescent="0.3">
      <c r="A4312" s="5">
        <v>45658</v>
      </c>
      <c r="B4312" s="6" t="s">
        <v>20</v>
      </c>
      <c r="C4312" s="6" t="s">
        <v>35</v>
      </c>
      <c r="D4312" s="5">
        <v>45597</v>
      </c>
      <c r="E4312" s="6" t="s">
        <v>14</v>
      </c>
      <c r="F4312" s="7">
        <v>749</v>
      </c>
      <c r="G4312" s="7">
        <v>246500.66755674229</v>
      </c>
      <c r="H4312" s="7">
        <v>184629000</v>
      </c>
      <c r="I4312" s="7">
        <v>11984000</v>
      </c>
      <c r="J4312" s="7">
        <v>0</v>
      </c>
      <c r="K4312">
        <f t="shared" si="67"/>
        <v>61</v>
      </c>
      <c r="L4312" s="8" t="str" cm="1">
        <f t="array" ref="L4312">_xlfn.IFS(
 AND(K4312&gt;=89,K4312&lt;=92),"3개월",
 AND(K4312&gt;=58,K4312&lt;=62),"2개월",
 AND(K4312&gt;=28,K4312&lt;=32),"1개월",
 AND(K4312=0),"당월",
 TRUE,"그외"
)</f>
        <v>2개월</v>
      </c>
    </row>
    <row r="4313" spans="1:12" x14ac:dyDescent="0.3">
      <c r="A4313" s="5">
        <v>45658</v>
      </c>
      <c r="B4313" s="6" t="s">
        <v>20</v>
      </c>
      <c r="C4313" s="6" t="s">
        <v>35</v>
      </c>
      <c r="D4313" s="5">
        <v>45597</v>
      </c>
      <c r="E4313" s="6" t="s">
        <v>15</v>
      </c>
      <c r="F4313" s="7">
        <v>1512</v>
      </c>
      <c r="G4313" s="7">
        <v>336043.65476190468</v>
      </c>
      <c r="H4313" s="7">
        <v>508098006</v>
      </c>
      <c r="I4313" s="7">
        <v>35259219</v>
      </c>
      <c r="J4313" s="7">
        <v>0</v>
      </c>
      <c r="K4313">
        <f t="shared" si="67"/>
        <v>61</v>
      </c>
      <c r="L4313" s="8" t="str" cm="1">
        <f t="array" ref="L4313">_xlfn.IFS(
 AND(K4313&gt;=89,K4313&lt;=92),"3개월",
 AND(K4313&gt;=58,K4313&lt;=62),"2개월",
 AND(K4313&gt;=28,K4313&lt;=32),"1개월",
 AND(K4313=0),"당월",
 TRUE,"그외"
)</f>
        <v>2개월</v>
      </c>
    </row>
    <row r="4314" spans="1:12" x14ac:dyDescent="0.3">
      <c r="A4314" s="5">
        <v>45658</v>
      </c>
      <c r="B4314" s="6" t="s">
        <v>20</v>
      </c>
      <c r="C4314" s="6" t="s">
        <v>35</v>
      </c>
      <c r="D4314" s="5">
        <v>45627</v>
      </c>
      <c r="E4314" s="6" t="s">
        <v>14</v>
      </c>
      <c r="F4314" s="7">
        <v>1732</v>
      </c>
      <c r="G4314" s="7">
        <v>1451618.937644342</v>
      </c>
      <c r="H4314" s="7">
        <v>2514204000</v>
      </c>
      <c r="I4314" s="7">
        <v>21954000</v>
      </c>
      <c r="J4314" s="7">
        <v>0</v>
      </c>
      <c r="K4314">
        <f t="shared" si="67"/>
        <v>31</v>
      </c>
      <c r="L4314" s="8" t="str" cm="1">
        <f t="array" ref="L4314">_xlfn.IFS(
 AND(K4314&gt;=89,K4314&lt;=92),"3개월",
 AND(K4314&gt;=58,K4314&lt;=62),"2개월",
 AND(K4314&gt;=28,K4314&lt;=32),"1개월",
 AND(K4314=0),"당월",
 TRUE,"그외"
)</f>
        <v>1개월</v>
      </c>
    </row>
    <row r="4315" spans="1:12" x14ac:dyDescent="0.3">
      <c r="A4315" s="5">
        <v>45658</v>
      </c>
      <c r="B4315" s="6" t="s">
        <v>20</v>
      </c>
      <c r="C4315" s="6" t="s">
        <v>35</v>
      </c>
      <c r="D4315" s="5">
        <v>45627</v>
      </c>
      <c r="E4315" s="6" t="s">
        <v>15</v>
      </c>
      <c r="F4315" s="7">
        <v>2142</v>
      </c>
      <c r="G4315" s="7">
        <v>302018.44397759112</v>
      </c>
      <c r="H4315" s="7">
        <v>646923507</v>
      </c>
      <c r="I4315" s="7">
        <v>47394211</v>
      </c>
      <c r="J4315" s="7">
        <v>0</v>
      </c>
      <c r="K4315">
        <f t="shared" si="67"/>
        <v>31</v>
      </c>
      <c r="L4315" s="8" t="str" cm="1">
        <f t="array" ref="L4315">_xlfn.IFS(
 AND(K4315&gt;=89,K4315&lt;=92),"3개월",
 AND(K4315&gt;=58,K4315&lt;=62),"2개월",
 AND(K4315&gt;=28,K4315&lt;=32),"1개월",
 AND(K4315=0),"당월",
 TRUE,"그외"
)</f>
        <v>1개월</v>
      </c>
    </row>
    <row r="4316" spans="1:12" x14ac:dyDescent="0.3">
      <c r="A4316" s="5">
        <v>45658</v>
      </c>
      <c r="B4316" s="6" t="s">
        <v>20</v>
      </c>
      <c r="C4316" s="6" t="s">
        <v>35</v>
      </c>
      <c r="D4316" s="5">
        <v>45658</v>
      </c>
      <c r="E4316" s="6" t="s">
        <v>14</v>
      </c>
      <c r="F4316" s="7">
        <v>8778</v>
      </c>
      <c r="G4316" s="7">
        <v>16086.466165413531</v>
      </c>
      <c r="H4316" s="7">
        <v>141207000</v>
      </c>
      <c r="I4316" s="7">
        <v>9907000</v>
      </c>
      <c r="J4316" s="7">
        <v>0</v>
      </c>
      <c r="K4316">
        <f t="shared" si="67"/>
        <v>0</v>
      </c>
      <c r="L4316" s="8" t="str" cm="1">
        <f t="array" ref="L4316">_xlfn.IFS(
 AND(K4316&gt;=89,K4316&lt;=92),"3개월",
 AND(K4316&gt;=58,K4316&lt;=62),"2개월",
 AND(K4316&gt;=28,K4316&lt;=32),"1개월",
 AND(K4316=0),"당월",
 TRUE,"그외"
)</f>
        <v>당월</v>
      </c>
    </row>
    <row r="4317" spans="1:12" x14ac:dyDescent="0.3">
      <c r="A4317" s="5">
        <v>45658</v>
      </c>
      <c r="B4317" s="6" t="s">
        <v>20</v>
      </c>
      <c r="C4317" s="6" t="s">
        <v>35</v>
      </c>
      <c r="D4317" s="5">
        <v>45658</v>
      </c>
      <c r="E4317" s="6" t="s">
        <v>15</v>
      </c>
      <c r="F4317" s="7">
        <v>926</v>
      </c>
      <c r="G4317" s="7">
        <v>284552.06371490279</v>
      </c>
      <c r="H4317" s="7">
        <v>263495211</v>
      </c>
      <c r="I4317" s="7">
        <v>20553622</v>
      </c>
      <c r="J4317" s="7">
        <v>0</v>
      </c>
      <c r="K4317">
        <f t="shared" si="67"/>
        <v>0</v>
      </c>
      <c r="L4317" s="8" t="str" cm="1">
        <f t="array" ref="L4317">_xlfn.IFS(
 AND(K4317&gt;=89,K4317&lt;=92),"3개월",
 AND(K4317&gt;=58,K4317&lt;=62),"2개월",
 AND(K4317&gt;=28,K4317&lt;=32),"1개월",
 AND(K4317=0),"당월",
 TRUE,"그외"
)</f>
        <v>당월</v>
      </c>
    </row>
    <row r="4318" spans="1:12" x14ac:dyDescent="0.3">
      <c r="A4318" s="5">
        <v>45658</v>
      </c>
      <c r="B4318" s="6" t="s">
        <v>20</v>
      </c>
      <c r="C4318" s="6" t="s">
        <v>98</v>
      </c>
      <c r="D4318" s="5">
        <v>45627</v>
      </c>
      <c r="E4318" s="6" t="s">
        <v>14</v>
      </c>
      <c r="F4318" s="7">
        <v>2305</v>
      </c>
      <c r="G4318" s="7">
        <v>603557.48373101954</v>
      </c>
      <c r="H4318" s="7">
        <v>1391200000</v>
      </c>
      <c r="I4318" s="7">
        <v>0</v>
      </c>
      <c r="J4318" s="7">
        <v>0</v>
      </c>
      <c r="K4318">
        <f t="shared" si="67"/>
        <v>31</v>
      </c>
      <c r="L4318" s="8" t="str" cm="1">
        <f t="array" ref="L4318">_xlfn.IFS(
 AND(K4318&gt;=89,K4318&lt;=92),"3개월",
 AND(K4318&gt;=58,K4318&lt;=62),"2개월",
 AND(K4318&gt;=28,K4318&lt;=32),"1개월",
 AND(K4318=0),"당월",
 TRUE,"그외"
)</f>
        <v>1개월</v>
      </c>
    </row>
    <row r="4319" spans="1:12" x14ac:dyDescent="0.3">
      <c r="A4319" s="5">
        <v>45658</v>
      </c>
      <c r="B4319" s="6" t="s">
        <v>20</v>
      </c>
      <c r="C4319" s="6" t="s">
        <v>98</v>
      </c>
      <c r="D4319" s="5">
        <v>45627</v>
      </c>
      <c r="E4319" s="6" t="s">
        <v>15</v>
      </c>
      <c r="F4319" s="7">
        <v>4</v>
      </c>
      <c r="G4319" s="7">
        <v>18629</v>
      </c>
      <c r="H4319" s="7">
        <v>74516</v>
      </c>
      <c r="I4319" s="7">
        <v>0</v>
      </c>
      <c r="J4319" s="7">
        <v>0</v>
      </c>
      <c r="K4319">
        <f t="shared" si="67"/>
        <v>31</v>
      </c>
      <c r="L4319" s="8" t="str" cm="1">
        <f t="array" ref="L4319">_xlfn.IFS(
 AND(K4319&gt;=89,K4319&lt;=92),"3개월",
 AND(K4319&gt;=58,K4319&lt;=62),"2개월",
 AND(K4319&gt;=28,K4319&lt;=32),"1개월",
 AND(K4319=0),"당월",
 TRUE,"그외"
)</f>
        <v>1개월</v>
      </c>
    </row>
    <row r="4320" spans="1:12" x14ac:dyDescent="0.3">
      <c r="A4320" s="5">
        <v>45658</v>
      </c>
      <c r="B4320" s="6" t="s">
        <v>20</v>
      </c>
      <c r="C4320" s="6" t="s">
        <v>98</v>
      </c>
      <c r="D4320" s="5">
        <v>45658</v>
      </c>
      <c r="E4320" s="6" t="s">
        <v>14</v>
      </c>
      <c r="F4320" s="7">
        <v>3595</v>
      </c>
      <c r="G4320" s="7">
        <v>0</v>
      </c>
      <c r="H4320" s="7">
        <v>0</v>
      </c>
      <c r="I4320" s="7">
        <v>0</v>
      </c>
      <c r="J4320" s="7">
        <v>0</v>
      </c>
      <c r="K4320">
        <f t="shared" si="67"/>
        <v>0</v>
      </c>
      <c r="L4320" s="8" t="str" cm="1">
        <f t="array" ref="L4320">_xlfn.IFS(
 AND(K4320&gt;=89,K4320&lt;=92),"3개월",
 AND(K4320&gt;=58,K4320&lt;=62),"2개월",
 AND(K4320&gt;=28,K4320&lt;=32),"1개월",
 AND(K4320=0),"당월",
 TRUE,"그외"
)</f>
        <v>당월</v>
      </c>
    </row>
    <row r="4321" spans="1:12" x14ac:dyDescent="0.3">
      <c r="A4321" s="5">
        <v>45658</v>
      </c>
      <c r="B4321" s="6" t="s">
        <v>20</v>
      </c>
      <c r="C4321" s="6" t="s">
        <v>98</v>
      </c>
      <c r="D4321" s="5">
        <v>45658</v>
      </c>
      <c r="E4321" s="6" t="s">
        <v>15</v>
      </c>
      <c r="F4321" s="7">
        <v>7</v>
      </c>
      <c r="G4321" s="7">
        <v>343214.57142857142</v>
      </c>
      <c r="H4321" s="7">
        <v>2402502</v>
      </c>
      <c r="I4321" s="7">
        <v>127464</v>
      </c>
      <c r="J4321" s="7">
        <v>0</v>
      </c>
      <c r="K4321">
        <f t="shared" si="67"/>
        <v>0</v>
      </c>
      <c r="L4321" s="8" t="str" cm="1">
        <f t="array" ref="L4321">_xlfn.IFS(
 AND(K4321&gt;=89,K4321&lt;=92),"3개월",
 AND(K4321&gt;=58,K4321&lt;=62),"2개월",
 AND(K4321&gt;=28,K4321&lt;=32),"1개월",
 AND(K4321=0),"당월",
 TRUE,"그외"
)</f>
        <v>당월</v>
      </c>
    </row>
    <row r="4322" spans="1:12" x14ac:dyDescent="0.3">
      <c r="A4322" s="5">
        <v>45658</v>
      </c>
      <c r="B4322" s="6" t="s">
        <v>20</v>
      </c>
      <c r="C4322" s="6" t="s">
        <v>36</v>
      </c>
      <c r="D4322" s="5">
        <v>45474</v>
      </c>
      <c r="E4322" s="6" t="s">
        <v>15</v>
      </c>
      <c r="F4322" s="7">
        <v>80</v>
      </c>
      <c r="G4322" s="7">
        <v>218127.07500000001</v>
      </c>
      <c r="H4322" s="7">
        <v>17450166</v>
      </c>
      <c r="I4322" s="7">
        <v>1962536</v>
      </c>
      <c r="J4322" s="7">
        <v>0</v>
      </c>
      <c r="K4322">
        <f t="shared" si="67"/>
        <v>184</v>
      </c>
      <c r="L4322" s="8" t="str" cm="1">
        <f t="array" ref="L4322">_xlfn.IFS(
 AND(K4322&gt;=89,K4322&lt;=92),"3개월",
 AND(K4322&gt;=58,K4322&lt;=62),"2개월",
 AND(K4322&gt;=28,K4322&lt;=32),"1개월",
 AND(K4322=0),"당월",
 TRUE,"그외"
)</f>
        <v>그외</v>
      </c>
    </row>
    <row r="4323" spans="1:12" x14ac:dyDescent="0.3">
      <c r="A4323" s="5">
        <v>45658</v>
      </c>
      <c r="B4323" s="6" t="s">
        <v>20</v>
      </c>
      <c r="C4323" s="6" t="s">
        <v>36</v>
      </c>
      <c r="D4323" s="5">
        <v>45505</v>
      </c>
      <c r="E4323" s="6" t="s">
        <v>15</v>
      </c>
      <c r="F4323" s="7">
        <v>272</v>
      </c>
      <c r="G4323" s="7">
        <v>200729.1813235294</v>
      </c>
      <c r="H4323" s="7">
        <v>54598337.32</v>
      </c>
      <c r="I4323" s="7">
        <v>7605334.3200000003</v>
      </c>
      <c r="J4323" s="7">
        <v>0</v>
      </c>
      <c r="K4323">
        <f t="shared" si="67"/>
        <v>153</v>
      </c>
      <c r="L4323" s="8" t="str" cm="1">
        <f t="array" ref="L4323">_xlfn.IFS(
 AND(K4323&gt;=89,K4323&lt;=92),"3개월",
 AND(K4323&gt;=58,K4323&lt;=62),"2개월",
 AND(K4323&gt;=28,K4323&lt;=32),"1개월",
 AND(K4323=0),"당월",
 TRUE,"그외"
)</f>
        <v>그외</v>
      </c>
    </row>
    <row r="4324" spans="1:12" x14ac:dyDescent="0.3">
      <c r="A4324" s="5">
        <v>45658</v>
      </c>
      <c r="B4324" s="6" t="s">
        <v>20</v>
      </c>
      <c r="C4324" s="6" t="s">
        <v>36</v>
      </c>
      <c r="D4324" s="5">
        <v>45536</v>
      </c>
      <c r="E4324" s="6" t="s">
        <v>15</v>
      </c>
      <c r="F4324" s="7">
        <v>300</v>
      </c>
      <c r="G4324" s="7">
        <v>203985.22666666671</v>
      </c>
      <c r="H4324" s="7">
        <v>61195568</v>
      </c>
      <c r="I4324" s="7">
        <v>6944980</v>
      </c>
      <c r="J4324" s="7">
        <v>0</v>
      </c>
      <c r="K4324">
        <f t="shared" si="67"/>
        <v>122</v>
      </c>
      <c r="L4324" s="8" t="str" cm="1">
        <f t="array" ref="L4324">_xlfn.IFS(
 AND(K4324&gt;=89,K4324&lt;=92),"3개월",
 AND(K4324&gt;=58,K4324&lt;=62),"2개월",
 AND(K4324&gt;=28,K4324&lt;=32),"1개월",
 AND(K4324=0),"당월",
 TRUE,"그외"
)</f>
        <v>그외</v>
      </c>
    </row>
    <row r="4325" spans="1:12" x14ac:dyDescent="0.3">
      <c r="A4325" s="5">
        <v>45658</v>
      </c>
      <c r="B4325" s="6" t="s">
        <v>20</v>
      </c>
      <c r="C4325" s="6" t="s">
        <v>36</v>
      </c>
      <c r="D4325" s="5">
        <v>45566</v>
      </c>
      <c r="E4325" s="6" t="s">
        <v>15</v>
      </c>
      <c r="F4325" s="7">
        <v>686</v>
      </c>
      <c r="G4325" s="7">
        <v>224627.0918367347</v>
      </c>
      <c r="H4325" s="7">
        <v>154094185</v>
      </c>
      <c r="I4325" s="7">
        <v>13372947</v>
      </c>
      <c r="J4325" s="7">
        <v>0</v>
      </c>
      <c r="K4325">
        <f t="shared" si="67"/>
        <v>92</v>
      </c>
      <c r="L4325" s="8" t="str" cm="1">
        <f t="array" ref="L4325">_xlfn.IFS(
 AND(K4325&gt;=89,K4325&lt;=92),"3개월",
 AND(K4325&gt;=58,K4325&lt;=62),"2개월",
 AND(K4325&gt;=28,K4325&lt;=32),"1개월",
 AND(K4325=0),"당월",
 TRUE,"그외"
)</f>
        <v>3개월</v>
      </c>
    </row>
    <row r="4326" spans="1:12" x14ac:dyDescent="0.3">
      <c r="A4326" s="5">
        <v>45658</v>
      </c>
      <c r="B4326" s="6" t="s">
        <v>20</v>
      </c>
      <c r="C4326" s="6" t="s">
        <v>36</v>
      </c>
      <c r="D4326" s="5">
        <v>45597</v>
      </c>
      <c r="E4326" s="6" t="s">
        <v>14</v>
      </c>
      <c r="F4326" s="7">
        <v>644</v>
      </c>
      <c r="G4326" s="7">
        <v>153127.3291925466</v>
      </c>
      <c r="H4326" s="7">
        <v>98614000</v>
      </c>
      <c r="I4326" s="7">
        <v>10304000</v>
      </c>
      <c r="J4326" s="7">
        <v>0</v>
      </c>
      <c r="K4326">
        <f t="shared" si="67"/>
        <v>61</v>
      </c>
      <c r="L4326" s="8" t="str" cm="1">
        <f t="array" ref="L4326">_xlfn.IFS(
 AND(K4326&gt;=89,K4326&lt;=92),"3개월",
 AND(K4326&gt;=58,K4326&lt;=62),"2개월",
 AND(K4326&gt;=28,K4326&lt;=32),"1개월",
 AND(K4326=0),"당월",
 TRUE,"그외"
)</f>
        <v>2개월</v>
      </c>
    </row>
    <row r="4327" spans="1:12" x14ac:dyDescent="0.3">
      <c r="A4327" s="5">
        <v>45658</v>
      </c>
      <c r="B4327" s="6" t="s">
        <v>20</v>
      </c>
      <c r="C4327" s="6" t="s">
        <v>36</v>
      </c>
      <c r="D4327" s="5">
        <v>45597</v>
      </c>
      <c r="E4327" s="6" t="s">
        <v>15</v>
      </c>
      <c r="F4327" s="7">
        <v>1279</v>
      </c>
      <c r="G4327" s="7">
        <v>192858.98983580919</v>
      </c>
      <c r="H4327" s="7">
        <v>246666648</v>
      </c>
      <c r="I4327" s="7">
        <v>24126733</v>
      </c>
      <c r="J4327" s="7">
        <v>0</v>
      </c>
      <c r="K4327">
        <f t="shared" si="67"/>
        <v>61</v>
      </c>
      <c r="L4327" s="8" t="str" cm="1">
        <f t="array" ref="L4327">_xlfn.IFS(
 AND(K4327&gt;=89,K4327&lt;=92),"3개월",
 AND(K4327&gt;=58,K4327&lt;=62),"2개월",
 AND(K4327&gt;=28,K4327&lt;=32),"1개월",
 AND(K4327=0),"당월",
 TRUE,"그외"
)</f>
        <v>2개월</v>
      </c>
    </row>
    <row r="4328" spans="1:12" x14ac:dyDescent="0.3">
      <c r="A4328" s="5">
        <v>45658</v>
      </c>
      <c r="B4328" s="6" t="s">
        <v>20</v>
      </c>
      <c r="C4328" s="6" t="s">
        <v>36</v>
      </c>
      <c r="D4328" s="5">
        <v>45627</v>
      </c>
      <c r="E4328" s="6" t="s">
        <v>14</v>
      </c>
      <c r="F4328" s="7">
        <v>1522</v>
      </c>
      <c r="G4328" s="7">
        <v>175124.83574244409</v>
      </c>
      <c r="H4328" s="7">
        <v>266540000</v>
      </c>
      <c r="I4328" s="7">
        <v>29520000</v>
      </c>
      <c r="J4328" s="7">
        <v>0</v>
      </c>
      <c r="K4328">
        <f t="shared" si="67"/>
        <v>31</v>
      </c>
      <c r="L4328" s="8" t="str" cm="1">
        <f t="array" ref="L4328">_xlfn.IFS(
 AND(K4328&gt;=89,K4328&lt;=92),"3개월",
 AND(K4328&gt;=58,K4328&lt;=62),"2개월",
 AND(K4328&gt;=28,K4328&lt;=32),"1개월",
 AND(K4328=0),"당월",
 TRUE,"그외"
)</f>
        <v>1개월</v>
      </c>
    </row>
    <row r="4329" spans="1:12" x14ac:dyDescent="0.3">
      <c r="A4329" s="5">
        <v>45658</v>
      </c>
      <c r="B4329" s="6" t="s">
        <v>20</v>
      </c>
      <c r="C4329" s="6" t="s">
        <v>36</v>
      </c>
      <c r="D4329" s="5">
        <v>45627</v>
      </c>
      <c r="E4329" s="6" t="s">
        <v>15</v>
      </c>
      <c r="F4329" s="7">
        <v>2494</v>
      </c>
      <c r="G4329" s="7">
        <v>199076.4125902165</v>
      </c>
      <c r="H4329" s="7">
        <v>496496573</v>
      </c>
      <c r="I4329" s="7">
        <v>53616947</v>
      </c>
      <c r="J4329" s="7">
        <v>0</v>
      </c>
      <c r="K4329">
        <f t="shared" si="67"/>
        <v>31</v>
      </c>
      <c r="L4329" s="8" t="str" cm="1">
        <f t="array" ref="L4329">_xlfn.IFS(
 AND(K4329&gt;=89,K4329&lt;=92),"3개월",
 AND(K4329&gt;=58,K4329&lt;=62),"2개월",
 AND(K4329&gt;=28,K4329&lt;=32),"1개월",
 AND(K4329=0),"당월",
 TRUE,"그외"
)</f>
        <v>1개월</v>
      </c>
    </row>
    <row r="4330" spans="1:12" x14ac:dyDescent="0.3">
      <c r="A4330" s="5">
        <v>45658</v>
      </c>
      <c r="B4330" s="6" t="s">
        <v>20</v>
      </c>
      <c r="C4330" s="6" t="s">
        <v>36</v>
      </c>
      <c r="D4330" s="5">
        <v>45658</v>
      </c>
      <c r="E4330" s="6" t="s">
        <v>14</v>
      </c>
      <c r="F4330" s="7">
        <v>1694</v>
      </c>
      <c r="G4330" s="7">
        <v>208976.50531286889</v>
      </c>
      <c r="H4330" s="7">
        <v>354006200</v>
      </c>
      <c r="I4330" s="7">
        <v>33326200</v>
      </c>
      <c r="J4330" s="7">
        <v>0</v>
      </c>
      <c r="K4330">
        <f t="shared" si="67"/>
        <v>0</v>
      </c>
      <c r="L4330" s="8" t="str" cm="1">
        <f t="array" ref="L4330">_xlfn.IFS(
 AND(K4330&gt;=89,K4330&lt;=92),"3개월",
 AND(K4330&gt;=58,K4330&lt;=62),"2개월",
 AND(K4330&gt;=28,K4330&lt;=32),"1개월",
 AND(K4330=0),"당월",
 TRUE,"그외"
)</f>
        <v>당월</v>
      </c>
    </row>
    <row r="4331" spans="1:12" x14ac:dyDescent="0.3">
      <c r="A4331" s="5">
        <v>45658</v>
      </c>
      <c r="B4331" s="6" t="s">
        <v>20</v>
      </c>
      <c r="C4331" s="6" t="s">
        <v>36</v>
      </c>
      <c r="D4331" s="5">
        <v>45658</v>
      </c>
      <c r="E4331" s="6" t="s">
        <v>15</v>
      </c>
      <c r="F4331" s="7">
        <v>1829</v>
      </c>
      <c r="G4331" s="7">
        <v>178488.235647895</v>
      </c>
      <c r="H4331" s="7">
        <v>326454983</v>
      </c>
      <c r="I4331" s="7">
        <v>39243767</v>
      </c>
      <c r="J4331" s="7">
        <v>0</v>
      </c>
      <c r="K4331">
        <f t="shared" si="67"/>
        <v>0</v>
      </c>
      <c r="L4331" s="8" t="str" cm="1">
        <f t="array" ref="L4331">_xlfn.IFS(
 AND(K4331&gt;=89,K4331&lt;=92),"3개월",
 AND(K4331&gt;=58,K4331&lt;=62),"2개월",
 AND(K4331&gt;=28,K4331&lt;=32),"1개월",
 AND(K4331=0),"당월",
 TRUE,"그외"
)</f>
        <v>당월</v>
      </c>
    </row>
    <row r="4332" spans="1:12" x14ac:dyDescent="0.3">
      <c r="A4332" s="5">
        <v>45658</v>
      </c>
      <c r="B4332" s="6" t="s">
        <v>20</v>
      </c>
      <c r="C4332" s="6" t="s">
        <v>37</v>
      </c>
      <c r="D4332" s="5">
        <v>45474</v>
      </c>
      <c r="E4332" s="6" t="s">
        <v>15</v>
      </c>
      <c r="F4332" s="7">
        <v>8</v>
      </c>
      <c r="G4332" s="7">
        <v>137300</v>
      </c>
      <c r="H4332" s="7">
        <v>1098400</v>
      </c>
      <c r="I4332" s="7">
        <v>98400</v>
      </c>
      <c r="J4332" s="7">
        <v>0</v>
      </c>
      <c r="K4332">
        <f t="shared" si="67"/>
        <v>184</v>
      </c>
      <c r="L4332" s="8" t="str" cm="1">
        <f t="array" ref="L4332">_xlfn.IFS(
 AND(K4332&gt;=89,K4332&lt;=92),"3개월",
 AND(K4332&gt;=58,K4332&lt;=62),"2개월",
 AND(K4332&gt;=28,K4332&lt;=32),"1개월",
 AND(K4332=0),"당월",
 TRUE,"그외"
)</f>
        <v>그외</v>
      </c>
    </row>
    <row r="4333" spans="1:12" x14ac:dyDescent="0.3">
      <c r="A4333" s="5">
        <v>45658</v>
      </c>
      <c r="B4333" s="6" t="s">
        <v>20</v>
      </c>
      <c r="C4333" s="6" t="s">
        <v>37</v>
      </c>
      <c r="D4333" s="5">
        <v>45505</v>
      </c>
      <c r="E4333" s="6" t="s">
        <v>15</v>
      </c>
      <c r="F4333" s="7">
        <v>176</v>
      </c>
      <c r="G4333" s="7">
        <v>138653.88068181821</v>
      </c>
      <c r="H4333" s="7">
        <v>24403083</v>
      </c>
      <c r="I4333" s="7">
        <v>3040582</v>
      </c>
      <c r="J4333" s="7">
        <v>0</v>
      </c>
      <c r="K4333">
        <f t="shared" si="67"/>
        <v>153</v>
      </c>
      <c r="L4333" s="8" t="str" cm="1">
        <f t="array" ref="L4333">_xlfn.IFS(
 AND(K4333&gt;=89,K4333&lt;=92),"3개월",
 AND(K4333&gt;=58,K4333&lt;=62),"2개월",
 AND(K4333&gt;=28,K4333&lt;=32),"1개월",
 AND(K4333=0),"당월",
 TRUE,"그외"
)</f>
        <v>그외</v>
      </c>
    </row>
    <row r="4334" spans="1:12" x14ac:dyDescent="0.3">
      <c r="A4334" s="5">
        <v>45658</v>
      </c>
      <c r="B4334" s="6" t="s">
        <v>20</v>
      </c>
      <c r="C4334" s="6" t="s">
        <v>37</v>
      </c>
      <c r="D4334" s="5">
        <v>45536</v>
      </c>
      <c r="E4334" s="6" t="s">
        <v>15</v>
      </c>
      <c r="F4334" s="7">
        <v>111</v>
      </c>
      <c r="G4334" s="7">
        <v>151850.1981981982</v>
      </c>
      <c r="H4334" s="7">
        <v>16855372</v>
      </c>
      <c r="I4334" s="7">
        <v>3006865</v>
      </c>
      <c r="J4334" s="7">
        <v>0</v>
      </c>
      <c r="K4334">
        <f t="shared" si="67"/>
        <v>122</v>
      </c>
      <c r="L4334" s="8" t="str" cm="1">
        <f t="array" ref="L4334">_xlfn.IFS(
 AND(K4334&gt;=89,K4334&lt;=92),"3개월",
 AND(K4334&gt;=58,K4334&lt;=62),"2개월",
 AND(K4334&gt;=28,K4334&lt;=32),"1개월",
 AND(K4334=0),"당월",
 TRUE,"그외"
)</f>
        <v>그외</v>
      </c>
    </row>
    <row r="4335" spans="1:12" x14ac:dyDescent="0.3">
      <c r="A4335" s="5">
        <v>45658</v>
      </c>
      <c r="B4335" s="6" t="s">
        <v>20</v>
      </c>
      <c r="C4335" s="6" t="s">
        <v>37</v>
      </c>
      <c r="D4335" s="5">
        <v>45566</v>
      </c>
      <c r="E4335" s="6" t="s">
        <v>15</v>
      </c>
      <c r="F4335" s="7">
        <v>317</v>
      </c>
      <c r="G4335" s="7">
        <v>142252.5299684543</v>
      </c>
      <c r="H4335" s="7">
        <v>45094052</v>
      </c>
      <c r="I4335" s="7">
        <v>5814554</v>
      </c>
      <c r="J4335" s="7">
        <v>0</v>
      </c>
      <c r="K4335">
        <f t="shared" si="67"/>
        <v>92</v>
      </c>
      <c r="L4335" s="8" t="str" cm="1">
        <f t="array" ref="L4335">_xlfn.IFS(
 AND(K4335&gt;=89,K4335&lt;=92),"3개월",
 AND(K4335&gt;=58,K4335&lt;=62),"2개월",
 AND(K4335&gt;=28,K4335&lt;=32),"1개월",
 AND(K4335=0),"당월",
 TRUE,"그외"
)</f>
        <v>3개월</v>
      </c>
    </row>
    <row r="4336" spans="1:12" x14ac:dyDescent="0.3">
      <c r="A4336" s="5">
        <v>45658</v>
      </c>
      <c r="B4336" s="6" t="s">
        <v>20</v>
      </c>
      <c r="C4336" s="6" t="s">
        <v>37</v>
      </c>
      <c r="D4336" s="5">
        <v>45597</v>
      </c>
      <c r="E4336" s="6" t="s">
        <v>15</v>
      </c>
      <c r="F4336" s="7">
        <v>1195</v>
      </c>
      <c r="G4336" s="7">
        <v>127133.6677824268</v>
      </c>
      <c r="H4336" s="7">
        <v>151924733</v>
      </c>
      <c r="I4336" s="7">
        <v>18964131</v>
      </c>
      <c r="J4336" s="7">
        <v>0</v>
      </c>
      <c r="K4336">
        <f t="shared" si="67"/>
        <v>61</v>
      </c>
      <c r="L4336" s="8" t="str" cm="1">
        <f t="array" ref="L4336">_xlfn.IFS(
 AND(K4336&gt;=89,K4336&lt;=92),"3개월",
 AND(K4336&gt;=58,K4336&lt;=62),"2개월",
 AND(K4336&gt;=28,K4336&lt;=32),"1개월",
 AND(K4336=0),"당월",
 TRUE,"그외"
)</f>
        <v>2개월</v>
      </c>
    </row>
    <row r="4337" spans="1:12" x14ac:dyDescent="0.3">
      <c r="A4337" s="5">
        <v>45658</v>
      </c>
      <c r="B4337" s="6" t="s">
        <v>20</v>
      </c>
      <c r="C4337" s="6" t="s">
        <v>37</v>
      </c>
      <c r="D4337" s="5">
        <v>45627</v>
      </c>
      <c r="E4337" s="6" t="s">
        <v>14</v>
      </c>
      <c r="F4337" s="7">
        <v>609</v>
      </c>
      <c r="G4337" s="7">
        <v>128505.58292282429</v>
      </c>
      <c r="H4337" s="7">
        <v>78259900</v>
      </c>
      <c r="I4337" s="7">
        <v>6759900</v>
      </c>
      <c r="J4337" s="7">
        <v>0</v>
      </c>
      <c r="K4337">
        <f t="shared" si="67"/>
        <v>31</v>
      </c>
      <c r="L4337" s="8" t="str" cm="1">
        <f t="array" ref="L4337">_xlfn.IFS(
 AND(K4337&gt;=89,K4337&lt;=92),"3개월",
 AND(K4337&gt;=58,K4337&lt;=62),"2개월",
 AND(K4337&gt;=28,K4337&lt;=32),"1개월",
 AND(K4337=0),"당월",
 TRUE,"그외"
)</f>
        <v>1개월</v>
      </c>
    </row>
    <row r="4338" spans="1:12" x14ac:dyDescent="0.3">
      <c r="A4338" s="5">
        <v>45658</v>
      </c>
      <c r="B4338" s="6" t="s">
        <v>20</v>
      </c>
      <c r="C4338" s="6" t="s">
        <v>37</v>
      </c>
      <c r="D4338" s="5">
        <v>45627</v>
      </c>
      <c r="E4338" s="6" t="s">
        <v>15</v>
      </c>
      <c r="F4338" s="7">
        <v>3796</v>
      </c>
      <c r="G4338" s="7">
        <v>102094.0129083246</v>
      </c>
      <c r="H4338" s="7">
        <v>387548873</v>
      </c>
      <c r="I4338" s="7">
        <v>50456754</v>
      </c>
      <c r="J4338" s="7">
        <v>0</v>
      </c>
      <c r="K4338">
        <f t="shared" si="67"/>
        <v>31</v>
      </c>
      <c r="L4338" s="8" t="str" cm="1">
        <f t="array" ref="L4338">_xlfn.IFS(
 AND(K4338&gt;=89,K4338&lt;=92),"3개월",
 AND(K4338&gt;=58,K4338&lt;=62),"2개월",
 AND(K4338&gt;=28,K4338&lt;=32),"1개월",
 AND(K4338=0),"당월",
 TRUE,"그외"
)</f>
        <v>1개월</v>
      </c>
    </row>
    <row r="4339" spans="1:12" x14ac:dyDescent="0.3">
      <c r="A4339" s="5">
        <v>45658</v>
      </c>
      <c r="B4339" s="6" t="s">
        <v>20</v>
      </c>
      <c r="C4339" s="6" t="s">
        <v>37</v>
      </c>
      <c r="D4339" s="5">
        <v>45658</v>
      </c>
      <c r="E4339" s="6" t="s">
        <v>14</v>
      </c>
      <c r="F4339" s="7">
        <v>836</v>
      </c>
      <c r="G4339" s="7">
        <v>120753.91866028711</v>
      </c>
      <c r="H4339" s="7">
        <v>100950276</v>
      </c>
      <c r="I4339" s="7">
        <v>9446800</v>
      </c>
      <c r="J4339" s="7">
        <v>0</v>
      </c>
      <c r="K4339">
        <f t="shared" si="67"/>
        <v>0</v>
      </c>
      <c r="L4339" s="8" t="str" cm="1">
        <f t="array" ref="L4339">_xlfn.IFS(
 AND(K4339&gt;=89,K4339&lt;=92),"3개월",
 AND(K4339&gt;=58,K4339&lt;=62),"2개월",
 AND(K4339&gt;=28,K4339&lt;=32),"1개월",
 AND(K4339=0),"당월",
 TRUE,"그외"
)</f>
        <v>당월</v>
      </c>
    </row>
    <row r="4340" spans="1:12" x14ac:dyDescent="0.3">
      <c r="A4340" s="5">
        <v>45658</v>
      </c>
      <c r="B4340" s="6" t="s">
        <v>20</v>
      </c>
      <c r="C4340" s="6" t="s">
        <v>37</v>
      </c>
      <c r="D4340" s="5">
        <v>45658</v>
      </c>
      <c r="E4340" s="6" t="s">
        <v>15</v>
      </c>
      <c r="F4340" s="7">
        <v>2454</v>
      </c>
      <c r="G4340" s="7">
        <v>140643.9197229014</v>
      </c>
      <c r="H4340" s="7">
        <v>345140179</v>
      </c>
      <c r="I4340" s="7">
        <v>34132583</v>
      </c>
      <c r="J4340" s="7">
        <v>0</v>
      </c>
      <c r="K4340">
        <f t="shared" si="67"/>
        <v>0</v>
      </c>
      <c r="L4340" s="8" t="str" cm="1">
        <f t="array" ref="L4340">_xlfn.IFS(
 AND(K4340&gt;=89,K4340&lt;=92),"3개월",
 AND(K4340&gt;=58,K4340&lt;=62),"2개월",
 AND(K4340&gt;=28,K4340&lt;=32),"1개월",
 AND(K4340=0),"당월",
 TRUE,"그외"
)</f>
        <v>당월</v>
      </c>
    </row>
    <row r="4341" spans="1:12" x14ac:dyDescent="0.3">
      <c r="A4341" s="5">
        <v>45658</v>
      </c>
      <c r="B4341" s="6" t="s">
        <v>20</v>
      </c>
      <c r="C4341" s="6" t="s">
        <v>38</v>
      </c>
      <c r="D4341" s="5">
        <v>45536</v>
      </c>
      <c r="E4341" s="6" t="s">
        <v>15</v>
      </c>
      <c r="F4341" s="7">
        <v>99</v>
      </c>
      <c r="G4341" s="7">
        <v>127536.6464646465</v>
      </c>
      <c r="H4341" s="7">
        <v>12626128</v>
      </c>
      <c r="I4341" s="7">
        <v>1463674</v>
      </c>
      <c r="J4341" s="7">
        <v>0</v>
      </c>
      <c r="K4341">
        <f t="shared" si="67"/>
        <v>122</v>
      </c>
      <c r="L4341" s="8" t="str" cm="1">
        <f t="array" ref="L4341">_xlfn.IFS(
 AND(K4341&gt;=89,K4341&lt;=92),"3개월",
 AND(K4341&gt;=58,K4341&lt;=62),"2개월",
 AND(K4341&gt;=28,K4341&lt;=32),"1개월",
 AND(K4341=0),"당월",
 TRUE,"그외"
)</f>
        <v>그외</v>
      </c>
    </row>
    <row r="4342" spans="1:12" x14ac:dyDescent="0.3">
      <c r="A4342" s="5">
        <v>45658</v>
      </c>
      <c r="B4342" s="6" t="s">
        <v>20</v>
      </c>
      <c r="C4342" s="6" t="s">
        <v>38</v>
      </c>
      <c r="D4342" s="5">
        <v>45566</v>
      </c>
      <c r="E4342" s="6" t="s">
        <v>15</v>
      </c>
      <c r="F4342" s="7">
        <v>207</v>
      </c>
      <c r="G4342" s="7">
        <v>162655.9758454106</v>
      </c>
      <c r="H4342" s="7">
        <v>33669787</v>
      </c>
      <c r="I4342" s="7">
        <v>3022613</v>
      </c>
      <c r="J4342" s="7">
        <v>0</v>
      </c>
      <c r="K4342">
        <f t="shared" si="67"/>
        <v>92</v>
      </c>
      <c r="L4342" s="8" t="str" cm="1">
        <f t="array" ref="L4342">_xlfn.IFS(
 AND(K4342&gt;=89,K4342&lt;=92),"3개월",
 AND(K4342&gt;=58,K4342&lt;=62),"2개월",
 AND(K4342&gt;=28,K4342&lt;=32),"1개월",
 AND(K4342=0),"당월",
 TRUE,"그외"
)</f>
        <v>3개월</v>
      </c>
    </row>
    <row r="4343" spans="1:12" x14ac:dyDescent="0.3">
      <c r="A4343" s="5">
        <v>45658</v>
      </c>
      <c r="B4343" s="6" t="s">
        <v>20</v>
      </c>
      <c r="C4343" s="6" t="s">
        <v>38</v>
      </c>
      <c r="D4343" s="5">
        <v>45597</v>
      </c>
      <c r="E4343" s="6" t="s">
        <v>14</v>
      </c>
      <c r="F4343" s="7">
        <v>6</v>
      </c>
      <c r="G4343" s="7">
        <v>69300</v>
      </c>
      <c r="H4343" s="7">
        <v>415800</v>
      </c>
      <c r="I4343" s="7">
        <v>55800</v>
      </c>
      <c r="J4343" s="7">
        <v>0</v>
      </c>
      <c r="K4343">
        <f t="shared" si="67"/>
        <v>61</v>
      </c>
      <c r="L4343" s="8" t="str" cm="1">
        <f t="array" ref="L4343">_xlfn.IFS(
 AND(K4343&gt;=89,K4343&lt;=92),"3개월",
 AND(K4343&gt;=58,K4343&lt;=62),"2개월",
 AND(K4343&gt;=28,K4343&lt;=32),"1개월",
 AND(K4343=0),"당월",
 TRUE,"그외"
)</f>
        <v>2개월</v>
      </c>
    </row>
    <row r="4344" spans="1:12" x14ac:dyDescent="0.3">
      <c r="A4344" s="5">
        <v>45658</v>
      </c>
      <c r="B4344" s="6" t="s">
        <v>20</v>
      </c>
      <c r="C4344" s="6" t="s">
        <v>38</v>
      </c>
      <c r="D4344" s="5">
        <v>45597</v>
      </c>
      <c r="E4344" s="6" t="s">
        <v>15</v>
      </c>
      <c r="F4344" s="7">
        <v>418</v>
      </c>
      <c r="G4344" s="7">
        <v>126890.6555023923</v>
      </c>
      <c r="H4344" s="7">
        <v>53040294</v>
      </c>
      <c r="I4344" s="7">
        <v>6287943</v>
      </c>
      <c r="J4344" s="7">
        <v>0</v>
      </c>
      <c r="K4344">
        <f t="shared" si="67"/>
        <v>61</v>
      </c>
      <c r="L4344" s="8" t="str" cm="1">
        <f t="array" ref="L4344">_xlfn.IFS(
 AND(K4344&gt;=89,K4344&lt;=92),"3개월",
 AND(K4344&gt;=58,K4344&lt;=62),"2개월",
 AND(K4344&gt;=28,K4344&lt;=32),"1개월",
 AND(K4344=0),"당월",
 TRUE,"그외"
)</f>
        <v>2개월</v>
      </c>
    </row>
    <row r="4345" spans="1:12" x14ac:dyDescent="0.3">
      <c r="A4345" s="5">
        <v>45658</v>
      </c>
      <c r="B4345" s="6" t="s">
        <v>20</v>
      </c>
      <c r="C4345" s="6" t="s">
        <v>38</v>
      </c>
      <c r="D4345" s="5">
        <v>45627</v>
      </c>
      <c r="E4345" s="6" t="s">
        <v>14</v>
      </c>
      <c r="F4345" s="7">
        <v>900</v>
      </c>
      <c r="G4345" s="7">
        <v>103933.3333333333</v>
      </c>
      <c r="H4345" s="7">
        <v>93540000</v>
      </c>
      <c r="I4345" s="7">
        <v>9990000</v>
      </c>
      <c r="J4345" s="7">
        <v>0</v>
      </c>
      <c r="K4345">
        <f t="shared" si="67"/>
        <v>31</v>
      </c>
      <c r="L4345" s="8" t="str" cm="1">
        <f t="array" ref="L4345">_xlfn.IFS(
 AND(K4345&gt;=89,K4345&lt;=92),"3개월",
 AND(K4345&gt;=58,K4345&lt;=62),"2개월",
 AND(K4345&gt;=28,K4345&lt;=32),"1개월",
 AND(K4345=0),"당월",
 TRUE,"그외"
)</f>
        <v>1개월</v>
      </c>
    </row>
    <row r="4346" spans="1:12" x14ac:dyDescent="0.3">
      <c r="A4346" s="5">
        <v>45658</v>
      </c>
      <c r="B4346" s="6" t="s">
        <v>20</v>
      </c>
      <c r="C4346" s="6" t="s">
        <v>38</v>
      </c>
      <c r="D4346" s="5">
        <v>45627</v>
      </c>
      <c r="E4346" s="6" t="s">
        <v>15</v>
      </c>
      <c r="F4346" s="7">
        <v>1117</v>
      </c>
      <c r="G4346" s="7">
        <v>111622.80214861241</v>
      </c>
      <c r="H4346" s="7">
        <v>124682670</v>
      </c>
      <c r="I4346" s="7">
        <v>15873109</v>
      </c>
      <c r="J4346" s="7">
        <v>0</v>
      </c>
      <c r="K4346">
        <f t="shared" si="67"/>
        <v>31</v>
      </c>
      <c r="L4346" s="8" t="str" cm="1">
        <f t="array" ref="L4346">_xlfn.IFS(
 AND(K4346&gt;=89,K4346&lt;=92),"3개월",
 AND(K4346&gt;=58,K4346&lt;=62),"2개월",
 AND(K4346&gt;=28,K4346&lt;=32),"1개월",
 AND(K4346=0),"당월",
 TRUE,"그외"
)</f>
        <v>1개월</v>
      </c>
    </row>
    <row r="4347" spans="1:12" x14ac:dyDescent="0.3">
      <c r="A4347" s="5">
        <v>45658</v>
      </c>
      <c r="B4347" s="6" t="s">
        <v>20</v>
      </c>
      <c r="C4347" s="6" t="s">
        <v>38</v>
      </c>
      <c r="D4347" s="5">
        <v>45658</v>
      </c>
      <c r="E4347" s="6" t="s">
        <v>14</v>
      </c>
      <c r="F4347" s="7">
        <v>1728</v>
      </c>
      <c r="G4347" s="7">
        <v>122786.09837962961</v>
      </c>
      <c r="H4347" s="7">
        <v>212174378</v>
      </c>
      <c r="I4347" s="7">
        <v>19526400</v>
      </c>
      <c r="J4347" s="7">
        <v>0</v>
      </c>
      <c r="K4347">
        <f t="shared" si="67"/>
        <v>0</v>
      </c>
      <c r="L4347" s="8" t="str" cm="1">
        <f t="array" ref="L4347">_xlfn.IFS(
 AND(K4347&gt;=89,K4347&lt;=92),"3개월",
 AND(K4347&gt;=58,K4347&lt;=62),"2개월",
 AND(K4347&gt;=28,K4347&lt;=32),"1개월",
 AND(K4347=0),"당월",
 TRUE,"그외"
)</f>
        <v>당월</v>
      </c>
    </row>
    <row r="4348" spans="1:12" x14ac:dyDescent="0.3">
      <c r="A4348" s="5">
        <v>45658</v>
      </c>
      <c r="B4348" s="6" t="s">
        <v>20</v>
      </c>
      <c r="C4348" s="6" t="s">
        <v>38</v>
      </c>
      <c r="D4348" s="5">
        <v>45658</v>
      </c>
      <c r="E4348" s="6" t="s">
        <v>15</v>
      </c>
      <c r="F4348" s="7">
        <v>928</v>
      </c>
      <c r="G4348" s="7">
        <v>128967.87284482759</v>
      </c>
      <c r="H4348" s="7">
        <v>119682186</v>
      </c>
      <c r="I4348" s="7">
        <v>13478472</v>
      </c>
      <c r="J4348" s="7">
        <v>0</v>
      </c>
      <c r="K4348">
        <f t="shared" si="67"/>
        <v>0</v>
      </c>
      <c r="L4348" s="8" t="str" cm="1">
        <f t="array" ref="L4348">_xlfn.IFS(
 AND(K4348&gt;=89,K4348&lt;=92),"3개월",
 AND(K4348&gt;=58,K4348&lt;=62),"2개월",
 AND(K4348&gt;=28,K4348&lt;=32),"1개월",
 AND(K4348=0),"당월",
 TRUE,"그외"
)</f>
        <v>당월</v>
      </c>
    </row>
    <row r="4349" spans="1:12" x14ac:dyDescent="0.3">
      <c r="A4349" s="5">
        <v>45658</v>
      </c>
      <c r="B4349" s="6" t="s">
        <v>40</v>
      </c>
      <c r="C4349" s="6" t="s">
        <v>99</v>
      </c>
      <c r="D4349" s="5">
        <v>45536</v>
      </c>
      <c r="E4349" s="6" t="s">
        <v>14</v>
      </c>
      <c r="F4349" s="7">
        <v>11</v>
      </c>
      <c r="G4349" s="7">
        <v>52400</v>
      </c>
      <c r="H4349" s="7">
        <v>576400</v>
      </c>
      <c r="I4349" s="7">
        <v>136400</v>
      </c>
      <c r="J4349" s="7">
        <v>0</v>
      </c>
      <c r="K4349">
        <f t="shared" si="67"/>
        <v>122</v>
      </c>
      <c r="L4349" s="8" t="str" cm="1">
        <f t="array" ref="L4349">_xlfn.IFS(
 AND(K4349&gt;=89,K4349&lt;=92),"3개월",
 AND(K4349&gt;=58,K4349&lt;=62),"2개월",
 AND(K4349&gt;=28,K4349&lt;=32),"1개월",
 AND(K4349=0),"당월",
 TRUE,"그외"
)</f>
        <v>그외</v>
      </c>
    </row>
    <row r="4350" spans="1:12" x14ac:dyDescent="0.3">
      <c r="A4350" s="5">
        <v>45658</v>
      </c>
      <c r="B4350" s="6" t="s">
        <v>40</v>
      </c>
      <c r="C4350" s="6" t="s">
        <v>99</v>
      </c>
      <c r="D4350" s="5">
        <v>45536</v>
      </c>
      <c r="E4350" s="6" t="s">
        <v>15</v>
      </c>
      <c r="F4350" s="7">
        <v>11</v>
      </c>
      <c r="G4350" s="7">
        <v>97284.181818181823</v>
      </c>
      <c r="H4350" s="7">
        <v>1070126</v>
      </c>
      <c r="I4350" s="7">
        <v>564394</v>
      </c>
      <c r="J4350" s="7">
        <v>0</v>
      </c>
      <c r="K4350">
        <f t="shared" si="67"/>
        <v>122</v>
      </c>
      <c r="L4350" s="8" t="str" cm="1">
        <f t="array" ref="L4350">_xlfn.IFS(
 AND(K4350&gt;=89,K4350&lt;=92),"3개월",
 AND(K4350&gt;=58,K4350&lt;=62),"2개월",
 AND(K4350&gt;=28,K4350&lt;=32),"1개월",
 AND(K4350=0),"당월",
 TRUE,"그외"
)</f>
        <v>그외</v>
      </c>
    </row>
    <row r="4351" spans="1:12" x14ac:dyDescent="0.3">
      <c r="A4351" s="5">
        <v>45658</v>
      </c>
      <c r="B4351" s="6" t="s">
        <v>40</v>
      </c>
      <c r="C4351" s="6" t="s">
        <v>99</v>
      </c>
      <c r="D4351" s="5">
        <v>45566</v>
      </c>
      <c r="E4351" s="6" t="s">
        <v>14</v>
      </c>
      <c r="F4351" s="7">
        <v>11</v>
      </c>
      <c r="G4351" s="7">
        <v>38490.909090909088</v>
      </c>
      <c r="H4351" s="7">
        <v>423400</v>
      </c>
      <c r="I4351" s="7">
        <v>103400</v>
      </c>
      <c r="J4351" s="7">
        <v>0</v>
      </c>
      <c r="K4351">
        <f t="shared" si="67"/>
        <v>92</v>
      </c>
      <c r="L4351" s="8" t="str" cm="1">
        <f t="array" ref="L4351">_xlfn.IFS(
 AND(K4351&gt;=89,K4351&lt;=92),"3개월",
 AND(K4351&gt;=58,K4351&lt;=62),"2개월",
 AND(K4351&gt;=28,K4351&lt;=32),"1개월",
 AND(K4351=0),"당월",
 TRUE,"그외"
)</f>
        <v>3개월</v>
      </c>
    </row>
    <row r="4352" spans="1:12" x14ac:dyDescent="0.3">
      <c r="A4352" s="5">
        <v>45658</v>
      </c>
      <c r="B4352" s="6" t="s">
        <v>40</v>
      </c>
      <c r="C4352" s="6" t="s">
        <v>99</v>
      </c>
      <c r="D4352" s="5">
        <v>45566</v>
      </c>
      <c r="E4352" s="6" t="s">
        <v>15</v>
      </c>
      <c r="F4352" s="7">
        <v>112</v>
      </c>
      <c r="G4352" s="7">
        <v>82225.53571428571</v>
      </c>
      <c r="H4352" s="7">
        <v>9209260</v>
      </c>
      <c r="I4352" s="7">
        <v>2974778</v>
      </c>
      <c r="J4352" s="7">
        <v>0</v>
      </c>
      <c r="K4352">
        <f t="shared" si="67"/>
        <v>92</v>
      </c>
      <c r="L4352" s="8" t="str" cm="1">
        <f t="array" ref="L4352">_xlfn.IFS(
 AND(K4352&gt;=89,K4352&lt;=92),"3개월",
 AND(K4352&gt;=58,K4352&lt;=62),"2개월",
 AND(K4352&gt;=28,K4352&lt;=32),"1개월",
 AND(K4352=0),"당월",
 TRUE,"그외"
)</f>
        <v>3개월</v>
      </c>
    </row>
    <row r="4353" spans="1:12" x14ac:dyDescent="0.3">
      <c r="A4353" s="5">
        <v>45658</v>
      </c>
      <c r="B4353" s="6" t="s">
        <v>40</v>
      </c>
      <c r="C4353" s="6" t="s">
        <v>99</v>
      </c>
      <c r="D4353" s="5">
        <v>45597</v>
      </c>
      <c r="E4353" s="6" t="s">
        <v>14</v>
      </c>
      <c r="F4353" s="7">
        <v>326</v>
      </c>
      <c r="G4353" s="7">
        <v>43809.202453987731</v>
      </c>
      <c r="H4353" s="7">
        <v>14281800</v>
      </c>
      <c r="I4353" s="7">
        <v>3031800</v>
      </c>
      <c r="J4353" s="7">
        <v>0</v>
      </c>
      <c r="K4353">
        <f t="shared" si="67"/>
        <v>61</v>
      </c>
      <c r="L4353" s="8" t="str" cm="1">
        <f t="array" ref="L4353">_xlfn.IFS(
 AND(K4353&gt;=89,K4353&lt;=92),"3개월",
 AND(K4353&gt;=58,K4353&lt;=62),"2개월",
 AND(K4353&gt;=28,K4353&lt;=32),"1개월",
 AND(K4353=0),"당월",
 TRUE,"그외"
)</f>
        <v>2개월</v>
      </c>
    </row>
    <row r="4354" spans="1:12" x14ac:dyDescent="0.3">
      <c r="A4354" s="5">
        <v>45658</v>
      </c>
      <c r="B4354" s="6" t="s">
        <v>40</v>
      </c>
      <c r="C4354" s="6" t="s">
        <v>99</v>
      </c>
      <c r="D4354" s="5">
        <v>45597</v>
      </c>
      <c r="E4354" s="6" t="s">
        <v>15</v>
      </c>
      <c r="F4354" s="7">
        <v>300</v>
      </c>
      <c r="G4354" s="7">
        <v>84300.503333333327</v>
      </c>
      <c r="H4354" s="7">
        <v>25290151</v>
      </c>
      <c r="I4354" s="7">
        <v>9472687</v>
      </c>
      <c r="J4354" s="7">
        <v>0</v>
      </c>
      <c r="K4354">
        <f t="shared" si="67"/>
        <v>61</v>
      </c>
      <c r="L4354" s="8" t="str" cm="1">
        <f t="array" ref="L4354">_xlfn.IFS(
 AND(K4354&gt;=89,K4354&lt;=92),"3개월",
 AND(K4354&gt;=58,K4354&lt;=62),"2개월",
 AND(K4354&gt;=28,K4354&lt;=32),"1개월",
 AND(K4354=0),"당월",
 TRUE,"그외"
)</f>
        <v>2개월</v>
      </c>
    </row>
    <row r="4355" spans="1:12" x14ac:dyDescent="0.3">
      <c r="A4355" s="5">
        <v>45658</v>
      </c>
      <c r="B4355" s="6" t="s">
        <v>40</v>
      </c>
      <c r="C4355" s="6" t="s">
        <v>99</v>
      </c>
      <c r="D4355" s="5">
        <v>45627</v>
      </c>
      <c r="E4355" s="6" t="s">
        <v>14</v>
      </c>
      <c r="F4355" s="7">
        <v>1199</v>
      </c>
      <c r="G4355" s="7">
        <v>49913.177648040037</v>
      </c>
      <c r="H4355" s="7">
        <v>59845900</v>
      </c>
      <c r="I4355" s="7">
        <v>13308900</v>
      </c>
      <c r="J4355" s="7">
        <v>0</v>
      </c>
      <c r="K4355">
        <f t="shared" si="67"/>
        <v>31</v>
      </c>
      <c r="L4355" s="8" t="str" cm="1">
        <f t="array" ref="L4355">_xlfn.IFS(
 AND(K4355&gt;=89,K4355&lt;=92),"3개월",
 AND(K4355&gt;=58,K4355&lt;=62),"2개월",
 AND(K4355&gt;=28,K4355&lt;=32),"1개월",
 AND(K4355=0),"당월",
 TRUE,"그외"
)</f>
        <v>1개월</v>
      </c>
    </row>
    <row r="4356" spans="1:12" x14ac:dyDescent="0.3">
      <c r="A4356" s="5">
        <v>45658</v>
      </c>
      <c r="B4356" s="6" t="s">
        <v>40</v>
      </c>
      <c r="C4356" s="6" t="s">
        <v>99</v>
      </c>
      <c r="D4356" s="5">
        <v>45627</v>
      </c>
      <c r="E4356" s="6" t="s">
        <v>15</v>
      </c>
      <c r="F4356" s="7">
        <v>1141</v>
      </c>
      <c r="G4356" s="7">
        <v>76192.886941279576</v>
      </c>
      <c r="H4356" s="7">
        <v>86936084</v>
      </c>
      <c r="I4356" s="7">
        <v>41723362</v>
      </c>
      <c r="J4356" s="7">
        <v>0</v>
      </c>
      <c r="K4356">
        <f t="shared" si="67"/>
        <v>31</v>
      </c>
      <c r="L4356" s="8" t="str" cm="1">
        <f t="array" ref="L4356">_xlfn.IFS(
 AND(K4356&gt;=89,K4356&lt;=92),"3개월",
 AND(K4356&gt;=58,K4356&lt;=62),"2개월",
 AND(K4356&gt;=28,K4356&lt;=32),"1개월",
 AND(K4356=0),"당월",
 TRUE,"그외"
)</f>
        <v>1개월</v>
      </c>
    </row>
    <row r="4357" spans="1:12" x14ac:dyDescent="0.3">
      <c r="A4357" s="5">
        <v>45658</v>
      </c>
      <c r="B4357" s="6" t="s">
        <v>40</v>
      </c>
      <c r="C4357" s="6" t="s">
        <v>99</v>
      </c>
      <c r="D4357" s="5">
        <v>45658</v>
      </c>
      <c r="E4357" s="6" t="s">
        <v>14</v>
      </c>
      <c r="F4357" s="7">
        <v>1498</v>
      </c>
      <c r="G4357" s="7">
        <v>55345.794392523363</v>
      </c>
      <c r="H4357" s="7">
        <v>82908000</v>
      </c>
      <c r="I4357" s="7">
        <v>16927000</v>
      </c>
      <c r="J4357" s="7">
        <v>0</v>
      </c>
      <c r="K4357">
        <f t="shared" si="67"/>
        <v>0</v>
      </c>
      <c r="L4357" s="8" t="str" cm="1">
        <f t="array" ref="L4357">_xlfn.IFS(
 AND(K4357&gt;=89,K4357&lt;=92),"3개월",
 AND(K4357&gt;=58,K4357&lt;=62),"2개월",
 AND(K4357&gt;=28,K4357&lt;=32),"1개월",
 AND(K4357=0),"당월",
 TRUE,"그외"
)</f>
        <v>당월</v>
      </c>
    </row>
    <row r="4358" spans="1:12" x14ac:dyDescent="0.3">
      <c r="A4358" s="5">
        <v>45658</v>
      </c>
      <c r="B4358" s="6" t="s">
        <v>40</v>
      </c>
      <c r="C4358" s="6" t="s">
        <v>99</v>
      </c>
      <c r="D4358" s="5">
        <v>45658</v>
      </c>
      <c r="E4358" s="6" t="s">
        <v>15</v>
      </c>
      <c r="F4358" s="7">
        <v>823</v>
      </c>
      <c r="G4358" s="7">
        <v>84332.13851761847</v>
      </c>
      <c r="H4358" s="7">
        <v>69405350</v>
      </c>
      <c r="I4358" s="7">
        <v>28560866</v>
      </c>
      <c r="J4358" s="7">
        <v>0</v>
      </c>
      <c r="K4358">
        <f t="shared" si="67"/>
        <v>0</v>
      </c>
      <c r="L4358" s="8" t="str" cm="1">
        <f t="array" ref="L4358">_xlfn.IFS(
 AND(K4358&gt;=89,K4358&lt;=92),"3개월",
 AND(K4358&gt;=58,K4358&lt;=62),"2개월",
 AND(K4358&gt;=28,K4358&lt;=32),"1개월",
 AND(K4358=0),"당월",
 TRUE,"그외"
)</f>
        <v>당월</v>
      </c>
    </row>
    <row r="4359" spans="1:12" x14ac:dyDescent="0.3">
      <c r="A4359" s="5">
        <v>45658</v>
      </c>
      <c r="B4359" s="6" t="s">
        <v>40</v>
      </c>
      <c r="C4359" s="6" t="s">
        <v>101</v>
      </c>
      <c r="D4359" s="5">
        <v>45566</v>
      </c>
      <c r="E4359" s="6" t="s">
        <v>14</v>
      </c>
      <c r="F4359" s="7">
        <v>8</v>
      </c>
      <c r="G4359" s="7">
        <v>0</v>
      </c>
      <c r="H4359" s="7">
        <v>0</v>
      </c>
      <c r="I4359" s="7">
        <v>0</v>
      </c>
      <c r="J4359" s="7">
        <v>0</v>
      </c>
      <c r="K4359">
        <f t="shared" si="67"/>
        <v>92</v>
      </c>
      <c r="L4359" s="8" t="str" cm="1">
        <f t="array" ref="L4359">_xlfn.IFS(
 AND(K4359&gt;=89,K4359&lt;=92),"3개월",
 AND(K4359&gt;=58,K4359&lt;=62),"2개월",
 AND(K4359&gt;=28,K4359&lt;=32),"1개월",
 AND(K4359=0),"당월",
 TRUE,"그외"
)</f>
        <v>3개월</v>
      </c>
    </row>
    <row r="4360" spans="1:12" x14ac:dyDescent="0.3">
      <c r="A4360" s="5">
        <v>45658</v>
      </c>
      <c r="B4360" s="6" t="s">
        <v>40</v>
      </c>
      <c r="C4360" s="6" t="s">
        <v>101</v>
      </c>
      <c r="D4360" s="5">
        <v>45566</v>
      </c>
      <c r="E4360" s="6" t="s">
        <v>15</v>
      </c>
      <c r="F4360" s="7">
        <v>16</v>
      </c>
      <c r="G4360" s="7">
        <v>470100</v>
      </c>
      <c r="H4360" s="7">
        <v>7521600</v>
      </c>
      <c r="I4360" s="7">
        <v>321600</v>
      </c>
      <c r="J4360" s="7">
        <v>0</v>
      </c>
      <c r="K4360">
        <f t="shared" si="67"/>
        <v>92</v>
      </c>
      <c r="L4360" s="8" t="str" cm="1">
        <f t="array" ref="L4360">_xlfn.IFS(
 AND(K4360&gt;=89,K4360&lt;=92),"3개월",
 AND(K4360&gt;=58,K4360&lt;=62),"2개월",
 AND(K4360&gt;=28,K4360&lt;=32),"1개월",
 AND(K4360=0),"당월",
 TRUE,"그외"
)</f>
        <v>3개월</v>
      </c>
    </row>
    <row r="4361" spans="1:12" x14ac:dyDescent="0.3">
      <c r="A4361" s="5">
        <v>45658</v>
      </c>
      <c r="B4361" s="6" t="s">
        <v>40</v>
      </c>
      <c r="C4361" s="6" t="s">
        <v>101</v>
      </c>
      <c r="D4361" s="5">
        <v>45597</v>
      </c>
      <c r="E4361" s="6" t="s">
        <v>14</v>
      </c>
      <c r="F4361" s="7">
        <v>9</v>
      </c>
      <c r="G4361" s="7">
        <v>972222.22222222225</v>
      </c>
      <c r="H4361" s="7">
        <v>8750000</v>
      </c>
      <c r="I4361" s="7">
        <v>0</v>
      </c>
      <c r="J4361" s="7">
        <v>0</v>
      </c>
      <c r="K4361">
        <f t="shared" si="67"/>
        <v>61</v>
      </c>
      <c r="L4361" s="8" t="str" cm="1">
        <f t="array" ref="L4361">_xlfn.IFS(
 AND(K4361&gt;=89,K4361&lt;=92),"3개월",
 AND(K4361&gt;=58,K4361&lt;=62),"2개월",
 AND(K4361&gt;=28,K4361&lt;=32),"1개월",
 AND(K4361=0),"당월",
 TRUE,"그외"
)</f>
        <v>2개월</v>
      </c>
    </row>
    <row r="4362" spans="1:12" x14ac:dyDescent="0.3">
      <c r="A4362" s="5">
        <v>45658</v>
      </c>
      <c r="B4362" s="6" t="s">
        <v>40</v>
      </c>
      <c r="C4362" s="6" t="s">
        <v>101</v>
      </c>
      <c r="D4362" s="5">
        <v>45597</v>
      </c>
      <c r="E4362" s="6" t="s">
        <v>15</v>
      </c>
      <c r="F4362" s="7">
        <v>1</v>
      </c>
      <c r="G4362" s="7">
        <v>357500</v>
      </c>
      <c r="H4362" s="7">
        <v>357500</v>
      </c>
      <c r="I4362" s="7">
        <v>20000</v>
      </c>
      <c r="J4362" s="7">
        <v>0</v>
      </c>
      <c r="K4362">
        <f t="shared" ref="K4362:K4425" si="68">A4362-D4362</f>
        <v>61</v>
      </c>
      <c r="L4362" s="8" t="str" cm="1">
        <f t="array" ref="L4362">_xlfn.IFS(
 AND(K4362&gt;=89,K4362&lt;=92),"3개월",
 AND(K4362&gt;=58,K4362&lt;=62),"2개월",
 AND(K4362&gt;=28,K4362&lt;=32),"1개월",
 AND(K4362=0),"당월",
 TRUE,"그외"
)</f>
        <v>2개월</v>
      </c>
    </row>
    <row r="4363" spans="1:12" x14ac:dyDescent="0.3">
      <c r="A4363" s="5">
        <v>45658</v>
      </c>
      <c r="B4363" s="6" t="s">
        <v>40</v>
      </c>
      <c r="C4363" s="6" t="s">
        <v>101</v>
      </c>
      <c r="D4363" s="5">
        <v>45627</v>
      </c>
      <c r="E4363" s="6" t="s">
        <v>14</v>
      </c>
      <c r="F4363" s="7">
        <v>876</v>
      </c>
      <c r="G4363" s="7">
        <v>201252.2831050228</v>
      </c>
      <c r="H4363" s="7">
        <v>176297000</v>
      </c>
      <c r="I4363" s="7">
        <v>47000</v>
      </c>
      <c r="J4363" s="7">
        <v>0</v>
      </c>
      <c r="K4363">
        <f t="shared" si="68"/>
        <v>31</v>
      </c>
      <c r="L4363" s="8" t="str" cm="1">
        <f t="array" ref="L4363">_xlfn.IFS(
 AND(K4363&gt;=89,K4363&lt;=92),"3개월",
 AND(K4363&gt;=58,K4363&lt;=62),"2개월",
 AND(K4363&gt;=28,K4363&lt;=32),"1개월",
 AND(K4363=0),"당월",
 TRUE,"그외"
)</f>
        <v>1개월</v>
      </c>
    </row>
    <row r="4364" spans="1:12" x14ac:dyDescent="0.3">
      <c r="A4364" s="5">
        <v>45658</v>
      </c>
      <c r="B4364" s="6" t="s">
        <v>40</v>
      </c>
      <c r="C4364" s="6" t="s">
        <v>101</v>
      </c>
      <c r="D4364" s="5">
        <v>45627</v>
      </c>
      <c r="E4364" s="6" t="s">
        <v>15</v>
      </c>
      <c r="F4364" s="7">
        <v>33</v>
      </c>
      <c r="G4364" s="7">
        <v>415858.54545454553</v>
      </c>
      <c r="H4364" s="7">
        <v>13723332</v>
      </c>
      <c r="I4364" s="7">
        <v>949614</v>
      </c>
      <c r="J4364" s="7">
        <v>0</v>
      </c>
      <c r="K4364">
        <f t="shared" si="68"/>
        <v>31</v>
      </c>
      <c r="L4364" s="8" t="str" cm="1">
        <f t="array" ref="L4364">_xlfn.IFS(
 AND(K4364&gt;=89,K4364&lt;=92),"3개월",
 AND(K4364&gt;=58,K4364&lt;=62),"2개월",
 AND(K4364&gt;=28,K4364&lt;=32),"1개월",
 AND(K4364=0),"당월",
 TRUE,"그외"
)</f>
        <v>1개월</v>
      </c>
    </row>
    <row r="4365" spans="1:12" x14ac:dyDescent="0.3">
      <c r="A4365" s="5">
        <v>45658</v>
      </c>
      <c r="B4365" s="6" t="s">
        <v>40</v>
      </c>
      <c r="C4365" s="6" t="s">
        <v>101</v>
      </c>
      <c r="D4365" s="5">
        <v>45658</v>
      </c>
      <c r="E4365" s="6" t="s">
        <v>14</v>
      </c>
      <c r="F4365" s="7">
        <v>1663</v>
      </c>
      <c r="G4365" s="7">
        <v>103787.1316897174</v>
      </c>
      <c r="H4365" s="7">
        <v>172598000</v>
      </c>
      <c r="I4365" s="7">
        <v>648000</v>
      </c>
      <c r="J4365" s="7">
        <v>0</v>
      </c>
      <c r="K4365">
        <f t="shared" si="68"/>
        <v>0</v>
      </c>
      <c r="L4365" s="8" t="str" cm="1">
        <f t="array" ref="L4365">_xlfn.IFS(
 AND(K4365&gt;=89,K4365&lt;=92),"3개월",
 AND(K4365&gt;=58,K4365&lt;=62),"2개월",
 AND(K4365&gt;=28,K4365&lt;=32),"1개월",
 AND(K4365=0),"당월",
 TRUE,"그외"
)</f>
        <v>당월</v>
      </c>
    </row>
    <row r="4366" spans="1:12" x14ac:dyDescent="0.3">
      <c r="A4366" s="5">
        <v>45658</v>
      </c>
      <c r="B4366" s="6" t="s">
        <v>40</v>
      </c>
      <c r="C4366" s="6" t="s">
        <v>101</v>
      </c>
      <c r="D4366" s="5">
        <v>45658</v>
      </c>
      <c r="E4366" s="6" t="s">
        <v>15</v>
      </c>
      <c r="F4366" s="7">
        <v>28</v>
      </c>
      <c r="G4366" s="7">
        <v>391736.17857142858</v>
      </c>
      <c r="H4366" s="7">
        <v>10968613</v>
      </c>
      <c r="I4366" s="7">
        <v>1036209</v>
      </c>
      <c r="J4366" s="7">
        <v>0</v>
      </c>
      <c r="K4366">
        <f t="shared" si="68"/>
        <v>0</v>
      </c>
      <c r="L4366" s="8" t="str" cm="1">
        <f t="array" ref="L4366">_xlfn.IFS(
 AND(K4366&gt;=89,K4366&lt;=92),"3개월",
 AND(K4366&gt;=58,K4366&lt;=62),"2개월",
 AND(K4366&gt;=28,K4366&lt;=32),"1개월",
 AND(K4366=0),"당월",
 TRUE,"그외"
)</f>
        <v>당월</v>
      </c>
    </row>
    <row r="4367" spans="1:12" x14ac:dyDescent="0.3">
      <c r="A4367" s="5">
        <v>45658</v>
      </c>
      <c r="B4367" s="6" t="s">
        <v>40</v>
      </c>
      <c r="C4367" s="6" t="s">
        <v>91</v>
      </c>
      <c r="D4367" s="5">
        <v>45536</v>
      </c>
      <c r="E4367" s="6" t="s">
        <v>15</v>
      </c>
      <c r="F4367" s="7">
        <v>210</v>
      </c>
      <c r="G4367" s="7">
        <v>106617.6095238095</v>
      </c>
      <c r="H4367" s="7">
        <v>22389698</v>
      </c>
      <c r="I4367" s="7">
        <v>5516145</v>
      </c>
      <c r="J4367" s="7">
        <v>0</v>
      </c>
      <c r="K4367">
        <f t="shared" si="68"/>
        <v>122</v>
      </c>
      <c r="L4367" s="8" t="str" cm="1">
        <f t="array" ref="L4367">_xlfn.IFS(
 AND(K4367&gt;=89,K4367&lt;=92),"3개월",
 AND(K4367&gt;=58,K4367&lt;=62),"2개월",
 AND(K4367&gt;=28,K4367&lt;=32),"1개월",
 AND(K4367=0),"당월",
 TRUE,"그외"
)</f>
        <v>그외</v>
      </c>
    </row>
    <row r="4368" spans="1:12" x14ac:dyDescent="0.3">
      <c r="A4368" s="5">
        <v>45658</v>
      </c>
      <c r="B4368" s="6" t="s">
        <v>40</v>
      </c>
      <c r="C4368" s="6" t="s">
        <v>91</v>
      </c>
      <c r="D4368" s="5">
        <v>45566</v>
      </c>
      <c r="E4368" s="6" t="s">
        <v>14</v>
      </c>
      <c r="F4368" s="7">
        <v>1</v>
      </c>
      <c r="G4368" s="7">
        <v>99400</v>
      </c>
      <c r="H4368" s="7">
        <v>99400</v>
      </c>
      <c r="I4368" s="7">
        <v>9400</v>
      </c>
      <c r="J4368" s="7">
        <v>0</v>
      </c>
      <c r="K4368">
        <f t="shared" si="68"/>
        <v>92</v>
      </c>
      <c r="L4368" s="8" t="str" cm="1">
        <f t="array" ref="L4368">_xlfn.IFS(
 AND(K4368&gt;=89,K4368&lt;=92),"3개월",
 AND(K4368&gt;=58,K4368&lt;=62),"2개월",
 AND(K4368&gt;=28,K4368&lt;=32),"1개월",
 AND(K4368=0),"당월",
 TRUE,"그외"
)</f>
        <v>3개월</v>
      </c>
    </row>
    <row r="4369" spans="1:12" x14ac:dyDescent="0.3">
      <c r="A4369" s="5">
        <v>45658</v>
      </c>
      <c r="B4369" s="6" t="s">
        <v>40</v>
      </c>
      <c r="C4369" s="6" t="s">
        <v>91</v>
      </c>
      <c r="D4369" s="5">
        <v>45566</v>
      </c>
      <c r="E4369" s="6" t="s">
        <v>15</v>
      </c>
      <c r="F4369" s="7">
        <v>327</v>
      </c>
      <c r="G4369" s="7">
        <v>132255.16207951069</v>
      </c>
      <c r="H4369" s="7">
        <v>43247438</v>
      </c>
      <c r="I4369" s="7">
        <v>5645319</v>
      </c>
      <c r="J4369" s="7">
        <v>0</v>
      </c>
      <c r="K4369">
        <f t="shared" si="68"/>
        <v>92</v>
      </c>
      <c r="L4369" s="8" t="str" cm="1">
        <f t="array" ref="L4369">_xlfn.IFS(
 AND(K4369&gt;=89,K4369&lt;=92),"3개월",
 AND(K4369&gt;=58,K4369&lt;=62),"2개월",
 AND(K4369&gt;=28,K4369&lt;=32),"1개월",
 AND(K4369=0),"당월",
 TRUE,"그외"
)</f>
        <v>3개월</v>
      </c>
    </row>
    <row r="4370" spans="1:12" x14ac:dyDescent="0.3">
      <c r="A4370" s="5">
        <v>45658</v>
      </c>
      <c r="B4370" s="6" t="s">
        <v>40</v>
      </c>
      <c r="C4370" s="6" t="s">
        <v>91</v>
      </c>
      <c r="D4370" s="5">
        <v>45597</v>
      </c>
      <c r="E4370" s="6" t="s">
        <v>14</v>
      </c>
      <c r="F4370" s="7">
        <v>93</v>
      </c>
      <c r="G4370" s="7">
        <v>115859.13978494619</v>
      </c>
      <c r="H4370" s="7">
        <v>10774900</v>
      </c>
      <c r="I4370" s="7">
        <v>864900</v>
      </c>
      <c r="J4370" s="7">
        <v>0</v>
      </c>
      <c r="K4370">
        <f t="shared" si="68"/>
        <v>61</v>
      </c>
      <c r="L4370" s="8" t="str" cm="1">
        <f t="array" ref="L4370">_xlfn.IFS(
 AND(K4370&gt;=89,K4370&lt;=92),"3개월",
 AND(K4370&gt;=58,K4370&lt;=62),"2개월",
 AND(K4370&gt;=28,K4370&lt;=32),"1개월",
 AND(K4370=0),"당월",
 TRUE,"그외"
)</f>
        <v>2개월</v>
      </c>
    </row>
    <row r="4371" spans="1:12" x14ac:dyDescent="0.3">
      <c r="A4371" s="5">
        <v>45658</v>
      </c>
      <c r="B4371" s="6" t="s">
        <v>40</v>
      </c>
      <c r="C4371" s="6" t="s">
        <v>91</v>
      </c>
      <c r="D4371" s="5">
        <v>45597</v>
      </c>
      <c r="E4371" s="6" t="s">
        <v>15</v>
      </c>
      <c r="F4371" s="7">
        <v>610</v>
      </c>
      <c r="G4371" s="7">
        <v>164190.04918032789</v>
      </c>
      <c r="H4371" s="7">
        <v>100155930</v>
      </c>
      <c r="I4371" s="7">
        <v>10619073</v>
      </c>
      <c r="J4371" s="7">
        <v>0</v>
      </c>
      <c r="K4371">
        <f t="shared" si="68"/>
        <v>61</v>
      </c>
      <c r="L4371" s="8" t="str" cm="1">
        <f t="array" ref="L4371">_xlfn.IFS(
 AND(K4371&gt;=89,K4371&lt;=92),"3개월",
 AND(K4371&gt;=58,K4371&lt;=62),"2개월",
 AND(K4371&gt;=28,K4371&lt;=32),"1개월",
 AND(K4371=0),"당월",
 TRUE,"그외"
)</f>
        <v>2개월</v>
      </c>
    </row>
    <row r="4372" spans="1:12" x14ac:dyDescent="0.3">
      <c r="A4372" s="5">
        <v>45658</v>
      </c>
      <c r="B4372" s="6" t="s">
        <v>40</v>
      </c>
      <c r="C4372" s="6" t="s">
        <v>91</v>
      </c>
      <c r="D4372" s="5">
        <v>45627</v>
      </c>
      <c r="E4372" s="6" t="s">
        <v>14</v>
      </c>
      <c r="F4372" s="7">
        <v>695</v>
      </c>
      <c r="G4372" s="7">
        <v>83140.575539568352</v>
      </c>
      <c r="H4372" s="7">
        <v>57782700</v>
      </c>
      <c r="I4372" s="7">
        <v>7712700</v>
      </c>
      <c r="J4372" s="7">
        <v>0</v>
      </c>
      <c r="K4372">
        <f t="shared" si="68"/>
        <v>31</v>
      </c>
      <c r="L4372" s="8" t="str" cm="1">
        <f t="array" ref="L4372">_xlfn.IFS(
 AND(K4372&gt;=89,K4372&lt;=92),"3개월",
 AND(K4372&gt;=58,K4372&lt;=62),"2개월",
 AND(K4372&gt;=28,K4372&lt;=32),"1개월",
 AND(K4372=0),"당월",
 TRUE,"그외"
)</f>
        <v>1개월</v>
      </c>
    </row>
    <row r="4373" spans="1:12" x14ac:dyDescent="0.3">
      <c r="A4373" s="5">
        <v>45658</v>
      </c>
      <c r="B4373" s="6" t="s">
        <v>40</v>
      </c>
      <c r="C4373" s="6" t="s">
        <v>91</v>
      </c>
      <c r="D4373" s="5">
        <v>45627</v>
      </c>
      <c r="E4373" s="6" t="s">
        <v>15</v>
      </c>
      <c r="F4373" s="7">
        <v>2299</v>
      </c>
      <c r="G4373" s="7">
        <v>116767.5411048282</v>
      </c>
      <c r="H4373" s="7">
        <v>268448577</v>
      </c>
      <c r="I4373" s="7">
        <v>101154606</v>
      </c>
      <c r="J4373" s="7">
        <v>0</v>
      </c>
      <c r="K4373">
        <f t="shared" si="68"/>
        <v>31</v>
      </c>
      <c r="L4373" s="8" t="str" cm="1">
        <f t="array" ref="L4373">_xlfn.IFS(
 AND(K4373&gt;=89,K4373&lt;=92),"3개월",
 AND(K4373&gt;=58,K4373&lt;=62),"2개월",
 AND(K4373&gt;=28,K4373&lt;=32),"1개월",
 AND(K4373=0),"당월",
 TRUE,"그외"
)</f>
        <v>1개월</v>
      </c>
    </row>
    <row r="4374" spans="1:12" x14ac:dyDescent="0.3">
      <c r="A4374" s="5">
        <v>45658</v>
      </c>
      <c r="B4374" s="6" t="s">
        <v>40</v>
      </c>
      <c r="C4374" s="6" t="s">
        <v>91</v>
      </c>
      <c r="D4374" s="5">
        <v>45658</v>
      </c>
      <c r="E4374" s="6" t="s">
        <v>14</v>
      </c>
      <c r="F4374" s="7">
        <v>1083</v>
      </c>
      <c r="G4374" s="7">
        <v>82049.769159741452</v>
      </c>
      <c r="H4374" s="7">
        <v>88859900</v>
      </c>
      <c r="I4374" s="7">
        <v>12229900</v>
      </c>
      <c r="J4374" s="7">
        <v>0</v>
      </c>
      <c r="K4374">
        <f t="shared" si="68"/>
        <v>0</v>
      </c>
      <c r="L4374" s="8" t="str" cm="1">
        <f t="array" ref="L4374">_xlfn.IFS(
 AND(K4374&gt;=89,K4374&lt;=92),"3개월",
 AND(K4374&gt;=58,K4374&lt;=62),"2개월",
 AND(K4374&gt;=28,K4374&lt;=32),"1개월",
 AND(K4374=0),"당월",
 TRUE,"그외"
)</f>
        <v>당월</v>
      </c>
    </row>
    <row r="4375" spans="1:12" x14ac:dyDescent="0.3">
      <c r="A4375" s="5">
        <v>45658</v>
      </c>
      <c r="B4375" s="6" t="s">
        <v>40</v>
      </c>
      <c r="C4375" s="6" t="s">
        <v>91</v>
      </c>
      <c r="D4375" s="5">
        <v>45658</v>
      </c>
      <c r="E4375" s="6" t="s">
        <v>15</v>
      </c>
      <c r="F4375" s="7">
        <v>2838</v>
      </c>
      <c r="G4375" s="7">
        <v>126712.5718816068</v>
      </c>
      <c r="H4375" s="7">
        <v>359610279</v>
      </c>
      <c r="I4375" s="7">
        <v>149616210</v>
      </c>
      <c r="J4375" s="7">
        <v>0</v>
      </c>
      <c r="K4375">
        <f t="shared" si="68"/>
        <v>0</v>
      </c>
      <c r="L4375" s="8" t="str" cm="1">
        <f t="array" ref="L4375">_xlfn.IFS(
 AND(K4375&gt;=89,K4375&lt;=92),"3개월",
 AND(K4375&gt;=58,K4375&lt;=62),"2개월",
 AND(K4375&gt;=28,K4375&lt;=32),"1개월",
 AND(K4375=0),"당월",
 TRUE,"그외"
)</f>
        <v>당월</v>
      </c>
    </row>
    <row r="4376" spans="1:12" x14ac:dyDescent="0.3">
      <c r="A4376" s="5">
        <v>45658</v>
      </c>
      <c r="B4376" s="6" t="s">
        <v>40</v>
      </c>
      <c r="C4376" s="6" t="s">
        <v>122</v>
      </c>
      <c r="D4376" s="5">
        <v>45536</v>
      </c>
      <c r="E4376" s="6" t="s">
        <v>15</v>
      </c>
      <c r="F4376" s="7">
        <v>4</v>
      </c>
      <c r="G4376" s="7">
        <v>167000</v>
      </c>
      <c r="H4376" s="7">
        <v>668000</v>
      </c>
      <c r="I4376" s="7">
        <v>88000</v>
      </c>
      <c r="J4376" s="7">
        <v>0</v>
      </c>
      <c r="K4376">
        <f t="shared" si="68"/>
        <v>122</v>
      </c>
      <c r="L4376" s="8" t="str" cm="1">
        <f t="array" ref="L4376">_xlfn.IFS(
 AND(K4376&gt;=89,K4376&lt;=92),"3개월",
 AND(K4376&gt;=58,K4376&lt;=62),"2개월",
 AND(K4376&gt;=28,K4376&lt;=32),"1개월",
 AND(K4376=0),"당월",
 TRUE,"그외"
)</f>
        <v>그외</v>
      </c>
    </row>
    <row r="4377" spans="1:12" x14ac:dyDescent="0.3">
      <c r="A4377" s="5">
        <v>45658</v>
      </c>
      <c r="B4377" s="6" t="s">
        <v>40</v>
      </c>
      <c r="C4377" s="6" t="s">
        <v>122</v>
      </c>
      <c r="D4377" s="5">
        <v>45566</v>
      </c>
      <c r="E4377" s="6" t="s">
        <v>14</v>
      </c>
      <c r="F4377" s="7">
        <v>1</v>
      </c>
      <c r="G4377" s="7">
        <v>106000</v>
      </c>
      <c r="H4377" s="7">
        <v>106000</v>
      </c>
      <c r="I4377" s="7">
        <v>16000</v>
      </c>
      <c r="J4377" s="7">
        <v>0</v>
      </c>
      <c r="K4377">
        <f t="shared" si="68"/>
        <v>92</v>
      </c>
      <c r="L4377" s="8" t="str" cm="1">
        <f t="array" ref="L4377">_xlfn.IFS(
 AND(K4377&gt;=89,K4377&lt;=92),"3개월",
 AND(K4377&gt;=58,K4377&lt;=62),"2개월",
 AND(K4377&gt;=28,K4377&lt;=32),"1개월",
 AND(K4377=0),"당월",
 TRUE,"그외"
)</f>
        <v>3개월</v>
      </c>
    </row>
    <row r="4378" spans="1:12" x14ac:dyDescent="0.3">
      <c r="A4378" s="5">
        <v>45658</v>
      </c>
      <c r="B4378" s="6" t="s">
        <v>40</v>
      </c>
      <c r="C4378" s="6" t="s">
        <v>122</v>
      </c>
      <c r="D4378" s="5">
        <v>45566</v>
      </c>
      <c r="E4378" s="6" t="s">
        <v>15</v>
      </c>
      <c r="F4378" s="7">
        <v>66</v>
      </c>
      <c r="G4378" s="7">
        <v>113321.0757575758</v>
      </c>
      <c r="H4378" s="7">
        <v>7479191</v>
      </c>
      <c r="I4378" s="7">
        <v>3278548</v>
      </c>
      <c r="J4378" s="7">
        <v>0</v>
      </c>
      <c r="K4378">
        <f t="shared" si="68"/>
        <v>92</v>
      </c>
      <c r="L4378" s="8" t="str" cm="1">
        <f t="array" ref="L4378">_xlfn.IFS(
 AND(K4378&gt;=89,K4378&lt;=92),"3개월",
 AND(K4378&gt;=58,K4378&lt;=62),"2개월",
 AND(K4378&gt;=28,K4378&lt;=32),"1개월",
 AND(K4378=0),"당월",
 TRUE,"그외"
)</f>
        <v>3개월</v>
      </c>
    </row>
    <row r="4379" spans="1:12" x14ac:dyDescent="0.3">
      <c r="A4379" s="5">
        <v>45658</v>
      </c>
      <c r="B4379" s="6" t="s">
        <v>40</v>
      </c>
      <c r="C4379" s="6" t="s">
        <v>122</v>
      </c>
      <c r="D4379" s="5">
        <v>45597</v>
      </c>
      <c r="E4379" s="6" t="s">
        <v>14</v>
      </c>
      <c r="F4379" s="7">
        <v>54</v>
      </c>
      <c r="G4379" s="7">
        <v>53777.777777777781</v>
      </c>
      <c r="H4379" s="7">
        <v>2904000</v>
      </c>
      <c r="I4379" s="7">
        <v>864000</v>
      </c>
      <c r="J4379" s="7">
        <v>0</v>
      </c>
      <c r="K4379">
        <f t="shared" si="68"/>
        <v>61</v>
      </c>
      <c r="L4379" s="8" t="str" cm="1">
        <f t="array" ref="L4379">_xlfn.IFS(
 AND(K4379&gt;=89,K4379&lt;=92),"3개월",
 AND(K4379&gt;=58,K4379&lt;=62),"2개월",
 AND(K4379&gt;=28,K4379&lt;=32),"1개월",
 AND(K4379=0),"당월",
 TRUE,"그외"
)</f>
        <v>2개월</v>
      </c>
    </row>
    <row r="4380" spans="1:12" x14ac:dyDescent="0.3">
      <c r="A4380" s="5">
        <v>45658</v>
      </c>
      <c r="B4380" s="6" t="s">
        <v>40</v>
      </c>
      <c r="C4380" s="6" t="s">
        <v>122</v>
      </c>
      <c r="D4380" s="5">
        <v>45597</v>
      </c>
      <c r="E4380" s="6" t="s">
        <v>15</v>
      </c>
      <c r="F4380" s="7">
        <v>228</v>
      </c>
      <c r="G4380" s="7">
        <v>106958.0438596491</v>
      </c>
      <c r="H4380" s="7">
        <v>24386434</v>
      </c>
      <c r="I4380" s="7">
        <v>12388019</v>
      </c>
      <c r="J4380" s="7">
        <v>0</v>
      </c>
      <c r="K4380">
        <f t="shared" si="68"/>
        <v>61</v>
      </c>
      <c r="L4380" s="8" t="str" cm="1">
        <f t="array" ref="L4380">_xlfn.IFS(
 AND(K4380&gt;=89,K4380&lt;=92),"3개월",
 AND(K4380&gt;=58,K4380&lt;=62),"2개월",
 AND(K4380&gt;=28,K4380&lt;=32),"1개월",
 AND(K4380=0),"당월",
 TRUE,"그외"
)</f>
        <v>2개월</v>
      </c>
    </row>
    <row r="4381" spans="1:12" x14ac:dyDescent="0.3">
      <c r="A4381" s="5">
        <v>45658</v>
      </c>
      <c r="B4381" s="6" t="s">
        <v>40</v>
      </c>
      <c r="C4381" s="6" t="s">
        <v>122</v>
      </c>
      <c r="D4381" s="5">
        <v>45627</v>
      </c>
      <c r="E4381" s="6" t="s">
        <v>14</v>
      </c>
      <c r="F4381" s="7">
        <v>806</v>
      </c>
      <c r="G4381" s="7">
        <v>56943.424317617857</v>
      </c>
      <c r="H4381" s="7">
        <v>45896400</v>
      </c>
      <c r="I4381" s="7">
        <v>15636400</v>
      </c>
      <c r="J4381" s="7">
        <v>0</v>
      </c>
      <c r="K4381">
        <f t="shared" si="68"/>
        <v>31</v>
      </c>
      <c r="L4381" s="8" t="str" cm="1">
        <f t="array" ref="L4381">_xlfn.IFS(
 AND(K4381&gt;=89,K4381&lt;=92),"3개월",
 AND(K4381&gt;=58,K4381&lt;=62),"2개월",
 AND(K4381&gt;=28,K4381&lt;=32),"1개월",
 AND(K4381=0),"당월",
 TRUE,"그외"
)</f>
        <v>1개월</v>
      </c>
    </row>
    <row r="4382" spans="1:12" x14ac:dyDescent="0.3">
      <c r="A4382" s="5">
        <v>45658</v>
      </c>
      <c r="B4382" s="6" t="s">
        <v>40</v>
      </c>
      <c r="C4382" s="6" t="s">
        <v>122</v>
      </c>
      <c r="D4382" s="5">
        <v>45627</v>
      </c>
      <c r="E4382" s="6" t="s">
        <v>15</v>
      </c>
      <c r="F4382" s="7">
        <v>1107</v>
      </c>
      <c r="G4382" s="7">
        <v>112814.28455284549</v>
      </c>
      <c r="H4382" s="7">
        <v>124885413</v>
      </c>
      <c r="I4382" s="7">
        <v>70646504</v>
      </c>
      <c r="J4382" s="7">
        <v>0</v>
      </c>
      <c r="K4382">
        <f t="shared" si="68"/>
        <v>31</v>
      </c>
      <c r="L4382" s="8" t="str" cm="1">
        <f t="array" ref="L4382">_xlfn.IFS(
 AND(K4382&gt;=89,K4382&lt;=92),"3개월",
 AND(K4382&gt;=58,K4382&lt;=62),"2개월",
 AND(K4382&gt;=28,K4382&lt;=32),"1개월",
 AND(K4382=0),"당월",
 TRUE,"그외"
)</f>
        <v>1개월</v>
      </c>
    </row>
    <row r="4383" spans="1:12" x14ac:dyDescent="0.3">
      <c r="A4383" s="5">
        <v>45658</v>
      </c>
      <c r="B4383" s="6" t="s">
        <v>40</v>
      </c>
      <c r="C4383" s="6" t="s">
        <v>122</v>
      </c>
      <c r="D4383" s="5">
        <v>45658</v>
      </c>
      <c r="E4383" s="6" t="s">
        <v>14</v>
      </c>
      <c r="F4383" s="7">
        <v>527</v>
      </c>
      <c r="G4383" s="7">
        <v>62336.432637571161</v>
      </c>
      <c r="H4383" s="7">
        <v>32851300</v>
      </c>
      <c r="I4383" s="7">
        <v>10381300</v>
      </c>
      <c r="J4383" s="7">
        <v>0</v>
      </c>
      <c r="K4383">
        <f t="shared" si="68"/>
        <v>0</v>
      </c>
      <c r="L4383" s="8" t="str" cm="1">
        <f t="array" ref="L4383">_xlfn.IFS(
 AND(K4383&gt;=89,K4383&lt;=92),"3개월",
 AND(K4383&gt;=58,K4383&lt;=62),"2개월",
 AND(K4383&gt;=28,K4383&lt;=32),"1개월",
 AND(K4383=0),"당월",
 TRUE,"그외"
)</f>
        <v>당월</v>
      </c>
    </row>
    <row r="4384" spans="1:12" x14ac:dyDescent="0.3">
      <c r="A4384" s="5">
        <v>45658</v>
      </c>
      <c r="B4384" s="6" t="s">
        <v>40</v>
      </c>
      <c r="C4384" s="6" t="s">
        <v>122</v>
      </c>
      <c r="D4384" s="5">
        <v>45658</v>
      </c>
      <c r="E4384" s="6" t="s">
        <v>15</v>
      </c>
      <c r="F4384" s="7">
        <v>739</v>
      </c>
      <c r="G4384" s="7">
        <v>129159.5372124493</v>
      </c>
      <c r="H4384" s="7">
        <v>95448898</v>
      </c>
      <c r="I4384" s="7">
        <v>46858887</v>
      </c>
      <c r="J4384" s="7">
        <v>0</v>
      </c>
      <c r="K4384">
        <f t="shared" si="68"/>
        <v>0</v>
      </c>
      <c r="L4384" s="8" t="str" cm="1">
        <f t="array" ref="L4384">_xlfn.IFS(
 AND(K4384&gt;=89,K4384&lt;=92),"3개월",
 AND(K4384&gt;=58,K4384&lt;=62),"2개월",
 AND(K4384&gt;=28,K4384&lt;=32),"1개월",
 AND(K4384=0),"당월",
 TRUE,"그외"
)</f>
        <v>당월</v>
      </c>
    </row>
    <row r="4385" spans="1:12" x14ac:dyDescent="0.3">
      <c r="A4385" s="5">
        <v>45658</v>
      </c>
      <c r="B4385" s="6" t="s">
        <v>40</v>
      </c>
      <c r="C4385" s="6" t="s">
        <v>42</v>
      </c>
      <c r="D4385" s="5">
        <v>45597</v>
      </c>
      <c r="E4385" s="6" t="s">
        <v>14</v>
      </c>
      <c r="F4385" s="7">
        <v>63</v>
      </c>
      <c r="G4385" s="7">
        <v>128857.1428571429</v>
      </c>
      <c r="H4385" s="7">
        <v>8118000</v>
      </c>
      <c r="I4385" s="7">
        <v>1008000</v>
      </c>
      <c r="J4385" s="7">
        <v>0</v>
      </c>
      <c r="K4385">
        <f t="shared" si="68"/>
        <v>61</v>
      </c>
      <c r="L4385" s="8" t="str" cm="1">
        <f t="array" ref="L4385">_xlfn.IFS(
 AND(K4385&gt;=89,K4385&lt;=92),"3개월",
 AND(K4385&gt;=58,K4385&lt;=62),"2개월",
 AND(K4385&gt;=28,K4385&lt;=32),"1개월",
 AND(K4385=0),"당월",
 TRUE,"그외"
)</f>
        <v>2개월</v>
      </c>
    </row>
    <row r="4386" spans="1:12" x14ac:dyDescent="0.3">
      <c r="A4386" s="5">
        <v>45658</v>
      </c>
      <c r="B4386" s="6" t="s">
        <v>40</v>
      </c>
      <c r="C4386" s="6" t="s">
        <v>42</v>
      </c>
      <c r="D4386" s="5">
        <v>45627</v>
      </c>
      <c r="E4386" s="6" t="s">
        <v>14</v>
      </c>
      <c r="F4386" s="7">
        <v>876</v>
      </c>
      <c r="G4386" s="7">
        <v>126289.497716895</v>
      </c>
      <c r="H4386" s="7">
        <v>110629600</v>
      </c>
      <c r="I4386" s="7">
        <v>16987600</v>
      </c>
      <c r="J4386" s="7">
        <v>0</v>
      </c>
      <c r="K4386">
        <f t="shared" si="68"/>
        <v>31</v>
      </c>
      <c r="L4386" s="8" t="str" cm="1">
        <f t="array" ref="L4386">_xlfn.IFS(
 AND(K4386&gt;=89,K4386&lt;=92),"3개월",
 AND(K4386&gt;=58,K4386&lt;=62),"2개월",
 AND(K4386&gt;=28,K4386&lt;=32),"1개월",
 AND(K4386=0),"당월",
 TRUE,"그외"
)</f>
        <v>1개월</v>
      </c>
    </row>
    <row r="4387" spans="1:12" x14ac:dyDescent="0.3">
      <c r="A4387" s="5">
        <v>45658</v>
      </c>
      <c r="B4387" s="6" t="s">
        <v>40</v>
      </c>
      <c r="C4387" s="6" t="s">
        <v>42</v>
      </c>
      <c r="D4387" s="5">
        <v>45627</v>
      </c>
      <c r="E4387" s="6" t="s">
        <v>15</v>
      </c>
      <c r="F4387" s="7">
        <v>1</v>
      </c>
      <c r="G4387" s="7">
        <v>29768</v>
      </c>
      <c r="H4387" s="7">
        <v>29768</v>
      </c>
      <c r="I4387" s="7">
        <v>0</v>
      </c>
      <c r="J4387" s="7">
        <v>0</v>
      </c>
      <c r="K4387">
        <f t="shared" si="68"/>
        <v>31</v>
      </c>
      <c r="L4387" s="8" t="str" cm="1">
        <f t="array" ref="L4387">_xlfn.IFS(
 AND(K4387&gt;=89,K4387&lt;=92),"3개월",
 AND(K4387&gt;=58,K4387&lt;=62),"2개월",
 AND(K4387&gt;=28,K4387&lt;=32),"1개월",
 AND(K4387=0),"당월",
 TRUE,"그외"
)</f>
        <v>1개월</v>
      </c>
    </row>
    <row r="4388" spans="1:12" x14ac:dyDescent="0.3">
      <c r="A4388" s="5">
        <v>45658</v>
      </c>
      <c r="B4388" s="6" t="s">
        <v>40</v>
      </c>
      <c r="C4388" s="6" t="s">
        <v>42</v>
      </c>
      <c r="D4388" s="5">
        <v>45658</v>
      </c>
      <c r="E4388" s="6" t="s">
        <v>14</v>
      </c>
      <c r="F4388" s="7">
        <v>1778</v>
      </c>
      <c r="G4388" s="7">
        <v>127230.8211473566</v>
      </c>
      <c r="H4388" s="7">
        <v>226216400</v>
      </c>
      <c r="I4388" s="7">
        <v>35025400</v>
      </c>
      <c r="J4388" s="7">
        <v>0</v>
      </c>
      <c r="K4388">
        <f t="shared" si="68"/>
        <v>0</v>
      </c>
      <c r="L4388" s="8" t="str" cm="1">
        <f t="array" ref="L4388">_xlfn.IFS(
 AND(K4388&gt;=89,K4388&lt;=92),"3개월",
 AND(K4388&gt;=58,K4388&lt;=62),"2개월",
 AND(K4388&gt;=28,K4388&lt;=32),"1개월",
 AND(K4388=0),"당월",
 TRUE,"그외"
)</f>
        <v>당월</v>
      </c>
    </row>
    <row r="4389" spans="1:12" x14ac:dyDescent="0.3">
      <c r="A4389" s="5">
        <v>45658</v>
      </c>
      <c r="B4389" s="6" t="s">
        <v>40</v>
      </c>
      <c r="C4389" s="6" t="s">
        <v>42</v>
      </c>
      <c r="D4389" s="5">
        <v>45658</v>
      </c>
      <c r="E4389" s="6" t="s">
        <v>15</v>
      </c>
      <c r="F4389" s="7">
        <v>4</v>
      </c>
      <c r="G4389" s="7">
        <v>0</v>
      </c>
      <c r="H4389" s="7">
        <v>0</v>
      </c>
      <c r="I4389" s="7">
        <v>0</v>
      </c>
      <c r="J4389" s="7">
        <v>0</v>
      </c>
      <c r="K4389">
        <f t="shared" si="68"/>
        <v>0</v>
      </c>
      <c r="L4389" s="8" t="str" cm="1">
        <f t="array" ref="L4389">_xlfn.IFS(
 AND(K4389&gt;=89,K4389&lt;=92),"3개월",
 AND(K4389&gt;=58,K4389&lt;=62),"2개월",
 AND(K4389&gt;=28,K4389&lt;=32),"1개월",
 AND(K4389=0),"당월",
 TRUE,"그외"
)</f>
        <v>당월</v>
      </c>
    </row>
    <row r="4390" spans="1:12" x14ac:dyDescent="0.3">
      <c r="A4390" s="5">
        <v>45658</v>
      </c>
      <c r="B4390" s="6" t="s">
        <v>40</v>
      </c>
      <c r="C4390" s="6" t="s">
        <v>47</v>
      </c>
      <c r="D4390" s="5">
        <v>45505</v>
      </c>
      <c r="E4390" s="6" t="s">
        <v>15</v>
      </c>
      <c r="F4390" s="7">
        <v>44</v>
      </c>
      <c r="G4390" s="7">
        <v>123326.82</v>
      </c>
      <c r="H4390" s="7">
        <v>5426380.0800000001</v>
      </c>
      <c r="I4390" s="7">
        <v>1390473.08</v>
      </c>
      <c r="J4390" s="7">
        <v>0</v>
      </c>
      <c r="K4390">
        <f t="shared" si="68"/>
        <v>153</v>
      </c>
      <c r="L4390" s="8" t="str" cm="1">
        <f t="array" ref="L4390">_xlfn.IFS(
 AND(K4390&gt;=89,K4390&lt;=92),"3개월",
 AND(K4390&gt;=58,K4390&lt;=62),"2개월",
 AND(K4390&gt;=28,K4390&lt;=32),"1개월",
 AND(K4390=0),"당월",
 TRUE,"그외"
)</f>
        <v>그외</v>
      </c>
    </row>
    <row r="4391" spans="1:12" x14ac:dyDescent="0.3">
      <c r="A4391" s="5">
        <v>45658</v>
      </c>
      <c r="B4391" s="6" t="s">
        <v>40</v>
      </c>
      <c r="C4391" s="6" t="s">
        <v>47</v>
      </c>
      <c r="D4391" s="5">
        <v>45536</v>
      </c>
      <c r="E4391" s="6" t="s">
        <v>15</v>
      </c>
      <c r="F4391" s="7">
        <v>83</v>
      </c>
      <c r="G4391" s="7">
        <v>130634.2891566265</v>
      </c>
      <c r="H4391" s="7">
        <v>10842646</v>
      </c>
      <c r="I4391" s="7">
        <v>2294369</v>
      </c>
      <c r="J4391" s="7">
        <v>0</v>
      </c>
      <c r="K4391">
        <f t="shared" si="68"/>
        <v>122</v>
      </c>
      <c r="L4391" s="8" t="str" cm="1">
        <f t="array" ref="L4391">_xlfn.IFS(
 AND(K4391&gt;=89,K4391&lt;=92),"3개월",
 AND(K4391&gt;=58,K4391&lt;=62),"2개월",
 AND(K4391&gt;=28,K4391&lt;=32),"1개월",
 AND(K4391=0),"당월",
 TRUE,"그외"
)</f>
        <v>그외</v>
      </c>
    </row>
    <row r="4392" spans="1:12" x14ac:dyDescent="0.3">
      <c r="A4392" s="5">
        <v>45658</v>
      </c>
      <c r="B4392" s="6" t="s">
        <v>40</v>
      </c>
      <c r="C4392" s="6" t="s">
        <v>47</v>
      </c>
      <c r="D4392" s="5">
        <v>45566</v>
      </c>
      <c r="E4392" s="6" t="s">
        <v>15</v>
      </c>
      <c r="F4392" s="7">
        <v>296</v>
      </c>
      <c r="G4392" s="7">
        <v>120443.5033783784</v>
      </c>
      <c r="H4392" s="7">
        <v>35651277</v>
      </c>
      <c r="I4392" s="7">
        <v>7231598</v>
      </c>
      <c r="J4392" s="7">
        <v>0</v>
      </c>
      <c r="K4392">
        <f t="shared" si="68"/>
        <v>92</v>
      </c>
      <c r="L4392" s="8" t="str" cm="1">
        <f t="array" ref="L4392">_xlfn.IFS(
 AND(K4392&gt;=89,K4392&lt;=92),"3개월",
 AND(K4392&gt;=58,K4392&lt;=62),"2개월",
 AND(K4392&gt;=28,K4392&lt;=32),"1개월",
 AND(K4392=0),"당월",
 TRUE,"그외"
)</f>
        <v>3개월</v>
      </c>
    </row>
    <row r="4393" spans="1:12" x14ac:dyDescent="0.3">
      <c r="A4393" s="5">
        <v>45658</v>
      </c>
      <c r="B4393" s="6" t="s">
        <v>40</v>
      </c>
      <c r="C4393" s="6" t="s">
        <v>47</v>
      </c>
      <c r="D4393" s="5">
        <v>45597</v>
      </c>
      <c r="E4393" s="6" t="s">
        <v>14</v>
      </c>
      <c r="F4393" s="7">
        <v>8</v>
      </c>
      <c r="G4393" s="7">
        <v>126000</v>
      </c>
      <c r="H4393" s="7">
        <v>1008000</v>
      </c>
      <c r="I4393" s="7">
        <v>160000</v>
      </c>
      <c r="J4393" s="7">
        <v>0</v>
      </c>
      <c r="K4393">
        <f t="shared" si="68"/>
        <v>61</v>
      </c>
      <c r="L4393" s="8" t="str" cm="1">
        <f t="array" ref="L4393">_xlfn.IFS(
 AND(K4393&gt;=89,K4393&lt;=92),"3개월",
 AND(K4393&gt;=58,K4393&lt;=62),"2개월",
 AND(K4393&gt;=28,K4393&lt;=32),"1개월",
 AND(K4393=0),"당월",
 TRUE,"그외"
)</f>
        <v>2개월</v>
      </c>
    </row>
    <row r="4394" spans="1:12" x14ac:dyDescent="0.3">
      <c r="A4394" s="5">
        <v>45658</v>
      </c>
      <c r="B4394" s="6" t="s">
        <v>40</v>
      </c>
      <c r="C4394" s="6" t="s">
        <v>47</v>
      </c>
      <c r="D4394" s="5">
        <v>45597</v>
      </c>
      <c r="E4394" s="6" t="s">
        <v>15</v>
      </c>
      <c r="F4394" s="7">
        <v>1424</v>
      </c>
      <c r="G4394" s="7">
        <v>107829.7401685393</v>
      </c>
      <c r="H4394" s="7">
        <v>153549550</v>
      </c>
      <c r="I4394" s="7">
        <v>31931765</v>
      </c>
      <c r="J4394" s="7">
        <v>0</v>
      </c>
      <c r="K4394">
        <f t="shared" si="68"/>
        <v>61</v>
      </c>
      <c r="L4394" s="8" t="str" cm="1">
        <f t="array" ref="L4394">_xlfn.IFS(
 AND(K4394&gt;=89,K4394&lt;=92),"3개월",
 AND(K4394&gt;=58,K4394&lt;=62),"2개월",
 AND(K4394&gt;=28,K4394&lt;=32),"1개월",
 AND(K4394=0),"당월",
 TRUE,"그외"
)</f>
        <v>2개월</v>
      </c>
    </row>
    <row r="4395" spans="1:12" x14ac:dyDescent="0.3">
      <c r="A4395" s="5">
        <v>45658</v>
      </c>
      <c r="B4395" s="6" t="s">
        <v>40</v>
      </c>
      <c r="C4395" s="6" t="s">
        <v>47</v>
      </c>
      <c r="D4395" s="5">
        <v>45627</v>
      </c>
      <c r="E4395" s="6" t="s">
        <v>14</v>
      </c>
      <c r="F4395" s="7">
        <v>1128</v>
      </c>
      <c r="G4395" s="7">
        <v>102099.670212766</v>
      </c>
      <c r="H4395" s="7">
        <v>115168428</v>
      </c>
      <c r="I4395" s="7">
        <v>29336682</v>
      </c>
      <c r="J4395" s="7">
        <v>0</v>
      </c>
      <c r="K4395">
        <f t="shared" si="68"/>
        <v>31</v>
      </c>
      <c r="L4395" s="8" t="str" cm="1">
        <f t="array" ref="L4395">_xlfn.IFS(
 AND(K4395&gt;=89,K4395&lt;=92),"3개월",
 AND(K4395&gt;=58,K4395&lt;=62),"2개월",
 AND(K4395&gt;=28,K4395&lt;=32),"1개월",
 AND(K4395=0),"당월",
 TRUE,"그외"
)</f>
        <v>1개월</v>
      </c>
    </row>
    <row r="4396" spans="1:12" x14ac:dyDescent="0.3">
      <c r="A4396" s="5">
        <v>45658</v>
      </c>
      <c r="B4396" s="6" t="s">
        <v>40</v>
      </c>
      <c r="C4396" s="6" t="s">
        <v>47</v>
      </c>
      <c r="D4396" s="5">
        <v>45627</v>
      </c>
      <c r="E4396" s="6" t="s">
        <v>15</v>
      </c>
      <c r="F4396" s="7">
        <v>2833</v>
      </c>
      <c r="G4396" s="7">
        <v>115373.03282739149</v>
      </c>
      <c r="H4396" s="7">
        <v>326851802</v>
      </c>
      <c r="I4396" s="7">
        <v>72517021</v>
      </c>
      <c r="J4396" s="7">
        <v>0</v>
      </c>
      <c r="K4396">
        <f t="shared" si="68"/>
        <v>31</v>
      </c>
      <c r="L4396" s="8" t="str" cm="1">
        <f t="array" ref="L4396">_xlfn.IFS(
 AND(K4396&gt;=89,K4396&lt;=92),"3개월",
 AND(K4396&gt;=58,K4396&lt;=62),"2개월",
 AND(K4396&gt;=28,K4396&lt;=32),"1개월",
 AND(K4396=0),"당월",
 TRUE,"그외"
)</f>
        <v>1개월</v>
      </c>
    </row>
    <row r="4397" spans="1:12" x14ac:dyDescent="0.3">
      <c r="A4397" s="5">
        <v>45658</v>
      </c>
      <c r="B4397" s="6" t="s">
        <v>40</v>
      </c>
      <c r="C4397" s="6" t="s">
        <v>47</v>
      </c>
      <c r="D4397" s="5">
        <v>45658</v>
      </c>
      <c r="E4397" s="6" t="s">
        <v>14</v>
      </c>
      <c r="F4397" s="7">
        <v>1934</v>
      </c>
      <c r="G4397" s="7">
        <v>182689.9581178904</v>
      </c>
      <c r="H4397" s="7">
        <v>353322379</v>
      </c>
      <c r="I4397" s="7">
        <v>54424439</v>
      </c>
      <c r="J4397" s="7">
        <v>0</v>
      </c>
      <c r="K4397">
        <f t="shared" si="68"/>
        <v>0</v>
      </c>
      <c r="L4397" s="8" t="str" cm="1">
        <f t="array" ref="L4397">_xlfn.IFS(
 AND(K4397&gt;=89,K4397&lt;=92),"3개월",
 AND(K4397&gt;=58,K4397&lt;=62),"2개월",
 AND(K4397&gt;=28,K4397&lt;=32),"1개월",
 AND(K4397=0),"당월",
 TRUE,"그외"
)</f>
        <v>당월</v>
      </c>
    </row>
    <row r="4398" spans="1:12" x14ac:dyDescent="0.3">
      <c r="A4398" s="5">
        <v>45658</v>
      </c>
      <c r="B4398" s="6" t="s">
        <v>40</v>
      </c>
      <c r="C4398" s="6" t="s">
        <v>47</v>
      </c>
      <c r="D4398" s="5">
        <v>45658</v>
      </c>
      <c r="E4398" s="6" t="s">
        <v>15</v>
      </c>
      <c r="F4398" s="7">
        <v>2599</v>
      </c>
      <c r="G4398" s="7">
        <v>172226.36167756829</v>
      </c>
      <c r="H4398" s="7">
        <v>447616314</v>
      </c>
      <c r="I4398" s="7">
        <v>68975191</v>
      </c>
      <c r="J4398" s="7">
        <v>0</v>
      </c>
      <c r="K4398">
        <f t="shared" si="68"/>
        <v>0</v>
      </c>
      <c r="L4398" s="8" t="str" cm="1">
        <f t="array" ref="L4398">_xlfn.IFS(
 AND(K4398&gt;=89,K4398&lt;=92),"3개월",
 AND(K4398&gt;=58,K4398&lt;=62),"2개월",
 AND(K4398&gt;=28,K4398&lt;=32),"1개월",
 AND(K4398=0),"당월",
 TRUE,"그외"
)</f>
        <v>당월</v>
      </c>
    </row>
    <row r="4399" spans="1:12" x14ac:dyDescent="0.3">
      <c r="A4399" s="5">
        <v>45658</v>
      </c>
      <c r="B4399" s="6" t="s">
        <v>50</v>
      </c>
      <c r="C4399" s="6" t="s">
        <v>51</v>
      </c>
      <c r="D4399" s="5">
        <v>45474</v>
      </c>
      <c r="E4399" s="6" t="s">
        <v>15</v>
      </c>
      <c r="F4399" s="7">
        <v>10</v>
      </c>
      <c r="G4399" s="7">
        <v>221900</v>
      </c>
      <c r="H4399" s="7">
        <v>2219000</v>
      </c>
      <c r="I4399" s="7">
        <v>219000</v>
      </c>
      <c r="J4399" s="7">
        <v>0</v>
      </c>
      <c r="K4399">
        <f t="shared" si="68"/>
        <v>184</v>
      </c>
      <c r="L4399" s="8" t="str" cm="1">
        <f t="array" ref="L4399">_xlfn.IFS(
 AND(K4399&gt;=89,K4399&lt;=92),"3개월",
 AND(K4399&gt;=58,K4399&lt;=62),"2개월",
 AND(K4399&gt;=28,K4399&lt;=32),"1개월",
 AND(K4399=0),"당월",
 TRUE,"그외"
)</f>
        <v>그외</v>
      </c>
    </row>
    <row r="4400" spans="1:12" x14ac:dyDescent="0.3">
      <c r="A4400" s="5">
        <v>45658</v>
      </c>
      <c r="B4400" s="6" t="s">
        <v>50</v>
      </c>
      <c r="C4400" s="6" t="s">
        <v>51</v>
      </c>
      <c r="D4400" s="5">
        <v>45505</v>
      </c>
      <c r="E4400" s="6" t="s">
        <v>15</v>
      </c>
      <c r="F4400" s="7">
        <v>88</v>
      </c>
      <c r="G4400" s="7">
        <v>198063.65909090909</v>
      </c>
      <c r="H4400" s="7">
        <v>17429602</v>
      </c>
      <c r="I4400" s="7">
        <v>2519580</v>
      </c>
      <c r="J4400" s="7">
        <v>0</v>
      </c>
      <c r="K4400">
        <f t="shared" si="68"/>
        <v>153</v>
      </c>
      <c r="L4400" s="8" t="str" cm="1">
        <f t="array" ref="L4400">_xlfn.IFS(
 AND(K4400&gt;=89,K4400&lt;=92),"3개월",
 AND(K4400&gt;=58,K4400&lt;=62),"2개월",
 AND(K4400&gt;=28,K4400&lt;=32),"1개월",
 AND(K4400=0),"당월",
 TRUE,"그외"
)</f>
        <v>그외</v>
      </c>
    </row>
    <row r="4401" spans="1:12" x14ac:dyDescent="0.3">
      <c r="A4401" s="5">
        <v>45658</v>
      </c>
      <c r="B4401" s="6" t="s">
        <v>50</v>
      </c>
      <c r="C4401" s="6" t="s">
        <v>51</v>
      </c>
      <c r="D4401" s="5">
        <v>45536</v>
      </c>
      <c r="E4401" s="6" t="s">
        <v>15</v>
      </c>
      <c r="F4401" s="7">
        <v>154</v>
      </c>
      <c r="G4401" s="7">
        <v>291741.72077922081</v>
      </c>
      <c r="H4401" s="7">
        <v>44928225</v>
      </c>
      <c r="I4401" s="7">
        <v>4873408</v>
      </c>
      <c r="J4401" s="7">
        <v>0</v>
      </c>
      <c r="K4401">
        <f t="shared" si="68"/>
        <v>122</v>
      </c>
      <c r="L4401" s="8" t="str" cm="1">
        <f t="array" ref="L4401">_xlfn.IFS(
 AND(K4401&gt;=89,K4401&lt;=92),"3개월",
 AND(K4401&gt;=58,K4401&lt;=62),"2개월",
 AND(K4401&gt;=28,K4401&lt;=32),"1개월",
 AND(K4401=0),"당월",
 TRUE,"그외"
)</f>
        <v>그외</v>
      </c>
    </row>
    <row r="4402" spans="1:12" x14ac:dyDescent="0.3">
      <c r="A4402" s="5">
        <v>45658</v>
      </c>
      <c r="B4402" s="6" t="s">
        <v>50</v>
      </c>
      <c r="C4402" s="6" t="s">
        <v>51</v>
      </c>
      <c r="D4402" s="5">
        <v>45566</v>
      </c>
      <c r="E4402" s="6" t="s">
        <v>15</v>
      </c>
      <c r="F4402" s="7">
        <v>415</v>
      </c>
      <c r="G4402" s="7">
        <v>253135.44096385539</v>
      </c>
      <c r="H4402" s="7">
        <v>105051208</v>
      </c>
      <c r="I4402" s="7">
        <v>10345543</v>
      </c>
      <c r="J4402" s="7">
        <v>0</v>
      </c>
      <c r="K4402">
        <f t="shared" si="68"/>
        <v>92</v>
      </c>
      <c r="L4402" s="8" t="str" cm="1">
        <f t="array" ref="L4402">_xlfn.IFS(
 AND(K4402&gt;=89,K4402&lt;=92),"3개월",
 AND(K4402&gt;=58,K4402&lt;=62),"2개월",
 AND(K4402&gt;=28,K4402&lt;=32),"1개월",
 AND(K4402=0),"당월",
 TRUE,"그외"
)</f>
        <v>3개월</v>
      </c>
    </row>
    <row r="4403" spans="1:12" x14ac:dyDescent="0.3">
      <c r="A4403" s="5">
        <v>45658</v>
      </c>
      <c r="B4403" s="6" t="s">
        <v>50</v>
      </c>
      <c r="C4403" s="6" t="s">
        <v>51</v>
      </c>
      <c r="D4403" s="5">
        <v>45597</v>
      </c>
      <c r="E4403" s="6" t="s">
        <v>14</v>
      </c>
      <c r="F4403" s="7">
        <v>126</v>
      </c>
      <c r="G4403" s="7">
        <v>216000</v>
      </c>
      <c r="H4403" s="7">
        <v>27216000</v>
      </c>
      <c r="I4403" s="7">
        <v>2016000</v>
      </c>
      <c r="J4403" s="7">
        <v>0</v>
      </c>
      <c r="K4403">
        <f t="shared" si="68"/>
        <v>61</v>
      </c>
      <c r="L4403" s="8" t="str" cm="1">
        <f t="array" ref="L4403">_xlfn.IFS(
 AND(K4403&gt;=89,K4403&lt;=92),"3개월",
 AND(K4403&gt;=58,K4403&lt;=62),"2개월",
 AND(K4403&gt;=28,K4403&lt;=32),"1개월",
 AND(K4403=0),"당월",
 TRUE,"그외"
)</f>
        <v>2개월</v>
      </c>
    </row>
    <row r="4404" spans="1:12" x14ac:dyDescent="0.3">
      <c r="A4404" s="5">
        <v>45658</v>
      </c>
      <c r="B4404" s="6" t="s">
        <v>50</v>
      </c>
      <c r="C4404" s="6" t="s">
        <v>51</v>
      </c>
      <c r="D4404" s="5">
        <v>45597</v>
      </c>
      <c r="E4404" s="6" t="s">
        <v>15</v>
      </c>
      <c r="F4404" s="7">
        <v>1173</v>
      </c>
      <c r="G4404" s="7">
        <v>254198.47314578001</v>
      </c>
      <c r="H4404" s="7">
        <v>298174809</v>
      </c>
      <c r="I4404" s="7">
        <v>29144992</v>
      </c>
      <c r="J4404" s="7">
        <v>0</v>
      </c>
      <c r="K4404">
        <f t="shared" si="68"/>
        <v>61</v>
      </c>
      <c r="L4404" s="8" t="str" cm="1">
        <f t="array" ref="L4404">_xlfn.IFS(
 AND(K4404&gt;=89,K4404&lt;=92),"3개월",
 AND(K4404&gt;=58,K4404&lt;=62),"2개월",
 AND(K4404&gt;=28,K4404&lt;=32),"1개월",
 AND(K4404=0),"당월",
 TRUE,"그외"
)</f>
        <v>2개월</v>
      </c>
    </row>
    <row r="4405" spans="1:12" x14ac:dyDescent="0.3">
      <c r="A4405" s="5">
        <v>45658</v>
      </c>
      <c r="B4405" s="6" t="s">
        <v>50</v>
      </c>
      <c r="C4405" s="6" t="s">
        <v>51</v>
      </c>
      <c r="D4405" s="5">
        <v>45627</v>
      </c>
      <c r="E4405" s="6" t="s">
        <v>14</v>
      </c>
      <c r="F4405" s="7">
        <v>463</v>
      </c>
      <c r="G4405" s="7">
        <v>259108.81209503239</v>
      </c>
      <c r="H4405" s="7">
        <v>119967380</v>
      </c>
      <c r="I4405" s="7">
        <v>8865800</v>
      </c>
      <c r="J4405" s="7">
        <v>0</v>
      </c>
      <c r="K4405">
        <f t="shared" si="68"/>
        <v>31</v>
      </c>
      <c r="L4405" s="8" t="str" cm="1">
        <f t="array" ref="L4405">_xlfn.IFS(
 AND(K4405&gt;=89,K4405&lt;=92),"3개월",
 AND(K4405&gt;=58,K4405&lt;=62),"2개월",
 AND(K4405&gt;=28,K4405&lt;=32),"1개월",
 AND(K4405=0),"당월",
 TRUE,"그외"
)</f>
        <v>1개월</v>
      </c>
    </row>
    <row r="4406" spans="1:12" x14ac:dyDescent="0.3">
      <c r="A4406" s="5">
        <v>45658</v>
      </c>
      <c r="B4406" s="6" t="s">
        <v>50</v>
      </c>
      <c r="C4406" s="6" t="s">
        <v>51</v>
      </c>
      <c r="D4406" s="5">
        <v>45627</v>
      </c>
      <c r="E4406" s="6" t="s">
        <v>15</v>
      </c>
      <c r="F4406" s="7">
        <v>2785</v>
      </c>
      <c r="G4406" s="7">
        <v>233292.46283662479</v>
      </c>
      <c r="H4406" s="7">
        <v>649719509</v>
      </c>
      <c r="I4406" s="7">
        <v>78007325</v>
      </c>
      <c r="J4406" s="7">
        <v>0</v>
      </c>
      <c r="K4406">
        <f t="shared" si="68"/>
        <v>31</v>
      </c>
      <c r="L4406" s="8" t="str" cm="1">
        <f t="array" ref="L4406">_xlfn.IFS(
 AND(K4406&gt;=89,K4406&lt;=92),"3개월",
 AND(K4406&gt;=58,K4406&lt;=62),"2개월",
 AND(K4406&gt;=28,K4406&lt;=32),"1개월",
 AND(K4406=0),"당월",
 TRUE,"그외"
)</f>
        <v>1개월</v>
      </c>
    </row>
    <row r="4407" spans="1:12" x14ac:dyDescent="0.3">
      <c r="A4407" s="5">
        <v>45658</v>
      </c>
      <c r="B4407" s="6" t="s">
        <v>50</v>
      </c>
      <c r="C4407" s="6" t="s">
        <v>51</v>
      </c>
      <c r="D4407" s="5">
        <v>45658</v>
      </c>
      <c r="E4407" s="6" t="s">
        <v>14</v>
      </c>
      <c r="F4407" s="7">
        <v>200</v>
      </c>
      <c r="G4407" s="7">
        <v>136822.57999999999</v>
      </c>
      <c r="H4407" s="7">
        <v>27364516</v>
      </c>
      <c r="I4407" s="7">
        <v>6184516</v>
      </c>
      <c r="J4407" s="7">
        <v>0</v>
      </c>
      <c r="K4407">
        <f t="shared" si="68"/>
        <v>0</v>
      </c>
      <c r="L4407" s="8" t="str" cm="1">
        <f t="array" ref="L4407">_xlfn.IFS(
 AND(K4407&gt;=89,K4407&lt;=92),"3개월",
 AND(K4407&gt;=58,K4407&lt;=62),"2개월",
 AND(K4407&gt;=28,K4407&lt;=32),"1개월",
 AND(K4407=0),"당월",
 TRUE,"그외"
)</f>
        <v>당월</v>
      </c>
    </row>
    <row r="4408" spans="1:12" x14ac:dyDescent="0.3">
      <c r="A4408" s="5">
        <v>45658</v>
      </c>
      <c r="B4408" s="6" t="s">
        <v>50</v>
      </c>
      <c r="C4408" s="6" t="s">
        <v>51</v>
      </c>
      <c r="D4408" s="5">
        <v>45658</v>
      </c>
      <c r="E4408" s="6" t="s">
        <v>15</v>
      </c>
      <c r="F4408" s="7">
        <v>1064</v>
      </c>
      <c r="G4408" s="7">
        <v>239890.01503759401</v>
      </c>
      <c r="H4408" s="7">
        <v>255242976</v>
      </c>
      <c r="I4408" s="7">
        <v>29159606</v>
      </c>
      <c r="J4408" s="7">
        <v>0</v>
      </c>
      <c r="K4408">
        <f t="shared" si="68"/>
        <v>0</v>
      </c>
      <c r="L4408" s="8" t="str" cm="1">
        <f t="array" ref="L4408">_xlfn.IFS(
 AND(K4408&gt;=89,K4408&lt;=92),"3개월",
 AND(K4408&gt;=58,K4408&lt;=62),"2개월",
 AND(K4408&gt;=28,K4408&lt;=32),"1개월",
 AND(K4408=0),"당월",
 TRUE,"그외"
)</f>
        <v>당월</v>
      </c>
    </row>
    <row r="4409" spans="1:12" x14ac:dyDescent="0.3">
      <c r="A4409" s="5">
        <v>45658</v>
      </c>
      <c r="B4409" s="6" t="s">
        <v>50</v>
      </c>
      <c r="C4409" s="6" t="s">
        <v>52</v>
      </c>
      <c r="D4409" s="5">
        <v>45505</v>
      </c>
      <c r="E4409" s="6" t="s">
        <v>15</v>
      </c>
      <c r="F4409" s="7">
        <v>864</v>
      </c>
      <c r="G4409" s="7">
        <v>110580.55671296301</v>
      </c>
      <c r="H4409" s="7">
        <v>95541601</v>
      </c>
      <c r="I4409" s="7">
        <v>24707640</v>
      </c>
      <c r="J4409" s="7">
        <v>0</v>
      </c>
      <c r="K4409">
        <f t="shared" si="68"/>
        <v>153</v>
      </c>
      <c r="L4409" s="8" t="str" cm="1">
        <f t="array" ref="L4409">_xlfn.IFS(
 AND(K4409&gt;=89,K4409&lt;=92),"3개월",
 AND(K4409&gt;=58,K4409&lt;=62),"2개월",
 AND(K4409&gt;=28,K4409&lt;=32),"1개월",
 AND(K4409=0),"당월",
 TRUE,"그외"
)</f>
        <v>그외</v>
      </c>
    </row>
    <row r="4410" spans="1:12" x14ac:dyDescent="0.3">
      <c r="A4410" s="5">
        <v>45658</v>
      </c>
      <c r="B4410" s="6" t="s">
        <v>50</v>
      </c>
      <c r="C4410" s="6" t="s">
        <v>52</v>
      </c>
      <c r="D4410" s="5">
        <v>45536</v>
      </c>
      <c r="E4410" s="6" t="s">
        <v>15</v>
      </c>
      <c r="F4410" s="7">
        <v>443</v>
      </c>
      <c r="G4410" s="7">
        <v>133118.08577878101</v>
      </c>
      <c r="H4410" s="7">
        <v>58971312</v>
      </c>
      <c r="I4410" s="7">
        <v>12649921</v>
      </c>
      <c r="J4410" s="7">
        <v>0</v>
      </c>
      <c r="K4410">
        <f t="shared" si="68"/>
        <v>122</v>
      </c>
      <c r="L4410" s="8" t="str" cm="1">
        <f t="array" ref="L4410">_xlfn.IFS(
 AND(K4410&gt;=89,K4410&lt;=92),"3개월",
 AND(K4410&gt;=58,K4410&lt;=62),"2개월",
 AND(K4410&gt;=28,K4410&lt;=32),"1개월",
 AND(K4410=0),"당월",
 TRUE,"그외"
)</f>
        <v>그외</v>
      </c>
    </row>
    <row r="4411" spans="1:12" x14ac:dyDescent="0.3">
      <c r="A4411" s="5">
        <v>45658</v>
      </c>
      <c r="B4411" s="6" t="s">
        <v>50</v>
      </c>
      <c r="C4411" s="6" t="s">
        <v>52</v>
      </c>
      <c r="D4411" s="5">
        <v>45566</v>
      </c>
      <c r="E4411" s="6" t="s">
        <v>15</v>
      </c>
      <c r="F4411" s="7">
        <v>589</v>
      </c>
      <c r="G4411" s="7">
        <v>147364.8404074703</v>
      </c>
      <c r="H4411" s="7">
        <v>86797891</v>
      </c>
      <c r="I4411" s="7">
        <v>14585738</v>
      </c>
      <c r="J4411" s="7">
        <v>0</v>
      </c>
      <c r="K4411">
        <f t="shared" si="68"/>
        <v>92</v>
      </c>
      <c r="L4411" s="8" t="str" cm="1">
        <f t="array" ref="L4411">_xlfn.IFS(
 AND(K4411&gt;=89,K4411&lt;=92),"3개월",
 AND(K4411&gt;=58,K4411&lt;=62),"2개월",
 AND(K4411&gt;=28,K4411&lt;=32),"1개월",
 AND(K4411=0),"당월",
 TRUE,"그외"
)</f>
        <v>3개월</v>
      </c>
    </row>
    <row r="4412" spans="1:12" x14ac:dyDescent="0.3">
      <c r="A4412" s="5">
        <v>45658</v>
      </c>
      <c r="B4412" s="6" t="s">
        <v>50</v>
      </c>
      <c r="C4412" s="6" t="s">
        <v>52</v>
      </c>
      <c r="D4412" s="5">
        <v>45597</v>
      </c>
      <c r="E4412" s="6" t="s">
        <v>14</v>
      </c>
      <c r="F4412" s="7">
        <v>272</v>
      </c>
      <c r="G4412" s="7">
        <v>197330.8823529412</v>
      </c>
      <c r="H4412" s="7">
        <v>53674000</v>
      </c>
      <c r="I4412" s="7">
        <v>4352000</v>
      </c>
      <c r="J4412" s="7">
        <v>0</v>
      </c>
      <c r="K4412">
        <f t="shared" si="68"/>
        <v>61</v>
      </c>
      <c r="L4412" s="8" t="str" cm="1">
        <f t="array" ref="L4412">_xlfn.IFS(
 AND(K4412&gt;=89,K4412&lt;=92),"3개월",
 AND(K4412&gt;=58,K4412&lt;=62),"2개월",
 AND(K4412&gt;=28,K4412&lt;=32),"1개월",
 AND(K4412=0),"당월",
 TRUE,"그외"
)</f>
        <v>2개월</v>
      </c>
    </row>
    <row r="4413" spans="1:12" x14ac:dyDescent="0.3">
      <c r="A4413" s="5">
        <v>45658</v>
      </c>
      <c r="B4413" s="6" t="s">
        <v>50</v>
      </c>
      <c r="C4413" s="6" t="s">
        <v>52</v>
      </c>
      <c r="D4413" s="5">
        <v>45597</v>
      </c>
      <c r="E4413" s="6" t="s">
        <v>15</v>
      </c>
      <c r="F4413" s="7">
        <v>770</v>
      </c>
      <c r="G4413" s="7">
        <v>126395.8116883117</v>
      </c>
      <c r="H4413" s="7">
        <v>97324775</v>
      </c>
      <c r="I4413" s="7">
        <v>20067409</v>
      </c>
      <c r="J4413" s="7">
        <v>0</v>
      </c>
      <c r="K4413">
        <f t="shared" si="68"/>
        <v>61</v>
      </c>
      <c r="L4413" s="8" t="str" cm="1">
        <f t="array" ref="L4413">_xlfn.IFS(
 AND(K4413&gt;=89,K4413&lt;=92),"3개월",
 AND(K4413&gt;=58,K4413&lt;=62),"2개월",
 AND(K4413&gt;=28,K4413&lt;=32),"1개월",
 AND(K4413=0),"당월",
 TRUE,"그외"
)</f>
        <v>2개월</v>
      </c>
    </row>
    <row r="4414" spans="1:12" x14ac:dyDescent="0.3">
      <c r="A4414" s="5">
        <v>45658</v>
      </c>
      <c r="B4414" s="6" t="s">
        <v>50</v>
      </c>
      <c r="C4414" s="6" t="s">
        <v>52</v>
      </c>
      <c r="D4414" s="5">
        <v>45627</v>
      </c>
      <c r="E4414" s="6" t="s">
        <v>14</v>
      </c>
      <c r="F4414" s="7">
        <v>979</v>
      </c>
      <c r="G4414" s="7">
        <v>286494.16956077632</v>
      </c>
      <c r="H4414" s="7">
        <v>280477792</v>
      </c>
      <c r="I4414" s="7">
        <v>21453262</v>
      </c>
      <c r="J4414" s="7">
        <v>0</v>
      </c>
      <c r="K4414">
        <f t="shared" si="68"/>
        <v>31</v>
      </c>
      <c r="L4414" s="8" t="str" cm="1">
        <f t="array" ref="L4414">_xlfn.IFS(
 AND(K4414&gt;=89,K4414&lt;=92),"3개월",
 AND(K4414&gt;=58,K4414&lt;=62),"2개월",
 AND(K4414&gt;=28,K4414&lt;=32),"1개월",
 AND(K4414=0),"당월",
 TRUE,"그외"
)</f>
        <v>1개월</v>
      </c>
    </row>
    <row r="4415" spans="1:12" x14ac:dyDescent="0.3">
      <c r="A4415" s="5">
        <v>45658</v>
      </c>
      <c r="B4415" s="6" t="s">
        <v>50</v>
      </c>
      <c r="C4415" s="6" t="s">
        <v>52</v>
      </c>
      <c r="D4415" s="5">
        <v>45627</v>
      </c>
      <c r="E4415" s="6" t="s">
        <v>15</v>
      </c>
      <c r="F4415" s="7">
        <v>2558</v>
      </c>
      <c r="G4415" s="7">
        <v>151466.29202501959</v>
      </c>
      <c r="H4415" s="7">
        <v>387450775</v>
      </c>
      <c r="I4415" s="7">
        <v>85228660</v>
      </c>
      <c r="J4415" s="7">
        <v>0</v>
      </c>
      <c r="K4415">
        <f t="shared" si="68"/>
        <v>31</v>
      </c>
      <c r="L4415" s="8" t="str" cm="1">
        <f t="array" ref="L4415">_xlfn.IFS(
 AND(K4415&gt;=89,K4415&lt;=92),"3개월",
 AND(K4415&gt;=58,K4415&lt;=62),"2개월",
 AND(K4415&gt;=28,K4415&lt;=32),"1개월",
 AND(K4415=0),"당월",
 TRUE,"그외"
)</f>
        <v>1개월</v>
      </c>
    </row>
    <row r="4416" spans="1:12" x14ac:dyDescent="0.3">
      <c r="A4416" s="5">
        <v>45658</v>
      </c>
      <c r="B4416" s="6" t="s">
        <v>50</v>
      </c>
      <c r="C4416" s="6" t="s">
        <v>52</v>
      </c>
      <c r="D4416" s="5">
        <v>45658</v>
      </c>
      <c r="E4416" s="6" t="s">
        <v>14</v>
      </c>
      <c r="F4416" s="7">
        <v>1209</v>
      </c>
      <c r="G4416" s="7">
        <v>116304.2406947891</v>
      </c>
      <c r="H4416" s="7">
        <v>140611827</v>
      </c>
      <c r="I4416" s="7">
        <v>38389827</v>
      </c>
      <c r="J4416" s="7">
        <v>0</v>
      </c>
      <c r="K4416">
        <f t="shared" si="68"/>
        <v>0</v>
      </c>
      <c r="L4416" s="8" t="str" cm="1">
        <f t="array" ref="L4416">_xlfn.IFS(
 AND(K4416&gt;=89,K4416&lt;=92),"3개월",
 AND(K4416&gt;=58,K4416&lt;=62),"2개월",
 AND(K4416&gt;=28,K4416&lt;=32),"1개월",
 AND(K4416=0),"당월",
 TRUE,"그외"
)</f>
        <v>당월</v>
      </c>
    </row>
    <row r="4417" spans="1:12" x14ac:dyDescent="0.3">
      <c r="A4417" s="5">
        <v>45658</v>
      </c>
      <c r="B4417" s="6" t="s">
        <v>50</v>
      </c>
      <c r="C4417" s="6" t="s">
        <v>52</v>
      </c>
      <c r="D4417" s="5">
        <v>45658</v>
      </c>
      <c r="E4417" s="6" t="s">
        <v>15</v>
      </c>
      <c r="F4417" s="7">
        <v>1974</v>
      </c>
      <c r="G4417" s="7">
        <v>175325.82168186421</v>
      </c>
      <c r="H4417" s="7">
        <v>346093172</v>
      </c>
      <c r="I4417" s="7">
        <v>62429603</v>
      </c>
      <c r="J4417" s="7">
        <v>0</v>
      </c>
      <c r="K4417">
        <f t="shared" si="68"/>
        <v>0</v>
      </c>
      <c r="L4417" s="8" t="str" cm="1">
        <f t="array" ref="L4417">_xlfn.IFS(
 AND(K4417&gt;=89,K4417&lt;=92),"3개월",
 AND(K4417&gt;=58,K4417&lt;=62),"2개월",
 AND(K4417&gt;=28,K4417&lt;=32),"1개월",
 AND(K4417=0),"당월",
 TRUE,"그외"
)</f>
        <v>당월</v>
      </c>
    </row>
    <row r="4418" spans="1:12" x14ac:dyDescent="0.3">
      <c r="A4418" s="5">
        <v>45658</v>
      </c>
      <c r="B4418" s="6" t="s">
        <v>50</v>
      </c>
      <c r="C4418" s="6" t="s">
        <v>53</v>
      </c>
      <c r="D4418" s="5">
        <v>45536</v>
      </c>
      <c r="E4418" s="6" t="s">
        <v>15</v>
      </c>
      <c r="F4418" s="7">
        <v>324</v>
      </c>
      <c r="G4418" s="7">
        <v>173137.524691358</v>
      </c>
      <c r="H4418" s="7">
        <v>56096558</v>
      </c>
      <c r="I4418" s="7">
        <v>8917879</v>
      </c>
      <c r="J4418" s="7">
        <v>0</v>
      </c>
      <c r="K4418">
        <f t="shared" si="68"/>
        <v>122</v>
      </c>
      <c r="L4418" s="8" t="str" cm="1">
        <f t="array" ref="L4418">_xlfn.IFS(
 AND(K4418&gt;=89,K4418&lt;=92),"3개월",
 AND(K4418&gt;=58,K4418&lt;=62),"2개월",
 AND(K4418&gt;=28,K4418&lt;=32),"1개월",
 AND(K4418=0),"당월",
 TRUE,"그외"
)</f>
        <v>그외</v>
      </c>
    </row>
    <row r="4419" spans="1:12" x14ac:dyDescent="0.3">
      <c r="A4419" s="5">
        <v>45658</v>
      </c>
      <c r="B4419" s="6" t="s">
        <v>50</v>
      </c>
      <c r="C4419" s="6" t="s">
        <v>53</v>
      </c>
      <c r="D4419" s="5">
        <v>45566</v>
      </c>
      <c r="E4419" s="6" t="s">
        <v>14</v>
      </c>
      <c r="F4419" s="7">
        <v>8</v>
      </c>
      <c r="G4419" s="7">
        <v>266000</v>
      </c>
      <c r="H4419" s="7">
        <v>2128000</v>
      </c>
      <c r="I4419" s="7">
        <v>128000</v>
      </c>
      <c r="J4419" s="7">
        <v>0</v>
      </c>
      <c r="K4419">
        <f t="shared" si="68"/>
        <v>92</v>
      </c>
      <c r="L4419" s="8" t="str" cm="1">
        <f t="array" ref="L4419">_xlfn.IFS(
 AND(K4419&gt;=89,K4419&lt;=92),"3개월",
 AND(K4419&gt;=58,K4419&lt;=62),"2개월",
 AND(K4419&gt;=28,K4419&lt;=32),"1개월",
 AND(K4419=0),"당월",
 TRUE,"그외"
)</f>
        <v>3개월</v>
      </c>
    </row>
    <row r="4420" spans="1:12" x14ac:dyDescent="0.3">
      <c r="A4420" s="5">
        <v>45658</v>
      </c>
      <c r="B4420" s="6" t="s">
        <v>50</v>
      </c>
      <c r="C4420" s="6" t="s">
        <v>53</v>
      </c>
      <c r="D4420" s="5">
        <v>45566</v>
      </c>
      <c r="E4420" s="6" t="s">
        <v>15</v>
      </c>
      <c r="F4420" s="7">
        <v>614</v>
      </c>
      <c r="G4420" s="7">
        <v>165567.1889250814</v>
      </c>
      <c r="H4420" s="7">
        <v>101658254</v>
      </c>
      <c r="I4420" s="7">
        <v>13923181</v>
      </c>
      <c r="J4420" s="7">
        <v>0</v>
      </c>
      <c r="K4420">
        <f t="shared" si="68"/>
        <v>92</v>
      </c>
      <c r="L4420" s="8" t="str" cm="1">
        <f t="array" ref="L4420">_xlfn.IFS(
 AND(K4420&gt;=89,K4420&lt;=92),"3개월",
 AND(K4420&gt;=58,K4420&lt;=62),"2개월",
 AND(K4420&gt;=28,K4420&lt;=32),"1개월",
 AND(K4420=0),"당월",
 TRUE,"그외"
)</f>
        <v>3개월</v>
      </c>
    </row>
    <row r="4421" spans="1:12" x14ac:dyDescent="0.3">
      <c r="A4421" s="5">
        <v>45658</v>
      </c>
      <c r="B4421" s="6" t="s">
        <v>50</v>
      </c>
      <c r="C4421" s="6" t="s">
        <v>53</v>
      </c>
      <c r="D4421" s="5">
        <v>45597</v>
      </c>
      <c r="E4421" s="6" t="s">
        <v>14</v>
      </c>
      <c r="F4421" s="7">
        <v>99</v>
      </c>
      <c r="G4421" s="7">
        <v>171151.51515151511</v>
      </c>
      <c r="H4421" s="7">
        <v>16944000</v>
      </c>
      <c r="I4421" s="7">
        <v>1584000</v>
      </c>
      <c r="J4421" s="7">
        <v>0</v>
      </c>
      <c r="K4421">
        <f t="shared" si="68"/>
        <v>61</v>
      </c>
      <c r="L4421" s="8" t="str" cm="1">
        <f t="array" ref="L4421">_xlfn.IFS(
 AND(K4421&gt;=89,K4421&lt;=92),"3개월",
 AND(K4421&gt;=58,K4421&lt;=62),"2개월",
 AND(K4421&gt;=28,K4421&lt;=32),"1개월",
 AND(K4421=0),"당월",
 TRUE,"그외"
)</f>
        <v>2개월</v>
      </c>
    </row>
    <row r="4422" spans="1:12" x14ac:dyDescent="0.3">
      <c r="A4422" s="5">
        <v>45658</v>
      </c>
      <c r="B4422" s="6" t="s">
        <v>50</v>
      </c>
      <c r="C4422" s="6" t="s">
        <v>53</v>
      </c>
      <c r="D4422" s="5">
        <v>45597</v>
      </c>
      <c r="E4422" s="6" t="s">
        <v>15</v>
      </c>
      <c r="F4422" s="7">
        <v>1225</v>
      </c>
      <c r="G4422" s="7">
        <v>160981.53632653059</v>
      </c>
      <c r="H4422" s="7">
        <v>197202382</v>
      </c>
      <c r="I4422" s="7">
        <v>28957681</v>
      </c>
      <c r="J4422" s="7">
        <v>0</v>
      </c>
      <c r="K4422">
        <f t="shared" si="68"/>
        <v>61</v>
      </c>
      <c r="L4422" s="8" t="str" cm="1">
        <f t="array" ref="L4422">_xlfn.IFS(
 AND(K4422&gt;=89,K4422&lt;=92),"3개월",
 AND(K4422&gt;=58,K4422&lt;=62),"2개월",
 AND(K4422&gt;=28,K4422&lt;=32),"1개월",
 AND(K4422=0),"당월",
 TRUE,"그외"
)</f>
        <v>2개월</v>
      </c>
    </row>
    <row r="4423" spans="1:12" x14ac:dyDescent="0.3">
      <c r="A4423" s="5">
        <v>45658</v>
      </c>
      <c r="B4423" s="6" t="s">
        <v>50</v>
      </c>
      <c r="C4423" s="6" t="s">
        <v>53</v>
      </c>
      <c r="D4423" s="5">
        <v>45627</v>
      </c>
      <c r="E4423" s="6" t="s">
        <v>14</v>
      </c>
      <c r="F4423" s="7">
        <v>722</v>
      </c>
      <c r="G4423" s="7">
        <v>399233.98614958453</v>
      </c>
      <c r="H4423" s="7">
        <v>288246938</v>
      </c>
      <c r="I4423" s="7">
        <v>14604148</v>
      </c>
      <c r="J4423" s="7">
        <v>0</v>
      </c>
      <c r="K4423">
        <f t="shared" si="68"/>
        <v>31</v>
      </c>
      <c r="L4423" s="8" t="str" cm="1">
        <f t="array" ref="L4423">_xlfn.IFS(
 AND(K4423&gt;=89,K4423&lt;=92),"3개월",
 AND(K4423&gt;=58,K4423&lt;=62),"2개월",
 AND(K4423&gt;=28,K4423&lt;=32),"1개월",
 AND(K4423=0),"당월",
 TRUE,"그외"
)</f>
        <v>1개월</v>
      </c>
    </row>
    <row r="4424" spans="1:12" x14ac:dyDescent="0.3">
      <c r="A4424" s="5">
        <v>45658</v>
      </c>
      <c r="B4424" s="6" t="s">
        <v>50</v>
      </c>
      <c r="C4424" s="6" t="s">
        <v>53</v>
      </c>
      <c r="D4424" s="5">
        <v>45627</v>
      </c>
      <c r="E4424" s="6" t="s">
        <v>15</v>
      </c>
      <c r="F4424" s="7">
        <v>3379</v>
      </c>
      <c r="G4424" s="7">
        <v>156502.3918319029</v>
      </c>
      <c r="H4424" s="7">
        <v>528821582</v>
      </c>
      <c r="I4424" s="7">
        <v>109107514</v>
      </c>
      <c r="J4424" s="7">
        <v>0</v>
      </c>
      <c r="K4424">
        <f t="shared" si="68"/>
        <v>31</v>
      </c>
      <c r="L4424" s="8" t="str" cm="1">
        <f t="array" ref="L4424">_xlfn.IFS(
 AND(K4424&gt;=89,K4424&lt;=92),"3개월",
 AND(K4424&gt;=58,K4424&lt;=62),"2개월",
 AND(K4424&gt;=28,K4424&lt;=32),"1개월",
 AND(K4424=0),"당월",
 TRUE,"그외"
)</f>
        <v>1개월</v>
      </c>
    </row>
    <row r="4425" spans="1:12" x14ac:dyDescent="0.3">
      <c r="A4425" s="5">
        <v>45658</v>
      </c>
      <c r="B4425" s="6" t="s">
        <v>50</v>
      </c>
      <c r="C4425" s="6" t="s">
        <v>53</v>
      </c>
      <c r="D4425" s="5">
        <v>45658</v>
      </c>
      <c r="E4425" s="6" t="s">
        <v>14</v>
      </c>
      <c r="F4425" s="7">
        <v>1436</v>
      </c>
      <c r="G4425" s="7">
        <v>93222.167130919217</v>
      </c>
      <c r="H4425" s="7">
        <v>133867032</v>
      </c>
      <c r="I4425" s="7">
        <v>45984032</v>
      </c>
      <c r="J4425" s="7">
        <v>0</v>
      </c>
      <c r="K4425">
        <f t="shared" si="68"/>
        <v>0</v>
      </c>
      <c r="L4425" s="8" t="str" cm="1">
        <f t="array" ref="L4425">_xlfn.IFS(
 AND(K4425&gt;=89,K4425&lt;=92),"3개월",
 AND(K4425&gt;=58,K4425&lt;=62),"2개월",
 AND(K4425&gt;=28,K4425&lt;=32),"1개월",
 AND(K4425=0),"당월",
 TRUE,"그외"
)</f>
        <v>당월</v>
      </c>
    </row>
    <row r="4426" spans="1:12" x14ac:dyDescent="0.3">
      <c r="A4426" s="5">
        <v>45658</v>
      </c>
      <c r="B4426" s="6" t="s">
        <v>50</v>
      </c>
      <c r="C4426" s="6" t="s">
        <v>53</v>
      </c>
      <c r="D4426" s="5">
        <v>45658</v>
      </c>
      <c r="E4426" s="6" t="s">
        <v>15</v>
      </c>
      <c r="F4426" s="7">
        <v>1985</v>
      </c>
      <c r="G4426" s="7">
        <v>177909.6196473552</v>
      </c>
      <c r="H4426" s="7">
        <v>353150595</v>
      </c>
      <c r="I4426" s="7">
        <v>62580497</v>
      </c>
      <c r="J4426" s="7">
        <v>0</v>
      </c>
      <c r="K4426">
        <f t="shared" ref="K4426:K4489" si="69">A4426-D4426</f>
        <v>0</v>
      </c>
      <c r="L4426" s="8" t="str" cm="1">
        <f t="array" ref="L4426">_xlfn.IFS(
 AND(K4426&gt;=89,K4426&lt;=92),"3개월",
 AND(K4426&gt;=58,K4426&lt;=62),"2개월",
 AND(K4426&gt;=28,K4426&lt;=32),"1개월",
 AND(K4426=0),"당월",
 TRUE,"그외"
)</f>
        <v>당월</v>
      </c>
    </row>
    <row r="4427" spans="1:12" x14ac:dyDescent="0.3">
      <c r="A4427" s="5">
        <v>45658</v>
      </c>
      <c r="B4427" s="6" t="s">
        <v>50</v>
      </c>
      <c r="C4427" s="6" t="s">
        <v>54</v>
      </c>
      <c r="D4427" s="5">
        <v>45474</v>
      </c>
      <c r="E4427" s="6" t="s">
        <v>15</v>
      </c>
      <c r="F4427" s="7">
        <v>5</v>
      </c>
      <c r="G4427" s="7">
        <v>164658</v>
      </c>
      <c r="H4427" s="7">
        <v>823290</v>
      </c>
      <c r="I4427" s="7">
        <v>189990</v>
      </c>
      <c r="J4427" s="7">
        <v>0</v>
      </c>
      <c r="K4427">
        <f t="shared" si="69"/>
        <v>184</v>
      </c>
      <c r="L4427" s="8" t="str" cm="1">
        <f t="array" ref="L4427">_xlfn.IFS(
 AND(K4427&gt;=89,K4427&lt;=92),"3개월",
 AND(K4427&gt;=58,K4427&lt;=62),"2개월",
 AND(K4427&gt;=28,K4427&lt;=32),"1개월",
 AND(K4427=0),"당월",
 TRUE,"그외"
)</f>
        <v>그외</v>
      </c>
    </row>
    <row r="4428" spans="1:12" x14ac:dyDescent="0.3">
      <c r="A4428" s="5">
        <v>45658</v>
      </c>
      <c r="B4428" s="6" t="s">
        <v>50</v>
      </c>
      <c r="C4428" s="6" t="s">
        <v>54</v>
      </c>
      <c r="D4428" s="5">
        <v>45505</v>
      </c>
      <c r="E4428" s="6" t="s">
        <v>15</v>
      </c>
      <c r="F4428" s="7">
        <v>332</v>
      </c>
      <c r="G4428" s="7">
        <v>186677.90963855421</v>
      </c>
      <c r="H4428" s="7">
        <v>61977066</v>
      </c>
      <c r="I4428" s="7">
        <v>10909688</v>
      </c>
      <c r="J4428" s="7">
        <v>0</v>
      </c>
      <c r="K4428">
        <f t="shared" si="69"/>
        <v>153</v>
      </c>
      <c r="L4428" s="8" t="str" cm="1">
        <f t="array" ref="L4428">_xlfn.IFS(
 AND(K4428&gt;=89,K4428&lt;=92),"3개월",
 AND(K4428&gt;=58,K4428&lt;=62),"2개월",
 AND(K4428&gt;=28,K4428&lt;=32),"1개월",
 AND(K4428=0),"당월",
 TRUE,"그외"
)</f>
        <v>그외</v>
      </c>
    </row>
    <row r="4429" spans="1:12" x14ac:dyDescent="0.3">
      <c r="A4429" s="5">
        <v>45658</v>
      </c>
      <c r="B4429" s="6" t="s">
        <v>50</v>
      </c>
      <c r="C4429" s="6" t="s">
        <v>54</v>
      </c>
      <c r="D4429" s="5">
        <v>45536</v>
      </c>
      <c r="E4429" s="6" t="s">
        <v>15</v>
      </c>
      <c r="F4429" s="7">
        <v>298</v>
      </c>
      <c r="G4429" s="7">
        <v>202991.25838926181</v>
      </c>
      <c r="H4429" s="7">
        <v>60491395</v>
      </c>
      <c r="I4429" s="7">
        <v>9971244</v>
      </c>
      <c r="J4429" s="7">
        <v>0</v>
      </c>
      <c r="K4429">
        <f t="shared" si="69"/>
        <v>122</v>
      </c>
      <c r="L4429" s="8" t="str" cm="1">
        <f t="array" ref="L4429">_xlfn.IFS(
 AND(K4429&gt;=89,K4429&lt;=92),"3개월",
 AND(K4429&gt;=58,K4429&lt;=62),"2개월",
 AND(K4429&gt;=28,K4429&lt;=32),"1개월",
 AND(K4429=0),"당월",
 TRUE,"그외"
)</f>
        <v>그외</v>
      </c>
    </row>
    <row r="4430" spans="1:12" x14ac:dyDescent="0.3">
      <c r="A4430" s="5">
        <v>45658</v>
      </c>
      <c r="B4430" s="6" t="s">
        <v>50</v>
      </c>
      <c r="C4430" s="6" t="s">
        <v>54</v>
      </c>
      <c r="D4430" s="5">
        <v>45566</v>
      </c>
      <c r="E4430" s="6" t="s">
        <v>15</v>
      </c>
      <c r="F4430" s="7">
        <v>361</v>
      </c>
      <c r="G4430" s="7">
        <v>161272.88365650969</v>
      </c>
      <c r="H4430" s="7">
        <v>58219511</v>
      </c>
      <c r="I4430" s="7">
        <v>8331236</v>
      </c>
      <c r="J4430" s="7">
        <v>0</v>
      </c>
      <c r="K4430">
        <f t="shared" si="69"/>
        <v>92</v>
      </c>
      <c r="L4430" s="8" t="str" cm="1">
        <f t="array" ref="L4430">_xlfn.IFS(
 AND(K4430&gt;=89,K4430&lt;=92),"3개월",
 AND(K4430&gt;=58,K4430&lt;=62),"2개월",
 AND(K4430&gt;=28,K4430&lt;=32),"1개월",
 AND(K4430=0),"당월",
 TRUE,"그외"
)</f>
        <v>3개월</v>
      </c>
    </row>
    <row r="4431" spans="1:12" x14ac:dyDescent="0.3">
      <c r="A4431" s="5">
        <v>45658</v>
      </c>
      <c r="B4431" s="6" t="s">
        <v>50</v>
      </c>
      <c r="C4431" s="6" t="s">
        <v>54</v>
      </c>
      <c r="D4431" s="5">
        <v>45597</v>
      </c>
      <c r="E4431" s="6" t="s">
        <v>14</v>
      </c>
      <c r="F4431" s="7">
        <v>34</v>
      </c>
      <c r="G4431" s="7">
        <v>131882.3529411765</v>
      </c>
      <c r="H4431" s="7">
        <v>4484000</v>
      </c>
      <c r="I4431" s="7">
        <v>544000</v>
      </c>
      <c r="J4431" s="7">
        <v>0</v>
      </c>
      <c r="K4431">
        <f t="shared" si="69"/>
        <v>61</v>
      </c>
      <c r="L4431" s="8" t="str" cm="1">
        <f t="array" ref="L4431">_xlfn.IFS(
 AND(K4431&gt;=89,K4431&lt;=92),"3개월",
 AND(K4431&gt;=58,K4431&lt;=62),"2개월",
 AND(K4431&gt;=28,K4431&lt;=32),"1개월",
 AND(K4431=0),"당월",
 TRUE,"그외"
)</f>
        <v>2개월</v>
      </c>
    </row>
    <row r="4432" spans="1:12" x14ac:dyDescent="0.3">
      <c r="A4432" s="5">
        <v>45658</v>
      </c>
      <c r="B4432" s="6" t="s">
        <v>50</v>
      </c>
      <c r="C4432" s="6" t="s">
        <v>54</v>
      </c>
      <c r="D4432" s="5">
        <v>45597</v>
      </c>
      <c r="E4432" s="6" t="s">
        <v>15</v>
      </c>
      <c r="F4432" s="7">
        <v>1738</v>
      </c>
      <c r="G4432" s="7">
        <v>138253.98043728419</v>
      </c>
      <c r="H4432" s="7">
        <v>240285418</v>
      </c>
      <c r="I4432" s="7">
        <v>41921672</v>
      </c>
      <c r="J4432" s="7">
        <v>0</v>
      </c>
      <c r="K4432">
        <f t="shared" si="69"/>
        <v>61</v>
      </c>
      <c r="L4432" s="8" t="str" cm="1">
        <f t="array" ref="L4432">_xlfn.IFS(
 AND(K4432&gt;=89,K4432&lt;=92),"3개월",
 AND(K4432&gt;=58,K4432&lt;=62),"2개월",
 AND(K4432&gt;=28,K4432&lt;=32),"1개월",
 AND(K4432=0),"당월",
 TRUE,"그외"
)</f>
        <v>2개월</v>
      </c>
    </row>
    <row r="4433" spans="1:12" x14ac:dyDescent="0.3">
      <c r="A4433" s="5">
        <v>45658</v>
      </c>
      <c r="B4433" s="6" t="s">
        <v>50</v>
      </c>
      <c r="C4433" s="6" t="s">
        <v>54</v>
      </c>
      <c r="D4433" s="5">
        <v>45627</v>
      </c>
      <c r="E4433" s="6" t="s">
        <v>14</v>
      </c>
      <c r="F4433" s="7">
        <v>1248</v>
      </c>
      <c r="G4433" s="7">
        <v>247647.59455128209</v>
      </c>
      <c r="H4433" s="7">
        <v>309064198</v>
      </c>
      <c r="I4433" s="7">
        <v>28487028</v>
      </c>
      <c r="J4433" s="7">
        <v>0</v>
      </c>
      <c r="K4433">
        <f t="shared" si="69"/>
        <v>31</v>
      </c>
      <c r="L4433" s="8" t="str" cm="1">
        <f t="array" ref="L4433">_xlfn.IFS(
 AND(K4433&gt;=89,K4433&lt;=92),"3개월",
 AND(K4433&gt;=58,K4433&lt;=62),"2개월",
 AND(K4433&gt;=28,K4433&lt;=32),"1개월",
 AND(K4433=0),"당월",
 TRUE,"그외"
)</f>
        <v>1개월</v>
      </c>
    </row>
    <row r="4434" spans="1:12" x14ac:dyDescent="0.3">
      <c r="A4434" s="5">
        <v>45658</v>
      </c>
      <c r="B4434" s="6" t="s">
        <v>50</v>
      </c>
      <c r="C4434" s="6" t="s">
        <v>54</v>
      </c>
      <c r="D4434" s="5">
        <v>45627</v>
      </c>
      <c r="E4434" s="6" t="s">
        <v>15</v>
      </c>
      <c r="F4434" s="7">
        <v>2930</v>
      </c>
      <c r="G4434" s="7">
        <v>174365.73174061431</v>
      </c>
      <c r="H4434" s="7">
        <v>510891594</v>
      </c>
      <c r="I4434" s="7">
        <v>98988782</v>
      </c>
      <c r="J4434" s="7">
        <v>0</v>
      </c>
      <c r="K4434">
        <f t="shared" si="69"/>
        <v>31</v>
      </c>
      <c r="L4434" s="8" t="str" cm="1">
        <f t="array" ref="L4434">_xlfn.IFS(
 AND(K4434&gt;=89,K4434&lt;=92),"3개월",
 AND(K4434&gt;=58,K4434&lt;=62),"2개월",
 AND(K4434&gt;=28,K4434&lt;=32),"1개월",
 AND(K4434=0),"당월",
 TRUE,"그외"
)</f>
        <v>1개월</v>
      </c>
    </row>
    <row r="4435" spans="1:12" x14ac:dyDescent="0.3">
      <c r="A4435" s="5">
        <v>45658</v>
      </c>
      <c r="B4435" s="6" t="s">
        <v>50</v>
      </c>
      <c r="C4435" s="6" t="s">
        <v>54</v>
      </c>
      <c r="D4435" s="5">
        <v>45658</v>
      </c>
      <c r="E4435" s="6" t="s">
        <v>14</v>
      </c>
      <c r="F4435" s="7">
        <v>1126</v>
      </c>
      <c r="G4435" s="7">
        <v>114877.5079928952</v>
      </c>
      <c r="H4435" s="7">
        <v>129352074</v>
      </c>
      <c r="I4435" s="7">
        <v>34877074</v>
      </c>
      <c r="J4435" s="7">
        <v>0</v>
      </c>
      <c r="K4435">
        <f t="shared" si="69"/>
        <v>0</v>
      </c>
      <c r="L4435" s="8" t="str" cm="1">
        <f t="array" ref="L4435">_xlfn.IFS(
 AND(K4435&gt;=89,K4435&lt;=92),"3개월",
 AND(K4435&gt;=58,K4435&lt;=62),"2개월",
 AND(K4435&gt;=28,K4435&lt;=32),"1개월",
 AND(K4435=0),"당월",
 TRUE,"그외"
)</f>
        <v>당월</v>
      </c>
    </row>
    <row r="4436" spans="1:12" x14ac:dyDescent="0.3">
      <c r="A4436" s="5">
        <v>45658</v>
      </c>
      <c r="B4436" s="6" t="s">
        <v>50</v>
      </c>
      <c r="C4436" s="6" t="s">
        <v>54</v>
      </c>
      <c r="D4436" s="5">
        <v>45658</v>
      </c>
      <c r="E4436" s="6" t="s">
        <v>15</v>
      </c>
      <c r="F4436" s="7">
        <v>2305</v>
      </c>
      <c r="G4436" s="7">
        <v>201367.75574837311</v>
      </c>
      <c r="H4436" s="7">
        <v>464152677</v>
      </c>
      <c r="I4436" s="7">
        <v>80794099</v>
      </c>
      <c r="J4436" s="7">
        <v>0</v>
      </c>
      <c r="K4436">
        <f t="shared" si="69"/>
        <v>0</v>
      </c>
      <c r="L4436" s="8" t="str" cm="1">
        <f t="array" ref="L4436">_xlfn.IFS(
 AND(K4436&gt;=89,K4436&lt;=92),"3개월",
 AND(K4436&gt;=58,K4436&lt;=62),"2개월",
 AND(K4436&gt;=28,K4436&lt;=32),"1개월",
 AND(K4436=0),"당월",
 TRUE,"그외"
)</f>
        <v>당월</v>
      </c>
    </row>
    <row r="4437" spans="1:12" x14ac:dyDescent="0.3">
      <c r="A4437" s="5">
        <v>45658</v>
      </c>
      <c r="B4437" s="6" t="s">
        <v>50</v>
      </c>
      <c r="C4437" s="6" t="s">
        <v>56</v>
      </c>
      <c r="D4437" s="5">
        <v>45505</v>
      </c>
      <c r="E4437" s="6" t="s">
        <v>15</v>
      </c>
      <c r="F4437" s="7">
        <v>856</v>
      </c>
      <c r="G4437" s="7">
        <v>121889.7862149533</v>
      </c>
      <c r="H4437" s="7">
        <v>104337657</v>
      </c>
      <c r="I4437" s="7">
        <v>24808326</v>
      </c>
      <c r="J4437" s="7">
        <v>0</v>
      </c>
      <c r="K4437">
        <f t="shared" si="69"/>
        <v>153</v>
      </c>
      <c r="L4437" s="8" t="str" cm="1">
        <f t="array" ref="L4437">_xlfn.IFS(
 AND(K4437&gt;=89,K4437&lt;=92),"3개월",
 AND(K4437&gt;=58,K4437&lt;=62),"2개월",
 AND(K4437&gt;=28,K4437&lt;=32),"1개월",
 AND(K4437=0),"당월",
 TRUE,"그외"
)</f>
        <v>그외</v>
      </c>
    </row>
    <row r="4438" spans="1:12" x14ac:dyDescent="0.3">
      <c r="A4438" s="5">
        <v>45658</v>
      </c>
      <c r="B4438" s="6" t="s">
        <v>50</v>
      </c>
      <c r="C4438" s="6" t="s">
        <v>56</v>
      </c>
      <c r="D4438" s="5">
        <v>45536</v>
      </c>
      <c r="E4438" s="6" t="s">
        <v>15</v>
      </c>
      <c r="F4438" s="7">
        <v>402</v>
      </c>
      <c r="G4438" s="7">
        <v>149359.2910447761</v>
      </c>
      <c r="H4438" s="7">
        <v>60042435</v>
      </c>
      <c r="I4438" s="7">
        <v>11129681</v>
      </c>
      <c r="J4438" s="7">
        <v>0</v>
      </c>
      <c r="K4438">
        <f t="shared" si="69"/>
        <v>122</v>
      </c>
      <c r="L4438" s="8" t="str" cm="1">
        <f t="array" ref="L4438">_xlfn.IFS(
 AND(K4438&gt;=89,K4438&lt;=92),"3개월",
 AND(K4438&gt;=58,K4438&lt;=62),"2개월",
 AND(K4438&gt;=28,K4438&lt;=32),"1개월",
 AND(K4438=0),"당월",
 TRUE,"그외"
)</f>
        <v>그외</v>
      </c>
    </row>
    <row r="4439" spans="1:12" x14ac:dyDescent="0.3">
      <c r="A4439" s="5">
        <v>45658</v>
      </c>
      <c r="B4439" s="6" t="s">
        <v>50</v>
      </c>
      <c r="C4439" s="6" t="s">
        <v>56</v>
      </c>
      <c r="D4439" s="5">
        <v>45566</v>
      </c>
      <c r="E4439" s="6" t="s">
        <v>15</v>
      </c>
      <c r="F4439" s="7">
        <v>395</v>
      </c>
      <c r="G4439" s="7">
        <v>184520.22784810129</v>
      </c>
      <c r="H4439" s="7">
        <v>72885490</v>
      </c>
      <c r="I4439" s="7">
        <v>9782776</v>
      </c>
      <c r="J4439" s="7">
        <v>0</v>
      </c>
      <c r="K4439">
        <f t="shared" si="69"/>
        <v>92</v>
      </c>
      <c r="L4439" s="8" t="str" cm="1">
        <f t="array" ref="L4439">_xlfn.IFS(
 AND(K4439&gt;=89,K4439&lt;=92),"3개월",
 AND(K4439&gt;=58,K4439&lt;=62),"2개월",
 AND(K4439&gt;=28,K4439&lt;=32),"1개월",
 AND(K4439=0),"당월",
 TRUE,"그외"
)</f>
        <v>3개월</v>
      </c>
    </row>
    <row r="4440" spans="1:12" x14ac:dyDescent="0.3">
      <c r="A4440" s="5">
        <v>45658</v>
      </c>
      <c r="B4440" s="6" t="s">
        <v>50</v>
      </c>
      <c r="C4440" s="6" t="s">
        <v>56</v>
      </c>
      <c r="D4440" s="5">
        <v>45597</v>
      </c>
      <c r="E4440" s="6" t="s">
        <v>14</v>
      </c>
      <c r="F4440" s="7">
        <v>117</v>
      </c>
      <c r="G4440" s="7">
        <v>198299.14529914531</v>
      </c>
      <c r="H4440" s="7">
        <v>23201000</v>
      </c>
      <c r="I4440" s="7">
        <v>1872000</v>
      </c>
      <c r="J4440" s="7">
        <v>0</v>
      </c>
      <c r="K4440">
        <f t="shared" si="69"/>
        <v>61</v>
      </c>
      <c r="L4440" s="8" t="str" cm="1">
        <f t="array" ref="L4440">_xlfn.IFS(
 AND(K4440&gt;=89,K4440&lt;=92),"3개월",
 AND(K4440&gt;=58,K4440&lt;=62),"2개월",
 AND(K4440&gt;=28,K4440&lt;=32),"1개월",
 AND(K4440=0),"당월",
 TRUE,"그외"
)</f>
        <v>2개월</v>
      </c>
    </row>
    <row r="4441" spans="1:12" x14ac:dyDescent="0.3">
      <c r="A4441" s="5">
        <v>45658</v>
      </c>
      <c r="B4441" s="6" t="s">
        <v>50</v>
      </c>
      <c r="C4441" s="6" t="s">
        <v>56</v>
      </c>
      <c r="D4441" s="5">
        <v>45597</v>
      </c>
      <c r="E4441" s="6" t="s">
        <v>15</v>
      </c>
      <c r="F4441" s="7">
        <v>435</v>
      </c>
      <c r="G4441" s="7">
        <v>238347.64137931031</v>
      </c>
      <c r="H4441" s="7">
        <v>103681224</v>
      </c>
      <c r="I4441" s="7">
        <v>10476066</v>
      </c>
      <c r="J4441" s="7">
        <v>0</v>
      </c>
      <c r="K4441">
        <f t="shared" si="69"/>
        <v>61</v>
      </c>
      <c r="L4441" s="8" t="str" cm="1">
        <f t="array" ref="L4441">_xlfn.IFS(
 AND(K4441&gt;=89,K4441&lt;=92),"3개월",
 AND(K4441&gt;=58,K4441&lt;=62),"2개월",
 AND(K4441&gt;=28,K4441&lt;=32),"1개월",
 AND(K4441=0),"당월",
 TRUE,"그외"
)</f>
        <v>2개월</v>
      </c>
    </row>
    <row r="4442" spans="1:12" x14ac:dyDescent="0.3">
      <c r="A4442" s="5">
        <v>45658</v>
      </c>
      <c r="B4442" s="6" t="s">
        <v>50</v>
      </c>
      <c r="C4442" s="6" t="s">
        <v>56</v>
      </c>
      <c r="D4442" s="5">
        <v>45627</v>
      </c>
      <c r="E4442" s="6" t="s">
        <v>14</v>
      </c>
      <c r="F4442" s="7">
        <v>209</v>
      </c>
      <c r="G4442" s="7">
        <v>625202.87081339711</v>
      </c>
      <c r="H4442" s="7">
        <v>130667400</v>
      </c>
      <c r="I4442" s="7">
        <v>3666600</v>
      </c>
      <c r="J4442" s="7">
        <v>0</v>
      </c>
      <c r="K4442">
        <f t="shared" si="69"/>
        <v>31</v>
      </c>
      <c r="L4442" s="8" t="str" cm="1">
        <f t="array" ref="L4442">_xlfn.IFS(
 AND(K4442&gt;=89,K4442&lt;=92),"3개월",
 AND(K4442&gt;=58,K4442&lt;=62),"2개월",
 AND(K4442&gt;=28,K4442&lt;=32),"1개월",
 AND(K4442=0),"당월",
 TRUE,"그외"
)</f>
        <v>1개월</v>
      </c>
    </row>
    <row r="4443" spans="1:12" x14ac:dyDescent="0.3">
      <c r="A4443" s="5">
        <v>45658</v>
      </c>
      <c r="B4443" s="6" t="s">
        <v>50</v>
      </c>
      <c r="C4443" s="6" t="s">
        <v>56</v>
      </c>
      <c r="D4443" s="5">
        <v>45627</v>
      </c>
      <c r="E4443" s="6" t="s">
        <v>15</v>
      </c>
      <c r="F4443" s="7">
        <v>2144</v>
      </c>
      <c r="G4443" s="7">
        <v>169216.61194029849</v>
      </c>
      <c r="H4443" s="7">
        <v>362800416</v>
      </c>
      <c r="I4443" s="7">
        <v>65358530</v>
      </c>
      <c r="J4443" s="7">
        <v>0</v>
      </c>
      <c r="K4443">
        <f t="shared" si="69"/>
        <v>31</v>
      </c>
      <c r="L4443" s="8" t="str" cm="1">
        <f t="array" ref="L4443">_xlfn.IFS(
 AND(K4443&gt;=89,K4443&lt;=92),"3개월",
 AND(K4443&gt;=58,K4443&lt;=62),"2개월",
 AND(K4443&gt;=28,K4443&lt;=32),"1개월",
 AND(K4443=0),"당월",
 TRUE,"그외"
)</f>
        <v>1개월</v>
      </c>
    </row>
    <row r="4444" spans="1:12" x14ac:dyDescent="0.3">
      <c r="A4444" s="5">
        <v>45658</v>
      </c>
      <c r="B4444" s="6" t="s">
        <v>50</v>
      </c>
      <c r="C4444" s="6" t="s">
        <v>56</v>
      </c>
      <c r="D4444" s="5">
        <v>45658</v>
      </c>
      <c r="E4444" s="6" t="s">
        <v>14</v>
      </c>
      <c r="F4444" s="7">
        <v>465</v>
      </c>
      <c r="G4444" s="7">
        <v>53644.129032258068</v>
      </c>
      <c r="H4444" s="7">
        <v>24944520</v>
      </c>
      <c r="I4444" s="7">
        <v>17918520</v>
      </c>
      <c r="J4444" s="7">
        <v>0</v>
      </c>
      <c r="K4444">
        <f t="shared" si="69"/>
        <v>0</v>
      </c>
      <c r="L4444" s="8" t="str" cm="1">
        <f t="array" ref="L4444">_xlfn.IFS(
 AND(K4444&gt;=89,K4444&lt;=92),"3개월",
 AND(K4444&gt;=58,K4444&lt;=62),"2개월",
 AND(K4444&gt;=28,K4444&lt;=32),"1개월",
 AND(K4444=0),"당월",
 TRUE,"그외"
)</f>
        <v>당월</v>
      </c>
    </row>
    <row r="4445" spans="1:12" x14ac:dyDescent="0.3">
      <c r="A4445" s="5">
        <v>45658</v>
      </c>
      <c r="B4445" s="6" t="s">
        <v>50</v>
      </c>
      <c r="C4445" s="6" t="s">
        <v>56</v>
      </c>
      <c r="D4445" s="5">
        <v>45658</v>
      </c>
      <c r="E4445" s="6" t="s">
        <v>15</v>
      </c>
      <c r="F4445" s="7">
        <v>1237</v>
      </c>
      <c r="G4445" s="7">
        <v>202793.63783346809</v>
      </c>
      <c r="H4445" s="7">
        <v>250855730</v>
      </c>
      <c r="I4445" s="7">
        <v>39036011</v>
      </c>
      <c r="J4445" s="7">
        <v>0</v>
      </c>
      <c r="K4445">
        <f t="shared" si="69"/>
        <v>0</v>
      </c>
      <c r="L4445" s="8" t="str" cm="1">
        <f t="array" ref="L4445">_xlfn.IFS(
 AND(K4445&gt;=89,K4445&lt;=92),"3개월",
 AND(K4445&gt;=58,K4445&lt;=62),"2개월",
 AND(K4445&gt;=28,K4445&lt;=32),"1개월",
 AND(K4445=0),"당월",
 TRUE,"그외"
)</f>
        <v>당월</v>
      </c>
    </row>
    <row r="4446" spans="1:12" x14ac:dyDescent="0.3">
      <c r="A4446" s="5">
        <v>45658</v>
      </c>
      <c r="B4446" s="6" t="s">
        <v>50</v>
      </c>
      <c r="C4446" s="6" t="s">
        <v>57</v>
      </c>
      <c r="D4446" s="5">
        <v>45505</v>
      </c>
      <c r="E4446" s="6" t="s">
        <v>15</v>
      </c>
      <c r="F4446" s="7">
        <v>1022</v>
      </c>
      <c r="G4446" s="7">
        <v>135402.32778864971</v>
      </c>
      <c r="H4446" s="7">
        <v>138381179</v>
      </c>
      <c r="I4446" s="7">
        <v>28907515</v>
      </c>
      <c r="J4446" s="7">
        <v>0</v>
      </c>
      <c r="K4446">
        <f t="shared" si="69"/>
        <v>153</v>
      </c>
      <c r="L4446" s="8" t="str" cm="1">
        <f t="array" ref="L4446">_xlfn.IFS(
 AND(K4446&gt;=89,K4446&lt;=92),"3개월",
 AND(K4446&gt;=58,K4446&lt;=62),"2개월",
 AND(K4446&gt;=28,K4446&lt;=32),"1개월",
 AND(K4446=0),"당월",
 TRUE,"그외"
)</f>
        <v>그외</v>
      </c>
    </row>
    <row r="4447" spans="1:12" x14ac:dyDescent="0.3">
      <c r="A4447" s="5">
        <v>45658</v>
      </c>
      <c r="B4447" s="6" t="s">
        <v>50</v>
      </c>
      <c r="C4447" s="6" t="s">
        <v>57</v>
      </c>
      <c r="D4447" s="5">
        <v>45536</v>
      </c>
      <c r="E4447" s="6" t="s">
        <v>15</v>
      </c>
      <c r="F4447" s="7">
        <v>682</v>
      </c>
      <c r="G4447" s="7">
        <v>169854.54985337239</v>
      </c>
      <c r="H4447" s="7">
        <v>115840803</v>
      </c>
      <c r="I4447" s="7">
        <v>18603939</v>
      </c>
      <c r="J4447" s="7">
        <v>0</v>
      </c>
      <c r="K4447">
        <f t="shared" si="69"/>
        <v>122</v>
      </c>
      <c r="L4447" s="8" t="str" cm="1">
        <f t="array" ref="L4447">_xlfn.IFS(
 AND(K4447&gt;=89,K4447&lt;=92),"3개월",
 AND(K4447&gt;=58,K4447&lt;=62),"2개월",
 AND(K4447&gt;=28,K4447&lt;=32),"1개월",
 AND(K4447=0),"당월",
 TRUE,"그외"
)</f>
        <v>그외</v>
      </c>
    </row>
    <row r="4448" spans="1:12" x14ac:dyDescent="0.3">
      <c r="A4448" s="5">
        <v>45658</v>
      </c>
      <c r="B4448" s="6" t="s">
        <v>50</v>
      </c>
      <c r="C4448" s="6" t="s">
        <v>57</v>
      </c>
      <c r="D4448" s="5">
        <v>45566</v>
      </c>
      <c r="E4448" s="6" t="s">
        <v>14</v>
      </c>
      <c r="F4448" s="7">
        <v>8</v>
      </c>
      <c r="G4448" s="7">
        <v>167000</v>
      </c>
      <c r="H4448" s="7">
        <v>1336000</v>
      </c>
      <c r="I4448" s="7">
        <v>128000</v>
      </c>
      <c r="J4448" s="7">
        <v>0</v>
      </c>
      <c r="K4448">
        <f t="shared" si="69"/>
        <v>92</v>
      </c>
      <c r="L4448" s="8" t="str" cm="1">
        <f t="array" ref="L4448">_xlfn.IFS(
 AND(K4448&gt;=89,K4448&lt;=92),"3개월",
 AND(K4448&gt;=58,K4448&lt;=62),"2개월",
 AND(K4448&gt;=28,K4448&lt;=32),"1개월",
 AND(K4448=0),"당월",
 TRUE,"그외"
)</f>
        <v>3개월</v>
      </c>
    </row>
    <row r="4449" spans="1:12" x14ac:dyDescent="0.3">
      <c r="A4449" s="5">
        <v>45658</v>
      </c>
      <c r="B4449" s="6" t="s">
        <v>50</v>
      </c>
      <c r="C4449" s="6" t="s">
        <v>57</v>
      </c>
      <c r="D4449" s="5">
        <v>45566</v>
      </c>
      <c r="E4449" s="6" t="s">
        <v>15</v>
      </c>
      <c r="F4449" s="7">
        <v>598</v>
      </c>
      <c r="G4449" s="7">
        <v>181810.71906354511</v>
      </c>
      <c r="H4449" s="7">
        <v>108722810</v>
      </c>
      <c r="I4449" s="7">
        <v>12740732</v>
      </c>
      <c r="J4449" s="7">
        <v>0</v>
      </c>
      <c r="K4449">
        <f t="shared" si="69"/>
        <v>92</v>
      </c>
      <c r="L4449" s="8" t="str" cm="1">
        <f t="array" ref="L4449">_xlfn.IFS(
 AND(K4449&gt;=89,K4449&lt;=92),"3개월",
 AND(K4449&gt;=58,K4449&lt;=62),"2개월",
 AND(K4449&gt;=28,K4449&lt;=32),"1개월",
 AND(K4449=0),"당월",
 TRUE,"그외"
)</f>
        <v>3개월</v>
      </c>
    </row>
    <row r="4450" spans="1:12" x14ac:dyDescent="0.3">
      <c r="A4450" s="5">
        <v>45658</v>
      </c>
      <c r="B4450" s="6" t="s">
        <v>50</v>
      </c>
      <c r="C4450" s="6" t="s">
        <v>57</v>
      </c>
      <c r="D4450" s="5">
        <v>45597</v>
      </c>
      <c r="E4450" s="6" t="s">
        <v>14</v>
      </c>
      <c r="F4450" s="7">
        <v>425</v>
      </c>
      <c r="G4450" s="7">
        <v>195731.76470588229</v>
      </c>
      <c r="H4450" s="7">
        <v>83186000</v>
      </c>
      <c r="I4450" s="7">
        <v>6800000</v>
      </c>
      <c r="J4450" s="7">
        <v>0</v>
      </c>
      <c r="K4450">
        <f t="shared" si="69"/>
        <v>61</v>
      </c>
      <c r="L4450" s="8" t="str" cm="1">
        <f t="array" ref="L4450">_xlfn.IFS(
 AND(K4450&gt;=89,K4450&lt;=92),"3개월",
 AND(K4450&gt;=58,K4450&lt;=62),"2개월",
 AND(K4450&gt;=28,K4450&lt;=32),"1개월",
 AND(K4450=0),"당월",
 TRUE,"그외"
)</f>
        <v>2개월</v>
      </c>
    </row>
    <row r="4451" spans="1:12" x14ac:dyDescent="0.3">
      <c r="A4451" s="5">
        <v>45658</v>
      </c>
      <c r="B4451" s="6" t="s">
        <v>50</v>
      </c>
      <c r="C4451" s="6" t="s">
        <v>57</v>
      </c>
      <c r="D4451" s="5">
        <v>45597</v>
      </c>
      <c r="E4451" s="6" t="s">
        <v>15</v>
      </c>
      <c r="F4451" s="7">
        <v>694</v>
      </c>
      <c r="G4451" s="7">
        <v>262470.30979827087</v>
      </c>
      <c r="H4451" s="7">
        <v>182154395</v>
      </c>
      <c r="I4451" s="7">
        <v>14880518</v>
      </c>
      <c r="J4451" s="7">
        <v>0</v>
      </c>
      <c r="K4451">
        <f t="shared" si="69"/>
        <v>61</v>
      </c>
      <c r="L4451" s="8" t="str" cm="1">
        <f t="array" ref="L4451">_xlfn.IFS(
 AND(K4451&gt;=89,K4451&lt;=92),"3개월",
 AND(K4451&gt;=58,K4451&lt;=62),"2개월",
 AND(K4451&gt;=28,K4451&lt;=32),"1개월",
 AND(K4451=0),"당월",
 TRUE,"그외"
)</f>
        <v>2개월</v>
      </c>
    </row>
    <row r="4452" spans="1:12" x14ac:dyDescent="0.3">
      <c r="A4452" s="5">
        <v>45658</v>
      </c>
      <c r="B4452" s="6" t="s">
        <v>50</v>
      </c>
      <c r="C4452" s="6" t="s">
        <v>57</v>
      </c>
      <c r="D4452" s="5">
        <v>45627</v>
      </c>
      <c r="E4452" s="6" t="s">
        <v>14</v>
      </c>
      <c r="F4452" s="7">
        <v>785</v>
      </c>
      <c r="G4452" s="7">
        <v>409000.21910828032</v>
      </c>
      <c r="H4452" s="7">
        <v>321065172</v>
      </c>
      <c r="I4452" s="7">
        <v>23359202</v>
      </c>
      <c r="J4452" s="7">
        <v>0</v>
      </c>
      <c r="K4452">
        <f t="shared" si="69"/>
        <v>31</v>
      </c>
      <c r="L4452" s="8" t="str" cm="1">
        <f t="array" ref="L4452">_xlfn.IFS(
 AND(K4452&gt;=89,K4452&lt;=92),"3개월",
 AND(K4452&gt;=58,K4452&lt;=62),"2개월",
 AND(K4452&gt;=28,K4452&lt;=32),"1개월",
 AND(K4452=0),"당월",
 TRUE,"그외"
)</f>
        <v>1개월</v>
      </c>
    </row>
    <row r="4453" spans="1:12" x14ac:dyDescent="0.3">
      <c r="A4453" s="5">
        <v>45658</v>
      </c>
      <c r="B4453" s="6" t="s">
        <v>50</v>
      </c>
      <c r="C4453" s="6" t="s">
        <v>57</v>
      </c>
      <c r="D4453" s="5">
        <v>45627</v>
      </c>
      <c r="E4453" s="6" t="s">
        <v>15</v>
      </c>
      <c r="F4453" s="7">
        <v>4178</v>
      </c>
      <c r="G4453" s="7">
        <v>166547.41215892771</v>
      </c>
      <c r="H4453" s="7">
        <v>695835088</v>
      </c>
      <c r="I4453" s="7">
        <v>138525025</v>
      </c>
      <c r="J4453" s="7">
        <v>0</v>
      </c>
      <c r="K4453">
        <f t="shared" si="69"/>
        <v>31</v>
      </c>
      <c r="L4453" s="8" t="str" cm="1">
        <f t="array" ref="L4453">_xlfn.IFS(
 AND(K4453&gt;=89,K4453&lt;=92),"3개월",
 AND(K4453&gt;=58,K4453&lt;=62),"2개월",
 AND(K4453&gt;=28,K4453&lt;=32),"1개월",
 AND(K4453=0),"당월",
 TRUE,"그외"
)</f>
        <v>1개월</v>
      </c>
    </row>
    <row r="4454" spans="1:12" x14ac:dyDescent="0.3">
      <c r="A4454" s="5">
        <v>45658</v>
      </c>
      <c r="B4454" s="6" t="s">
        <v>50</v>
      </c>
      <c r="C4454" s="6" t="s">
        <v>57</v>
      </c>
      <c r="D4454" s="5">
        <v>45658</v>
      </c>
      <c r="E4454" s="6" t="s">
        <v>14</v>
      </c>
      <c r="F4454" s="7">
        <v>908</v>
      </c>
      <c r="G4454" s="7">
        <v>54241.263215859028</v>
      </c>
      <c r="H4454" s="7">
        <v>49251067</v>
      </c>
      <c r="I4454" s="7">
        <v>34847067</v>
      </c>
      <c r="J4454" s="7">
        <v>0</v>
      </c>
      <c r="K4454">
        <f t="shared" si="69"/>
        <v>0</v>
      </c>
      <c r="L4454" s="8" t="str" cm="1">
        <f t="array" ref="L4454">_xlfn.IFS(
 AND(K4454&gt;=89,K4454&lt;=92),"3개월",
 AND(K4454&gt;=58,K4454&lt;=62),"2개월",
 AND(K4454&gt;=28,K4454&lt;=32),"1개월",
 AND(K4454=0),"당월",
 TRUE,"그외"
)</f>
        <v>당월</v>
      </c>
    </row>
    <row r="4455" spans="1:12" x14ac:dyDescent="0.3">
      <c r="A4455" s="5">
        <v>45658</v>
      </c>
      <c r="B4455" s="6" t="s">
        <v>50</v>
      </c>
      <c r="C4455" s="6" t="s">
        <v>57</v>
      </c>
      <c r="D4455" s="5">
        <v>45658</v>
      </c>
      <c r="E4455" s="6" t="s">
        <v>15</v>
      </c>
      <c r="F4455" s="7">
        <v>1622</v>
      </c>
      <c r="G4455" s="7">
        <v>186845.12515413071</v>
      </c>
      <c r="H4455" s="7">
        <v>303062793</v>
      </c>
      <c r="I4455" s="7">
        <v>50068652</v>
      </c>
      <c r="J4455" s="7">
        <v>0</v>
      </c>
      <c r="K4455">
        <f t="shared" si="69"/>
        <v>0</v>
      </c>
      <c r="L4455" s="8" t="str" cm="1">
        <f t="array" ref="L4455">_xlfn.IFS(
 AND(K4455&gt;=89,K4455&lt;=92),"3개월",
 AND(K4455&gt;=58,K4455&lt;=62),"2개월",
 AND(K4455&gt;=28,K4455&lt;=32),"1개월",
 AND(K4455=0),"당월",
 TRUE,"그외"
)</f>
        <v>당월</v>
      </c>
    </row>
    <row r="4456" spans="1:12" x14ac:dyDescent="0.3">
      <c r="A4456" s="5">
        <v>45658</v>
      </c>
      <c r="B4456" s="6" t="s">
        <v>60</v>
      </c>
      <c r="C4456" s="6" t="s">
        <v>61</v>
      </c>
      <c r="D4456" s="5">
        <v>45474</v>
      </c>
      <c r="E4456" s="6" t="s">
        <v>15</v>
      </c>
      <c r="F4456" s="7">
        <v>2</v>
      </c>
      <c r="G4456" s="7">
        <v>245600</v>
      </c>
      <c r="H4456" s="7">
        <v>491200</v>
      </c>
      <c r="I4456" s="7">
        <v>71200</v>
      </c>
      <c r="J4456" s="7">
        <v>0</v>
      </c>
      <c r="K4456">
        <f t="shared" si="69"/>
        <v>184</v>
      </c>
      <c r="L4456" s="8" t="str" cm="1">
        <f t="array" ref="L4456">_xlfn.IFS(
 AND(K4456&gt;=89,K4456&lt;=92),"3개월",
 AND(K4456&gt;=58,K4456&lt;=62),"2개월",
 AND(K4456&gt;=28,K4456&lt;=32),"1개월",
 AND(K4456=0),"당월",
 TRUE,"그외"
)</f>
        <v>그외</v>
      </c>
    </row>
    <row r="4457" spans="1:12" x14ac:dyDescent="0.3">
      <c r="A4457" s="5">
        <v>45658</v>
      </c>
      <c r="B4457" s="6" t="s">
        <v>60</v>
      </c>
      <c r="C4457" s="6" t="s">
        <v>61</v>
      </c>
      <c r="D4457" s="5">
        <v>45505</v>
      </c>
      <c r="E4457" s="6" t="s">
        <v>15</v>
      </c>
      <c r="F4457" s="7">
        <v>135</v>
      </c>
      <c r="G4457" s="7">
        <v>283928.91851851851</v>
      </c>
      <c r="H4457" s="7">
        <v>38330404</v>
      </c>
      <c r="I4457" s="7">
        <v>5637891</v>
      </c>
      <c r="J4457" s="7">
        <v>0</v>
      </c>
      <c r="K4457">
        <f t="shared" si="69"/>
        <v>153</v>
      </c>
      <c r="L4457" s="8" t="str" cm="1">
        <f t="array" ref="L4457">_xlfn.IFS(
 AND(K4457&gt;=89,K4457&lt;=92),"3개월",
 AND(K4457&gt;=58,K4457&lt;=62),"2개월",
 AND(K4457&gt;=28,K4457&lt;=32),"1개월",
 AND(K4457=0),"당월",
 TRUE,"그외"
)</f>
        <v>그외</v>
      </c>
    </row>
    <row r="4458" spans="1:12" x14ac:dyDescent="0.3">
      <c r="A4458" s="5">
        <v>45658</v>
      </c>
      <c r="B4458" s="6" t="s">
        <v>60</v>
      </c>
      <c r="C4458" s="6" t="s">
        <v>61</v>
      </c>
      <c r="D4458" s="5">
        <v>45536</v>
      </c>
      <c r="E4458" s="6" t="s">
        <v>14</v>
      </c>
      <c r="F4458" s="7">
        <v>12</v>
      </c>
      <c r="G4458" s="7">
        <v>256800</v>
      </c>
      <c r="H4458" s="7">
        <v>3081600</v>
      </c>
      <c r="I4458" s="7">
        <v>429600</v>
      </c>
      <c r="J4458" s="7">
        <v>0</v>
      </c>
      <c r="K4458">
        <f t="shared" si="69"/>
        <v>122</v>
      </c>
      <c r="L4458" s="8" t="str" cm="1">
        <f t="array" ref="L4458">_xlfn.IFS(
 AND(K4458&gt;=89,K4458&lt;=92),"3개월",
 AND(K4458&gt;=58,K4458&lt;=62),"2개월",
 AND(K4458&gt;=28,K4458&lt;=32),"1개월",
 AND(K4458=0),"당월",
 TRUE,"그외"
)</f>
        <v>그외</v>
      </c>
    </row>
    <row r="4459" spans="1:12" x14ac:dyDescent="0.3">
      <c r="A4459" s="5">
        <v>45658</v>
      </c>
      <c r="B4459" s="6" t="s">
        <v>60</v>
      </c>
      <c r="C4459" s="6" t="s">
        <v>61</v>
      </c>
      <c r="D4459" s="5">
        <v>45536</v>
      </c>
      <c r="E4459" s="6" t="s">
        <v>15</v>
      </c>
      <c r="F4459" s="7">
        <v>192</v>
      </c>
      <c r="G4459" s="7">
        <v>322412.22916666669</v>
      </c>
      <c r="H4459" s="7">
        <v>61903148</v>
      </c>
      <c r="I4459" s="7">
        <v>7517354</v>
      </c>
      <c r="J4459" s="7">
        <v>0</v>
      </c>
      <c r="K4459">
        <f t="shared" si="69"/>
        <v>122</v>
      </c>
      <c r="L4459" s="8" t="str" cm="1">
        <f t="array" ref="L4459">_xlfn.IFS(
 AND(K4459&gt;=89,K4459&lt;=92),"3개월",
 AND(K4459&gt;=58,K4459&lt;=62),"2개월",
 AND(K4459&gt;=28,K4459&lt;=32),"1개월",
 AND(K4459=0),"당월",
 TRUE,"그외"
)</f>
        <v>그외</v>
      </c>
    </row>
    <row r="4460" spans="1:12" x14ac:dyDescent="0.3">
      <c r="A4460" s="5">
        <v>45658</v>
      </c>
      <c r="B4460" s="6" t="s">
        <v>60</v>
      </c>
      <c r="C4460" s="6" t="s">
        <v>61</v>
      </c>
      <c r="D4460" s="5">
        <v>45566</v>
      </c>
      <c r="E4460" s="6" t="s">
        <v>14</v>
      </c>
      <c r="F4460" s="7">
        <v>36</v>
      </c>
      <c r="G4460" s="7">
        <v>246511.11111111109</v>
      </c>
      <c r="H4460" s="7">
        <v>8874400</v>
      </c>
      <c r="I4460" s="7">
        <v>914400</v>
      </c>
      <c r="J4460" s="7">
        <v>0</v>
      </c>
      <c r="K4460">
        <f t="shared" si="69"/>
        <v>92</v>
      </c>
      <c r="L4460" s="8" t="str" cm="1">
        <f t="array" ref="L4460">_xlfn.IFS(
 AND(K4460&gt;=89,K4460&lt;=92),"3개월",
 AND(K4460&gt;=58,K4460&lt;=62),"2개월",
 AND(K4460&gt;=28,K4460&lt;=32),"1개월",
 AND(K4460=0),"당월",
 TRUE,"그외"
)</f>
        <v>3개월</v>
      </c>
    </row>
    <row r="4461" spans="1:12" x14ac:dyDescent="0.3">
      <c r="A4461" s="5">
        <v>45658</v>
      </c>
      <c r="B4461" s="6" t="s">
        <v>60</v>
      </c>
      <c r="C4461" s="6" t="s">
        <v>61</v>
      </c>
      <c r="D4461" s="5">
        <v>45566</v>
      </c>
      <c r="E4461" s="6" t="s">
        <v>15</v>
      </c>
      <c r="F4461" s="7">
        <v>295</v>
      </c>
      <c r="G4461" s="7">
        <v>327754.20677966101</v>
      </c>
      <c r="H4461" s="7">
        <v>96687491</v>
      </c>
      <c r="I4461" s="7">
        <v>8647333</v>
      </c>
      <c r="J4461" s="7">
        <v>0</v>
      </c>
      <c r="K4461">
        <f t="shared" si="69"/>
        <v>92</v>
      </c>
      <c r="L4461" s="8" t="str" cm="1">
        <f t="array" ref="L4461">_xlfn.IFS(
 AND(K4461&gt;=89,K4461&lt;=92),"3개월",
 AND(K4461&gt;=58,K4461&lt;=62),"2개월",
 AND(K4461&gt;=28,K4461&lt;=32),"1개월",
 AND(K4461=0),"당월",
 TRUE,"그외"
)</f>
        <v>3개월</v>
      </c>
    </row>
    <row r="4462" spans="1:12" x14ac:dyDescent="0.3">
      <c r="A4462" s="5">
        <v>45658</v>
      </c>
      <c r="B4462" s="6" t="s">
        <v>60</v>
      </c>
      <c r="C4462" s="6" t="s">
        <v>61</v>
      </c>
      <c r="D4462" s="5">
        <v>45597</v>
      </c>
      <c r="E4462" s="6" t="s">
        <v>14</v>
      </c>
      <c r="F4462" s="7">
        <v>437</v>
      </c>
      <c r="G4462" s="7">
        <v>247068.19221967959</v>
      </c>
      <c r="H4462" s="7">
        <v>107968800</v>
      </c>
      <c r="I4462" s="7">
        <v>11099800</v>
      </c>
      <c r="J4462" s="7">
        <v>0</v>
      </c>
      <c r="K4462">
        <f t="shared" si="69"/>
        <v>61</v>
      </c>
      <c r="L4462" s="8" t="str" cm="1">
        <f t="array" ref="L4462">_xlfn.IFS(
 AND(K4462&gt;=89,K4462&lt;=92),"3개월",
 AND(K4462&gt;=58,K4462&lt;=62),"2개월",
 AND(K4462&gt;=28,K4462&lt;=32),"1개월",
 AND(K4462=0),"당월",
 TRUE,"그외"
)</f>
        <v>2개월</v>
      </c>
    </row>
    <row r="4463" spans="1:12" x14ac:dyDescent="0.3">
      <c r="A4463" s="5">
        <v>45658</v>
      </c>
      <c r="B4463" s="6" t="s">
        <v>60</v>
      </c>
      <c r="C4463" s="6" t="s">
        <v>61</v>
      </c>
      <c r="D4463" s="5">
        <v>45597</v>
      </c>
      <c r="E4463" s="6" t="s">
        <v>15</v>
      </c>
      <c r="F4463" s="7">
        <v>631</v>
      </c>
      <c r="G4463" s="7">
        <v>294640.07290015853</v>
      </c>
      <c r="H4463" s="7">
        <v>185917886</v>
      </c>
      <c r="I4463" s="7">
        <v>19554756</v>
      </c>
      <c r="J4463" s="7">
        <v>0</v>
      </c>
      <c r="K4463">
        <f t="shared" si="69"/>
        <v>61</v>
      </c>
      <c r="L4463" s="8" t="str" cm="1">
        <f t="array" ref="L4463">_xlfn.IFS(
 AND(K4463&gt;=89,K4463&lt;=92),"3개월",
 AND(K4463&gt;=58,K4463&lt;=62),"2개월",
 AND(K4463&gt;=28,K4463&lt;=32),"1개월",
 AND(K4463=0),"당월",
 TRUE,"그외"
)</f>
        <v>2개월</v>
      </c>
    </row>
    <row r="4464" spans="1:12" x14ac:dyDescent="0.3">
      <c r="A4464" s="5">
        <v>45658</v>
      </c>
      <c r="B4464" s="6" t="s">
        <v>60</v>
      </c>
      <c r="C4464" s="6" t="s">
        <v>61</v>
      </c>
      <c r="D4464" s="5">
        <v>45627</v>
      </c>
      <c r="E4464" s="6" t="s">
        <v>14</v>
      </c>
      <c r="F4464" s="7">
        <v>1398</v>
      </c>
      <c r="G4464" s="7">
        <v>485936.77968526469</v>
      </c>
      <c r="H4464" s="7">
        <v>679339618</v>
      </c>
      <c r="I4464" s="7">
        <v>48874938</v>
      </c>
      <c r="J4464" s="7">
        <v>0</v>
      </c>
      <c r="K4464">
        <f t="shared" si="69"/>
        <v>31</v>
      </c>
      <c r="L4464" s="8" t="str" cm="1">
        <f t="array" ref="L4464">_xlfn.IFS(
 AND(K4464&gt;=89,K4464&lt;=92),"3개월",
 AND(K4464&gt;=58,K4464&lt;=62),"2개월",
 AND(K4464&gt;=28,K4464&lt;=32),"1개월",
 AND(K4464=0),"당월",
 TRUE,"그외"
)</f>
        <v>1개월</v>
      </c>
    </row>
    <row r="4465" spans="1:12" x14ac:dyDescent="0.3">
      <c r="A4465" s="5">
        <v>45658</v>
      </c>
      <c r="B4465" s="6" t="s">
        <v>60</v>
      </c>
      <c r="C4465" s="6" t="s">
        <v>61</v>
      </c>
      <c r="D4465" s="5">
        <v>45627</v>
      </c>
      <c r="E4465" s="6" t="s">
        <v>15</v>
      </c>
      <c r="F4465" s="7">
        <v>3728</v>
      </c>
      <c r="G4465" s="7">
        <v>293168.58208154509</v>
      </c>
      <c r="H4465" s="7">
        <v>1092932474</v>
      </c>
      <c r="I4465" s="7">
        <v>150088712</v>
      </c>
      <c r="J4465" s="7">
        <v>0</v>
      </c>
      <c r="K4465">
        <f t="shared" si="69"/>
        <v>31</v>
      </c>
      <c r="L4465" s="8" t="str" cm="1">
        <f t="array" ref="L4465">_xlfn.IFS(
 AND(K4465&gt;=89,K4465&lt;=92),"3개월",
 AND(K4465&gt;=58,K4465&lt;=62),"2개월",
 AND(K4465&gt;=28,K4465&lt;=32),"1개월",
 AND(K4465=0),"당월",
 TRUE,"그외"
)</f>
        <v>1개월</v>
      </c>
    </row>
    <row r="4466" spans="1:12" x14ac:dyDescent="0.3">
      <c r="A4466" s="5">
        <v>45658</v>
      </c>
      <c r="B4466" s="6" t="s">
        <v>60</v>
      </c>
      <c r="C4466" s="6" t="s">
        <v>61</v>
      </c>
      <c r="D4466" s="5">
        <v>45658</v>
      </c>
      <c r="E4466" s="6" t="s">
        <v>14</v>
      </c>
      <c r="F4466" s="7">
        <v>2438</v>
      </c>
      <c r="G4466" s="7">
        <v>123135.2087776866</v>
      </c>
      <c r="H4466" s="7">
        <v>300203639</v>
      </c>
      <c r="I4466" s="7">
        <v>100112811</v>
      </c>
      <c r="J4466" s="7">
        <v>0</v>
      </c>
      <c r="K4466">
        <f t="shared" si="69"/>
        <v>0</v>
      </c>
      <c r="L4466" s="8" t="str" cm="1">
        <f t="array" ref="L4466">_xlfn.IFS(
 AND(K4466&gt;=89,K4466&lt;=92),"3개월",
 AND(K4466&gt;=58,K4466&lt;=62),"2개월",
 AND(K4466&gt;=28,K4466&lt;=32),"1개월",
 AND(K4466=0),"당월",
 TRUE,"그외"
)</f>
        <v>당월</v>
      </c>
    </row>
    <row r="4467" spans="1:12" x14ac:dyDescent="0.3">
      <c r="A4467" s="5">
        <v>45658</v>
      </c>
      <c r="B4467" s="6" t="s">
        <v>60</v>
      </c>
      <c r="C4467" s="6" t="s">
        <v>61</v>
      </c>
      <c r="D4467" s="5">
        <v>45658</v>
      </c>
      <c r="E4467" s="6" t="s">
        <v>15</v>
      </c>
      <c r="F4467" s="7">
        <v>1826</v>
      </c>
      <c r="G4467" s="7">
        <v>285856.48904709751</v>
      </c>
      <c r="H4467" s="7">
        <v>521973949</v>
      </c>
      <c r="I4467" s="7">
        <v>82571140</v>
      </c>
      <c r="J4467" s="7">
        <v>0</v>
      </c>
      <c r="K4467">
        <f t="shared" si="69"/>
        <v>0</v>
      </c>
      <c r="L4467" s="8" t="str" cm="1">
        <f t="array" ref="L4467">_xlfn.IFS(
 AND(K4467&gt;=89,K4467&lt;=92),"3개월",
 AND(K4467&gt;=58,K4467&lt;=62),"2개월",
 AND(K4467&gt;=28,K4467&lt;=32),"1개월",
 AND(K4467=0),"당월",
 TRUE,"그외"
)</f>
        <v>당월</v>
      </c>
    </row>
    <row r="4468" spans="1:12" x14ac:dyDescent="0.3">
      <c r="A4468" s="5">
        <v>45658</v>
      </c>
      <c r="B4468" s="6" t="s">
        <v>60</v>
      </c>
      <c r="C4468" s="6" t="s">
        <v>104</v>
      </c>
      <c r="D4468" s="5">
        <v>45505</v>
      </c>
      <c r="E4468" s="6" t="s">
        <v>14</v>
      </c>
      <c r="F4468" s="7">
        <v>26</v>
      </c>
      <c r="G4468" s="7">
        <v>334023.07692307688</v>
      </c>
      <c r="H4468" s="7">
        <v>8684600</v>
      </c>
      <c r="I4468" s="7">
        <v>1042600</v>
      </c>
      <c r="J4468" s="7">
        <v>0</v>
      </c>
      <c r="K4468">
        <f t="shared" si="69"/>
        <v>153</v>
      </c>
      <c r="L4468" s="8" t="str" cm="1">
        <f t="array" ref="L4468">_xlfn.IFS(
 AND(K4468&gt;=89,K4468&lt;=92),"3개월",
 AND(K4468&gt;=58,K4468&lt;=62),"2개월",
 AND(K4468&gt;=28,K4468&lt;=32),"1개월",
 AND(K4468=0),"당월",
 TRUE,"그외"
)</f>
        <v>그외</v>
      </c>
    </row>
    <row r="4469" spans="1:12" x14ac:dyDescent="0.3">
      <c r="A4469" s="5">
        <v>45658</v>
      </c>
      <c r="B4469" s="6" t="s">
        <v>60</v>
      </c>
      <c r="C4469" s="6" t="s">
        <v>104</v>
      </c>
      <c r="D4469" s="5">
        <v>45505</v>
      </c>
      <c r="E4469" s="6" t="s">
        <v>15</v>
      </c>
      <c r="F4469" s="7">
        <v>659</v>
      </c>
      <c r="G4469" s="7">
        <v>310286.17147192708</v>
      </c>
      <c r="H4469" s="7">
        <v>204478587</v>
      </c>
      <c r="I4469" s="7">
        <v>26932445</v>
      </c>
      <c r="J4469" s="7">
        <v>0</v>
      </c>
      <c r="K4469">
        <f t="shared" si="69"/>
        <v>153</v>
      </c>
      <c r="L4469" s="8" t="str" cm="1">
        <f t="array" ref="L4469">_xlfn.IFS(
 AND(K4469&gt;=89,K4469&lt;=92),"3개월",
 AND(K4469&gt;=58,K4469&lt;=62),"2개월",
 AND(K4469&gt;=28,K4469&lt;=32),"1개월",
 AND(K4469=0),"당월",
 TRUE,"그외"
)</f>
        <v>그외</v>
      </c>
    </row>
    <row r="4470" spans="1:12" x14ac:dyDescent="0.3">
      <c r="A4470" s="5">
        <v>45658</v>
      </c>
      <c r="B4470" s="6" t="s">
        <v>60</v>
      </c>
      <c r="C4470" s="6" t="s">
        <v>104</v>
      </c>
      <c r="D4470" s="5">
        <v>45536</v>
      </c>
      <c r="E4470" s="6" t="s">
        <v>14</v>
      </c>
      <c r="F4470" s="7">
        <v>81</v>
      </c>
      <c r="G4470" s="7">
        <v>319318.51851851848</v>
      </c>
      <c r="H4470" s="7">
        <v>25864800</v>
      </c>
      <c r="I4470" s="7">
        <v>2899800</v>
      </c>
      <c r="J4470" s="7">
        <v>0</v>
      </c>
      <c r="K4470">
        <f t="shared" si="69"/>
        <v>122</v>
      </c>
      <c r="L4470" s="8" t="str" cm="1">
        <f t="array" ref="L4470">_xlfn.IFS(
 AND(K4470&gt;=89,K4470&lt;=92),"3개월",
 AND(K4470&gt;=58,K4470&lt;=62),"2개월",
 AND(K4470&gt;=28,K4470&lt;=32),"1개월",
 AND(K4470=0),"당월",
 TRUE,"그외"
)</f>
        <v>그외</v>
      </c>
    </row>
    <row r="4471" spans="1:12" x14ac:dyDescent="0.3">
      <c r="A4471" s="5">
        <v>45658</v>
      </c>
      <c r="B4471" s="6" t="s">
        <v>60</v>
      </c>
      <c r="C4471" s="6" t="s">
        <v>104</v>
      </c>
      <c r="D4471" s="5">
        <v>45536</v>
      </c>
      <c r="E4471" s="6" t="s">
        <v>15</v>
      </c>
      <c r="F4471" s="7">
        <v>242</v>
      </c>
      <c r="G4471" s="7">
        <v>383268.82644628099</v>
      </c>
      <c r="H4471" s="7">
        <v>92751056</v>
      </c>
      <c r="I4471" s="7">
        <v>8889678</v>
      </c>
      <c r="J4471" s="7">
        <v>0</v>
      </c>
      <c r="K4471">
        <f t="shared" si="69"/>
        <v>122</v>
      </c>
      <c r="L4471" s="8" t="str" cm="1">
        <f t="array" ref="L4471">_xlfn.IFS(
 AND(K4471&gt;=89,K4471&lt;=92),"3개월",
 AND(K4471&gt;=58,K4471&lt;=62),"2개월",
 AND(K4471&gt;=28,K4471&lt;=32),"1개월",
 AND(K4471=0),"당월",
 TRUE,"그외"
)</f>
        <v>그외</v>
      </c>
    </row>
    <row r="4472" spans="1:12" x14ac:dyDescent="0.3">
      <c r="A4472" s="5">
        <v>45658</v>
      </c>
      <c r="B4472" s="6" t="s">
        <v>60</v>
      </c>
      <c r="C4472" s="6" t="s">
        <v>104</v>
      </c>
      <c r="D4472" s="5">
        <v>45566</v>
      </c>
      <c r="E4472" s="6" t="s">
        <v>14</v>
      </c>
      <c r="F4472" s="7">
        <v>203</v>
      </c>
      <c r="G4472" s="7">
        <v>300183.25123152707</v>
      </c>
      <c r="H4472" s="7">
        <v>60937200</v>
      </c>
      <c r="I4472" s="7">
        <v>5156200</v>
      </c>
      <c r="J4472" s="7">
        <v>0</v>
      </c>
      <c r="K4472">
        <f t="shared" si="69"/>
        <v>92</v>
      </c>
      <c r="L4472" s="8" t="str" cm="1">
        <f t="array" ref="L4472">_xlfn.IFS(
 AND(K4472&gt;=89,K4472&lt;=92),"3개월",
 AND(K4472&gt;=58,K4472&lt;=62),"2개월",
 AND(K4472&gt;=28,K4472&lt;=32),"1개월",
 AND(K4472=0),"당월",
 TRUE,"그외"
)</f>
        <v>3개월</v>
      </c>
    </row>
    <row r="4473" spans="1:12" x14ac:dyDescent="0.3">
      <c r="A4473" s="5">
        <v>45658</v>
      </c>
      <c r="B4473" s="6" t="s">
        <v>60</v>
      </c>
      <c r="C4473" s="6" t="s">
        <v>104</v>
      </c>
      <c r="D4473" s="5">
        <v>45566</v>
      </c>
      <c r="E4473" s="6" t="s">
        <v>15</v>
      </c>
      <c r="F4473" s="7">
        <v>541</v>
      </c>
      <c r="G4473" s="7">
        <v>380063.04436229198</v>
      </c>
      <c r="H4473" s="7">
        <v>205614107</v>
      </c>
      <c r="I4473" s="7">
        <v>14679430</v>
      </c>
      <c r="J4473" s="7">
        <v>0</v>
      </c>
      <c r="K4473">
        <f t="shared" si="69"/>
        <v>92</v>
      </c>
      <c r="L4473" s="8" t="str" cm="1">
        <f t="array" ref="L4473">_xlfn.IFS(
 AND(K4473&gt;=89,K4473&lt;=92),"3개월",
 AND(K4473&gt;=58,K4473&lt;=62),"2개월",
 AND(K4473&gt;=28,K4473&lt;=32),"1개월",
 AND(K4473=0),"당월",
 TRUE,"그외"
)</f>
        <v>3개월</v>
      </c>
    </row>
    <row r="4474" spans="1:12" x14ac:dyDescent="0.3">
      <c r="A4474" s="5">
        <v>45658</v>
      </c>
      <c r="B4474" s="6" t="s">
        <v>60</v>
      </c>
      <c r="C4474" s="6" t="s">
        <v>104</v>
      </c>
      <c r="D4474" s="5">
        <v>45597</v>
      </c>
      <c r="E4474" s="6" t="s">
        <v>14</v>
      </c>
      <c r="F4474" s="7">
        <v>591</v>
      </c>
      <c r="G4474" s="7">
        <v>288059.89847715729</v>
      </c>
      <c r="H4474" s="7">
        <v>170243400</v>
      </c>
      <c r="I4474" s="7">
        <v>14630400</v>
      </c>
      <c r="J4474" s="7">
        <v>0</v>
      </c>
      <c r="K4474">
        <f t="shared" si="69"/>
        <v>61</v>
      </c>
      <c r="L4474" s="8" t="str" cm="1">
        <f t="array" ref="L4474">_xlfn.IFS(
 AND(K4474&gt;=89,K4474&lt;=92),"3개월",
 AND(K4474&gt;=58,K4474&lt;=62),"2개월",
 AND(K4474&gt;=28,K4474&lt;=32),"1개월",
 AND(K4474=0),"당월",
 TRUE,"그외"
)</f>
        <v>2개월</v>
      </c>
    </row>
    <row r="4475" spans="1:12" x14ac:dyDescent="0.3">
      <c r="A4475" s="5">
        <v>45658</v>
      </c>
      <c r="B4475" s="6" t="s">
        <v>60</v>
      </c>
      <c r="C4475" s="6" t="s">
        <v>104</v>
      </c>
      <c r="D4475" s="5">
        <v>45597</v>
      </c>
      <c r="E4475" s="6" t="s">
        <v>15</v>
      </c>
      <c r="F4475" s="7">
        <v>1311</v>
      </c>
      <c r="G4475" s="7">
        <v>312502.03813882527</v>
      </c>
      <c r="H4475" s="7">
        <v>409690172</v>
      </c>
      <c r="I4475" s="7">
        <v>35336964</v>
      </c>
      <c r="J4475" s="7">
        <v>0</v>
      </c>
      <c r="K4475">
        <f t="shared" si="69"/>
        <v>61</v>
      </c>
      <c r="L4475" s="8" t="str" cm="1">
        <f t="array" ref="L4475">_xlfn.IFS(
 AND(K4475&gt;=89,K4475&lt;=92),"3개월",
 AND(K4475&gt;=58,K4475&lt;=62),"2개월",
 AND(K4475&gt;=28,K4475&lt;=32),"1개월",
 AND(K4475=0),"당월",
 TRUE,"그외"
)</f>
        <v>2개월</v>
      </c>
    </row>
    <row r="4476" spans="1:12" x14ac:dyDescent="0.3">
      <c r="A4476" s="5">
        <v>45658</v>
      </c>
      <c r="B4476" s="6" t="s">
        <v>60</v>
      </c>
      <c r="C4476" s="6" t="s">
        <v>104</v>
      </c>
      <c r="D4476" s="5">
        <v>45627</v>
      </c>
      <c r="E4476" s="6" t="s">
        <v>14</v>
      </c>
      <c r="F4476" s="7">
        <v>1710</v>
      </c>
      <c r="G4476" s="7">
        <v>290366.60818713449</v>
      </c>
      <c r="H4476" s="7">
        <v>496526900</v>
      </c>
      <c r="I4476" s="7">
        <v>51257900</v>
      </c>
      <c r="J4476" s="7">
        <v>0</v>
      </c>
      <c r="K4476">
        <f t="shared" si="69"/>
        <v>31</v>
      </c>
      <c r="L4476" s="8" t="str" cm="1">
        <f t="array" ref="L4476">_xlfn.IFS(
 AND(K4476&gt;=89,K4476&lt;=92),"3개월",
 AND(K4476&gt;=58,K4476&lt;=62),"2개월",
 AND(K4476&gt;=28,K4476&lt;=32),"1개월",
 AND(K4476=0),"당월",
 TRUE,"그외"
)</f>
        <v>1개월</v>
      </c>
    </row>
    <row r="4477" spans="1:12" x14ac:dyDescent="0.3">
      <c r="A4477" s="5">
        <v>45658</v>
      </c>
      <c r="B4477" s="6" t="s">
        <v>60</v>
      </c>
      <c r="C4477" s="6" t="s">
        <v>104</v>
      </c>
      <c r="D4477" s="5">
        <v>45627</v>
      </c>
      <c r="E4477" s="6" t="s">
        <v>15</v>
      </c>
      <c r="F4477" s="7">
        <v>1659</v>
      </c>
      <c r="G4477" s="7">
        <v>324294.14466546109</v>
      </c>
      <c r="H4477" s="7">
        <v>538003986</v>
      </c>
      <c r="I4477" s="7">
        <v>57266593</v>
      </c>
      <c r="J4477" s="7">
        <v>0</v>
      </c>
      <c r="K4477">
        <f t="shared" si="69"/>
        <v>31</v>
      </c>
      <c r="L4477" s="8" t="str" cm="1">
        <f t="array" ref="L4477">_xlfn.IFS(
 AND(K4477&gt;=89,K4477&lt;=92),"3개월",
 AND(K4477&gt;=58,K4477&lt;=62),"2개월",
 AND(K4477&gt;=28,K4477&lt;=32),"1개월",
 AND(K4477=0),"당월",
 TRUE,"그외"
)</f>
        <v>1개월</v>
      </c>
    </row>
    <row r="4478" spans="1:12" x14ac:dyDescent="0.3">
      <c r="A4478" s="5">
        <v>45658</v>
      </c>
      <c r="B4478" s="6" t="s">
        <v>60</v>
      </c>
      <c r="C4478" s="6" t="s">
        <v>104</v>
      </c>
      <c r="D4478" s="5">
        <v>45658</v>
      </c>
      <c r="E4478" s="6" t="s">
        <v>14</v>
      </c>
      <c r="F4478" s="7">
        <v>2339</v>
      </c>
      <c r="G4478" s="7">
        <v>284760.23941855488</v>
      </c>
      <c r="H4478" s="7">
        <v>666054200</v>
      </c>
      <c r="I4478" s="7">
        <v>29498200</v>
      </c>
      <c r="J4478" s="7">
        <v>0</v>
      </c>
      <c r="K4478">
        <f t="shared" si="69"/>
        <v>0</v>
      </c>
      <c r="L4478" s="8" t="str" cm="1">
        <f t="array" ref="L4478">_xlfn.IFS(
 AND(K4478&gt;=89,K4478&lt;=92),"3개월",
 AND(K4478&gt;=58,K4478&lt;=62),"2개월",
 AND(K4478&gt;=28,K4478&lt;=32),"1개월",
 AND(K4478=0),"당월",
 TRUE,"그외"
)</f>
        <v>당월</v>
      </c>
    </row>
    <row r="4479" spans="1:12" x14ac:dyDescent="0.3">
      <c r="A4479" s="5">
        <v>45658</v>
      </c>
      <c r="B4479" s="6" t="s">
        <v>60</v>
      </c>
      <c r="C4479" s="6" t="s">
        <v>104</v>
      </c>
      <c r="D4479" s="5">
        <v>45658</v>
      </c>
      <c r="E4479" s="6" t="s">
        <v>15</v>
      </c>
      <c r="F4479" s="7">
        <v>1451</v>
      </c>
      <c r="G4479" s="7">
        <v>293704.89869055821</v>
      </c>
      <c r="H4479" s="7">
        <v>426165808</v>
      </c>
      <c r="I4479" s="7">
        <v>58897977</v>
      </c>
      <c r="J4479" s="7">
        <v>0</v>
      </c>
      <c r="K4479">
        <f t="shared" si="69"/>
        <v>0</v>
      </c>
      <c r="L4479" s="8" t="str" cm="1">
        <f t="array" ref="L4479">_xlfn.IFS(
 AND(K4479&gt;=89,K4479&lt;=92),"3개월",
 AND(K4479&gt;=58,K4479&lt;=62),"2개월",
 AND(K4479&gt;=28,K4479&lt;=32),"1개월",
 AND(K4479=0),"당월",
 TRUE,"그외"
)</f>
        <v>당월</v>
      </c>
    </row>
    <row r="4480" spans="1:12" x14ac:dyDescent="0.3">
      <c r="A4480" s="5">
        <v>45658</v>
      </c>
      <c r="B4480" s="6" t="s">
        <v>60</v>
      </c>
      <c r="C4480" s="6" t="s">
        <v>62</v>
      </c>
      <c r="D4480" s="5">
        <v>45474</v>
      </c>
      <c r="E4480" s="6" t="s">
        <v>15</v>
      </c>
      <c r="F4480" s="7">
        <v>12</v>
      </c>
      <c r="G4480" s="7">
        <v>380036.5</v>
      </c>
      <c r="H4480" s="7">
        <v>4560438</v>
      </c>
      <c r="I4480" s="7">
        <v>513594</v>
      </c>
      <c r="J4480" s="7">
        <v>0</v>
      </c>
      <c r="K4480">
        <f t="shared" si="69"/>
        <v>184</v>
      </c>
      <c r="L4480" s="8" t="str" cm="1">
        <f t="array" ref="L4480">_xlfn.IFS(
 AND(K4480&gt;=89,K4480&lt;=92),"3개월",
 AND(K4480&gt;=58,K4480&lt;=62),"2개월",
 AND(K4480&gt;=28,K4480&lt;=32),"1개월",
 AND(K4480=0),"당월",
 TRUE,"그외"
)</f>
        <v>그외</v>
      </c>
    </row>
    <row r="4481" spans="1:12" x14ac:dyDescent="0.3">
      <c r="A4481" s="5">
        <v>45658</v>
      </c>
      <c r="B4481" s="6" t="s">
        <v>60</v>
      </c>
      <c r="C4481" s="6" t="s">
        <v>62</v>
      </c>
      <c r="D4481" s="5">
        <v>45505</v>
      </c>
      <c r="E4481" s="6" t="s">
        <v>15</v>
      </c>
      <c r="F4481" s="7">
        <v>147</v>
      </c>
      <c r="G4481" s="7">
        <v>368079.55782312917</v>
      </c>
      <c r="H4481" s="7">
        <v>54107695</v>
      </c>
      <c r="I4481" s="7">
        <v>6835446</v>
      </c>
      <c r="J4481" s="7">
        <v>0</v>
      </c>
      <c r="K4481">
        <f t="shared" si="69"/>
        <v>153</v>
      </c>
      <c r="L4481" s="8" t="str" cm="1">
        <f t="array" ref="L4481">_xlfn.IFS(
 AND(K4481&gt;=89,K4481&lt;=92),"3개월",
 AND(K4481&gt;=58,K4481&lt;=62),"2개월",
 AND(K4481&gt;=28,K4481&lt;=32),"1개월",
 AND(K4481=0),"당월",
 TRUE,"그외"
)</f>
        <v>그외</v>
      </c>
    </row>
    <row r="4482" spans="1:12" x14ac:dyDescent="0.3">
      <c r="A4482" s="5">
        <v>45658</v>
      </c>
      <c r="B4482" s="6" t="s">
        <v>60</v>
      </c>
      <c r="C4482" s="6" t="s">
        <v>62</v>
      </c>
      <c r="D4482" s="5">
        <v>45536</v>
      </c>
      <c r="E4482" s="6" t="s">
        <v>14</v>
      </c>
      <c r="F4482" s="7">
        <v>4</v>
      </c>
      <c r="G4482" s="7">
        <v>204380</v>
      </c>
      <c r="H4482" s="7">
        <v>817520</v>
      </c>
      <c r="I4482" s="7">
        <v>204380</v>
      </c>
      <c r="J4482" s="7">
        <v>0</v>
      </c>
      <c r="K4482">
        <f t="shared" si="69"/>
        <v>122</v>
      </c>
      <c r="L4482" s="8" t="str" cm="1">
        <f t="array" ref="L4482">_xlfn.IFS(
 AND(K4482&gt;=89,K4482&lt;=92),"3개월",
 AND(K4482&gt;=58,K4482&lt;=62),"2개월",
 AND(K4482&gt;=28,K4482&lt;=32),"1개월",
 AND(K4482=0),"당월",
 TRUE,"그외"
)</f>
        <v>그외</v>
      </c>
    </row>
    <row r="4483" spans="1:12" x14ac:dyDescent="0.3">
      <c r="A4483" s="5">
        <v>45658</v>
      </c>
      <c r="B4483" s="6" t="s">
        <v>60</v>
      </c>
      <c r="C4483" s="6" t="s">
        <v>62</v>
      </c>
      <c r="D4483" s="5">
        <v>45536</v>
      </c>
      <c r="E4483" s="6" t="s">
        <v>15</v>
      </c>
      <c r="F4483" s="7">
        <v>502</v>
      </c>
      <c r="G4483" s="7">
        <v>313316.55179282872</v>
      </c>
      <c r="H4483" s="7">
        <v>157284909</v>
      </c>
      <c r="I4483" s="7">
        <v>20811207</v>
      </c>
      <c r="J4483" s="7">
        <v>0</v>
      </c>
      <c r="K4483">
        <f t="shared" si="69"/>
        <v>122</v>
      </c>
      <c r="L4483" s="8" t="str" cm="1">
        <f t="array" ref="L4483">_xlfn.IFS(
 AND(K4483&gt;=89,K4483&lt;=92),"3개월",
 AND(K4483&gt;=58,K4483&lt;=62),"2개월",
 AND(K4483&gt;=28,K4483&lt;=32),"1개월",
 AND(K4483=0),"당월",
 TRUE,"그외"
)</f>
        <v>그외</v>
      </c>
    </row>
    <row r="4484" spans="1:12" x14ac:dyDescent="0.3">
      <c r="A4484" s="5">
        <v>45658</v>
      </c>
      <c r="B4484" s="6" t="s">
        <v>60</v>
      </c>
      <c r="C4484" s="6" t="s">
        <v>62</v>
      </c>
      <c r="D4484" s="5">
        <v>45566</v>
      </c>
      <c r="E4484" s="6" t="s">
        <v>15</v>
      </c>
      <c r="F4484" s="7">
        <v>1237</v>
      </c>
      <c r="G4484" s="7">
        <v>315476.78981406632</v>
      </c>
      <c r="H4484" s="7">
        <v>390244789</v>
      </c>
      <c r="I4484" s="7">
        <v>44383039</v>
      </c>
      <c r="J4484" s="7">
        <v>0</v>
      </c>
      <c r="K4484">
        <f t="shared" si="69"/>
        <v>92</v>
      </c>
      <c r="L4484" s="8" t="str" cm="1">
        <f t="array" ref="L4484">_xlfn.IFS(
 AND(K4484&gt;=89,K4484&lt;=92),"3개월",
 AND(K4484&gt;=58,K4484&lt;=62),"2개월",
 AND(K4484&gt;=28,K4484&lt;=32),"1개월",
 AND(K4484=0),"당월",
 TRUE,"그외"
)</f>
        <v>3개월</v>
      </c>
    </row>
    <row r="4485" spans="1:12" x14ac:dyDescent="0.3">
      <c r="A4485" s="5">
        <v>45658</v>
      </c>
      <c r="B4485" s="6" t="s">
        <v>60</v>
      </c>
      <c r="C4485" s="6" t="s">
        <v>62</v>
      </c>
      <c r="D4485" s="5">
        <v>45597</v>
      </c>
      <c r="E4485" s="6" t="s">
        <v>14</v>
      </c>
      <c r="F4485" s="7">
        <v>386</v>
      </c>
      <c r="G4485" s="7">
        <v>370200.26683937822</v>
      </c>
      <c r="H4485" s="7">
        <v>142897303</v>
      </c>
      <c r="I4485" s="7">
        <v>10118037</v>
      </c>
      <c r="J4485" s="7">
        <v>0</v>
      </c>
      <c r="K4485">
        <f t="shared" si="69"/>
        <v>61</v>
      </c>
      <c r="L4485" s="8" t="str" cm="1">
        <f t="array" ref="L4485">_xlfn.IFS(
 AND(K4485&gt;=89,K4485&lt;=92),"3개월",
 AND(K4485&gt;=58,K4485&lt;=62),"2개월",
 AND(K4485&gt;=28,K4485&lt;=32),"1개월",
 AND(K4485=0),"당월",
 TRUE,"그외"
)</f>
        <v>2개월</v>
      </c>
    </row>
    <row r="4486" spans="1:12" x14ac:dyDescent="0.3">
      <c r="A4486" s="5">
        <v>45658</v>
      </c>
      <c r="B4486" s="6" t="s">
        <v>60</v>
      </c>
      <c r="C4486" s="6" t="s">
        <v>62</v>
      </c>
      <c r="D4486" s="5">
        <v>45597</v>
      </c>
      <c r="E4486" s="6" t="s">
        <v>15</v>
      </c>
      <c r="F4486" s="7">
        <v>4823</v>
      </c>
      <c r="G4486" s="7">
        <v>249917.75409496171</v>
      </c>
      <c r="H4486" s="7">
        <v>1205353328</v>
      </c>
      <c r="I4486" s="7">
        <v>173367515</v>
      </c>
      <c r="J4486" s="7">
        <v>0</v>
      </c>
      <c r="K4486">
        <f t="shared" si="69"/>
        <v>61</v>
      </c>
      <c r="L4486" s="8" t="str" cm="1">
        <f t="array" ref="L4486">_xlfn.IFS(
 AND(K4486&gt;=89,K4486&lt;=92),"3개월",
 AND(K4486&gt;=58,K4486&lt;=62),"2개월",
 AND(K4486&gt;=28,K4486&lt;=32),"1개월",
 AND(K4486=0),"당월",
 TRUE,"그외"
)</f>
        <v>2개월</v>
      </c>
    </row>
    <row r="4487" spans="1:12" x14ac:dyDescent="0.3">
      <c r="A4487" s="5">
        <v>45658</v>
      </c>
      <c r="B4487" s="6" t="s">
        <v>60</v>
      </c>
      <c r="C4487" s="6" t="s">
        <v>62</v>
      </c>
      <c r="D4487" s="5">
        <v>45627</v>
      </c>
      <c r="E4487" s="6" t="s">
        <v>14</v>
      </c>
      <c r="F4487" s="7">
        <v>4098</v>
      </c>
      <c r="G4487" s="7">
        <v>381841.85431918013</v>
      </c>
      <c r="H4487" s="7">
        <v>1564787919</v>
      </c>
      <c r="I4487" s="7">
        <v>145568278</v>
      </c>
      <c r="J4487" s="7">
        <v>0</v>
      </c>
      <c r="K4487">
        <f t="shared" si="69"/>
        <v>31</v>
      </c>
      <c r="L4487" s="8" t="str" cm="1">
        <f t="array" ref="L4487">_xlfn.IFS(
 AND(K4487&gt;=89,K4487&lt;=92),"3개월",
 AND(K4487&gt;=58,K4487&lt;=62),"2개월",
 AND(K4487&gt;=28,K4487&lt;=32),"1개월",
 AND(K4487=0),"당월",
 TRUE,"그외"
)</f>
        <v>1개월</v>
      </c>
    </row>
    <row r="4488" spans="1:12" x14ac:dyDescent="0.3">
      <c r="A4488" s="5">
        <v>45658</v>
      </c>
      <c r="B4488" s="6" t="s">
        <v>60</v>
      </c>
      <c r="C4488" s="6" t="s">
        <v>62</v>
      </c>
      <c r="D4488" s="5">
        <v>45627</v>
      </c>
      <c r="E4488" s="6" t="s">
        <v>15</v>
      </c>
      <c r="F4488" s="7">
        <v>9942</v>
      </c>
      <c r="G4488" s="7">
        <v>227267.98280024141</v>
      </c>
      <c r="H4488" s="7">
        <v>2259498285</v>
      </c>
      <c r="I4488" s="7">
        <v>393174596</v>
      </c>
      <c r="J4488" s="7">
        <v>0</v>
      </c>
      <c r="K4488">
        <f t="shared" si="69"/>
        <v>31</v>
      </c>
      <c r="L4488" s="8" t="str" cm="1">
        <f t="array" ref="L4488">_xlfn.IFS(
 AND(K4488&gt;=89,K4488&lt;=92),"3개월",
 AND(K4488&gt;=58,K4488&lt;=62),"2개월",
 AND(K4488&gt;=28,K4488&lt;=32),"1개월",
 AND(K4488=0),"당월",
 TRUE,"그외"
)</f>
        <v>1개월</v>
      </c>
    </row>
    <row r="4489" spans="1:12" x14ac:dyDescent="0.3">
      <c r="A4489" s="5">
        <v>45658</v>
      </c>
      <c r="B4489" s="6" t="s">
        <v>60</v>
      </c>
      <c r="C4489" s="6" t="s">
        <v>62</v>
      </c>
      <c r="D4489" s="5">
        <v>45658</v>
      </c>
      <c r="E4489" s="6" t="s">
        <v>14</v>
      </c>
      <c r="F4489" s="7">
        <v>5559</v>
      </c>
      <c r="G4489" s="7">
        <v>121405.31174671699</v>
      </c>
      <c r="H4489" s="7">
        <v>674892128</v>
      </c>
      <c r="I4489" s="7">
        <v>187439136</v>
      </c>
      <c r="J4489" s="7">
        <v>0</v>
      </c>
      <c r="K4489">
        <f t="shared" si="69"/>
        <v>0</v>
      </c>
      <c r="L4489" s="8" t="str" cm="1">
        <f t="array" ref="L4489">_xlfn.IFS(
 AND(K4489&gt;=89,K4489&lt;=92),"3개월",
 AND(K4489&gt;=58,K4489&lt;=62),"2개월",
 AND(K4489&gt;=28,K4489&lt;=32),"1개월",
 AND(K4489=0),"당월",
 TRUE,"그외"
)</f>
        <v>당월</v>
      </c>
    </row>
    <row r="4490" spans="1:12" x14ac:dyDescent="0.3">
      <c r="A4490" s="5">
        <v>45658</v>
      </c>
      <c r="B4490" s="6" t="s">
        <v>60</v>
      </c>
      <c r="C4490" s="6" t="s">
        <v>62</v>
      </c>
      <c r="D4490" s="5">
        <v>45658</v>
      </c>
      <c r="E4490" s="6" t="s">
        <v>15</v>
      </c>
      <c r="F4490" s="7">
        <v>9153</v>
      </c>
      <c r="G4490" s="7">
        <v>231298.56484212831</v>
      </c>
      <c r="H4490" s="7">
        <v>2117075764</v>
      </c>
      <c r="I4490" s="7">
        <v>365583410</v>
      </c>
      <c r="J4490" s="7">
        <v>0</v>
      </c>
      <c r="K4490">
        <f t="shared" ref="K4490:K4553" si="70">A4490-D4490</f>
        <v>0</v>
      </c>
      <c r="L4490" s="8" t="str" cm="1">
        <f t="array" ref="L4490">_xlfn.IFS(
 AND(K4490&gt;=89,K4490&lt;=92),"3개월",
 AND(K4490&gt;=58,K4490&lt;=62),"2개월",
 AND(K4490&gt;=28,K4490&lt;=32),"1개월",
 AND(K4490=0),"당월",
 TRUE,"그외"
)</f>
        <v>당월</v>
      </c>
    </row>
    <row r="4491" spans="1:12" x14ac:dyDescent="0.3">
      <c r="A4491" s="5">
        <v>45658</v>
      </c>
      <c r="B4491" s="6" t="s">
        <v>60</v>
      </c>
      <c r="C4491" s="6" t="s">
        <v>123</v>
      </c>
      <c r="D4491" s="5">
        <v>45474</v>
      </c>
      <c r="E4491" s="6" t="s">
        <v>15</v>
      </c>
      <c r="F4491" s="7">
        <v>2</v>
      </c>
      <c r="G4491" s="7">
        <v>165361</v>
      </c>
      <c r="H4491" s="7">
        <v>330722</v>
      </c>
      <c r="I4491" s="7">
        <v>83292</v>
      </c>
      <c r="J4491" s="7">
        <v>0</v>
      </c>
      <c r="K4491">
        <f t="shared" si="70"/>
        <v>184</v>
      </c>
      <c r="L4491" s="8" t="str" cm="1">
        <f t="array" ref="L4491">_xlfn.IFS(
 AND(K4491&gt;=89,K4491&lt;=92),"3개월",
 AND(K4491&gt;=58,K4491&lt;=62),"2개월",
 AND(K4491&gt;=28,K4491&lt;=32),"1개월",
 AND(K4491=0),"당월",
 TRUE,"그외"
)</f>
        <v>그외</v>
      </c>
    </row>
    <row r="4492" spans="1:12" x14ac:dyDescent="0.3">
      <c r="A4492" s="5">
        <v>45658</v>
      </c>
      <c r="B4492" s="6" t="s">
        <v>60</v>
      </c>
      <c r="C4492" s="6" t="s">
        <v>123</v>
      </c>
      <c r="D4492" s="5">
        <v>45505</v>
      </c>
      <c r="E4492" s="6" t="s">
        <v>15</v>
      </c>
      <c r="F4492" s="7">
        <v>105</v>
      </c>
      <c r="G4492" s="7">
        <v>218475.1333333333</v>
      </c>
      <c r="H4492" s="7">
        <v>22939889</v>
      </c>
      <c r="I4492" s="7">
        <v>4345886</v>
      </c>
      <c r="J4492" s="7">
        <v>0</v>
      </c>
      <c r="K4492">
        <f t="shared" si="70"/>
        <v>153</v>
      </c>
      <c r="L4492" s="8" t="str" cm="1">
        <f t="array" ref="L4492">_xlfn.IFS(
 AND(K4492&gt;=89,K4492&lt;=92),"3개월",
 AND(K4492&gt;=58,K4492&lt;=62),"2개월",
 AND(K4492&gt;=28,K4492&lt;=32),"1개월",
 AND(K4492=0),"당월",
 TRUE,"그외"
)</f>
        <v>그외</v>
      </c>
    </row>
    <row r="4493" spans="1:12" x14ac:dyDescent="0.3">
      <c r="A4493" s="5">
        <v>45658</v>
      </c>
      <c r="B4493" s="6" t="s">
        <v>60</v>
      </c>
      <c r="C4493" s="6" t="s">
        <v>123</v>
      </c>
      <c r="D4493" s="5">
        <v>45536</v>
      </c>
      <c r="E4493" s="6" t="s">
        <v>15</v>
      </c>
      <c r="F4493" s="7">
        <v>128</v>
      </c>
      <c r="G4493" s="7">
        <v>262077.7890625</v>
      </c>
      <c r="H4493" s="7">
        <v>33545957</v>
      </c>
      <c r="I4493" s="7">
        <v>4762840</v>
      </c>
      <c r="J4493" s="7">
        <v>0</v>
      </c>
      <c r="K4493">
        <f t="shared" si="70"/>
        <v>122</v>
      </c>
      <c r="L4493" s="8" t="str" cm="1">
        <f t="array" ref="L4493">_xlfn.IFS(
 AND(K4493&gt;=89,K4493&lt;=92),"3개월",
 AND(K4493&gt;=58,K4493&lt;=62),"2개월",
 AND(K4493&gt;=28,K4493&lt;=32),"1개월",
 AND(K4493=0),"당월",
 TRUE,"그외"
)</f>
        <v>그외</v>
      </c>
    </row>
    <row r="4494" spans="1:12" x14ac:dyDescent="0.3">
      <c r="A4494" s="5">
        <v>45658</v>
      </c>
      <c r="B4494" s="6" t="s">
        <v>60</v>
      </c>
      <c r="C4494" s="6" t="s">
        <v>123</v>
      </c>
      <c r="D4494" s="5">
        <v>45566</v>
      </c>
      <c r="E4494" s="6" t="s">
        <v>15</v>
      </c>
      <c r="F4494" s="7">
        <v>313</v>
      </c>
      <c r="G4494" s="7">
        <v>249546.67731629391</v>
      </c>
      <c r="H4494" s="7">
        <v>78108110</v>
      </c>
      <c r="I4494" s="7">
        <v>9280654</v>
      </c>
      <c r="J4494" s="7">
        <v>0</v>
      </c>
      <c r="K4494">
        <f t="shared" si="70"/>
        <v>92</v>
      </c>
      <c r="L4494" s="8" t="str" cm="1">
        <f t="array" ref="L4494">_xlfn.IFS(
 AND(K4494&gt;=89,K4494&lt;=92),"3개월",
 AND(K4494&gt;=58,K4494&lt;=62),"2개월",
 AND(K4494&gt;=28,K4494&lt;=32),"1개월",
 AND(K4494=0),"당월",
 TRUE,"그외"
)</f>
        <v>3개월</v>
      </c>
    </row>
    <row r="4495" spans="1:12" x14ac:dyDescent="0.3">
      <c r="A4495" s="5">
        <v>45658</v>
      </c>
      <c r="B4495" s="6" t="s">
        <v>60</v>
      </c>
      <c r="C4495" s="6" t="s">
        <v>123</v>
      </c>
      <c r="D4495" s="5">
        <v>45597</v>
      </c>
      <c r="E4495" s="6" t="s">
        <v>14</v>
      </c>
      <c r="F4495" s="7">
        <v>108</v>
      </c>
      <c r="G4495" s="7">
        <v>217288.88888888891</v>
      </c>
      <c r="H4495" s="7">
        <v>23467200</v>
      </c>
      <c r="I4495" s="7">
        <v>2743200</v>
      </c>
      <c r="J4495" s="7">
        <v>0</v>
      </c>
      <c r="K4495">
        <f t="shared" si="70"/>
        <v>61</v>
      </c>
      <c r="L4495" s="8" t="str" cm="1">
        <f t="array" ref="L4495">_xlfn.IFS(
 AND(K4495&gt;=89,K4495&lt;=92),"3개월",
 AND(K4495&gt;=58,K4495&lt;=62),"2개월",
 AND(K4495&gt;=28,K4495&lt;=32),"1개월",
 AND(K4495=0),"당월",
 TRUE,"그외"
)</f>
        <v>2개월</v>
      </c>
    </row>
    <row r="4496" spans="1:12" x14ac:dyDescent="0.3">
      <c r="A4496" s="5">
        <v>45658</v>
      </c>
      <c r="B4496" s="6" t="s">
        <v>60</v>
      </c>
      <c r="C4496" s="6" t="s">
        <v>123</v>
      </c>
      <c r="D4496" s="5">
        <v>45597</v>
      </c>
      <c r="E4496" s="6" t="s">
        <v>15</v>
      </c>
      <c r="F4496" s="7">
        <v>1801</v>
      </c>
      <c r="G4496" s="7">
        <v>235987.01554691841</v>
      </c>
      <c r="H4496" s="7">
        <v>425012615</v>
      </c>
      <c r="I4496" s="7">
        <v>48293273</v>
      </c>
      <c r="J4496" s="7">
        <v>0</v>
      </c>
      <c r="K4496">
        <f t="shared" si="70"/>
        <v>61</v>
      </c>
      <c r="L4496" s="8" t="str" cm="1">
        <f t="array" ref="L4496">_xlfn.IFS(
 AND(K4496&gt;=89,K4496&lt;=92),"3개월",
 AND(K4496&gt;=58,K4496&lt;=62),"2개월",
 AND(K4496&gt;=28,K4496&lt;=32),"1개월",
 AND(K4496=0),"당월",
 TRUE,"그외"
)</f>
        <v>2개월</v>
      </c>
    </row>
    <row r="4497" spans="1:12" x14ac:dyDescent="0.3">
      <c r="A4497" s="5">
        <v>45658</v>
      </c>
      <c r="B4497" s="6" t="s">
        <v>60</v>
      </c>
      <c r="C4497" s="6" t="s">
        <v>123</v>
      </c>
      <c r="D4497" s="5">
        <v>45627</v>
      </c>
      <c r="E4497" s="6" t="s">
        <v>14</v>
      </c>
      <c r="F4497" s="7">
        <v>801</v>
      </c>
      <c r="G4497" s="7">
        <v>216012.58551810239</v>
      </c>
      <c r="H4497" s="7">
        <v>173026081</v>
      </c>
      <c r="I4497" s="7">
        <v>27792440</v>
      </c>
      <c r="J4497" s="7">
        <v>0</v>
      </c>
      <c r="K4497">
        <f t="shared" si="70"/>
        <v>31</v>
      </c>
      <c r="L4497" s="8" t="str" cm="1">
        <f t="array" ref="L4497">_xlfn.IFS(
 AND(K4497&gt;=89,K4497&lt;=92),"3개월",
 AND(K4497&gt;=58,K4497&lt;=62),"2개월",
 AND(K4497&gt;=28,K4497&lt;=32),"1개월",
 AND(K4497=0),"당월",
 TRUE,"그외"
)</f>
        <v>1개월</v>
      </c>
    </row>
    <row r="4498" spans="1:12" x14ac:dyDescent="0.3">
      <c r="A4498" s="5">
        <v>45658</v>
      </c>
      <c r="B4498" s="6" t="s">
        <v>60</v>
      </c>
      <c r="C4498" s="6" t="s">
        <v>123</v>
      </c>
      <c r="D4498" s="5">
        <v>45627</v>
      </c>
      <c r="E4498" s="6" t="s">
        <v>15</v>
      </c>
      <c r="F4498" s="7">
        <v>3895</v>
      </c>
      <c r="G4498" s="7">
        <v>225628.35147625161</v>
      </c>
      <c r="H4498" s="7">
        <v>878822429</v>
      </c>
      <c r="I4498" s="7">
        <v>131163635</v>
      </c>
      <c r="J4498" s="7">
        <v>0</v>
      </c>
      <c r="K4498">
        <f t="shared" si="70"/>
        <v>31</v>
      </c>
      <c r="L4498" s="8" t="str" cm="1">
        <f t="array" ref="L4498">_xlfn.IFS(
 AND(K4498&gt;=89,K4498&lt;=92),"3개월",
 AND(K4498&gt;=58,K4498&lt;=62),"2개월",
 AND(K4498&gt;=28,K4498&lt;=32),"1개월",
 AND(K4498=0),"당월",
 TRUE,"그외"
)</f>
        <v>1개월</v>
      </c>
    </row>
    <row r="4499" spans="1:12" x14ac:dyDescent="0.3">
      <c r="A4499" s="5">
        <v>45658</v>
      </c>
      <c r="B4499" s="6" t="s">
        <v>60</v>
      </c>
      <c r="C4499" s="6" t="s">
        <v>123</v>
      </c>
      <c r="D4499" s="5">
        <v>45658</v>
      </c>
      <c r="E4499" s="6" t="s">
        <v>14</v>
      </c>
      <c r="F4499" s="7">
        <v>704</v>
      </c>
      <c r="G4499" s="7">
        <v>222028.484375</v>
      </c>
      <c r="H4499" s="7">
        <v>156308053</v>
      </c>
      <c r="I4499" s="7">
        <v>28991081</v>
      </c>
      <c r="J4499" s="7">
        <v>0</v>
      </c>
      <c r="K4499">
        <f t="shared" si="70"/>
        <v>0</v>
      </c>
      <c r="L4499" s="8" t="str" cm="1">
        <f t="array" ref="L4499">_xlfn.IFS(
 AND(K4499&gt;=89,K4499&lt;=92),"3개월",
 AND(K4499&gt;=58,K4499&lt;=62),"2개월",
 AND(K4499&gt;=28,K4499&lt;=32),"1개월",
 AND(K4499=0),"당월",
 TRUE,"그외"
)</f>
        <v>당월</v>
      </c>
    </row>
    <row r="4500" spans="1:12" x14ac:dyDescent="0.3">
      <c r="A4500" s="5">
        <v>45658</v>
      </c>
      <c r="B4500" s="6" t="s">
        <v>60</v>
      </c>
      <c r="C4500" s="6" t="s">
        <v>123</v>
      </c>
      <c r="D4500" s="5">
        <v>45658</v>
      </c>
      <c r="E4500" s="6" t="s">
        <v>15</v>
      </c>
      <c r="F4500" s="7">
        <v>2830</v>
      </c>
      <c r="G4500" s="7">
        <v>272305.31272084807</v>
      </c>
      <c r="H4500" s="7">
        <v>770624035</v>
      </c>
      <c r="I4500" s="7">
        <v>100425200</v>
      </c>
      <c r="J4500" s="7">
        <v>0</v>
      </c>
      <c r="K4500">
        <f t="shared" si="70"/>
        <v>0</v>
      </c>
      <c r="L4500" s="8" t="str" cm="1">
        <f t="array" ref="L4500">_xlfn.IFS(
 AND(K4500&gt;=89,K4500&lt;=92),"3개월",
 AND(K4500&gt;=58,K4500&lt;=62),"2개월",
 AND(K4500&gt;=28,K4500&lt;=32),"1개월",
 AND(K4500=0),"당월",
 TRUE,"그외"
)</f>
        <v>당월</v>
      </c>
    </row>
    <row r="4501" spans="1:12" x14ac:dyDescent="0.3">
      <c r="A4501" s="5">
        <v>45658</v>
      </c>
      <c r="B4501" s="6" t="s">
        <v>60</v>
      </c>
      <c r="C4501" s="6" t="s">
        <v>64</v>
      </c>
      <c r="D4501" s="5">
        <v>45474</v>
      </c>
      <c r="E4501" s="6" t="s">
        <v>15</v>
      </c>
      <c r="F4501" s="7">
        <v>29</v>
      </c>
      <c r="G4501" s="7">
        <v>208587.58620689661</v>
      </c>
      <c r="H4501" s="7">
        <v>6049040</v>
      </c>
      <c r="I4501" s="7">
        <v>1095196</v>
      </c>
      <c r="J4501" s="7">
        <v>0</v>
      </c>
      <c r="K4501">
        <f t="shared" si="70"/>
        <v>184</v>
      </c>
      <c r="L4501" s="8" t="str" cm="1">
        <f t="array" ref="L4501">_xlfn.IFS(
 AND(K4501&gt;=89,K4501&lt;=92),"3개월",
 AND(K4501&gt;=58,K4501&lt;=62),"2개월",
 AND(K4501&gt;=28,K4501&lt;=32),"1개월",
 AND(K4501=0),"당월",
 TRUE,"그외"
)</f>
        <v>그외</v>
      </c>
    </row>
    <row r="4502" spans="1:12" x14ac:dyDescent="0.3">
      <c r="A4502" s="5">
        <v>45658</v>
      </c>
      <c r="B4502" s="6" t="s">
        <v>60</v>
      </c>
      <c r="C4502" s="6" t="s">
        <v>64</v>
      </c>
      <c r="D4502" s="5">
        <v>45505</v>
      </c>
      <c r="E4502" s="6" t="s">
        <v>15</v>
      </c>
      <c r="F4502" s="7">
        <v>2061</v>
      </c>
      <c r="G4502" s="7">
        <v>236304.70548277529</v>
      </c>
      <c r="H4502" s="7">
        <v>487023998</v>
      </c>
      <c r="I4502" s="7">
        <v>83376034</v>
      </c>
      <c r="J4502" s="7">
        <v>0</v>
      </c>
      <c r="K4502">
        <f t="shared" si="70"/>
        <v>153</v>
      </c>
      <c r="L4502" s="8" t="str" cm="1">
        <f t="array" ref="L4502">_xlfn.IFS(
 AND(K4502&gt;=89,K4502&lt;=92),"3개월",
 AND(K4502&gt;=58,K4502&lt;=62),"2개월",
 AND(K4502&gt;=28,K4502&lt;=32),"1개월",
 AND(K4502=0),"당월",
 TRUE,"그외"
)</f>
        <v>그외</v>
      </c>
    </row>
    <row r="4503" spans="1:12" x14ac:dyDescent="0.3">
      <c r="A4503" s="5">
        <v>45658</v>
      </c>
      <c r="B4503" s="6" t="s">
        <v>60</v>
      </c>
      <c r="C4503" s="6" t="s">
        <v>64</v>
      </c>
      <c r="D4503" s="5">
        <v>45536</v>
      </c>
      <c r="E4503" s="6" t="s">
        <v>14</v>
      </c>
      <c r="F4503" s="7">
        <v>65</v>
      </c>
      <c r="G4503" s="7">
        <v>232369.23076923081</v>
      </c>
      <c r="H4503" s="7">
        <v>15104000</v>
      </c>
      <c r="I4503" s="7">
        <v>2327000</v>
      </c>
      <c r="J4503" s="7">
        <v>0</v>
      </c>
      <c r="K4503">
        <f t="shared" si="70"/>
        <v>122</v>
      </c>
      <c r="L4503" s="8" t="str" cm="1">
        <f t="array" ref="L4503">_xlfn.IFS(
 AND(K4503&gt;=89,K4503&lt;=92),"3개월",
 AND(K4503&gt;=58,K4503&lt;=62),"2개월",
 AND(K4503&gt;=28,K4503&lt;=32),"1개월",
 AND(K4503=0),"당월",
 TRUE,"그외"
)</f>
        <v>그외</v>
      </c>
    </row>
    <row r="4504" spans="1:12" x14ac:dyDescent="0.3">
      <c r="A4504" s="5">
        <v>45658</v>
      </c>
      <c r="B4504" s="6" t="s">
        <v>60</v>
      </c>
      <c r="C4504" s="6" t="s">
        <v>64</v>
      </c>
      <c r="D4504" s="5">
        <v>45536</v>
      </c>
      <c r="E4504" s="6" t="s">
        <v>15</v>
      </c>
      <c r="F4504" s="7">
        <v>2189</v>
      </c>
      <c r="G4504" s="7">
        <v>275840.45500228408</v>
      </c>
      <c r="H4504" s="7">
        <v>603814756</v>
      </c>
      <c r="I4504" s="7">
        <v>79317627</v>
      </c>
      <c r="J4504" s="7">
        <v>0</v>
      </c>
      <c r="K4504">
        <f t="shared" si="70"/>
        <v>122</v>
      </c>
      <c r="L4504" s="8" t="str" cm="1">
        <f t="array" ref="L4504">_xlfn.IFS(
 AND(K4504&gt;=89,K4504&lt;=92),"3개월",
 AND(K4504&gt;=58,K4504&lt;=62),"2개월",
 AND(K4504&gt;=28,K4504&lt;=32),"1개월",
 AND(K4504=0),"당월",
 TRUE,"그외"
)</f>
        <v>그외</v>
      </c>
    </row>
    <row r="4505" spans="1:12" x14ac:dyDescent="0.3">
      <c r="A4505" s="5">
        <v>45658</v>
      </c>
      <c r="B4505" s="6" t="s">
        <v>60</v>
      </c>
      <c r="C4505" s="6" t="s">
        <v>64</v>
      </c>
      <c r="D4505" s="5">
        <v>45566</v>
      </c>
      <c r="E4505" s="6" t="s">
        <v>14</v>
      </c>
      <c r="F4505" s="7">
        <v>474</v>
      </c>
      <c r="G4505" s="7">
        <v>243129.95780590721</v>
      </c>
      <c r="H4505" s="7">
        <v>115243600</v>
      </c>
      <c r="I4505" s="7">
        <v>12039600</v>
      </c>
      <c r="J4505" s="7">
        <v>0</v>
      </c>
      <c r="K4505">
        <f t="shared" si="70"/>
        <v>92</v>
      </c>
      <c r="L4505" s="8" t="str" cm="1">
        <f t="array" ref="L4505">_xlfn.IFS(
 AND(K4505&gt;=89,K4505&lt;=92),"3개월",
 AND(K4505&gt;=58,K4505&lt;=62),"2개월",
 AND(K4505&gt;=28,K4505&lt;=32),"1개월",
 AND(K4505=0),"당월",
 TRUE,"그외"
)</f>
        <v>3개월</v>
      </c>
    </row>
    <row r="4506" spans="1:12" x14ac:dyDescent="0.3">
      <c r="A4506" s="5">
        <v>45658</v>
      </c>
      <c r="B4506" s="6" t="s">
        <v>60</v>
      </c>
      <c r="C4506" s="6" t="s">
        <v>64</v>
      </c>
      <c r="D4506" s="5">
        <v>45566</v>
      </c>
      <c r="E4506" s="6" t="s">
        <v>15</v>
      </c>
      <c r="F4506" s="7">
        <v>1818</v>
      </c>
      <c r="G4506" s="7">
        <v>274499.4614961496</v>
      </c>
      <c r="H4506" s="7">
        <v>499040021</v>
      </c>
      <c r="I4506" s="7">
        <v>48327886</v>
      </c>
      <c r="J4506" s="7">
        <v>0</v>
      </c>
      <c r="K4506">
        <f t="shared" si="70"/>
        <v>92</v>
      </c>
      <c r="L4506" s="8" t="str" cm="1">
        <f t="array" ref="L4506">_xlfn.IFS(
 AND(K4506&gt;=89,K4506&lt;=92),"3개월",
 AND(K4506&gt;=58,K4506&lt;=62),"2개월",
 AND(K4506&gt;=28,K4506&lt;=32),"1개월",
 AND(K4506=0),"당월",
 TRUE,"그외"
)</f>
        <v>3개월</v>
      </c>
    </row>
    <row r="4507" spans="1:12" x14ac:dyDescent="0.3">
      <c r="A4507" s="5">
        <v>45658</v>
      </c>
      <c r="B4507" s="6" t="s">
        <v>60</v>
      </c>
      <c r="C4507" s="6" t="s">
        <v>64</v>
      </c>
      <c r="D4507" s="5">
        <v>45597</v>
      </c>
      <c r="E4507" s="6" t="s">
        <v>14</v>
      </c>
      <c r="F4507" s="7">
        <v>3134</v>
      </c>
      <c r="G4507" s="7">
        <v>254113.4652201659</v>
      </c>
      <c r="H4507" s="7">
        <v>796391600</v>
      </c>
      <c r="I4507" s="7">
        <v>79603600</v>
      </c>
      <c r="J4507" s="7">
        <v>0</v>
      </c>
      <c r="K4507">
        <f t="shared" si="70"/>
        <v>61</v>
      </c>
      <c r="L4507" s="8" t="str" cm="1">
        <f t="array" ref="L4507">_xlfn.IFS(
 AND(K4507&gt;=89,K4507&lt;=92),"3개월",
 AND(K4507&gt;=58,K4507&lt;=62),"2개월",
 AND(K4507&gt;=28,K4507&lt;=32),"1개월",
 AND(K4507=0),"당월",
 TRUE,"그외"
)</f>
        <v>2개월</v>
      </c>
    </row>
    <row r="4508" spans="1:12" x14ac:dyDescent="0.3">
      <c r="A4508" s="5">
        <v>45658</v>
      </c>
      <c r="B4508" s="6" t="s">
        <v>60</v>
      </c>
      <c r="C4508" s="6" t="s">
        <v>64</v>
      </c>
      <c r="D4508" s="5">
        <v>45597</v>
      </c>
      <c r="E4508" s="6" t="s">
        <v>15</v>
      </c>
      <c r="F4508" s="7">
        <v>2834</v>
      </c>
      <c r="G4508" s="7">
        <v>301896.24805928022</v>
      </c>
      <c r="H4508" s="7">
        <v>855573967</v>
      </c>
      <c r="I4508" s="7">
        <v>73728132</v>
      </c>
      <c r="J4508" s="7">
        <v>0</v>
      </c>
      <c r="K4508">
        <f t="shared" si="70"/>
        <v>61</v>
      </c>
      <c r="L4508" s="8" t="str" cm="1">
        <f t="array" ref="L4508">_xlfn.IFS(
 AND(K4508&gt;=89,K4508&lt;=92),"3개월",
 AND(K4508&gt;=58,K4508&lt;=62),"2개월",
 AND(K4508&gt;=28,K4508&lt;=32),"1개월",
 AND(K4508=0),"당월",
 TRUE,"그외"
)</f>
        <v>2개월</v>
      </c>
    </row>
    <row r="4509" spans="1:12" x14ac:dyDescent="0.3">
      <c r="A4509" s="5">
        <v>45658</v>
      </c>
      <c r="B4509" s="6" t="s">
        <v>60</v>
      </c>
      <c r="C4509" s="6" t="s">
        <v>64</v>
      </c>
      <c r="D4509" s="5">
        <v>45627</v>
      </c>
      <c r="E4509" s="6" t="s">
        <v>14</v>
      </c>
      <c r="F4509" s="7">
        <v>3743</v>
      </c>
      <c r="G4509" s="7">
        <v>453992.49265295221</v>
      </c>
      <c r="H4509" s="7">
        <v>1699293900</v>
      </c>
      <c r="I4509" s="7">
        <v>112361900</v>
      </c>
      <c r="J4509" s="7">
        <v>0</v>
      </c>
      <c r="K4509">
        <f t="shared" si="70"/>
        <v>31</v>
      </c>
      <c r="L4509" s="8" t="str" cm="1">
        <f t="array" ref="L4509">_xlfn.IFS(
 AND(K4509&gt;=89,K4509&lt;=92),"3개월",
 AND(K4509&gt;=58,K4509&lt;=62),"2개월",
 AND(K4509&gt;=28,K4509&lt;=32),"1개월",
 AND(K4509=0),"당월",
 TRUE,"그외"
)</f>
        <v>1개월</v>
      </c>
    </row>
    <row r="4510" spans="1:12" x14ac:dyDescent="0.3">
      <c r="A4510" s="5">
        <v>45658</v>
      </c>
      <c r="B4510" s="6" t="s">
        <v>60</v>
      </c>
      <c r="C4510" s="6" t="s">
        <v>64</v>
      </c>
      <c r="D4510" s="5">
        <v>45627</v>
      </c>
      <c r="E4510" s="6" t="s">
        <v>15</v>
      </c>
      <c r="F4510" s="7">
        <v>7608</v>
      </c>
      <c r="G4510" s="7">
        <v>276553.67810199788</v>
      </c>
      <c r="H4510" s="7">
        <v>2104020383</v>
      </c>
      <c r="I4510" s="7">
        <v>234738348</v>
      </c>
      <c r="J4510" s="7">
        <v>0</v>
      </c>
      <c r="K4510">
        <f t="shared" si="70"/>
        <v>31</v>
      </c>
      <c r="L4510" s="8" t="str" cm="1">
        <f t="array" ref="L4510">_xlfn.IFS(
 AND(K4510&gt;=89,K4510&lt;=92),"3개월",
 AND(K4510&gt;=58,K4510&lt;=62),"2개월",
 AND(K4510&gt;=28,K4510&lt;=32),"1개월",
 AND(K4510=0),"당월",
 TRUE,"그외"
)</f>
        <v>1개월</v>
      </c>
    </row>
    <row r="4511" spans="1:12" x14ac:dyDescent="0.3">
      <c r="A4511" s="5">
        <v>45658</v>
      </c>
      <c r="B4511" s="6" t="s">
        <v>60</v>
      </c>
      <c r="C4511" s="6" t="s">
        <v>64</v>
      </c>
      <c r="D4511" s="5">
        <v>45658</v>
      </c>
      <c r="E4511" s="6" t="s">
        <v>14</v>
      </c>
      <c r="F4511" s="7">
        <v>4367</v>
      </c>
      <c r="G4511" s="7">
        <v>131049.55346920079</v>
      </c>
      <c r="H4511" s="7">
        <v>572293400</v>
      </c>
      <c r="I4511" s="7">
        <v>135340400</v>
      </c>
      <c r="J4511" s="7">
        <v>0</v>
      </c>
      <c r="K4511">
        <f t="shared" si="70"/>
        <v>0</v>
      </c>
      <c r="L4511" s="8" t="str" cm="1">
        <f t="array" ref="L4511">_xlfn.IFS(
 AND(K4511&gt;=89,K4511&lt;=92),"3개월",
 AND(K4511&gt;=58,K4511&lt;=62),"2개월",
 AND(K4511&gt;=28,K4511&lt;=32),"1개월",
 AND(K4511=0),"당월",
 TRUE,"그외"
)</f>
        <v>당월</v>
      </c>
    </row>
    <row r="4512" spans="1:12" x14ac:dyDescent="0.3">
      <c r="A4512" s="5">
        <v>45658</v>
      </c>
      <c r="B4512" s="6" t="s">
        <v>60</v>
      </c>
      <c r="C4512" s="6" t="s">
        <v>64</v>
      </c>
      <c r="D4512" s="5">
        <v>45658</v>
      </c>
      <c r="E4512" s="6" t="s">
        <v>15</v>
      </c>
      <c r="F4512" s="7">
        <v>3969</v>
      </c>
      <c r="G4512" s="7">
        <v>296535.65054169821</v>
      </c>
      <c r="H4512" s="7">
        <v>1176949997</v>
      </c>
      <c r="I4512" s="7">
        <v>126559071</v>
      </c>
      <c r="J4512" s="7">
        <v>0</v>
      </c>
      <c r="K4512">
        <f t="shared" si="70"/>
        <v>0</v>
      </c>
      <c r="L4512" s="8" t="str" cm="1">
        <f t="array" ref="L4512">_xlfn.IFS(
 AND(K4512&gt;=89,K4512&lt;=92),"3개월",
 AND(K4512&gt;=58,K4512&lt;=62),"2개월",
 AND(K4512&gt;=28,K4512&lt;=32),"1개월",
 AND(K4512=0),"당월",
 TRUE,"그외"
)</f>
        <v>당월</v>
      </c>
    </row>
    <row r="4513" spans="1:12" x14ac:dyDescent="0.3">
      <c r="A4513" s="5">
        <v>45658</v>
      </c>
      <c r="B4513" s="6" t="s">
        <v>60</v>
      </c>
      <c r="C4513" s="6" t="s">
        <v>65</v>
      </c>
      <c r="D4513" s="5">
        <v>45505</v>
      </c>
      <c r="E4513" s="6" t="s">
        <v>14</v>
      </c>
      <c r="F4513" s="7">
        <v>26</v>
      </c>
      <c r="G4513" s="7">
        <v>271100</v>
      </c>
      <c r="H4513" s="7">
        <v>7048600</v>
      </c>
      <c r="I4513" s="7">
        <v>1042600</v>
      </c>
      <c r="J4513" s="7">
        <v>0</v>
      </c>
      <c r="K4513">
        <f t="shared" si="70"/>
        <v>153</v>
      </c>
      <c r="L4513" s="8" t="str" cm="1">
        <f t="array" ref="L4513">_xlfn.IFS(
 AND(K4513&gt;=89,K4513&lt;=92),"3개월",
 AND(K4513&gt;=58,K4513&lt;=62),"2개월",
 AND(K4513&gt;=28,K4513&lt;=32),"1개월",
 AND(K4513=0),"당월",
 TRUE,"그외"
)</f>
        <v>그외</v>
      </c>
    </row>
    <row r="4514" spans="1:12" x14ac:dyDescent="0.3">
      <c r="A4514" s="5">
        <v>45658</v>
      </c>
      <c r="B4514" s="6" t="s">
        <v>60</v>
      </c>
      <c r="C4514" s="6" t="s">
        <v>65</v>
      </c>
      <c r="D4514" s="5">
        <v>45505</v>
      </c>
      <c r="E4514" s="6" t="s">
        <v>15</v>
      </c>
      <c r="F4514" s="7">
        <v>354</v>
      </c>
      <c r="G4514" s="7">
        <v>241661.7853107345</v>
      </c>
      <c r="H4514" s="7">
        <v>85548272</v>
      </c>
      <c r="I4514" s="7">
        <v>14192512</v>
      </c>
      <c r="J4514" s="7">
        <v>0</v>
      </c>
      <c r="K4514">
        <f t="shared" si="70"/>
        <v>153</v>
      </c>
      <c r="L4514" s="8" t="str" cm="1">
        <f t="array" ref="L4514">_xlfn.IFS(
 AND(K4514&gt;=89,K4514&lt;=92),"3개월",
 AND(K4514&gt;=58,K4514&lt;=62),"2개월",
 AND(K4514&gt;=28,K4514&lt;=32),"1개월",
 AND(K4514=0),"당월",
 TRUE,"그외"
)</f>
        <v>그외</v>
      </c>
    </row>
    <row r="4515" spans="1:12" x14ac:dyDescent="0.3">
      <c r="A4515" s="5">
        <v>45658</v>
      </c>
      <c r="B4515" s="6" t="s">
        <v>60</v>
      </c>
      <c r="C4515" s="6" t="s">
        <v>65</v>
      </c>
      <c r="D4515" s="5">
        <v>45536</v>
      </c>
      <c r="E4515" s="6" t="s">
        <v>14</v>
      </c>
      <c r="F4515" s="7">
        <v>282</v>
      </c>
      <c r="G4515" s="7">
        <v>255402.83687943261</v>
      </c>
      <c r="H4515" s="7">
        <v>72023600</v>
      </c>
      <c r="I4515" s="7">
        <v>10095600</v>
      </c>
      <c r="J4515" s="7">
        <v>0</v>
      </c>
      <c r="K4515">
        <f t="shared" si="70"/>
        <v>122</v>
      </c>
      <c r="L4515" s="8" t="str" cm="1">
        <f t="array" ref="L4515">_xlfn.IFS(
 AND(K4515&gt;=89,K4515&lt;=92),"3개월",
 AND(K4515&gt;=58,K4515&lt;=62),"2개월",
 AND(K4515&gt;=28,K4515&lt;=32),"1개월",
 AND(K4515=0),"당월",
 TRUE,"그외"
)</f>
        <v>그외</v>
      </c>
    </row>
    <row r="4516" spans="1:12" x14ac:dyDescent="0.3">
      <c r="A4516" s="5">
        <v>45658</v>
      </c>
      <c r="B4516" s="6" t="s">
        <v>60</v>
      </c>
      <c r="C4516" s="6" t="s">
        <v>65</v>
      </c>
      <c r="D4516" s="5">
        <v>45536</v>
      </c>
      <c r="E4516" s="6" t="s">
        <v>15</v>
      </c>
      <c r="F4516" s="7">
        <v>326</v>
      </c>
      <c r="G4516" s="7">
        <v>255762.2392638037</v>
      </c>
      <c r="H4516" s="7">
        <v>83378490</v>
      </c>
      <c r="I4516" s="7">
        <v>11683644</v>
      </c>
      <c r="J4516" s="7">
        <v>0</v>
      </c>
      <c r="K4516">
        <f t="shared" si="70"/>
        <v>122</v>
      </c>
      <c r="L4516" s="8" t="str" cm="1">
        <f t="array" ref="L4516">_xlfn.IFS(
 AND(K4516&gt;=89,K4516&lt;=92),"3개월",
 AND(K4516&gt;=58,K4516&lt;=62),"2개월",
 AND(K4516&gt;=28,K4516&lt;=32),"1개월",
 AND(K4516=0),"당월",
 TRUE,"그외"
)</f>
        <v>그외</v>
      </c>
    </row>
    <row r="4517" spans="1:12" x14ac:dyDescent="0.3">
      <c r="A4517" s="5">
        <v>45658</v>
      </c>
      <c r="B4517" s="6" t="s">
        <v>60</v>
      </c>
      <c r="C4517" s="6" t="s">
        <v>65</v>
      </c>
      <c r="D4517" s="5">
        <v>45566</v>
      </c>
      <c r="E4517" s="6" t="s">
        <v>14</v>
      </c>
      <c r="F4517" s="7">
        <v>450</v>
      </c>
      <c r="G4517" s="7">
        <v>245044.44444444441</v>
      </c>
      <c r="H4517" s="7">
        <v>110270000</v>
      </c>
      <c r="I4517" s="7">
        <v>11430000</v>
      </c>
      <c r="J4517" s="7">
        <v>0</v>
      </c>
      <c r="K4517">
        <f t="shared" si="70"/>
        <v>92</v>
      </c>
      <c r="L4517" s="8" t="str" cm="1">
        <f t="array" ref="L4517">_xlfn.IFS(
 AND(K4517&gt;=89,K4517&lt;=92),"3개월",
 AND(K4517&gt;=58,K4517&lt;=62),"2개월",
 AND(K4517&gt;=28,K4517&lt;=32),"1개월",
 AND(K4517=0),"당월",
 TRUE,"그외"
)</f>
        <v>3개월</v>
      </c>
    </row>
    <row r="4518" spans="1:12" x14ac:dyDescent="0.3">
      <c r="A4518" s="5">
        <v>45658</v>
      </c>
      <c r="B4518" s="6" t="s">
        <v>60</v>
      </c>
      <c r="C4518" s="6" t="s">
        <v>65</v>
      </c>
      <c r="D4518" s="5">
        <v>45566</v>
      </c>
      <c r="E4518" s="6" t="s">
        <v>15</v>
      </c>
      <c r="F4518" s="7">
        <v>411</v>
      </c>
      <c r="G4518" s="7">
        <v>296265.02919708029</v>
      </c>
      <c r="H4518" s="7">
        <v>121764927</v>
      </c>
      <c r="I4518" s="7">
        <v>10790254</v>
      </c>
      <c r="J4518" s="7">
        <v>0</v>
      </c>
      <c r="K4518">
        <f t="shared" si="70"/>
        <v>92</v>
      </c>
      <c r="L4518" s="8" t="str" cm="1">
        <f t="array" ref="L4518">_xlfn.IFS(
 AND(K4518&gt;=89,K4518&lt;=92),"3개월",
 AND(K4518&gt;=58,K4518&lt;=62),"2개월",
 AND(K4518&gt;=28,K4518&lt;=32),"1개월",
 AND(K4518=0),"당월",
 TRUE,"그외"
)</f>
        <v>3개월</v>
      </c>
    </row>
    <row r="4519" spans="1:12" x14ac:dyDescent="0.3">
      <c r="A4519" s="5">
        <v>45658</v>
      </c>
      <c r="B4519" s="6" t="s">
        <v>60</v>
      </c>
      <c r="C4519" s="6" t="s">
        <v>65</v>
      </c>
      <c r="D4519" s="5">
        <v>45597</v>
      </c>
      <c r="E4519" s="6" t="s">
        <v>14</v>
      </c>
      <c r="F4519" s="7">
        <v>503</v>
      </c>
      <c r="G4519" s="7">
        <v>259296.62027833</v>
      </c>
      <c r="H4519" s="7">
        <v>130426200</v>
      </c>
      <c r="I4519" s="7">
        <v>12776200</v>
      </c>
      <c r="J4519" s="7">
        <v>0</v>
      </c>
      <c r="K4519">
        <f t="shared" si="70"/>
        <v>61</v>
      </c>
      <c r="L4519" s="8" t="str" cm="1">
        <f t="array" ref="L4519">_xlfn.IFS(
 AND(K4519&gt;=89,K4519&lt;=92),"3개월",
 AND(K4519&gt;=58,K4519&lt;=62),"2개월",
 AND(K4519&gt;=28,K4519&lt;=32),"1개월",
 AND(K4519=0),"당월",
 TRUE,"그외"
)</f>
        <v>2개월</v>
      </c>
    </row>
    <row r="4520" spans="1:12" x14ac:dyDescent="0.3">
      <c r="A4520" s="5">
        <v>45658</v>
      </c>
      <c r="B4520" s="6" t="s">
        <v>60</v>
      </c>
      <c r="C4520" s="6" t="s">
        <v>65</v>
      </c>
      <c r="D4520" s="5">
        <v>45597</v>
      </c>
      <c r="E4520" s="6" t="s">
        <v>15</v>
      </c>
      <c r="F4520" s="7">
        <v>946</v>
      </c>
      <c r="G4520" s="7">
        <v>290684.4154334038</v>
      </c>
      <c r="H4520" s="7">
        <v>274987457</v>
      </c>
      <c r="I4520" s="7">
        <v>24324532</v>
      </c>
      <c r="J4520" s="7">
        <v>0</v>
      </c>
      <c r="K4520">
        <f t="shared" si="70"/>
        <v>61</v>
      </c>
      <c r="L4520" s="8" t="str" cm="1">
        <f t="array" ref="L4520">_xlfn.IFS(
 AND(K4520&gt;=89,K4520&lt;=92),"3개월",
 AND(K4520&gt;=58,K4520&lt;=62),"2개월",
 AND(K4520&gt;=28,K4520&lt;=32),"1개월",
 AND(K4520=0),"당월",
 TRUE,"그외"
)</f>
        <v>2개월</v>
      </c>
    </row>
    <row r="4521" spans="1:12" x14ac:dyDescent="0.3">
      <c r="A4521" s="5">
        <v>45658</v>
      </c>
      <c r="B4521" s="6" t="s">
        <v>60</v>
      </c>
      <c r="C4521" s="6" t="s">
        <v>65</v>
      </c>
      <c r="D4521" s="5">
        <v>45627</v>
      </c>
      <c r="E4521" s="6" t="s">
        <v>14</v>
      </c>
      <c r="F4521" s="7">
        <v>1855</v>
      </c>
      <c r="G4521" s="7">
        <v>229971.80592991921</v>
      </c>
      <c r="H4521" s="7">
        <v>426597700</v>
      </c>
      <c r="I4521" s="7">
        <v>56547700</v>
      </c>
      <c r="J4521" s="7">
        <v>0</v>
      </c>
      <c r="K4521">
        <f t="shared" si="70"/>
        <v>31</v>
      </c>
      <c r="L4521" s="8" t="str" cm="1">
        <f t="array" ref="L4521">_xlfn.IFS(
 AND(K4521&gt;=89,K4521&lt;=92),"3개월",
 AND(K4521&gt;=58,K4521&lt;=62),"2개월",
 AND(K4521&gt;=28,K4521&lt;=32),"1개월",
 AND(K4521=0),"당월",
 TRUE,"그외"
)</f>
        <v>1개월</v>
      </c>
    </row>
    <row r="4522" spans="1:12" x14ac:dyDescent="0.3">
      <c r="A4522" s="5">
        <v>45658</v>
      </c>
      <c r="B4522" s="6" t="s">
        <v>60</v>
      </c>
      <c r="C4522" s="6" t="s">
        <v>65</v>
      </c>
      <c r="D4522" s="5">
        <v>45627</v>
      </c>
      <c r="E4522" s="6" t="s">
        <v>15</v>
      </c>
      <c r="F4522" s="7">
        <v>1943</v>
      </c>
      <c r="G4522" s="7">
        <v>270335.70303654141</v>
      </c>
      <c r="H4522" s="7">
        <v>525262271</v>
      </c>
      <c r="I4522" s="7">
        <v>58984118</v>
      </c>
      <c r="J4522" s="7">
        <v>0</v>
      </c>
      <c r="K4522">
        <f t="shared" si="70"/>
        <v>31</v>
      </c>
      <c r="L4522" s="8" t="str" cm="1">
        <f t="array" ref="L4522">_xlfn.IFS(
 AND(K4522&gt;=89,K4522&lt;=92),"3개월",
 AND(K4522&gt;=58,K4522&lt;=62),"2개월",
 AND(K4522&gt;=28,K4522&lt;=32),"1개월",
 AND(K4522=0),"당월",
 TRUE,"그외"
)</f>
        <v>1개월</v>
      </c>
    </row>
    <row r="4523" spans="1:12" x14ac:dyDescent="0.3">
      <c r="A4523" s="5">
        <v>45658</v>
      </c>
      <c r="B4523" s="6" t="s">
        <v>60</v>
      </c>
      <c r="C4523" s="6" t="s">
        <v>65</v>
      </c>
      <c r="D4523" s="5">
        <v>45658</v>
      </c>
      <c r="E4523" s="6" t="s">
        <v>14</v>
      </c>
      <c r="F4523" s="7">
        <v>510</v>
      </c>
      <c r="G4523" s="7">
        <v>315520.78431372548</v>
      </c>
      <c r="H4523" s="7">
        <v>160915600</v>
      </c>
      <c r="I4523" s="7">
        <v>15816600</v>
      </c>
      <c r="J4523" s="7">
        <v>0</v>
      </c>
      <c r="K4523">
        <f t="shared" si="70"/>
        <v>0</v>
      </c>
      <c r="L4523" s="8" t="str" cm="1">
        <f t="array" ref="L4523">_xlfn.IFS(
 AND(K4523&gt;=89,K4523&lt;=92),"3개월",
 AND(K4523&gt;=58,K4523&lt;=62),"2개월",
 AND(K4523&gt;=28,K4523&lt;=32),"1개월",
 AND(K4523=0),"당월",
 TRUE,"그외"
)</f>
        <v>당월</v>
      </c>
    </row>
    <row r="4524" spans="1:12" x14ac:dyDescent="0.3">
      <c r="A4524" s="5">
        <v>45658</v>
      </c>
      <c r="B4524" s="6" t="s">
        <v>60</v>
      </c>
      <c r="C4524" s="6" t="s">
        <v>65</v>
      </c>
      <c r="D4524" s="5">
        <v>45658</v>
      </c>
      <c r="E4524" s="6" t="s">
        <v>15</v>
      </c>
      <c r="F4524" s="7">
        <v>1129</v>
      </c>
      <c r="G4524" s="7">
        <v>295699.08414526132</v>
      </c>
      <c r="H4524" s="7">
        <v>333844266</v>
      </c>
      <c r="I4524" s="7">
        <v>35265375</v>
      </c>
      <c r="J4524" s="7">
        <v>0</v>
      </c>
      <c r="K4524">
        <f t="shared" si="70"/>
        <v>0</v>
      </c>
      <c r="L4524" s="8" t="str" cm="1">
        <f t="array" ref="L4524">_xlfn.IFS(
 AND(K4524&gt;=89,K4524&lt;=92),"3개월",
 AND(K4524&gt;=58,K4524&lt;=62),"2개월",
 AND(K4524&gt;=28,K4524&lt;=32),"1개월",
 AND(K4524=0),"당월",
 TRUE,"그외"
)</f>
        <v>당월</v>
      </c>
    </row>
    <row r="4525" spans="1:12" x14ac:dyDescent="0.3">
      <c r="A4525" s="5">
        <v>45658</v>
      </c>
      <c r="B4525" s="6" t="s">
        <v>60</v>
      </c>
      <c r="C4525" s="6" t="s">
        <v>66</v>
      </c>
      <c r="D4525" s="5">
        <v>45505</v>
      </c>
      <c r="E4525" s="6" t="s">
        <v>14</v>
      </c>
      <c r="F4525" s="7">
        <v>16</v>
      </c>
      <c r="G4525" s="7">
        <v>310100</v>
      </c>
      <c r="H4525" s="7">
        <v>4961600</v>
      </c>
      <c r="I4525" s="7">
        <v>641600</v>
      </c>
      <c r="J4525" s="7">
        <v>0</v>
      </c>
      <c r="K4525">
        <f t="shared" si="70"/>
        <v>153</v>
      </c>
      <c r="L4525" s="8" t="str" cm="1">
        <f t="array" ref="L4525">_xlfn.IFS(
 AND(K4525&gt;=89,K4525&lt;=92),"3개월",
 AND(K4525&gt;=58,K4525&lt;=62),"2개월",
 AND(K4525&gt;=28,K4525&lt;=32),"1개월",
 AND(K4525=0),"당월",
 TRUE,"그외"
)</f>
        <v>그외</v>
      </c>
    </row>
    <row r="4526" spans="1:12" x14ac:dyDescent="0.3">
      <c r="A4526" s="5">
        <v>45658</v>
      </c>
      <c r="B4526" s="6" t="s">
        <v>60</v>
      </c>
      <c r="C4526" s="6" t="s">
        <v>66</v>
      </c>
      <c r="D4526" s="5">
        <v>45505</v>
      </c>
      <c r="E4526" s="6" t="s">
        <v>15</v>
      </c>
      <c r="F4526" s="7">
        <v>350</v>
      </c>
      <c r="G4526" s="7">
        <v>255715.62571428571</v>
      </c>
      <c r="H4526" s="7">
        <v>89500469</v>
      </c>
      <c r="I4526" s="7">
        <v>14217212</v>
      </c>
      <c r="J4526" s="7">
        <v>0</v>
      </c>
      <c r="K4526">
        <f t="shared" si="70"/>
        <v>153</v>
      </c>
      <c r="L4526" s="8" t="str" cm="1">
        <f t="array" ref="L4526">_xlfn.IFS(
 AND(K4526&gt;=89,K4526&lt;=92),"3개월",
 AND(K4526&gt;=58,K4526&lt;=62),"2개월",
 AND(K4526&gt;=28,K4526&lt;=32),"1개월",
 AND(K4526=0),"당월",
 TRUE,"그외"
)</f>
        <v>그외</v>
      </c>
    </row>
    <row r="4527" spans="1:12" x14ac:dyDescent="0.3">
      <c r="A4527" s="5">
        <v>45658</v>
      </c>
      <c r="B4527" s="6" t="s">
        <v>60</v>
      </c>
      <c r="C4527" s="6" t="s">
        <v>66</v>
      </c>
      <c r="D4527" s="5">
        <v>45536</v>
      </c>
      <c r="E4527" s="6" t="s">
        <v>14</v>
      </c>
      <c r="F4527" s="7">
        <v>56</v>
      </c>
      <c r="G4527" s="7">
        <v>294603.57142857142</v>
      </c>
      <c r="H4527" s="7">
        <v>16497800</v>
      </c>
      <c r="I4527" s="7">
        <v>2004800</v>
      </c>
      <c r="J4527" s="7">
        <v>0</v>
      </c>
      <c r="K4527">
        <f t="shared" si="70"/>
        <v>122</v>
      </c>
      <c r="L4527" s="8" t="str" cm="1">
        <f t="array" ref="L4527">_xlfn.IFS(
 AND(K4527&gt;=89,K4527&lt;=92),"3개월",
 AND(K4527&gt;=58,K4527&lt;=62),"2개월",
 AND(K4527&gt;=28,K4527&lt;=32),"1개월",
 AND(K4527=0),"당월",
 TRUE,"그외"
)</f>
        <v>그외</v>
      </c>
    </row>
    <row r="4528" spans="1:12" x14ac:dyDescent="0.3">
      <c r="A4528" s="5">
        <v>45658</v>
      </c>
      <c r="B4528" s="6" t="s">
        <v>60</v>
      </c>
      <c r="C4528" s="6" t="s">
        <v>66</v>
      </c>
      <c r="D4528" s="5">
        <v>45536</v>
      </c>
      <c r="E4528" s="6" t="s">
        <v>15</v>
      </c>
      <c r="F4528" s="7">
        <v>342</v>
      </c>
      <c r="G4528" s="7">
        <v>306158.65789473691</v>
      </c>
      <c r="H4528" s="7">
        <v>104706261</v>
      </c>
      <c r="I4528" s="7">
        <v>12402531</v>
      </c>
      <c r="J4528" s="7">
        <v>0</v>
      </c>
      <c r="K4528">
        <f t="shared" si="70"/>
        <v>122</v>
      </c>
      <c r="L4528" s="8" t="str" cm="1">
        <f t="array" ref="L4528">_xlfn.IFS(
 AND(K4528&gt;=89,K4528&lt;=92),"3개월",
 AND(K4528&gt;=58,K4528&lt;=62),"2개월",
 AND(K4528&gt;=28,K4528&lt;=32),"1개월",
 AND(K4528=0),"당월",
 TRUE,"그외"
)</f>
        <v>그외</v>
      </c>
    </row>
    <row r="4529" spans="1:12" x14ac:dyDescent="0.3">
      <c r="A4529" s="5">
        <v>45658</v>
      </c>
      <c r="B4529" s="6" t="s">
        <v>60</v>
      </c>
      <c r="C4529" s="6" t="s">
        <v>66</v>
      </c>
      <c r="D4529" s="5">
        <v>45566</v>
      </c>
      <c r="E4529" s="6" t="s">
        <v>14</v>
      </c>
      <c r="F4529" s="7">
        <v>267</v>
      </c>
      <c r="G4529" s="7">
        <v>297995.50561797753</v>
      </c>
      <c r="H4529" s="7">
        <v>79564800</v>
      </c>
      <c r="I4529" s="7">
        <v>6781800</v>
      </c>
      <c r="J4529" s="7">
        <v>0</v>
      </c>
      <c r="K4529">
        <f t="shared" si="70"/>
        <v>92</v>
      </c>
      <c r="L4529" s="8" t="str" cm="1">
        <f t="array" ref="L4529">_xlfn.IFS(
 AND(K4529&gt;=89,K4529&lt;=92),"3개월",
 AND(K4529&gt;=58,K4529&lt;=62),"2개월",
 AND(K4529&gt;=28,K4529&lt;=32),"1개월",
 AND(K4529=0),"당월",
 TRUE,"그외"
)</f>
        <v>3개월</v>
      </c>
    </row>
    <row r="4530" spans="1:12" x14ac:dyDescent="0.3">
      <c r="A4530" s="5">
        <v>45658</v>
      </c>
      <c r="B4530" s="6" t="s">
        <v>60</v>
      </c>
      <c r="C4530" s="6" t="s">
        <v>66</v>
      </c>
      <c r="D4530" s="5">
        <v>45566</v>
      </c>
      <c r="E4530" s="6" t="s">
        <v>15</v>
      </c>
      <c r="F4530" s="7">
        <v>351</v>
      </c>
      <c r="G4530" s="7">
        <v>321639.80341880338</v>
      </c>
      <c r="H4530" s="7">
        <v>112895571</v>
      </c>
      <c r="I4530" s="7">
        <v>9219556</v>
      </c>
      <c r="J4530" s="7">
        <v>0</v>
      </c>
      <c r="K4530">
        <f t="shared" si="70"/>
        <v>92</v>
      </c>
      <c r="L4530" s="8" t="str" cm="1">
        <f t="array" ref="L4530">_xlfn.IFS(
 AND(K4530&gt;=89,K4530&lt;=92),"3개월",
 AND(K4530&gt;=58,K4530&lt;=62),"2개월",
 AND(K4530&gt;=28,K4530&lt;=32),"1개월",
 AND(K4530=0),"당월",
 TRUE,"그외"
)</f>
        <v>3개월</v>
      </c>
    </row>
    <row r="4531" spans="1:12" x14ac:dyDescent="0.3">
      <c r="A4531" s="5">
        <v>45658</v>
      </c>
      <c r="B4531" s="6" t="s">
        <v>60</v>
      </c>
      <c r="C4531" s="6" t="s">
        <v>66</v>
      </c>
      <c r="D4531" s="5">
        <v>45597</v>
      </c>
      <c r="E4531" s="6" t="s">
        <v>14</v>
      </c>
      <c r="F4531" s="7">
        <v>1975</v>
      </c>
      <c r="G4531" s="7">
        <v>271002.02531645569</v>
      </c>
      <c r="H4531" s="7">
        <v>535229000</v>
      </c>
      <c r="I4531" s="7">
        <v>50165000</v>
      </c>
      <c r="J4531" s="7">
        <v>0</v>
      </c>
      <c r="K4531">
        <f t="shared" si="70"/>
        <v>61</v>
      </c>
      <c r="L4531" s="8" t="str" cm="1">
        <f t="array" ref="L4531">_xlfn.IFS(
 AND(K4531&gt;=89,K4531&lt;=92),"3개월",
 AND(K4531&gt;=58,K4531&lt;=62),"2개월",
 AND(K4531&gt;=28,K4531&lt;=32),"1개월",
 AND(K4531=0),"당월",
 TRUE,"그외"
)</f>
        <v>2개월</v>
      </c>
    </row>
    <row r="4532" spans="1:12" x14ac:dyDescent="0.3">
      <c r="A4532" s="5">
        <v>45658</v>
      </c>
      <c r="B4532" s="6" t="s">
        <v>60</v>
      </c>
      <c r="C4532" s="6" t="s">
        <v>66</v>
      </c>
      <c r="D4532" s="5">
        <v>45597</v>
      </c>
      <c r="E4532" s="6" t="s">
        <v>15</v>
      </c>
      <c r="F4532" s="7">
        <v>1001</v>
      </c>
      <c r="G4532" s="7">
        <v>282942.8111888112</v>
      </c>
      <c r="H4532" s="7">
        <v>283225754</v>
      </c>
      <c r="I4532" s="7">
        <v>25227821</v>
      </c>
      <c r="J4532" s="7">
        <v>0</v>
      </c>
      <c r="K4532">
        <f t="shared" si="70"/>
        <v>61</v>
      </c>
      <c r="L4532" s="8" t="str" cm="1">
        <f t="array" ref="L4532">_xlfn.IFS(
 AND(K4532&gt;=89,K4532&lt;=92),"3개월",
 AND(K4532&gt;=58,K4532&lt;=62),"2개월",
 AND(K4532&gt;=28,K4532&lt;=32),"1개월",
 AND(K4532=0),"당월",
 TRUE,"그외"
)</f>
        <v>2개월</v>
      </c>
    </row>
    <row r="4533" spans="1:12" x14ac:dyDescent="0.3">
      <c r="A4533" s="5">
        <v>45658</v>
      </c>
      <c r="B4533" s="6" t="s">
        <v>60</v>
      </c>
      <c r="C4533" s="6" t="s">
        <v>66</v>
      </c>
      <c r="D4533" s="5">
        <v>45627</v>
      </c>
      <c r="E4533" s="6" t="s">
        <v>14</v>
      </c>
      <c r="F4533" s="7">
        <v>1620</v>
      </c>
      <c r="G4533" s="7">
        <v>275118.08641975309</v>
      </c>
      <c r="H4533" s="7">
        <v>445691300</v>
      </c>
      <c r="I4533" s="7">
        <v>49027300</v>
      </c>
      <c r="J4533" s="7">
        <v>0</v>
      </c>
      <c r="K4533">
        <f t="shared" si="70"/>
        <v>31</v>
      </c>
      <c r="L4533" s="8" t="str" cm="1">
        <f t="array" ref="L4533">_xlfn.IFS(
 AND(K4533&gt;=89,K4533&lt;=92),"3개월",
 AND(K4533&gt;=58,K4533&lt;=62),"2개월",
 AND(K4533&gt;=28,K4533&lt;=32),"1개월",
 AND(K4533=0),"당월",
 TRUE,"그외"
)</f>
        <v>1개월</v>
      </c>
    </row>
    <row r="4534" spans="1:12" x14ac:dyDescent="0.3">
      <c r="A4534" s="5">
        <v>45658</v>
      </c>
      <c r="B4534" s="6" t="s">
        <v>60</v>
      </c>
      <c r="C4534" s="6" t="s">
        <v>66</v>
      </c>
      <c r="D4534" s="5">
        <v>45627</v>
      </c>
      <c r="E4534" s="6" t="s">
        <v>15</v>
      </c>
      <c r="F4534" s="7">
        <v>1341</v>
      </c>
      <c r="G4534" s="7">
        <v>315036.88292319159</v>
      </c>
      <c r="H4534" s="7">
        <v>422464460</v>
      </c>
      <c r="I4534" s="7">
        <v>41244999</v>
      </c>
      <c r="J4534" s="7">
        <v>0</v>
      </c>
      <c r="K4534">
        <f t="shared" si="70"/>
        <v>31</v>
      </c>
      <c r="L4534" s="8" t="str" cm="1">
        <f t="array" ref="L4534">_xlfn.IFS(
 AND(K4534&gt;=89,K4534&lt;=92),"3개월",
 AND(K4534&gt;=58,K4534&lt;=62),"2개월",
 AND(K4534&gt;=28,K4534&lt;=32),"1개월",
 AND(K4534=0),"당월",
 TRUE,"그외"
)</f>
        <v>1개월</v>
      </c>
    </row>
    <row r="4535" spans="1:12" x14ac:dyDescent="0.3">
      <c r="A4535" s="5">
        <v>45658</v>
      </c>
      <c r="B4535" s="6" t="s">
        <v>60</v>
      </c>
      <c r="C4535" s="6" t="s">
        <v>66</v>
      </c>
      <c r="D4535" s="5">
        <v>45658</v>
      </c>
      <c r="E4535" s="6" t="s">
        <v>14</v>
      </c>
      <c r="F4535" s="7">
        <v>2340</v>
      </c>
      <c r="G4535" s="7">
        <v>290249.95726495731</v>
      </c>
      <c r="H4535" s="7">
        <v>679184900</v>
      </c>
      <c r="I4535" s="7">
        <v>28575900</v>
      </c>
      <c r="J4535" s="7">
        <v>0</v>
      </c>
      <c r="K4535">
        <f t="shared" si="70"/>
        <v>0</v>
      </c>
      <c r="L4535" s="8" t="str" cm="1">
        <f t="array" ref="L4535">_xlfn.IFS(
 AND(K4535&gt;=89,K4535&lt;=92),"3개월",
 AND(K4535&gt;=58,K4535&lt;=62),"2개월",
 AND(K4535&gt;=28,K4535&lt;=32),"1개월",
 AND(K4535=0),"당월",
 TRUE,"그외"
)</f>
        <v>당월</v>
      </c>
    </row>
    <row r="4536" spans="1:12" x14ac:dyDescent="0.3">
      <c r="A4536" s="5">
        <v>45658</v>
      </c>
      <c r="B4536" s="6" t="s">
        <v>60</v>
      </c>
      <c r="C4536" s="6" t="s">
        <v>66</v>
      </c>
      <c r="D4536" s="5">
        <v>45658</v>
      </c>
      <c r="E4536" s="6" t="s">
        <v>15</v>
      </c>
      <c r="F4536" s="7">
        <v>999</v>
      </c>
      <c r="G4536" s="7">
        <v>305036.46246246248</v>
      </c>
      <c r="H4536" s="7">
        <v>304731426</v>
      </c>
      <c r="I4536" s="7">
        <v>32030695</v>
      </c>
      <c r="J4536" s="7">
        <v>0</v>
      </c>
      <c r="K4536">
        <f t="shared" si="70"/>
        <v>0</v>
      </c>
      <c r="L4536" s="8" t="str" cm="1">
        <f t="array" ref="L4536">_xlfn.IFS(
 AND(K4536&gt;=89,K4536&lt;=92),"3개월",
 AND(K4536&gt;=58,K4536&lt;=62),"2개월",
 AND(K4536&gt;=28,K4536&lt;=32),"1개월",
 AND(K4536=0),"당월",
 TRUE,"그외"
)</f>
        <v>당월</v>
      </c>
    </row>
    <row r="4537" spans="1:12" x14ac:dyDescent="0.3">
      <c r="A4537" s="5">
        <v>45658</v>
      </c>
      <c r="B4537" s="6" t="s">
        <v>60</v>
      </c>
      <c r="C4537" s="6" t="s">
        <v>67</v>
      </c>
      <c r="D4537" s="5">
        <v>45536</v>
      </c>
      <c r="E4537" s="6" t="s">
        <v>15</v>
      </c>
      <c r="F4537" s="7">
        <v>402</v>
      </c>
      <c r="G4537" s="7">
        <v>279271.07960199012</v>
      </c>
      <c r="H4537" s="7">
        <v>112266974</v>
      </c>
      <c r="I4537" s="7">
        <v>14485625</v>
      </c>
      <c r="J4537" s="7">
        <v>0</v>
      </c>
      <c r="K4537">
        <f t="shared" si="70"/>
        <v>122</v>
      </c>
      <c r="L4537" s="8" t="str" cm="1">
        <f t="array" ref="L4537">_xlfn.IFS(
 AND(K4537&gt;=89,K4537&lt;=92),"3개월",
 AND(K4537&gt;=58,K4537&lt;=62),"2개월",
 AND(K4537&gt;=28,K4537&lt;=32),"1개월",
 AND(K4537=0),"당월",
 TRUE,"그외"
)</f>
        <v>그외</v>
      </c>
    </row>
    <row r="4538" spans="1:12" x14ac:dyDescent="0.3">
      <c r="A4538" s="5">
        <v>45658</v>
      </c>
      <c r="B4538" s="6" t="s">
        <v>60</v>
      </c>
      <c r="C4538" s="6" t="s">
        <v>67</v>
      </c>
      <c r="D4538" s="5">
        <v>45566</v>
      </c>
      <c r="E4538" s="6" t="s">
        <v>14</v>
      </c>
      <c r="F4538" s="7">
        <v>20</v>
      </c>
      <c r="G4538" s="7">
        <v>236400</v>
      </c>
      <c r="H4538" s="7">
        <v>4728000</v>
      </c>
      <c r="I4538" s="7">
        <v>508000</v>
      </c>
      <c r="J4538" s="7">
        <v>0</v>
      </c>
      <c r="K4538">
        <f t="shared" si="70"/>
        <v>92</v>
      </c>
      <c r="L4538" s="8" t="str" cm="1">
        <f t="array" ref="L4538">_xlfn.IFS(
 AND(K4538&gt;=89,K4538&lt;=92),"3개월",
 AND(K4538&gt;=58,K4538&lt;=62),"2개월",
 AND(K4538&gt;=28,K4538&lt;=32),"1개월",
 AND(K4538=0),"당월",
 TRUE,"그외"
)</f>
        <v>3개월</v>
      </c>
    </row>
    <row r="4539" spans="1:12" x14ac:dyDescent="0.3">
      <c r="A4539" s="5">
        <v>45658</v>
      </c>
      <c r="B4539" s="6" t="s">
        <v>60</v>
      </c>
      <c r="C4539" s="6" t="s">
        <v>67</v>
      </c>
      <c r="D4539" s="5">
        <v>45566</v>
      </c>
      <c r="E4539" s="6" t="s">
        <v>15</v>
      </c>
      <c r="F4539" s="7">
        <v>232</v>
      </c>
      <c r="G4539" s="7">
        <v>294395.82327586209</v>
      </c>
      <c r="H4539" s="7">
        <v>68299831</v>
      </c>
      <c r="I4539" s="7">
        <v>5681224</v>
      </c>
      <c r="J4539" s="7">
        <v>0</v>
      </c>
      <c r="K4539">
        <f t="shared" si="70"/>
        <v>92</v>
      </c>
      <c r="L4539" s="8" t="str" cm="1">
        <f t="array" ref="L4539">_xlfn.IFS(
 AND(K4539&gt;=89,K4539&lt;=92),"3개월",
 AND(K4539&gt;=58,K4539&lt;=62),"2개월",
 AND(K4539&gt;=28,K4539&lt;=32),"1개월",
 AND(K4539=0),"당월",
 TRUE,"그외"
)</f>
        <v>3개월</v>
      </c>
    </row>
    <row r="4540" spans="1:12" x14ac:dyDescent="0.3">
      <c r="A4540" s="5">
        <v>45658</v>
      </c>
      <c r="B4540" s="6" t="s">
        <v>60</v>
      </c>
      <c r="C4540" s="6" t="s">
        <v>67</v>
      </c>
      <c r="D4540" s="5">
        <v>45597</v>
      </c>
      <c r="E4540" s="6" t="s">
        <v>14</v>
      </c>
      <c r="F4540" s="7">
        <v>654</v>
      </c>
      <c r="G4540" s="7">
        <v>279571.25382262998</v>
      </c>
      <c r="H4540" s="7">
        <v>182839600</v>
      </c>
      <c r="I4540" s="7">
        <v>16611600</v>
      </c>
      <c r="J4540" s="7">
        <v>0</v>
      </c>
      <c r="K4540">
        <f t="shared" si="70"/>
        <v>61</v>
      </c>
      <c r="L4540" s="8" t="str" cm="1">
        <f t="array" ref="L4540">_xlfn.IFS(
 AND(K4540&gt;=89,K4540&lt;=92),"3개월",
 AND(K4540&gt;=58,K4540&lt;=62),"2개월",
 AND(K4540&gt;=28,K4540&lt;=32),"1개월",
 AND(K4540=0),"당월",
 TRUE,"그외"
)</f>
        <v>2개월</v>
      </c>
    </row>
    <row r="4541" spans="1:12" x14ac:dyDescent="0.3">
      <c r="A4541" s="5">
        <v>45658</v>
      </c>
      <c r="B4541" s="6" t="s">
        <v>60</v>
      </c>
      <c r="C4541" s="6" t="s">
        <v>67</v>
      </c>
      <c r="D4541" s="5">
        <v>45597</v>
      </c>
      <c r="E4541" s="6" t="s">
        <v>15</v>
      </c>
      <c r="F4541" s="7">
        <v>385</v>
      </c>
      <c r="G4541" s="7">
        <v>331536.76623376622</v>
      </c>
      <c r="H4541" s="7">
        <v>127641655</v>
      </c>
      <c r="I4541" s="7">
        <v>8938887</v>
      </c>
      <c r="J4541" s="7">
        <v>0</v>
      </c>
      <c r="K4541">
        <f t="shared" si="70"/>
        <v>61</v>
      </c>
      <c r="L4541" s="8" t="str" cm="1">
        <f t="array" ref="L4541">_xlfn.IFS(
 AND(K4541&gt;=89,K4541&lt;=92),"3개월",
 AND(K4541&gt;=58,K4541&lt;=62),"2개월",
 AND(K4541&gt;=28,K4541&lt;=32),"1개월",
 AND(K4541=0),"당월",
 TRUE,"그외"
)</f>
        <v>2개월</v>
      </c>
    </row>
    <row r="4542" spans="1:12" x14ac:dyDescent="0.3">
      <c r="A4542" s="5">
        <v>45658</v>
      </c>
      <c r="B4542" s="6" t="s">
        <v>60</v>
      </c>
      <c r="C4542" s="6" t="s">
        <v>67</v>
      </c>
      <c r="D4542" s="5">
        <v>45627</v>
      </c>
      <c r="E4542" s="6" t="s">
        <v>14</v>
      </c>
      <c r="F4542" s="7">
        <v>1481</v>
      </c>
      <c r="G4542" s="7">
        <v>589254.08507765026</v>
      </c>
      <c r="H4542" s="7">
        <v>872685300</v>
      </c>
      <c r="I4542" s="7">
        <v>43391300</v>
      </c>
      <c r="J4542" s="7">
        <v>0</v>
      </c>
      <c r="K4542">
        <f t="shared" si="70"/>
        <v>31</v>
      </c>
      <c r="L4542" s="8" t="str" cm="1">
        <f t="array" ref="L4542">_xlfn.IFS(
 AND(K4542&gt;=89,K4542&lt;=92),"3개월",
 AND(K4542&gt;=58,K4542&lt;=62),"2개월",
 AND(K4542&gt;=28,K4542&lt;=32),"1개월",
 AND(K4542=0),"당월",
 TRUE,"그외"
)</f>
        <v>1개월</v>
      </c>
    </row>
    <row r="4543" spans="1:12" x14ac:dyDescent="0.3">
      <c r="A4543" s="5">
        <v>45658</v>
      </c>
      <c r="B4543" s="6" t="s">
        <v>60</v>
      </c>
      <c r="C4543" s="6" t="s">
        <v>67</v>
      </c>
      <c r="D4543" s="5">
        <v>45627</v>
      </c>
      <c r="E4543" s="6" t="s">
        <v>15</v>
      </c>
      <c r="F4543" s="7">
        <v>3589</v>
      </c>
      <c r="G4543" s="7">
        <v>256406.91501811091</v>
      </c>
      <c r="H4543" s="7">
        <v>920244418</v>
      </c>
      <c r="I4543" s="7">
        <v>109203470</v>
      </c>
      <c r="J4543" s="7">
        <v>0</v>
      </c>
      <c r="K4543">
        <f t="shared" si="70"/>
        <v>31</v>
      </c>
      <c r="L4543" s="8" t="str" cm="1">
        <f t="array" ref="L4543">_xlfn.IFS(
 AND(K4543&gt;=89,K4543&lt;=92),"3개월",
 AND(K4543&gt;=58,K4543&lt;=62),"2개월",
 AND(K4543&gt;=28,K4543&lt;=32),"1개월",
 AND(K4543=0),"당월",
 TRUE,"그외"
)</f>
        <v>1개월</v>
      </c>
    </row>
    <row r="4544" spans="1:12" x14ac:dyDescent="0.3">
      <c r="A4544" s="5">
        <v>45658</v>
      </c>
      <c r="B4544" s="6" t="s">
        <v>60</v>
      </c>
      <c r="C4544" s="6" t="s">
        <v>67</v>
      </c>
      <c r="D4544" s="5">
        <v>45658</v>
      </c>
      <c r="E4544" s="6" t="s">
        <v>14</v>
      </c>
      <c r="F4544" s="7">
        <v>2442</v>
      </c>
      <c r="G4544" s="7">
        <v>72514.168714168714</v>
      </c>
      <c r="H4544" s="7">
        <v>177079600</v>
      </c>
      <c r="I4544" s="7">
        <v>75675600</v>
      </c>
      <c r="J4544" s="7">
        <v>0</v>
      </c>
      <c r="K4544">
        <f t="shared" si="70"/>
        <v>0</v>
      </c>
      <c r="L4544" s="8" t="str" cm="1">
        <f t="array" ref="L4544">_xlfn.IFS(
 AND(K4544&gt;=89,K4544&lt;=92),"3개월",
 AND(K4544&gt;=58,K4544&lt;=62),"2개월",
 AND(K4544&gt;=28,K4544&lt;=32),"1개월",
 AND(K4544=0),"당월",
 TRUE,"그외"
)</f>
        <v>당월</v>
      </c>
    </row>
    <row r="4545" spans="1:12" x14ac:dyDescent="0.3">
      <c r="A4545" s="5">
        <v>45658</v>
      </c>
      <c r="B4545" s="6" t="s">
        <v>60</v>
      </c>
      <c r="C4545" s="6" t="s">
        <v>67</v>
      </c>
      <c r="D4545" s="5">
        <v>45658</v>
      </c>
      <c r="E4545" s="6" t="s">
        <v>15</v>
      </c>
      <c r="F4545" s="7">
        <v>1248</v>
      </c>
      <c r="G4545" s="7">
        <v>252309.52804487181</v>
      </c>
      <c r="H4545" s="7">
        <v>314882291</v>
      </c>
      <c r="I4545" s="7">
        <v>39161933</v>
      </c>
      <c r="J4545" s="7">
        <v>0</v>
      </c>
      <c r="K4545">
        <f t="shared" si="70"/>
        <v>0</v>
      </c>
      <c r="L4545" s="8" t="str" cm="1">
        <f t="array" ref="L4545">_xlfn.IFS(
 AND(K4545&gt;=89,K4545&lt;=92),"3개월",
 AND(K4545&gt;=58,K4545&lt;=62),"2개월",
 AND(K4545&gt;=28,K4545&lt;=32),"1개월",
 AND(K4545=0),"당월",
 TRUE,"그외"
)</f>
        <v>당월</v>
      </c>
    </row>
    <row r="4546" spans="1:12" x14ac:dyDescent="0.3">
      <c r="A4546" s="5">
        <v>45658</v>
      </c>
      <c r="B4546" s="6" t="s">
        <v>60</v>
      </c>
      <c r="C4546" s="6" t="s">
        <v>68</v>
      </c>
      <c r="D4546" s="5">
        <v>45505</v>
      </c>
      <c r="E4546" s="6" t="s">
        <v>14</v>
      </c>
      <c r="F4546" s="7">
        <v>48</v>
      </c>
      <c r="G4546" s="7">
        <v>245933.33333333331</v>
      </c>
      <c r="H4546" s="7">
        <v>11804800</v>
      </c>
      <c r="I4546" s="7">
        <v>1924800</v>
      </c>
      <c r="J4546" s="7">
        <v>0</v>
      </c>
      <c r="K4546">
        <f t="shared" si="70"/>
        <v>153</v>
      </c>
      <c r="L4546" s="8" t="str" cm="1">
        <f t="array" ref="L4546">_xlfn.IFS(
 AND(K4546&gt;=89,K4546&lt;=92),"3개월",
 AND(K4546&gt;=58,K4546&lt;=62),"2개월",
 AND(K4546&gt;=28,K4546&lt;=32),"1개월",
 AND(K4546=0),"당월",
 TRUE,"그외"
)</f>
        <v>그외</v>
      </c>
    </row>
    <row r="4547" spans="1:12" x14ac:dyDescent="0.3">
      <c r="A4547" s="5">
        <v>45658</v>
      </c>
      <c r="B4547" s="6" t="s">
        <v>60</v>
      </c>
      <c r="C4547" s="6" t="s">
        <v>68</v>
      </c>
      <c r="D4547" s="5">
        <v>45505</v>
      </c>
      <c r="E4547" s="6" t="s">
        <v>15</v>
      </c>
      <c r="F4547" s="7">
        <v>446</v>
      </c>
      <c r="G4547" s="7">
        <v>294217.48878923769</v>
      </c>
      <c r="H4547" s="7">
        <v>131221000</v>
      </c>
      <c r="I4547" s="7">
        <v>17884600</v>
      </c>
      <c r="J4547" s="7">
        <v>0</v>
      </c>
      <c r="K4547">
        <f t="shared" si="70"/>
        <v>153</v>
      </c>
      <c r="L4547" s="8" t="str" cm="1">
        <f t="array" ref="L4547">_xlfn.IFS(
 AND(K4547&gt;=89,K4547&lt;=92),"3개월",
 AND(K4547&gt;=58,K4547&lt;=62),"2개월",
 AND(K4547&gt;=28,K4547&lt;=32),"1개월",
 AND(K4547=0),"당월",
 TRUE,"그외"
)</f>
        <v>그외</v>
      </c>
    </row>
    <row r="4548" spans="1:12" x14ac:dyDescent="0.3">
      <c r="A4548" s="5">
        <v>45658</v>
      </c>
      <c r="B4548" s="6" t="s">
        <v>60</v>
      </c>
      <c r="C4548" s="6" t="s">
        <v>68</v>
      </c>
      <c r="D4548" s="5">
        <v>45536</v>
      </c>
      <c r="E4548" s="6" t="s">
        <v>14</v>
      </c>
      <c r="F4548" s="7">
        <v>235</v>
      </c>
      <c r="G4548" s="7">
        <v>246897.8723404255</v>
      </c>
      <c r="H4548" s="7">
        <v>58021000</v>
      </c>
      <c r="I4548" s="7">
        <v>8413000</v>
      </c>
      <c r="J4548" s="7">
        <v>0</v>
      </c>
      <c r="K4548">
        <f t="shared" si="70"/>
        <v>122</v>
      </c>
      <c r="L4548" s="8" t="str" cm="1">
        <f t="array" ref="L4548">_xlfn.IFS(
 AND(K4548&gt;=89,K4548&lt;=92),"3개월",
 AND(K4548&gt;=58,K4548&lt;=62),"2개월",
 AND(K4548&gt;=28,K4548&lt;=32),"1개월",
 AND(K4548=0),"당월",
 TRUE,"그외"
)</f>
        <v>그외</v>
      </c>
    </row>
    <row r="4549" spans="1:12" x14ac:dyDescent="0.3">
      <c r="A4549" s="5">
        <v>45658</v>
      </c>
      <c r="B4549" s="6" t="s">
        <v>60</v>
      </c>
      <c r="C4549" s="6" t="s">
        <v>68</v>
      </c>
      <c r="D4549" s="5">
        <v>45536</v>
      </c>
      <c r="E4549" s="6" t="s">
        <v>15</v>
      </c>
      <c r="F4549" s="7">
        <v>286</v>
      </c>
      <c r="G4549" s="7">
        <v>324786.71328671329</v>
      </c>
      <c r="H4549" s="7">
        <v>92889000</v>
      </c>
      <c r="I4549" s="7">
        <v>10238800</v>
      </c>
      <c r="J4549" s="7">
        <v>0</v>
      </c>
      <c r="K4549">
        <f t="shared" si="70"/>
        <v>122</v>
      </c>
      <c r="L4549" s="8" t="str" cm="1">
        <f t="array" ref="L4549">_xlfn.IFS(
 AND(K4549&gt;=89,K4549&lt;=92),"3개월",
 AND(K4549&gt;=58,K4549&lt;=62),"2개월",
 AND(K4549&gt;=28,K4549&lt;=32),"1개월",
 AND(K4549=0),"당월",
 TRUE,"그외"
)</f>
        <v>그외</v>
      </c>
    </row>
    <row r="4550" spans="1:12" x14ac:dyDescent="0.3">
      <c r="A4550" s="5">
        <v>45658</v>
      </c>
      <c r="B4550" s="6" t="s">
        <v>60</v>
      </c>
      <c r="C4550" s="6" t="s">
        <v>68</v>
      </c>
      <c r="D4550" s="5">
        <v>45566</v>
      </c>
      <c r="E4550" s="6" t="s">
        <v>14</v>
      </c>
      <c r="F4550" s="7">
        <v>596</v>
      </c>
      <c r="G4550" s="7">
        <v>239144.96644295301</v>
      </c>
      <c r="H4550" s="7">
        <v>142530400</v>
      </c>
      <c r="I4550" s="7">
        <v>15138400</v>
      </c>
      <c r="J4550" s="7">
        <v>0</v>
      </c>
      <c r="K4550">
        <f t="shared" si="70"/>
        <v>92</v>
      </c>
      <c r="L4550" s="8" t="str" cm="1">
        <f t="array" ref="L4550">_xlfn.IFS(
 AND(K4550&gt;=89,K4550&lt;=92),"3개월",
 AND(K4550&gt;=58,K4550&lt;=62),"2개월",
 AND(K4550&gt;=28,K4550&lt;=32),"1개월",
 AND(K4550=0),"당월",
 TRUE,"그외"
)</f>
        <v>3개월</v>
      </c>
    </row>
    <row r="4551" spans="1:12" x14ac:dyDescent="0.3">
      <c r="A4551" s="5">
        <v>45658</v>
      </c>
      <c r="B4551" s="6" t="s">
        <v>60</v>
      </c>
      <c r="C4551" s="6" t="s">
        <v>68</v>
      </c>
      <c r="D4551" s="5">
        <v>45566</v>
      </c>
      <c r="E4551" s="6" t="s">
        <v>15</v>
      </c>
      <c r="F4551" s="7">
        <v>652</v>
      </c>
      <c r="G4551" s="7">
        <v>344431.65490797552</v>
      </c>
      <c r="H4551" s="7">
        <v>224569439</v>
      </c>
      <c r="I4551" s="7">
        <v>16640092</v>
      </c>
      <c r="J4551" s="7">
        <v>0</v>
      </c>
      <c r="K4551">
        <f t="shared" si="70"/>
        <v>92</v>
      </c>
      <c r="L4551" s="8" t="str" cm="1">
        <f t="array" ref="L4551">_xlfn.IFS(
 AND(K4551&gt;=89,K4551&lt;=92),"3개월",
 AND(K4551&gt;=58,K4551&lt;=62),"2개월",
 AND(K4551&gt;=28,K4551&lt;=32),"1개월",
 AND(K4551=0),"당월",
 TRUE,"그외"
)</f>
        <v>3개월</v>
      </c>
    </row>
    <row r="4552" spans="1:12" x14ac:dyDescent="0.3">
      <c r="A4552" s="5">
        <v>45658</v>
      </c>
      <c r="B4552" s="6" t="s">
        <v>60</v>
      </c>
      <c r="C4552" s="6" t="s">
        <v>68</v>
      </c>
      <c r="D4552" s="5">
        <v>45597</v>
      </c>
      <c r="E4552" s="6" t="s">
        <v>14</v>
      </c>
      <c r="F4552" s="7">
        <v>2324</v>
      </c>
      <c r="G4552" s="7">
        <v>242158.17555938041</v>
      </c>
      <c r="H4552" s="7">
        <v>562775600</v>
      </c>
      <c r="I4552" s="7">
        <v>59029600</v>
      </c>
      <c r="J4552" s="7">
        <v>0</v>
      </c>
      <c r="K4552">
        <f t="shared" si="70"/>
        <v>61</v>
      </c>
      <c r="L4552" s="8" t="str" cm="1">
        <f t="array" ref="L4552">_xlfn.IFS(
 AND(K4552&gt;=89,K4552&lt;=92),"3개월",
 AND(K4552&gt;=58,K4552&lt;=62),"2개월",
 AND(K4552&gt;=28,K4552&lt;=32),"1개월",
 AND(K4552=0),"당월",
 TRUE,"그외"
)</f>
        <v>2개월</v>
      </c>
    </row>
    <row r="4553" spans="1:12" x14ac:dyDescent="0.3">
      <c r="A4553" s="5">
        <v>45658</v>
      </c>
      <c r="B4553" s="6" t="s">
        <v>60</v>
      </c>
      <c r="C4553" s="6" t="s">
        <v>68</v>
      </c>
      <c r="D4553" s="5">
        <v>45597</v>
      </c>
      <c r="E4553" s="6" t="s">
        <v>15</v>
      </c>
      <c r="F4553" s="7">
        <v>838</v>
      </c>
      <c r="G4553" s="7">
        <v>374122.06324582337</v>
      </c>
      <c r="H4553" s="7">
        <v>313514289</v>
      </c>
      <c r="I4553" s="7">
        <v>21378965</v>
      </c>
      <c r="J4553" s="7">
        <v>0</v>
      </c>
      <c r="K4553">
        <f t="shared" si="70"/>
        <v>61</v>
      </c>
      <c r="L4553" s="8" t="str" cm="1">
        <f t="array" ref="L4553">_xlfn.IFS(
 AND(K4553&gt;=89,K4553&lt;=92),"3개월",
 AND(K4553&gt;=58,K4553&lt;=62),"2개월",
 AND(K4553&gt;=28,K4553&lt;=32),"1개월",
 AND(K4553=0),"당월",
 TRUE,"그외"
)</f>
        <v>2개월</v>
      </c>
    </row>
    <row r="4554" spans="1:12" x14ac:dyDescent="0.3">
      <c r="A4554" s="5">
        <v>45658</v>
      </c>
      <c r="B4554" s="6" t="s">
        <v>60</v>
      </c>
      <c r="C4554" s="6" t="s">
        <v>68</v>
      </c>
      <c r="D4554" s="5">
        <v>45627</v>
      </c>
      <c r="E4554" s="6" t="s">
        <v>14</v>
      </c>
      <c r="F4554" s="7">
        <v>1028</v>
      </c>
      <c r="G4554" s="7">
        <v>265018.38521400781</v>
      </c>
      <c r="H4554" s="7">
        <v>272438900</v>
      </c>
      <c r="I4554" s="7">
        <v>31346900</v>
      </c>
      <c r="J4554" s="7">
        <v>0</v>
      </c>
      <c r="K4554">
        <f t="shared" ref="K4554:K4617" si="71">A4554-D4554</f>
        <v>31</v>
      </c>
      <c r="L4554" s="8" t="str" cm="1">
        <f t="array" ref="L4554">_xlfn.IFS(
 AND(K4554&gt;=89,K4554&lt;=92),"3개월",
 AND(K4554&gt;=58,K4554&lt;=62),"2개월",
 AND(K4554&gt;=28,K4554&lt;=32),"1개월",
 AND(K4554=0),"당월",
 TRUE,"그외"
)</f>
        <v>1개월</v>
      </c>
    </row>
    <row r="4555" spans="1:12" x14ac:dyDescent="0.3">
      <c r="A4555" s="5">
        <v>45658</v>
      </c>
      <c r="B4555" s="6" t="s">
        <v>60</v>
      </c>
      <c r="C4555" s="6" t="s">
        <v>68</v>
      </c>
      <c r="D4555" s="5">
        <v>45627</v>
      </c>
      <c r="E4555" s="6" t="s">
        <v>15</v>
      </c>
      <c r="F4555" s="7">
        <v>1754</v>
      </c>
      <c r="G4555" s="7">
        <v>314636.4407069555</v>
      </c>
      <c r="H4555" s="7">
        <v>551872317</v>
      </c>
      <c r="I4555" s="7">
        <v>53491317</v>
      </c>
      <c r="J4555" s="7">
        <v>0</v>
      </c>
      <c r="K4555">
        <f t="shared" si="71"/>
        <v>31</v>
      </c>
      <c r="L4555" s="8" t="str" cm="1">
        <f t="array" ref="L4555">_xlfn.IFS(
 AND(K4555&gt;=89,K4555&lt;=92),"3개월",
 AND(K4555&gt;=58,K4555&lt;=62),"2개월",
 AND(K4555&gt;=28,K4555&lt;=32),"1개월",
 AND(K4555=0),"당월",
 TRUE,"그외"
)</f>
        <v>1개월</v>
      </c>
    </row>
    <row r="4556" spans="1:12" x14ac:dyDescent="0.3">
      <c r="A4556" s="5">
        <v>45658</v>
      </c>
      <c r="B4556" s="6" t="s">
        <v>60</v>
      </c>
      <c r="C4556" s="6" t="s">
        <v>68</v>
      </c>
      <c r="D4556" s="5">
        <v>45658</v>
      </c>
      <c r="E4556" s="6" t="s">
        <v>14</v>
      </c>
      <c r="F4556" s="7">
        <v>374</v>
      </c>
      <c r="G4556" s="7">
        <v>319728.3422459893</v>
      </c>
      <c r="H4556" s="7">
        <v>119578400</v>
      </c>
      <c r="I4556" s="7">
        <v>11560400</v>
      </c>
      <c r="J4556" s="7">
        <v>0</v>
      </c>
      <c r="K4556">
        <f t="shared" si="71"/>
        <v>0</v>
      </c>
      <c r="L4556" s="8" t="str" cm="1">
        <f t="array" ref="L4556">_xlfn.IFS(
 AND(K4556&gt;=89,K4556&lt;=92),"3개월",
 AND(K4556&gt;=58,K4556&lt;=62),"2개월",
 AND(K4556&gt;=28,K4556&lt;=32),"1개월",
 AND(K4556=0),"당월",
 TRUE,"그외"
)</f>
        <v>당월</v>
      </c>
    </row>
    <row r="4557" spans="1:12" x14ac:dyDescent="0.3">
      <c r="A4557" s="5">
        <v>45658</v>
      </c>
      <c r="B4557" s="6" t="s">
        <v>60</v>
      </c>
      <c r="C4557" s="6" t="s">
        <v>68</v>
      </c>
      <c r="D4557" s="5">
        <v>45658</v>
      </c>
      <c r="E4557" s="6" t="s">
        <v>15</v>
      </c>
      <c r="F4557" s="7">
        <v>1349</v>
      </c>
      <c r="G4557" s="7">
        <v>284273.42920681991</v>
      </c>
      <c r="H4557" s="7">
        <v>383484856</v>
      </c>
      <c r="I4557" s="7">
        <v>42177390</v>
      </c>
      <c r="J4557" s="7">
        <v>0</v>
      </c>
      <c r="K4557">
        <f t="shared" si="71"/>
        <v>0</v>
      </c>
      <c r="L4557" s="8" t="str" cm="1">
        <f t="array" ref="L4557">_xlfn.IFS(
 AND(K4557&gt;=89,K4557&lt;=92),"3개월",
 AND(K4557&gt;=58,K4557&lt;=62),"2개월",
 AND(K4557&gt;=28,K4557&lt;=32),"1개월",
 AND(K4557=0),"당월",
 TRUE,"그외"
)</f>
        <v>당월</v>
      </c>
    </row>
    <row r="4558" spans="1:12" x14ac:dyDescent="0.3">
      <c r="A4558" s="5">
        <v>45658</v>
      </c>
      <c r="B4558" s="6" t="s">
        <v>60</v>
      </c>
      <c r="C4558" s="6" t="s">
        <v>69</v>
      </c>
      <c r="D4558" s="5">
        <v>45505</v>
      </c>
      <c r="E4558" s="6" t="s">
        <v>15</v>
      </c>
      <c r="F4558" s="7">
        <v>218</v>
      </c>
      <c r="G4558" s="7">
        <v>245559.69724770641</v>
      </c>
      <c r="H4558" s="7">
        <v>53532014</v>
      </c>
      <c r="I4558" s="7">
        <v>8736746</v>
      </c>
      <c r="J4558" s="7">
        <v>0</v>
      </c>
      <c r="K4558">
        <f t="shared" si="71"/>
        <v>153</v>
      </c>
      <c r="L4558" s="8" t="str" cm="1">
        <f t="array" ref="L4558">_xlfn.IFS(
 AND(K4558&gt;=89,K4558&lt;=92),"3개월",
 AND(K4558&gt;=58,K4558&lt;=62),"2개월",
 AND(K4558&gt;=28,K4558&lt;=32),"1개월",
 AND(K4558=0),"당월",
 TRUE,"그외"
)</f>
        <v>그외</v>
      </c>
    </row>
    <row r="4559" spans="1:12" x14ac:dyDescent="0.3">
      <c r="A4559" s="5">
        <v>45658</v>
      </c>
      <c r="B4559" s="6" t="s">
        <v>60</v>
      </c>
      <c r="C4559" s="6" t="s">
        <v>69</v>
      </c>
      <c r="D4559" s="5">
        <v>45536</v>
      </c>
      <c r="E4559" s="6" t="s">
        <v>15</v>
      </c>
      <c r="F4559" s="7">
        <v>142</v>
      </c>
      <c r="G4559" s="7">
        <v>310834.30985915492</v>
      </c>
      <c r="H4559" s="7">
        <v>44138472</v>
      </c>
      <c r="I4559" s="7">
        <v>5146744</v>
      </c>
      <c r="J4559" s="7">
        <v>0</v>
      </c>
      <c r="K4559">
        <f t="shared" si="71"/>
        <v>122</v>
      </c>
      <c r="L4559" s="8" t="str" cm="1">
        <f t="array" ref="L4559">_xlfn.IFS(
 AND(K4559&gt;=89,K4559&lt;=92),"3개월",
 AND(K4559&gt;=58,K4559&lt;=62),"2개월",
 AND(K4559&gt;=28,K4559&lt;=32),"1개월",
 AND(K4559=0),"당월",
 TRUE,"그외"
)</f>
        <v>그외</v>
      </c>
    </row>
    <row r="4560" spans="1:12" x14ac:dyDescent="0.3">
      <c r="A4560" s="5">
        <v>45658</v>
      </c>
      <c r="B4560" s="6" t="s">
        <v>60</v>
      </c>
      <c r="C4560" s="6" t="s">
        <v>69</v>
      </c>
      <c r="D4560" s="5">
        <v>45566</v>
      </c>
      <c r="E4560" s="6" t="s">
        <v>14</v>
      </c>
      <c r="F4560" s="7">
        <v>16</v>
      </c>
      <c r="G4560" s="7">
        <v>275400</v>
      </c>
      <c r="H4560" s="7">
        <v>4406400</v>
      </c>
      <c r="I4560" s="7">
        <v>406400</v>
      </c>
      <c r="J4560" s="7">
        <v>0</v>
      </c>
      <c r="K4560">
        <f t="shared" si="71"/>
        <v>92</v>
      </c>
      <c r="L4560" s="8" t="str" cm="1">
        <f t="array" ref="L4560">_xlfn.IFS(
 AND(K4560&gt;=89,K4560&lt;=92),"3개월",
 AND(K4560&gt;=58,K4560&lt;=62),"2개월",
 AND(K4560&gt;=28,K4560&lt;=32),"1개월",
 AND(K4560=0),"당월",
 TRUE,"그외"
)</f>
        <v>3개월</v>
      </c>
    </row>
    <row r="4561" spans="1:12" x14ac:dyDescent="0.3">
      <c r="A4561" s="5">
        <v>45658</v>
      </c>
      <c r="B4561" s="6" t="s">
        <v>60</v>
      </c>
      <c r="C4561" s="6" t="s">
        <v>69</v>
      </c>
      <c r="D4561" s="5">
        <v>45566</v>
      </c>
      <c r="E4561" s="6" t="s">
        <v>15</v>
      </c>
      <c r="F4561" s="7">
        <v>221</v>
      </c>
      <c r="G4561" s="7">
        <v>314557.5248868778</v>
      </c>
      <c r="H4561" s="7">
        <v>69517213</v>
      </c>
      <c r="I4561" s="7">
        <v>5626466</v>
      </c>
      <c r="J4561" s="7">
        <v>0</v>
      </c>
      <c r="K4561">
        <f t="shared" si="71"/>
        <v>92</v>
      </c>
      <c r="L4561" s="8" t="str" cm="1">
        <f t="array" ref="L4561">_xlfn.IFS(
 AND(K4561&gt;=89,K4561&lt;=92),"3개월",
 AND(K4561&gt;=58,K4561&lt;=62),"2개월",
 AND(K4561&gt;=28,K4561&lt;=32),"1개월",
 AND(K4561=0),"당월",
 TRUE,"그외"
)</f>
        <v>3개월</v>
      </c>
    </row>
    <row r="4562" spans="1:12" x14ac:dyDescent="0.3">
      <c r="A4562" s="5">
        <v>45658</v>
      </c>
      <c r="B4562" s="6" t="s">
        <v>60</v>
      </c>
      <c r="C4562" s="6" t="s">
        <v>69</v>
      </c>
      <c r="D4562" s="5">
        <v>45597</v>
      </c>
      <c r="E4562" s="6" t="s">
        <v>14</v>
      </c>
      <c r="F4562" s="7">
        <v>553</v>
      </c>
      <c r="G4562" s="7">
        <v>269405.42495479202</v>
      </c>
      <c r="H4562" s="7">
        <v>148981200</v>
      </c>
      <c r="I4562" s="7">
        <v>14046200</v>
      </c>
      <c r="J4562" s="7">
        <v>0</v>
      </c>
      <c r="K4562">
        <f t="shared" si="71"/>
        <v>61</v>
      </c>
      <c r="L4562" s="8" t="str" cm="1">
        <f t="array" ref="L4562">_xlfn.IFS(
 AND(K4562&gt;=89,K4562&lt;=92),"3개월",
 AND(K4562&gt;=58,K4562&lt;=62),"2개월",
 AND(K4562&gt;=28,K4562&lt;=32),"1개월",
 AND(K4562=0),"당월",
 TRUE,"그외"
)</f>
        <v>2개월</v>
      </c>
    </row>
    <row r="4563" spans="1:12" x14ac:dyDescent="0.3">
      <c r="A4563" s="5">
        <v>45658</v>
      </c>
      <c r="B4563" s="6" t="s">
        <v>60</v>
      </c>
      <c r="C4563" s="6" t="s">
        <v>69</v>
      </c>
      <c r="D4563" s="5">
        <v>45597</v>
      </c>
      <c r="E4563" s="6" t="s">
        <v>15</v>
      </c>
      <c r="F4563" s="7">
        <v>1212</v>
      </c>
      <c r="G4563" s="7">
        <v>254766.34158415839</v>
      </c>
      <c r="H4563" s="7">
        <v>308776806</v>
      </c>
      <c r="I4563" s="7">
        <v>31167087</v>
      </c>
      <c r="J4563" s="7">
        <v>0</v>
      </c>
      <c r="K4563">
        <f t="shared" si="71"/>
        <v>61</v>
      </c>
      <c r="L4563" s="8" t="str" cm="1">
        <f t="array" ref="L4563">_xlfn.IFS(
 AND(K4563&gt;=89,K4563&lt;=92),"3개월",
 AND(K4563&gt;=58,K4563&lt;=62),"2개월",
 AND(K4563&gt;=28,K4563&lt;=32),"1개월",
 AND(K4563=0),"당월",
 TRUE,"그외"
)</f>
        <v>2개월</v>
      </c>
    </row>
    <row r="4564" spans="1:12" x14ac:dyDescent="0.3">
      <c r="A4564" s="5">
        <v>45658</v>
      </c>
      <c r="B4564" s="6" t="s">
        <v>60</v>
      </c>
      <c r="C4564" s="6" t="s">
        <v>69</v>
      </c>
      <c r="D4564" s="5">
        <v>45627</v>
      </c>
      <c r="E4564" s="6" t="s">
        <v>14</v>
      </c>
      <c r="F4564" s="7">
        <v>2157</v>
      </c>
      <c r="G4564" s="7">
        <v>258161.5669911915</v>
      </c>
      <c r="H4564" s="7">
        <v>556854500</v>
      </c>
      <c r="I4564" s="7">
        <v>65788500</v>
      </c>
      <c r="J4564" s="7">
        <v>0</v>
      </c>
      <c r="K4564">
        <f t="shared" si="71"/>
        <v>31</v>
      </c>
      <c r="L4564" s="8" t="str" cm="1">
        <f t="array" ref="L4564">_xlfn.IFS(
 AND(K4564&gt;=89,K4564&lt;=92),"3개월",
 AND(K4564&gt;=58,K4564&lt;=62),"2개월",
 AND(K4564&gt;=28,K4564&lt;=32),"1개월",
 AND(K4564=0),"당월",
 TRUE,"그외"
)</f>
        <v>1개월</v>
      </c>
    </row>
    <row r="4565" spans="1:12" x14ac:dyDescent="0.3">
      <c r="A4565" s="5">
        <v>45658</v>
      </c>
      <c r="B4565" s="6" t="s">
        <v>60</v>
      </c>
      <c r="C4565" s="6" t="s">
        <v>69</v>
      </c>
      <c r="D4565" s="5">
        <v>45627</v>
      </c>
      <c r="E4565" s="6" t="s">
        <v>15</v>
      </c>
      <c r="F4565" s="7">
        <v>2398</v>
      </c>
      <c r="G4565" s="7">
        <v>255214.71768140121</v>
      </c>
      <c r="H4565" s="7">
        <v>612004893</v>
      </c>
      <c r="I4565" s="7">
        <v>73618686</v>
      </c>
      <c r="J4565" s="7">
        <v>0</v>
      </c>
      <c r="K4565">
        <f t="shared" si="71"/>
        <v>31</v>
      </c>
      <c r="L4565" s="8" t="str" cm="1">
        <f t="array" ref="L4565">_xlfn.IFS(
 AND(K4565&gt;=89,K4565&lt;=92),"3개월",
 AND(K4565&gt;=58,K4565&lt;=62),"2개월",
 AND(K4565&gt;=28,K4565&lt;=32),"1개월",
 AND(K4565=0),"당월",
 TRUE,"그외"
)</f>
        <v>1개월</v>
      </c>
    </row>
    <row r="4566" spans="1:12" x14ac:dyDescent="0.3">
      <c r="A4566" s="5">
        <v>45658</v>
      </c>
      <c r="B4566" s="6" t="s">
        <v>60</v>
      </c>
      <c r="C4566" s="6" t="s">
        <v>69</v>
      </c>
      <c r="D4566" s="5">
        <v>45658</v>
      </c>
      <c r="E4566" s="6" t="s">
        <v>14</v>
      </c>
      <c r="F4566" s="7">
        <v>1517</v>
      </c>
      <c r="G4566" s="7">
        <v>244409.4264996704</v>
      </c>
      <c r="H4566" s="7">
        <v>370769100</v>
      </c>
      <c r="I4566" s="7">
        <v>11261100</v>
      </c>
      <c r="J4566" s="7">
        <v>0</v>
      </c>
      <c r="K4566">
        <f t="shared" si="71"/>
        <v>0</v>
      </c>
      <c r="L4566" s="8" t="str" cm="1">
        <f t="array" ref="L4566">_xlfn.IFS(
 AND(K4566&gt;=89,K4566&lt;=92),"3개월",
 AND(K4566&gt;=58,K4566&lt;=62),"2개월",
 AND(K4566&gt;=28,K4566&lt;=32),"1개월",
 AND(K4566=0),"당월",
 TRUE,"그외"
)</f>
        <v>당월</v>
      </c>
    </row>
    <row r="4567" spans="1:12" x14ac:dyDescent="0.3">
      <c r="A4567" s="5">
        <v>45658</v>
      </c>
      <c r="B4567" s="6" t="s">
        <v>60</v>
      </c>
      <c r="C4567" s="6" t="s">
        <v>69</v>
      </c>
      <c r="D4567" s="5">
        <v>45658</v>
      </c>
      <c r="E4567" s="6" t="s">
        <v>15</v>
      </c>
      <c r="F4567" s="7">
        <v>1303</v>
      </c>
      <c r="G4567" s="7">
        <v>253376.03376822721</v>
      </c>
      <c r="H4567" s="7">
        <v>330148972</v>
      </c>
      <c r="I4567" s="7">
        <v>40126022</v>
      </c>
      <c r="J4567" s="7">
        <v>0</v>
      </c>
      <c r="K4567">
        <f t="shared" si="71"/>
        <v>0</v>
      </c>
      <c r="L4567" s="8" t="str" cm="1">
        <f t="array" ref="L4567">_xlfn.IFS(
 AND(K4567&gt;=89,K4567&lt;=92),"3개월",
 AND(K4567&gt;=58,K4567&lt;=62),"2개월",
 AND(K4567&gt;=28,K4567&lt;=32),"1개월",
 AND(K4567=0),"당월",
 TRUE,"그외"
)</f>
        <v>당월</v>
      </c>
    </row>
    <row r="4568" spans="1:12" x14ac:dyDescent="0.3">
      <c r="A4568" s="5">
        <v>45658</v>
      </c>
      <c r="B4568" s="6" t="s">
        <v>60</v>
      </c>
      <c r="C4568" s="6" t="s">
        <v>70</v>
      </c>
      <c r="D4568" s="5">
        <v>45505</v>
      </c>
      <c r="E4568" s="6" t="s">
        <v>15</v>
      </c>
      <c r="F4568" s="7">
        <v>158</v>
      </c>
      <c r="G4568" s="7">
        <v>210548.1012658228</v>
      </c>
      <c r="H4568" s="7">
        <v>33266600</v>
      </c>
      <c r="I4568" s="7">
        <v>6335800</v>
      </c>
      <c r="J4568" s="7">
        <v>0</v>
      </c>
      <c r="K4568">
        <f t="shared" si="71"/>
        <v>153</v>
      </c>
      <c r="L4568" s="8" t="str" cm="1">
        <f t="array" ref="L4568">_xlfn.IFS(
 AND(K4568&gt;=89,K4568&lt;=92),"3개월",
 AND(K4568&gt;=58,K4568&lt;=62),"2개월",
 AND(K4568&gt;=28,K4568&lt;=32),"1개월",
 AND(K4568=0),"당월",
 TRUE,"그외"
)</f>
        <v>그외</v>
      </c>
    </row>
    <row r="4569" spans="1:12" x14ac:dyDescent="0.3">
      <c r="A4569" s="5">
        <v>45658</v>
      </c>
      <c r="B4569" s="6" t="s">
        <v>60</v>
      </c>
      <c r="C4569" s="6" t="s">
        <v>70</v>
      </c>
      <c r="D4569" s="5">
        <v>45536</v>
      </c>
      <c r="E4569" s="6" t="s">
        <v>14</v>
      </c>
      <c r="F4569" s="7">
        <v>10</v>
      </c>
      <c r="G4569" s="7">
        <v>266800</v>
      </c>
      <c r="H4569" s="7">
        <v>2668000</v>
      </c>
      <c r="I4569" s="7">
        <v>358000</v>
      </c>
      <c r="J4569" s="7">
        <v>0</v>
      </c>
      <c r="K4569">
        <f t="shared" si="71"/>
        <v>122</v>
      </c>
      <c r="L4569" s="8" t="str" cm="1">
        <f t="array" ref="L4569">_xlfn.IFS(
 AND(K4569&gt;=89,K4569&lt;=92),"3개월",
 AND(K4569&gt;=58,K4569&lt;=62),"2개월",
 AND(K4569&gt;=28,K4569&lt;=32),"1개월",
 AND(K4569=0),"당월",
 TRUE,"그외"
)</f>
        <v>그외</v>
      </c>
    </row>
    <row r="4570" spans="1:12" x14ac:dyDescent="0.3">
      <c r="A4570" s="5">
        <v>45658</v>
      </c>
      <c r="B4570" s="6" t="s">
        <v>60</v>
      </c>
      <c r="C4570" s="6" t="s">
        <v>70</v>
      </c>
      <c r="D4570" s="5">
        <v>45536</v>
      </c>
      <c r="E4570" s="6" t="s">
        <v>15</v>
      </c>
      <c r="F4570" s="7">
        <v>85</v>
      </c>
      <c r="G4570" s="7">
        <v>312711.76470588229</v>
      </c>
      <c r="H4570" s="7">
        <v>26580500</v>
      </c>
      <c r="I4570" s="7">
        <v>3043000</v>
      </c>
      <c r="J4570" s="7">
        <v>0</v>
      </c>
      <c r="K4570">
        <f t="shared" si="71"/>
        <v>122</v>
      </c>
      <c r="L4570" s="8" t="str" cm="1">
        <f t="array" ref="L4570">_xlfn.IFS(
 AND(K4570&gt;=89,K4570&lt;=92),"3개월",
 AND(K4570&gt;=58,K4570&lt;=62),"2개월",
 AND(K4570&gt;=28,K4570&lt;=32),"1개월",
 AND(K4570=0),"당월",
 TRUE,"그외"
)</f>
        <v>그외</v>
      </c>
    </row>
    <row r="4571" spans="1:12" x14ac:dyDescent="0.3">
      <c r="A4571" s="5">
        <v>45658</v>
      </c>
      <c r="B4571" s="6" t="s">
        <v>60</v>
      </c>
      <c r="C4571" s="6" t="s">
        <v>70</v>
      </c>
      <c r="D4571" s="5">
        <v>45566</v>
      </c>
      <c r="E4571" s="6" t="s">
        <v>14</v>
      </c>
      <c r="F4571" s="7">
        <v>98</v>
      </c>
      <c r="G4571" s="7">
        <v>310624.48979591829</v>
      </c>
      <c r="H4571" s="7">
        <v>30441200</v>
      </c>
      <c r="I4571" s="7">
        <v>2489200</v>
      </c>
      <c r="J4571" s="7">
        <v>0</v>
      </c>
      <c r="K4571">
        <f t="shared" si="71"/>
        <v>92</v>
      </c>
      <c r="L4571" s="8" t="str" cm="1">
        <f t="array" ref="L4571">_xlfn.IFS(
 AND(K4571&gt;=89,K4571&lt;=92),"3개월",
 AND(K4571&gt;=58,K4571&lt;=62),"2개월",
 AND(K4571&gt;=28,K4571&lt;=32),"1개월",
 AND(K4571=0),"당월",
 TRUE,"그외"
)</f>
        <v>3개월</v>
      </c>
    </row>
    <row r="4572" spans="1:12" x14ac:dyDescent="0.3">
      <c r="A4572" s="5">
        <v>45658</v>
      </c>
      <c r="B4572" s="6" t="s">
        <v>60</v>
      </c>
      <c r="C4572" s="6" t="s">
        <v>70</v>
      </c>
      <c r="D4572" s="5">
        <v>45566</v>
      </c>
      <c r="E4572" s="6" t="s">
        <v>15</v>
      </c>
      <c r="F4572" s="7">
        <v>396</v>
      </c>
      <c r="G4572" s="7">
        <v>279962.47727272729</v>
      </c>
      <c r="H4572" s="7">
        <v>110865141</v>
      </c>
      <c r="I4572" s="7">
        <v>10190639</v>
      </c>
      <c r="J4572" s="7">
        <v>0</v>
      </c>
      <c r="K4572">
        <f t="shared" si="71"/>
        <v>92</v>
      </c>
      <c r="L4572" s="8" t="str" cm="1">
        <f t="array" ref="L4572">_xlfn.IFS(
 AND(K4572&gt;=89,K4572&lt;=92),"3개월",
 AND(K4572&gt;=58,K4572&lt;=62),"2개월",
 AND(K4572&gt;=28,K4572&lt;=32),"1개월",
 AND(K4572=0),"당월",
 TRUE,"그외"
)</f>
        <v>3개월</v>
      </c>
    </row>
    <row r="4573" spans="1:12" x14ac:dyDescent="0.3">
      <c r="A4573" s="5">
        <v>45658</v>
      </c>
      <c r="B4573" s="6" t="s">
        <v>60</v>
      </c>
      <c r="C4573" s="6" t="s">
        <v>70</v>
      </c>
      <c r="D4573" s="5">
        <v>45597</v>
      </c>
      <c r="E4573" s="6" t="s">
        <v>14</v>
      </c>
      <c r="F4573" s="7">
        <v>888</v>
      </c>
      <c r="G4573" s="7">
        <v>206984.90990990991</v>
      </c>
      <c r="H4573" s="7">
        <v>183802600</v>
      </c>
      <c r="I4573" s="7">
        <v>22565600</v>
      </c>
      <c r="J4573" s="7">
        <v>0</v>
      </c>
      <c r="K4573">
        <f t="shared" si="71"/>
        <v>61</v>
      </c>
      <c r="L4573" s="8" t="str" cm="1">
        <f t="array" ref="L4573">_xlfn.IFS(
 AND(K4573&gt;=89,K4573&lt;=92),"3개월",
 AND(K4573&gt;=58,K4573&lt;=62),"2개월",
 AND(K4573&gt;=28,K4573&lt;=32),"1개월",
 AND(K4573=0),"당월",
 TRUE,"그외"
)</f>
        <v>2개월</v>
      </c>
    </row>
    <row r="4574" spans="1:12" x14ac:dyDescent="0.3">
      <c r="A4574" s="5">
        <v>45658</v>
      </c>
      <c r="B4574" s="6" t="s">
        <v>60</v>
      </c>
      <c r="C4574" s="6" t="s">
        <v>70</v>
      </c>
      <c r="D4574" s="5">
        <v>45597</v>
      </c>
      <c r="E4574" s="6" t="s">
        <v>15</v>
      </c>
      <c r="F4574" s="7">
        <v>1295</v>
      </c>
      <c r="G4574" s="7">
        <v>267723.3945945946</v>
      </c>
      <c r="H4574" s="7">
        <v>346701796</v>
      </c>
      <c r="I4574" s="7">
        <v>33141065</v>
      </c>
      <c r="J4574" s="7">
        <v>0</v>
      </c>
      <c r="K4574">
        <f t="shared" si="71"/>
        <v>61</v>
      </c>
      <c r="L4574" s="8" t="str" cm="1">
        <f t="array" ref="L4574">_xlfn.IFS(
 AND(K4574&gt;=89,K4574&lt;=92),"3개월",
 AND(K4574&gt;=58,K4574&lt;=62),"2개월",
 AND(K4574&gt;=28,K4574&lt;=32),"1개월",
 AND(K4574=0),"당월",
 TRUE,"그외"
)</f>
        <v>2개월</v>
      </c>
    </row>
    <row r="4575" spans="1:12" x14ac:dyDescent="0.3">
      <c r="A4575" s="5">
        <v>45658</v>
      </c>
      <c r="B4575" s="6" t="s">
        <v>60</v>
      </c>
      <c r="C4575" s="6" t="s">
        <v>70</v>
      </c>
      <c r="D4575" s="5">
        <v>45627</v>
      </c>
      <c r="E4575" s="6" t="s">
        <v>14</v>
      </c>
      <c r="F4575" s="7">
        <v>1556</v>
      </c>
      <c r="G4575" s="7">
        <v>214391.1311053985</v>
      </c>
      <c r="H4575" s="7">
        <v>333592600</v>
      </c>
      <c r="I4575" s="7">
        <v>47437600</v>
      </c>
      <c r="J4575" s="7">
        <v>0</v>
      </c>
      <c r="K4575">
        <f t="shared" si="71"/>
        <v>31</v>
      </c>
      <c r="L4575" s="8" t="str" cm="1">
        <f t="array" ref="L4575">_xlfn.IFS(
 AND(K4575&gt;=89,K4575&lt;=92),"3개월",
 AND(K4575&gt;=58,K4575&lt;=62),"2개월",
 AND(K4575&gt;=28,K4575&lt;=32),"1개월",
 AND(K4575=0),"당월",
 TRUE,"그외"
)</f>
        <v>1개월</v>
      </c>
    </row>
    <row r="4576" spans="1:12" x14ac:dyDescent="0.3">
      <c r="A4576" s="5">
        <v>45658</v>
      </c>
      <c r="B4576" s="6" t="s">
        <v>60</v>
      </c>
      <c r="C4576" s="6" t="s">
        <v>70</v>
      </c>
      <c r="D4576" s="5">
        <v>45627</v>
      </c>
      <c r="E4576" s="6" t="s">
        <v>15</v>
      </c>
      <c r="F4576" s="7">
        <v>1977</v>
      </c>
      <c r="G4576" s="7">
        <v>249643.3808801214</v>
      </c>
      <c r="H4576" s="7">
        <v>493544964</v>
      </c>
      <c r="I4576" s="7">
        <v>60409518</v>
      </c>
      <c r="J4576" s="7">
        <v>0</v>
      </c>
      <c r="K4576">
        <f t="shared" si="71"/>
        <v>31</v>
      </c>
      <c r="L4576" s="8" t="str" cm="1">
        <f t="array" ref="L4576">_xlfn.IFS(
 AND(K4576&gt;=89,K4576&lt;=92),"3개월",
 AND(K4576&gt;=58,K4576&lt;=62),"2개월",
 AND(K4576&gt;=28,K4576&lt;=32),"1개월",
 AND(K4576=0),"당월",
 TRUE,"그외"
)</f>
        <v>1개월</v>
      </c>
    </row>
    <row r="4577" spans="1:12" x14ac:dyDescent="0.3">
      <c r="A4577" s="5">
        <v>45658</v>
      </c>
      <c r="B4577" s="6" t="s">
        <v>60</v>
      </c>
      <c r="C4577" s="6" t="s">
        <v>70</v>
      </c>
      <c r="D4577" s="5">
        <v>45658</v>
      </c>
      <c r="E4577" s="6" t="s">
        <v>14</v>
      </c>
      <c r="F4577" s="7">
        <v>1504</v>
      </c>
      <c r="G4577" s="7">
        <v>270767.68617021269</v>
      </c>
      <c r="H4577" s="7">
        <v>407234600</v>
      </c>
      <c r="I4577" s="7">
        <v>12963600</v>
      </c>
      <c r="J4577" s="7">
        <v>0</v>
      </c>
      <c r="K4577">
        <f t="shared" si="71"/>
        <v>0</v>
      </c>
      <c r="L4577" s="8" t="str" cm="1">
        <f t="array" ref="L4577">_xlfn.IFS(
 AND(K4577&gt;=89,K4577&lt;=92),"3개월",
 AND(K4577&gt;=58,K4577&lt;=62),"2개월",
 AND(K4577&gt;=28,K4577&lt;=32),"1개월",
 AND(K4577=0),"당월",
 TRUE,"그외"
)</f>
        <v>당월</v>
      </c>
    </row>
    <row r="4578" spans="1:12" x14ac:dyDescent="0.3">
      <c r="A4578" s="5">
        <v>45658</v>
      </c>
      <c r="B4578" s="6" t="s">
        <v>60</v>
      </c>
      <c r="C4578" s="6" t="s">
        <v>70</v>
      </c>
      <c r="D4578" s="5">
        <v>45658</v>
      </c>
      <c r="E4578" s="6" t="s">
        <v>15</v>
      </c>
      <c r="F4578" s="7">
        <v>1458</v>
      </c>
      <c r="G4578" s="7">
        <v>252935.9602194787</v>
      </c>
      <c r="H4578" s="7">
        <v>368780630</v>
      </c>
      <c r="I4578" s="7">
        <v>45302173</v>
      </c>
      <c r="J4578" s="7">
        <v>0</v>
      </c>
      <c r="K4578">
        <f t="shared" si="71"/>
        <v>0</v>
      </c>
      <c r="L4578" s="8" t="str" cm="1">
        <f t="array" ref="L4578">_xlfn.IFS(
 AND(K4578&gt;=89,K4578&lt;=92),"3개월",
 AND(K4578&gt;=58,K4578&lt;=62),"2개월",
 AND(K4578&gt;=28,K4578&lt;=32),"1개월",
 AND(K4578=0),"당월",
 TRUE,"그외"
)</f>
        <v>당월</v>
      </c>
    </row>
    <row r="4579" spans="1:12" x14ac:dyDescent="0.3">
      <c r="A4579" s="5">
        <v>45658</v>
      </c>
      <c r="B4579" s="6" t="s">
        <v>60</v>
      </c>
      <c r="C4579" s="6" t="s">
        <v>112</v>
      </c>
      <c r="D4579" s="5">
        <v>45505</v>
      </c>
      <c r="E4579" s="6" t="s">
        <v>15</v>
      </c>
      <c r="F4579" s="7">
        <v>779</v>
      </c>
      <c r="G4579" s="7">
        <v>246901.763029525</v>
      </c>
      <c r="H4579" s="7">
        <v>192336473.40000001</v>
      </c>
      <c r="I4579" s="7">
        <v>32396810.399999999</v>
      </c>
      <c r="J4579" s="7">
        <v>0</v>
      </c>
      <c r="K4579">
        <f t="shared" si="71"/>
        <v>153</v>
      </c>
      <c r="L4579" s="8" t="str" cm="1">
        <f t="array" ref="L4579">_xlfn.IFS(
 AND(K4579&gt;=89,K4579&lt;=92),"3개월",
 AND(K4579&gt;=58,K4579&lt;=62),"2개월",
 AND(K4579&gt;=28,K4579&lt;=32),"1개월",
 AND(K4579=0),"당월",
 TRUE,"그외"
)</f>
        <v>그외</v>
      </c>
    </row>
    <row r="4580" spans="1:12" x14ac:dyDescent="0.3">
      <c r="A4580" s="5">
        <v>45658</v>
      </c>
      <c r="B4580" s="6" t="s">
        <v>60</v>
      </c>
      <c r="C4580" s="6" t="s">
        <v>112</v>
      </c>
      <c r="D4580" s="5">
        <v>45536</v>
      </c>
      <c r="E4580" s="6" t="s">
        <v>14</v>
      </c>
      <c r="F4580" s="7">
        <v>16</v>
      </c>
      <c r="G4580" s="7">
        <v>226800</v>
      </c>
      <c r="H4580" s="7">
        <v>3628800</v>
      </c>
      <c r="I4580" s="7">
        <v>572800</v>
      </c>
      <c r="J4580" s="7">
        <v>0</v>
      </c>
      <c r="K4580">
        <f t="shared" si="71"/>
        <v>122</v>
      </c>
      <c r="L4580" s="8" t="str" cm="1">
        <f t="array" ref="L4580">_xlfn.IFS(
 AND(K4580&gt;=89,K4580&lt;=92),"3개월",
 AND(K4580&gt;=58,K4580&lt;=62),"2개월",
 AND(K4580&gt;=28,K4580&lt;=32),"1개월",
 AND(K4580=0),"당월",
 TRUE,"그외"
)</f>
        <v>그외</v>
      </c>
    </row>
    <row r="4581" spans="1:12" x14ac:dyDescent="0.3">
      <c r="A4581" s="5">
        <v>45658</v>
      </c>
      <c r="B4581" s="6" t="s">
        <v>60</v>
      </c>
      <c r="C4581" s="6" t="s">
        <v>112</v>
      </c>
      <c r="D4581" s="5">
        <v>45536</v>
      </c>
      <c r="E4581" s="6" t="s">
        <v>15</v>
      </c>
      <c r="F4581" s="7">
        <v>508</v>
      </c>
      <c r="G4581" s="7">
        <v>288832.33464566933</v>
      </c>
      <c r="H4581" s="7">
        <v>146726826</v>
      </c>
      <c r="I4581" s="7">
        <v>20846190</v>
      </c>
      <c r="J4581" s="7">
        <v>0</v>
      </c>
      <c r="K4581">
        <f t="shared" si="71"/>
        <v>122</v>
      </c>
      <c r="L4581" s="8" t="str" cm="1">
        <f t="array" ref="L4581">_xlfn.IFS(
 AND(K4581&gt;=89,K4581&lt;=92),"3개월",
 AND(K4581&gt;=58,K4581&lt;=62),"2개월",
 AND(K4581&gt;=28,K4581&lt;=32),"1개월",
 AND(K4581=0),"당월",
 TRUE,"그외"
)</f>
        <v>그외</v>
      </c>
    </row>
    <row r="4582" spans="1:12" x14ac:dyDescent="0.3">
      <c r="A4582" s="5">
        <v>45658</v>
      </c>
      <c r="B4582" s="6" t="s">
        <v>60</v>
      </c>
      <c r="C4582" s="6" t="s">
        <v>112</v>
      </c>
      <c r="D4582" s="5">
        <v>45566</v>
      </c>
      <c r="E4582" s="6" t="s">
        <v>14</v>
      </c>
      <c r="F4582" s="7">
        <v>128</v>
      </c>
      <c r="G4582" s="7">
        <v>223071.875</v>
      </c>
      <c r="H4582" s="7">
        <v>28553200</v>
      </c>
      <c r="I4582" s="7">
        <v>3251200</v>
      </c>
      <c r="J4582" s="7">
        <v>0</v>
      </c>
      <c r="K4582">
        <f t="shared" si="71"/>
        <v>92</v>
      </c>
      <c r="L4582" s="8" t="str" cm="1">
        <f t="array" ref="L4582">_xlfn.IFS(
 AND(K4582&gt;=89,K4582&lt;=92),"3개월",
 AND(K4582&gt;=58,K4582&lt;=62),"2개월",
 AND(K4582&gt;=28,K4582&lt;=32),"1개월",
 AND(K4582=0),"당월",
 TRUE,"그외"
)</f>
        <v>3개월</v>
      </c>
    </row>
    <row r="4583" spans="1:12" x14ac:dyDescent="0.3">
      <c r="A4583" s="5">
        <v>45658</v>
      </c>
      <c r="B4583" s="6" t="s">
        <v>60</v>
      </c>
      <c r="C4583" s="6" t="s">
        <v>112</v>
      </c>
      <c r="D4583" s="5">
        <v>45566</v>
      </c>
      <c r="E4583" s="6" t="s">
        <v>15</v>
      </c>
      <c r="F4583" s="7">
        <v>729</v>
      </c>
      <c r="G4583" s="7">
        <v>281490.61042524013</v>
      </c>
      <c r="H4583" s="7">
        <v>205206655</v>
      </c>
      <c r="I4583" s="7">
        <v>22999417</v>
      </c>
      <c r="J4583" s="7">
        <v>0</v>
      </c>
      <c r="K4583">
        <f t="shared" si="71"/>
        <v>92</v>
      </c>
      <c r="L4583" s="8" t="str" cm="1">
        <f t="array" ref="L4583">_xlfn.IFS(
 AND(K4583&gt;=89,K4583&lt;=92),"3개월",
 AND(K4583&gt;=58,K4583&lt;=62),"2개월",
 AND(K4583&gt;=28,K4583&lt;=32),"1개월",
 AND(K4583=0),"당월",
 TRUE,"그외"
)</f>
        <v>3개월</v>
      </c>
    </row>
    <row r="4584" spans="1:12" x14ac:dyDescent="0.3">
      <c r="A4584" s="5">
        <v>45658</v>
      </c>
      <c r="B4584" s="6" t="s">
        <v>60</v>
      </c>
      <c r="C4584" s="6" t="s">
        <v>112</v>
      </c>
      <c r="D4584" s="5">
        <v>45597</v>
      </c>
      <c r="E4584" s="6" t="s">
        <v>14</v>
      </c>
      <c r="F4584" s="7">
        <v>1443</v>
      </c>
      <c r="G4584" s="7">
        <v>223560.77616077609</v>
      </c>
      <c r="H4584" s="7">
        <v>322598200</v>
      </c>
      <c r="I4584" s="7">
        <v>36652200</v>
      </c>
      <c r="J4584" s="7">
        <v>0</v>
      </c>
      <c r="K4584">
        <f t="shared" si="71"/>
        <v>61</v>
      </c>
      <c r="L4584" s="8" t="str" cm="1">
        <f t="array" ref="L4584">_xlfn.IFS(
 AND(K4584&gt;=89,K4584&lt;=92),"3개월",
 AND(K4584&gt;=58,K4584&lt;=62),"2개월",
 AND(K4584&gt;=28,K4584&lt;=32),"1개월",
 AND(K4584=0),"당월",
 TRUE,"그외"
)</f>
        <v>2개월</v>
      </c>
    </row>
    <row r="4585" spans="1:12" x14ac:dyDescent="0.3">
      <c r="A4585" s="5">
        <v>45658</v>
      </c>
      <c r="B4585" s="6" t="s">
        <v>60</v>
      </c>
      <c r="C4585" s="6" t="s">
        <v>112</v>
      </c>
      <c r="D4585" s="5">
        <v>45597</v>
      </c>
      <c r="E4585" s="6" t="s">
        <v>15</v>
      </c>
      <c r="F4585" s="7">
        <v>1868</v>
      </c>
      <c r="G4585" s="7">
        <v>259793.77034261241</v>
      </c>
      <c r="H4585" s="7">
        <v>485294763</v>
      </c>
      <c r="I4585" s="7">
        <v>53886146</v>
      </c>
      <c r="J4585" s="7">
        <v>0</v>
      </c>
      <c r="K4585">
        <f t="shared" si="71"/>
        <v>61</v>
      </c>
      <c r="L4585" s="8" t="str" cm="1">
        <f t="array" ref="L4585">_xlfn.IFS(
 AND(K4585&gt;=89,K4585&lt;=92),"3개월",
 AND(K4585&gt;=58,K4585&lt;=62),"2개월",
 AND(K4585&gt;=28,K4585&lt;=32),"1개월",
 AND(K4585=0),"당월",
 TRUE,"그외"
)</f>
        <v>2개월</v>
      </c>
    </row>
    <row r="4586" spans="1:12" x14ac:dyDescent="0.3">
      <c r="A4586" s="5">
        <v>45658</v>
      </c>
      <c r="B4586" s="6" t="s">
        <v>60</v>
      </c>
      <c r="C4586" s="6" t="s">
        <v>112</v>
      </c>
      <c r="D4586" s="5">
        <v>45627</v>
      </c>
      <c r="E4586" s="6" t="s">
        <v>14</v>
      </c>
      <c r="F4586" s="7">
        <v>966</v>
      </c>
      <c r="G4586" s="7">
        <v>394334.67908902687</v>
      </c>
      <c r="H4586" s="7">
        <v>380927300</v>
      </c>
      <c r="I4586" s="7">
        <v>27897300</v>
      </c>
      <c r="J4586" s="7">
        <v>0</v>
      </c>
      <c r="K4586">
        <f t="shared" si="71"/>
        <v>31</v>
      </c>
      <c r="L4586" s="8" t="str" cm="1">
        <f t="array" ref="L4586">_xlfn.IFS(
 AND(K4586&gt;=89,K4586&lt;=92),"3개월",
 AND(K4586&gt;=58,K4586&lt;=62),"2개월",
 AND(K4586&gt;=28,K4586&lt;=32),"1개월",
 AND(K4586=0),"당월",
 TRUE,"그외"
)</f>
        <v>1개월</v>
      </c>
    </row>
    <row r="4587" spans="1:12" x14ac:dyDescent="0.3">
      <c r="A4587" s="5">
        <v>45658</v>
      </c>
      <c r="B4587" s="6" t="s">
        <v>60</v>
      </c>
      <c r="C4587" s="6" t="s">
        <v>112</v>
      </c>
      <c r="D4587" s="5">
        <v>45627</v>
      </c>
      <c r="E4587" s="6" t="s">
        <v>15</v>
      </c>
      <c r="F4587" s="7">
        <v>1427</v>
      </c>
      <c r="G4587" s="7">
        <v>294888.79187105817</v>
      </c>
      <c r="H4587" s="7">
        <v>420806306</v>
      </c>
      <c r="I4587" s="7">
        <v>50807688</v>
      </c>
      <c r="J4587" s="7">
        <v>0</v>
      </c>
      <c r="K4587">
        <f t="shared" si="71"/>
        <v>31</v>
      </c>
      <c r="L4587" s="8" t="str" cm="1">
        <f t="array" ref="L4587">_xlfn.IFS(
 AND(K4587&gt;=89,K4587&lt;=92),"3개월",
 AND(K4587&gt;=58,K4587&lt;=62),"2개월",
 AND(K4587&gt;=28,K4587&lt;=32),"1개월",
 AND(K4587=0),"당월",
 TRUE,"그외"
)</f>
        <v>1개월</v>
      </c>
    </row>
    <row r="4588" spans="1:12" x14ac:dyDescent="0.3">
      <c r="A4588" s="5">
        <v>45658</v>
      </c>
      <c r="B4588" s="6" t="s">
        <v>60</v>
      </c>
      <c r="C4588" s="6" t="s">
        <v>112</v>
      </c>
      <c r="D4588" s="5">
        <v>45658</v>
      </c>
      <c r="E4588" s="6" t="s">
        <v>14</v>
      </c>
      <c r="F4588" s="7">
        <v>1166</v>
      </c>
      <c r="G4588" s="7">
        <v>131195.1972555746</v>
      </c>
      <c r="H4588" s="7">
        <v>152973600</v>
      </c>
      <c r="I4588" s="7">
        <v>35906600</v>
      </c>
      <c r="J4588" s="7">
        <v>0</v>
      </c>
      <c r="K4588">
        <f t="shared" si="71"/>
        <v>0</v>
      </c>
      <c r="L4588" s="8" t="str" cm="1">
        <f t="array" ref="L4588">_xlfn.IFS(
 AND(K4588&gt;=89,K4588&lt;=92),"3개월",
 AND(K4588&gt;=58,K4588&lt;=62),"2개월",
 AND(K4588&gt;=28,K4588&lt;=32),"1개월",
 AND(K4588=0),"당월",
 TRUE,"그외"
)</f>
        <v>당월</v>
      </c>
    </row>
    <row r="4589" spans="1:12" x14ac:dyDescent="0.3">
      <c r="A4589" s="5">
        <v>45658</v>
      </c>
      <c r="B4589" s="6" t="s">
        <v>60</v>
      </c>
      <c r="C4589" s="6" t="s">
        <v>112</v>
      </c>
      <c r="D4589" s="5">
        <v>45658</v>
      </c>
      <c r="E4589" s="6" t="s">
        <v>15</v>
      </c>
      <c r="F4589" s="7">
        <v>1217</v>
      </c>
      <c r="G4589" s="7">
        <v>272110.71815940842</v>
      </c>
      <c r="H4589" s="7">
        <v>331158744</v>
      </c>
      <c r="I4589" s="7">
        <v>43632029</v>
      </c>
      <c r="J4589" s="7">
        <v>0</v>
      </c>
      <c r="K4589">
        <f t="shared" si="71"/>
        <v>0</v>
      </c>
      <c r="L4589" s="8" t="str" cm="1">
        <f t="array" ref="L4589">_xlfn.IFS(
 AND(K4589&gt;=89,K4589&lt;=92),"3개월",
 AND(K4589&gt;=58,K4589&lt;=62),"2개월",
 AND(K4589&gt;=28,K4589&lt;=32),"1개월",
 AND(K4589=0),"당월",
 TRUE,"그외"
)</f>
        <v>당월</v>
      </c>
    </row>
    <row r="4590" spans="1:12" x14ac:dyDescent="0.3">
      <c r="A4590" s="5">
        <v>45658</v>
      </c>
      <c r="B4590" s="6" t="s">
        <v>60</v>
      </c>
      <c r="C4590" s="6" t="s">
        <v>114</v>
      </c>
      <c r="D4590" s="5">
        <v>45536</v>
      </c>
      <c r="E4590" s="6" t="s">
        <v>14</v>
      </c>
      <c r="F4590" s="7">
        <v>3</v>
      </c>
      <c r="G4590" s="7">
        <v>236800</v>
      </c>
      <c r="H4590" s="7">
        <v>710400</v>
      </c>
      <c r="I4590" s="7">
        <v>107400</v>
      </c>
      <c r="J4590" s="7">
        <v>0</v>
      </c>
      <c r="K4590">
        <f t="shared" si="71"/>
        <v>122</v>
      </c>
      <c r="L4590" s="8" t="str" cm="1">
        <f t="array" ref="L4590">_xlfn.IFS(
 AND(K4590&gt;=89,K4590&lt;=92),"3개월",
 AND(K4590&gt;=58,K4590&lt;=62),"2개월",
 AND(K4590&gt;=28,K4590&lt;=32),"1개월",
 AND(K4590=0),"당월",
 TRUE,"그외"
)</f>
        <v>그외</v>
      </c>
    </row>
    <row r="4591" spans="1:12" x14ac:dyDescent="0.3">
      <c r="A4591" s="5">
        <v>45658</v>
      </c>
      <c r="B4591" s="6" t="s">
        <v>60</v>
      </c>
      <c r="C4591" s="6" t="s">
        <v>114</v>
      </c>
      <c r="D4591" s="5">
        <v>45536</v>
      </c>
      <c r="E4591" s="6" t="s">
        <v>15</v>
      </c>
      <c r="F4591" s="7">
        <v>1515</v>
      </c>
      <c r="G4591" s="7">
        <v>252890.58349834979</v>
      </c>
      <c r="H4591" s="7">
        <v>383129234</v>
      </c>
      <c r="I4591" s="7">
        <v>52631715</v>
      </c>
      <c r="J4591" s="7">
        <v>0</v>
      </c>
      <c r="K4591">
        <f t="shared" si="71"/>
        <v>122</v>
      </c>
      <c r="L4591" s="8" t="str" cm="1">
        <f t="array" ref="L4591">_xlfn.IFS(
 AND(K4591&gt;=89,K4591&lt;=92),"3개월",
 AND(K4591&gt;=58,K4591&lt;=62),"2개월",
 AND(K4591&gt;=28,K4591&lt;=32),"1개월",
 AND(K4591=0),"당월",
 TRUE,"그외"
)</f>
        <v>그외</v>
      </c>
    </row>
    <row r="4592" spans="1:12" x14ac:dyDescent="0.3">
      <c r="A4592" s="5">
        <v>45658</v>
      </c>
      <c r="B4592" s="6" t="s">
        <v>60</v>
      </c>
      <c r="C4592" s="6" t="s">
        <v>114</v>
      </c>
      <c r="D4592" s="5">
        <v>45566</v>
      </c>
      <c r="E4592" s="6" t="s">
        <v>14</v>
      </c>
      <c r="F4592" s="7">
        <v>30</v>
      </c>
      <c r="G4592" s="7">
        <v>235400</v>
      </c>
      <c r="H4592" s="7">
        <v>7062000</v>
      </c>
      <c r="I4592" s="7">
        <v>762000</v>
      </c>
      <c r="J4592" s="7">
        <v>0</v>
      </c>
      <c r="K4592">
        <f t="shared" si="71"/>
        <v>92</v>
      </c>
      <c r="L4592" s="8" t="str" cm="1">
        <f t="array" ref="L4592">_xlfn.IFS(
 AND(K4592&gt;=89,K4592&lt;=92),"3개월",
 AND(K4592&gt;=58,K4592&lt;=62),"2개월",
 AND(K4592&gt;=28,K4592&lt;=32),"1개월",
 AND(K4592=0),"당월",
 TRUE,"그외"
)</f>
        <v>3개월</v>
      </c>
    </row>
    <row r="4593" spans="1:12" x14ac:dyDescent="0.3">
      <c r="A4593" s="5">
        <v>45658</v>
      </c>
      <c r="B4593" s="6" t="s">
        <v>60</v>
      </c>
      <c r="C4593" s="6" t="s">
        <v>114</v>
      </c>
      <c r="D4593" s="5">
        <v>45566</v>
      </c>
      <c r="E4593" s="6" t="s">
        <v>15</v>
      </c>
      <c r="F4593" s="7">
        <v>1458</v>
      </c>
      <c r="G4593" s="7">
        <v>271952.07544581621</v>
      </c>
      <c r="H4593" s="7">
        <v>396506126</v>
      </c>
      <c r="I4593" s="7">
        <v>36206486</v>
      </c>
      <c r="J4593" s="7">
        <v>0</v>
      </c>
      <c r="K4593">
        <f t="shared" si="71"/>
        <v>92</v>
      </c>
      <c r="L4593" s="8" t="str" cm="1">
        <f t="array" ref="L4593">_xlfn.IFS(
 AND(K4593&gt;=89,K4593&lt;=92),"3개월",
 AND(K4593&gt;=58,K4593&lt;=62),"2개월",
 AND(K4593&gt;=28,K4593&lt;=32),"1개월",
 AND(K4593=0),"당월",
 TRUE,"그외"
)</f>
        <v>3개월</v>
      </c>
    </row>
    <row r="4594" spans="1:12" x14ac:dyDescent="0.3">
      <c r="A4594" s="5">
        <v>45658</v>
      </c>
      <c r="B4594" s="6" t="s">
        <v>60</v>
      </c>
      <c r="C4594" s="6" t="s">
        <v>114</v>
      </c>
      <c r="D4594" s="5">
        <v>45597</v>
      </c>
      <c r="E4594" s="6" t="s">
        <v>14</v>
      </c>
      <c r="F4594" s="7">
        <v>315</v>
      </c>
      <c r="G4594" s="7">
        <v>228269.8412698413</v>
      </c>
      <c r="H4594" s="7">
        <v>71905000</v>
      </c>
      <c r="I4594" s="7">
        <v>8001000</v>
      </c>
      <c r="J4594" s="7">
        <v>0</v>
      </c>
      <c r="K4594">
        <f t="shared" si="71"/>
        <v>61</v>
      </c>
      <c r="L4594" s="8" t="str" cm="1">
        <f t="array" ref="L4594">_xlfn.IFS(
 AND(K4594&gt;=89,K4594&lt;=92),"3개월",
 AND(K4594&gt;=58,K4594&lt;=62),"2개월",
 AND(K4594&gt;=28,K4594&lt;=32),"1개월",
 AND(K4594=0),"당월",
 TRUE,"그외"
)</f>
        <v>2개월</v>
      </c>
    </row>
    <row r="4595" spans="1:12" x14ac:dyDescent="0.3">
      <c r="A4595" s="5">
        <v>45658</v>
      </c>
      <c r="B4595" s="6" t="s">
        <v>60</v>
      </c>
      <c r="C4595" s="6" t="s">
        <v>114</v>
      </c>
      <c r="D4595" s="5">
        <v>45597</v>
      </c>
      <c r="E4595" s="6" t="s">
        <v>15</v>
      </c>
      <c r="F4595" s="7">
        <v>2384</v>
      </c>
      <c r="G4595" s="7">
        <v>302260.47021812078</v>
      </c>
      <c r="H4595" s="7">
        <v>720588961</v>
      </c>
      <c r="I4595" s="7">
        <v>59321986</v>
      </c>
      <c r="J4595" s="7">
        <v>0</v>
      </c>
      <c r="K4595">
        <f t="shared" si="71"/>
        <v>61</v>
      </c>
      <c r="L4595" s="8" t="str" cm="1">
        <f t="array" ref="L4595">_xlfn.IFS(
 AND(K4595&gt;=89,K4595&lt;=92),"3개월",
 AND(K4595&gt;=58,K4595&lt;=62),"2개월",
 AND(K4595&gt;=28,K4595&lt;=32),"1개월",
 AND(K4595=0),"당월",
 TRUE,"그외"
)</f>
        <v>2개월</v>
      </c>
    </row>
    <row r="4596" spans="1:12" x14ac:dyDescent="0.3">
      <c r="A4596" s="5">
        <v>45658</v>
      </c>
      <c r="B4596" s="6" t="s">
        <v>60</v>
      </c>
      <c r="C4596" s="6" t="s">
        <v>114</v>
      </c>
      <c r="D4596" s="5">
        <v>45627</v>
      </c>
      <c r="E4596" s="6" t="s">
        <v>14</v>
      </c>
      <c r="F4596" s="7">
        <v>653</v>
      </c>
      <c r="G4596" s="7">
        <v>233905.81929555899</v>
      </c>
      <c r="H4596" s="7">
        <v>152740500</v>
      </c>
      <c r="I4596" s="7">
        <v>19916500</v>
      </c>
      <c r="J4596" s="7">
        <v>0</v>
      </c>
      <c r="K4596">
        <f t="shared" si="71"/>
        <v>31</v>
      </c>
      <c r="L4596" s="8" t="str" cm="1">
        <f t="array" ref="L4596">_xlfn.IFS(
 AND(K4596&gt;=89,K4596&lt;=92),"3개월",
 AND(K4596&gt;=58,K4596&lt;=62),"2개월",
 AND(K4596&gt;=28,K4596&lt;=32),"1개월",
 AND(K4596=0),"당월",
 TRUE,"그외"
)</f>
        <v>1개월</v>
      </c>
    </row>
    <row r="4597" spans="1:12" x14ac:dyDescent="0.3">
      <c r="A4597" s="5">
        <v>45658</v>
      </c>
      <c r="B4597" s="6" t="s">
        <v>60</v>
      </c>
      <c r="C4597" s="6" t="s">
        <v>114</v>
      </c>
      <c r="D4597" s="5">
        <v>45627</v>
      </c>
      <c r="E4597" s="6" t="s">
        <v>15</v>
      </c>
      <c r="F4597" s="7">
        <v>2366</v>
      </c>
      <c r="G4597" s="7">
        <v>316260.98858833482</v>
      </c>
      <c r="H4597" s="7">
        <v>748273499</v>
      </c>
      <c r="I4597" s="7">
        <v>68272258</v>
      </c>
      <c r="J4597" s="7">
        <v>0</v>
      </c>
      <c r="K4597">
        <f t="shared" si="71"/>
        <v>31</v>
      </c>
      <c r="L4597" s="8" t="str" cm="1">
        <f t="array" ref="L4597">_xlfn.IFS(
 AND(K4597&gt;=89,K4597&lt;=92),"3개월",
 AND(K4597&gt;=58,K4597&lt;=62),"2개월",
 AND(K4597&gt;=28,K4597&lt;=32),"1개월",
 AND(K4597=0),"당월",
 TRUE,"그외"
)</f>
        <v>1개월</v>
      </c>
    </row>
    <row r="4598" spans="1:12" x14ac:dyDescent="0.3">
      <c r="A4598" s="5">
        <v>45658</v>
      </c>
      <c r="B4598" s="6" t="s">
        <v>60</v>
      </c>
      <c r="C4598" s="6" t="s">
        <v>114</v>
      </c>
      <c r="D4598" s="5">
        <v>45658</v>
      </c>
      <c r="E4598" s="6" t="s">
        <v>14</v>
      </c>
      <c r="F4598" s="7">
        <v>153</v>
      </c>
      <c r="G4598" s="7">
        <v>266594.77124183008</v>
      </c>
      <c r="H4598" s="7">
        <v>40789000</v>
      </c>
      <c r="I4598" s="7">
        <v>4742000</v>
      </c>
      <c r="J4598" s="7">
        <v>0</v>
      </c>
      <c r="K4598">
        <f t="shared" si="71"/>
        <v>0</v>
      </c>
      <c r="L4598" s="8" t="str" cm="1">
        <f t="array" ref="L4598">_xlfn.IFS(
 AND(K4598&gt;=89,K4598&lt;=92),"3개월",
 AND(K4598&gt;=58,K4598&lt;=62),"2개월",
 AND(K4598&gt;=28,K4598&lt;=32),"1개월",
 AND(K4598=0),"당월",
 TRUE,"그외"
)</f>
        <v>당월</v>
      </c>
    </row>
    <row r="4599" spans="1:12" x14ac:dyDescent="0.3">
      <c r="A4599" s="5">
        <v>45658</v>
      </c>
      <c r="B4599" s="6" t="s">
        <v>60</v>
      </c>
      <c r="C4599" s="6" t="s">
        <v>114</v>
      </c>
      <c r="D4599" s="5">
        <v>45658</v>
      </c>
      <c r="E4599" s="6" t="s">
        <v>15</v>
      </c>
      <c r="F4599" s="7">
        <v>1757</v>
      </c>
      <c r="G4599" s="7">
        <v>274880.82128628338</v>
      </c>
      <c r="H4599" s="7">
        <v>482965603</v>
      </c>
      <c r="I4599" s="7">
        <v>49366546</v>
      </c>
      <c r="J4599" s="7">
        <v>0</v>
      </c>
      <c r="K4599">
        <f t="shared" si="71"/>
        <v>0</v>
      </c>
      <c r="L4599" s="8" t="str" cm="1">
        <f t="array" ref="L4599">_xlfn.IFS(
 AND(K4599&gt;=89,K4599&lt;=92),"3개월",
 AND(K4599&gt;=58,K4599&lt;=62),"2개월",
 AND(K4599&gt;=28,K4599&lt;=32),"1개월",
 AND(K4599=0),"당월",
 TRUE,"그외"
)</f>
        <v>당월</v>
      </c>
    </row>
    <row r="4600" spans="1:12" x14ac:dyDescent="0.3">
      <c r="A4600" s="5">
        <v>45658</v>
      </c>
      <c r="B4600" s="6" t="s">
        <v>60</v>
      </c>
      <c r="C4600" s="6" t="s">
        <v>72</v>
      </c>
      <c r="D4600" s="5">
        <v>45474</v>
      </c>
      <c r="E4600" s="6" t="s">
        <v>15</v>
      </c>
      <c r="F4600" s="7">
        <v>89</v>
      </c>
      <c r="G4600" s="7">
        <v>322231.46067415731</v>
      </c>
      <c r="H4600" s="7">
        <v>28678600</v>
      </c>
      <c r="I4600" s="7">
        <v>2438600</v>
      </c>
      <c r="J4600" s="7">
        <v>0</v>
      </c>
      <c r="K4600">
        <f t="shared" si="71"/>
        <v>184</v>
      </c>
      <c r="L4600" s="8" t="str" cm="1">
        <f t="array" ref="L4600">_xlfn.IFS(
 AND(K4600&gt;=89,K4600&lt;=92),"3개월",
 AND(K4600&gt;=58,K4600&lt;=62),"2개월",
 AND(K4600&gt;=28,K4600&lt;=32),"1개월",
 AND(K4600=0),"당월",
 TRUE,"그외"
)</f>
        <v>그외</v>
      </c>
    </row>
    <row r="4601" spans="1:12" x14ac:dyDescent="0.3">
      <c r="A4601" s="5">
        <v>45658</v>
      </c>
      <c r="B4601" s="6" t="s">
        <v>60</v>
      </c>
      <c r="C4601" s="6" t="s">
        <v>72</v>
      </c>
      <c r="D4601" s="5">
        <v>45505</v>
      </c>
      <c r="E4601" s="6" t="s">
        <v>15</v>
      </c>
      <c r="F4601" s="7">
        <v>1236</v>
      </c>
      <c r="G4601" s="7">
        <v>292338.43284789642</v>
      </c>
      <c r="H4601" s="7">
        <v>361330303</v>
      </c>
      <c r="I4601" s="7">
        <v>37410697</v>
      </c>
      <c r="J4601" s="7">
        <v>0</v>
      </c>
      <c r="K4601">
        <f t="shared" si="71"/>
        <v>153</v>
      </c>
      <c r="L4601" s="8" t="str" cm="1">
        <f t="array" ref="L4601">_xlfn.IFS(
 AND(K4601&gt;=89,K4601&lt;=92),"3개월",
 AND(K4601&gt;=58,K4601&lt;=62),"2개월",
 AND(K4601&gt;=28,K4601&lt;=32),"1개월",
 AND(K4601=0),"당월",
 TRUE,"그외"
)</f>
        <v>그외</v>
      </c>
    </row>
    <row r="4602" spans="1:12" x14ac:dyDescent="0.3">
      <c r="A4602" s="5">
        <v>45658</v>
      </c>
      <c r="B4602" s="6" t="s">
        <v>60</v>
      </c>
      <c r="C4602" s="6" t="s">
        <v>72</v>
      </c>
      <c r="D4602" s="5">
        <v>45536</v>
      </c>
      <c r="E4602" s="6" t="s">
        <v>14</v>
      </c>
      <c r="F4602" s="7">
        <v>28</v>
      </c>
      <c r="G4602" s="7">
        <v>253928.57142857139</v>
      </c>
      <c r="H4602" s="7">
        <v>7110000</v>
      </c>
      <c r="I4602" s="7">
        <v>770000</v>
      </c>
      <c r="J4602" s="7">
        <v>0</v>
      </c>
      <c r="K4602">
        <f t="shared" si="71"/>
        <v>122</v>
      </c>
      <c r="L4602" s="8" t="str" cm="1">
        <f t="array" ref="L4602">_xlfn.IFS(
 AND(K4602&gt;=89,K4602&lt;=92),"3개월",
 AND(K4602&gt;=58,K4602&lt;=62),"2개월",
 AND(K4602&gt;=28,K4602&lt;=32),"1개월",
 AND(K4602=0),"당월",
 TRUE,"그외"
)</f>
        <v>그외</v>
      </c>
    </row>
    <row r="4603" spans="1:12" x14ac:dyDescent="0.3">
      <c r="A4603" s="5">
        <v>45658</v>
      </c>
      <c r="B4603" s="6" t="s">
        <v>60</v>
      </c>
      <c r="C4603" s="6" t="s">
        <v>72</v>
      </c>
      <c r="D4603" s="5">
        <v>45536</v>
      </c>
      <c r="E4603" s="6" t="s">
        <v>15</v>
      </c>
      <c r="F4603" s="7">
        <v>1143</v>
      </c>
      <c r="G4603" s="7">
        <v>292067.29046369198</v>
      </c>
      <c r="H4603" s="7">
        <v>333832913</v>
      </c>
      <c r="I4603" s="7">
        <v>31302529</v>
      </c>
      <c r="J4603" s="7">
        <v>0</v>
      </c>
      <c r="K4603">
        <f t="shared" si="71"/>
        <v>122</v>
      </c>
      <c r="L4603" s="8" t="str" cm="1">
        <f t="array" ref="L4603">_xlfn.IFS(
 AND(K4603&gt;=89,K4603&lt;=92),"3개월",
 AND(K4603&gt;=58,K4603&lt;=62),"2개월",
 AND(K4603&gt;=28,K4603&lt;=32),"1개월",
 AND(K4603=0),"당월",
 TRUE,"그외"
)</f>
        <v>그외</v>
      </c>
    </row>
    <row r="4604" spans="1:12" x14ac:dyDescent="0.3">
      <c r="A4604" s="5">
        <v>45658</v>
      </c>
      <c r="B4604" s="6" t="s">
        <v>60</v>
      </c>
      <c r="C4604" s="6" t="s">
        <v>72</v>
      </c>
      <c r="D4604" s="5">
        <v>45566</v>
      </c>
      <c r="E4604" s="6" t="s">
        <v>14</v>
      </c>
      <c r="F4604" s="7">
        <v>306</v>
      </c>
      <c r="G4604" s="7">
        <v>237194.77124183011</v>
      </c>
      <c r="H4604" s="7">
        <v>72581600</v>
      </c>
      <c r="I4604" s="7">
        <v>6150600</v>
      </c>
      <c r="J4604" s="7">
        <v>0</v>
      </c>
      <c r="K4604">
        <f t="shared" si="71"/>
        <v>92</v>
      </c>
      <c r="L4604" s="8" t="str" cm="1">
        <f t="array" ref="L4604">_xlfn.IFS(
 AND(K4604&gt;=89,K4604&lt;=92),"3개월",
 AND(K4604&gt;=58,K4604&lt;=62),"2개월",
 AND(K4604&gt;=28,K4604&lt;=32),"1개월",
 AND(K4604=0),"당월",
 TRUE,"그외"
)</f>
        <v>3개월</v>
      </c>
    </row>
    <row r="4605" spans="1:12" x14ac:dyDescent="0.3">
      <c r="A4605" s="5">
        <v>45658</v>
      </c>
      <c r="B4605" s="6" t="s">
        <v>60</v>
      </c>
      <c r="C4605" s="6" t="s">
        <v>72</v>
      </c>
      <c r="D4605" s="5">
        <v>45566</v>
      </c>
      <c r="E4605" s="6" t="s">
        <v>15</v>
      </c>
      <c r="F4605" s="7">
        <v>1147</v>
      </c>
      <c r="G4605" s="7">
        <v>301332.12292938097</v>
      </c>
      <c r="H4605" s="7">
        <v>345627945</v>
      </c>
      <c r="I4605" s="7">
        <v>23149482</v>
      </c>
      <c r="J4605" s="7">
        <v>0</v>
      </c>
      <c r="K4605">
        <f t="shared" si="71"/>
        <v>92</v>
      </c>
      <c r="L4605" s="8" t="str" cm="1">
        <f t="array" ref="L4605">_xlfn.IFS(
 AND(K4605&gt;=89,K4605&lt;=92),"3개월",
 AND(K4605&gt;=58,K4605&lt;=62),"2개월",
 AND(K4605&gt;=28,K4605&lt;=32),"1개월",
 AND(K4605=0),"당월",
 TRUE,"그외"
)</f>
        <v>3개월</v>
      </c>
    </row>
    <row r="4606" spans="1:12" x14ac:dyDescent="0.3">
      <c r="A4606" s="5">
        <v>45658</v>
      </c>
      <c r="B4606" s="6" t="s">
        <v>60</v>
      </c>
      <c r="C4606" s="6" t="s">
        <v>72</v>
      </c>
      <c r="D4606" s="5">
        <v>45597</v>
      </c>
      <c r="E4606" s="6" t="s">
        <v>14</v>
      </c>
      <c r="F4606" s="7">
        <v>2521</v>
      </c>
      <c r="G4606" s="7">
        <v>191609.28203094011</v>
      </c>
      <c r="H4606" s="7">
        <v>483047000</v>
      </c>
      <c r="I4606" s="7">
        <v>50360000</v>
      </c>
      <c r="J4606" s="7">
        <v>0</v>
      </c>
      <c r="K4606">
        <f t="shared" si="71"/>
        <v>61</v>
      </c>
      <c r="L4606" s="8" t="str" cm="1">
        <f t="array" ref="L4606">_xlfn.IFS(
 AND(K4606&gt;=89,K4606&lt;=92),"3개월",
 AND(K4606&gt;=58,K4606&lt;=62),"2개월",
 AND(K4606&gt;=28,K4606&lt;=32),"1개월",
 AND(K4606=0),"당월",
 TRUE,"그외"
)</f>
        <v>2개월</v>
      </c>
    </row>
    <row r="4607" spans="1:12" x14ac:dyDescent="0.3">
      <c r="A4607" s="5">
        <v>45658</v>
      </c>
      <c r="B4607" s="6" t="s">
        <v>60</v>
      </c>
      <c r="C4607" s="6" t="s">
        <v>72</v>
      </c>
      <c r="D4607" s="5">
        <v>45597</v>
      </c>
      <c r="E4607" s="6" t="s">
        <v>15</v>
      </c>
      <c r="F4607" s="7">
        <v>2261</v>
      </c>
      <c r="G4607" s="7">
        <v>299866.27333038481</v>
      </c>
      <c r="H4607" s="7">
        <v>677997644</v>
      </c>
      <c r="I4607" s="7">
        <v>44933602</v>
      </c>
      <c r="J4607" s="7">
        <v>0</v>
      </c>
      <c r="K4607">
        <f t="shared" si="71"/>
        <v>61</v>
      </c>
      <c r="L4607" s="8" t="str" cm="1">
        <f t="array" ref="L4607">_xlfn.IFS(
 AND(K4607&gt;=89,K4607&lt;=92),"3개월",
 AND(K4607&gt;=58,K4607&lt;=62),"2개월",
 AND(K4607&gt;=28,K4607&lt;=32),"1개월",
 AND(K4607=0),"당월",
 TRUE,"그외"
)</f>
        <v>2개월</v>
      </c>
    </row>
    <row r="4608" spans="1:12" x14ac:dyDescent="0.3">
      <c r="A4608" s="5">
        <v>45658</v>
      </c>
      <c r="B4608" s="6" t="s">
        <v>60</v>
      </c>
      <c r="C4608" s="6" t="s">
        <v>72</v>
      </c>
      <c r="D4608" s="5">
        <v>45627</v>
      </c>
      <c r="E4608" s="6" t="s">
        <v>14</v>
      </c>
      <c r="F4608" s="7">
        <v>2059</v>
      </c>
      <c r="G4608" s="7">
        <v>513928.89752306952</v>
      </c>
      <c r="H4608" s="7">
        <v>1058179600</v>
      </c>
      <c r="I4608" s="7">
        <v>45540600</v>
      </c>
      <c r="J4608" s="7">
        <v>0</v>
      </c>
      <c r="K4608">
        <f t="shared" si="71"/>
        <v>31</v>
      </c>
      <c r="L4608" s="8" t="str" cm="1">
        <f t="array" ref="L4608">_xlfn.IFS(
 AND(K4608&gt;=89,K4608&lt;=92),"3개월",
 AND(K4608&gt;=58,K4608&lt;=62),"2개월",
 AND(K4608&gt;=28,K4608&lt;=32),"1개월",
 AND(K4608=0),"당월",
 TRUE,"그외"
)</f>
        <v>1개월</v>
      </c>
    </row>
    <row r="4609" spans="1:12" x14ac:dyDescent="0.3">
      <c r="A4609" s="5">
        <v>45658</v>
      </c>
      <c r="B4609" s="6" t="s">
        <v>60</v>
      </c>
      <c r="C4609" s="6" t="s">
        <v>72</v>
      </c>
      <c r="D4609" s="5">
        <v>45627</v>
      </c>
      <c r="E4609" s="6" t="s">
        <v>15</v>
      </c>
      <c r="F4609" s="7">
        <v>3373</v>
      </c>
      <c r="G4609" s="7">
        <v>283899.61903350131</v>
      </c>
      <c r="H4609" s="7">
        <v>957593415</v>
      </c>
      <c r="I4609" s="7">
        <v>78650834</v>
      </c>
      <c r="J4609" s="7">
        <v>0</v>
      </c>
      <c r="K4609">
        <f t="shared" si="71"/>
        <v>31</v>
      </c>
      <c r="L4609" s="8" t="str" cm="1">
        <f t="array" ref="L4609">_xlfn.IFS(
 AND(K4609&gt;=89,K4609&lt;=92),"3개월",
 AND(K4609&gt;=58,K4609&lt;=62),"2개월",
 AND(K4609&gt;=28,K4609&lt;=32),"1개월",
 AND(K4609=0),"당월",
 TRUE,"그외"
)</f>
        <v>1개월</v>
      </c>
    </row>
    <row r="4610" spans="1:12" x14ac:dyDescent="0.3">
      <c r="A4610" s="5">
        <v>45658</v>
      </c>
      <c r="B4610" s="6" t="s">
        <v>60</v>
      </c>
      <c r="C4610" s="6" t="s">
        <v>72</v>
      </c>
      <c r="D4610" s="5">
        <v>45658</v>
      </c>
      <c r="E4610" s="6" t="s">
        <v>14</v>
      </c>
      <c r="F4610" s="7">
        <v>2450</v>
      </c>
      <c r="G4610" s="7">
        <v>59343.673469387752</v>
      </c>
      <c r="H4610" s="7">
        <v>145392000</v>
      </c>
      <c r="I4610" s="7">
        <v>58746000</v>
      </c>
      <c r="J4610" s="7">
        <v>0</v>
      </c>
      <c r="K4610">
        <f t="shared" si="71"/>
        <v>0</v>
      </c>
      <c r="L4610" s="8" t="str" cm="1">
        <f t="array" ref="L4610">_xlfn.IFS(
 AND(K4610&gt;=89,K4610&lt;=92),"3개월",
 AND(K4610&gt;=58,K4610&lt;=62),"2개월",
 AND(K4610&gt;=28,K4610&lt;=32),"1개월",
 AND(K4610=0),"당월",
 TRUE,"그외"
)</f>
        <v>당월</v>
      </c>
    </row>
    <row r="4611" spans="1:12" x14ac:dyDescent="0.3">
      <c r="A4611" s="5">
        <v>45658</v>
      </c>
      <c r="B4611" s="6" t="s">
        <v>60</v>
      </c>
      <c r="C4611" s="6" t="s">
        <v>72</v>
      </c>
      <c r="D4611" s="5">
        <v>45658</v>
      </c>
      <c r="E4611" s="6" t="s">
        <v>15</v>
      </c>
      <c r="F4611" s="7">
        <v>2268</v>
      </c>
      <c r="G4611" s="7">
        <v>304696.15873015882</v>
      </c>
      <c r="H4611" s="7">
        <v>691050888</v>
      </c>
      <c r="I4611" s="7">
        <v>53496811</v>
      </c>
      <c r="J4611" s="7">
        <v>0</v>
      </c>
      <c r="K4611">
        <f t="shared" si="71"/>
        <v>0</v>
      </c>
      <c r="L4611" s="8" t="str" cm="1">
        <f t="array" ref="L4611">_xlfn.IFS(
 AND(K4611&gt;=89,K4611&lt;=92),"3개월",
 AND(K4611&gt;=58,K4611&lt;=62),"2개월",
 AND(K4611&gt;=28,K4611&lt;=32),"1개월",
 AND(K4611=0),"당월",
 TRUE,"그외"
)</f>
        <v>당월</v>
      </c>
    </row>
    <row r="4612" spans="1:12" x14ac:dyDescent="0.3">
      <c r="A4612" s="5">
        <v>45658</v>
      </c>
      <c r="B4612" s="6" t="s">
        <v>60</v>
      </c>
      <c r="C4612" s="6" t="s">
        <v>115</v>
      </c>
      <c r="D4612" s="5">
        <v>45536</v>
      </c>
      <c r="E4612" s="6" t="s">
        <v>14</v>
      </c>
      <c r="F4612" s="7">
        <v>24</v>
      </c>
      <c r="G4612" s="7">
        <v>295800</v>
      </c>
      <c r="H4612" s="7">
        <v>7099200</v>
      </c>
      <c r="I4612" s="7">
        <v>859200</v>
      </c>
      <c r="J4612" s="7">
        <v>0</v>
      </c>
      <c r="K4612">
        <f t="shared" si="71"/>
        <v>122</v>
      </c>
      <c r="L4612" s="8" t="str" cm="1">
        <f t="array" ref="L4612">_xlfn.IFS(
 AND(K4612&gt;=89,K4612&lt;=92),"3개월",
 AND(K4612&gt;=58,K4612&lt;=62),"2개월",
 AND(K4612&gt;=28,K4612&lt;=32),"1개월",
 AND(K4612=0),"당월",
 TRUE,"그외"
)</f>
        <v>그외</v>
      </c>
    </row>
    <row r="4613" spans="1:12" x14ac:dyDescent="0.3">
      <c r="A4613" s="5">
        <v>45658</v>
      </c>
      <c r="B4613" s="6" t="s">
        <v>60</v>
      </c>
      <c r="C4613" s="6" t="s">
        <v>115</v>
      </c>
      <c r="D4613" s="5">
        <v>45536</v>
      </c>
      <c r="E4613" s="6" t="s">
        <v>15</v>
      </c>
      <c r="F4613" s="7">
        <v>538</v>
      </c>
      <c r="G4613" s="7">
        <v>294417.73791821557</v>
      </c>
      <c r="H4613" s="7">
        <v>158396743</v>
      </c>
      <c r="I4613" s="7">
        <v>19561950</v>
      </c>
      <c r="J4613" s="7">
        <v>0</v>
      </c>
      <c r="K4613">
        <f t="shared" si="71"/>
        <v>122</v>
      </c>
      <c r="L4613" s="8" t="str" cm="1">
        <f t="array" ref="L4613">_xlfn.IFS(
 AND(K4613&gt;=89,K4613&lt;=92),"3개월",
 AND(K4613&gt;=58,K4613&lt;=62),"2개월",
 AND(K4613&gt;=28,K4613&lt;=32),"1개월",
 AND(K4613=0),"당월",
 TRUE,"그외"
)</f>
        <v>그외</v>
      </c>
    </row>
    <row r="4614" spans="1:12" x14ac:dyDescent="0.3">
      <c r="A4614" s="5">
        <v>45658</v>
      </c>
      <c r="B4614" s="6" t="s">
        <v>60</v>
      </c>
      <c r="C4614" s="6" t="s">
        <v>115</v>
      </c>
      <c r="D4614" s="5">
        <v>45566</v>
      </c>
      <c r="E4614" s="6" t="s">
        <v>14</v>
      </c>
      <c r="F4614" s="7">
        <v>119</v>
      </c>
      <c r="G4614" s="7">
        <v>261374.78991596639</v>
      </c>
      <c r="H4614" s="7">
        <v>31103600</v>
      </c>
      <c r="I4614" s="7">
        <v>3022600</v>
      </c>
      <c r="J4614" s="7">
        <v>0</v>
      </c>
      <c r="K4614">
        <f t="shared" si="71"/>
        <v>92</v>
      </c>
      <c r="L4614" s="8" t="str" cm="1">
        <f t="array" ref="L4614">_xlfn.IFS(
 AND(K4614&gt;=89,K4614&lt;=92),"3개월",
 AND(K4614&gt;=58,K4614&lt;=62),"2개월",
 AND(K4614&gt;=28,K4614&lt;=32),"1개월",
 AND(K4614=0),"당월",
 TRUE,"그외"
)</f>
        <v>3개월</v>
      </c>
    </row>
    <row r="4615" spans="1:12" x14ac:dyDescent="0.3">
      <c r="A4615" s="5">
        <v>45658</v>
      </c>
      <c r="B4615" s="6" t="s">
        <v>60</v>
      </c>
      <c r="C4615" s="6" t="s">
        <v>115</v>
      </c>
      <c r="D4615" s="5">
        <v>45566</v>
      </c>
      <c r="E4615" s="6" t="s">
        <v>15</v>
      </c>
      <c r="F4615" s="7">
        <v>1511</v>
      </c>
      <c r="G4615" s="7">
        <v>306632.10721376567</v>
      </c>
      <c r="H4615" s="7">
        <v>463321114</v>
      </c>
      <c r="I4615" s="7">
        <v>40392652</v>
      </c>
      <c r="J4615" s="7">
        <v>0</v>
      </c>
      <c r="K4615">
        <f t="shared" si="71"/>
        <v>92</v>
      </c>
      <c r="L4615" s="8" t="str" cm="1">
        <f t="array" ref="L4615">_xlfn.IFS(
 AND(K4615&gt;=89,K4615&lt;=92),"3개월",
 AND(K4615&gt;=58,K4615&lt;=62),"2개월",
 AND(K4615&gt;=28,K4615&lt;=32),"1개월",
 AND(K4615=0),"당월",
 TRUE,"그외"
)</f>
        <v>3개월</v>
      </c>
    </row>
    <row r="4616" spans="1:12" x14ac:dyDescent="0.3">
      <c r="A4616" s="5">
        <v>45658</v>
      </c>
      <c r="B4616" s="6" t="s">
        <v>60</v>
      </c>
      <c r="C4616" s="6" t="s">
        <v>115</v>
      </c>
      <c r="D4616" s="5">
        <v>45597</v>
      </c>
      <c r="E4616" s="6" t="s">
        <v>14</v>
      </c>
      <c r="F4616" s="7">
        <v>221</v>
      </c>
      <c r="G4616" s="7">
        <v>252703.16742081451</v>
      </c>
      <c r="H4616" s="7">
        <v>55847400</v>
      </c>
      <c r="I4616" s="7">
        <v>5613400</v>
      </c>
      <c r="J4616" s="7">
        <v>0</v>
      </c>
      <c r="K4616">
        <f t="shared" si="71"/>
        <v>61</v>
      </c>
      <c r="L4616" s="8" t="str" cm="1">
        <f t="array" ref="L4616">_xlfn.IFS(
 AND(K4616&gt;=89,K4616&lt;=92),"3개월",
 AND(K4616&gt;=58,K4616&lt;=62),"2개월",
 AND(K4616&gt;=28,K4616&lt;=32),"1개월",
 AND(K4616=0),"당월",
 TRUE,"그외"
)</f>
        <v>2개월</v>
      </c>
    </row>
    <row r="4617" spans="1:12" x14ac:dyDescent="0.3">
      <c r="A4617" s="5">
        <v>45658</v>
      </c>
      <c r="B4617" s="6" t="s">
        <v>60</v>
      </c>
      <c r="C4617" s="6" t="s">
        <v>115</v>
      </c>
      <c r="D4617" s="5">
        <v>45597</v>
      </c>
      <c r="E4617" s="6" t="s">
        <v>15</v>
      </c>
      <c r="F4617" s="7">
        <v>1203</v>
      </c>
      <c r="G4617" s="7">
        <v>287972.70324189519</v>
      </c>
      <c r="H4617" s="7">
        <v>346431162</v>
      </c>
      <c r="I4617" s="7">
        <v>32944630</v>
      </c>
      <c r="J4617" s="7">
        <v>0</v>
      </c>
      <c r="K4617">
        <f t="shared" si="71"/>
        <v>61</v>
      </c>
      <c r="L4617" s="8" t="str" cm="1">
        <f t="array" ref="L4617">_xlfn.IFS(
 AND(K4617&gt;=89,K4617&lt;=92),"3개월",
 AND(K4617&gt;=58,K4617&lt;=62),"2개월",
 AND(K4617&gt;=28,K4617&lt;=32),"1개월",
 AND(K4617=0),"당월",
 TRUE,"그외"
)</f>
        <v>2개월</v>
      </c>
    </row>
    <row r="4618" spans="1:12" x14ac:dyDescent="0.3">
      <c r="A4618" s="5">
        <v>45658</v>
      </c>
      <c r="B4618" s="6" t="s">
        <v>60</v>
      </c>
      <c r="C4618" s="6" t="s">
        <v>115</v>
      </c>
      <c r="D4618" s="5">
        <v>45627</v>
      </c>
      <c r="E4618" s="6" t="s">
        <v>14</v>
      </c>
      <c r="F4618" s="7">
        <v>1104</v>
      </c>
      <c r="G4618" s="7">
        <v>644990.03623188403</v>
      </c>
      <c r="H4618" s="7">
        <v>712069000</v>
      </c>
      <c r="I4618" s="7">
        <v>30805000</v>
      </c>
      <c r="J4618" s="7">
        <v>0</v>
      </c>
      <c r="K4618">
        <f t="shared" ref="K4618:K4681" si="72">A4618-D4618</f>
        <v>31</v>
      </c>
      <c r="L4618" s="8" t="str" cm="1">
        <f t="array" ref="L4618">_xlfn.IFS(
 AND(K4618&gt;=89,K4618&lt;=92),"3개월",
 AND(K4618&gt;=58,K4618&lt;=62),"2개월",
 AND(K4618&gt;=28,K4618&lt;=32),"1개월",
 AND(K4618=0),"당월",
 TRUE,"그외"
)</f>
        <v>1개월</v>
      </c>
    </row>
    <row r="4619" spans="1:12" x14ac:dyDescent="0.3">
      <c r="A4619" s="5">
        <v>45658</v>
      </c>
      <c r="B4619" s="6" t="s">
        <v>60</v>
      </c>
      <c r="C4619" s="6" t="s">
        <v>115</v>
      </c>
      <c r="D4619" s="5">
        <v>45627</v>
      </c>
      <c r="E4619" s="6" t="s">
        <v>15</v>
      </c>
      <c r="F4619" s="7">
        <v>1621</v>
      </c>
      <c r="G4619" s="7">
        <v>280400.77421344852</v>
      </c>
      <c r="H4619" s="7">
        <v>454529655</v>
      </c>
      <c r="I4619" s="7">
        <v>54282127</v>
      </c>
      <c r="J4619" s="7">
        <v>0</v>
      </c>
      <c r="K4619">
        <f t="shared" si="72"/>
        <v>31</v>
      </c>
      <c r="L4619" s="8" t="str" cm="1">
        <f t="array" ref="L4619">_xlfn.IFS(
 AND(K4619&gt;=89,K4619&lt;=92),"3개월",
 AND(K4619&gt;=58,K4619&lt;=62),"2개월",
 AND(K4619&gt;=28,K4619&lt;=32),"1개월",
 AND(K4619=0),"당월",
 TRUE,"그외"
)</f>
        <v>1개월</v>
      </c>
    </row>
    <row r="4620" spans="1:12" x14ac:dyDescent="0.3">
      <c r="A4620" s="5">
        <v>45658</v>
      </c>
      <c r="B4620" s="6" t="s">
        <v>60</v>
      </c>
      <c r="C4620" s="6" t="s">
        <v>115</v>
      </c>
      <c r="D4620" s="5">
        <v>45658</v>
      </c>
      <c r="E4620" s="6" t="s">
        <v>14</v>
      </c>
      <c r="F4620" s="7">
        <v>2511</v>
      </c>
      <c r="G4620" s="7">
        <v>82367.980884109915</v>
      </c>
      <c r="H4620" s="7">
        <v>206826000</v>
      </c>
      <c r="I4620" s="7">
        <v>77840000</v>
      </c>
      <c r="J4620" s="7">
        <v>0</v>
      </c>
      <c r="K4620">
        <f t="shared" si="72"/>
        <v>0</v>
      </c>
      <c r="L4620" s="8" t="str" cm="1">
        <f t="array" ref="L4620">_xlfn.IFS(
 AND(K4620&gt;=89,K4620&lt;=92),"3개월",
 AND(K4620&gt;=58,K4620&lt;=62),"2개월",
 AND(K4620&gt;=28,K4620&lt;=32),"1개월",
 AND(K4620=0),"당월",
 TRUE,"그외"
)</f>
        <v>당월</v>
      </c>
    </row>
    <row r="4621" spans="1:12" x14ac:dyDescent="0.3">
      <c r="A4621" s="5">
        <v>45658</v>
      </c>
      <c r="B4621" s="6" t="s">
        <v>60</v>
      </c>
      <c r="C4621" s="6" t="s">
        <v>115</v>
      </c>
      <c r="D4621" s="5">
        <v>45658</v>
      </c>
      <c r="E4621" s="6" t="s">
        <v>15</v>
      </c>
      <c r="F4621" s="7">
        <v>1622</v>
      </c>
      <c r="G4621" s="7">
        <v>232865.67940813809</v>
      </c>
      <c r="H4621" s="7">
        <v>377708132</v>
      </c>
      <c r="I4621" s="7">
        <v>54249275</v>
      </c>
      <c r="J4621" s="7">
        <v>0</v>
      </c>
      <c r="K4621">
        <f t="shared" si="72"/>
        <v>0</v>
      </c>
      <c r="L4621" s="8" t="str" cm="1">
        <f t="array" ref="L4621">_xlfn.IFS(
 AND(K4621&gt;=89,K4621&lt;=92),"3개월",
 AND(K4621&gt;=58,K4621&lt;=62),"2개월",
 AND(K4621&gt;=28,K4621&lt;=32),"1개월",
 AND(K4621=0),"당월",
 TRUE,"그외"
)</f>
        <v>당월</v>
      </c>
    </row>
    <row r="4622" spans="1:12" x14ac:dyDescent="0.3">
      <c r="A4622" s="5">
        <v>45658</v>
      </c>
      <c r="B4622" s="6" t="s">
        <v>75</v>
      </c>
      <c r="C4622" s="6" t="s">
        <v>124</v>
      </c>
      <c r="D4622" s="5">
        <v>45474</v>
      </c>
      <c r="E4622" s="6" t="s">
        <v>15</v>
      </c>
      <c r="F4622" s="7">
        <v>113</v>
      </c>
      <c r="G4622" s="7">
        <v>254947.12389380531</v>
      </c>
      <c r="H4622" s="7">
        <v>28809025</v>
      </c>
      <c r="I4622" s="7">
        <v>4024025</v>
      </c>
      <c r="J4622" s="7">
        <v>0</v>
      </c>
      <c r="K4622">
        <f t="shared" si="72"/>
        <v>184</v>
      </c>
      <c r="L4622" s="8" t="str" cm="1">
        <f t="array" ref="L4622">_xlfn.IFS(
 AND(K4622&gt;=89,K4622&lt;=92),"3개월",
 AND(K4622&gt;=58,K4622&lt;=62),"2개월",
 AND(K4622&gt;=28,K4622&lt;=32),"1개월",
 AND(K4622=0),"당월",
 TRUE,"그외"
)</f>
        <v>그외</v>
      </c>
    </row>
    <row r="4623" spans="1:12" x14ac:dyDescent="0.3">
      <c r="A4623" s="5">
        <v>45658</v>
      </c>
      <c r="B4623" s="6" t="s">
        <v>75</v>
      </c>
      <c r="C4623" s="6" t="s">
        <v>124</v>
      </c>
      <c r="D4623" s="5">
        <v>45505</v>
      </c>
      <c r="E4623" s="6" t="s">
        <v>15</v>
      </c>
      <c r="F4623" s="7">
        <v>742</v>
      </c>
      <c r="G4623" s="7">
        <v>259812.81940700809</v>
      </c>
      <c r="H4623" s="7">
        <v>192781112</v>
      </c>
      <c r="I4623" s="7">
        <v>30066795</v>
      </c>
      <c r="J4623" s="7">
        <v>0</v>
      </c>
      <c r="K4623">
        <f t="shared" si="72"/>
        <v>153</v>
      </c>
      <c r="L4623" s="8" t="str" cm="1">
        <f t="array" ref="L4623">_xlfn.IFS(
 AND(K4623&gt;=89,K4623&lt;=92),"3개월",
 AND(K4623&gt;=58,K4623&lt;=62),"2개월",
 AND(K4623&gt;=28,K4623&lt;=32),"1개월",
 AND(K4623=0),"당월",
 TRUE,"그외"
)</f>
        <v>그외</v>
      </c>
    </row>
    <row r="4624" spans="1:12" x14ac:dyDescent="0.3">
      <c r="A4624" s="5">
        <v>45658</v>
      </c>
      <c r="B4624" s="6" t="s">
        <v>75</v>
      </c>
      <c r="C4624" s="6" t="s">
        <v>124</v>
      </c>
      <c r="D4624" s="5">
        <v>45536</v>
      </c>
      <c r="E4624" s="6" t="s">
        <v>14</v>
      </c>
      <c r="F4624" s="7">
        <v>36</v>
      </c>
      <c r="G4624" s="7">
        <v>283383.33333333331</v>
      </c>
      <c r="H4624" s="7">
        <v>10201800</v>
      </c>
      <c r="I4624" s="7">
        <v>1288800</v>
      </c>
      <c r="J4624" s="7">
        <v>0</v>
      </c>
      <c r="K4624">
        <f t="shared" si="72"/>
        <v>122</v>
      </c>
      <c r="L4624" s="8" t="str" cm="1">
        <f t="array" ref="L4624">_xlfn.IFS(
 AND(K4624&gt;=89,K4624&lt;=92),"3개월",
 AND(K4624&gt;=58,K4624&lt;=62),"2개월",
 AND(K4624&gt;=28,K4624&lt;=32),"1개월",
 AND(K4624=0),"당월",
 TRUE,"그외"
)</f>
        <v>그외</v>
      </c>
    </row>
    <row r="4625" spans="1:12" x14ac:dyDescent="0.3">
      <c r="A4625" s="5">
        <v>45658</v>
      </c>
      <c r="B4625" s="6" t="s">
        <v>75</v>
      </c>
      <c r="C4625" s="6" t="s">
        <v>124</v>
      </c>
      <c r="D4625" s="5">
        <v>45536</v>
      </c>
      <c r="E4625" s="6" t="s">
        <v>15</v>
      </c>
      <c r="F4625" s="7">
        <v>407</v>
      </c>
      <c r="G4625" s="7">
        <v>291443.17444717448</v>
      </c>
      <c r="H4625" s="7">
        <v>118617372</v>
      </c>
      <c r="I4625" s="7">
        <v>15315502</v>
      </c>
      <c r="J4625" s="7">
        <v>0</v>
      </c>
      <c r="K4625">
        <f t="shared" si="72"/>
        <v>122</v>
      </c>
      <c r="L4625" s="8" t="str" cm="1">
        <f t="array" ref="L4625">_xlfn.IFS(
 AND(K4625&gt;=89,K4625&lt;=92),"3개월",
 AND(K4625&gt;=58,K4625&lt;=62),"2개월",
 AND(K4625&gt;=28,K4625&lt;=32),"1개월",
 AND(K4625=0),"당월",
 TRUE,"그외"
)</f>
        <v>그외</v>
      </c>
    </row>
    <row r="4626" spans="1:12" x14ac:dyDescent="0.3">
      <c r="A4626" s="5">
        <v>45658</v>
      </c>
      <c r="B4626" s="6" t="s">
        <v>75</v>
      </c>
      <c r="C4626" s="6" t="s">
        <v>124</v>
      </c>
      <c r="D4626" s="5">
        <v>45566</v>
      </c>
      <c r="E4626" s="6" t="s">
        <v>14</v>
      </c>
      <c r="F4626" s="7">
        <v>76</v>
      </c>
      <c r="G4626" s="7">
        <v>314268.42105263157</v>
      </c>
      <c r="H4626" s="7">
        <v>23884400</v>
      </c>
      <c r="I4626" s="7">
        <v>1930400</v>
      </c>
      <c r="J4626" s="7">
        <v>0</v>
      </c>
      <c r="K4626">
        <f t="shared" si="72"/>
        <v>92</v>
      </c>
      <c r="L4626" s="8" t="str" cm="1">
        <f t="array" ref="L4626">_xlfn.IFS(
 AND(K4626&gt;=89,K4626&lt;=92),"3개월",
 AND(K4626&gt;=58,K4626&lt;=62),"2개월",
 AND(K4626&gt;=28,K4626&lt;=32),"1개월",
 AND(K4626=0),"당월",
 TRUE,"그외"
)</f>
        <v>3개월</v>
      </c>
    </row>
    <row r="4627" spans="1:12" x14ac:dyDescent="0.3">
      <c r="A4627" s="5">
        <v>45658</v>
      </c>
      <c r="B4627" s="6" t="s">
        <v>75</v>
      </c>
      <c r="C4627" s="6" t="s">
        <v>124</v>
      </c>
      <c r="D4627" s="5">
        <v>45566</v>
      </c>
      <c r="E4627" s="6" t="s">
        <v>15</v>
      </c>
      <c r="F4627" s="7">
        <v>708</v>
      </c>
      <c r="G4627" s="7">
        <v>265904.37711864407</v>
      </c>
      <c r="H4627" s="7">
        <v>188260299</v>
      </c>
      <c r="I4627" s="7">
        <v>18562378</v>
      </c>
      <c r="J4627" s="7">
        <v>0</v>
      </c>
      <c r="K4627">
        <f t="shared" si="72"/>
        <v>92</v>
      </c>
      <c r="L4627" s="8" t="str" cm="1">
        <f t="array" ref="L4627">_xlfn.IFS(
 AND(K4627&gt;=89,K4627&lt;=92),"3개월",
 AND(K4627&gt;=58,K4627&lt;=62),"2개월",
 AND(K4627&gt;=28,K4627&lt;=32),"1개월",
 AND(K4627=0),"당월",
 TRUE,"그외"
)</f>
        <v>3개월</v>
      </c>
    </row>
    <row r="4628" spans="1:12" x14ac:dyDescent="0.3">
      <c r="A4628" s="5">
        <v>45658</v>
      </c>
      <c r="B4628" s="6" t="s">
        <v>75</v>
      </c>
      <c r="C4628" s="6" t="s">
        <v>124</v>
      </c>
      <c r="D4628" s="5">
        <v>45597</v>
      </c>
      <c r="E4628" s="6" t="s">
        <v>14</v>
      </c>
      <c r="F4628" s="7">
        <v>557</v>
      </c>
      <c r="G4628" s="7">
        <v>308014.90125673253</v>
      </c>
      <c r="H4628" s="7">
        <v>171564300</v>
      </c>
      <c r="I4628" s="7">
        <v>14147800</v>
      </c>
      <c r="J4628" s="7">
        <v>0</v>
      </c>
      <c r="K4628">
        <f t="shared" si="72"/>
        <v>61</v>
      </c>
      <c r="L4628" s="8" t="str" cm="1">
        <f t="array" ref="L4628">_xlfn.IFS(
 AND(K4628&gt;=89,K4628&lt;=92),"3개월",
 AND(K4628&gt;=58,K4628&lt;=62),"2개월",
 AND(K4628&gt;=28,K4628&lt;=32),"1개월",
 AND(K4628=0),"당월",
 TRUE,"그외"
)</f>
        <v>2개월</v>
      </c>
    </row>
    <row r="4629" spans="1:12" x14ac:dyDescent="0.3">
      <c r="A4629" s="5">
        <v>45658</v>
      </c>
      <c r="B4629" s="6" t="s">
        <v>75</v>
      </c>
      <c r="C4629" s="6" t="s">
        <v>124</v>
      </c>
      <c r="D4629" s="5">
        <v>45597</v>
      </c>
      <c r="E4629" s="6" t="s">
        <v>15</v>
      </c>
      <c r="F4629" s="7">
        <v>1229</v>
      </c>
      <c r="G4629" s="7">
        <v>289847.84052074858</v>
      </c>
      <c r="H4629" s="7">
        <v>356222996</v>
      </c>
      <c r="I4629" s="7">
        <v>31787094</v>
      </c>
      <c r="J4629" s="7">
        <v>0</v>
      </c>
      <c r="K4629">
        <f t="shared" si="72"/>
        <v>61</v>
      </c>
      <c r="L4629" s="8" t="str" cm="1">
        <f t="array" ref="L4629">_xlfn.IFS(
 AND(K4629&gt;=89,K4629&lt;=92),"3개월",
 AND(K4629&gt;=58,K4629&lt;=62),"2개월",
 AND(K4629&gt;=28,K4629&lt;=32),"1개월",
 AND(K4629=0),"당월",
 TRUE,"그외"
)</f>
        <v>2개월</v>
      </c>
    </row>
    <row r="4630" spans="1:12" x14ac:dyDescent="0.3">
      <c r="A4630" s="5">
        <v>45658</v>
      </c>
      <c r="B4630" s="6" t="s">
        <v>75</v>
      </c>
      <c r="C4630" s="6" t="s">
        <v>124</v>
      </c>
      <c r="D4630" s="5">
        <v>45627</v>
      </c>
      <c r="E4630" s="6" t="s">
        <v>14</v>
      </c>
      <c r="F4630" s="7">
        <v>1248</v>
      </c>
      <c r="G4630" s="7">
        <v>341719.95192307688</v>
      </c>
      <c r="H4630" s="7">
        <v>426466500</v>
      </c>
      <c r="I4630" s="7">
        <v>36569500</v>
      </c>
      <c r="J4630" s="7">
        <v>0</v>
      </c>
      <c r="K4630">
        <f t="shared" si="72"/>
        <v>31</v>
      </c>
      <c r="L4630" s="8" t="str" cm="1">
        <f t="array" ref="L4630">_xlfn.IFS(
 AND(K4630&gt;=89,K4630&lt;=92),"3개월",
 AND(K4630&gt;=58,K4630&lt;=62),"2개월",
 AND(K4630&gt;=28,K4630&lt;=32),"1개월",
 AND(K4630=0),"당월",
 TRUE,"그외"
)</f>
        <v>1개월</v>
      </c>
    </row>
    <row r="4631" spans="1:12" x14ac:dyDescent="0.3">
      <c r="A4631" s="5">
        <v>45658</v>
      </c>
      <c r="B4631" s="6" t="s">
        <v>75</v>
      </c>
      <c r="C4631" s="6" t="s">
        <v>124</v>
      </c>
      <c r="D4631" s="5">
        <v>45627</v>
      </c>
      <c r="E4631" s="6" t="s">
        <v>15</v>
      </c>
      <c r="F4631" s="7">
        <v>3407</v>
      </c>
      <c r="G4631" s="7">
        <v>258583.82359847371</v>
      </c>
      <c r="H4631" s="7">
        <v>880995087</v>
      </c>
      <c r="I4631" s="7">
        <v>105949602</v>
      </c>
      <c r="J4631" s="7">
        <v>0</v>
      </c>
      <c r="K4631">
        <f t="shared" si="72"/>
        <v>31</v>
      </c>
      <c r="L4631" s="8" t="str" cm="1">
        <f t="array" ref="L4631">_xlfn.IFS(
 AND(K4631&gt;=89,K4631&lt;=92),"3개월",
 AND(K4631&gt;=58,K4631&lt;=62),"2개월",
 AND(K4631&gt;=28,K4631&lt;=32),"1개월",
 AND(K4631=0),"당월",
 TRUE,"그외"
)</f>
        <v>1개월</v>
      </c>
    </row>
    <row r="4632" spans="1:12" x14ac:dyDescent="0.3">
      <c r="A4632" s="5">
        <v>45658</v>
      </c>
      <c r="B4632" s="6" t="s">
        <v>75</v>
      </c>
      <c r="C4632" s="6" t="s">
        <v>124</v>
      </c>
      <c r="D4632" s="5">
        <v>45658</v>
      </c>
      <c r="E4632" s="6" t="s">
        <v>14</v>
      </c>
      <c r="F4632" s="7">
        <v>634</v>
      </c>
      <c r="G4632" s="7">
        <v>100533.7539432177</v>
      </c>
      <c r="H4632" s="7">
        <v>63738400</v>
      </c>
      <c r="I4632" s="7">
        <v>19619400</v>
      </c>
      <c r="J4632" s="7">
        <v>0</v>
      </c>
      <c r="K4632">
        <f t="shared" si="72"/>
        <v>0</v>
      </c>
      <c r="L4632" s="8" t="str" cm="1">
        <f t="array" ref="L4632">_xlfn.IFS(
 AND(K4632&gt;=89,K4632&lt;=92),"3개월",
 AND(K4632&gt;=58,K4632&lt;=62),"2개월",
 AND(K4632&gt;=28,K4632&lt;=32),"1개월",
 AND(K4632=0),"당월",
 TRUE,"그외"
)</f>
        <v>당월</v>
      </c>
    </row>
    <row r="4633" spans="1:12" x14ac:dyDescent="0.3">
      <c r="A4633" s="5">
        <v>45658</v>
      </c>
      <c r="B4633" s="6" t="s">
        <v>75</v>
      </c>
      <c r="C4633" s="6" t="s">
        <v>124</v>
      </c>
      <c r="D4633" s="5">
        <v>45658</v>
      </c>
      <c r="E4633" s="6" t="s">
        <v>15</v>
      </c>
      <c r="F4633" s="7">
        <v>1209</v>
      </c>
      <c r="G4633" s="7">
        <v>244305.423490488</v>
      </c>
      <c r="H4633" s="7">
        <v>295365257</v>
      </c>
      <c r="I4633" s="7">
        <v>40363273</v>
      </c>
      <c r="J4633" s="7">
        <v>0</v>
      </c>
      <c r="K4633">
        <f t="shared" si="72"/>
        <v>0</v>
      </c>
      <c r="L4633" s="8" t="str" cm="1">
        <f t="array" ref="L4633">_xlfn.IFS(
 AND(K4633&gt;=89,K4633&lt;=92),"3개월",
 AND(K4633&gt;=58,K4633&lt;=62),"2개월",
 AND(K4633&gt;=28,K4633&lt;=32),"1개월",
 AND(K4633=0),"당월",
 TRUE,"그외"
)</f>
        <v>당월</v>
      </c>
    </row>
    <row r="4634" spans="1:12" x14ac:dyDescent="0.3">
      <c r="A4634" s="5">
        <v>45658</v>
      </c>
      <c r="B4634" s="6" t="s">
        <v>75</v>
      </c>
      <c r="C4634" s="6" t="s">
        <v>79</v>
      </c>
      <c r="D4634" s="5">
        <v>45474</v>
      </c>
      <c r="E4634" s="6" t="s">
        <v>15</v>
      </c>
      <c r="F4634" s="7">
        <v>44</v>
      </c>
      <c r="G4634" s="7">
        <v>214918.18181818179</v>
      </c>
      <c r="H4634" s="7">
        <v>9456400</v>
      </c>
      <c r="I4634" s="7">
        <v>1566400</v>
      </c>
      <c r="J4634" s="7">
        <v>0</v>
      </c>
      <c r="K4634">
        <f t="shared" si="72"/>
        <v>184</v>
      </c>
      <c r="L4634" s="8" t="str" cm="1">
        <f t="array" ref="L4634">_xlfn.IFS(
 AND(K4634&gt;=89,K4634&lt;=92),"3개월",
 AND(K4634&gt;=58,K4634&lt;=62),"2개월",
 AND(K4634&gt;=28,K4634&lt;=32),"1개월",
 AND(K4634=0),"당월",
 TRUE,"그외"
)</f>
        <v>그외</v>
      </c>
    </row>
    <row r="4635" spans="1:12" x14ac:dyDescent="0.3">
      <c r="A4635" s="5">
        <v>45658</v>
      </c>
      <c r="B4635" s="6" t="s">
        <v>75</v>
      </c>
      <c r="C4635" s="6" t="s">
        <v>79</v>
      </c>
      <c r="D4635" s="5">
        <v>45505</v>
      </c>
      <c r="E4635" s="6" t="s">
        <v>15</v>
      </c>
      <c r="F4635" s="7">
        <v>454</v>
      </c>
      <c r="G4635" s="7">
        <v>253748.13656387659</v>
      </c>
      <c r="H4635" s="7">
        <v>115201654</v>
      </c>
      <c r="I4635" s="7">
        <v>18357051</v>
      </c>
      <c r="J4635" s="7">
        <v>0</v>
      </c>
      <c r="K4635">
        <f t="shared" si="72"/>
        <v>153</v>
      </c>
      <c r="L4635" s="8" t="str" cm="1">
        <f t="array" ref="L4635">_xlfn.IFS(
 AND(K4635&gt;=89,K4635&lt;=92),"3개월",
 AND(K4635&gt;=58,K4635&lt;=62),"2개월",
 AND(K4635&gt;=28,K4635&lt;=32),"1개월",
 AND(K4635=0),"당월",
 TRUE,"그외"
)</f>
        <v>그외</v>
      </c>
    </row>
    <row r="4636" spans="1:12" x14ac:dyDescent="0.3">
      <c r="A4636" s="5">
        <v>45658</v>
      </c>
      <c r="B4636" s="6" t="s">
        <v>75</v>
      </c>
      <c r="C4636" s="6" t="s">
        <v>79</v>
      </c>
      <c r="D4636" s="5">
        <v>45536</v>
      </c>
      <c r="E4636" s="6" t="s">
        <v>15</v>
      </c>
      <c r="F4636" s="7">
        <v>386</v>
      </c>
      <c r="G4636" s="7">
        <v>268405.15284974087</v>
      </c>
      <c r="H4636" s="7">
        <v>103604389</v>
      </c>
      <c r="I4636" s="7">
        <v>14235483</v>
      </c>
      <c r="J4636" s="7">
        <v>0</v>
      </c>
      <c r="K4636">
        <f t="shared" si="72"/>
        <v>122</v>
      </c>
      <c r="L4636" s="8" t="str" cm="1">
        <f t="array" ref="L4636">_xlfn.IFS(
 AND(K4636&gt;=89,K4636&lt;=92),"3개월",
 AND(K4636&gt;=58,K4636&lt;=62),"2개월",
 AND(K4636&gt;=28,K4636&lt;=32),"1개월",
 AND(K4636=0),"당월",
 TRUE,"그외"
)</f>
        <v>그외</v>
      </c>
    </row>
    <row r="4637" spans="1:12" x14ac:dyDescent="0.3">
      <c r="A4637" s="5">
        <v>45658</v>
      </c>
      <c r="B4637" s="6" t="s">
        <v>75</v>
      </c>
      <c r="C4637" s="6" t="s">
        <v>79</v>
      </c>
      <c r="D4637" s="5">
        <v>45566</v>
      </c>
      <c r="E4637" s="6" t="s">
        <v>14</v>
      </c>
      <c r="F4637" s="7">
        <v>196</v>
      </c>
      <c r="G4637" s="7">
        <v>241377.04081632651</v>
      </c>
      <c r="H4637" s="7">
        <v>47309900</v>
      </c>
      <c r="I4637" s="7">
        <v>4978400</v>
      </c>
      <c r="J4637" s="7">
        <v>0</v>
      </c>
      <c r="K4637">
        <f t="shared" si="72"/>
        <v>92</v>
      </c>
      <c r="L4637" s="8" t="str" cm="1">
        <f t="array" ref="L4637">_xlfn.IFS(
 AND(K4637&gt;=89,K4637&lt;=92),"3개월",
 AND(K4637&gt;=58,K4637&lt;=62),"2개월",
 AND(K4637&gt;=28,K4637&lt;=32),"1개월",
 AND(K4637=0),"당월",
 TRUE,"그외"
)</f>
        <v>3개월</v>
      </c>
    </row>
    <row r="4638" spans="1:12" x14ac:dyDescent="0.3">
      <c r="A4638" s="5">
        <v>45658</v>
      </c>
      <c r="B4638" s="6" t="s">
        <v>75</v>
      </c>
      <c r="C4638" s="6" t="s">
        <v>79</v>
      </c>
      <c r="D4638" s="5">
        <v>45566</v>
      </c>
      <c r="E4638" s="6" t="s">
        <v>15</v>
      </c>
      <c r="F4638" s="7">
        <v>509</v>
      </c>
      <c r="G4638" s="7">
        <v>293587.36149312381</v>
      </c>
      <c r="H4638" s="7">
        <v>149435967</v>
      </c>
      <c r="I4638" s="7">
        <v>13131248</v>
      </c>
      <c r="J4638" s="7">
        <v>0</v>
      </c>
      <c r="K4638">
        <f t="shared" si="72"/>
        <v>92</v>
      </c>
      <c r="L4638" s="8" t="str" cm="1">
        <f t="array" ref="L4638">_xlfn.IFS(
 AND(K4638&gt;=89,K4638&lt;=92),"3개월",
 AND(K4638&gt;=58,K4638&lt;=62),"2개월",
 AND(K4638&gt;=28,K4638&lt;=32),"1개월",
 AND(K4638=0),"당월",
 TRUE,"그외"
)</f>
        <v>3개월</v>
      </c>
    </row>
    <row r="4639" spans="1:12" x14ac:dyDescent="0.3">
      <c r="A4639" s="5">
        <v>45658</v>
      </c>
      <c r="B4639" s="6" t="s">
        <v>75</v>
      </c>
      <c r="C4639" s="6" t="s">
        <v>79</v>
      </c>
      <c r="D4639" s="5">
        <v>45597</v>
      </c>
      <c r="E4639" s="6" t="s">
        <v>14</v>
      </c>
      <c r="F4639" s="7">
        <v>571</v>
      </c>
      <c r="G4639" s="7">
        <v>303116.28721541149</v>
      </c>
      <c r="H4639" s="7">
        <v>173079400</v>
      </c>
      <c r="I4639" s="7">
        <v>14503400</v>
      </c>
      <c r="J4639" s="7">
        <v>0</v>
      </c>
      <c r="K4639">
        <f t="shared" si="72"/>
        <v>61</v>
      </c>
      <c r="L4639" s="8" t="str" cm="1">
        <f t="array" ref="L4639">_xlfn.IFS(
 AND(K4639&gt;=89,K4639&lt;=92),"3개월",
 AND(K4639&gt;=58,K4639&lt;=62),"2개월",
 AND(K4639&gt;=28,K4639&lt;=32),"1개월",
 AND(K4639=0),"당월",
 TRUE,"그외"
)</f>
        <v>2개월</v>
      </c>
    </row>
    <row r="4640" spans="1:12" x14ac:dyDescent="0.3">
      <c r="A4640" s="5">
        <v>45658</v>
      </c>
      <c r="B4640" s="6" t="s">
        <v>75</v>
      </c>
      <c r="C4640" s="6" t="s">
        <v>79</v>
      </c>
      <c r="D4640" s="5">
        <v>45597</v>
      </c>
      <c r="E4640" s="6" t="s">
        <v>15</v>
      </c>
      <c r="F4640" s="7">
        <v>972</v>
      </c>
      <c r="G4640" s="7">
        <v>298033.0802469136</v>
      </c>
      <c r="H4640" s="7">
        <v>289688154</v>
      </c>
      <c r="I4640" s="7">
        <v>25596453</v>
      </c>
      <c r="J4640" s="7">
        <v>0</v>
      </c>
      <c r="K4640">
        <f t="shared" si="72"/>
        <v>61</v>
      </c>
      <c r="L4640" s="8" t="str" cm="1">
        <f t="array" ref="L4640">_xlfn.IFS(
 AND(K4640&gt;=89,K4640&lt;=92),"3개월",
 AND(K4640&gt;=58,K4640&lt;=62),"2개월",
 AND(K4640&gt;=28,K4640&lt;=32),"1개월",
 AND(K4640=0),"당월",
 TRUE,"그외"
)</f>
        <v>2개월</v>
      </c>
    </row>
    <row r="4641" spans="1:12" x14ac:dyDescent="0.3">
      <c r="A4641" s="5">
        <v>45658</v>
      </c>
      <c r="B4641" s="6" t="s">
        <v>75</v>
      </c>
      <c r="C4641" s="6" t="s">
        <v>79</v>
      </c>
      <c r="D4641" s="5">
        <v>45627</v>
      </c>
      <c r="E4641" s="6" t="s">
        <v>14</v>
      </c>
      <c r="F4641" s="7">
        <v>1628</v>
      </c>
      <c r="G4641" s="7">
        <v>283544.0417690418</v>
      </c>
      <c r="H4641" s="7">
        <v>461609700</v>
      </c>
      <c r="I4641" s="7">
        <v>48174700</v>
      </c>
      <c r="J4641" s="7">
        <v>0</v>
      </c>
      <c r="K4641">
        <f t="shared" si="72"/>
        <v>31</v>
      </c>
      <c r="L4641" s="8" t="str" cm="1">
        <f t="array" ref="L4641">_xlfn.IFS(
 AND(K4641&gt;=89,K4641&lt;=92),"3개월",
 AND(K4641&gt;=58,K4641&lt;=62),"2개월",
 AND(K4641&gt;=28,K4641&lt;=32),"1개월",
 AND(K4641=0),"당월",
 TRUE,"그외"
)</f>
        <v>1개월</v>
      </c>
    </row>
    <row r="4642" spans="1:12" x14ac:dyDescent="0.3">
      <c r="A4642" s="5">
        <v>45658</v>
      </c>
      <c r="B4642" s="6" t="s">
        <v>75</v>
      </c>
      <c r="C4642" s="6" t="s">
        <v>79</v>
      </c>
      <c r="D4642" s="5">
        <v>45627</v>
      </c>
      <c r="E4642" s="6" t="s">
        <v>15</v>
      </c>
      <c r="F4642" s="7">
        <v>3296</v>
      </c>
      <c r="G4642" s="7">
        <v>208331.40109223299</v>
      </c>
      <c r="H4642" s="7">
        <v>686660298</v>
      </c>
      <c r="I4642" s="7">
        <v>105445581</v>
      </c>
      <c r="J4642" s="7">
        <v>0</v>
      </c>
      <c r="K4642">
        <f t="shared" si="72"/>
        <v>31</v>
      </c>
      <c r="L4642" s="8" t="str" cm="1">
        <f t="array" ref="L4642">_xlfn.IFS(
 AND(K4642&gt;=89,K4642&lt;=92),"3개월",
 AND(K4642&gt;=58,K4642&lt;=62),"2개월",
 AND(K4642&gt;=28,K4642&lt;=32),"1개월",
 AND(K4642=0),"당월",
 TRUE,"그외"
)</f>
        <v>1개월</v>
      </c>
    </row>
    <row r="4643" spans="1:12" x14ac:dyDescent="0.3">
      <c r="A4643" s="5">
        <v>45658</v>
      </c>
      <c r="B4643" s="6" t="s">
        <v>75</v>
      </c>
      <c r="C4643" s="6" t="s">
        <v>79</v>
      </c>
      <c r="D4643" s="5">
        <v>45658</v>
      </c>
      <c r="E4643" s="6" t="s">
        <v>14</v>
      </c>
      <c r="F4643" s="7">
        <v>1180</v>
      </c>
      <c r="G4643" s="7">
        <v>126672.1186440678</v>
      </c>
      <c r="H4643" s="7">
        <v>149473100</v>
      </c>
      <c r="I4643" s="7">
        <v>36558200</v>
      </c>
      <c r="J4643" s="7">
        <v>0</v>
      </c>
      <c r="K4643">
        <f t="shared" si="72"/>
        <v>0</v>
      </c>
      <c r="L4643" s="8" t="str" cm="1">
        <f t="array" ref="L4643">_xlfn.IFS(
 AND(K4643&gt;=89,K4643&lt;=92),"3개월",
 AND(K4643&gt;=58,K4643&lt;=62),"2개월",
 AND(K4643&gt;=28,K4643&lt;=32),"1개월",
 AND(K4643=0),"당월",
 TRUE,"그외"
)</f>
        <v>당월</v>
      </c>
    </row>
    <row r="4644" spans="1:12" x14ac:dyDescent="0.3">
      <c r="A4644" s="5">
        <v>45658</v>
      </c>
      <c r="B4644" s="6" t="s">
        <v>75</v>
      </c>
      <c r="C4644" s="6" t="s">
        <v>79</v>
      </c>
      <c r="D4644" s="5">
        <v>45658</v>
      </c>
      <c r="E4644" s="6" t="s">
        <v>15</v>
      </c>
      <c r="F4644" s="7">
        <v>1205</v>
      </c>
      <c r="G4644" s="7">
        <v>238388.04149377591</v>
      </c>
      <c r="H4644" s="7">
        <v>287257590</v>
      </c>
      <c r="I4644" s="7">
        <v>42762820</v>
      </c>
      <c r="J4644" s="7">
        <v>0</v>
      </c>
      <c r="K4644">
        <f t="shared" si="72"/>
        <v>0</v>
      </c>
      <c r="L4644" s="8" t="str" cm="1">
        <f t="array" ref="L4644">_xlfn.IFS(
 AND(K4644&gt;=89,K4644&lt;=92),"3개월",
 AND(K4644&gt;=58,K4644&lt;=62),"2개월",
 AND(K4644&gt;=28,K4644&lt;=32),"1개월",
 AND(K4644=0),"당월",
 TRUE,"그외"
)</f>
        <v>당월</v>
      </c>
    </row>
    <row r="4645" spans="1:12" x14ac:dyDescent="0.3">
      <c r="A4645" s="5">
        <v>45658</v>
      </c>
      <c r="B4645" s="6" t="s">
        <v>75</v>
      </c>
      <c r="C4645" s="6" t="s">
        <v>80</v>
      </c>
      <c r="D4645" s="5">
        <v>45474</v>
      </c>
      <c r="E4645" s="6" t="s">
        <v>15</v>
      </c>
      <c r="F4645" s="7">
        <v>94</v>
      </c>
      <c r="G4645" s="7">
        <v>655742.25531914888</v>
      </c>
      <c r="H4645" s="7">
        <v>61639772</v>
      </c>
      <c r="I4645" s="7">
        <v>4411500</v>
      </c>
      <c r="J4645" s="7">
        <v>0</v>
      </c>
      <c r="K4645">
        <f t="shared" si="72"/>
        <v>184</v>
      </c>
      <c r="L4645" s="8" t="str" cm="1">
        <f t="array" ref="L4645">_xlfn.IFS(
 AND(K4645&gt;=89,K4645&lt;=92),"3개월",
 AND(K4645&gt;=58,K4645&lt;=62),"2개월",
 AND(K4645&gt;=28,K4645&lt;=32),"1개월",
 AND(K4645=0),"당월",
 TRUE,"그외"
)</f>
        <v>그외</v>
      </c>
    </row>
    <row r="4646" spans="1:12" x14ac:dyDescent="0.3">
      <c r="A4646" s="5">
        <v>45658</v>
      </c>
      <c r="B4646" s="6" t="s">
        <v>75</v>
      </c>
      <c r="C4646" s="6" t="s">
        <v>80</v>
      </c>
      <c r="D4646" s="5">
        <v>45505</v>
      </c>
      <c r="E4646" s="6" t="s">
        <v>15</v>
      </c>
      <c r="F4646" s="7">
        <v>973</v>
      </c>
      <c r="G4646" s="7">
        <v>625590.78314491268</v>
      </c>
      <c r="H4646" s="7">
        <v>608699832</v>
      </c>
      <c r="I4646" s="7">
        <v>49565955</v>
      </c>
      <c r="J4646" s="7">
        <v>0</v>
      </c>
      <c r="K4646">
        <f t="shared" si="72"/>
        <v>153</v>
      </c>
      <c r="L4646" s="8" t="str" cm="1">
        <f t="array" ref="L4646">_xlfn.IFS(
 AND(K4646&gt;=89,K4646&lt;=92),"3개월",
 AND(K4646&gt;=58,K4646&lt;=62),"2개월",
 AND(K4646&gt;=28,K4646&lt;=32),"1개월",
 AND(K4646=0),"당월",
 TRUE,"그외"
)</f>
        <v>그외</v>
      </c>
    </row>
    <row r="4647" spans="1:12" x14ac:dyDescent="0.3">
      <c r="A4647" s="5">
        <v>45658</v>
      </c>
      <c r="B4647" s="6" t="s">
        <v>75</v>
      </c>
      <c r="C4647" s="6" t="s">
        <v>80</v>
      </c>
      <c r="D4647" s="5">
        <v>45536</v>
      </c>
      <c r="E4647" s="6" t="s">
        <v>15</v>
      </c>
      <c r="F4647" s="7">
        <v>934</v>
      </c>
      <c r="G4647" s="7">
        <v>685833.93683083507</v>
      </c>
      <c r="H4647" s="7">
        <v>640568897</v>
      </c>
      <c r="I4647" s="7">
        <v>39434087</v>
      </c>
      <c r="J4647" s="7">
        <v>0</v>
      </c>
      <c r="K4647">
        <f t="shared" si="72"/>
        <v>122</v>
      </c>
      <c r="L4647" s="8" t="str" cm="1">
        <f t="array" ref="L4647">_xlfn.IFS(
 AND(K4647&gt;=89,K4647&lt;=92),"3개월",
 AND(K4647&gt;=58,K4647&lt;=62),"2개월",
 AND(K4647&gt;=28,K4647&lt;=32),"1개월",
 AND(K4647=0),"당월",
 TRUE,"그외"
)</f>
        <v>그외</v>
      </c>
    </row>
    <row r="4648" spans="1:12" x14ac:dyDescent="0.3">
      <c r="A4648" s="5">
        <v>45658</v>
      </c>
      <c r="B4648" s="6" t="s">
        <v>75</v>
      </c>
      <c r="C4648" s="6" t="s">
        <v>80</v>
      </c>
      <c r="D4648" s="5">
        <v>45566</v>
      </c>
      <c r="E4648" s="6" t="s">
        <v>14</v>
      </c>
      <c r="F4648" s="7">
        <v>46</v>
      </c>
      <c r="G4648" s="7">
        <v>811500</v>
      </c>
      <c r="H4648" s="7">
        <v>37329000</v>
      </c>
      <c r="I4648" s="7">
        <v>2829000</v>
      </c>
      <c r="J4648" s="7">
        <v>0</v>
      </c>
      <c r="K4648">
        <f t="shared" si="72"/>
        <v>92</v>
      </c>
      <c r="L4648" s="8" t="str" cm="1">
        <f t="array" ref="L4648">_xlfn.IFS(
 AND(K4648&gt;=89,K4648&lt;=92),"3개월",
 AND(K4648&gt;=58,K4648&lt;=62),"2개월",
 AND(K4648&gt;=28,K4648&lt;=32),"1개월",
 AND(K4648=0),"당월",
 TRUE,"그외"
)</f>
        <v>3개월</v>
      </c>
    </row>
    <row r="4649" spans="1:12" x14ac:dyDescent="0.3">
      <c r="A4649" s="5">
        <v>45658</v>
      </c>
      <c r="B4649" s="6" t="s">
        <v>75</v>
      </c>
      <c r="C4649" s="6" t="s">
        <v>80</v>
      </c>
      <c r="D4649" s="5">
        <v>45566</v>
      </c>
      <c r="E4649" s="6" t="s">
        <v>15</v>
      </c>
      <c r="F4649" s="7">
        <v>1649</v>
      </c>
      <c r="G4649" s="7">
        <v>689859.92904790782</v>
      </c>
      <c r="H4649" s="7">
        <v>1137579023</v>
      </c>
      <c r="I4649" s="7">
        <v>55225723</v>
      </c>
      <c r="J4649" s="7">
        <v>0</v>
      </c>
      <c r="K4649">
        <f t="shared" si="72"/>
        <v>92</v>
      </c>
      <c r="L4649" s="8" t="str" cm="1">
        <f t="array" ref="L4649">_xlfn.IFS(
 AND(K4649&gt;=89,K4649&lt;=92),"3개월",
 AND(K4649&gt;=58,K4649&lt;=62),"2개월",
 AND(K4649&gt;=28,K4649&lt;=32),"1개월",
 AND(K4649=0),"당월",
 TRUE,"그외"
)</f>
        <v>3개월</v>
      </c>
    </row>
    <row r="4650" spans="1:12" x14ac:dyDescent="0.3">
      <c r="A4650" s="5">
        <v>45658</v>
      </c>
      <c r="B4650" s="6" t="s">
        <v>75</v>
      </c>
      <c r="C4650" s="6" t="s">
        <v>80</v>
      </c>
      <c r="D4650" s="5">
        <v>45597</v>
      </c>
      <c r="E4650" s="6" t="s">
        <v>14</v>
      </c>
      <c r="F4650" s="7">
        <v>181</v>
      </c>
      <c r="G4650" s="7">
        <v>1082817.679558011</v>
      </c>
      <c r="H4650" s="7">
        <v>195990000</v>
      </c>
      <c r="I4650" s="7">
        <v>10745000</v>
      </c>
      <c r="J4650" s="7">
        <v>0</v>
      </c>
      <c r="K4650">
        <f t="shared" si="72"/>
        <v>61</v>
      </c>
      <c r="L4650" s="8" t="str" cm="1">
        <f t="array" ref="L4650">_xlfn.IFS(
 AND(K4650&gt;=89,K4650&lt;=92),"3개월",
 AND(K4650&gt;=58,K4650&lt;=62),"2개월",
 AND(K4650&gt;=28,K4650&lt;=32),"1개월",
 AND(K4650=0),"당월",
 TRUE,"그외"
)</f>
        <v>2개월</v>
      </c>
    </row>
    <row r="4651" spans="1:12" x14ac:dyDescent="0.3">
      <c r="A4651" s="5">
        <v>45658</v>
      </c>
      <c r="B4651" s="6" t="s">
        <v>75</v>
      </c>
      <c r="C4651" s="6" t="s">
        <v>80</v>
      </c>
      <c r="D4651" s="5">
        <v>45597</v>
      </c>
      <c r="E4651" s="6" t="s">
        <v>15</v>
      </c>
      <c r="F4651" s="7">
        <v>2957</v>
      </c>
      <c r="G4651" s="7">
        <v>677944.60635779507</v>
      </c>
      <c r="H4651" s="7">
        <v>2004682201</v>
      </c>
      <c r="I4651" s="7">
        <v>101601399</v>
      </c>
      <c r="J4651" s="7">
        <v>0</v>
      </c>
      <c r="K4651">
        <f t="shared" si="72"/>
        <v>61</v>
      </c>
      <c r="L4651" s="8" t="str" cm="1">
        <f t="array" ref="L4651">_xlfn.IFS(
 AND(K4651&gt;=89,K4651&lt;=92),"3개월",
 AND(K4651&gt;=58,K4651&lt;=62),"2개월",
 AND(K4651&gt;=28,K4651&lt;=32),"1개월",
 AND(K4651=0),"당월",
 TRUE,"그외"
)</f>
        <v>2개월</v>
      </c>
    </row>
    <row r="4652" spans="1:12" x14ac:dyDescent="0.3">
      <c r="A4652" s="5">
        <v>45658</v>
      </c>
      <c r="B4652" s="6" t="s">
        <v>75</v>
      </c>
      <c r="C4652" s="6" t="s">
        <v>80</v>
      </c>
      <c r="D4652" s="5">
        <v>45627</v>
      </c>
      <c r="E4652" s="6" t="s">
        <v>14</v>
      </c>
      <c r="F4652" s="7">
        <v>756</v>
      </c>
      <c r="G4652" s="7">
        <v>1012293.121693122</v>
      </c>
      <c r="H4652" s="7">
        <v>765293600</v>
      </c>
      <c r="I4652" s="7">
        <v>51761600</v>
      </c>
      <c r="J4652" s="7">
        <v>0</v>
      </c>
      <c r="K4652">
        <f t="shared" si="72"/>
        <v>31</v>
      </c>
      <c r="L4652" s="8" t="str" cm="1">
        <f t="array" ref="L4652">_xlfn.IFS(
 AND(K4652&gt;=89,K4652&lt;=92),"3개월",
 AND(K4652&gt;=58,K4652&lt;=62),"2개월",
 AND(K4652&gt;=28,K4652&lt;=32),"1개월",
 AND(K4652=0),"당월",
 TRUE,"그외"
)</f>
        <v>1개월</v>
      </c>
    </row>
    <row r="4653" spans="1:12" x14ac:dyDescent="0.3">
      <c r="A4653" s="5">
        <v>45658</v>
      </c>
      <c r="B4653" s="6" t="s">
        <v>75</v>
      </c>
      <c r="C4653" s="6" t="s">
        <v>80</v>
      </c>
      <c r="D4653" s="5">
        <v>45627</v>
      </c>
      <c r="E4653" s="6" t="s">
        <v>15</v>
      </c>
      <c r="F4653" s="7">
        <v>3439</v>
      </c>
      <c r="G4653" s="7">
        <v>656089.20093050308</v>
      </c>
      <c r="H4653" s="7">
        <v>2256290762</v>
      </c>
      <c r="I4653" s="7">
        <v>137357488</v>
      </c>
      <c r="J4653" s="7">
        <v>0</v>
      </c>
      <c r="K4653">
        <f t="shared" si="72"/>
        <v>31</v>
      </c>
      <c r="L4653" s="8" t="str" cm="1">
        <f t="array" ref="L4653">_xlfn.IFS(
 AND(K4653&gt;=89,K4653&lt;=92),"3개월",
 AND(K4653&gt;=58,K4653&lt;=62),"2개월",
 AND(K4653&gt;=28,K4653&lt;=32),"1개월",
 AND(K4653=0),"당월",
 TRUE,"그외"
)</f>
        <v>1개월</v>
      </c>
    </row>
    <row r="4654" spans="1:12" x14ac:dyDescent="0.3">
      <c r="A4654" s="5">
        <v>45658</v>
      </c>
      <c r="B4654" s="6" t="s">
        <v>75</v>
      </c>
      <c r="C4654" s="6" t="s">
        <v>80</v>
      </c>
      <c r="D4654" s="5">
        <v>45658</v>
      </c>
      <c r="E4654" s="6" t="s">
        <v>14</v>
      </c>
      <c r="F4654" s="7">
        <v>735</v>
      </c>
      <c r="G4654" s="7">
        <v>146010.7482993197</v>
      </c>
      <c r="H4654" s="7">
        <v>107317900</v>
      </c>
      <c r="I4654" s="7">
        <v>55719900</v>
      </c>
      <c r="J4654" s="7">
        <v>0</v>
      </c>
      <c r="K4654">
        <f t="shared" si="72"/>
        <v>0</v>
      </c>
      <c r="L4654" s="8" t="str" cm="1">
        <f t="array" ref="L4654">_xlfn.IFS(
 AND(K4654&gt;=89,K4654&lt;=92),"3개월",
 AND(K4654&gt;=58,K4654&lt;=62),"2개월",
 AND(K4654&gt;=28,K4654&lt;=32),"1개월",
 AND(K4654=0),"당월",
 TRUE,"그외"
)</f>
        <v>당월</v>
      </c>
    </row>
    <row r="4655" spans="1:12" x14ac:dyDescent="0.3">
      <c r="A4655" s="5">
        <v>45658</v>
      </c>
      <c r="B4655" s="6" t="s">
        <v>75</v>
      </c>
      <c r="C4655" s="6" t="s">
        <v>80</v>
      </c>
      <c r="D4655" s="5">
        <v>45658</v>
      </c>
      <c r="E4655" s="6" t="s">
        <v>15</v>
      </c>
      <c r="F4655" s="7">
        <v>1426</v>
      </c>
      <c r="G4655" s="7">
        <v>607041.39831697056</v>
      </c>
      <c r="H4655" s="7">
        <v>865641034</v>
      </c>
      <c r="I4655" s="7">
        <v>50313884</v>
      </c>
      <c r="J4655" s="7">
        <v>0</v>
      </c>
      <c r="K4655">
        <f t="shared" si="72"/>
        <v>0</v>
      </c>
      <c r="L4655" s="8" t="str" cm="1">
        <f t="array" ref="L4655">_xlfn.IFS(
 AND(K4655&gt;=89,K4655&lt;=92),"3개월",
 AND(K4655&gt;=58,K4655&lt;=62),"2개월",
 AND(K4655&gt;=28,K4655&lt;=32),"1개월",
 AND(K4655=0),"당월",
 TRUE,"그외"
)</f>
        <v>당월</v>
      </c>
    </row>
    <row r="4656" spans="1:12" x14ac:dyDescent="0.3">
      <c r="A4656" s="5">
        <v>45658</v>
      </c>
      <c r="B4656" s="6" t="s">
        <v>81</v>
      </c>
      <c r="C4656" s="6" t="s">
        <v>125</v>
      </c>
      <c r="D4656" s="5">
        <v>45505</v>
      </c>
      <c r="E4656" s="6" t="s">
        <v>15</v>
      </c>
      <c r="F4656" s="7">
        <v>1</v>
      </c>
      <c r="G4656" s="7">
        <v>320100</v>
      </c>
      <c r="H4656" s="7">
        <v>320100</v>
      </c>
      <c r="I4656" s="7">
        <v>44200</v>
      </c>
      <c r="J4656" s="7">
        <v>0</v>
      </c>
      <c r="K4656">
        <f t="shared" si="72"/>
        <v>153</v>
      </c>
      <c r="L4656" s="8" t="str" cm="1">
        <f t="array" ref="L4656">_xlfn.IFS(
 AND(K4656&gt;=89,K4656&lt;=92),"3개월",
 AND(K4656&gt;=58,K4656&lt;=62),"2개월",
 AND(K4656&gt;=28,K4656&lt;=32),"1개월",
 AND(K4656=0),"당월",
 TRUE,"그외"
)</f>
        <v>그외</v>
      </c>
    </row>
    <row r="4657" spans="1:12" x14ac:dyDescent="0.3">
      <c r="A4657" s="5">
        <v>45658</v>
      </c>
      <c r="B4657" s="6" t="s">
        <v>81</v>
      </c>
      <c r="C4657" s="6" t="s">
        <v>125</v>
      </c>
      <c r="D4657" s="5">
        <v>45536</v>
      </c>
      <c r="E4657" s="6" t="s">
        <v>14</v>
      </c>
      <c r="F4657" s="7">
        <v>12</v>
      </c>
      <c r="G4657" s="7">
        <v>385527.75</v>
      </c>
      <c r="H4657" s="7">
        <v>4626333</v>
      </c>
      <c r="I4657" s="7">
        <v>713955</v>
      </c>
      <c r="J4657" s="7">
        <v>0</v>
      </c>
      <c r="K4657">
        <f t="shared" si="72"/>
        <v>122</v>
      </c>
      <c r="L4657" s="8" t="str" cm="1">
        <f t="array" ref="L4657">_xlfn.IFS(
 AND(K4657&gt;=89,K4657&lt;=92),"3개월",
 AND(K4657&gt;=58,K4657&lt;=62),"2개월",
 AND(K4657&gt;=28,K4657&lt;=32),"1개월",
 AND(K4657=0),"당월",
 TRUE,"그외"
)</f>
        <v>그외</v>
      </c>
    </row>
    <row r="4658" spans="1:12" x14ac:dyDescent="0.3">
      <c r="A4658" s="5">
        <v>45658</v>
      </c>
      <c r="B4658" s="6" t="s">
        <v>81</v>
      </c>
      <c r="C4658" s="6" t="s">
        <v>125</v>
      </c>
      <c r="D4658" s="5">
        <v>45536</v>
      </c>
      <c r="E4658" s="6" t="s">
        <v>15</v>
      </c>
      <c r="F4658" s="7">
        <v>10</v>
      </c>
      <c r="G4658" s="7">
        <v>381872.1</v>
      </c>
      <c r="H4658" s="7">
        <v>3818721</v>
      </c>
      <c r="I4658" s="7">
        <v>385000</v>
      </c>
      <c r="J4658" s="7">
        <v>0</v>
      </c>
      <c r="K4658">
        <f t="shared" si="72"/>
        <v>122</v>
      </c>
      <c r="L4658" s="8" t="str" cm="1">
        <f t="array" ref="L4658">_xlfn.IFS(
 AND(K4658&gt;=89,K4658&lt;=92),"3개월",
 AND(K4658&gt;=58,K4658&lt;=62),"2개월",
 AND(K4658&gt;=28,K4658&lt;=32),"1개월",
 AND(K4658=0),"당월",
 TRUE,"그외"
)</f>
        <v>그외</v>
      </c>
    </row>
    <row r="4659" spans="1:12" x14ac:dyDescent="0.3">
      <c r="A4659" s="5">
        <v>45658</v>
      </c>
      <c r="B4659" s="6" t="s">
        <v>81</v>
      </c>
      <c r="C4659" s="6" t="s">
        <v>125</v>
      </c>
      <c r="D4659" s="5">
        <v>45566</v>
      </c>
      <c r="E4659" s="6" t="s">
        <v>15</v>
      </c>
      <c r="F4659" s="7">
        <v>63</v>
      </c>
      <c r="G4659" s="7">
        <v>398951.17460317462</v>
      </c>
      <c r="H4659" s="7">
        <v>25133924</v>
      </c>
      <c r="I4659" s="7">
        <v>2536895</v>
      </c>
      <c r="J4659" s="7">
        <v>0</v>
      </c>
      <c r="K4659">
        <f t="shared" si="72"/>
        <v>92</v>
      </c>
      <c r="L4659" s="8" t="str" cm="1">
        <f t="array" ref="L4659">_xlfn.IFS(
 AND(K4659&gt;=89,K4659&lt;=92),"3개월",
 AND(K4659&gt;=58,K4659&lt;=62),"2개월",
 AND(K4659&gt;=28,K4659&lt;=32),"1개월",
 AND(K4659=0),"당월",
 TRUE,"그외"
)</f>
        <v>3개월</v>
      </c>
    </row>
    <row r="4660" spans="1:12" x14ac:dyDescent="0.3">
      <c r="A4660" s="5">
        <v>45658</v>
      </c>
      <c r="B4660" s="6" t="s">
        <v>81</v>
      </c>
      <c r="C4660" s="6" t="s">
        <v>125</v>
      </c>
      <c r="D4660" s="5">
        <v>45597</v>
      </c>
      <c r="E4660" s="6" t="s">
        <v>14</v>
      </c>
      <c r="F4660" s="7">
        <v>5</v>
      </c>
      <c r="G4660" s="7">
        <v>376765</v>
      </c>
      <c r="H4660" s="7">
        <v>1883825</v>
      </c>
      <c r="I4660" s="7">
        <v>263475</v>
      </c>
      <c r="J4660" s="7">
        <v>0</v>
      </c>
      <c r="K4660">
        <f t="shared" si="72"/>
        <v>61</v>
      </c>
      <c r="L4660" s="8" t="str" cm="1">
        <f t="array" ref="L4660">_xlfn.IFS(
 AND(K4660&gt;=89,K4660&lt;=92),"3개월",
 AND(K4660&gt;=58,K4660&lt;=62),"2개월",
 AND(K4660&gt;=28,K4660&lt;=32),"1개월",
 AND(K4660=0),"당월",
 TRUE,"그외"
)</f>
        <v>2개월</v>
      </c>
    </row>
    <row r="4661" spans="1:12" x14ac:dyDescent="0.3">
      <c r="A4661" s="5">
        <v>45658</v>
      </c>
      <c r="B4661" s="6" t="s">
        <v>81</v>
      </c>
      <c r="C4661" s="6" t="s">
        <v>125</v>
      </c>
      <c r="D4661" s="5">
        <v>45597</v>
      </c>
      <c r="E4661" s="6" t="s">
        <v>15</v>
      </c>
      <c r="F4661" s="7">
        <v>95</v>
      </c>
      <c r="G4661" s="7">
        <v>407268.05263157887</v>
      </c>
      <c r="H4661" s="7">
        <v>38690465</v>
      </c>
      <c r="I4661" s="7">
        <v>3381449</v>
      </c>
      <c r="J4661" s="7">
        <v>0</v>
      </c>
      <c r="K4661">
        <f t="shared" si="72"/>
        <v>61</v>
      </c>
      <c r="L4661" s="8" t="str" cm="1">
        <f t="array" ref="L4661">_xlfn.IFS(
 AND(K4661&gt;=89,K4661&lt;=92),"3개월",
 AND(K4661&gt;=58,K4661&lt;=62),"2개월",
 AND(K4661&gt;=28,K4661&lt;=32),"1개월",
 AND(K4661=0),"당월",
 TRUE,"그외"
)</f>
        <v>2개월</v>
      </c>
    </row>
    <row r="4662" spans="1:12" x14ac:dyDescent="0.3">
      <c r="A4662" s="5">
        <v>45658</v>
      </c>
      <c r="B4662" s="6" t="s">
        <v>81</v>
      </c>
      <c r="C4662" s="6" t="s">
        <v>125</v>
      </c>
      <c r="D4662" s="5">
        <v>45627</v>
      </c>
      <c r="E4662" s="6" t="s">
        <v>14</v>
      </c>
      <c r="F4662" s="7">
        <v>228</v>
      </c>
      <c r="G4662" s="7">
        <v>388423.46929824562</v>
      </c>
      <c r="H4662" s="7">
        <v>88560551</v>
      </c>
      <c r="I4662" s="7">
        <v>11457835</v>
      </c>
      <c r="J4662" s="7">
        <v>0</v>
      </c>
      <c r="K4662">
        <f t="shared" si="72"/>
        <v>31</v>
      </c>
      <c r="L4662" s="8" t="str" cm="1">
        <f t="array" ref="L4662">_xlfn.IFS(
 AND(K4662&gt;=89,K4662&lt;=92),"3개월",
 AND(K4662&gt;=58,K4662&lt;=62),"2개월",
 AND(K4662&gt;=28,K4662&lt;=32),"1개월",
 AND(K4662=0),"당월",
 TRUE,"그외"
)</f>
        <v>1개월</v>
      </c>
    </row>
    <row r="4663" spans="1:12" x14ac:dyDescent="0.3">
      <c r="A4663" s="5">
        <v>45658</v>
      </c>
      <c r="B4663" s="6" t="s">
        <v>81</v>
      </c>
      <c r="C4663" s="6" t="s">
        <v>125</v>
      </c>
      <c r="D4663" s="5">
        <v>45627</v>
      </c>
      <c r="E4663" s="6" t="s">
        <v>15</v>
      </c>
      <c r="F4663" s="7">
        <v>331</v>
      </c>
      <c r="G4663" s="7">
        <v>387329.34138972813</v>
      </c>
      <c r="H4663" s="7">
        <v>128206012</v>
      </c>
      <c r="I4663" s="7">
        <v>13353620</v>
      </c>
      <c r="J4663" s="7">
        <v>0</v>
      </c>
      <c r="K4663">
        <f t="shared" si="72"/>
        <v>31</v>
      </c>
      <c r="L4663" s="8" t="str" cm="1">
        <f t="array" ref="L4663">_xlfn.IFS(
 AND(K4663&gt;=89,K4663&lt;=92),"3개월",
 AND(K4663&gt;=58,K4663&lt;=62),"2개월",
 AND(K4663&gt;=28,K4663&lt;=32),"1개월",
 AND(K4663=0),"당월",
 TRUE,"그외"
)</f>
        <v>1개월</v>
      </c>
    </row>
    <row r="4664" spans="1:12" x14ac:dyDescent="0.3">
      <c r="A4664" s="5">
        <v>45658</v>
      </c>
      <c r="B4664" s="6" t="s">
        <v>81</v>
      </c>
      <c r="C4664" s="6" t="s">
        <v>125</v>
      </c>
      <c r="D4664" s="5">
        <v>45658</v>
      </c>
      <c r="E4664" s="6" t="s">
        <v>14</v>
      </c>
      <c r="F4664" s="7">
        <v>265</v>
      </c>
      <c r="G4664" s="7">
        <v>409448.09811320761</v>
      </c>
      <c r="H4664" s="7">
        <v>108503746</v>
      </c>
      <c r="I4664" s="7">
        <v>14031610</v>
      </c>
      <c r="J4664" s="7">
        <v>0</v>
      </c>
      <c r="K4664">
        <f t="shared" si="72"/>
        <v>0</v>
      </c>
      <c r="L4664" s="8" t="str" cm="1">
        <f t="array" ref="L4664">_xlfn.IFS(
 AND(K4664&gt;=89,K4664&lt;=92),"3개월",
 AND(K4664&gt;=58,K4664&lt;=62),"2개월",
 AND(K4664&gt;=28,K4664&lt;=32),"1개월",
 AND(K4664=0),"당월",
 TRUE,"그외"
)</f>
        <v>당월</v>
      </c>
    </row>
    <row r="4665" spans="1:12" x14ac:dyDescent="0.3">
      <c r="A4665" s="5">
        <v>45658</v>
      </c>
      <c r="B4665" s="6" t="s">
        <v>81</v>
      </c>
      <c r="C4665" s="6" t="s">
        <v>125</v>
      </c>
      <c r="D4665" s="5">
        <v>45658</v>
      </c>
      <c r="E4665" s="6" t="s">
        <v>15</v>
      </c>
      <c r="F4665" s="7">
        <v>399</v>
      </c>
      <c r="G4665" s="7">
        <v>417283.22807017539</v>
      </c>
      <c r="H4665" s="7">
        <v>166496008</v>
      </c>
      <c r="I4665" s="7">
        <v>16363591</v>
      </c>
      <c r="J4665" s="7">
        <v>0</v>
      </c>
      <c r="K4665">
        <f t="shared" si="72"/>
        <v>0</v>
      </c>
      <c r="L4665" s="8" t="str" cm="1">
        <f t="array" ref="L4665">_xlfn.IFS(
 AND(K4665&gt;=89,K4665&lt;=92),"3개월",
 AND(K4665&gt;=58,K4665&lt;=62),"2개월",
 AND(K4665&gt;=28,K4665&lt;=32),"1개월",
 AND(K4665=0),"당월",
 TRUE,"그외"
)</f>
        <v>당월</v>
      </c>
    </row>
    <row r="4666" spans="1:12" x14ac:dyDescent="0.3">
      <c r="A4666" s="5">
        <v>45658</v>
      </c>
      <c r="B4666" s="6" t="s">
        <v>84</v>
      </c>
      <c r="C4666" s="6" t="s">
        <v>85</v>
      </c>
      <c r="D4666" s="5">
        <v>45505</v>
      </c>
      <c r="E4666" s="6" t="s">
        <v>15</v>
      </c>
      <c r="F4666" s="7">
        <v>216</v>
      </c>
      <c r="G4666" s="7">
        <v>757512.77777777775</v>
      </c>
      <c r="H4666" s="7">
        <v>163622760</v>
      </c>
      <c r="I4666" s="7">
        <v>23797702</v>
      </c>
      <c r="J4666" s="7">
        <v>0</v>
      </c>
      <c r="K4666">
        <f t="shared" si="72"/>
        <v>153</v>
      </c>
      <c r="L4666" s="8" t="str" cm="1">
        <f t="array" ref="L4666">_xlfn.IFS(
 AND(K4666&gt;=89,K4666&lt;=92),"3개월",
 AND(K4666&gt;=58,K4666&lt;=62),"2개월",
 AND(K4666&gt;=28,K4666&lt;=32),"1개월",
 AND(K4666=0),"당월",
 TRUE,"그외"
)</f>
        <v>그외</v>
      </c>
    </row>
    <row r="4667" spans="1:12" x14ac:dyDescent="0.3">
      <c r="A4667" s="5">
        <v>45658</v>
      </c>
      <c r="B4667" s="6" t="s">
        <v>84</v>
      </c>
      <c r="C4667" s="6" t="s">
        <v>85</v>
      </c>
      <c r="D4667" s="5">
        <v>45536</v>
      </c>
      <c r="E4667" s="6" t="s">
        <v>15</v>
      </c>
      <c r="F4667" s="7">
        <v>457</v>
      </c>
      <c r="G4667" s="7">
        <v>800915.85339168494</v>
      </c>
      <c r="H4667" s="7">
        <v>366018545</v>
      </c>
      <c r="I4667" s="7">
        <v>46033018</v>
      </c>
      <c r="J4667" s="7">
        <v>0</v>
      </c>
      <c r="K4667">
        <f t="shared" si="72"/>
        <v>122</v>
      </c>
      <c r="L4667" s="8" t="str" cm="1">
        <f t="array" ref="L4667">_xlfn.IFS(
 AND(K4667&gt;=89,K4667&lt;=92),"3개월",
 AND(K4667&gt;=58,K4667&lt;=62),"2개월",
 AND(K4667&gt;=28,K4667&lt;=32),"1개월",
 AND(K4667=0),"당월",
 TRUE,"그외"
)</f>
        <v>그외</v>
      </c>
    </row>
    <row r="4668" spans="1:12" x14ac:dyDescent="0.3">
      <c r="A4668" s="5">
        <v>45658</v>
      </c>
      <c r="B4668" s="6" t="s">
        <v>84</v>
      </c>
      <c r="C4668" s="6" t="s">
        <v>85</v>
      </c>
      <c r="D4668" s="5">
        <v>45566</v>
      </c>
      <c r="E4668" s="6" t="s">
        <v>15</v>
      </c>
      <c r="F4668" s="7">
        <v>942</v>
      </c>
      <c r="G4668" s="7">
        <v>696909.62738853507</v>
      </c>
      <c r="H4668" s="7">
        <v>656488869</v>
      </c>
      <c r="I4668" s="7">
        <v>72075343</v>
      </c>
      <c r="J4668" s="7">
        <v>0</v>
      </c>
      <c r="K4668">
        <f t="shared" si="72"/>
        <v>92</v>
      </c>
      <c r="L4668" s="8" t="str" cm="1">
        <f t="array" ref="L4668">_xlfn.IFS(
 AND(K4668&gt;=89,K4668&lt;=92),"3개월",
 AND(K4668&gt;=58,K4668&lt;=62),"2개월",
 AND(K4668&gt;=28,K4668&lt;=32),"1개월",
 AND(K4668=0),"당월",
 TRUE,"그외"
)</f>
        <v>3개월</v>
      </c>
    </row>
    <row r="4669" spans="1:12" x14ac:dyDescent="0.3">
      <c r="A4669" s="5">
        <v>45658</v>
      </c>
      <c r="B4669" s="6" t="s">
        <v>84</v>
      </c>
      <c r="C4669" s="6" t="s">
        <v>85</v>
      </c>
      <c r="D4669" s="5">
        <v>45597</v>
      </c>
      <c r="E4669" s="6" t="s">
        <v>14</v>
      </c>
      <c r="F4669" s="7">
        <v>103</v>
      </c>
      <c r="G4669" s="7">
        <v>715485.43689320388</v>
      </c>
      <c r="H4669" s="7">
        <v>73695000</v>
      </c>
      <c r="I4669" s="7">
        <v>3070000</v>
      </c>
      <c r="J4669" s="7">
        <v>0</v>
      </c>
      <c r="K4669">
        <f t="shared" si="72"/>
        <v>61</v>
      </c>
      <c r="L4669" s="8" t="str" cm="1">
        <f t="array" ref="L4669">_xlfn.IFS(
 AND(K4669&gt;=89,K4669&lt;=92),"3개월",
 AND(K4669&gt;=58,K4669&lt;=62),"2개월",
 AND(K4669&gt;=28,K4669&lt;=32),"1개월",
 AND(K4669=0),"당월",
 TRUE,"그외"
)</f>
        <v>2개월</v>
      </c>
    </row>
    <row r="4670" spans="1:12" x14ac:dyDescent="0.3">
      <c r="A4670" s="5">
        <v>45658</v>
      </c>
      <c r="B4670" s="6" t="s">
        <v>84</v>
      </c>
      <c r="C4670" s="6" t="s">
        <v>85</v>
      </c>
      <c r="D4670" s="5">
        <v>45597</v>
      </c>
      <c r="E4670" s="6" t="s">
        <v>15</v>
      </c>
      <c r="F4670" s="7">
        <v>761</v>
      </c>
      <c r="G4670" s="7">
        <v>828227.96057818655</v>
      </c>
      <c r="H4670" s="7">
        <v>630281478</v>
      </c>
      <c r="I4670" s="7">
        <v>59311067</v>
      </c>
      <c r="J4670" s="7">
        <v>0</v>
      </c>
      <c r="K4670">
        <f t="shared" si="72"/>
        <v>61</v>
      </c>
      <c r="L4670" s="8" t="str" cm="1">
        <f t="array" ref="L4670">_xlfn.IFS(
 AND(K4670&gt;=89,K4670&lt;=92),"3개월",
 AND(K4670&gt;=58,K4670&lt;=62),"2개월",
 AND(K4670&gt;=28,K4670&lt;=32),"1개월",
 AND(K4670=0),"당월",
 TRUE,"그외"
)</f>
        <v>2개월</v>
      </c>
    </row>
    <row r="4671" spans="1:12" x14ac:dyDescent="0.3">
      <c r="A4671" s="5">
        <v>45658</v>
      </c>
      <c r="B4671" s="6" t="s">
        <v>84</v>
      </c>
      <c r="C4671" s="6" t="s">
        <v>85</v>
      </c>
      <c r="D4671" s="5">
        <v>45627</v>
      </c>
      <c r="E4671" s="6" t="s">
        <v>14</v>
      </c>
      <c r="F4671" s="7">
        <v>1032</v>
      </c>
      <c r="G4671" s="7">
        <v>608033.72093023255</v>
      </c>
      <c r="H4671" s="7">
        <v>627490800</v>
      </c>
      <c r="I4671" s="7">
        <v>3440800</v>
      </c>
      <c r="J4671" s="7">
        <v>0</v>
      </c>
      <c r="K4671">
        <f t="shared" si="72"/>
        <v>31</v>
      </c>
      <c r="L4671" s="8" t="str" cm="1">
        <f t="array" ref="L4671">_xlfn.IFS(
 AND(K4671&gt;=89,K4671&lt;=92),"3개월",
 AND(K4671&gt;=58,K4671&lt;=62),"2개월",
 AND(K4671&gt;=28,K4671&lt;=32),"1개월",
 AND(K4671=0),"당월",
 TRUE,"그외"
)</f>
        <v>1개월</v>
      </c>
    </row>
    <row r="4672" spans="1:12" x14ac:dyDescent="0.3">
      <c r="A4672" s="5">
        <v>45658</v>
      </c>
      <c r="B4672" s="6" t="s">
        <v>84</v>
      </c>
      <c r="C4672" s="6" t="s">
        <v>85</v>
      </c>
      <c r="D4672" s="5">
        <v>45627</v>
      </c>
      <c r="E4672" s="6" t="s">
        <v>15</v>
      </c>
      <c r="F4672" s="7">
        <v>897</v>
      </c>
      <c r="G4672" s="7">
        <v>844766.02341137128</v>
      </c>
      <c r="H4672" s="7">
        <v>757755123</v>
      </c>
      <c r="I4672" s="7">
        <v>77278139</v>
      </c>
      <c r="J4672" s="7">
        <v>0</v>
      </c>
      <c r="K4672">
        <f t="shared" si="72"/>
        <v>31</v>
      </c>
      <c r="L4672" s="8" t="str" cm="1">
        <f t="array" ref="L4672">_xlfn.IFS(
 AND(K4672&gt;=89,K4672&lt;=92),"3개월",
 AND(K4672&gt;=58,K4672&lt;=62),"2개월",
 AND(K4672&gt;=28,K4672&lt;=32),"1개월",
 AND(K4672=0),"당월",
 TRUE,"그외"
)</f>
        <v>1개월</v>
      </c>
    </row>
    <row r="4673" spans="1:12" x14ac:dyDescent="0.3">
      <c r="A4673" s="5">
        <v>45658</v>
      </c>
      <c r="B4673" s="6" t="s">
        <v>84</v>
      </c>
      <c r="C4673" s="6" t="s">
        <v>85</v>
      </c>
      <c r="D4673" s="5">
        <v>45658</v>
      </c>
      <c r="E4673" s="6" t="s">
        <v>14</v>
      </c>
      <c r="F4673" s="7">
        <v>2620</v>
      </c>
      <c r="G4673" s="7">
        <v>622557.25190839695</v>
      </c>
      <c r="H4673" s="7">
        <v>1631100000</v>
      </c>
      <c r="I4673" s="7">
        <v>4109400</v>
      </c>
      <c r="J4673" s="7">
        <v>0</v>
      </c>
      <c r="K4673">
        <f t="shared" si="72"/>
        <v>0</v>
      </c>
      <c r="L4673" s="8" t="str" cm="1">
        <f t="array" ref="L4673">_xlfn.IFS(
 AND(K4673&gt;=89,K4673&lt;=92),"3개월",
 AND(K4673&gt;=58,K4673&lt;=62),"2개월",
 AND(K4673&gt;=28,K4673&lt;=32),"1개월",
 AND(K4673=0),"당월",
 TRUE,"그외"
)</f>
        <v>당월</v>
      </c>
    </row>
    <row r="4674" spans="1:12" x14ac:dyDescent="0.3">
      <c r="A4674" s="5">
        <v>45658</v>
      </c>
      <c r="B4674" s="6" t="s">
        <v>84</v>
      </c>
      <c r="C4674" s="6" t="s">
        <v>85</v>
      </c>
      <c r="D4674" s="5">
        <v>45658</v>
      </c>
      <c r="E4674" s="6" t="s">
        <v>15</v>
      </c>
      <c r="F4674" s="7">
        <v>492</v>
      </c>
      <c r="G4674" s="7">
        <v>830809.46341463411</v>
      </c>
      <c r="H4674" s="7">
        <v>408758256</v>
      </c>
      <c r="I4674" s="7">
        <v>40674423</v>
      </c>
      <c r="J4674" s="7">
        <v>0</v>
      </c>
      <c r="K4674">
        <f t="shared" si="72"/>
        <v>0</v>
      </c>
      <c r="L4674" s="8" t="str" cm="1">
        <f t="array" ref="L4674">_xlfn.IFS(
 AND(K4674&gt;=89,K4674&lt;=92),"3개월",
 AND(K4674&gt;=58,K4674&lt;=62),"2개월",
 AND(K4674&gt;=28,K4674&lt;=32),"1개월",
 AND(K4674=0),"당월",
 TRUE,"그외"
)</f>
        <v>당월</v>
      </c>
    </row>
    <row r="4675" spans="1:12" x14ac:dyDescent="0.3">
      <c r="A4675" s="5">
        <v>45658</v>
      </c>
      <c r="B4675" s="6" t="s">
        <v>84</v>
      </c>
      <c r="C4675" s="6" t="s">
        <v>86</v>
      </c>
      <c r="D4675" s="5">
        <v>45505</v>
      </c>
      <c r="E4675" s="6" t="s">
        <v>14</v>
      </c>
      <c r="F4675" s="7">
        <v>3</v>
      </c>
      <c r="G4675" s="7">
        <v>658482</v>
      </c>
      <c r="H4675" s="7">
        <v>1975446</v>
      </c>
      <c r="I4675" s="7">
        <v>294600</v>
      </c>
      <c r="J4675" s="7">
        <v>0</v>
      </c>
      <c r="K4675">
        <f t="shared" si="72"/>
        <v>153</v>
      </c>
      <c r="L4675" s="8" t="str" cm="1">
        <f t="array" ref="L4675">_xlfn.IFS(
 AND(K4675&gt;=89,K4675&lt;=92),"3개월",
 AND(K4675&gt;=58,K4675&lt;=62),"2개월",
 AND(K4675&gt;=28,K4675&lt;=32),"1개월",
 AND(K4675=0),"당월",
 TRUE,"그외"
)</f>
        <v>그외</v>
      </c>
    </row>
    <row r="4676" spans="1:12" x14ac:dyDescent="0.3">
      <c r="A4676" s="5">
        <v>45658</v>
      </c>
      <c r="B4676" s="6" t="s">
        <v>84</v>
      </c>
      <c r="C4676" s="6" t="s">
        <v>86</v>
      </c>
      <c r="D4676" s="5">
        <v>45505</v>
      </c>
      <c r="E4676" s="6" t="s">
        <v>15</v>
      </c>
      <c r="F4676" s="7">
        <v>485</v>
      </c>
      <c r="G4676" s="7">
        <v>480090.85113402072</v>
      </c>
      <c r="H4676" s="7">
        <v>232844062.80000001</v>
      </c>
      <c r="I4676" s="7">
        <v>51067923.799999997</v>
      </c>
      <c r="J4676" s="7">
        <v>0</v>
      </c>
      <c r="K4676">
        <f t="shared" si="72"/>
        <v>153</v>
      </c>
      <c r="L4676" s="8" t="str" cm="1">
        <f t="array" ref="L4676">_xlfn.IFS(
 AND(K4676&gt;=89,K4676&lt;=92),"3개월",
 AND(K4676&gt;=58,K4676&lt;=62),"2개월",
 AND(K4676&gt;=28,K4676&lt;=32),"1개월",
 AND(K4676=0),"당월",
 TRUE,"그외"
)</f>
        <v>그외</v>
      </c>
    </row>
    <row r="4677" spans="1:12" x14ac:dyDescent="0.3">
      <c r="A4677" s="5">
        <v>45658</v>
      </c>
      <c r="B4677" s="6" t="s">
        <v>84</v>
      </c>
      <c r="C4677" s="6" t="s">
        <v>86</v>
      </c>
      <c r="D4677" s="5">
        <v>45536</v>
      </c>
      <c r="E4677" s="6" t="s">
        <v>15</v>
      </c>
      <c r="F4677" s="7">
        <v>662</v>
      </c>
      <c r="G4677" s="7">
        <v>583683.54984894255</v>
      </c>
      <c r="H4677" s="7">
        <v>386398510</v>
      </c>
      <c r="I4677" s="7">
        <v>64659177</v>
      </c>
      <c r="J4677" s="7">
        <v>0</v>
      </c>
      <c r="K4677">
        <f t="shared" si="72"/>
        <v>122</v>
      </c>
      <c r="L4677" s="8" t="str" cm="1">
        <f t="array" ref="L4677">_xlfn.IFS(
 AND(K4677&gt;=89,K4677&lt;=92),"3개월",
 AND(K4677&gt;=58,K4677&lt;=62),"2개월",
 AND(K4677&gt;=28,K4677&lt;=32),"1개월",
 AND(K4677=0),"당월",
 TRUE,"그외"
)</f>
        <v>그외</v>
      </c>
    </row>
    <row r="4678" spans="1:12" x14ac:dyDescent="0.3">
      <c r="A4678" s="5">
        <v>45658</v>
      </c>
      <c r="B4678" s="6" t="s">
        <v>84</v>
      </c>
      <c r="C4678" s="6" t="s">
        <v>86</v>
      </c>
      <c r="D4678" s="5">
        <v>45566</v>
      </c>
      <c r="E4678" s="6" t="s">
        <v>15</v>
      </c>
      <c r="F4678" s="7">
        <v>1050</v>
      </c>
      <c r="G4678" s="7">
        <v>600356.98476190481</v>
      </c>
      <c r="H4678" s="7">
        <v>630374834</v>
      </c>
      <c r="I4678" s="7">
        <v>80972497</v>
      </c>
      <c r="J4678" s="7">
        <v>0</v>
      </c>
      <c r="K4678">
        <f t="shared" si="72"/>
        <v>92</v>
      </c>
      <c r="L4678" s="8" t="str" cm="1">
        <f t="array" ref="L4678">_xlfn.IFS(
 AND(K4678&gt;=89,K4678&lt;=92),"3개월",
 AND(K4678&gt;=58,K4678&lt;=62),"2개월",
 AND(K4678&gt;=28,K4678&lt;=32),"1개월",
 AND(K4678=0),"당월",
 TRUE,"그외"
)</f>
        <v>3개월</v>
      </c>
    </row>
    <row r="4679" spans="1:12" x14ac:dyDescent="0.3">
      <c r="A4679" s="5">
        <v>45658</v>
      </c>
      <c r="B4679" s="6" t="s">
        <v>84</v>
      </c>
      <c r="C4679" s="6" t="s">
        <v>86</v>
      </c>
      <c r="D4679" s="5">
        <v>45597</v>
      </c>
      <c r="E4679" s="6" t="s">
        <v>14</v>
      </c>
      <c r="F4679" s="7">
        <v>159</v>
      </c>
      <c r="G4679" s="7">
        <v>366786.70440251572</v>
      </c>
      <c r="H4679" s="7">
        <v>58319086</v>
      </c>
      <c r="I4679" s="7">
        <v>9762600</v>
      </c>
      <c r="J4679" s="7">
        <v>0</v>
      </c>
      <c r="K4679">
        <f t="shared" si="72"/>
        <v>61</v>
      </c>
      <c r="L4679" s="8" t="str" cm="1">
        <f t="array" ref="L4679">_xlfn.IFS(
 AND(K4679&gt;=89,K4679&lt;=92),"3개월",
 AND(K4679&gt;=58,K4679&lt;=62),"2개월",
 AND(K4679&gt;=28,K4679&lt;=32),"1개월",
 AND(K4679=0),"당월",
 TRUE,"그외"
)</f>
        <v>2개월</v>
      </c>
    </row>
    <row r="4680" spans="1:12" x14ac:dyDescent="0.3">
      <c r="A4680" s="5">
        <v>45658</v>
      </c>
      <c r="B4680" s="6" t="s">
        <v>84</v>
      </c>
      <c r="C4680" s="6" t="s">
        <v>86</v>
      </c>
      <c r="D4680" s="5">
        <v>45597</v>
      </c>
      <c r="E4680" s="6" t="s">
        <v>15</v>
      </c>
      <c r="F4680" s="7">
        <v>813</v>
      </c>
      <c r="G4680" s="7">
        <v>697873.85854858544</v>
      </c>
      <c r="H4680" s="7">
        <v>567371447</v>
      </c>
      <c r="I4680" s="7">
        <v>65337991</v>
      </c>
      <c r="J4680" s="7">
        <v>0</v>
      </c>
      <c r="K4680">
        <f t="shared" si="72"/>
        <v>61</v>
      </c>
      <c r="L4680" s="8" t="str" cm="1">
        <f t="array" ref="L4680">_xlfn.IFS(
 AND(K4680&gt;=89,K4680&lt;=92),"3개월",
 AND(K4680&gt;=58,K4680&lt;=62),"2개월",
 AND(K4680&gt;=28,K4680&lt;=32),"1개월",
 AND(K4680=0),"당월",
 TRUE,"그외"
)</f>
        <v>2개월</v>
      </c>
    </row>
    <row r="4681" spans="1:12" x14ac:dyDescent="0.3">
      <c r="A4681" s="5">
        <v>45658</v>
      </c>
      <c r="B4681" s="6" t="s">
        <v>84</v>
      </c>
      <c r="C4681" s="6" t="s">
        <v>86</v>
      </c>
      <c r="D4681" s="5">
        <v>45627</v>
      </c>
      <c r="E4681" s="6" t="s">
        <v>14</v>
      </c>
      <c r="F4681" s="7">
        <v>1775</v>
      </c>
      <c r="G4681" s="7">
        <v>408787.05352112668</v>
      </c>
      <c r="H4681" s="7">
        <v>725597020</v>
      </c>
      <c r="I4681" s="7">
        <v>132716400</v>
      </c>
      <c r="J4681" s="7">
        <v>0</v>
      </c>
      <c r="K4681">
        <f t="shared" si="72"/>
        <v>31</v>
      </c>
      <c r="L4681" s="8" t="str" cm="1">
        <f t="array" ref="L4681">_xlfn.IFS(
 AND(K4681&gt;=89,K4681&lt;=92),"3개월",
 AND(K4681&gt;=58,K4681&lt;=62),"2개월",
 AND(K4681&gt;=28,K4681&lt;=32),"1개월",
 AND(K4681=0),"당월",
 TRUE,"그외"
)</f>
        <v>1개월</v>
      </c>
    </row>
    <row r="4682" spans="1:12" x14ac:dyDescent="0.3">
      <c r="A4682" s="5">
        <v>45658</v>
      </c>
      <c r="B4682" s="6" t="s">
        <v>84</v>
      </c>
      <c r="C4682" s="6" t="s">
        <v>86</v>
      </c>
      <c r="D4682" s="5">
        <v>45627</v>
      </c>
      <c r="E4682" s="6" t="s">
        <v>15</v>
      </c>
      <c r="F4682" s="7">
        <v>840</v>
      </c>
      <c r="G4682" s="7">
        <v>678586.21428571432</v>
      </c>
      <c r="H4682" s="7">
        <v>570012420</v>
      </c>
      <c r="I4682" s="7">
        <v>76069644</v>
      </c>
      <c r="J4682" s="7">
        <v>0</v>
      </c>
      <c r="K4682">
        <f t="shared" ref="K4682:K4745" si="73">A4682-D4682</f>
        <v>31</v>
      </c>
      <c r="L4682" s="8" t="str" cm="1">
        <f t="array" ref="L4682">_xlfn.IFS(
 AND(K4682&gt;=89,K4682&lt;=92),"3개월",
 AND(K4682&gt;=58,K4682&lt;=62),"2개월",
 AND(K4682&gt;=28,K4682&lt;=32),"1개월",
 AND(K4682=0),"당월",
 TRUE,"그외"
)</f>
        <v>1개월</v>
      </c>
    </row>
    <row r="4683" spans="1:12" x14ac:dyDescent="0.3">
      <c r="A4683" s="5">
        <v>45658</v>
      </c>
      <c r="B4683" s="6" t="s">
        <v>84</v>
      </c>
      <c r="C4683" s="6" t="s">
        <v>86</v>
      </c>
      <c r="D4683" s="5">
        <v>45658</v>
      </c>
      <c r="E4683" s="6" t="s">
        <v>14</v>
      </c>
      <c r="F4683" s="7">
        <v>1293</v>
      </c>
      <c r="G4683" s="7">
        <v>466552.29930394428</v>
      </c>
      <c r="H4683" s="7">
        <v>603252123</v>
      </c>
      <c r="I4683" s="7">
        <v>98394700</v>
      </c>
      <c r="J4683" s="7">
        <v>0</v>
      </c>
      <c r="K4683">
        <f t="shared" si="73"/>
        <v>0</v>
      </c>
      <c r="L4683" s="8" t="str" cm="1">
        <f t="array" ref="L4683">_xlfn.IFS(
 AND(K4683&gt;=89,K4683&lt;=92),"3개월",
 AND(K4683&gt;=58,K4683&lt;=62),"2개월",
 AND(K4683&gt;=28,K4683&lt;=32),"1개월",
 AND(K4683=0),"당월",
 TRUE,"그외"
)</f>
        <v>당월</v>
      </c>
    </row>
    <row r="4684" spans="1:12" x14ac:dyDescent="0.3">
      <c r="A4684" s="5">
        <v>45658</v>
      </c>
      <c r="B4684" s="6" t="s">
        <v>84</v>
      </c>
      <c r="C4684" s="6" t="s">
        <v>86</v>
      </c>
      <c r="D4684" s="5">
        <v>45658</v>
      </c>
      <c r="E4684" s="6" t="s">
        <v>15</v>
      </c>
      <c r="F4684" s="7">
        <v>713</v>
      </c>
      <c r="G4684" s="7">
        <v>575942.59046283306</v>
      </c>
      <c r="H4684" s="7">
        <v>410647067</v>
      </c>
      <c r="I4684" s="7">
        <v>64091322</v>
      </c>
      <c r="J4684" s="7">
        <v>0</v>
      </c>
      <c r="K4684">
        <f t="shared" si="73"/>
        <v>0</v>
      </c>
      <c r="L4684" s="8" t="str" cm="1">
        <f t="array" ref="L4684">_xlfn.IFS(
 AND(K4684&gt;=89,K4684&lt;=92),"3개월",
 AND(K4684&gt;=58,K4684&lt;=62),"2개월",
 AND(K4684&gt;=28,K4684&lt;=32),"1개월",
 AND(K4684=0),"당월",
 TRUE,"그외"
)</f>
        <v>당월</v>
      </c>
    </row>
    <row r="4685" spans="1:12" x14ac:dyDescent="0.3">
      <c r="A4685" s="5">
        <v>45658</v>
      </c>
      <c r="B4685" s="6" t="s">
        <v>84</v>
      </c>
      <c r="C4685" s="6" t="s">
        <v>87</v>
      </c>
      <c r="D4685" s="5">
        <v>45505</v>
      </c>
      <c r="E4685" s="6" t="s">
        <v>15</v>
      </c>
      <c r="F4685" s="7">
        <v>312</v>
      </c>
      <c r="G4685" s="7">
        <v>379814.516025641</v>
      </c>
      <c r="H4685" s="7">
        <v>118502129</v>
      </c>
      <c r="I4685" s="7">
        <v>31629115</v>
      </c>
      <c r="J4685" s="7">
        <v>0</v>
      </c>
      <c r="K4685">
        <f t="shared" si="73"/>
        <v>153</v>
      </c>
      <c r="L4685" s="8" t="str" cm="1">
        <f t="array" ref="L4685">_xlfn.IFS(
 AND(K4685&gt;=89,K4685&lt;=92),"3개월",
 AND(K4685&gt;=58,K4685&lt;=62),"2개월",
 AND(K4685&gt;=28,K4685&lt;=32),"1개월",
 AND(K4685=0),"당월",
 TRUE,"그외"
)</f>
        <v>그외</v>
      </c>
    </row>
    <row r="4686" spans="1:12" x14ac:dyDescent="0.3">
      <c r="A4686" s="5">
        <v>45658</v>
      </c>
      <c r="B4686" s="6" t="s">
        <v>84</v>
      </c>
      <c r="C4686" s="6" t="s">
        <v>87</v>
      </c>
      <c r="D4686" s="5">
        <v>45536</v>
      </c>
      <c r="E4686" s="6" t="s">
        <v>15</v>
      </c>
      <c r="F4686" s="7">
        <v>409</v>
      </c>
      <c r="G4686" s="7">
        <v>428406.72127139359</v>
      </c>
      <c r="H4686" s="7">
        <v>175218349</v>
      </c>
      <c r="I4686" s="7">
        <v>38723679</v>
      </c>
      <c r="J4686" s="7">
        <v>0</v>
      </c>
      <c r="K4686">
        <f t="shared" si="73"/>
        <v>122</v>
      </c>
      <c r="L4686" s="8" t="str" cm="1">
        <f t="array" ref="L4686">_xlfn.IFS(
 AND(K4686&gt;=89,K4686&lt;=92),"3개월",
 AND(K4686&gt;=58,K4686&lt;=62),"2개월",
 AND(K4686&gt;=28,K4686&lt;=32),"1개월",
 AND(K4686=0),"당월",
 TRUE,"그외"
)</f>
        <v>그외</v>
      </c>
    </row>
    <row r="4687" spans="1:12" x14ac:dyDescent="0.3">
      <c r="A4687" s="5">
        <v>45658</v>
      </c>
      <c r="B4687" s="6" t="s">
        <v>84</v>
      </c>
      <c r="C4687" s="6" t="s">
        <v>87</v>
      </c>
      <c r="D4687" s="5">
        <v>45566</v>
      </c>
      <c r="E4687" s="6" t="s">
        <v>14</v>
      </c>
      <c r="F4687" s="7">
        <v>2</v>
      </c>
      <c r="G4687" s="7">
        <v>357643</v>
      </c>
      <c r="H4687" s="7">
        <v>715286</v>
      </c>
      <c r="I4687" s="7">
        <v>268232</v>
      </c>
      <c r="J4687" s="7">
        <v>0</v>
      </c>
      <c r="K4687">
        <f t="shared" si="73"/>
        <v>92</v>
      </c>
      <c r="L4687" s="8" t="str" cm="1">
        <f t="array" ref="L4687">_xlfn.IFS(
 AND(K4687&gt;=89,K4687&lt;=92),"3개월",
 AND(K4687&gt;=58,K4687&lt;=62),"2개월",
 AND(K4687&gt;=28,K4687&lt;=32),"1개월",
 AND(K4687=0),"당월",
 TRUE,"그외"
)</f>
        <v>3개월</v>
      </c>
    </row>
    <row r="4688" spans="1:12" x14ac:dyDescent="0.3">
      <c r="A4688" s="5">
        <v>45658</v>
      </c>
      <c r="B4688" s="6" t="s">
        <v>84</v>
      </c>
      <c r="C4688" s="6" t="s">
        <v>87</v>
      </c>
      <c r="D4688" s="5">
        <v>45566</v>
      </c>
      <c r="E4688" s="6" t="s">
        <v>15</v>
      </c>
      <c r="F4688" s="7">
        <v>917</v>
      </c>
      <c r="G4688" s="7">
        <v>436649.9018538713</v>
      </c>
      <c r="H4688" s="7">
        <v>400407960</v>
      </c>
      <c r="I4688" s="7">
        <v>71598404</v>
      </c>
      <c r="J4688" s="7">
        <v>0</v>
      </c>
      <c r="K4688">
        <f t="shared" si="73"/>
        <v>92</v>
      </c>
      <c r="L4688" s="8" t="str" cm="1">
        <f t="array" ref="L4688">_xlfn.IFS(
 AND(K4688&gt;=89,K4688&lt;=92),"3개월",
 AND(K4688&gt;=58,K4688&lt;=62),"2개월",
 AND(K4688&gt;=28,K4688&lt;=32),"1개월",
 AND(K4688=0),"당월",
 TRUE,"그외"
)</f>
        <v>3개월</v>
      </c>
    </row>
    <row r="4689" spans="1:12" x14ac:dyDescent="0.3">
      <c r="A4689" s="5">
        <v>45658</v>
      </c>
      <c r="B4689" s="6" t="s">
        <v>84</v>
      </c>
      <c r="C4689" s="6" t="s">
        <v>87</v>
      </c>
      <c r="D4689" s="5">
        <v>45597</v>
      </c>
      <c r="E4689" s="6" t="s">
        <v>14</v>
      </c>
      <c r="F4689" s="7">
        <v>95</v>
      </c>
      <c r="G4689" s="7">
        <v>661400</v>
      </c>
      <c r="H4689" s="7">
        <v>62833000</v>
      </c>
      <c r="I4689" s="7">
        <v>5833000</v>
      </c>
      <c r="J4689" s="7">
        <v>0</v>
      </c>
      <c r="K4689">
        <f t="shared" si="73"/>
        <v>61</v>
      </c>
      <c r="L4689" s="8" t="str" cm="1">
        <f t="array" ref="L4689">_xlfn.IFS(
 AND(K4689&gt;=89,K4689&lt;=92),"3개월",
 AND(K4689&gt;=58,K4689&lt;=62),"2개월",
 AND(K4689&gt;=28,K4689&lt;=32),"1개월",
 AND(K4689=0),"당월",
 TRUE,"그외"
)</f>
        <v>2개월</v>
      </c>
    </row>
    <row r="4690" spans="1:12" x14ac:dyDescent="0.3">
      <c r="A4690" s="5">
        <v>45658</v>
      </c>
      <c r="B4690" s="6" t="s">
        <v>84</v>
      </c>
      <c r="C4690" s="6" t="s">
        <v>87</v>
      </c>
      <c r="D4690" s="5">
        <v>45597</v>
      </c>
      <c r="E4690" s="6" t="s">
        <v>15</v>
      </c>
      <c r="F4690" s="7">
        <v>696</v>
      </c>
      <c r="G4690" s="7">
        <v>481128.98706896551</v>
      </c>
      <c r="H4690" s="7">
        <v>334865775</v>
      </c>
      <c r="I4690" s="7">
        <v>58021057</v>
      </c>
      <c r="J4690" s="7">
        <v>0</v>
      </c>
      <c r="K4690">
        <f t="shared" si="73"/>
        <v>61</v>
      </c>
      <c r="L4690" s="8" t="str" cm="1">
        <f t="array" ref="L4690">_xlfn.IFS(
 AND(K4690&gt;=89,K4690&lt;=92),"3개월",
 AND(K4690&gt;=58,K4690&lt;=62),"2개월",
 AND(K4690&gt;=28,K4690&lt;=32),"1개월",
 AND(K4690=0),"당월",
 TRUE,"그외"
)</f>
        <v>2개월</v>
      </c>
    </row>
    <row r="4691" spans="1:12" x14ac:dyDescent="0.3">
      <c r="A4691" s="5">
        <v>45658</v>
      </c>
      <c r="B4691" s="6" t="s">
        <v>84</v>
      </c>
      <c r="C4691" s="6" t="s">
        <v>87</v>
      </c>
      <c r="D4691" s="5">
        <v>45627</v>
      </c>
      <c r="E4691" s="6" t="s">
        <v>14</v>
      </c>
      <c r="F4691" s="7">
        <v>916</v>
      </c>
      <c r="G4691" s="7">
        <v>336672.27074235812</v>
      </c>
      <c r="H4691" s="7">
        <v>308391800</v>
      </c>
      <c r="I4691" s="7">
        <v>68516800</v>
      </c>
      <c r="J4691" s="7">
        <v>0</v>
      </c>
      <c r="K4691">
        <f t="shared" si="73"/>
        <v>31</v>
      </c>
      <c r="L4691" s="8" t="str" cm="1">
        <f t="array" ref="L4691">_xlfn.IFS(
 AND(K4691&gt;=89,K4691&lt;=92),"3개월",
 AND(K4691&gt;=58,K4691&lt;=62),"2개월",
 AND(K4691&gt;=28,K4691&lt;=32),"1개월",
 AND(K4691=0),"당월",
 TRUE,"그외"
)</f>
        <v>1개월</v>
      </c>
    </row>
    <row r="4692" spans="1:12" x14ac:dyDescent="0.3">
      <c r="A4692" s="5">
        <v>45658</v>
      </c>
      <c r="B4692" s="6" t="s">
        <v>84</v>
      </c>
      <c r="C4692" s="6" t="s">
        <v>87</v>
      </c>
      <c r="D4692" s="5">
        <v>45627</v>
      </c>
      <c r="E4692" s="6" t="s">
        <v>15</v>
      </c>
      <c r="F4692" s="7">
        <v>1039</v>
      </c>
      <c r="G4692" s="7">
        <v>531957.09432146291</v>
      </c>
      <c r="H4692" s="7">
        <v>552703421</v>
      </c>
      <c r="I4692" s="7">
        <v>94977308</v>
      </c>
      <c r="J4692" s="7">
        <v>0</v>
      </c>
      <c r="K4692">
        <f t="shared" si="73"/>
        <v>31</v>
      </c>
      <c r="L4692" s="8" t="str" cm="1">
        <f t="array" ref="L4692">_xlfn.IFS(
 AND(K4692&gt;=89,K4692&lt;=92),"3개월",
 AND(K4692&gt;=58,K4692&lt;=62),"2개월",
 AND(K4692&gt;=28,K4692&lt;=32),"1개월",
 AND(K4692=0),"당월",
 TRUE,"그외"
)</f>
        <v>1개월</v>
      </c>
    </row>
    <row r="4693" spans="1:12" x14ac:dyDescent="0.3">
      <c r="A4693" s="5">
        <v>45658</v>
      </c>
      <c r="B4693" s="6" t="s">
        <v>84</v>
      </c>
      <c r="C4693" s="6" t="s">
        <v>87</v>
      </c>
      <c r="D4693" s="5">
        <v>45658</v>
      </c>
      <c r="E4693" s="6" t="s">
        <v>14</v>
      </c>
      <c r="F4693" s="7">
        <v>1111</v>
      </c>
      <c r="G4693" s="7">
        <v>330262.91629162908</v>
      </c>
      <c r="H4693" s="7">
        <v>366922100</v>
      </c>
      <c r="I4693" s="7">
        <v>84547100</v>
      </c>
      <c r="J4693" s="7">
        <v>0</v>
      </c>
      <c r="K4693">
        <f t="shared" si="73"/>
        <v>0</v>
      </c>
      <c r="L4693" s="8" t="str" cm="1">
        <f t="array" ref="L4693">_xlfn.IFS(
 AND(K4693&gt;=89,K4693&lt;=92),"3개월",
 AND(K4693&gt;=58,K4693&lt;=62),"2개월",
 AND(K4693&gt;=28,K4693&lt;=32),"1개월",
 AND(K4693=0),"당월",
 TRUE,"그외"
)</f>
        <v>당월</v>
      </c>
    </row>
    <row r="4694" spans="1:12" x14ac:dyDescent="0.3">
      <c r="A4694" s="5">
        <v>45658</v>
      </c>
      <c r="B4694" s="6" t="s">
        <v>84</v>
      </c>
      <c r="C4694" s="6" t="s">
        <v>87</v>
      </c>
      <c r="D4694" s="5">
        <v>45658</v>
      </c>
      <c r="E4694" s="6" t="s">
        <v>15</v>
      </c>
      <c r="F4694" s="7">
        <v>851</v>
      </c>
      <c r="G4694" s="7">
        <v>516890.73560517043</v>
      </c>
      <c r="H4694" s="7">
        <v>439874016</v>
      </c>
      <c r="I4694" s="7">
        <v>80586741</v>
      </c>
      <c r="J4694" s="7">
        <v>0</v>
      </c>
      <c r="K4694">
        <f t="shared" si="73"/>
        <v>0</v>
      </c>
      <c r="L4694" s="8" t="str" cm="1">
        <f t="array" ref="L4694">_xlfn.IFS(
 AND(K4694&gt;=89,K4694&lt;=92),"3개월",
 AND(K4694&gt;=58,K4694&lt;=62),"2개월",
 AND(K4694&gt;=28,K4694&lt;=32),"1개월",
 AND(K4694=0),"당월",
 TRUE,"그외"
)</f>
        <v>당월</v>
      </c>
    </row>
    <row r="4695" spans="1:12" x14ac:dyDescent="0.3">
      <c r="A4695" s="5">
        <v>45658</v>
      </c>
      <c r="B4695" s="6" t="s">
        <v>84</v>
      </c>
      <c r="C4695" s="6" t="s">
        <v>88</v>
      </c>
      <c r="D4695" s="5">
        <v>45505</v>
      </c>
      <c r="E4695" s="6" t="s">
        <v>15</v>
      </c>
      <c r="F4695" s="7">
        <v>442</v>
      </c>
      <c r="G4695" s="7">
        <v>452953.39457013569</v>
      </c>
      <c r="H4695" s="7">
        <v>200205400.40000001</v>
      </c>
      <c r="I4695" s="7">
        <v>46388809.399999999</v>
      </c>
      <c r="J4695" s="7">
        <v>0</v>
      </c>
      <c r="K4695">
        <f t="shared" si="73"/>
        <v>153</v>
      </c>
      <c r="L4695" s="8" t="str" cm="1">
        <f t="array" ref="L4695">_xlfn.IFS(
 AND(K4695&gt;=89,K4695&lt;=92),"3개월",
 AND(K4695&gt;=58,K4695&lt;=62),"2개월",
 AND(K4695&gt;=28,K4695&lt;=32),"1개월",
 AND(K4695=0),"당월",
 TRUE,"그외"
)</f>
        <v>그외</v>
      </c>
    </row>
    <row r="4696" spans="1:12" x14ac:dyDescent="0.3">
      <c r="A4696" s="5">
        <v>45658</v>
      </c>
      <c r="B4696" s="6" t="s">
        <v>84</v>
      </c>
      <c r="C4696" s="6" t="s">
        <v>88</v>
      </c>
      <c r="D4696" s="5">
        <v>45536</v>
      </c>
      <c r="E4696" s="6" t="s">
        <v>15</v>
      </c>
      <c r="F4696" s="7">
        <v>746</v>
      </c>
      <c r="G4696" s="7">
        <v>573152.59651474527</v>
      </c>
      <c r="H4696" s="7">
        <v>427571837</v>
      </c>
      <c r="I4696" s="7">
        <v>72346870</v>
      </c>
      <c r="J4696" s="7">
        <v>0</v>
      </c>
      <c r="K4696">
        <f t="shared" si="73"/>
        <v>122</v>
      </c>
      <c r="L4696" s="8" t="str" cm="1">
        <f t="array" ref="L4696">_xlfn.IFS(
 AND(K4696&gt;=89,K4696&lt;=92),"3개월",
 AND(K4696&gt;=58,K4696&lt;=62),"2개월",
 AND(K4696&gt;=28,K4696&lt;=32),"1개월",
 AND(K4696=0),"당월",
 TRUE,"그외"
)</f>
        <v>그외</v>
      </c>
    </row>
    <row r="4697" spans="1:12" x14ac:dyDescent="0.3">
      <c r="A4697" s="5">
        <v>45658</v>
      </c>
      <c r="B4697" s="6" t="s">
        <v>84</v>
      </c>
      <c r="C4697" s="6" t="s">
        <v>88</v>
      </c>
      <c r="D4697" s="5">
        <v>45566</v>
      </c>
      <c r="E4697" s="6" t="s">
        <v>15</v>
      </c>
      <c r="F4697" s="7">
        <v>1478</v>
      </c>
      <c r="G4697" s="7">
        <v>599484.30175913393</v>
      </c>
      <c r="H4697" s="7">
        <v>886037798</v>
      </c>
      <c r="I4697" s="7">
        <v>118164239</v>
      </c>
      <c r="J4697" s="7">
        <v>0</v>
      </c>
      <c r="K4697">
        <f t="shared" si="73"/>
        <v>92</v>
      </c>
      <c r="L4697" s="8" t="str" cm="1">
        <f t="array" ref="L4697">_xlfn.IFS(
 AND(K4697&gt;=89,K4697&lt;=92),"3개월",
 AND(K4697&gt;=58,K4697&lt;=62),"2개월",
 AND(K4697&gt;=28,K4697&lt;=32),"1개월",
 AND(K4697=0),"당월",
 TRUE,"그외"
)</f>
        <v>3개월</v>
      </c>
    </row>
    <row r="4698" spans="1:12" x14ac:dyDescent="0.3">
      <c r="A4698" s="5">
        <v>45658</v>
      </c>
      <c r="B4698" s="6" t="s">
        <v>84</v>
      </c>
      <c r="C4698" s="6" t="s">
        <v>88</v>
      </c>
      <c r="D4698" s="5">
        <v>45597</v>
      </c>
      <c r="E4698" s="6" t="s">
        <v>14</v>
      </c>
      <c r="F4698" s="7">
        <v>2</v>
      </c>
      <c r="G4698" s="7">
        <v>317799</v>
      </c>
      <c r="H4698" s="7">
        <v>635598</v>
      </c>
      <c r="I4698" s="7">
        <v>122800</v>
      </c>
      <c r="J4698" s="7">
        <v>0</v>
      </c>
      <c r="K4698">
        <f t="shared" si="73"/>
        <v>61</v>
      </c>
      <c r="L4698" s="8" t="str" cm="1">
        <f t="array" ref="L4698">_xlfn.IFS(
 AND(K4698&gt;=89,K4698&lt;=92),"3개월",
 AND(K4698&gt;=58,K4698&lt;=62),"2개월",
 AND(K4698&gt;=28,K4698&lt;=32),"1개월",
 AND(K4698=0),"당월",
 TRUE,"그외"
)</f>
        <v>2개월</v>
      </c>
    </row>
    <row r="4699" spans="1:12" x14ac:dyDescent="0.3">
      <c r="A4699" s="5">
        <v>45658</v>
      </c>
      <c r="B4699" s="6" t="s">
        <v>84</v>
      </c>
      <c r="C4699" s="6" t="s">
        <v>88</v>
      </c>
      <c r="D4699" s="5">
        <v>45597</v>
      </c>
      <c r="E4699" s="6" t="s">
        <v>15</v>
      </c>
      <c r="F4699" s="7">
        <v>1136</v>
      </c>
      <c r="G4699" s="7">
        <v>644656.52728873235</v>
      </c>
      <c r="H4699" s="7">
        <v>732329815</v>
      </c>
      <c r="I4699" s="7">
        <v>90799513</v>
      </c>
      <c r="J4699" s="7">
        <v>0</v>
      </c>
      <c r="K4699">
        <f t="shared" si="73"/>
        <v>61</v>
      </c>
      <c r="L4699" s="8" t="str" cm="1">
        <f t="array" ref="L4699">_xlfn.IFS(
 AND(K4699&gt;=89,K4699&lt;=92),"3개월",
 AND(K4699&gt;=58,K4699&lt;=62),"2개월",
 AND(K4699&gt;=28,K4699&lt;=32),"1개월",
 AND(K4699=0),"당월",
 TRUE,"그외"
)</f>
        <v>2개월</v>
      </c>
    </row>
    <row r="4700" spans="1:12" x14ac:dyDescent="0.3">
      <c r="A4700" s="5">
        <v>45658</v>
      </c>
      <c r="B4700" s="6" t="s">
        <v>84</v>
      </c>
      <c r="C4700" s="6" t="s">
        <v>88</v>
      </c>
      <c r="D4700" s="5">
        <v>45627</v>
      </c>
      <c r="E4700" s="6" t="s">
        <v>14</v>
      </c>
      <c r="F4700" s="7">
        <v>564</v>
      </c>
      <c r="G4700" s="7">
        <v>429662.12234042562</v>
      </c>
      <c r="H4700" s="7">
        <v>242329437</v>
      </c>
      <c r="I4700" s="7">
        <v>42187200</v>
      </c>
      <c r="J4700" s="7">
        <v>0</v>
      </c>
      <c r="K4700">
        <f t="shared" si="73"/>
        <v>31</v>
      </c>
      <c r="L4700" s="8" t="str" cm="1">
        <f t="array" ref="L4700">_xlfn.IFS(
 AND(K4700&gt;=89,K4700&lt;=92),"3개월",
 AND(K4700&gt;=58,K4700&lt;=62),"2개월",
 AND(K4700&gt;=28,K4700&lt;=32),"1개월",
 AND(K4700=0),"당월",
 TRUE,"그외"
)</f>
        <v>1개월</v>
      </c>
    </row>
    <row r="4701" spans="1:12" x14ac:dyDescent="0.3">
      <c r="A4701" s="5">
        <v>45658</v>
      </c>
      <c r="B4701" s="6" t="s">
        <v>84</v>
      </c>
      <c r="C4701" s="6" t="s">
        <v>88</v>
      </c>
      <c r="D4701" s="5">
        <v>45627</v>
      </c>
      <c r="E4701" s="6" t="s">
        <v>15</v>
      </c>
      <c r="F4701" s="7">
        <v>1790</v>
      </c>
      <c r="G4701" s="7">
        <v>598847.11620111729</v>
      </c>
      <c r="H4701" s="7">
        <v>1071936338</v>
      </c>
      <c r="I4701" s="7">
        <v>169964483</v>
      </c>
      <c r="J4701" s="7">
        <v>0</v>
      </c>
      <c r="K4701">
        <f t="shared" si="73"/>
        <v>31</v>
      </c>
      <c r="L4701" s="8" t="str" cm="1">
        <f t="array" ref="L4701">_xlfn.IFS(
 AND(K4701&gt;=89,K4701&lt;=92),"3개월",
 AND(K4701&gt;=58,K4701&lt;=62),"2개월",
 AND(K4701&gt;=28,K4701&lt;=32),"1개월",
 AND(K4701=0),"당월",
 TRUE,"그외"
)</f>
        <v>1개월</v>
      </c>
    </row>
    <row r="4702" spans="1:12" x14ac:dyDescent="0.3">
      <c r="A4702" s="5">
        <v>45658</v>
      </c>
      <c r="B4702" s="6" t="s">
        <v>84</v>
      </c>
      <c r="C4702" s="6" t="s">
        <v>88</v>
      </c>
      <c r="D4702" s="5">
        <v>45658</v>
      </c>
      <c r="E4702" s="6" t="s">
        <v>14</v>
      </c>
      <c r="F4702" s="7">
        <v>540</v>
      </c>
      <c r="G4702" s="7">
        <v>516588.46666666667</v>
      </c>
      <c r="H4702" s="7">
        <v>278957772</v>
      </c>
      <c r="I4702" s="7">
        <v>41092700</v>
      </c>
      <c r="J4702" s="7">
        <v>0</v>
      </c>
      <c r="K4702">
        <f t="shared" si="73"/>
        <v>0</v>
      </c>
      <c r="L4702" s="8" t="str" cm="1">
        <f t="array" ref="L4702">_xlfn.IFS(
 AND(K4702&gt;=89,K4702&lt;=92),"3개월",
 AND(K4702&gt;=58,K4702&lt;=62),"2개월",
 AND(K4702&gt;=28,K4702&lt;=32),"1개월",
 AND(K4702=0),"당월",
 TRUE,"그외"
)</f>
        <v>당월</v>
      </c>
    </row>
    <row r="4703" spans="1:12" x14ac:dyDescent="0.3">
      <c r="A4703" s="5">
        <v>45658</v>
      </c>
      <c r="B4703" s="6" t="s">
        <v>84</v>
      </c>
      <c r="C4703" s="6" t="s">
        <v>88</v>
      </c>
      <c r="D4703" s="5">
        <v>45658</v>
      </c>
      <c r="E4703" s="6" t="s">
        <v>15</v>
      </c>
      <c r="F4703" s="7">
        <v>1741</v>
      </c>
      <c r="G4703" s="7">
        <v>575314.65020103392</v>
      </c>
      <c r="H4703" s="7">
        <v>1001622806</v>
      </c>
      <c r="I4703" s="7">
        <v>160328197</v>
      </c>
      <c r="J4703" s="7">
        <v>0</v>
      </c>
      <c r="K4703">
        <f t="shared" si="73"/>
        <v>0</v>
      </c>
      <c r="L4703" s="8" t="str" cm="1">
        <f t="array" ref="L4703">_xlfn.IFS(
 AND(K4703&gt;=89,K4703&lt;=92),"3개월",
 AND(K4703&gt;=58,K4703&lt;=62),"2개월",
 AND(K4703&gt;=28,K4703&lt;=32),"1개월",
 AND(K4703=0),"당월",
 TRUE,"그외"
)</f>
        <v>당월</v>
      </c>
    </row>
    <row r="4704" spans="1:12" x14ac:dyDescent="0.3">
      <c r="A4704" s="5">
        <v>45689</v>
      </c>
      <c r="B4704" s="6" t="s">
        <v>12</v>
      </c>
      <c r="C4704" s="6" t="s">
        <v>13</v>
      </c>
      <c r="D4704" s="5">
        <v>45505</v>
      </c>
      <c r="E4704" s="6" t="s">
        <v>15</v>
      </c>
      <c r="F4704" s="7">
        <v>280</v>
      </c>
      <c r="G4704" s="7">
        <v>45781.367857142854</v>
      </c>
      <c r="H4704" s="7">
        <v>12818783</v>
      </c>
      <c r="I4704" s="7">
        <v>2772000</v>
      </c>
      <c r="J4704" s="7">
        <v>252000</v>
      </c>
      <c r="K4704">
        <f t="shared" si="73"/>
        <v>184</v>
      </c>
      <c r="L4704" s="8" t="str" cm="1">
        <f t="array" ref="L4704">_xlfn.IFS(
 AND(K4704&gt;=89,K4704&lt;=92),"3개월",
 AND(K4704&gt;=58,K4704&lt;=62),"2개월",
 AND(K4704&gt;=28,K4704&lt;=32),"1개월",
 AND(K4704=0),"당월",
 TRUE,"그외"
)</f>
        <v>그외</v>
      </c>
    </row>
    <row r="4705" spans="1:12" x14ac:dyDescent="0.3">
      <c r="A4705" s="5">
        <v>45689</v>
      </c>
      <c r="B4705" s="6" t="s">
        <v>12</v>
      </c>
      <c r="C4705" s="6" t="s">
        <v>13</v>
      </c>
      <c r="D4705" s="5">
        <v>45536</v>
      </c>
      <c r="E4705" s="6" t="s">
        <v>15</v>
      </c>
      <c r="F4705" s="7">
        <v>570</v>
      </c>
      <c r="G4705" s="7">
        <v>52185.57543859649</v>
      </c>
      <c r="H4705" s="7">
        <v>29745778</v>
      </c>
      <c r="I4705" s="7">
        <v>5643000</v>
      </c>
      <c r="J4705" s="7">
        <v>513000</v>
      </c>
      <c r="K4705">
        <f t="shared" si="73"/>
        <v>153</v>
      </c>
      <c r="L4705" s="8" t="str" cm="1">
        <f t="array" ref="L4705">_xlfn.IFS(
 AND(K4705&gt;=89,K4705&lt;=92),"3개월",
 AND(K4705&gt;=58,K4705&lt;=62),"2개월",
 AND(K4705&gt;=28,K4705&lt;=32),"1개월",
 AND(K4705=0),"당월",
 TRUE,"그외"
)</f>
        <v>그외</v>
      </c>
    </row>
    <row r="4706" spans="1:12" x14ac:dyDescent="0.3">
      <c r="A4706" s="5">
        <v>45689</v>
      </c>
      <c r="B4706" s="6" t="s">
        <v>12</v>
      </c>
      <c r="C4706" s="6" t="s">
        <v>13</v>
      </c>
      <c r="D4706" s="5">
        <v>45566</v>
      </c>
      <c r="E4706" s="6" t="s">
        <v>15</v>
      </c>
      <c r="F4706" s="7">
        <v>892</v>
      </c>
      <c r="G4706" s="7">
        <v>48013.920403587443</v>
      </c>
      <c r="H4706" s="7">
        <v>42828417</v>
      </c>
      <c r="I4706" s="7">
        <v>7860600</v>
      </c>
      <c r="J4706" s="7">
        <v>714600</v>
      </c>
      <c r="K4706">
        <f t="shared" si="73"/>
        <v>123</v>
      </c>
      <c r="L4706" s="8" t="str" cm="1">
        <f t="array" ref="L4706">_xlfn.IFS(
 AND(K4706&gt;=89,K4706&lt;=92),"3개월",
 AND(K4706&gt;=58,K4706&lt;=62),"2개월",
 AND(K4706&gt;=28,K4706&lt;=32),"1개월",
 AND(K4706=0),"당월",
 TRUE,"그외"
)</f>
        <v>그외</v>
      </c>
    </row>
    <row r="4707" spans="1:12" x14ac:dyDescent="0.3">
      <c r="A4707" s="5">
        <v>45689</v>
      </c>
      <c r="B4707" s="6" t="s">
        <v>12</v>
      </c>
      <c r="C4707" s="6" t="s">
        <v>13</v>
      </c>
      <c r="D4707" s="5">
        <v>45597</v>
      </c>
      <c r="E4707" s="6" t="s">
        <v>14</v>
      </c>
      <c r="F4707" s="7">
        <v>68</v>
      </c>
      <c r="G4707" s="7">
        <v>80182.5</v>
      </c>
      <c r="H4707" s="7">
        <v>5452410</v>
      </c>
      <c r="I4707" s="7">
        <v>523600</v>
      </c>
      <c r="J4707" s="7">
        <v>47600</v>
      </c>
      <c r="K4707">
        <f t="shared" si="73"/>
        <v>92</v>
      </c>
      <c r="L4707" s="8" t="str" cm="1">
        <f t="array" ref="L4707">_xlfn.IFS(
 AND(K4707&gt;=89,K4707&lt;=92),"3개월",
 AND(K4707&gt;=58,K4707&lt;=62),"2개월",
 AND(K4707&gt;=28,K4707&lt;=32),"1개월",
 AND(K4707=0),"당월",
 TRUE,"그외"
)</f>
        <v>3개월</v>
      </c>
    </row>
    <row r="4708" spans="1:12" x14ac:dyDescent="0.3">
      <c r="A4708" s="5">
        <v>45689</v>
      </c>
      <c r="B4708" s="6" t="s">
        <v>12</v>
      </c>
      <c r="C4708" s="6" t="s">
        <v>13</v>
      </c>
      <c r="D4708" s="5">
        <v>45597</v>
      </c>
      <c r="E4708" s="6" t="s">
        <v>15</v>
      </c>
      <c r="F4708" s="7">
        <v>2775</v>
      </c>
      <c r="G4708" s="7">
        <v>53495.685405405413</v>
      </c>
      <c r="H4708" s="7">
        <v>148450527</v>
      </c>
      <c r="I4708" s="7">
        <v>21382900</v>
      </c>
      <c r="J4708" s="7">
        <v>1943900</v>
      </c>
      <c r="K4708">
        <f t="shared" si="73"/>
        <v>92</v>
      </c>
      <c r="L4708" s="8" t="str" cm="1">
        <f t="array" ref="L4708">_xlfn.IFS(
 AND(K4708&gt;=89,K4708&lt;=92),"3개월",
 AND(K4708&gt;=58,K4708&lt;=62),"2개월",
 AND(K4708&gt;=28,K4708&lt;=32),"1개월",
 AND(K4708=0),"당월",
 TRUE,"그외"
)</f>
        <v>3개월</v>
      </c>
    </row>
    <row r="4709" spans="1:12" x14ac:dyDescent="0.3">
      <c r="A4709" s="5">
        <v>45689</v>
      </c>
      <c r="B4709" s="6" t="s">
        <v>12</v>
      </c>
      <c r="C4709" s="6" t="s">
        <v>13</v>
      </c>
      <c r="D4709" s="5">
        <v>45627</v>
      </c>
      <c r="E4709" s="6" t="s">
        <v>14</v>
      </c>
      <c r="F4709" s="7">
        <v>40</v>
      </c>
      <c r="G4709" s="7">
        <v>72718.925000000003</v>
      </c>
      <c r="H4709" s="7">
        <v>2908757</v>
      </c>
      <c r="I4709" s="7">
        <v>352000</v>
      </c>
      <c r="J4709" s="7">
        <v>32000</v>
      </c>
      <c r="K4709">
        <f t="shared" si="73"/>
        <v>62</v>
      </c>
      <c r="L4709" s="8" t="str" cm="1">
        <f t="array" ref="L4709">_xlfn.IFS(
 AND(K4709&gt;=89,K4709&lt;=92),"3개월",
 AND(K4709&gt;=58,K4709&lt;=62),"2개월",
 AND(K4709&gt;=28,K4709&lt;=32),"1개월",
 AND(K4709=0),"당월",
 TRUE,"그외"
)</f>
        <v>2개월</v>
      </c>
    </row>
    <row r="4710" spans="1:12" x14ac:dyDescent="0.3">
      <c r="A4710" s="5">
        <v>45689</v>
      </c>
      <c r="B4710" s="6" t="s">
        <v>12</v>
      </c>
      <c r="C4710" s="6" t="s">
        <v>13</v>
      </c>
      <c r="D4710" s="5">
        <v>45627</v>
      </c>
      <c r="E4710" s="6" t="s">
        <v>15</v>
      </c>
      <c r="F4710" s="7">
        <v>6297</v>
      </c>
      <c r="G4710" s="7">
        <v>55839.851993012548</v>
      </c>
      <c r="H4710" s="7">
        <v>351623548</v>
      </c>
      <c r="I4710" s="7">
        <v>54942800</v>
      </c>
      <c r="J4710" s="7">
        <v>4994800</v>
      </c>
      <c r="K4710">
        <f t="shared" si="73"/>
        <v>62</v>
      </c>
      <c r="L4710" s="8" t="str" cm="1">
        <f t="array" ref="L4710">_xlfn.IFS(
 AND(K4710&gt;=89,K4710&lt;=92),"3개월",
 AND(K4710&gt;=58,K4710&lt;=62),"2개월",
 AND(K4710&gt;=28,K4710&lt;=32),"1개월",
 AND(K4710=0),"당월",
 TRUE,"그외"
)</f>
        <v>2개월</v>
      </c>
    </row>
    <row r="4711" spans="1:12" x14ac:dyDescent="0.3">
      <c r="A4711" s="5">
        <v>45689</v>
      </c>
      <c r="B4711" s="6" t="s">
        <v>12</v>
      </c>
      <c r="C4711" s="6" t="s">
        <v>13</v>
      </c>
      <c r="D4711" s="5">
        <v>45658</v>
      </c>
      <c r="E4711" s="6" t="s">
        <v>14</v>
      </c>
      <c r="F4711" s="7">
        <v>307</v>
      </c>
      <c r="G4711" s="7">
        <v>63427.094462540706</v>
      </c>
      <c r="H4711" s="7">
        <v>19472118</v>
      </c>
      <c r="I4711" s="7">
        <v>2701600</v>
      </c>
      <c r="J4711" s="7">
        <v>245600</v>
      </c>
      <c r="K4711">
        <f t="shared" si="73"/>
        <v>31</v>
      </c>
      <c r="L4711" s="8" t="str" cm="1">
        <f t="array" ref="L4711">_xlfn.IFS(
 AND(K4711&gt;=89,K4711&lt;=92),"3개월",
 AND(K4711&gt;=58,K4711&lt;=62),"2개월",
 AND(K4711&gt;=28,K4711&lt;=32),"1개월",
 AND(K4711=0),"당월",
 TRUE,"그외"
)</f>
        <v>1개월</v>
      </c>
    </row>
    <row r="4712" spans="1:12" x14ac:dyDescent="0.3">
      <c r="A4712" s="5">
        <v>45689</v>
      </c>
      <c r="B4712" s="6" t="s">
        <v>12</v>
      </c>
      <c r="C4712" s="6" t="s">
        <v>13</v>
      </c>
      <c r="D4712" s="5">
        <v>45658</v>
      </c>
      <c r="E4712" s="6" t="s">
        <v>15</v>
      </c>
      <c r="F4712" s="7">
        <v>40237</v>
      </c>
      <c r="G4712" s="7">
        <v>46381.705619206201</v>
      </c>
      <c r="H4712" s="7">
        <v>1866260689</v>
      </c>
      <c r="I4712" s="7">
        <v>351655000</v>
      </c>
      <c r="J4712" s="7">
        <v>31968636</v>
      </c>
      <c r="K4712">
        <f t="shared" si="73"/>
        <v>31</v>
      </c>
      <c r="L4712" s="8" t="str" cm="1">
        <f t="array" ref="L4712">_xlfn.IFS(
 AND(K4712&gt;=89,K4712&lt;=92),"3개월",
 AND(K4712&gt;=58,K4712&lt;=62),"2개월",
 AND(K4712&gt;=28,K4712&lt;=32),"1개월",
 AND(K4712=0),"당월",
 TRUE,"그외"
)</f>
        <v>1개월</v>
      </c>
    </row>
    <row r="4713" spans="1:12" x14ac:dyDescent="0.3">
      <c r="A4713" s="5">
        <v>45689</v>
      </c>
      <c r="B4713" s="6" t="s">
        <v>12</v>
      </c>
      <c r="C4713" s="6" t="s">
        <v>13</v>
      </c>
      <c r="D4713" s="5">
        <v>45689</v>
      </c>
      <c r="E4713" s="6" t="s">
        <v>14</v>
      </c>
      <c r="F4713" s="7">
        <v>248</v>
      </c>
      <c r="G4713" s="7">
        <v>55896</v>
      </c>
      <c r="H4713" s="7">
        <v>13862208</v>
      </c>
      <c r="I4713" s="7">
        <v>2182400</v>
      </c>
      <c r="J4713" s="7">
        <v>198400</v>
      </c>
      <c r="K4713">
        <f t="shared" si="73"/>
        <v>0</v>
      </c>
      <c r="L4713" s="8" t="str" cm="1">
        <f t="array" ref="L4713">_xlfn.IFS(
 AND(K4713&gt;=89,K4713&lt;=92),"3개월",
 AND(K4713&gt;=58,K4713&lt;=62),"2개월",
 AND(K4713&gt;=28,K4713&lt;=32),"1개월",
 AND(K4713=0),"당월",
 TRUE,"그외"
)</f>
        <v>당월</v>
      </c>
    </row>
    <row r="4714" spans="1:12" x14ac:dyDescent="0.3">
      <c r="A4714" s="5">
        <v>45689</v>
      </c>
      <c r="B4714" s="6" t="s">
        <v>12</v>
      </c>
      <c r="C4714" s="6" t="s">
        <v>13</v>
      </c>
      <c r="D4714" s="5">
        <v>45689</v>
      </c>
      <c r="E4714" s="6" t="s">
        <v>15</v>
      </c>
      <c r="F4714" s="7">
        <v>82262</v>
      </c>
      <c r="G4714" s="7">
        <v>47422.489509129373</v>
      </c>
      <c r="H4714" s="7">
        <v>3901068832</v>
      </c>
      <c r="I4714" s="7">
        <v>716530700</v>
      </c>
      <c r="J4714" s="7">
        <v>65139152</v>
      </c>
      <c r="K4714">
        <f t="shared" si="73"/>
        <v>0</v>
      </c>
      <c r="L4714" s="8" t="str" cm="1">
        <f t="array" ref="L4714">_xlfn.IFS(
 AND(K4714&gt;=89,K4714&lt;=92),"3개월",
 AND(K4714&gt;=58,K4714&lt;=62),"2개월",
 AND(K4714&gt;=28,K4714&lt;=32),"1개월",
 AND(K4714=0),"당월",
 TRUE,"그외"
)</f>
        <v>당월</v>
      </c>
    </row>
    <row r="4715" spans="1:12" x14ac:dyDescent="0.3">
      <c r="A4715" s="5">
        <v>45689</v>
      </c>
      <c r="B4715" s="6" t="s">
        <v>12</v>
      </c>
      <c r="C4715" s="6" t="s">
        <v>16</v>
      </c>
      <c r="D4715" s="5">
        <v>45505</v>
      </c>
      <c r="E4715" s="6" t="s">
        <v>15</v>
      </c>
      <c r="F4715" s="7">
        <v>189</v>
      </c>
      <c r="G4715" s="7">
        <v>39390.539682539682</v>
      </c>
      <c r="H4715" s="7">
        <v>7444812</v>
      </c>
      <c r="I4715" s="7">
        <v>1871100</v>
      </c>
      <c r="J4715" s="7">
        <v>170100</v>
      </c>
      <c r="K4715">
        <f t="shared" si="73"/>
        <v>184</v>
      </c>
      <c r="L4715" s="8" t="str" cm="1">
        <f t="array" ref="L4715">_xlfn.IFS(
 AND(K4715&gt;=89,K4715&lt;=92),"3개월",
 AND(K4715&gt;=58,K4715&lt;=62),"2개월",
 AND(K4715&gt;=28,K4715&lt;=32),"1개월",
 AND(K4715=0),"당월",
 TRUE,"그외"
)</f>
        <v>그외</v>
      </c>
    </row>
    <row r="4716" spans="1:12" x14ac:dyDescent="0.3">
      <c r="A4716" s="5">
        <v>45689</v>
      </c>
      <c r="B4716" s="6" t="s">
        <v>12</v>
      </c>
      <c r="C4716" s="6" t="s">
        <v>16</v>
      </c>
      <c r="D4716" s="5">
        <v>45536</v>
      </c>
      <c r="E4716" s="6" t="s">
        <v>15</v>
      </c>
      <c r="F4716" s="7">
        <v>310</v>
      </c>
      <c r="G4716" s="7">
        <v>49376.803225806449</v>
      </c>
      <c r="H4716" s="7">
        <v>15306809</v>
      </c>
      <c r="I4716" s="7">
        <v>3069000</v>
      </c>
      <c r="J4716" s="7">
        <v>279000</v>
      </c>
      <c r="K4716">
        <f t="shared" si="73"/>
        <v>153</v>
      </c>
      <c r="L4716" s="8" t="str" cm="1">
        <f t="array" ref="L4716">_xlfn.IFS(
 AND(K4716&gt;=89,K4716&lt;=92),"3개월",
 AND(K4716&gt;=58,K4716&lt;=62),"2개월",
 AND(K4716&gt;=28,K4716&lt;=32),"1개월",
 AND(K4716=0),"당월",
 TRUE,"그외"
)</f>
        <v>그외</v>
      </c>
    </row>
    <row r="4717" spans="1:12" x14ac:dyDescent="0.3">
      <c r="A4717" s="5">
        <v>45689</v>
      </c>
      <c r="B4717" s="6" t="s">
        <v>12</v>
      </c>
      <c r="C4717" s="6" t="s">
        <v>16</v>
      </c>
      <c r="D4717" s="5">
        <v>45566</v>
      </c>
      <c r="E4717" s="6" t="s">
        <v>15</v>
      </c>
      <c r="F4717" s="7">
        <v>673</v>
      </c>
      <c r="G4717" s="7">
        <v>49037.936106983652</v>
      </c>
      <c r="H4717" s="7">
        <v>33002531</v>
      </c>
      <c r="I4717" s="7">
        <v>5922400</v>
      </c>
      <c r="J4717" s="7">
        <v>538400</v>
      </c>
      <c r="K4717">
        <f t="shared" si="73"/>
        <v>123</v>
      </c>
      <c r="L4717" s="8" t="str" cm="1">
        <f t="array" ref="L4717">_xlfn.IFS(
 AND(K4717&gt;=89,K4717&lt;=92),"3개월",
 AND(K4717&gt;=58,K4717&lt;=62),"2개월",
 AND(K4717&gt;=28,K4717&lt;=32),"1개월",
 AND(K4717=0),"당월",
 TRUE,"그외"
)</f>
        <v>그외</v>
      </c>
    </row>
    <row r="4718" spans="1:12" x14ac:dyDescent="0.3">
      <c r="A4718" s="5">
        <v>45689</v>
      </c>
      <c r="B4718" s="6" t="s">
        <v>12</v>
      </c>
      <c r="C4718" s="6" t="s">
        <v>16</v>
      </c>
      <c r="D4718" s="5">
        <v>45597</v>
      </c>
      <c r="E4718" s="6" t="s">
        <v>15</v>
      </c>
      <c r="F4718" s="7">
        <v>2120</v>
      </c>
      <c r="G4718" s="7">
        <v>50657.1070754717</v>
      </c>
      <c r="H4718" s="7">
        <v>107393067</v>
      </c>
      <c r="I4718" s="7">
        <v>16409800</v>
      </c>
      <c r="J4718" s="7">
        <v>1491800</v>
      </c>
      <c r="K4718">
        <f t="shared" si="73"/>
        <v>92</v>
      </c>
      <c r="L4718" s="8" t="str" cm="1">
        <f t="array" ref="L4718">_xlfn.IFS(
 AND(K4718&gt;=89,K4718&lt;=92),"3개월",
 AND(K4718&gt;=58,K4718&lt;=62),"2개월",
 AND(K4718&gt;=28,K4718&lt;=32),"1개월",
 AND(K4718=0),"당월",
 TRUE,"그외"
)</f>
        <v>3개월</v>
      </c>
    </row>
    <row r="4719" spans="1:12" x14ac:dyDescent="0.3">
      <c r="A4719" s="5">
        <v>45689</v>
      </c>
      <c r="B4719" s="6" t="s">
        <v>12</v>
      </c>
      <c r="C4719" s="6" t="s">
        <v>16</v>
      </c>
      <c r="D4719" s="5">
        <v>45627</v>
      </c>
      <c r="E4719" s="6" t="s">
        <v>14</v>
      </c>
      <c r="F4719" s="7">
        <v>315</v>
      </c>
      <c r="G4719" s="7">
        <v>48329.457142857143</v>
      </c>
      <c r="H4719" s="7">
        <v>15223779</v>
      </c>
      <c r="I4719" s="7">
        <v>2772000</v>
      </c>
      <c r="J4719" s="7">
        <v>252000</v>
      </c>
      <c r="K4719">
        <f t="shared" si="73"/>
        <v>62</v>
      </c>
      <c r="L4719" s="8" t="str" cm="1">
        <f t="array" ref="L4719">_xlfn.IFS(
 AND(K4719&gt;=89,K4719&lt;=92),"3개월",
 AND(K4719&gt;=58,K4719&lt;=62),"2개월",
 AND(K4719&gt;=28,K4719&lt;=32),"1개월",
 AND(K4719=0),"당월",
 TRUE,"그외"
)</f>
        <v>2개월</v>
      </c>
    </row>
    <row r="4720" spans="1:12" x14ac:dyDescent="0.3">
      <c r="A4720" s="5">
        <v>45689</v>
      </c>
      <c r="B4720" s="6" t="s">
        <v>12</v>
      </c>
      <c r="C4720" s="6" t="s">
        <v>16</v>
      </c>
      <c r="D4720" s="5">
        <v>45627</v>
      </c>
      <c r="E4720" s="6" t="s">
        <v>15</v>
      </c>
      <c r="F4720" s="7">
        <v>5073</v>
      </c>
      <c r="G4720" s="7">
        <v>52615.208555095604</v>
      </c>
      <c r="H4720" s="7">
        <v>266916953</v>
      </c>
      <c r="I4720" s="7">
        <v>44586300</v>
      </c>
      <c r="J4720" s="7">
        <v>4053300</v>
      </c>
      <c r="K4720">
        <f t="shared" si="73"/>
        <v>62</v>
      </c>
      <c r="L4720" s="8" t="str" cm="1">
        <f t="array" ref="L4720">_xlfn.IFS(
 AND(K4720&gt;=89,K4720&lt;=92),"3개월",
 AND(K4720&gt;=58,K4720&lt;=62),"2개월",
 AND(K4720&gt;=28,K4720&lt;=32),"1개월",
 AND(K4720=0),"당월",
 TRUE,"그외"
)</f>
        <v>2개월</v>
      </c>
    </row>
    <row r="4721" spans="1:12" x14ac:dyDescent="0.3">
      <c r="A4721" s="5">
        <v>45689</v>
      </c>
      <c r="B4721" s="6" t="s">
        <v>12</v>
      </c>
      <c r="C4721" s="6" t="s">
        <v>16</v>
      </c>
      <c r="D4721" s="5">
        <v>45658</v>
      </c>
      <c r="E4721" s="6" t="s">
        <v>14</v>
      </c>
      <c r="F4721" s="7">
        <v>254</v>
      </c>
      <c r="G4721" s="7">
        <v>60794.094488188974</v>
      </c>
      <c r="H4721" s="7">
        <v>15441700</v>
      </c>
      <c r="I4721" s="7">
        <v>2235200</v>
      </c>
      <c r="J4721" s="7">
        <v>203200</v>
      </c>
      <c r="K4721">
        <f t="shared" si="73"/>
        <v>31</v>
      </c>
      <c r="L4721" s="8" t="str" cm="1">
        <f t="array" ref="L4721">_xlfn.IFS(
 AND(K4721&gt;=89,K4721&lt;=92),"3개월",
 AND(K4721&gt;=58,K4721&lt;=62),"2개월",
 AND(K4721&gt;=28,K4721&lt;=32),"1개월",
 AND(K4721=0),"당월",
 TRUE,"그외"
)</f>
        <v>1개월</v>
      </c>
    </row>
    <row r="4722" spans="1:12" x14ac:dyDescent="0.3">
      <c r="A4722" s="5">
        <v>45689</v>
      </c>
      <c r="B4722" s="6" t="s">
        <v>12</v>
      </c>
      <c r="C4722" s="6" t="s">
        <v>16</v>
      </c>
      <c r="D4722" s="5">
        <v>45658</v>
      </c>
      <c r="E4722" s="6" t="s">
        <v>15</v>
      </c>
      <c r="F4722" s="7">
        <v>18644</v>
      </c>
      <c r="G4722" s="7">
        <v>45158.461542587429</v>
      </c>
      <c r="H4722" s="7">
        <v>841934357</v>
      </c>
      <c r="I4722" s="7">
        <v>163576600</v>
      </c>
      <c r="J4722" s="7">
        <v>14870600</v>
      </c>
      <c r="K4722">
        <f t="shared" si="73"/>
        <v>31</v>
      </c>
      <c r="L4722" s="8" t="str" cm="1">
        <f t="array" ref="L4722">_xlfn.IFS(
 AND(K4722&gt;=89,K4722&lt;=92),"3개월",
 AND(K4722&gt;=58,K4722&lt;=62),"2개월",
 AND(K4722&gt;=28,K4722&lt;=32),"1개월",
 AND(K4722=0),"당월",
 TRUE,"그외"
)</f>
        <v>1개월</v>
      </c>
    </row>
    <row r="4723" spans="1:12" x14ac:dyDescent="0.3">
      <c r="A4723" s="5">
        <v>45689</v>
      </c>
      <c r="B4723" s="6" t="s">
        <v>12</v>
      </c>
      <c r="C4723" s="6" t="s">
        <v>16</v>
      </c>
      <c r="D4723" s="5">
        <v>45689</v>
      </c>
      <c r="E4723" s="6" t="s">
        <v>14</v>
      </c>
      <c r="F4723" s="7">
        <v>33</v>
      </c>
      <c r="G4723" s="7">
        <v>63441</v>
      </c>
      <c r="H4723" s="7">
        <v>2093553</v>
      </c>
      <c r="I4723" s="7">
        <v>290400</v>
      </c>
      <c r="J4723" s="7">
        <v>26400</v>
      </c>
      <c r="K4723">
        <f t="shared" si="73"/>
        <v>0</v>
      </c>
      <c r="L4723" s="8" t="str" cm="1">
        <f t="array" ref="L4723">_xlfn.IFS(
 AND(K4723&gt;=89,K4723&lt;=92),"3개월",
 AND(K4723&gt;=58,K4723&lt;=62),"2개월",
 AND(K4723&gt;=28,K4723&lt;=32),"1개월",
 AND(K4723=0),"당월",
 TRUE,"그외"
)</f>
        <v>당월</v>
      </c>
    </row>
    <row r="4724" spans="1:12" x14ac:dyDescent="0.3">
      <c r="A4724" s="5">
        <v>45689</v>
      </c>
      <c r="B4724" s="6" t="s">
        <v>12</v>
      </c>
      <c r="C4724" s="6" t="s">
        <v>16</v>
      </c>
      <c r="D4724" s="5">
        <v>45689</v>
      </c>
      <c r="E4724" s="6" t="s">
        <v>15</v>
      </c>
      <c r="F4724" s="7">
        <v>33509</v>
      </c>
      <c r="G4724" s="7">
        <v>38700.42051389179</v>
      </c>
      <c r="H4724" s="7">
        <v>1296812391</v>
      </c>
      <c r="I4724" s="7">
        <v>293764700</v>
      </c>
      <c r="J4724" s="7">
        <v>26705881</v>
      </c>
      <c r="K4724">
        <f t="shared" si="73"/>
        <v>0</v>
      </c>
      <c r="L4724" s="8" t="str" cm="1">
        <f t="array" ref="L4724">_xlfn.IFS(
 AND(K4724&gt;=89,K4724&lt;=92),"3개월",
 AND(K4724&gt;=58,K4724&lt;=62),"2개월",
 AND(K4724&gt;=28,K4724&lt;=32),"1개월",
 AND(K4724=0),"당월",
 TRUE,"그외"
)</f>
        <v>당월</v>
      </c>
    </row>
    <row r="4725" spans="1:12" x14ac:dyDescent="0.3">
      <c r="A4725" s="5">
        <v>45689</v>
      </c>
      <c r="B4725" s="6" t="s">
        <v>12</v>
      </c>
      <c r="C4725" s="6" t="s">
        <v>17</v>
      </c>
      <c r="D4725" s="5">
        <v>45505</v>
      </c>
      <c r="E4725" s="6" t="s">
        <v>15</v>
      </c>
      <c r="F4725" s="7">
        <v>25</v>
      </c>
      <c r="G4725" s="7">
        <v>53720.32</v>
      </c>
      <c r="H4725" s="7">
        <v>1343008</v>
      </c>
      <c r="I4725" s="7">
        <v>247500</v>
      </c>
      <c r="J4725" s="7">
        <v>22500</v>
      </c>
      <c r="K4725">
        <f t="shared" si="73"/>
        <v>184</v>
      </c>
      <c r="L4725" s="8" t="str" cm="1">
        <f t="array" ref="L4725">_xlfn.IFS(
 AND(K4725&gt;=89,K4725&lt;=92),"3개월",
 AND(K4725&gt;=58,K4725&lt;=62),"2개월",
 AND(K4725&gt;=28,K4725&lt;=32),"1개월",
 AND(K4725=0),"당월",
 TRUE,"그외"
)</f>
        <v>그외</v>
      </c>
    </row>
    <row r="4726" spans="1:12" x14ac:dyDescent="0.3">
      <c r="A4726" s="5">
        <v>45689</v>
      </c>
      <c r="B4726" s="6" t="s">
        <v>12</v>
      </c>
      <c r="C4726" s="6" t="s">
        <v>17</v>
      </c>
      <c r="D4726" s="5">
        <v>45536</v>
      </c>
      <c r="E4726" s="6" t="s">
        <v>15</v>
      </c>
      <c r="F4726" s="7">
        <v>75</v>
      </c>
      <c r="G4726" s="7">
        <v>61965.666666666657</v>
      </c>
      <c r="H4726" s="7">
        <v>4647425</v>
      </c>
      <c r="I4726" s="7">
        <v>732082</v>
      </c>
      <c r="J4726" s="7">
        <v>65700</v>
      </c>
      <c r="K4726">
        <f t="shared" si="73"/>
        <v>153</v>
      </c>
      <c r="L4726" s="8" t="str" cm="1">
        <f t="array" ref="L4726">_xlfn.IFS(
 AND(K4726&gt;=89,K4726&lt;=92),"3개월",
 AND(K4726&gt;=58,K4726&lt;=62),"2개월",
 AND(K4726&gt;=28,K4726&lt;=32),"1개월",
 AND(K4726=0),"당월",
 TRUE,"그외"
)</f>
        <v>그외</v>
      </c>
    </row>
    <row r="4727" spans="1:12" x14ac:dyDescent="0.3">
      <c r="A4727" s="5">
        <v>45689</v>
      </c>
      <c r="B4727" s="6" t="s">
        <v>12</v>
      </c>
      <c r="C4727" s="6" t="s">
        <v>17</v>
      </c>
      <c r="D4727" s="5">
        <v>45566</v>
      </c>
      <c r="E4727" s="6" t="s">
        <v>14</v>
      </c>
      <c r="F4727" s="7">
        <v>16</v>
      </c>
      <c r="G4727" s="7">
        <v>72546</v>
      </c>
      <c r="H4727" s="7">
        <v>1160736</v>
      </c>
      <c r="I4727" s="7">
        <v>140800</v>
      </c>
      <c r="J4727" s="7">
        <v>12800</v>
      </c>
      <c r="K4727">
        <f t="shared" si="73"/>
        <v>123</v>
      </c>
      <c r="L4727" s="8" t="str" cm="1">
        <f t="array" ref="L4727">_xlfn.IFS(
 AND(K4727&gt;=89,K4727&lt;=92),"3개월",
 AND(K4727&gt;=58,K4727&lt;=62),"2개월",
 AND(K4727&gt;=28,K4727&lt;=32),"1개월",
 AND(K4727=0),"당월",
 TRUE,"그외"
)</f>
        <v>그외</v>
      </c>
    </row>
    <row r="4728" spans="1:12" x14ac:dyDescent="0.3">
      <c r="A4728" s="5">
        <v>45689</v>
      </c>
      <c r="B4728" s="6" t="s">
        <v>12</v>
      </c>
      <c r="C4728" s="6" t="s">
        <v>17</v>
      </c>
      <c r="D4728" s="5">
        <v>45566</v>
      </c>
      <c r="E4728" s="6" t="s">
        <v>15</v>
      </c>
      <c r="F4728" s="7">
        <v>151</v>
      </c>
      <c r="G4728" s="7">
        <v>60759.642384105959</v>
      </c>
      <c r="H4728" s="7">
        <v>9174706</v>
      </c>
      <c r="I4728" s="7">
        <v>1329900</v>
      </c>
      <c r="J4728" s="7">
        <v>120900</v>
      </c>
      <c r="K4728">
        <f t="shared" si="73"/>
        <v>123</v>
      </c>
      <c r="L4728" s="8" t="str" cm="1">
        <f t="array" ref="L4728">_xlfn.IFS(
 AND(K4728&gt;=89,K4728&lt;=92),"3개월",
 AND(K4728&gt;=58,K4728&lt;=62),"2개월",
 AND(K4728&gt;=28,K4728&lt;=32),"1개월",
 AND(K4728=0),"당월",
 TRUE,"그외"
)</f>
        <v>그외</v>
      </c>
    </row>
    <row r="4729" spans="1:12" x14ac:dyDescent="0.3">
      <c r="A4729" s="5">
        <v>45689</v>
      </c>
      <c r="B4729" s="6" t="s">
        <v>12</v>
      </c>
      <c r="C4729" s="6" t="s">
        <v>17</v>
      </c>
      <c r="D4729" s="5">
        <v>45597</v>
      </c>
      <c r="E4729" s="6" t="s">
        <v>15</v>
      </c>
      <c r="F4729" s="7">
        <v>720</v>
      </c>
      <c r="G4729" s="7">
        <v>51524.45416666667</v>
      </c>
      <c r="H4729" s="7">
        <v>37097607</v>
      </c>
      <c r="I4729" s="7">
        <v>5544000</v>
      </c>
      <c r="J4729" s="7">
        <v>504000</v>
      </c>
      <c r="K4729">
        <f t="shared" si="73"/>
        <v>92</v>
      </c>
      <c r="L4729" s="8" t="str" cm="1">
        <f t="array" ref="L4729">_xlfn.IFS(
 AND(K4729&gt;=89,K4729&lt;=92),"3개월",
 AND(K4729&gt;=58,K4729&lt;=62),"2개월",
 AND(K4729&gt;=28,K4729&lt;=32),"1개월",
 AND(K4729=0),"당월",
 TRUE,"그외"
)</f>
        <v>3개월</v>
      </c>
    </row>
    <row r="4730" spans="1:12" x14ac:dyDescent="0.3">
      <c r="A4730" s="5">
        <v>45689</v>
      </c>
      <c r="B4730" s="6" t="s">
        <v>12</v>
      </c>
      <c r="C4730" s="6" t="s">
        <v>17</v>
      </c>
      <c r="D4730" s="5">
        <v>45627</v>
      </c>
      <c r="E4730" s="6" t="s">
        <v>14</v>
      </c>
      <c r="F4730" s="7">
        <v>38</v>
      </c>
      <c r="G4730" s="7">
        <v>58120.105263157893</v>
      </c>
      <c r="H4730" s="7">
        <v>2208564</v>
      </c>
      <c r="I4730" s="7">
        <v>334400</v>
      </c>
      <c r="J4730" s="7">
        <v>30400</v>
      </c>
      <c r="K4730">
        <f t="shared" si="73"/>
        <v>62</v>
      </c>
      <c r="L4730" s="8" t="str" cm="1">
        <f t="array" ref="L4730">_xlfn.IFS(
 AND(K4730&gt;=89,K4730&lt;=92),"3개월",
 AND(K4730&gt;=58,K4730&lt;=62),"2개월",
 AND(K4730&gt;=28,K4730&lt;=32),"1개월",
 AND(K4730=0),"당월",
 TRUE,"그외"
)</f>
        <v>2개월</v>
      </c>
    </row>
    <row r="4731" spans="1:12" x14ac:dyDescent="0.3">
      <c r="A4731" s="5">
        <v>45689</v>
      </c>
      <c r="B4731" s="6" t="s">
        <v>12</v>
      </c>
      <c r="C4731" s="6" t="s">
        <v>17</v>
      </c>
      <c r="D4731" s="5">
        <v>45627</v>
      </c>
      <c r="E4731" s="6" t="s">
        <v>15</v>
      </c>
      <c r="F4731" s="7">
        <v>2321</v>
      </c>
      <c r="G4731" s="7">
        <v>52073.925463162428</v>
      </c>
      <c r="H4731" s="7">
        <v>120863581</v>
      </c>
      <c r="I4731" s="7">
        <v>20401436</v>
      </c>
      <c r="J4731" s="7">
        <v>1854300</v>
      </c>
      <c r="K4731">
        <f t="shared" si="73"/>
        <v>62</v>
      </c>
      <c r="L4731" s="8" t="str" cm="1">
        <f t="array" ref="L4731">_xlfn.IFS(
 AND(K4731&gt;=89,K4731&lt;=92),"3개월",
 AND(K4731&gt;=58,K4731&lt;=62),"2개월",
 AND(K4731&gt;=28,K4731&lt;=32),"1개월",
 AND(K4731=0),"당월",
 TRUE,"그외"
)</f>
        <v>2개월</v>
      </c>
    </row>
    <row r="4732" spans="1:12" x14ac:dyDescent="0.3">
      <c r="A4732" s="5">
        <v>45689</v>
      </c>
      <c r="B4732" s="6" t="s">
        <v>12</v>
      </c>
      <c r="C4732" s="6" t="s">
        <v>17</v>
      </c>
      <c r="D4732" s="5">
        <v>45658</v>
      </c>
      <c r="E4732" s="6" t="s">
        <v>14</v>
      </c>
      <c r="F4732" s="7">
        <v>108</v>
      </c>
      <c r="G4732" s="7">
        <v>63345.574074074073</v>
      </c>
      <c r="H4732" s="7">
        <v>6841322</v>
      </c>
      <c r="I4732" s="7">
        <v>950400</v>
      </c>
      <c r="J4732" s="7">
        <v>86400</v>
      </c>
      <c r="K4732">
        <f t="shared" si="73"/>
        <v>31</v>
      </c>
      <c r="L4732" s="8" t="str" cm="1">
        <f t="array" ref="L4732">_xlfn.IFS(
 AND(K4732&gt;=89,K4732&lt;=92),"3개월",
 AND(K4732&gt;=58,K4732&lt;=62),"2개월",
 AND(K4732&gt;=28,K4732&lt;=32),"1개월",
 AND(K4732=0),"당월",
 TRUE,"그외"
)</f>
        <v>1개월</v>
      </c>
    </row>
    <row r="4733" spans="1:12" x14ac:dyDescent="0.3">
      <c r="A4733" s="5">
        <v>45689</v>
      </c>
      <c r="B4733" s="6" t="s">
        <v>12</v>
      </c>
      <c r="C4733" s="6" t="s">
        <v>17</v>
      </c>
      <c r="D4733" s="5">
        <v>45658</v>
      </c>
      <c r="E4733" s="6" t="s">
        <v>15</v>
      </c>
      <c r="F4733" s="7">
        <v>11008</v>
      </c>
      <c r="G4733" s="7">
        <v>37693.975199854649</v>
      </c>
      <c r="H4733" s="7">
        <v>414935279</v>
      </c>
      <c r="I4733" s="7">
        <v>96814882</v>
      </c>
      <c r="J4733" s="7">
        <v>8800500</v>
      </c>
      <c r="K4733">
        <f t="shared" si="73"/>
        <v>31</v>
      </c>
      <c r="L4733" s="8" t="str" cm="1">
        <f t="array" ref="L4733">_xlfn.IFS(
 AND(K4733&gt;=89,K4733&lt;=92),"3개월",
 AND(K4733&gt;=58,K4733&lt;=62),"2개월",
 AND(K4733&gt;=28,K4733&lt;=32),"1개월",
 AND(K4733=0),"당월",
 TRUE,"그외"
)</f>
        <v>1개월</v>
      </c>
    </row>
    <row r="4734" spans="1:12" x14ac:dyDescent="0.3">
      <c r="A4734" s="5">
        <v>45689</v>
      </c>
      <c r="B4734" s="6" t="s">
        <v>12</v>
      </c>
      <c r="C4734" s="6" t="s">
        <v>17</v>
      </c>
      <c r="D4734" s="5">
        <v>45689</v>
      </c>
      <c r="E4734" s="6" t="s">
        <v>14</v>
      </c>
      <c r="F4734" s="7">
        <v>43</v>
      </c>
      <c r="G4734" s="7">
        <v>56605.116279069771</v>
      </c>
      <c r="H4734" s="7">
        <v>2434020</v>
      </c>
      <c r="I4734" s="7">
        <v>378400</v>
      </c>
      <c r="J4734" s="7">
        <v>34400</v>
      </c>
      <c r="K4734">
        <f t="shared" si="73"/>
        <v>0</v>
      </c>
      <c r="L4734" s="8" t="str" cm="1">
        <f t="array" ref="L4734">_xlfn.IFS(
 AND(K4734&gt;=89,K4734&lt;=92),"3개월",
 AND(K4734&gt;=58,K4734&lt;=62),"2개월",
 AND(K4734&gt;=28,K4734&lt;=32),"1개월",
 AND(K4734=0),"당월",
 TRUE,"그외"
)</f>
        <v>당월</v>
      </c>
    </row>
    <row r="4735" spans="1:12" x14ac:dyDescent="0.3">
      <c r="A4735" s="5">
        <v>45689</v>
      </c>
      <c r="B4735" s="6" t="s">
        <v>12</v>
      </c>
      <c r="C4735" s="6" t="s">
        <v>17</v>
      </c>
      <c r="D4735" s="5">
        <v>45689</v>
      </c>
      <c r="E4735" s="6" t="s">
        <v>15</v>
      </c>
      <c r="F4735" s="7">
        <v>21004</v>
      </c>
      <c r="G4735" s="7">
        <v>37543.14616263569</v>
      </c>
      <c r="H4735" s="7">
        <v>788556242</v>
      </c>
      <c r="I4735" s="7">
        <v>184561249</v>
      </c>
      <c r="J4735" s="7">
        <v>16777900</v>
      </c>
      <c r="K4735">
        <f t="shared" si="73"/>
        <v>0</v>
      </c>
      <c r="L4735" s="8" t="str" cm="1">
        <f t="array" ref="L4735">_xlfn.IFS(
 AND(K4735&gt;=89,K4735&lt;=92),"3개월",
 AND(K4735&gt;=58,K4735&lt;=62),"2개월",
 AND(K4735&gt;=28,K4735&lt;=32),"1개월",
 AND(K4735=0),"당월",
 TRUE,"그외"
)</f>
        <v>당월</v>
      </c>
    </row>
    <row r="4736" spans="1:12" x14ac:dyDescent="0.3">
      <c r="A4736" s="5">
        <v>45689</v>
      </c>
      <c r="B4736" s="6" t="s">
        <v>12</v>
      </c>
      <c r="C4736" s="6" t="s">
        <v>18</v>
      </c>
      <c r="D4736" s="5">
        <v>45505</v>
      </c>
      <c r="E4736" s="6" t="s">
        <v>15</v>
      </c>
      <c r="F4736" s="7">
        <v>53</v>
      </c>
      <c r="G4736" s="7">
        <v>53494.830188679247</v>
      </c>
      <c r="H4736" s="7">
        <v>2835226</v>
      </c>
      <c r="I4736" s="7">
        <v>524700</v>
      </c>
      <c r="J4736" s="7">
        <v>47700</v>
      </c>
      <c r="K4736">
        <f t="shared" si="73"/>
        <v>184</v>
      </c>
      <c r="L4736" s="8" t="str" cm="1">
        <f t="array" ref="L4736">_xlfn.IFS(
 AND(K4736&gt;=89,K4736&lt;=92),"3개월",
 AND(K4736&gt;=58,K4736&lt;=62),"2개월",
 AND(K4736&gt;=28,K4736&lt;=32),"1개월",
 AND(K4736=0),"당월",
 TRUE,"그외"
)</f>
        <v>그외</v>
      </c>
    </row>
    <row r="4737" spans="1:12" x14ac:dyDescent="0.3">
      <c r="A4737" s="5">
        <v>45689</v>
      </c>
      <c r="B4737" s="6" t="s">
        <v>12</v>
      </c>
      <c r="C4737" s="6" t="s">
        <v>18</v>
      </c>
      <c r="D4737" s="5">
        <v>45536</v>
      </c>
      <c r="E4737" s="6" t="s">
        <v>15</v>
      </c>
      <c r="F4737" s="7">
        <v>75</v>
      </c>
      <c r="G4737" s="7">
        <v>69206.226666666669</v>
      </c>
      <c r="H4737" s="7">
        <v>5190467</v>
      </c>
      <c r="I4737" s="7">
        <v>742500</v>
      </c>
      <c r="J4737" s="7">
        <v>67500</v>
      </c>
      <c r="K4737">
        <f t="shared" si="73"/>
        <v>153</v>
      </c>
      <c r="L4737" s="8" t="str" cm="1">
        <f t="array" ref="L4737">_xlfn.IFS(
 AND(K4737&gt;=89,K4737&lt;=92),"3개월",
 AND(K4737&gt;=58,K4737&lt;=62),"2개월",
 AND(K4737&gt;=28,K4737&lt;=32),"1개월",
 AND(K4737=0),"당월",
 TRUE,"그외"
)</f>
        <v>그외</v>
      </c>
    </row>
    <row r="4738" spans="1:12" x14ac:dyDescent="0.3">
      <c r="A4738" s="5">
        <v>45689</v>
      </c>
      <c r="B4738" s="6" t="s">
        <v>12</v>
      </c>
      <c r="C4738" s="6" t="s">
        <v>18</v>
      </c>
      <c r="D4738" s="5">
        <v>45566</v>
      </c>
      <c r="E4738" s="6" t="s">
        <v>14</v>
      </c>
      <c r="F4738" s="7">
        <v>20</v>
      </c>
      <c r="G4738" s="7">
        <v>95273</v>
      </c>
      <c r="H4738" s="7">
        <v>1905460</v>
      </c>
      <c r="I4738" s="7">
        <v>176000</v>
      </c>
      <c r="J4738" s="7">
        <v>16000</v>
      </c>
      <c r="K4738">
        <f t="shared" si="73"/>
        <v>123</v>
      </c>
      <c r="L4738" s="8" t="str" cm="1">
        <f t="array" ref="L4738">_xlfn.IFS(
 AND(K4738&gt;=89,K4738&lt;=92),"3개월",
 AND(K4738&gt;=58,K4738&lt;=62),"2개월",
 AND(K4738&gt;=28,K4738&lt;=32),"1개월",
 AND(K4738=0),"당월",
 TRUE,"그외"
)</f>
        <v>그외</v>
      </c>
    </row>
    <row r="4739" spans="1:12" x14ac:dyDescent="0.3">
      <c r="A4739" s="5">
        <v>45689</v>
      </c>
      <c r="B4739" s="6" t="s">
        <v>12</v>
      </c>
      <c r="C4739" s="6" t="s">
        <v>18</v>
      </c>
      <c r="D4739" s="5">
        <v>45566</v>
      </c>
      <c r="E4739" s="6" t="s">
        <v>15</v>
      </c>
      <c r="F4739" s="7">
        <v>205</v>
      </c>
      <c r="G4739" s="7">
        <v>72299.726829268286</v>
      </c>
      <c r="H4739" s="7">
        <v>14821444</v>
      </c>
      <c r="I4739" s="7">
        <v>1804000</v>
      </c>
      <c r="J4739" s="7">
        <v>164000</v>
      </c>
      <c r="K4739">
        <f t="shared" si="73"/>
        <v>123</v>
      </c>
      <c r="L4739" s="8" t="str" cm="1">
        <f t="array" ref="L4739">_xlfn.IFS(
 AND(K4739&gt;=89,K4739&lt;=92),"3개월",
 AND(K4739&gt;=58,K4739&lt;=62),"2개월",
 AND(K4739&gt;=28,K4739&lt;=32),"1개월",
 AND(K4739=0),"당월",
 TRUE,"그외"
)</f>
        <v>그외</v>
      </c>
    </row>
    <row r="4740" spans="1:12" x14ac:dyDescent="0.3">
      <c r="A4740" s="5">
        <v>45689</v>
      </c>
      <c r="B4740" s="6" t="s">
        <v>12</v>
      </c>
      <c r="C4740" s="6" t="s">
        <v>18</v>
      </c>
      <c r="D4740" s="5">
        <v>45597</v>
      </c>
      <c r="E4740" s="6" t="s">
        <v>14</v>
      </c>
      <c r="F4740" s="7">
        <v>80</v>
      </c>
      <c r="G4740" s="7">
        <v>75716.237500000003</v>
      </c>
      <c r="H4740" s="7">
        <v>6057299</v>
      </c>
      <c r="I4740" s="7">
        <v>616000</v>
      </c>
      <c r="J4740" s="7">
        <v>56000</v>
      </c>
      <c r="K4740">
        <f t="shared" si="73"/>
        <v>92</v>
      </c>
      <c r="L4740" s="8" t="str" cm="1">
        <f t="array" ref="L4740">_xlfn.IFS(
 AND(K4740&gt;=89,K4740&lt;=92),"3개월",
 AND(K4740&gt;=58,K4740&lt;=62),"2개월",
 AND(K4740&gt;=28,K4740&lt;=32),"1개월",
 AND(K4740=0),"당월",
 TRUE,"그외"
)</f>
        <v>3개월</v>
      </c>
    </row>
    <row r="4741" spans="1:12" x14ac:dyDescent="0.3">
      <c r="A4741" s="5">
        <v>45689</v>
      </c>
      <c r="B4741" s="6" t="s">
        <v>12</v>
      </c>
      <c r="C4741" s="6" t="s">
        <v>18</v>
      </c>
      <c r="D4741" s="5">
        <v>45597</v>
      </c>
      <c r="E4741" s="6" t="s">
        <v>15</v>
      </c>
      <c r="F4741" s="7">
        <v>1022</v>
      </c>
      <c r="G4741" s="7">
        <v>59591.28767123288</v>
      </c>
      <c r="H4741" s="7">
        <v>60902296</v>
      </c>
      <c r="I4741" s="7">
        <v>7871600</v>
      </c>
      <c r="J4741" s="7">
        <v>715600</v>
      </c>
      <c r="K4741">
        <f t="shared" si="73"/>
        <v>92</v>
      </c>
      <c r="L4741" s="8" t="str" cm="1">
        <f t="array" ref="L4741">_xlfn.IFS(
 AND(K4741&gt;=89,K4741&lt;=92),"3개월",
 AND(K4741&gt;=58,K4741&lt;=62),"2개월",
 AND(K4741&gt;=28,K4741&lt;=32),"1개월",
 AND(K4741=0),"당월",
 TRUE,"그외"
)</f>
        <v>3개월</v>
      </c>
    </row>
    <row r="4742" spans="1:12" x14ac:dyDescent="0.3">
      <c r="A4742" s="5">
        <v>45689</v>
      </c>
      <c r="B4742" s="6" t="s">
        <v>12</v>
      </c>
      <c r="C4742" s="6" t="s">
        <v>18</v>
      </c>
      <c r="D4742" s="5">
        <v>45627</v>
      </c>
      <c r="E4742" s="6" t="s">
        <v>14</v>
      </c>
      <c r="F4742" s="7">
        <v>4</v>
      </c>
      <c r="G4742" s="7">
        <v>43455</v>
      </c>
      <c r="H4742" s="7">
        <v>173820</v>
      </c>
      <c r="I4742" s="7">
        <v>35200</v>
      </c>
      <c r="J4742" s="7">
        <v>3200</v>
      </c>
      <c r="K4742">
        <f t="shared" si="73"/>
        <v>62</v>
      </c>
      <c r="L4742" s="8" t="str" cm="1">
        <f t="array" ref="L4742">_xlfn.IFS(
 AND(K4742&gt;=89,K4742&lt;=92),"3개월",
 AND(K4742&gt;=58,K4742&lt;=62),"2개월",
 AND(K4742&gt;=28,K4742&lt;=32),"1개월",
 AND(K4742=0),"당월",
 TRUE,"그외"
)</f>
        <v>2개월</v>
      </c>
    </row>
    <row r="4743" spans="1:12" x14ac:dyDescent="0.3">
      <c r="A4743" s="5">
        <v>45689</v>
      </c>
      <c r="B4743" s="6" t="s">
        <v>12</v>
      </c>
      <c r="C4743" s="6" t="s">
        <v>18</v>
      </c>
      <c r="D4743" s="5">
        <v>45627</v>
      </c>
      <c r="E4743" s="6" t="s">
        <v>15</v>
      </c>
      <c r="F4743" s="7">
        <v>3286</v>
      </c>
      <c r="G4743" s="7">
        <v>67397.8861838101</v>
      </c>
      <c r="H4743" s="7">
        <v>221469454</v>
      </c>
      <c r="I4743" s="7">
        <v>28801300</v>
      </c>
      <c r="J4743" s="7">
        <v>2618300</v>
      </c>
      <c r="K4743">
        <f t="shared" si="73"/>
        <v>62</v>
      </c>
      <c r="L4743" s="8" t="str" cm="1">
        <f t="array" ref="L4743">_xlfn.IFS(
 AND(K4743&gt;=89,K4743&lt;=92),"3개월",
 AND(K4743&gt;=58,K4743&lt;=62),"2개월",
 AND(K4743&gt;=28,K4743&lt;=32),"1개월",
 AND(K4743=0),"당월",
 TRUE,"그외"
)</f>
        <v>2개월</v>
      </c>
    </row>
    <row r="4744" spans="1:12" x14ac:dyDescent="0.3">
      <c r="A4744" s="5">
        <v>45689</v>
      </c>
      <c r="B4744" s="6" t="s">
        <v>12</v>
      </c>
      <c r="C4744" s="6" t="s">
        <v>18</v>
      </c>
      <c r="D4744" s="5">
        <v>45658</v>
      </c>
      <c r="E4744" s="6" t="s">
        <v>14</v>
      </c>
      <c r="F4744" s="7">
        <v>114</v>
      </c>
      <c r="G4744" s="7">
        <v>78008.175438596489</v>
      </c>
      <c r="H4744" s="7">
        <v>8892932</v>
      </c>
      <c r="I4744" s="7">
        <v>1003200</v>
      </c>
      <c r="J4744" s="7">
        <v>91200</v>
      </c>
      <c r="K4744">
        <f t="shared" si="73"/>
        <v>31</v>
      </c>
      <c r="L4744" s="8" t="str" cm="1">
        <f t="array" ref="L4744">_xlfn.IFS(
 AND(K4744&gt;=89,K4744&lt;=92),"3개월",
 AND(K4744&gt;=58,K4744&lt;=62),"2개월",
 AND(K4744&gt;=28,K4744&lt;=32),"1개월",
 AND(K4744=0),"당월",
 TRUE,"그외"
)</f>
        <v>1개월</v>
      </c>
    </row>
    <row r="4745" spans="1:12" x14ac:dyDescent="0.3">
      <c r="A4745" s="5">
        <v>45689</v>
      </c>
      <c r="B4745" s="6" t="s">
        <v>12</v>
      </c>
      <c r="C4745" s="6" t="s">
        <v>18</v>
      </c>
      <c r="D4745" s="5">
        <v>45658</v>
      </c>
      <c r="E4745" s="6" t="s">
        <v>15</v>
      </c>
      <c r="F4745" s="7">
        <v>11619</v>
      </c>
      <c r="G4745" s="7">
        <v>58730.775712195536</v>
      </c>
      <c r="H4745" s="7">
        <v>682392883</v>
      </c>
      <c r="I4745" s="7">
        <v>102059100</v>
      </c>
      <c r="J4745" s="7">
        <v>9278100</v>
      </c>
      <c r="K4745">
        <f t="shared" si="73"/>
        <v>31</v>
      </c>
      <c r="L4745" s="8" t="str" cm="1">
        <f t="array" ref="L4745">_xlfn.IFS(
 AND(K4745&gt;=89,K4745&lt;=92),"3개월",
 AND(K4745&gt;=58,K4745&lt;=62),"2개월",
 AND(K4745&gt;=28,K4745&lt;=32),"1개월",
 AND(K4745=0),"당월",
 TRUE,"그외"
)</f>
        <v>1개월</v>
      </c>
    </row>
    <row r="4746" spans="1:12" x14ac:dyDescent="0.3">
      <c r="A4746" s="5">
        <v>45689</v>
      </c>
      <c r="B4746" s="6" t="s">
        <v>12</v>
      </c>
      <c r="C4746" s="6" t="s">
        <v>18</v>
      </c>
      <c r="D4746" s="5">
        <v>45689</v>
      </c>
      <c r="E4746" s="6" t="s">
        <v>14</v>
      </c>
      <c r="F4746" s="7">
        <v>96</v>
      </c>
      <c r="G4746" s="7">
        <v>84382.791666666672</v>
      </c>
      <c r="H4746" s="7">
        <v>8100748</v>
      </c>
      <c r="I4746" s="7">
        <v>844800</v>
      </c>
      <c r="J4746" s="7">
        <v>76800</v>
      </c>
      <c r="K4746">
        <f t="shared" ref="K4746:K4809" si="74">A4746-D4746</f>
        <v>0</v>
      </c>
      <c r="L4746" s="8" t="str" cm="1">
        <f t="array" ref="L4746">_xlfn.IFS(
 AND(K4746&gt;=89,K4746&lt;=92),"3개월",
 AND(K4746&gt;=58,K4746&lt;=62),"2개월",
 AND(K4746&gt;=28,K4746&lt;=32),"1개월",
 AND(K4746=0),"당월",
 TRUE,"그외"
)</f>
        <v>당월</v>
      </c>
    </row>
    <row r="4747" spans="1:12" x14ac:dyDescent="0.3">
      <c r="A4747" s="5">
        <v>45689</v>
      </c>
      <c r="B4747" s="6" t="s">
        <v>12</v>
      </c>
      <c r="C4747" s="6" t="s">
        <v>18</v>
      </c>
      <c r="D4747" s="5">
        <v>45689</v>
      </c>
      <c r="E4747" s="6" t="s">
        <v>15</v>
      </c>
      <c r="F4747" s="7">
        <v>14098</v>
      </c>
      <c r="G4747" s="7">
        <v>56787.893601929347</v>
      </c>
      <c r="H4747" s="7">
        <v>800595724</v>
      </c>
      <c r="I4747" s="7">
        <v>123714800</v>
      </c>
      <c r="J4747" s="7">
        <v>11246800</v>
      </c>
      <c r="K4747">
        <f t="shared" si="74"/>
        <v>0</v>
      </c>
      <c r="L4747" s="8" t="str" cm="1">
        <f t="array" ref="L4747">_xlfn.IFS(
 AND(K4747&gt;=89,K4747&lt;=92),"3개월",
 AND(K4747&gt;=58,K4747&lt;=62),"2개월",
 AND(K4747&gt;=28,K4747&lt;=32),"1개월",
 AND(K4747=0),"당월",
 TRUE,"그외"
)</f>
        <v>당월</v>
      </c>
    </row>
    <row r="4748" spans="1:12" x14ac:dyDescent="0.3">
      <c r="A4748" s="5">
        <v>45689</v>
      </c>
      <c r="B4748" s="6" t="s">
        <v>12</v>
      </c>
      <c r="C4748" s="6" t="s">
        <v>19</v>
      </c>
      <c r="D4748" s="5">
        <v>45505</v>
      </c>
      <c r="E4748" s="6" t="s">
        <v>15</v>
      </c>
      <c r="F4748" s="7">
        <v>8</v>
      </c>
      <c r="G4748" s="7">
        <v>77636.5</v>
      </c>
      <c r="H4748" s="7">
        <v>621092</v>
      </c>
      <c r="I4748" s="7">
        <v>79200</v>
      </c>
      <c r="J4748" s="7">
        <v>7200</v>
      </c>
      <c r="K4748">
        <f t="shared" si="74"/>
        <v>184</v>
      </c>
      <c r="L4748" s="8" t="str" cm="1">
        <f t="array" ref="L4748">_xlfn.IFS(
 AND(K4748&gt;=89,K4748&lt;=92),"3개월",
 AND(K4748&gt;=58,K4748&lt;=62),"2개월",
 AND(K4748&gt;=28,K4748&lt;=32),"1개월",
 AND(K4748=0),"당월",
 TRUE,"그외"
)</f>
        <v>그외</v>
      </c>
    </row>
    <row r="4749" spans="1:12" x14ac:dyDescent="0.3">
      <c r="A4749" s="5">
        <v>45689</v>
      </c>
      <c r="B4749" s="6" t="s">
        <v>12</v>
      </c>
      <c r="C4749" s="6" t="s">
        <v>19</v>
      </c>
      <c r="D4749" s="5">
        <v>45536</v>
      </c>
      <c r="E4749" s="6" t="s">
        <v>15</v>
      </c>
      <c r="F4749" s="7">
        <v>5</v>
      </c>
      <c r="G4749" s="7">
        <v>83363.8</v>
      </c>
      <c r="H4749" s="7">
        <v>416819</v>
      </c>
      <c r="I4749" s="7">
        <v>49500</v>
      </c>
      <c r="J4749" s="7">
        <v>4500</v>
      </c>
      <c r="K4749">
        <f t="shared" si="74"/>
        <v>153</v>
      </c>
      <c r="L4749" s="8" t="str" cm="1">
        <f t="array" ref="L4749">_xlfn.IFS(
 AND(K4749&gt;=89,K4749&lt;=92),"3개월",
 AND(K4749&gt;=58,K4749&lt;=62),"2개월",
 AND(K4749&gt;=28,K4749&lt;=32),"1개월",
 AND(K4749=0),"당월",
 TRUE,"그외"
)</f>
        <v>그외</v>
      </c>
    </row>
    <row r="4750" spans="1:12" x14ac:dyDescent="0.3">
      <c r="A4750" s="5">
        <v>45689</v>
      </c>
      <c r="B4750" s="6" t="s">
        <v>12</v>
      </c>
      <c r="C4750" s="6" t="s">
        <v>19</v>
      </c>
      <c r="D4750" s="5">
        <v>45566</v>
      </c>
      <c r="E4750" s="6" t="s">
        <v>15</v>
      </c>
      <c r="F4750" s="7">
        <v>16</v>
      </c>
      <c r="G4750" s="7">
        <v>77432.625</v>
      </c>
      <c r="H4750" s="7">
        <v>1238922</v>
      </c>
      <c r="I4750" s="7">
        <v>140800</v>
      </c>
      <c r="J4750" s="7">
        <v>12800</v>
      </c>
      <c r="K4750">
        <f t="shared" si="74"/>
        <v>123</v>
      </c>
      <c r="L4750" s="8" t="str" cm="1">
        <f t="array" ref="L4750">_xlfn.IFS(
 AND(K4750&gt;=89,K4750&lt;=92),"3개월",
 AND(K4750&gt;=58,K4750&lt;=62),"2개월",
 AND(K4750&gt;=28,K4750&lt;=32),"1개월",
 AND(K4750=0),"당월",
 TRUE,"그외"
)</f>
        <v>그외</v>
      </c>
    </row>
    <row r="4751" spans="1:12" x14ac:dyDescent="0.3">
      <c r="A4751" s="5">
        <v>45689</v>
      </c>
      <c r="B4751" s="6" t="s">
        <v>12</v>
      </c>
      <c r="C4751" s="6" t="s">
        <v>19</v>
      </c>
      <c r="D4751" s="5">
        <v>45597</v>
      </c>
      <c r="E4751" s="6" t="s">
        <v>15</v>
      </c>
      <c r="F4751" s="7">
        <v>30</v>
      </c>
      <c r="G4751" s="7">
        <v>49336.9</v>
      </c>
      <c r="H4751" s="7">
        <v>1480107</v>
      </c>
      <c r="I4751" s="7">
        <v>223300</v>
      </c>
      <c r="J4751" s="7">
        <v>20300</v>
      </c>
      <c r="K4751">
        <f t="shared" si="74"/>
        <v>92</v>
      </c>
      <c r="L4751" s="8" t="str" cm="1">
        <f t="array" ref="L4751">_xlfn.IFS(
 AND(K4751&gt;=89,K4751&lt;=92),"3개월",
 AND(K4751&gt;=58,K4751&lt;=62),"2개월",
 AND(K4751&gt;=28,K4751&lt;=32),"1개월",
 AND(K4751=0),"당월",
 TRUE,"그외"
)</f>
        <v>3개월</v>
      </c>
    </row>
    <row r="4752" spans="1:12" x14ac:dyDescent="0.3">
      <c r="A4752" s="5">
        <v>45689</v>
      </c>
      <c r="B4752" s="6" t="s">
        <v>12</v>
      </c>
      <c r="C4752" s="6" t="s">
        <v>19</v>
      </c>
      <c r="D4752" s="5">
        <v>45627</v>
      </c>
      <c r="E4752" s="6" t="s">
        <v>15</v>
      </c>
      <c r="F4752" s="7">
        <v>153</v>
      </c>
      <c r="G4752" s="7">
        <v>46719.56209150327</v>
      </c>
      <c r="H4752" s="7">
        <v>7148093</v>
      </c>
      <c r="I4752" s="7">
        <v>1258400</v>
      </c>
      <c r="J4752" s="7">
        <v>114400</v>
      </c>
      <c r="K4752">
        <f t="shared" si="74"/>
        <v>62</v>
      </c>
      <c r="L4752" s="8" t="str" cm="1">
        <f t="array" ref="L4752">_xlfn.IFS(
 AND(K4752&gt;=89,K4752&lt;=92),"3개월",
 AND(K4752&gt;=58,K4752&lt;=62),"2개월",
 AND(K4752&gt;=28,K4752&lt;=32),"1개월",
 AND(K4752=0),"당월",
 TRUE,"그외"
)</f>
        <v>2개월</v>
      </c>
    </row>
    <row r="4753" spans="1:12" x14ac:dyDescent="0.3">
      <c r="A4753" s="5">
        <v>45689</v>
      </c>
      <c r="B4753" s="6" t="s">
        <v>12</v>
      </c>
      <c r="C4753" s="6" t="s">
        <v>19</v>
      </c>
      <c r="D4753" s="5">
        <v>45658</v>
      </c>
      <c r="E4753" s="6" t="s">
        <v>15</v>
      </c>
      <c r="F4753" s="7">
        <v>6123</v>
      </c>
      <c r="G4753" s="7">
        <v>30925.676629103378</v>
      </c>
      <c r="H4753" s="7">
        <v>189357918</v>
      </c>
      <c r="I4753" s="7">
        <v>52676800</v>
      </c>
      <c r="J4753" s="7">
        <v>4788800</v>
      </c>
      <c r="K4753">
        <f t="shared" si="74"/>
        <v>31</v>
      </c>
      <c r="L4753" s="8" t="str" cm="1">
        <f t="array" ref="L4753">_xlfn.IFS(
 AND(K4753&gt;=89,K4753&lt;=92),"3개월",
 AND(K4753&gt;=58,K4753&lt;=62),"2개월",
 AND(K4753&gt;=28,K4753&lt;=32),"1개월",
 AND(K4753=0),"당월",
 TRUE,"그외"
)</f>
        <v>1개월</v>
      </c>
    </row>
    <row r="4754" spans="1:12" x14ac:dyDescent="0.3">
      <c r="A4754" s="5">
        <v>45689</v>
      </c>
      <c r="B4754" s="6" t="s">
        <v>12</v>
      </c>
      <c r="C4754" s="6" t="s">
        <v>19</v>
      </c>
      <c r="D4754" s="5">
        <v>45689</v>
      </c>
      <c r="E4754" s="6" t="s">
        <v>15</v>
      </c>
      <c r="F4754" s="7">
        <v>11668</v>
      </c>
      <c r="G4754" s="7">
        <v>47224.460575934179</v>
      </c>
      <c r="H4754" s="7">
        <v>551015006</v>
      </c>
      <c r="I4754" s="7">
        <v>100023000</v>
      </c>
      <c r="J4754" s="7">
        <v>9093000</v>
      </c>
      <c r="K4754">
        <f t="shared" si="74"/>
        <v>0</v>
      </c>
      <c r="L4754" s="8" t="str" cm="1">
        <f t="array" ref="L4754">_xlfn.IFS(
 AND(K4754&gt;=89,K4754&lt;=92),"3개월",
 AND(K4754&gt;=58,K4754&lt;=62),"2개월",
 AND(K4754&gt;=28,K4754&lt;=32),"1개월",
 AND(K4754=0),"당월",
 TRUE,"그외"
)</f>
        <v>당월</v>
      </c>
    </row>
    <row r="4755" spans="1:12" x14ac:dyDescent="0.3">
      <c r="A4755" s="5">
        <v>45689</v>
      </c>
      <c r="B4755" s="6" t="s">
        <v>20</v>
      </c>
      <c r="C4755" s="6" t="s">
        <v>22</v>
      </c>
      <c r="D4755" s="5">
        <v>45474</v>
      </c>
      <c r="E4755" s="6" t="s">
        <v>15</v>
      </c>
      <c r="F4755" s="7">
        <v>4</v>
      </c>
      <c r="G4755" s="7">
        <v>132350</v>
      </c>
      <c r="H4755" s="7">
        <v>529400</v>
      </c>
      <c r="I4755" s="7">
        <v>49400</v>
      </c>
      <c r="J4755" s="7">
        <v>0</v>
      </c>
      <c r="K4755">
        <f t="shared" si="74"/>
        <v>215</v>
      </c>
      <c r="L4755" s="8" t="str" cm="1">
        <f t="array" ref="L4755">_xlfn.IFS(
 AND(K4755&gt;=89,K4755&lt;=92),"3개월",
 AND(K4755&gt;=58,K4755&lt;=62),"2개월",
 AND(K4755&gt;=28,K4755&lt;=32),"1개월",
 AND(K4755=0),"당월",
 TRUE,"그외"
)</f>
        <v>그외</v>
      </c>
    </row>
    <row r="4756" spans="1:12" x14ac:dyDescent="0.3">
      <c r="A4756" s="5">
        <v>45689</v>
      </c>
      <c r="B4756" s="6" t="s">
        <v>20</v>
      </c>
      <c r="C4756" s="6" t="s">
        <v>22</v>
      </c>
      <c r="D4756" s="5">
        <v>45505</v>
      </c>
      <c r="E4756" s="6" t="s">
        <v>15</v>
      </c>
      <c r="F4756" s="7">
        <v>666</v>
      </c>
      <c r="G4756" s="7">
        <v>116633.1845645646</v>
      </c>
      <c r="H4756" s="7">
        <v>77677700.920000002</v>
      </c>
      <c r="I4756" s="7">
        <v>11035464.92</v>
      </c>
      <c r="J4756" s="7">
        <v>0</v>
      </c>
      <c r="K4756">
        <f t="shared" si="74"/>
        <v>184</v>
      </c>
      <c r="L4756" s="8" t="str" cm="1">
        <f t="array" ref="L4756">_xlfn.IFS(
 AND(K4756&gt;=89,K4756&lt;=92),"3개월",
 AND(K4756&gt;=58,K4756&lt;=62),"2개월",
 AND(K4756&gt;=28,K4756&lt;=32),"1개월",
 AND(K4756=0),"당월",
 TRUE,"그외"
)</f>
        <v>그외</v>
      </c>
    </row>
    <row r="4757" spans="1:12" x14ac:dyDescent="0.3">
      <c r="A4757" s="5">
        <v>45689</v>
      </c>
      <c r="B4757" s="6" t="s">
        <v>20</v>
      </c>
      <c r="C4757" s="6" t="s">
        <v>22</v>
      </c>
      <c r="D4757" s="5">
        <v>45536</v>
      </c>
      <c r="E4757" s="6" t="s">
        <v>15</v>
      </c>
      <c r="F4757" s="7">
        <v>627</v>
      </c>
      <c r="G4757" s="7">
        <v>118173.8102073365</v>
      </c>
      <c r="H4757" s="7">
        <v>74094979</v>
      </c>
      <c r="I4757" s="7">
        <v>10427134</v>
      </c>
      <c r="J4757" s="7">
        <v>0</v>
      </c>
      <c r="K4757">
        <f t="shared" si="74"/>
        <v>153</v>
      </c>
      <c r="L4757" s="8" t="str" cm="1">
        <f t="array" ref="L4757">_xlfn.IFS(
 AND(K4757&gt;=89,K4757&lt;=92),"3개월",
 AND(K4757&gt;=58,K4757&lt;=62),"2개월",
 AND(K4757&gt;=28,K4757&lt;=32),"1개월",
 AND(K4757=0),"당월",
 TRUE,"그외"
)</f>
        <v>그외</v>
      </c>
    </row>
    <row r="4758" spans="1:12" x14ac:dyDescent="0.3">
      <c r="A4758" s="5">
        <v>45689</v>
      </c>
      <c r="B4758" s="6" t="s">
        <v>20</v>
      </c>
      <c r="C4758" s="6" t="s">
        <v>22</v>
      </c>
      <c r="D4758" s="5">
        <v>45566</v>
      </c>
      <c r="E4758" s="6" t="s">
        <v>15</v>
      </c>
      <c r="F4758" s="7">
        <v>1469</v>
      </c>
      <c r="G4758" s="7">
        <v>139971.23349217151</v>
      </c>
      <c r="H4758" s="7">
        <v>205617742</v>
      </c>
      <c r="I4758" s="7">
        <v>20732533</v>
      </c>
      <c r="J4758" s="7">
        <v>0</v>
      </c>
      <c r="K4758">
        <f t="shared" si="74"/>
        <v>123</v>
      </c>
      <c r="L4758" s="8" t="str" cm="1">
        <f t="array" ref="L4758">_xlfn.IFS(
 AND(K4758&gt;=89,K4758&lt;=92),"3개월",
 AND(K4758&gt;=58,K4758&lt;=62),"2개월",
 AND(K4758&gt;=28,K4758&lt;=32),"1개월",
 AND(K4758=0),"당월",
 TRUE,"그외"
)</f>
        <v>그외</v>
      </c>
    </row>
    <row r="4759" spans="1:12" x14ac:dyDescent="0.3">
      <c r="A4759" s="5">
        <v>45689</v>
      </c>
      <c r="B4759" s="6" t="s">
        <v>20</v>
      </c>
      <c r="C4759" s="6" t="s">
        <v>22</v>
      </c>
      <c r="D4759" s="5">
        <v>45597</v>
      </c>
      <c r="E4759" s="6" t="s">
        <v>14</v>
      </c>
      <c r="F4759" s="7">
        <v>4</v>
      </c>
      <c r="G4759" s="7">
        <v>124300</v>
      </c>
      <c r="H4759" s="7">
        <v>497200</v>
      </c>
      <c r="I4759" s="7">
        <v>37200</v>
      </c>
      <c r="J4759" s="7">
        <v>0</v>
      </c>
      <c r="K4759">
        <f t="shared" si="74"/>
        <v>92</v>
      </c>
      <c r="L4759" s="8" t="str" cm="1">
        <f t="array" ref="L4759">_xlfn.IFS(
 AND(K4759&gt;=89,K4759&lt;=92),"3개월",
 AND(K4759&gt;=58,K4759&lt;=62),"2개월",
 AND(K4759&gt;=28,K4759&lt;=32),"1개월",
 AND(K4759=0),"당월",
 TRUE,"그외"
)</f>
        <v>3개월</v>
      </c>
    </row>
    <row r="4760" spans="1:12" x14ac:dyDescent="0.3">
      <c r="A4760" s="5">
        <v>45689</v>
      </c>
      <c r="B4760" s="6" t="s">
        <v>20</v>
      </c>
      <c r="C4760" s="6" t="s">
        <v>22</v>
      </c>
      <c r="D4760" s="5">
        <v>45597</v>
      </c>
      <c r="E4760" s="6" t="s">
        <v>15</v>
      </c>
      <c r="F4760" s="7">
        <v>2535</v>
      </c>
      <c r="G4760" s="7">
        <v>152379.42958579879</v>
      </c>
      <c r="H4760" s="7">
        <v>386281854</v>
      </c>
      <c r="I4760" s="7">
        <v>36868706</v>
      </c>
      <c r="J4760" s="7">
        <v>0</v>
      </c>
      <c r="K4760">
        <f t="shared" si="74"/>
        <v>92</v>
      </c>
      <c r="L4760" s="8" t="str" cm="1">
        <f t="array" ref="L4760">_xlfn.IFS(
 AND(K4760&gt;=89,K4760&lt;=92),"3개월",
 AND(K4760&gt;=58,K4760&lt;=62),"2개월",
 AND(K4760&gt;=28,K4760&lt;=32),"1개월",
 AND(K4760=0),"당월",
 TRUE,"그외"
)</f>
        <v>3개월</v>
      </c>
    </row>
    <row r="4761" spans="1:12" x14ac:dyDescent="0.3">
      <c r="A4761" s="5">
        <v>45689</v>
      </c>
      <c r="B4761" s="6" t="s">
        <v>20</v>
      </c>
      <c r="C4761" s="6" t="s">
        <v>22</v>
      </c>
      <c r="D4761" s="5">
        <v>45627</v>
      </c>
      <c r="E4761" s="6" t="s">
        <v>14</v>
      </c>
      <c r="F4761" s="7">
        <v>138</v>
      </c>
      <c r="G4761" s="7">
        <v>127911.5942028985</v>
      </c>
      <c r="H4761" s="7">
        <v>17651800</v>
      </c>
      <c r="I4761" s="7">
        <v>1531800</v>
      </c>
      <c r="J4761" s="7">
        <v>0</v>
      </c>
      <c r="K4761">
        <f t="shared" si="74"/>
        <v>62</v>
      </c>
      <c r="L4761" s="8" t="str" cm="1">
        <f t="array" ref="L4761">_xlfn.IFS(
 AND(K4761&gt;=89,K4761&lt;=92),"3개월",
 AND(K4761&gt;=58,K4761&lt;=62),"2개월",
 AND(K4761&gt;=28,K4761&lt;=32),"1개월",
 AND(K4761=0),"당월",
 TRUE,"그외"
)</f>
        <v>2개월</v>
      </c>
    </row>
    <row r="4762" spans="1:12" x14ac:dyDescent="0.3">
      <c r="A4762" s="5">
        <v>45689</v>
      </c>
      <c r="B4762" s="6" t="s">
        <v>20</v>
      </c>
      <c r="C4762" s="6" t="s">
        <v>22</v>
      </c>
      <c r="D4762" s="5">
        <v>45627</v>
      </c>
      <c r="E4762" s="6" t="s">
        <v>15</v>
      </c>
      <c r="F4762" s="7">
        <v>6460</v>
      </c>
      <c r="G4762" s="7">
        <v>155615.09860681111</v>
      </c>
      <c r="H4762" s="7">
        <v>1005273537</v>
      </c>
      <c r="I4762" s="7">
        <v>98028343</v>
      </c>
      <c r="J4762" s="7">
        <v>0</v>
      </c>
      <c r="K4762">
        <f t="shared" si="74"/>
        <v>62</v>
      </c>
      <c r="L4762" s="8" t="str" cm="1">
        <f t="array" ref="L4762">_xlfn.IFS(
 AND(K4762&gt;=89,K4762&lt;=92),"3개월",
 AND(K4762&gt;=58,K4762&lt;=62),"2개월",
 AND(K4762&gt;=28,K4762&lt;=32),"1개월",
 AND(K4762=0),"당월",
 TRUE,"그외"
)</f>
        <v>2개월</v>
      </c>
    </row>
    <row r="4763" spans="1:12" x14ac:dyDescent="0.3">
      <c r="A4763" s="5">
        <v>45689</v>
      </c>
      <c r="B4763" s="6" t="s">
        <v>20</v>
      </c>
      <c r="C4763" s="6" t="s">
        <v>22</v>
      </c>
      <c r="D4763" s="5">
        <v>45658</v>
      </c>
      <c r="E4763" s="6" t="s">
        <v>14</v>
      </c>
      <c r="F4763" s="7">
        <v>2644</v>
      </c>
      <c r="G4763" s="7">
        <v>136755.584720121</v>
      </c>
      <c r="H4763" s="7">
        <v>361581766</v>
      </c>
      <c r="I4763" s="7">
        <v>29876800</v>
      </c>
      <c r="J4763" s="7">
        <v>0</v>
      </c>
      <c r="K4763">
        <f t="shared" si="74"/>
        <v>31</v>
      </c>
      <c r="L4763" s="8" t="str" cm="1">
        <f t="array" ref="L4763">_xlfn.IFS(
 AND(K4763&gt;=89,K4763&lt;=92),"3개월",
 AND(K4763&gt;=58,K4763&lt;=62),"2개월",
 AND(K4763&gt;=28,K4763&lt;=32),"1개월",
 AND(K4763=0),"당월",
 TRUE,"그외"
)</f>
        <v>1개월</v>
      </c>
    </row>
    <row r="4764" spans="1:12" x14ac:dyDescent="0.3">
      <c r="A4764" s="5">
        <v>45689</v>
      </c>
      <c r="B4764" s="6" t="s">
        <v>20</v>
      </c>
      <c r="C4764" s="6" t="s">
        <v>22</v>
      </c>
      <c r="D4764" s="5">
        <v>45658</v>
      </c>
      <c r="E4764" s="6" t="s">
        <v>15</v>
      </c>
      <c r="F4764" s="7">
        <v>14453</v>
      </c>
      <c r="G4764" s="7">
        <v>146855.30083719641</v>
      </c>
      <c r="H4764" s="7">
        <v>2122499663</v>
      </c>
      <c r="I4764" s="7">
        <v>228999817</v>
      </c>
      <c r="J4764" s="7">
        <v>0</v>
      </c>
      <c r="K4764">
        <f t="shared" si="74"/>
        <v>31</v>
      </c>
      <c r="L4764" s="8" t="str" cm="1">
        <f t="array" ref="L4764">_xlfn.IFS(
 AND(K4764&gt;=89,K4764&lt;=92),"3개월",
 AND(K4764&gt;=58,K4764&lt;=62),"2개월",
 AND(K4764&gt;=28,K4764&lt;=32),"1개월",
 AND(K4764=0),"당월",
 TRUE,"그외"
)</f>
        <v>1개월</v>
      </c>
    </row>
    <row r="4765" spans="1:12" x14ac:dyDescent="0.3">
      <c r="A4765" s="5">
        <v>45689</v>
      </c>
      <c r="B4765" s="6" t="s">
        <v>20</v>
      </c>
      <c r="C4765" s="6" t="s">
        <v>22</v>
      </c>
      <c r="D4765" s="5">
        <v>45689</v>
      </c>
      <c r="E4765" s="6" t="s">
        <v>14</v>
      </c>
      <c r="F4765" s="7">
        <v>4573</v>
      </c>
      <c r="G4765" s="7">
        <v>136789.48174065171</v>
      </c>
      <c r="H4765" s="7">
        <v>625538300</v>
      </c>
      <c r="I4765" s="7">
        <v>53503300</v>
      </c>
      <c r="J4765" s="7">
        <v>0</v>
      </c>
      <c r="K4765">
        <f t="shared" si="74"/>
        <v>0</v>
      </c>
      <c r="L4765" s="8" t="str" cm="1">
        <f t="array" ref="L4765">_xlfn.IFS(
 AND(K4765&gt;=89,K4765&lt;=92),"3개월",
 AND(K4765&gt;=58,K4765&lt;=62),"2개월",
 AND(K4765&gt;=28,K4765&lt;=32),"1개월",
 AND(K4765=0),"당월",
 TRUE,"그외"
)</f>
        <v>당월</v>
      </c>
    </row>
    <row r="4766" spans="1:12" x14ac:dyDescent="0.3">
      <c r="A4766" s="5">
        <v>45689</v>
      </c>
      <c r="B4766" s="6" t="s">
        <v>20</v>
      </c>
      <c r="C4766" s="6" t="s">
        <v>22</v>
      </c>
      <c r="D4766" s="5">
        <v>45689</v>
      </c>
      <c r="E4766" s="6" t="s">
        <v>15</v>
      </c>
      <c r="F4766" s="7">
        <v>9159</v>
      </c>
      <c r="G4766" s="7">
        <v>167581.73250354841</v>
      </c>
      <c r="H4766" s="7">
        <v>1534881088</v>
      </c>
      <c r="I4766" s="7">
        <v>145326196</v>
      </c>
      <c r="J4766" s="7">
        <v>0</v>
      </c>
      <c r="K4766">
        <f t="shared" si="74"/>
        <v>0</v>
      </c>
      <c r="L4766" s="8" t="str" cm="1">
        <f t="array" ref="L4766">_xlfn.IFS(
 AND(K4766&gt;=89,K4766&lt;=92),"3개월",
 AND(K4766&gt;=58,K4766&lt;=62),"2개월",
 AND(K4766&gt;=28,K4766&lt;=32),"1개월",
 AND(K4766=0),"당월",
 TRUE,"그외"
)</f>
        <v>당월</v>
      </c>
    </row>
    <row r="4767" spans="1:12" x14ac:dyDescent="0.3">
      <c r="A4767" s="5">
        <v>45689</v>
      </c>
      <c r="B4767" s="6" t="s">
        <v>20</v>
      </c>
      <c r="C4767" s="6" t="s">
        <v>23</v>
      </c>
      <c r="D4767" s="5">
        <v>45566</v>
      </c>
      <c r="E4767" s="6" t="s">
        <v>15</v>
      </c>
      <c r="F4767" s="7">
        <v>172</v>
      </c>
      <c r="G4767" s="7">
        <v>174256.54651162791</v>
      </c>
      <c r="H4767" s="7">
        <v>29972126</v>
      </c>
      <c r="I4767" s="7">
        <v>2385818</v>
      </c>
      <c r="J4767" s="7">
        <v>0</v>
      </c>
      <c r="K4767">
        <f t="shared" si="74"/>
        <v>123</v>
      </c>
      <c r="L4767" s="8" t="str" cm="1">
        <f t="array" ref="L4767">_xlfn.IFS(
 AND(K4767&gt;=89,K4767&lt;=92),"3개월",
 AND(K4767&gt;=58,K4767&lt;=62),"2개월",
 AND(K4767&gt;=28,K4767&lt;=32),"1개월",
 AND(K4767=0),"당월",
 TRUE,"그외"
)</f>
        <v>그외</v>
      </c>
    </row>
    <row r="4768" spans="1:12" x14ac:dyDescent="0.3">
      <c r="A4768" s="5">
        <v>45689</v>
      </c>
      <c r="B4768" s="6" t="s">
        <v>20</v>
      </c>
      <c r="C4768" s="6" t="s">
        <v>23</v>
      </c>
      <c r="D4768" s="5">
        <v>45597</v>
      </c>
      <c r="E4768" s="6" t="s">
        <v>15</v>
      </c>
      <c r="F4768" s="7">
        <v>999</v>
      </c>
      <c r="G4768" s="7">
        <v>150245.66666666669</v>
      </c>
      <c r="H4768" s="7">
        <v>150095421</v>
      </c>
      <c r="I4768" s="7">
        <v>10939833</v>
      </c>
      <c r="J4768" s="7">
        <v>0</v>
      </c>
      <c r="K4768">
        <f t="shared" si="74"/>
        <v>92</v>
      </c>
      <c r="L4768" s="8" t="str" cm="1">
        <f t="array" ref="L4768">_xlfn.IFS(
 AND(K4768&gt;=89,K4768&lt;=92),"3개월",
 AND(K4768&gt;=58,K4768&lt;=62),"2개월",
 AND(K4768&gt;=28,K4768&lt;=32),"1개월",
 AND(K4768=0),"당월",
 TRUE,"그외"
)</f>
        <v>3개월</v>
      </c>
    </row>
    <row r="4769" spans="1:12" x14ac:dyDescent="0.3">
      <c r="A4769" s="5">
        <v>45689</v>
      </c>
      <c r="B4769" s="6" t="s">
        <v>20</v>
      </c>
      <c r="C4769" s="6" t="s">
        <v>23</v>
      </c>
      <c r="D4769" s="5">
        <v>45627</v>
      </c>
      <c r="E4769" s="6" t="s">
        <v>15</v>
      </c>
      <c r="F4769" s="7">
        <v>1175</v>
      </c>
      <c r="G4769" s="7">
        <v>145404.61021276601</v>
      </c>
      <c r="H4769" s="7">
        <v>170850417</v>
      </c>
      <c r="I4769" s="7">
        <v>14443435</v>
      </c>
      <c r="J4769" s="7">
        <v>0</v>
      </c>
      <c r="K4769">
        <f t="shared" si="74"/>
        <v>62</v>
      </c>
      <c r="L4769" s="8" t="str" cm="1">
        <f t="array" ref="L4769">_xlfn.IFS(
 AND(K4769&gt;=89,K4769&lt;=92),"3개월",
 AND(K4769&gt;=58,K4769&lt;=62),"2개월",
 AND(K4769&gt;=28,K4769&lt;=32),"1개월",
 AND(K4769=0),"당월",
 TRUE,"그외"
)</f>
        <v>2개월</v>
      </c>
    </row>
    <row r="4770" spans="1:12" x14ac:dyDescent="0.3">
      <c r="A4770" s="5">
        <v>45689</v>
      </c>
      <c r="B4770" s="6" t="s">
        <v>20</v>
      </c>
      <c r="C4770" s="6" t="s">
        <v>23</v>
      </c>
      <c r="D4770" s="5">
        <v>45658</v>
      </c>
      <c r="E4770" s="6" t="s">
        <v>14</v>
      </c>
      <c r="F4770" s="7">
        <v>540</v>
      </c>
      <c r="G4770" s="7">
        <v>146524.41481481481</v>
      </c>
      <c r="H4770" s="7">
        <v>79123184</v>
      </c>
      <c r="I4770" s="7">
        <v>6102000</v>
      </c>
      <c r="J4770" s="7">
        <v>0</v>
      </c>
      <c r="K4770">
        <f t="shared" si="74"/>
        <v>31</v>
      </c>
      <c r="L4770" s="8" t="str" cm="1">
        <f t="array" ref="L4770">_xlfn.IFS(
 AND(K4770&gt;=89,K4770&lt;=92),"3개월",
 AND(K4770&gt;=58,K4770&lt;=62),"2개월",
 AND(K4770&gt;=28,K4770&lt;=32),"1개월",
 AND(K4770=0),"당월",
 TRUE,"그외"
)</f>
        <v>1개월</v>
      </c>
    </row>
    <row r="4771" spans="1:12" x14ac:dyDescent="0.3">
      <c r="A4771" s="5">
        <v>45689</v>
      </c>
      <c r="B4771" s="6" t="s">
        <v>20</v>
      </c>
      <c r="C4771" s="6" t="s">
        <v>23</v>
      </c>
      <c r="D4771" s="5">
        <v>45658</v>
      </c>
      <c r="E4771" s="6" t="s">
        <v>15</v>
      </c>
      <c r="F4771" s="7">
        <v>3018</v>
      </c>
      <c r="G4771" s="7">
        <v>122093.2256461233</v>
      </c>
      <c r="H4771" s="7">
        <v>368477355</v>
      </c>
      <c r="I4771" s="7">
        <v>39216599</v>
      </c>
      <c r="J4771" s="7">
        <v>0</v>
      </c>
      <c r="K4771">
        <f t="shared" si="74"/>
        <v>31</v>
      </c>
      <c r="L4771" s="8" t="str" cm="1">
        <f t="array" ref="L4771">_xlfn.IFS(
 AND(K4771&gt;=89,K4771&lt;=92),"3개월",
 AND(K4771&gt;=58,K4771&lt;=62),"2개월",
 AND(K4771&gt;=28,K4771&lt;=32),"1개월",
 AND(K4771=0),"당월",
 TRUE,"그외"
)</f>
        <v>1개월</v>
      </c>
    </row>
    <row r="4772" spans="1:12" x14ac:dyDescent="0.3">
      <c r="A4772" s="5">
        <v>45689</v>
      </c>
      <c r="B4772" s="6" t="s">
        <v>20</v>
      </c>
      <c r="C4772" s="6" t="s">
        <v>23</v>
      </c>
      <c r="D4772" s="5">
        <v>45689</v>
      </c>
      <c r="E4772" s="6" t="s">
        <v>14</v>
      </c>
      <c r="F4772" s="7">
        <v>549</v>
      </c>
      <c r="G4772" s="7">
        <v>127462.5264116576</v>
      </c>
      <c r="H4772" s="7">
        <v>69976927</v>
      </c>
      <c r="I4772" s="7">
        <v>6422500</v>
      </c>
      <c r="J4772" s="7">
        <v>0</v>
      </c>
      <c r="K4772">
        <f t="shared" si="74"/>
        <v>0</v>
      </c>
      <c r="L4772" s="8" t="str" cm="1">
        <f t="array" ref="L4772">_xlfn.IFS(
 AND(K4772&gt;=89,K4772&lt;=92),"3개월",
 AND(K4772&gt;=58,K4772&lt;=62),"2개월",
 AND(K4772&gt;=28,K4772&lt;=32),"1개월",
 AND(K4772=0),"당월",
 TRUE,"그외"
)</f>
        <v>당월</v>
      </c>
    </row>
    <row r="4773" spans="1:12" x14ac:dyDescent="0.3">
      <c r="A4773" s="5">
        <v>45689</v>
      </c>
      <c r="B4773" s="6" t="s">
        <v>20</v>
      </c>
      <c r="C4773" s="6" t="s">
        <v>23</v>
      </c>
      <c r="D4773" s="5">
        <v>45689</v>
      </c>
      <c r="E4773" s="6" t="s">
        <v>15</v>
      </c>
      <c r="F4773" s="7">
        <v>833</v>
      </c>
      <c r="G4773" s="7">
        <v>150156.02040816331</v>
      </c>
      <c r="H4773" s="7">
        <v>125079965</v>
      </c>
      <c r="I4773" s="7">
        <v>11756397</v>
      </c>
      <c r="J4773" s="7">
        <v>0</v>
      </c>
      <c r="K4773">
        <f t="shared" si="74"/>
        <v>0</v>
      </c>
      <c r="L4773" s="8" t="str" cm="1">
        <f t="array" ref="L4773">_xlfn.IFS(
 AND(K4773&gt;=89,K4773&lt;=92),"3개월",
 AND(K4773&gt;=58,K4773&lt;=62),"2개월",
 AND(K4773&gt;=28,K4773&lt;=32),"1개월",
 AND(K4773=0),"당월",
 TRUE,"그외"
)</f>
        <v>당월</v>
      </c>
    </row>
    <row r="4774" spans="1:12" x14ac:dyDescent="0.3">
      <c r="A4774" s="5">
        <v>45689</v>
      </c>
      <c r="B4774" s="6" t="s">
        <v>20</v>
      </c>
      <c r="C4774" s="6" t="s">
        <v>24</v>
      </c>
      <c r="D4774" s="5">
        <v>45474</v>
      </c>
      <c r="E4774" s="6" t="s">
        <v>15</v>
      </c>
      <c r="F4774" s="7">
        <v>13</v>
      </c>
      <c r="G4774" s="7">
        <v>192300</v>
      </c>
      <c r="H4774" s="7">
        <v>2499900</v>
      </c>
      <c r="I4774" s="7">
        <v>159900</v>
      </c>
      <c r="J4774" s="7">
        <v>0</v>
      </c>
      <c r="K4774">
        <f t="shared" si="74"/>
        <v>215</v>
      </c>
      <c r="L4774" s="8" t="str" cm="1">
        <f t="array" ref="L4774">_xlfn.IFS(
 AND(K4774&gt;=89,K4774&lt;=92),"3개월",
 AND(K4774&gt;=58,K4774&lt;=62),"2개월",
 AND(K4774&gt;=28,K4774&lt;=32),"1개월",
 AND(K4774=0),"당월",
 TRUE,"그외"
)</f>
        <v>그외</v>
      </c>
    </row>
    <row r="4775" spans="1:12" x14ac:dyDescent="0.3">
      <c r="A4775" s="5">
        <v>45689</v>
      </c>
      <c r="B4775" s="6" t="s">
        <v>20</v>
      </c>
      <c r="C4775" s="6" t="s">
        <v>24</v>
      </c>
      <c r="D4775" s="5">
        <v>45505</v>
      </c>
      <c r="E4775" s="6" t="s">
        <v>15</v>
      </c>
      <c r="F4775" s="7">
        <v>184</v>
      </c>
      <c r="G4775" s="7">
        <v>146616.30434782611</v>
      </c>
      <c r="H4775" s="7">
        <v>26977400</v>
      </c>
      <c r="I4775" s="7">
        <v>3386403</v>
      </c>
      <c r="J4775" s="7">
        <v>0</v>
      </c>
      <c r="K4775">
        <f t="shared" si="74"/>
        <v>184</v>
      </c>
      <c r="L4775" s="8" t="str" cm="1">
        <f t="array" ref="L4775">_xlfn.IFS(
 AND(K4775&gt;=89,K4775&lt;=92),"3개월",
 AND(K4775&gt;=58,K4775&lt;=62),"2개월",
 AND(K4775&gt;=28,K4775&lt;=32),"1개월",
 AND(K4775=0),"당월",
 TRUE,"그외"
)</f>
        <v>그외</v>
      </c>
    </row>
    <row r="4776" spans="1:12" x14ac:dyDescent="0.3">
      <c r="A4776" s="5">
        <v>45689</v>
      </c>
      <c r="B4776" s="6" t="s">
        <v>20</v>
      </c>
      <c r="C4776" s="6" t="s">
        <v>24</v>
      </c>
      <c r="D4776" s="5">
        <v>45536</v>
      </c>
      <c r="E4776" s="6" t="s">
        <v>15</v>
      </c>
      <c r="F4776" s="7">
        <v>235</v>
      </c>
      <c r="G4776" s="7">
        <v>157623.87659574469</v>
      </c>
      <c r="H4776" s="7">
        <v>37041611</v>
      </c>
      <c r="I4776" s="7">
        <v>4007466</v>
      </c>
      <c r="J4776" s="7">
        <v>0</v>
      </c>
      <c r="K4776">
        <f t="shared" si="74"/>
        <v>153</v>
      </c>
      <c r="L4776" s="8" t="str" cm="1">
        <f t="array" ref="L4776">_xlfn.IFS(
 AND(K4776&gt;=89,K4776&lt;=92),"3개월",
 AND(K4776&gt;=58,K4776&lt;=62),"2개월",
 AND(K4776&gt;=28,K4776&lt;=32),"1개월",
 AND(K4776=0),"당월",
 TRUE,"그외"
)</f>
        <v>그외</v>
      </c>
    </row>
    <row r="4777" spans="1:12" x14ac:dyDescent="0.3">
      <c r="A4777" s="5">
        <v>45689</v>
      </c>
      <c r="B4777" s="6" t="s">
        <v>20</v>
      </c>
      <c r="C4777" s="6" t="s">
        <v>24</v>
      </c>
      <c r="D4777" s="5">
        <v>45566</v>
      </c>
      <c r="E4777" s="6" t="s">
        <v>15</v>
      </c>
      <c r="F4777" s="7">
        <v>495</v>
      </c>
      <c r="G4777" s="7">
        <v>149870.27676767681</v>
      </c>
      <c r="H4777" s="7">
        <v>74185787</v>
      </c>
      <c r="I4777" s="7">
        <v>6714915</v>
      </c>
      <c r="J4777" s="7">
        <v>0</v>
      </c>
      <c r="K4777">
        <f t="shared" si="74"/>
        <v>123</v>
      </c>
      <c r="L4777" s="8" t="str" cm="1">
        <f t="array" ref="L4777">_xlfn.IFS(
 AND(K4777&gt;=89,K4777&lt;=92),"3개월",
 AND(K4777&gt;=58,K4777&lt;=62),"2개월",
 AND(K4777&gt;=28,K4777&lt;=32),"1개월",
 AND(K4777=0),"당월",
 TRUE,"그외"
)</f>
        <v>그외</v>
      </c>
    </row>
    <row r="4778" spans="1:12" x14ac:dyDescent="0.3">
      <c r="A4778" s="5">
        <v>45689</v>
      </c>
      <c r="B4778" s="6" t="s">
        <v>20</v>
      </c>
      <c r="C4778" s="6" t="s">
        <v>24</v>
      </c>
      <c r="D4778" s="5">
        <v>45597</v>
      </c>
      <c r="E4778" s="6" t="s">
        <v>15</v>
      </c>
      <c r="F4778" s="7">
        <v>1160</v>
      </c>
      <c r="G4778" s="7">
        <v>158832.91293103449</v>
      </c>
      <c r="H4778" s="7">
        <v>184246179</v>
      </c>
      <c r="I4778" s="7">
        <v>14739928</v>
      </c>
      <c r="J4778" s="7">
        <v>0</v>
      </c>
      <c r="K4778">
        <f t="shared" si="74"/>
        <v>92</v>
      </c>
      <c r="L4778" s="8" t="str" cm="1">
        <f t="array" ref="L4778">_xlfn.IFS(
 AND(K4778&gt;=89,K4778&lt;=92),"3개월",
 AND(K4778&gt;=58,K4778&lt;=62),"2개월",
 AND(K4778&gt;=28,K4778&lt;=32),"1개월",
 AND(K4778=0),"당월",
 TRUE,"그외"
)</f>
        <v>3개월</v>
      </c>
    </row>
    <row r="4779" spans="1:12" x14ac:dyDescent="0.3">
      <c r="A4779" s="5">
        <v>45689</v>
      </c>
      <c r="B4779" s="6" t="s">
        <v>20</v>
      </c>
      <c r="C4779" s="6" t="s">
        <v>24</v>
      </c>
      <c r="D4779" s="5">
        <v>45627</v>
      </c>
      <c r="E4779" s="6" t="s">
        <v>14</v>
      </c>
      <c r="F4779" s="7">
        <v>64</v>
      </c>
      <c r="G4779" s="7">
        <v>188131.25</v>
      </c>
      <c r="H4779" s="7">
        <v>12040400</v>
      </c>
      <c r="I4779" s="7">
        <v>710400</v>
      </c>
      <c r="J4779" s="7">
        <v>0</v>
      </c>
      <c r="K4779">
        <f t="shared" si="74"/>
        <v>62</v>
      </c>
      <c r="L4779" s="8" t="str" cm="1">
        <f t="array" ref="L4779">_xlfn.IFS(
 AND(K4779&gt;=89,K4779&lt;=92),"3개월",
 AND(K4779&gt;=58,K4779&lt;=62),"2개월",
 AND(K4779&gt;=28,K4779&lt;=32),"1개월",
 AND(K4779=0),"당월",
 TRUE,"그외"
)</f>
        <v>2개월</v>
      </c>
    </row>
    <row r="4780" spans="1:12" x14ac:dyDescent="0.3">
      <c r="A4780" s="5">
        <v>45689</v>
      </c>
      <c r="B4780" s="6" t="s">
        <v>20</v>
      </c>
      <c r="C4780" s="6" t="s">
        <v>24</v>
      </c>
      <c r="D4780" s="5">
        <v>45627</v>
      </c>
      <c r="E4780" s="6" t="s">
        <v>15</v>
      </c>
      <c r="F4780" s="7">
        <v>1911</v>
      </c>
      <c r="G4780" s="7">
        <v>166205.79434850861</v>
      </c>
      <c r="H4780" s="7">
        <v>317619273</v>
      </c>
      <c r="I4780" s="7">
        <v>25162396</v>
      </c>
      <c r="J4780" s="7">
        <v>0</v>
      </c>
      <c r="K4780">
        <f t="shared" si="74"/>
        <v>62</v>
      </c>
      <c r="L4780" s="8" t="str" cm="1">
        <f t="array" ref="L4780">_xlfn.IFS(
 AND(K4780&gt;=89,K4780&lt;=92),"3개월",
 AND(K4780&gt;=58,K4780&lt;=62),"2개월",
 AND(K4780&gt;=28,K4780&lt;=32),"1개월",
 AND(K4780=0),"당월",
 TRUE,"그외"
)</f>
        <v>2개월</v>
      </c>
    </row>
    <row r="4781" spans="1:12" x14ac:dyDescent="0.3">
      <c r="A4781" s="5">
        <v>45689</v>
      </c>
      <c r="B4781" s="6" t="s">
        <v>20</v>
      </c>
      <c r="C4781" s="6" t="s">
        <v>24</v>
      </c>
      <c r="D4781" s="5">
        <v>45658</v>
      </c>
      <c r="E4781" s="6" t="s">
        <v>14</v>
      </c>
      <c r="F4781" s="7">
        <v>930</v>
      </c>
      <c r="G4781" s="7">
        <v>162942.79569892469</v>
      </c>
      <c r="H4781" s="7">
        <v>151536800</v>
      </c>
      <c r="I4781" s="7">
        <v>10508800</v>
      </c>
      <c r="J4781" s="7">
        <v>0</v>
      </c>
      <c r="K4781">
        <f t="shared" si="74"/>
        <v>31</v>
      </c>
      <c r="L4781" s="8" t="str" cm="1">
        <f t="array" ref="L4781">_xlfn.IFS(
 AND(K4781&gt;=89,K4781&lt;=92),"3개월",
 AND(K4781&gt;=58,K4781&lt;=62),"2개월",
 AND(K4781&gt;=28,K4781&lt;=32),"1개월",
 AND(K4781=0),"당월",
 TRUE,"그외"
)</f>
        <v>1개월</v>
      </c>
    </row>
    <row r="4782" spans="1:12" x14ac:dyDescent="0.3">
      <c r="A4782" s="5">
        <v>45689</v>
      </c>
      <c r="B4782" s="6" t="s">
        <v>20</v>
      </c>
      <c r="C4782" s="6" t="s">
        <v>24</v>
      </c>
      <c r="D4782" s="5">
        <v>45658</v>
      </c>
      <c r="E4782" s="6" t="s">
        <v>15</v>
      </c>
      <c r="F4782" s="7">
        <v>2988</v>
      </c>
      <c r="G4782" s="7">
        <v>166680.59270414989</v>
      </c>
      <c r="H4782" s="7">
        <v>498041611</v>
      </c>
      <c r="I4782" s="7">
        <v>40831345</v>
      </c>
      <c r="J4782" s="7">
        <v>0</v>
      </c>
      <c r="K4782">
        <f t="shared" si="74"/>
        <v>31</v>
      </c>
      <c r="L4782" s="8" t="str" cm="1">
        <f t="array" ref="L4782">_xlfn.IFS(
 AND(K4782&gt;=89,K4782&lt;=92),"3개월",
 AND(K4782&gt;=58,K4782&lt;=62),"2개월",
 AND(K4782&gt;=28,K4782&lt;=32),"1개월",
 AND(K4782=0),"당월",
 TRUE,"그외"
)</f>
        <v>1개월</v>
      </c>
    </row>
    <row r="4783" spans="1:12" x14ac:dyDescent="0.3">
      <c r="A4783" s="5">
        <v>45689</v>
      </c>
      <c r="B4783" s="6" t="s">
        <v>20</v>
      </c>
      <c r="C4783" s="6" t="s">
        <v>24</v>
      </c>
      <c r="D4783" s="5">
        <v>45689</v>
      </c>
      <c r="E4783" s="6" t="s">
        <v>14</v>
      </c>
      <c r="F4783" s="7">
        <v>1133</v>
      </c>
      <c r="G4783" s="7">
        <v>150547.66107678731</v>
      </c>
      <c r="H4783" s="7">
        <v>170570500</v>
      </c>
      <c r="I4783" s="7">
        <v>13254500</v>
      </c>
      <c r="J4783" s="7">
        <v>0</v>
      </c>
      <c r="K4783">
        <f t="shared" si="74"/>
        <v>0</v>
      </c>
      <c r="L4783" s="8" t="str" cm="1">
        <f t="array" ref="L4783">_xlfn.IFS(
 AND(K4783&gt;=89,K4783&lt;=92),"3개월",
 AND(K4783&gt;=58,K4783&lt;=62),"2개월",
 AND(K4783&gt;=28,K4783&lt;=32),"1개월",
 AND(K4783=0),"당월",
 TRUE,"그외"
)</f>
        <v>당월</v>
      </c>
    </row>
    <row r="4784" spans="1:12" x14ac:dyDescent="0.3">
      <c r="A4784" s="5">
        <v>45689</v>
      </c>
      <c r="B4784" s="6" t="s">
        <v>20</v>
      </c>
      <c r="C4784" s="6" t="s">
        <v>24</v>
      </c>
      <c r="D4784" s="5">
        <v>45689</v>
      </c>
      <c r="E4784" s="6" t="s">
        <v>15</v>
      </c>
      <c r="F4784" s="7">
        <v>1030</v>
      </c>
      <c r="G4784" s="7">
        <v>170942.16601941749</v>
      </c>
      <c r="H4784" s="7">
        <v>176070431</v>
      </c>
      <c r="I4784" s="7">
        <v>15034563</v>
      </c>
      <c r="J4784" s="7">
        <v>0</v>
      </c>
      <c r="K4784">
        <f t="shared" si="74"/>
        <v>0</v>
      </c>
      <c r="L4784" s="8" t="str" cm="1">
        <f t="array" ref="L4784">_xlfn.IFS(
 AND(K4784&gt;=89,K4784&lt;=92),"3개월",
 AND(K4784&gt;=58,K4784&lt;=62),"2개월",
 AND(K4784&gt;=28,K4784&lt;=32),"1개월",
 AND(K4784=0),"당월",
 TRUE,"그외"
)</f>
        <v>당월</v>
      </c>
    </row>
    <row r="4785" spans="1:12" x14ac:dyDescent="0.3">
      <c r="A4785" s="5">
        <v>45689</v>
      </c>
      <c r="B4785" s="6" t="s">
        <v>20</v>
      </c>
      <c r="C4785" s="6" t="s">
        <v>27</v>
      </c>
      <c r="D4785" s="5">
        <v>45474</v>
      </c>
      <c r="E4785" s="6" t="s">
        <v>15</v>
      </c>
      <c r="F4785" s="7">
        <v>19</v>
      </c>
      <c r="G4785" s="7">
        <v>158765.89473684211</v>
      </c>
      <c r="H4785" s="7">
        <v>3016552</v>
      </c>
      <c r="I4785" s="7">
        <v>449933</v>
      </c>
      <c r="J4785" s="7">
        <v>0</v>
      </c>
      <c r="K4785">
        <f t="shared" si="74"/>
        <v>215</v>
      </c>
      <c r="L4785" s="8" t="str" cm="1">
        <f t="array" ref="L4785">_xlfn.IFS(
 AND(K4785&gt;=89,K4785&lt;=92),"3개월",
 AND(K4785&gt;=58,K4785&lt;=62),"2개월",
 AND(K4785&gt;=28,K4785&lt;=32),"1개월",
 AND(K4785=0),"당월",
 TRUE,"그외"
)</f>
        <v>그외</v>
      </c>
    </row>
    <row r="4786" spans="1:12" x14ac:dyDescent="0.3">
      <c r="A4786" s="5">
        <v>45689</v>
      </c>
      <c r="B4786" s="6" t="s">
        <v>20</v>
      </c>
      <c r="C4786" s="6" t="s">
        <v>27</v>
      </c>
      <c r="D4786" s="5">
        <v>45505</v>
      </c>
      <c r="E4786" s="6" t="s">
        <v>15</v>
      </c>
      <c r="F4786" s="7">
        <v>280</v>
      </c>
      <c r="G4786" s="7">
        <v>148797.99642857141</v>
      </c>
      <c r="H4786" s="7">
        <v>41663439</v>
      </c>
      <c r="I4786" s="7">
        <v>4251411</v>
      </c>
      <c r="J4786" s="7">
        <v>0</v>
      </c>
      <c r="K4786">
        <f t="shared" si="74"/>
        <v>184</v>
      </c>
      <c r="L4786" s="8" t="str" cm="1">
        <f t="array" ref="L4786">_xlfn.IFS(
 AND(K4786&gt;=89,K4786&lt;=92),"3개월",
 AND(K4786&gt;=58,K4786&lt;=62),"2개월",
 AND(K4786&gt;=28,K4786&lt;=32),"1개월",
 AND(K4786=0),"당월",
 TRUE,"그외"
)</f>
        <v>그외</v>
      </c>
    </row>
    <row r="4787" spans="1:12" x14ac:dyDescent="0.3">
      <c r="A4787" s="5">
        <v>45689</v>
      </c>
      <c r="B4787" s="6" t="s">
        <v>20</v>
      </c>
      <c r="C4787" s="6" t="s">
        <v>27</v>
      </c>
      <c r="D4787" s="5">
        <v>45536</v>
      </c>
      <c r="E4787" s="6" t="s">
        <v>15</v>
      </c>
      <c r="F4787" s="7">
        <v>265</v>
      </c>
      <c r="G4787" s="7">
        <v>121982.358490566</v>
      </c>
      <c r="H4787" s="7">
        <v>32325325</v>
      </c>
      <c r="I4787" s="7">
        <v>5698663</v>
      </c>
      <c r="J4787" s="7">
        <v>0</v>
      </c>
      <c r="K4787">
        <f t="shared" si="74"/>
        <v>153</v>
      </c>
      <c r="L4787" s="8" t="str" cm="1">
        <f t="array" ref="L4787">_xlfn.IFS(
 AND(K4787&gt;=89,K4787&lt;=92),"3개월",
 AND(K4787&gt;=58,K4787&lt;=62),"2개월",
 AND(K4787&gt;=28,K4787&lt;=32),"1개월",
 AND(K4787=0),"당월",
 TRUE,"그외"
)</f>
        <v>그외</v>
      </c>
    </row>
    <row r="4788" spans="1:12" x14ac:dyDescent="0.3">
      <c r="A4788" s="5">
        <v>45689</v>
      </c>
      <c r="B4788" s="6" t="s">
        <v>20</v>
      </c>
      <c r="C4788" s="6" t="s">
        <v>27</v>
      </c>
      <c r="D4788" s="5">
        <v>45566</v>
      </c>
      <c r="E4788" s="6" t="s">
        <v>14</v>
      </c>
      <c r="F4788" s="7">
        <v>10</v>
      </c>
      <c r="G4788" s="7">
        <v>169400</v>
      </c>
      <c r="H4788" s="7">
        <v>1694000</v>
      </c>
      <c r="I4788" s="7">
        <v>94000</v>
      </c>
      <c r="J4788" s="7">
        <v>0</v>
      </c>
      <c r="K4788">
        <f t="shared" si="74"/>
        <v>123</v>
      </c>
      <c r="L4788" s="8" t="str" cm="1">
        <f t="array" ref="L4788">_xlfn.IFS(
 AND(K4788&gt;=89,K4788&lt;=92),"3개월",
 AND(K4788&gt;=58,K4788&lt;=62),"2개월",
 AND(K4788&gt;=28,K4788&lt;=32),"1개월",
 AND(K4788=0),"당월",
 TRUE,"그외"
)</f>
        <v>그외</v>
      </c>
    </row>
    <row r="4789" spans="1:12" x14ac:dyDescent="0.3">
      <c r="A4789" s="5">
        <v>45689</v>
      </c>
      <c r="B4789" s="6" t="s">
        <v>20</v>
      </c>
      <c r="C4789" s="6" t="s">
        <v>27</v>
      </c>
      <c r="D4789" s="5">
        <v>45566</v>
      </c>
      <c r="E4789" s="6" t="s">
        <v>15</v>
      </c>
      <c r="F4789" s="7">
        <v>472</v>
      </c>
      <c r="G4789" s="7">
        <v>123931.0402542373</v>
      </c>
      <c r="H4789" s="7">
        <v>58495451</v>
      </c>
      <c r="I4789" s="7">
        <v>11293040</v>
      </c>
      <c r="J4789" s="7">
        <v>0</v>
      </c>
      <c r="K4789">
        <f t="shared" si="74"/>
        <v>123</v>
      </c>
      <c r="L4789" s="8" t="str" cm="1">
        <f t="array" ref="L4789">_xlfn.IFS(
 AND(K4789&gt;=89,K4789&lt;=92),"3개월",
 AND(K4789&gt;=58,K4789&lt;=62),"2개월",
 AND(K4789&gt;=28,K4789&lt;=32),"1개월",
 AND(K4789=0),"당월",
 TRUE,"그외"
)</f>
        <v>그외</v>
      </c>
    </row>
    <row r="4790" spans="1:12" x14ac:dyDescent="0.3">
      <c r="A4790" s="5">
        <v>45689</v>
      </c>
      <c r="B4790" s="6" t="s">
        <v>20</v>
      </c>
      <c r="C4790" s="6" t="s">
        <v>27</v>
      </c>
      <c r="D4790" s="5">
        <v>45597</v>
      </c>
      <c r="E4790" s="6" t="s">
        <v>14</v>
      </c>
      <c r="F4790" s="7">
        <v>37</v>
      </c>
      <c r="G4790" s="7">
        <v>134164.86486486491</v>
      </c>
      <c r="H4790" s="7">
        <v>4964100</v>
      </c>
      <c r="I4790" s="7">
        <v>344100</v>
      </c>
      <c r="J4790" s="7">
        <v>0</v>
      </c>
      <c r="K4790">
        <f t="shared" si="74"/>
        <v>92</v>
      </c>
      <c r="L4790" s="8" t="str" cm="1">
        <f t="array" ref="L4790">_xlfn.IFS(
 AND(K4790&gt;=89,K4790&lt;=92),"3개월",
 AND(K4790&gt;=58,K4790&lt;=62),"2개월",
 AND(K4790&gt;=28,K4790&lt;=32),"1개월",
 AND(K4790=0),"당월",
 TRUE,"그외"
)</f>
        <v>3개월</v>
      </c>
    </row>
    <row r="4791" spans="1:12" x14ac:dyDescent="0.3">
      <c r="A4791" s="5">
        <v>45689</v>
      </c>
      <c r="B4791" s="6" t="s">
        <v>20</v>
      </c>
      <c r="C4791" s="6" t="s">
        <v>27</v>
      </c>
      <c r="D4791" s="5">
        <v>45597</v>
      </c>
      <c r="E4791" s="6" t="s">
        <v>15</v>
      </c>
      <c r="F4791" s="7">
        <v>934</v>
      </c>
      <c r="G4791" s="7">
        <v>144631.48286937899</v>
      </c>
      <c r="H4791" s="7">
        <v>135085805</v>
      </c>
      <c r="I4791" s="7">
        <v>20007799</v>
      </c>
      <c r="J4791" s="7">
        <v>0</v>
      </c>
      <c r="K4791">
        <f t="shared" si="74"/>
        <v>92</v>
      </c>
      <c r="L4791" s="8" t="str" cm="1">
        <f t="array" ref="L4791">_xlfn.IFS(
 AND(K4791&gt;=89,K4791&lt;=92),"3개월",
 AND(K4791&gt;=58,K4791&lt;=62),"2개월",
 AND(K4791&gt;=28,K4791&lt;=32),"1개월",
 AND(K4791=0),"당월",
 TRUE,"그외"
)</f>
        <v>3개월</v>
      </c>
    </row>
    <row r="4792" spans="1:12" x14ac:dyDescent="0.3">
      <c r="A4792" s="5">
        <v>45689</v>
      </c>
      <c r="B4792" s="6" t="s">
        <v>20</v>
      </c>
      <c r="C4792" s="6" t="s">
        <v>27</v>
      </c>
      <c r="D4792" s="5">
        <v>45627</v>
      </c>
      <c r="E4792" s="6" t="s">
        <v>14</v>
      </c>
      <c r="F4792" s="7">
        <v>574</v>
      </c>
      <c r="G4792" s="7">
        <v>127598.25783972121</v>
      </c>
      <c r="H4792" s="7">
        <v>73241400</v>
      </c>
      <c r="I4792" s="7">
        <v>6371400</v>
      </c>
      <c r="J4792" s="7">
        <v>0</v>
      </c>
      <c r="K4792">
        <f t="shared" si="74"/>
        <v>62</v>
      </c>
      <c r="L4792" s="8" t="str" cm="1">
        <f t="array" ref="L4792">_xlfn.IFS(
 AND(K4792&gt;=89,K4792&lt;=92),"3개월",
 AND(K4792&gt;=58,K4792&lt;=62),"2개월",
 AND(K4792&gt;=28,K4792&lt;=32),"1개월",
 AND(K4792=0),"당월",
 TRUE,"그외"
)</f>
        <v>2개월</v>
      </c>
    </row>
    <row r="4793" spans="1:12" x14ac:dyDescent="0.3">
      <c r="A4793" s="5">
        <v>45689</v>
      </c>
      <c r="B4793" s="6" t="s">
        <v>20</v>
      </c>
      <c r="C4793" s="6" t="s">
        <v>27</v>
      </c>
      <c r="D4793" s="5">
        <v>45627</v>
      </c>
      <c r="E4793" s="6" t="s">
        <v>15</v>
      </c>
      <c r="F4793" s="7">
        <v>5805</v>
      </c>
      <c r="G4793" s="7">
        <v>160032.95004306629</v>
      </c>
      <c r="H4793" s="7">
        <v>928991275</v>
      </c>
      <c r="I4793" s="7">
        <v>81523578</v>
      </c>
      <c r="J4793" s="7">
        <v>0</v>
      </c>
      <c r="K4793">
        <f t="shared" si="74"/>
        <v>62</v>
      </c>
      <c r="L4793" s="8" t="str" cm="1">
        <f t="array" ref="L4793">_xlfn.IFS(
 AND(K4793&gt;=89,K4793&lt;=92),"3개월",
 AND(K4793&gt;=58,K4793&lt;=62),"2개월",
 AND(K4793&gt;=28,K4793&lt;=32),"1개월",
 AND(K4793=0),"당월",
 TRUE,"그외"
)</f>
        <v>2개월</v>
      </c>
    </row>
    <row r="4794" spans="1:12" x14ac:dyDescent="0.3">
      <c r="A4794" s="5">
        <v>45689</v>
      </c>
      <c r="B4794" s="6" t="s">
        <v>20</v>
      </c>
      <c r="C4794" s="6" t="s">
        <v>27</v>
      </c>
      <c r="D4794" s="5">
        <v>45658</v>
      </c>
      <c r="E4794" s="6" t="s">
        <v>14</v>
      </c>
      <c r="F4794" s="7">
        <v>3223</v>
      </c>
      <c r="G4794" s="7">
        <v>142838.87682283591</v>
      </c>
      <c r="H4794" s="7">
        <v>460369700</v>
      </c>
      <c r="I4794" s="7">
        <v>36419700</v>
      </c>
      <c r="J4794" s="7">
        <v>0</v>
      </c>
      <c r="K4794">
        <f t="shared" si="74"/>
        <v>31</v>
      </c>
      <c r="L4794" s="8" t="str" cm="1">
        <f t="array" ref="L4794">_xlfn.IFS(
 AND(K4794&gt;=89,K4794&lt;=92),"3개월",
 AND(K4794&gt;=58,K4794&lt;=62),"2개월",
 AND(K4794&gt;=28,K4794&lt;=32),"1개월",
 AND(K4794=0),"당월",
 TRUE,"그외"
)</f>
        <v>1개월</v>
      </c>
    </row>
    <row r="4795" spans="1:12" x14ac:dyDescent="0.3">
      <c r="A4795" s="5">
        <v>45689</v>
      </c>
      <c r="B4795" s="6" t="s">
        <v>20</v>
      </c>
      <c r="C4795" s="6" t="s">
        <v>27</v>
      </c>
      <c r="D4795" s="5">
        <v>45658</v>
      </c>
      <c r="E4795" s="6" t="s">
        <v>15</v>
      </c>
      <c r="F4795" s="7">
        <v>12181</v>
      </c>
      <c r="G4795" s="7">
        <v>168465.50742960349</v>
      </c>
      <c r="H4795" s="7">
        <v>2052078346</v>
      </c>
      <c r="I4795" s="7">
        <v>207380813</v>
      </c>
      <c r="J4795" s="7">
        <v>0</v>
      </c>
      <c r="K4795">
        <f t="shared" si="74"/>
        <v>31</v>
      </c>
      <c r="L4795" s="8" t="str" cm="1">
        <f t="array" ref="L4795">_xlfn.IFS(
 AND(K4795&gt;=89,K4795&lt;=92),"3개월",
 AND(K4795&gt;=58,K4795&lt;=62),"2개월",
 AND(K4795&gt;=28,K4795&lt;=32),"1개월",
 AND(K4795=0),"당월",
 TRUE,"그외"
)</f>
        <v>1개월</v>
      </c>
    </row>
    <row r="4796" spans="1:12" x14ac:dyDescent="0.3">
      <c r="A4796" s="5">
        <v>45689</v>
      </c>
      <c r="B4796" s="6" t="s">
        <v>20</v>
      </c>
      <c r="C4796" s="6" t="s">
        <v>27</v>
      </c>
      <c r="D4796" s="5">
        <v>45689</v>
      </c>
      <c r="E4796" s="6" t="s">
        <v>14</v>
      </c>
      <c r="F4796" s="7">
        <v>3156</v>
      </c>
      <c r="G4796" s="7">
        <v>155041.50823827629</v>
      </c>
      <c r="H4796" s="7">
        <v>489311000</v>
      </c>
      <c r="I4796" s="7">
        <v>36906000</v>
      </c>
      <c r="J4796" s="7">
        <v>0</v>
      </c>
      <c r="K4796">
        <f t="shared" si="74"/>
        <v>0</v>
      </c>
      <c r="L4796" s="8" t="str" cm="1">
        <f t="array" ref="L4796">_xlfn.IFS(
 AND(K4796&gt;=89,K4796&lt;=92),"3개월",
 AND(K4796&gt;=58,K4796&lt;=62),"2개월",
 AND(K4796&gt;=28,K4796&lt;=32),"1개월",
 AND(K4796=0),"당월",
 TRUE,"그외"
)</f>
        <v>당월</v>
      </c>
    </row>
    <row r="4797" spans="1:12" x14ac:dyDescent="0.3">
      <c r="A4797" s="5">
        <v>45689</v>
      </c>
      <c r="B4797" s="6" t="s">
        <v>20</v>
      </c>
      <c r="C4797" s="6" t="s">
        <v>27</v>
      </c>
      <c r="D4797" s="5">
        <v>45689</v>
      </c>
      <c r="E4797" s="6" t="s">
        <v>15</v>
      </c>
      <c r="F4797" s="7">
        <v>3979</v>
      </c>
      <c r="G4797" s="7">
        <v>239955.42699170651</v>
      </c>
      <c r="H4797" s="7">
        <v>954782644</v>
      </c>
      <c r="I4797" s="7">
        <v>77455223</v>
      </c>
      <c r="J4797" s="7">
        <v>0</v>
      </c>
      <c r="K4797">
        <f t="shared" si="74"/>
        <v>0</v>
      </c>
      <c r="L4797" s="8" t="str" cm="1">
        <f t="array" ref="L4797">_xlfn.IFS(
 AND(K4797&gt;=89,K4797&lt;=92),"3개월",
 AND(K4797&gt;=58,K4797&lt;=62),"2개월",
 AND(K4797&gt;=28,K4797&lt;=32),"1개월",
 AND(K4797=0),"당월",
 TRUE,"그외"
)</f>
        <v>당월</v>
      </c>
    </row>
    <row r="4798" spans="1:12" x14ac:dyDescent="0.3">
      <c r="A4798" s="5">
        <v>45689</v>
      </c>
      <c r="B4798" s="6" t="s">
        <v>20</v>
      </c>
      <c r="C4798" s="6" t="s">
        <v>28</v>
      </c>
      <c r="D4798" s="5">
        <v>45505</v>
      </c>
      <c r="E4798" s="6" t="s">
        <v>15</v>
      </c>
      <c r="F4798" s="7">
        <v>126</v>
      </c>
      <c r="G4798" s="7">
        <v>129812.73809523811</v>
      </c>
      <c r="H4798" s="7">
        <v>16356405</v>
      </c>
      <c r="I4798" s="7">
        <v>2042817</v>
      </c>
      <c r="J4798" s="7">
        <v>0</v>
      </c>
      <c r="K4798">
        <f t="shared" si="74"/>
        <v>184</v>
      </c>
      <c r="L4798" s="8" t="str" cm="1">
        <f t="array" ref="L4798">_xlfn.IFS(
 AND(K4798&gt;=89,K4798&lt;=92),"3개월",
 AND(K4798&gt;=58,K4798&lt;=62),"2개월",
 AND(K4798&gt;=28,K4798&lt;=32),"1개월",
 AND(K4798=0),"당월",
 TRUE,"그외"
)</f>
        <v>그외</v>
      </c>
    </row>
    <row r="4799" spans="1:12" x14ac:dyDescent="0.3">
      <c r="A4799" s="5">
        <v>45689</v>
      </c>
      <c r="B4799" s="6" t="s">
        <v>20</v>
      </c>
      <c r="C4799" s="6" t="s">
        <v>28</v>
      </c>
      <c r="D4799" s="5">
        <v>45536</v>
      </c>
      <c r="E4799" s="6" t="s">
        <v>15</v>
      </c>
      <c r="F4799" s="7">
        <v>123</v>
      </c>
      <c r="G4799" s="7">
        <v>148071.52845528451</v>
      </c>
      <c r="H4799" s="7">
        <v>18212798</v>
      </c>
      <c r="I4799" s="7">
        <v>1749890</v>
      </c>
      <c r="J4799" s="7">
        <v>0</v>
      </c>
      <c r="K4799">
        <f t="shared" si="74"/>
        <v>153</v>
      </c>
      <c r="L4799" s="8" t="str" cm="1">
        <f t="array" ref="L4799">_xlfn.IFS(
 AND(K4799&gt;=89,K4799&lt;=92),"3개월",
 AND(K4799&gt;=58,K4799&lt;=62),"2개월",
 AND(K4799&gt;=28,K4799&lt;=32),"1개월",
 AND(K4799=0),"당월",
 TRUE,"그외"
)</f>
        <v>그외</v>
      </c>
    </row>
    <row r="4800" spans="1:12" x14ac:dyDescent="0.3">
      <c r="A4800" s="5">
        <v>45689</v>
      </c>
      <c r="B4800" s="6" t="s">
        <v>20</v>
      </c>
      <c r="C4800" s="6" t="s">
        <v>28</v>
      </c>
      <c r="D4800" s="5">
        <v>45566</v>
      </c>
      <c r="E4800" s="6" t="s">
        <v>15</v>
      </c>
      <c r="F4800" s="7">
        <v>359</v>
      </c>
      <c r="G4800" s="7">
        <v>152722.21448467969</v>
      </c>
      <c r="H4800" s="7">
        <v>54827275</v>
      </c>
      <c r="I4800" s="7">
        <v>3831115</v>
      </c>
      <c r="J4800" s="7">
        <v>0</v>
      </c>
      <c r="K4800">
        <f t="shared" si="74"/>
        <v>123</v>
      </c>
      <c r="L4800" s="8" t="str" cm="1">
        <f t="array" ref="L4800">_xlfn.IFS(
 AND(K4800&gt;=89,K4800&lt;=92),"3개월",
 AND(K4800&gt;=58,K4800&lt;=62),"2개월",
 AND(K4800&gt;=28,K4800&lt;=32),"1개월",
 AND(K4800=0),"당월",
 TRUE,"그외"
)</f>
        <v>그외</v>
      </c>
    </row>
    <row r="4801" spans="1:12" x14ac:dyDescent="0.3">
      <c r="A4801" s="5">
        <v>45689</v>
      </c>
      <c r="B4801" s="6" t="s">
        <v>20</v>
      </c>
      <c r="C4801" s="6" t="s">
        <v>28</v>
      </c>
      <c r="D4801" s="5">
        <v>45597</v>
      </c>
      <c r="E4801" s="6" t="s">
        <v>15</v>
      </c>
      <c r="F4801" s="7">
        <v>1242</v>
      </c>
      <c r="G4801" s="7">
        <v>157434.2117552335</v>
      </c>
      <c r="H4801" s="7">
        <v>195533291</v>
      </c>
      <c r="I4801" s="7">
        <v>13158316</v>
      </c>
      <c r="J4801" s="7">
        <v>0</v>
      </c>
      <c r="K4801">
        <f t="shared" si="74"/>
        <v>92</v>
      </c>
      <c r="L4801" s="8" t="str" cm="1">
        <f t="array" ref="L4801">_xlfn.IFS(
 AND(K4801&gt;=89,K4801&lt;=92),"3개월",
 AND(K4801&gt;=58,K4801&lt;=62),"2개월",
 AND(K4801&gt;=28,K4801&lt;=32),"1개월",
 AND(K4801=0),"당월",
 TRUE,"그외"
)</f>
        <v>3개월</v>
      </c>
    </row>
    <row r="4802" spans="1:12" x14ac:dyDescent="0.3">
      <c r="A4802" s="5">
        <v>45689</v>
      </c>
      <c r="B4802" s="6" t="s">
        <v>20</v>
      </c>
      <c r="C4802" s="6" t="s">
        <v>28</v>
      </c>
      <c r="D4802" s="5">
        <v>45627</v>
      </c>
      <c r="E4802" s="6" t="s">
        <v>14</v>
      </c>
      <c r="F4802" s="7">
        <v>604</v>
      </c>
      <c r="G4802" s="7">
        <v>119427.81456953639</v>
      </c>
      <c r="H4802" s="7">
        <v>72134400</v>
      </c>
      <c r="I4802" s="7">
        <v>6704400</v>
      </c>
      <c r="J4802" s="7">
        <v>0</v>
      </c>
      <c r="K4802">
        <f t="shared" si="74"/>
        <v>62</v>
      </c>
      <c r="L4802" s="8" t="str" cm="1">
        <f t="array" ref="L4802">_xlfn.IFS(
 AND(K4802&gt;=89,K4802&lt;=92),"3개월",
 AND(K4802&gt;=58,K4802&lt;=62),"2개월",
 AND(K4802&gt;=28,K4802&lt;=32),"1개월",
 AND(K4802=0),"당월",
 TRUE,"그외"
)</f>
        <v>2개월</v>
      </c>
    </row>
    <row r="4803" spans="1:12" x14ac:dyDescent="0.3">
      <c r="A4803" s="5">
        <v>45689</v>
      </c>
      <c r="B4803" s="6" t="s">
        <v>20</v>
      </c>
      <c r="C4803" s="6" t="s">
        <v>28</v>
      </c>
      <c r="D4803" s="5">
        <v>45627</v>
      </c>
      <c r="E4803" s="6" t="s">
        <v>15</v>
      </c>
      <c r="F4803" s="7">
        <v>1827</v>
      </c>
      <c r="G4803" s="7">
        <v>186692.15106732349</v>
      </c>
      <c r="H4803" s="7">
        <v>341086560</v>
      </c>
      <c r="I4803" s="7">
        <v>23707797</v>
      </c>
      <c r="J4803" s="7">
        <v>0</v>
      </c>
      <c r="K4803">
        <f t="shared" si="74"/>
        <v>62</v>
      </c>
      <c r="L4803" s="8" t="str" cm="1">
        <f t="array" ref="L4803">_xlfn.IFS(
 AND(K4803&gt;=89,K4803&lt;=92),"3개월",
 AND(K4803&gt;=58,K4803&lt;=62),"2개월",
 AND(K4803&gt;=28,K4803&lt;=32),"1개월",
 AND(K4803=0),"당월",
 TRUE,"그외"
)</f>
        <v>2개월</v>
      </c>
    </row>
    <row r="4804" spans="1:12" x14ac:dyDescent="0.3">
      <c r="A4804" s="5">
        <v>45689</v>
      </c>
      <c r="B4804" s="6" t="s">
        <v>20</v>
      </c>
      <c r="C4804" s="6" t="s">
        <v>28</v>
      </c>
      <c r="D4804" s="5">
        <v>45658</v>
      </c>
      <c r="E4804" s="6" t="s">
        <v>14</v>
      </c>
      <c r="F4804" s="7">
        <v>1082</v>
      </c>
      <c r="G4804" s="7">
        <v>128118.4990757856</v>
      </c>
      <c r="H4804" s="7">
        <v>138624216</v>
      </c>
      <c r="I4804" s="7">
        <v>12225400</v>
      </c>
      <c r="J4804" s="7">
        <v>0</v>
      </c>
      <c r="K4804">
        <f t="shared" si="74"/>
        <v>31</v>
      </c>
      <c r="L4804" s="8" t="str" cm="1">
        <f t="array" ref="L4804">_xlfn.IFS(
 AND(K4804&gt;=89,K4804&lt;=92),"3개월",
 AND(K4804&gt;=58,K4804&lt;=62),"2개월",
 AND(K4804&gt;=28,K4804&lt;=32),"1개월",
 AND(K4804=0),"당월",
 TRUE,"그외"
)</f>
        <v>1개월</v>
      </c>
    </row>
    <row r="4805" spans="1:12" x14ac:dyDescent="0.3">
      <c r="A4805" s="5">
        <v>45689</v>
      </c>
      <c r="B4805" s="6" t="s">
        <v>20</v>
      </c>
      <c r="C4805" s="6" t="s">
        <v>28</v>
      </c>
      <c r="D4805" s="5">
        <v>45658</v>
      </c>
      <c r="E4805" s="6" t="s">
        <v>15</v>
      </c>
      <c r="F4805" s="7">
        <v>2491</v>
      </c>
      <c r="G4805" s="7">
        <v>195407.03452428739</v>
      </c>
      <c r="H4805" s="7">
        <v>486758923</v>
      </c>
      <c r="I4805" s="7">
        <v>34374951</v>
      </c>
      <c r="J4805" s="7">
        <v>0</v>
      </c>
      <c r="K4805">
        <f t="shared" si="74"/>
        <v>31</v>
      </c>
      <c r="L4805" s="8" t="str" cm="1">
        <f t="array" ref="L4805">_xlfn.IFS(
 AND(K4805&gt;=89,K4805&lt;=92),"3개월",
 AND(K4805&gt;=58,K4805&lt;=62),"2개월",
 AND(K4805&gt;=28,K4805&lt;=32),"1개월",
 AND(K4805=0),"당월",
 TRUE,"그외"
)</f>
        <v>1개월</v>
      </c>
    </row>
    <row r="4806" spans="1:12" x14ac:dyDescent="0.3">
      <c r="A4806" s="5">
        <v>45689</v>
      </c>
      <c r="B4806" s="6" t="s">
        <v>20</v>
      </c>
      <c r="C4806" s="6" t="s">
        <v>28</v>
      </c>
      <c r="D4806" s="5">
        <v>45689</v>
      </c>
      <c r="E4806" s="6" t="s">
        <v>14</v>
      </c>
      <c r="F4806" s="7">
        <v>703</v>
      </c>
      <c r="G4806" s="7">
        <v>165773.93029871979</v>
      </c>
      <c r="H4806" s="7">
        <v>116539073</v>
      </c>
      <c r="I4806" s="7">
        <v>8213500</v>
      </c>
      <c r="J4806" s="7">
        <v>0</v>
      </c>
      <c r="K4806">
        <f t="shared" si="74"/>
        <v>0</v>
      </c>
      <c r="L4806" s="8" t="str" cm="1">
        <f t="array" ref="L4806">_xlfn.IFS(
 AND(K4806&gt;=89,K4806&lt;=92),"3개월",
 AND(K4806&gt;=58,K4806&lt;=62),"2개월",
 AND(K4806&gt;=28,K4806&lt;=32),"1개월",
 AND(K4806=0),"당월",
 TRUE,"그외"
)</f>
        <v>당월</v>
      </c>
    </row>
    <row r="4807" spans="1:12" x14ac:dyDescent="0.3">
      <c r="A4807" s="5">
        <v>45689</v>
      </c>
      <c r="B4807" s="6" t="s">
        <v>20</v>
      </c>
      <c r="C4807" s="6" t="s">
        <v>28</v>
      </c>
      <c r="D4807" s="5">
        <v>45689</v>
      </c>
      <c r="E4807" s="6" t="s">
        <v>15</v>
      </c>
      <c r="F4807" s="7">
        <v>1010</v>
      </c>
      <c r="G4807" s="7">
        <v>231360.58910891091</v>
      </c>
      <c r="H4807" s="7">
        <v>233674195</v>
      </c>
      <c r="I4807" s="7">
        <v>19995157</v>
      </c>
      <c r="J4807" s="7">
        <v>0</v>
      </c>
      <c r="K4807">
        <f t="shared" si="74"/>
        <v>0</v>
      </c>
      <c r="L4807" s="8" t="str" cm="1">
        <f t="array" ref="L4807">_xlfn.IFS(
 AND(K4807&gt;=89,K4807&lt;=92),"3개월",
 AND(K4807&gt;=58,K4807&lt;=62),"2개월",
 AND(K4807&gt;=28,K4807&lt;=32),"1개월",
 AND(K4807=0),"당월",
 TRUE,"그외"
)</f>
        <v>당월</v>
      </c>
    </row>
    <row r="4808" spans="1:12" x14ac:dyDescent="0.3">
      <c r="A4808" s="5">
        <v>45689</v>
      </c>
      <c r="B4808" s="6" t="s">
        <v>20</v>
      </c>
      <c r="C4808" s="6" t="s">
        <v>29</v>
      </c>
      <c r="D4808" s="5">
        <v>45474</v>
      </c>
      <c r="E4808" s="6" t="s">
        <v>15</v>
      </c>
      <c r="F4808" s="7">
        <v>13</v>
      </c>
      <c r="G4808" s="7">
        <v>153069.23076923081</v>
      </c>
      <c r="H4808" s="7">
        <v>1989900</v>
      </c>
      <c r="I4808" s="7">
        <v>159900</v>
      </c>
      <c r="J4808" s="7">
        <v>0</v>
      </c>
      <c r="K4808">
        <f t="shared" si="74"/>
        <v>215</v>
      </c>
      <c r="L4808" s="8" t="str" cm="1">
        <f t="array" ref="L4808">_xlfn.IFS(
 AND(K4808&gt;=89,K4808&lt;=92),"3개월",
 AND(K4808&gt;=58,K4808&lt;=62),"2개월",
 AND(K4808&gt;=28,K4808&lt;=32),"1개월",
 AND(K4808=0),"당월",
 TRUE,"그외"
)</f>
        <v>그외</v>
      </c>
    </row>
    <row r="4809" spans="1:12" x14ac:dyDescent="0.3">
      <c r="A4809" s="5">
        <v>45689</v>
      </c>
      <c r="B4809" s="6" t="s">
        <v>20</v>
      </c>
      <c r="C4809" s="6" t="s">
        <v>29</v>
      </c>
      <c r="D4809" s="5">
        <v>45505</v>
      </c>
      <c r="E4809" s="6" t="s">
        <v>15</v>
      </c>
      <c r="F4809" s="7">
        <v>296</v>
      </c>
      <c r="G4809" s="7">
        <v>160444.37378378381</v>
      </c>
      <c r="H4809" s="7">
        <v>47491534.640000001</v>
      </c>
      <c r="I4809" s="7">
        <v>4373459.6400000006</v>
      </c>
      <c r="J4809" s="7">
        <v>0</v>
      </c>
      <c r="K4809">
        <f t="shared" si="74"/>
        <v>184</v>
      </c>
      <c r="L4809" s="8" t="str" cm="1">
        <f t="array" ref="L4809">_xlfn.IFS(
 AND(K4809&gt;=89,K4809&lt;=92),"3개월",
 AND(K4809&gt;=58,K4809&lt;=62),"2개월",
 AND(K4809&gt;=28,K4809&lt;=32),"1개월",
 AND(K4809=0),"당월",
 TRUE,"그외"
)</f>
        <v>그외</v>
      </c>
    </row>
    <row r="4810" spans="1:12" x14ac:dyDescent="0.3">
      <c r="A4810" s="5">
        <v>45689</v>
      </c>
      <c r="B4810" s="6" t="s">
        <v>20</v>
      </c>
      <c r="C4810" s="6" t="s">
        <v>29</v>
      </c>
      <c r="D4810" s="5">
        <v>45536</v>
      </c>
      <c r="E4810" s="6" t="s">
        <v>15</v>
      </c>
      <c r="F4810" s="7">
        <v>510</v>
      </c>
      <c r="G4810" s="7">
        <v>161850.71960784309</v>
      </c>
      <c r="H4810" s="7">
        <v>82543867</v>
      </c>
      <c r="I4810" s="7">
        <v>6488387</v>
      </c>
      <c r="J4810" s="7">
        <v>0</v>
      </c>
      <c r="K4810">
        <f t="shared" ref="K4810:K4873" si="75">A4810-D4810</f>
        <v>153</v>
      </c>
      <c r="L4810" s="8" t="str" cm="1">
        <f t="array" ref="L4810">_xlfn.IFS(
 AND(K4810&gt;=89,K4810&lt;=92),"3개월",
 AND(K4810&gt;=58,K4810&lt;=62),"2개월",
 AND(K4810&gt;=28,K4810&lt;=32),"1개월",
 AND(K4810=0),"당월",
 TRUE,"그외"
)</f>
        <v>그외</v>
      </c>
    </row>
    <row r="4811" spans="1:12" x14ac:dyDescent="0.3">
      <c r="A4811" s="5">
        <v>45689</v>
      </c>
      <c r="B4811" s="6" t="s">
        <v>20</v>
      </c>
      <c r="C4811" s="6" t="s">
        <v>29</v>
      </c>
      <c r="D4811" s="5">
        <v>45566</v>
      </c>
      <c r="E4811" s="6" t="s">
        <v>15</v>
      </c>
      <c r="F4811" s="7">
        <v>1090</v>
      </c>
      <c r="G4811" s="7">
        <v>165279.53394495411</v>
      </c>
      <c r="H4811" s="7">
        <v>180154692</v>
      </c>
      <c r="I4811" s="7">
        <v>11629234</v>
      </c>
      <c r="J4811" s="7">
        <v>0</v>
      </c>
      <c r="K4811">
        <f t="shared" si="75"/>
        <v>123</v>
      </c>
      <c r="L4811" s="8" t="str" cm="1">
        <f t="array" ref="L4811">_xlfn.IFS(
 AND(K4811&gt;=89,K4811&lt;=92),"3개월",
 AND(K4811&gt;=58,K4811&lt;=62),"2개월",
 AND(K4811&gt;=28,K4811&lt;=32),"1개월",
 AND(K4811=0),"당월",
 TRUE,"그외"
)</f>
        <v>그외</v>
      </c>
    </row>
    <row r="4812" spans="1:12" x14ac:dyDescent="0.3">
      <c r="A4812" s="5">
        <v>45689</v>
      </c>
      <c r="B4812" s="6" t="s">
        <v>20</v>
      </c>
      <c r="C4812" s="6" t="s">
        <v>29</v>
      </c>
      <c r="D4812" s="5">
        <v>45597</v>
      </c>
      <c r="E4812" s="6" t="s">
        <v>14</v>
      </c>
      <c r="F4812" s="7">
        <v>148</v>
      </c>
      <c r="G4812" s="7">
        <v>182056.75675675669</v>
      </c>
      <c r="H4812" s="7">
        <v>26944400</v>
      </c>
      <c r="I4812" s="7">
        <v>1376400</v>
      </c>
      <c r="J4812" s="7">
        <v>0</v>
      </c>
      <c r="K4812">
        <f t="shared" si="75"/>
        <v>92</v>
      </c>
      <c r="L4812" s="8" t="str" cm="1">
        <f t="array" ref="L4812">_xlfn.IFS(
 AND(K4812&gt;=89,K4812&lt;=92),"3개월",
 AND(K4812&gt;=58,K4812&lt;=62),"2개월",
 AND(K4812&gt;=28,K4812&lt;=32),"1개월",
 AND(K4812=0),"당월",
 TRUE,"그외"
)</f>
        <v>3개월</v>
      </c>
    </row>
    <row r="4813" spans="1:12" x14ac:dyDescent="0.3">
      <c r="A4813" s="5">
        <v>45689</v>
      </c>
      <c r="B4813" s="6" t="s">
        <v>20</v>
      </c>
      <c r="C4813" s="6" t="s">
        <v>29</v>
      </c>
      <c r="D4813" s="5">
        <v>45597</v>
      </c>
      <c r="E4813" s="6" t="s">
        <v>15</v>
      </c>
      <c r="F4813" s="7">
        <v>2215</v>
      </c>
      <c r="G4813" s="7">
        <v>184372.78148984199</v>
      </c>
      <c r="H4813" s="7">
        <v>408385711</v>
      </c>
      <c r="I4813" s="7">
        <v>24745644</v>
      </c>
      <c r="J4813" s="7">
        <v>0</v>
      </c>
      <c r="K4813">
        <f t="shared" si="75"/>
        <v>92</v>
      </c>
      <c r="L4813" s="8" t="str" cm="1">
        <f t="array" ref="L4813">_xlfn.IFS(
 AND(K4813&gt;=89,K4813&lt;=92),"3개월",
 AND(K4813&gt;=58,K4813&lt;=62),"2개월",
 AND(K4813&gt;=28,K4813&lt;=32),"1개월",
 AND(K4813=0),"당월",
 TRUE,"그외"
)</f>
        <v>3개월</v>
      </c>
    </row>
    <row r="4814" spans="1:12" x14ac:dyDescent="0.3">
      <c r="A4814" s="5">
        <v>45689</v>
      </c>
      <c r="B4814" s="6" t="s">
        <v>20</v>
      </c>
      <c r="C4814" s="6" t="s">
        <v>29</v>
      </c>
      <c r="D4814" s="5">
        <v>45627</v>
      </c>
      <c r="E4814" s="6" t="s">
        <v>14</v>
      </c>
      <c r="F4814" s="7">
        <v>139</v>
      </c>
      <c r="G4814" s="7">
        <v>175279.85611510789</v>
      </c>
      <c r="H4814" s="7">
        <v>24363900</v>
      </c>
      <c r="I4814" s="7">
        <v>1542900</v>
      </c>
      <c r="J4814" s="7">
        <v>0</v>
      </c>
      <c r="K4814">
        <f t="shared" si="75"/>
        <v>62</v>
      </c>
      <c r="L4814" s="8" t="str" cm="1">
        <f t="array" ref="L4814">_xlfn.IFS(
 AND(K4814&gt;=89,K4814&lt;=92),"3개월",
 AND(K4814&gt;=58,K4814&lt;=62),"2개월",
 AND(K4814&gt;=28,K4814&lt;=32),"1개월",
 AND(K4814=0),"당월",
 TRUE,"그외"
)</f>
        <v>2개월</v>
      </c>
    </row>
    <row r="4815" spans="1:12" x14ac:dyDescent="0.3">
      <c r="A4815" s="5">
        <v>45689</v>
      </c>
      <c r="B4815" s="6" t="s">
        <v>20</v>
      </c>
      <c r="C4815" s="6" t="s">
        <v>29</v>
      </c>
      <c r="D4815" s="5">
        <v>45627</v>
      </c>
      <c r="E4815" s="6" t="s">
        <v>15</v>
      </c>
      <c r="F4815" s="7">
        <v>3139</v>
      </c>
      <c r="G4815" s="7">
        <v>200460.23096527561</v>
      </c>
      <c r="H4815" s="7">
        <v>629244665</v>
      </c>
      <c r="I4815" s="7">
        <v>38767301</v>
      </c>
      <c r="J4815" s="7">
        <v>0</v>
      </c>
      <c r="K4815">
        <f t="shared" si="75"/>
        <v>62</v>
      </c>
      <c r="L4815" s="8" t="str" cm="1">
        <f t="array" ref="L4815">_xlfn.IFS(
 AND(K4815&gt;=89,K4815&lt;=92),"3개월",
 AND(K4815&gt;=58,K4815&lt;=62),"2개월",
 AND(K4815&gt;=28,K4815&lt;=32),"1개월",
 AND(K4815=0),"당월",
 TRUE,"그외"
)</f>
        <v>2개월</v>
      </c>
    </row>
    <row r="4816" spans="1:12" x14ac:dyDescent="0.3">
      <c r="A4816" s="5">
        <v>45689</v>
      </c>
      <c r="B4816" s="6" t="s">
        <v>20</v>
      </c>
      <c r="C4816" s="6" t="s">
        <v>29</v>
      </c>
      <c r="D4816" s="5">
        <v>45658</v>
      </c>
      <c r="E4816" s="6" t="s">
        <v>14</v>
      </c>
      <c r="F4816" s="7">
        <v>1024</v>
      </c>
      <c r="G4816" s="7">
        <v>189944.8046875</v>
      </c>
      <c r="H4816" s="7">
        <v>194503480</v>
      </c>
      <c r="I4816" s="7">
        <v>11641476</v>
      </c>
      <c r="J4816" s="7">
        <v>0</v>
      </c>
      <c r="K4816">
        <f t="shared" si="75"/>
        <v>31</v>
      </c>
      <c r="L4816" s="8" t="str" cm="1">
        <f t="array" ref="L4816">_xlfn.IFS(
 AND(K4816&gt;=89,K4816&lt;=92),"3개월",
 AND(K4816&gt;=58,K4816&lt;=62),"2개월",
 AND(K4816&gt;=28,K4816&lt;=32),"1개월",
 AND(K4816=0),"당월",
 TRUE,"그외"
)</f>
        <v>1개월</v>
      </c>
    </row>
    <row r="4817" spans="1:12" x14ac:dyDescent="0.3">
      <c r="A4817" s="5">
        <v>45689</v>
      </c>
      <c r="B4817" s="6" t="s">
        <v>20</v>
      </c>
      <c r="C4817" s="6" t="s">
        <v>29</v>
      </c>
      <c r="D4817" s="5">
        <v>45658</v>
      </c>
      <c r="E4817" s="6" t="s">
        <v>15</v>
      </c>
      <c r="F4817" s="7">
        <v>7287</v>
      </c>
      <c r="G4817" s="7">
        <v>194294.38575545489</v>
      </c>
      <c r="H4817" s="7">
        <v>1415823189</v>
      </c>
      <c r="I4817" s="7">
        <v>95732911</v>
      </c>
      <c r="J4817" s="7">
        <v>0</v>
      </c>
      <c r="K4817">
        <f t="shared" si="75"/>
        <v>31</v>
      </c>
      <c r="L4817" s="8" t="str" cm="1">
        <f t="array" ref="L4817">_xlfn.IFS(
 AND(K4817&gt;=89,K4817&lt;=92),"3개월",
 AND(K4817&gt;=58,K4817&lt;=62),"2개월",
 AND(K4817&gt;=28,K4817&lt;=32),"1개월",
 AND(K4817=0),"당월",
 TRUE,"그외"
)</f>
        <v>1개월</v>
      </c>
    </row>
    <row r="4818" spans="1:12" x14ac:dyDescent="0.3">
      <c r="A4818" s="5">
        <v>45689</v>
      </c>
      <c r="B4818" s="6" t="s">
        <v>20</v>
      </c>
      <c r="C4818" s="6" t="s">
        <v>29</v>
      </c>
      <c r="D4818" s="5">
        <v>45689</v>
      </c>
      <c r="E4818" s="6" t="s">
        <v>14</v>
      </c>
      <c r="F4818" s="7">
        <v>2666</v>
      </c>
      <c r="G4818" s="7">
        <v>183337.80945236309</v>
      </c>
      <c r="H4818" s="7">
        <v>488778600</v>
      </c>
      <c r="I4818" s="7">
        <v>31190600</v>
      </c>
      <c r="J4818" s="7">
        <v>0</v>
      </c>
      <c r="K4818">
        <f t="shared" si="75"/>
        <v>0</v>
      </c>
      <c r="L4818" s="8" t="str" cm="1">
        <f t="array" ref="L4818">_xlfn.IFS(
 AND(K4818&gt;=89,K4818&lt;=92),"3개월",
 AND(K4818&gt;=58,K4818&lt;=62),"2개월",
 AND(K4818&gt;=28,K4818&lt;=32),"1개월",
 AND(K4818=0),"당월",
 TRUE,"그외"
)</f>
        <v>당월</v>
      </c>
    </row>
    <row r="4819" spans="1:12" x14ac:dyDescent="0.3">
      <c r="A4819" s="5">
        <v>45689</v>
      </c>
      <c r="B4819" s="6" t="s">
        <v>20</v>
      </c>
      <c r="C4819" s="6" t="s">
        <v>29</v>
      </c>
      <c r="D4819" s="5">
        <v>45689</v>
      </c>
      <c r="E4819" s="6" t="s">
        <v>15</v>
      </c>
      <c r="F4819" s="7">
        <v>2128</v>
      </c>
      <c r="G4819" s="7">
        <v>246489.50610902259</v>
      </c>
      <c r="H4819" s="7">
        <v>524529669</v>
      </c>
      <c r="I4819" s="7">
        <v>36692069</v>
      </c>
      <c r="J4819" s="7">
        <v>0</v>
      </c>
      <c r="K4819">
        <f t="shared" si="75"/>
        <v>0</v>
      </c>
      <c r="L4819" s="8" t="str" cm="1">
        <f t="array" ref="L4819">_xlfn.IFS(
 AND(K4819&gt;=89,K4819&lt;=92),"3개월",
 AND(K4819&gt;=58,K4819&lt;=62),"2개월",
 AND(K4819&gt;=28,K4819&lt;=32),"1개월",
 AND(K4819=0),"당월",
 TRUE,"그외"
)</f>
        <v>당월</v>
      </c>
    </row>
    <row r="4820" spans="1:12" x14ac:dyDescent="0.3">
      <c r="A4820" s="5">
        <v>45689</v>
      </c>
      <c r="B4820" s="6" t="s">
        <v>20</v>
      </c>
      <c r="C4820" s="6" t="s">
        <v>30</v>
      </c>
      <c r="D4820" s="5">
        <v>45505</v>
      </c>
      <c r="E4820" s="6" t="s">
        <v>15</v>
      </c>
      <c r="F4820" s="7">
        <v>337</v>
      </c>
      <c r="G4820" s="7">
        <v>150517.04451038569</v>
      </c>
      <c r="H4820" s="7">
        <v>50724244</v>
      </c>
      <c r="I4820" s="7">
        <v>4947428</v>
      </c>
      <c r="J4820" s="7">
        <v>0</v>
      </c>
      <c r="K4820">
        <f t="shared" si="75"/>
        <v>184</v>
      </c>
      <c r="L4820" s="8" t="str" cm="1">
        <f t="array" ref="L4820">_xlfn.IFS(
 AND(K4820&gt;=89,K4820&lt;=92),"3개월",
 AND(K4820&gt;=58,K4820&lt;=62),"2개월",
 AND(K4820&gt;=28,K4820&lt;=32),"1개월",
 AND(K4820=0),"당월",
 TRUE,"그외"
)</f>
        <v>그외</v>
      </c>
    </row>
    <row r="4821" spans="1:12" x14ac:dyDescent="0.3">
      <c r="A4821" s="5">
        <v>45689</v>
      </c>
      <c r="B4821" s="6" t="s">
        <v>20</v>
      </c>
      <c r="C4821" s="6" t="s">
        <v>30</v>
      </c>
      <c r="D4821" s="5">
        <v>45536</v>
      </c>
      <c r="E4821" s="6" t="s">
        <v>15</v>
      </c>
      <c r="F4821" s="7">
        <v>455</v>
      </c>
      <c r="G4821" s="7">
        <v>159312.2087912088</v>
      </c>
      <c r="H4821" s="7">
        <v>72487055</v>
      </c>
      <c r="I4821" s="7">
        <v>6025790</v>
      </c>
      <c r="J4821" s="7">
        <v>0</v>
      </c>
      <c r="K4821">
        <f t="shared" si="75"/>
        <v>153</v>
      </c>
      <c r="L4821" s="8" t="str" cm="1">
        <f t="array" ref="L4821">_xlfn.IFS(
 AND(K4821&gt;=89,K4821&lt;=92),"3개월",
 AND(K4821&gt;=58,K4821&lt;=62),"2개월",
 AND(K4821&gt;=28,K4821&lt;=32),"1개월",
 AND(K4821=0),"당월",
 TRUE,"그외"
)</f>
        <v>그외</v>
      </c>
    </row>
    <row r="4822" spans="1:12" x14ac:dyDescent="0.3">
      <c r="A4822" s="5">
        <v>45689</v>
      </c>
      <c r="B4822" s="6" t="s">
        <v>20</v>
      </c>
      <c r="C4822" s="6" t="s">
        <v>30</v>
      </c>
      <c r="D4822" s="5">
        <v>45566</v>
      </c>
      <c r="E4822" s="6" t="s">
        <v>15</v>
      </c>
      <c r="F4822" s="7">
        <v>355</v>
      </c>
      <c r="G4822" s="7">
        <v>172685.71830985919</v>
      </c>
      <c r="H4822" s="7">
        <v>61303430</v>
      </c>
      <c r="I4822" s="7">
        <v>4006261</v>
      </c>
      <c r="J4822" s="7">
        <v>0</v>
      </c>
      <c r="K4822">
        <f t="shared" si="75"/>
        <v>123</v>
      </c>
      <c r="L4822" s="8" t="str" cm="1">
        <f t="array" ref="L4822">_xlfn.IFS(
 AND(K4822&gt;=89,K4822&lt;=92),"3개월",
 AND(K4822&gt;=58,K4822&lt;=62),"2개월",
 AND(K4822&gt;=28,K4822&lt;=32),"1개월",
 AND(K4822=0),"당월",
 TRUE,"그외"
)</f>
        <v>그외</v>
      </c>
    </row>
    <row r="4823" spans="1:12" x14ac:dyDescent="0.3">
      <c r="A4823" s="5">
        <v>45689</v>
      </c>
      <c r="B4823" s="6" t="s">
        <v>20</v>
      </c>
      <c r="C4823" s="6" t="s">
        <v>30</v>
      </c>
      <c r="D4823" s="5">
        <v>45597</v>
      </c>
      <c r="E4823" s="6" t="s">
        <v>14</v>
      </c>
      <c r="F4823" s="7">
        <v>50</v>
      </c>
      <c r="G4823" s="7">
        <v>155500</v>
      </c>
      <c r="H4823" s="7">
        <v>7775000</v>
      </c>
      <c r="I4823" s="7">
        <v>465000</v>
      </c>
      <c r="J4823" s="7">
        <v>0</v>
      </c>
      <c r="K4823">
        <f t="shared" si="75"/>
        <v>92</v>
      </c>
      <c r="L4823" s="8" t="str" cm="1">
        <f t="array" ref="L4823">_xlfn.IFS(
 AND(K4823&gt;=89,K4823&lt;=92),"3개월",
 AND(K4823&gt;=58,K4823&lt;=62),"2개월",
 AND(K4823&gt;=28,K4823&lt;=32),"1개월",
 AND(K4823=0),"당월",
 TRUE,"그외"
)</f>
        <v>3개월</v>
      </c>
    </row>
    <row r="4824" spans="1:12" x14ac:dyDescent="0.3">
      <c r="A4824" s="5">
        <v>45689</v>
      </c>
      <c r="B4824" s="6" t="s">
        <v>20</v>
      </c>
      <c r="C4824" s="6" t="s">
        <v>30</v>
      </c>
      <c r="D4824" s="5">
        <v>45597</v>
      </c>
      <c r="E4824" s="6" t="s">
        <v>15</v>
      </c>
      <c r="F4824" s="7">
        <v>678</v>
      </c>
      <c r="G4824" s="7">
        <v>181897.03982300879</v>
      </c>
      <c r="H4824" s="7">
        <v>123326193</v>
      </c>
      <c r="I4824" s="7">
        <v>8112355</v>
      </c>
      <c r="J4824" s="7">
        <v>0</v>
      </c>
      <c r="K4824">
        <f t="shared" si="75"/>
        <v>92</v>
      </c>
      <c r="L4824" s="8" t="str" cm="1">
        <f t="array" ref="L4824">_xlfn.IFS(
 AND(K4824&gt;=89,K4824&lt;=92),"3개월",
 AND(K4824&gt;=58,K4824&lt;=62),"2개월",
 AND(K4824&gt;=28,K4824&lt;=32),"1개월",
 AND(K4824=0),"당월",
 TRUE,"그외"
)</f>
        <v>3개월</v>
      </c>
    </row>
    <row r="4825" spans="1:12" x14ac:dyDescent="0.3">
      <c r="A4825" s="5">
        <v>45689</v>
      </c>
      <c r="B4825" s="6" t="s">
        <v>20</v>
      </c>
      <c r="C4825" s="6" t="s">
        <v>30</v>
      </c>
      <c r="D4825" s="5">
        <v>45627</v>
      </c>
      <c r="E4825" s="6" t="s">
        <v>14</v>
      </c>
      <c r="F4825" s="7">
        <v>398</v>
      </c>
      <c r="G4825" s="7">
        <v>152049.74874371861</v>
      </c>
      <c r="H4825" s="7">
        <v>60515800</v>
      </c>
      <c r="I4825" s="7">
        <v>4417800</v>
      </c>
      <c r="J4825" s="7">
        <v>0</v>
      </c>
      <c r="K4825">
        <f t="shared" si="75"/>
        <v>62</v>
      </c>
      <c r="L4825" s="8" t="str" cm="1">
        <f t="array" ref="L4825">_xlfn.IFS(
 AND(K4825&gt;=89,K4825&lt;=92),"3개월",
 AND(K4825&gt;=58,K4825&lt;=62),"2개월",
 AND(K4825&gt;=28,K4825&lt;=32),"1개월",
 AND(K4825=0),"당월",
 TRUE,"그외"
)</f>
        <v>2개월</v>
      </c>
    </row>
    <row r="4826" spans="1:12" x14ac:dyDescent="0.3">
      <c r="A4826" s="5">
        <v>45689</v>
      </c>
      <c r="B4826" s="6" t="s">
        <v>20</v>
      </c>
      <c r="C4826" s="6" t="s">
        <v>30</v>
      </c>
      <c r="D4826" s="5">
        <v>45627</v>
      </c>
      <c r="E4826" s="6" t="s">
        <v>15</v>
      </c>
      <c r="F4826" s="7">
        <v>1451</v>
      </c>
      <c r="G4826" s="7">
        <v>188861.66092350101</v>
      </c>
      <c r="H4826" s="7">
        <v>274038270</v>
      </c>
      <c r="I4826" s="7">
        <v>19761195</v>
      </c>
      <c r="J4826" s="7">
        <v>0</v>
      </c>
      <c r="K4826">
        <f t="shared" si="75"/>
        <v>62</v>
      </c>
      <c r="L4826" s="8" t="str" cm="1">
        <f t="array" ref="L4826">_xlfn.IFS(
 AND(K4826&gt;=89,K4826&lt;=92),"3개월",
 AND(K4826&gt;=58,K4826&lt;=62),"2개월",
 AND(K4826&gt;=28,K4826&lt;=32),"1개월",
 AND(K4826=0),"당월",
 TRUE,"그외"
)</f>
        <v>2개월</v>
      </c>
    </row>
    <row r="4827" spans="1:12" x14ac:dyDescent="0.3">
      <c r="A4827" s="5">
        <v>45689</v>
      </c>
      <c r="B4827" s="6" t="s">
        <v>20</v>
      </c>
      <c r="C4827" s="6" t="s">
        <v>30</v>
      </c>
      <c r="D4827" s="5">
        <v>45658</v>
      </c>
      <c r="E4827" s="6" t="s">
        <v>14</v>
      </c>
      <c r="F4827" s="7">
        <v>1176</v>
      </c>
      <c r="G4827" s="7">
        <v>156340.81632653059</v>
      </c>
      <c r="H4827" s="7">
        <v>183856800</v>
      </c>
      <c r="I4827" s="7">
        <v>13288800</v>
      </c>
      <c r="J4827" s="7">
        <v>0</v>
      </c>
      <c r="K4827">
        <f t="shared" si="75"/>
        <v>31</v>
      </c>
      <c r="L4827" s="8" t="str" cm="1">
        <f t="array" ref="L4827">_xlfn.IFS(
 AND(K4827&gt;=89,K4827&lt;=92),"3개월",
 AND(K4827&gt;=58,K4827&lt;=62),"2개월",
 AND(K4827&gt;=28,K4827&lt;=32),"1개월",
 AND(K4827=0),"당월",
 TRUE,"그외"
)</f>
        <v>1개월</v>
      </c>
    </row>
    <row r="4828" spans="1:12" x14ac:dyDescent="0.3">
      <c r="A4828" s="5">
        <v>45689</v>
      </c>
      <c r="B4828" s="6" t="s">
        <v>20</v>
      </c>
      <c r="C4828" s="6" t="s">
        <v>30</v>
      </c>
      <c r="D4828" s="5">
        <v>45658</v>
      </c>
      <c r="E4828" s="6" t="s">
        <v>15</v>
      </c>
      <c r="F4828" s="7">
        <v>2749</v>
      </c>
      <c r="G4828" s="7">
        <v>196990.21025827571</v>
      </c>
      <c r="H4828" s="7">
        <v>541526088</v>
      </c>
      <c r="I4828" s="7">
        <v>40831150</v>
      </c>
      <c r="J4828" s="7">
        <v>0</v>
      </c>
      <c r="K4828">
        <f t="shared" si="75"/>
        <v>31</v>
      </c>
      <c r="L4828" s="8" t="str" cm="1">
        <f t="array" ref="L4828">_xlfn.IFS(
 AND(K4828&gt;=89,K4828&lt;=92),"3개월",
 AND(K4828&gt;=58,K4828&lt;=62),"2개월",
 AND(K4828&gt;=28,K4828&lt;=32),"1개월",
 AND(K4828=0),"당월",
 TRUE,"그외"
)</f>
        <v>1개월</v>
      </c>
    </row>
    <row r="4829" spans="1:12" x14ac:dyDescent="0.3">
      <c r="A4829" s="5">
        <v>45689</v>
      </c>
      <c r="B4829" s="6" t="s">
        <v>20</v>
      </c>
      <c r="C4829" s="6" t="s">
        <v>30</v>
      </c>
      <c r="D4829" s="5">
        <v>45689</v>
      </c>
      <c r="E4829" s="6" t="s">
        <v>14</v>
      </c>
      <c r="F4829" s="7">
        <v>1108</v>
      </c>
      <c r="G4829" s="7">
        <v>160556.67870036099</v>
      </c>
      <c r="H4829" s="7">
        <v>177896800</v>
      </c>
      <c r="I4829" s="7">
        <v>12962800</v>
      </c>
      <c r="J4829" s="7">
        <v>0</v>
      </c>
      <c r="K4829">
        <f t="shared" si="75"/>
        <v>0</v>
      </c>
      <c r="L4829" s="8" t="str" cm="1">
        <f t="array" ref="L4829">_xlfn.IFS(
 AND(K4829&gt;=89,K4829&lt;=92),"3개월",
 AND(K4829&gt;=58,K4829&lt;=62),"2개월",
 AND(K4829&gt;=28,K4829&lt;=32),"1개월",
 AND(K4829=0),"당월",
 TRUE,"그외"
)</f>
        <v>당월</v>
      </c>
    </row>
    <row r="4830" spans="1:12" x14ac:dyDescent="0.3">
      <c r="A4830" s="5">
        <v>45689</v>
      </c>
      <c r="B4830" s="6" t="s">
        <v>20</v>
      </c>
      <c r="C4830" s="6" t="s">
        <v>30</v>
      </c>
      <c r="D4830" s="5">
        <v>45689</v>
      </c>
      <c r="E4830" s="6" t="s">
        <v>15</v>
      </c>
      <c r="F4830" s="7">
        <v>1399</v>
      </c>
      <c r="G4830" s="7">
        <v>219830.96711937099</v>
      </c>
      <c r="H4830" s="7">
        <v>307543523</v>
      </c>
      <c r="I4830" s="7">
        <v>24874325</v>
      </c>
      <c r="J4830" s="7">
        <v>0</v>
      </c>
      <c r="K4830">
        <f t="shared" si="75"/>
        <v>0</v>
      </c>
      <c r="L4830" s="8" t="str" cm="1">
        <f t="array" ref="L4830">_xlfn.IFS(
 AND(K4830&gt;=89,K4830&lt;=92),"3개월",
 AND(K4830&gt;=58,K4830&lt;=62),"2개월",
 AND(K4830&gt;=28,K4830&lt;=32),"1개월",
 AND(K4830=0),"당월",
 TRUE,"그외"
)</f>
        <v>당월</v>
      </c>
    </row>
    <row r="4831" spans="1:12" x14ac:dyDescent="0.3">
      <c r="A4831" s="5">
        <v>45689</v>
      </c>
      <c r="B4831" s="6" t="s">
        <v>20</v>
      </c>
      <c r="C4831" s="6" t="s">
        <v>31</v>
      </c>
      <c r="D4831" s="5">
        <v>45505</v>
      </c>
      <c r="E4831" s="6" t="s">
        <v>15</v>
      </c>
      <c r="F4831" s="7">
        <v>193</v>
      </c>
      <c r="G4831" s="7">
        <v>133745.96953367881</v>
      </c>
      <c r="H4831" s="7">
        <v>25812972.120000001</v>
      </c>
      <c r="I4831" s="7">
        <v>3455168.12</v>
      </c>
      <c r="J4831" s="7">
        <v>0</v>
      </c>
      <c r="K4831">
        <f t="shared" si="75"/>
        <v>184</v>
      </c>
      <c r="L4831" s="8" t="str" cm="1">
        <f t="array" ref="L4831">_xlfn.IFS(
 AND(K4831&gt;=89,K4831&lt;=92),"3개월",
 AND(K4831&gt;=58,K4831&lt;=62),"2개월",
 AND(K4831&gt;=28,K4831&lt;=32),"1개월",
 AND(K4831=0),"당월",
 TRUE,"그외"
)</f>
        <v>그외</v>
      </c>
    </row>
    <row r="4832" spans="1:12" x14ac:dyDescent="0.3">
      <c r="A4832" s="5">
        <v>45689</v>
      </c>
      <c r="B4832" s="6" t="s">
        <v>20</v>
      </c>
      <c r="C4832" s="6" t="s">
        <v>31</v>
      </c>
      <c r="D4832" s="5">
        <v>45536</v>
      </c>
      <c r="E4832" s="6" t="s">
        <v>15</v>
      </c>
      <c r="F4832" s="7">
        <v>189</v>
      </c>
      <c r="G4832" s="7">
        <v>149176.164021164</v>
      </c>
      <c r="H4832" s="7">
        <v>28194295</v>
      </c>
      <c r="I4832" s="7">
        <v>3206660</v>
      </c>
      <c r="J4832" s="7">
        <v>0</v>
      </c>
      <c r="K4832">
        <f t="shared" si="75"/>
        <v>153</v>
      </c>
      <c r="L4832" s="8" t="str" cm="1">
        <f t="array" ref="L4832">_xlfn.IFS(
 AND(K4832&gt;=89,K4832&lt;=92),"3개월",
 AND(K4832&gt;=58,K4832&lt;=62),"2개월",
 AND(K4832&gt;=28,K4832&lt;=32),"1개월",
 AND(K4832=0),"당월",
 TRUE,"그외"
)</f>
        <v>그외</v>
      </c>
    </row>
    <row r="4833" spans="1:12" x14ac:dyDescent="0.3">
      <c r="A4833" s="5">
        <v>45689</v>
      </c>
      <c r="B4833" s="6" t="s">
        <v>20</v>
      </c>
      <c r="C4833" s="6" t="s">
        <v>31</v>
      </c>
      <c r="D4833" s="5">
        <v>45566</v>
      </c>
      <c r="E4833" s="6" t="s">
        <v>15</v>
      </c>
      <c r="F4833" s="7">
        <v>376</v>
      </c>
      <c r="G4833" s="7">
        <v>167336.3723404255</v>
      </c>
      <c r="H4833" s="7">
        <v>62918476</v>
      </c>
      <c r="I4833" s="7">
        <v>5789405</v>
      </c>
      <c r="J4833" s="7">
        <v>0</v>
      </c>
      <c r="K4833">
        <f t="shared" si="75"/>
        <v>123</v>
      </c>
      <c r="L4833" s="8" t="str" cm="1">
        <f t="array" ref="L4833">_xlfn.IFS(
 AND(K4833&gt;=89,K4833&lt;=92),"3개월",
 AND(K4833&gt;=58,K4833&lt;=62),"2개월",
 AND(K4833&gt;=28,K4833&lt;=32),"1개월",
 AND(K4833=0),"당월",
 TRUE,"그외"
)</f>
        <v>그외</v>
      </c>
    </row>
    <row r="4834" spans="1:12" x14ac:dyDescent="0.3">
      <c r="A4834" s="5">
        <v>45689</v>
      </c>
      <c r="B4834" s="6" t="s">
        <v>20</v>
      </c>
      <c r="C4834" s="6" t="s">
        <v>31</v>
      </c>
      <c r="D4834" s="5">
        <v>45597</v>
      </c>
      <c r="E4834" s="6" t="s">
        <v>15</v>
      </c>
      <c r="F4834" s="7">
        <v>863</v>
      </c>
      <c r="G4834" s="7">
        <v>160531.6604866744</v>
      </c>
      <c r="H4834" s="7">
        <v>138538823</v>
      </c>
      <c r="I4834" s="7">
        <v>13070629</v>
      </c>
      <c r="J4834" s="7">
        <v>0</v>
      </c>
      <c r="K4834">
        <f t="shared" si="75"/>
        <v>92</v>
      </c>
      <c r="L4834" s="8" t="str" cm="1">
        <f t="array" ref="L4834">_xlfn.IFS(
 AND(K4834&gt;=89,K4834&lt;=92),"3개월",
 AND(K4834&gt;=58,K4834&lt;=62),"2개월",
 AND(K4834&gt;=28,K4834&lt;=32),"1개월",
 AND(K4834=0),"당월",
 TRUE,"그외"
)</f>
        <v>3개월</v>
      </c>
    </row>
    <row r="4835" spans="1:12" x14ac:dyDescent="0.3">
      <c r="A4835" s="5">
        <v>45689</v>
      </c>
      <c r="B4835" s="6" t="s">
        <v>20</v>
      </c>
      <c r="C4835" s="6" t="s">
        <v>31</v>
      </c>
      <c r="D4835" s="5">
        <v>45627</v>
      </c>
      <c r="E4835" s="6" t="s">
        <v>14</v>
      </c>
      <c r="F4835" s="7">
        <v>133</v>
      </c>
      <c r="G4835" s="7">
        <v>136611.2781954887</v>
      </c>
      <c r="H4835" s="7">
        <v>18169300</v>
      </c>
      <c r="I4835" s="7">
        <v>1476300</v>
      </c>
      <c r="J4835" s="7">
        <v>0</v>
      </c>
      <c r="K4835">
        <f t="shared" si="75"/>
        <v>62</v>
      </c>
      <c r="L4835" s="8" t="str" cm="1">
        <f t="array" ref="L4835">_xlfn.IFS(
 AND(K4835&gt;=89,K4835&lt;=92),"3개월",
 AND(K4835&gt;=58,K4835&lt;=62),"2개월",
 AND(K4835&gt;=28,K4835&lt;=32),"1개월",
 AND(K4835=0),"당월",
 TRUE,"그외"
)</f>
        <v>2개월</v>
      </c>
    </row>
    <row r="4836" spans="1:12" x14ac:dyDescent="0.3">
      <c r="A4836" s="5">
        <v>45689</v>
      </c>
      <c r="B4836" s="6" t="s">
        <v>20</v>
      </c>
      <c r="C4836" s="6" t="s">
        <v>31</v>
      </c>
      <c r="D4836" s="5">
        <v>45627</v>
      </c>
      <c r="E4836" s="6" t="s">
        <v>15</v>
      </c>
      <c r="F4836" s="7">
        <v>1869</v>
      </c>
      <c r="G4836" s="7">
        <v>160353.92669876941</v>
      </c>
      <c r="H4836" s="7">
        <v>299701489</v>
      </c>
      <c r="I4836" s="7">
        <v>26984043</v>
      </c>
      <c r="J4836" s="7">
        <v>0</v>
      </c>
      <c r="K4836">
        <f t="shared" si="75"/>
        <v>62</v>
      </c>
      <c r="L4836" s="8" t="str" cm="1">
        <f t="array" ref="L4836">_xlfn.IFS(
 AND(K4836&gt;=89,K4836&lt;=92),"3개월",
 AND(K4836&gt;=58,K4836&lt;=62),"2개월",
 AND(K4836&gt;=28,K4836&lt;=32),"1개월",
 AND(K4836=0),"당월",
 TRUE,"그외"
)</f>
        <v>2개월</v>
      </c>
    </row>
    <row r="4837" spans="1:12" x14ac:dyDescent="0.3">
      <c r="A4837" s="5">
        <v>45689</v>
      </c>
      <c r="B4837" s="6" t="s">
        <v>20</v>
      </c>
      <c r="C4837" s="6" t="s">
        <v>31</v>
      </c>
      <c r="D4837" s="5">
        <v>45658</v>
      </c>
      <c r="E4837" s="6" t="s">
        <v>14</v>
      </c>
      <c r="F4837" s="7">
        <v>863</v>
      </c>
      <c r="G4837" s="7">
        <v>139972.27578215531</v>
      </c>
      <c r="H4837" s="7">
        <v>120796074</v>
      </c>
      <c r="I4837" s="7">
        <v>10831480</v>
      </c>
      <c r="J4837" s="7">
        <v>0</v>
      </c>
      <c r="K4837">
        <f t="shared" si="75"/>
        <v>31</v>
      </c>
      <c r="L4837" s="8" t="str" cm="1">
        <f t="array" ref="L4837">_xlfn.IFS(
 AND(K4837&gt;=89,K4837&lt;=92),"3개월",
 AND(K4837&gt;=58,K4837&lt;=62),"2개월",
 AND(K4837&gt;=28,K4837&lt;=32),"1개월",
 AND(K4837=0),"당월",
 TRUE,"그외"
)</f>
        <v>1개월</v>
      </c>
    </row>
    <row r="4838" spans="1:12" x14ac:dyDescent="0.3">
      <c r="A4838" s="5">
        <v>45689</v>
      </c>
      <c r="B4838" s="6" t="s">
        <v>20</v>
      </c>
      <c r="C4838" s="6" t="s">
        <v>31</v>
      </c>
      <c r="D4838" s="5">
        <v>45658</v>
      </c>
      <c r="E4838" s="6" t="s">
        <v>15</v>
      </c>
      <c r="F4838" s="7">
        <v>3796</v>
      </c>
      <c r="G4838" s="7">
        <v>177144.75895679661</v>
      </c>
      <c r="H4838" s="7">
        <v>672441505</v>
      </c>
      <c r="I4838" s="7">
        <v>59481283</v>
      </c>
      <c r="J4838" s="7">
        <v>0</v>
      </c>
      <c r="K4838">
        <f t="shared" si="75"/>
        <v>31</v>
      </c>
      <c r="L4838" s="8" t="str" cm="1">
        <f t="array" ref="L4838">_xlfn.IFS(
 AND(K4838&gt;=89,K4838&lt;=92),"3개월",
 AND(K4838&gt;=58,K4838&lt;=62),"2개월",
 AND(K4838&gt;=28,K4838&lt;=32),"1개월",
 AND(K4838=0),"당월",
 TRUE,"그외"
)</f>
        <v>1개월</v>
      </c>
    </row>
    <row r="4839" spans="1:12" x14ac:dyDescent="0.3">
      <c r="A4839" s="5">
        <v>45689</v>
      </c>
      <c r="B4839" s="6" t="s">
        <v>20</v>
      </c>
      <c r="C4839" s="6" t="s">
        <v>31</v>
      </c>
      <c r="D4839" s="5">
        <v>45689</v>
      </c>
      <c r="E4839" s="6" t="s">
        <v>14</v>
      </c>
      <c r="F4839" s="7">
        <v>621</v>
      </c>
      <c r="G4839" s="7">
        <v>153761.83574879231</v>
      </c>
      <c r="H4839" s="7">
        <v>95486100</v>
      </c>
      <c r="I4839" s="7">
        <v>7263100</v>
      </c>
      <c r="J4839" s="7">
        <v>0</v>
      </c>
      <c r="K4839">
        <f t="shared" si="75"/>
        <v>0</v>
      </c>
      <c r="L4839" s="8" t="str" cm="1">
        <f t="array" ref="L4839">_xlfn.IFS(
 AND(K4839&gt;=89,K4839&lt;=92),"3개월",
 AND(K4839&gt;=58,K4839&lt;=62),"2개월",
 AND(K4839&gt;=28,K4839&lt;=32),"1개월",
 AND(K4839=0),"당월",
 TRUE,"그외"
)</f>
        <v>당월</v>
      </c>
    </row>
    <row r="4840" spans="1:12" x14ac:dyDescent="0.3">
      <c r="A4840" s="5">
        <v>45689</v>
      </c>
      <c r="B4840" s="6" t="s">
        <v>20</v>
      </c>
      <c r="C4840" s="6" t="s">
        <v>31</v>
      </c>
      <c r="D4840" s="5">
        <v>45689</v>
      </c>
      <c r="E4840" s="6" t="s">
        <v>15</v>
      </c>
      <c r="F4840" s="7">
        <v>1113</v>
      </c>
      <c r="G4840" s="7">
        <v>218465.09433962271</v>
      </c>
      <c r="H4840" s="7">
        <v>243151650</v>
      </c>
      <c r="I4840" s="7">
        <v>19418947</v>
      </c>
      <c r="J4840" s="7">
        <v>0</v>
      </c>
      <c r="K4840">
        <f t="shared" si="75"/>
        <v>0</v>
      </c>
      <c r="L4840" s="8" t="str" cm="1">
        <f t="array" ref="L4840">_xlfn.IFS(
 AND(K4840&gt;=89,K4840&lt;=92),"3개월",
 AND(K4840&gt;=58,K4840&lt;=62),"2개월",
 AND(K4840&gt;=28,K4840&lt;=32),"1개월",
 AND(K4840=0),"당월",
 TRUE,"그외"
)</f>
        <v>당월</v>
      </c>
    </row>
    <row r="4841" spans="1:12" x14ac:dyDescent="0.3">
      <c r="A4841" s="5">
        <v>45689</v>
      </c>
      <c r="B4841" s="6" t="s">
        <v>20</v>
      </c>
      <c r="C4841" s="6" t="s">
        <v>32</v>
      </c>
      <c r="D4841" s="5">
        <v>45474</v>
      </c>
      <c r="E4841" s="6" t="s">
        <v>15</v>
      </c>
      <c r="F4841" s="7">
        <v>23</v>
      </c>
      <c r="G4841" s="7">
        <v>180160.86956521741</v>
      </c>
      <c r="H4841" s="7">
        <v>4143700</v>
      </c>
      <c r="I4841" s="7">
        <v>503700</v>
      </c>
      <c r="J4841" s="7">
        <v>0</v>
      </c>
      <c r="K4841">
        <f t="shared" si="75"/>
        <v>215</v>
      </c>
      <c r="L4841" s="8" t="str" cm="1">
        <f t="array" ref="L4841">_xlfn.IFS(
 AND(K4841&gt;=89,K4841&lt;=92),"3개월",
 AND(K4841&gt;=58,K4841&lt;=62),"2개월",
 AND(K4841&gt;=28,K4841&lt;=32),"1개월",
 AND(K4841=0),"당월",
 TRUE,"그외"
)</f>
        <v>그외</v>
      </c>
    </row>
    <row r="4842" spans="1:12" x14ac:dyDescent="0.3">
      <c r="A4842" s="5">
        <v>45689</v>
      </c>
      <c r="B4842" s="6" t="s">
        <v>20</v>
      </c>
      <c r="C4842" s="6" t="s">
        <v>32</v>
      </c>
      <c r="D4842" s="5">
        <v>45505</v>
      </c>
      <c r="E4842" s="6" t="s">
        <v>15</v>
      </c>
      <c r="F4842" s="7">
        <v>649</v>
      </c>
      <c r="G4842" s="7">
        <v>119674.7212942989</v>
      </c>
      <c r="H4842" s="7">
        <v>77668894.120000005</v>
      </c>
      <c r="I4842" s="7">
        <v>18285587.120000001</v>
      </c>
      <c r="J4842" s="7">
        <v>0</v>
      </c>
      <c r="K4842">
        <f t="shared" si="75"/>
        <v>184</v>
      </c>
      <c r="L4842" s="8" t="str" cm="1">
        <f t="array" ref="L4842">_xlfn.IFS(
 AND(K4842&gt;=89,K4842&lt;=92),"3개월",
 AND(K4842&gt;=58,K4842&lt;=62),"2개월",
 AND(K4842&gt;=28,K4842&lt;=32),"1개월",
 AND(K4842=0),"당월",
 TRUE,"그외"
)</f>
        <v>그외</v>
      </c>
    </row>
    <row r="4843" spans="1:12" x14ac:dyDescent="0.3">
      <c r="A4843" s="5">
        <v>45689</v>
      </c>
      <c r="B4843" s="6" t="s">
        <v>20</v>
      </c>
      <c r="C4843" s="6" t="s">
        <v>32</v>
      </c>
      <c r="D4843" s="5">
        <v>45536</v>
      </c>
      <c r="E4843" s="6" t="s">
        <v>15</v>
      </c>
      <c r="F4843" s="7">
        <v>646</v>
      </c>
      <c r="G4843" s="7">
        <v>147699.41795665631</v>
      </c>
      <c r="H4843" s="7">
        <v>95413824</v>
      </c>
      <c r="I4843" s="7">
        <v>16895028</v>
      </c>
      <c r="J4843" s="7">
        <v>0</v>
      </c>
      <c r="K4843">
        <f t="shared" si="75"/>
        <v>153</v>
      </c>
      <c r="L4843" s="8" t="str" cm="1">
        <f t="array" ref="L4843">_xlfn.IFS(
 AND(K4843&gt;=89,K4843&lt;=92),"3개월",
 AND(K4843&gt;=58,K4843&lt;=62),"2개월",
 AND(K4843&gt;=28,K4843&lt;=32),"1개월",
 AND(K4843=0),"당월",
 TRUE,"그외"
)</f>
        <v>그외</v>
      </c>
    </row>
    <row r="4844" spans="1:12" x14ac:dyDescent="0.3">
      <c r="A4844" s="5">
        <v>45689</v>
      </c>
      <c r="B4844" s="6" t="s">
        <v>20</v>
      </c>
      <c r="C4844" s="6" t="s">
        <v>32</v>
      </c>
      <c r="D4844" s="5">
        <v>45566</v>
      </c>
      <c r="E4844" s="6" t="s">
        <v>15</v>
      </c>
      <c r="F4844" s="7">
        <v>2619</v>
      </c>
      <c r="G4844" s="7">
        <v>147537.1008018328</v>
      </c>
      <c r="H4844" s="7">
        <v>386399667</v>
      </c>
      <c r="I4844" s="7">
        <v>54599693</v>
      </c>
      <c r="J4844" s="7">
        <v>0</v>
      </c>
      <c r="K4844">
        <f t="shared" si="75"/>
        <v>123</v>
      </c>
      <c r="L4844" s="8" t="str" cm="1">
        <f t="array" ref="L4844">_xlfn.IFS(
 AND(K4844&gt;=89,K4844&lt;=92),"3개월",
 AND(K4844&gt;=58,K4844&lt;=62),"2개월",
 AND(K4844&gt;=28,K4844&lt;=32),"1개월",
 AND(K4844=0),"당월",
 TRUE,"그외"
)</f>
        <v>그외</v>
      </c>
    </row>
    <row r="4845" spans="1:12" x14ac:dyDescent="0.3">
      <c r="A4845" s="5">
        <v>45689</v>
      </c>
      <c r="B4845" s="6" t="s">
        <v>20</v>
      </c>
      <c r="C4845" s="6" t="s">
        <v>32</v>
      </c>
      <c r="D4845" s="5">
        <v>45597</v>
      </c>
      <c r="E4845" s="6" t="s">
        <v>14</v>
      </c>
      <c r="F4845" s="7">
        <v>32</v>
      </c>
      <c r="G4845" s="7">
        <v>136000</v>
      </c>
      <c r="H4845" s="7">
        <v>4352000</v>
      </c>
      <c r="I4845" s="7">
        <v>512000</v>
      </c>
      <c r="J4845" s="7">
        <v>0</v>
      </c>
      <c r="K4845">
        <f t="shared" si="75"/>
        <v>92</v>
      </c>
      <c r="L4845" s="8" t="str" cm="1">
        <f t="array" ref="L4845">_xlfn.IFS(
 AND(K4845&gt;=89,K4845&lt;=92),"3개월",
 AND(K4845&gt;=58,K4845&lt;=62),"2개월",
 AND(K4845&gt;=28,K4845&lt;=32),"1개월",
 AND(K4845=0),"당월",
 TRUE,"그외"
)</f>
        <v>3개월</v>
      </c>
    </row>
    <row r="4846" spans="1:12" x14ac:dyDescent="0.3">
      <c r="A4846" s="5">
        <v>45689</v>
      </c>
      <c r="B4846" s="6" t="s">
        <v>20</v>
      </c>
      <c r="C4846" s="6" t="s">
        <v>32</v>
      </c>
      <c r="D4846" s="5">
        <v>45597</v>
      </c>
      <c r="E4846" s="6" t="s">
        <v>15</v>
      </c>
      <c r="F4846" s="7">
        <v>3207</v>
      </c>
      <c r="G4846" s="7">
        <v>162065.981602744</v>
      </c>
      <c r="H4846" s="7">
        <v>519745603</v>
      </c>
      <c r="I4846" s="7">
        <v>78614046</v>
      </c>
      <c r="J4846" s="7">
        <v>0</v>
      </c>
      <c r="K4846">
        <f t="shared" si="75"/>
        <v>92</v>
      </c>
      <c r="L4846" s="8" t="str" cm="1">
        <f t="array" ref="L4846">_xlfn.IFS(
 AND(K4846&gt;=89,K4846&lt;=92),"3개월",
 AND(K4846&gt;=58,K4846&lt;=62),"2개월",
 AND(K4846&gt;=28,K4846&lt;=32),"1개월",
 AND(K4846=0),"당월",
 TRUE,"그외"
)</f>
        <v>3개월</v>
      </c>
    </row>
    <row r="4847" spans="1:12" x14ac:dyDescent="0.3">
      <c r="A4847" s="5">
        <v>45689</v>
      </c>
      <c r="B4847" s="6" t="s">
        <v>20</v>
      </c>
      <c r="C4847" s="6" t="s">
        <v>32</v>
      </c>
      <c r="D4847" s="5">
        <v>45627</v>
      </c>
      <c r="E4847" s="6" t="s">
        <v>14</v>
      </c>
      <c r="F4847" s="7">
        <v>638</v>
      </c>
      <c r="G4847" s="7">
        <v>141108.46394984331</v>
      </c>
      <c r="H4847" s="7">
        <v>90027200</v>
      </c>
      <c r="I4847" s="7">
        <v>12377200</v>
      </c>
      <c r="J4847" s="7">
        <v>0</v>
      </c>
      <c r="K4847">
        <f t="shared" si="75"/>
        <v>62</v>
      </c>
      <c r="L4847" s="8" t="str" cm="1">
        <f t="array" ref="L4847">_xlfn.IFS(
 AND(K4847&gt;=89,K4847&lt;=92),"3개월",
 AND(K4847&gt;=58,K4847&lt;=62),"2개월",
 AND(K4847&gt;=28,K4847&lt;=32),"1개월",
 AND(K4847=0),"당월",
 TRUE,"그외"
)</f>
        <v>2개월</v>
      </c>
    </row>
    <row r="4848" spans="1:12" x14ac:dyDescent="0.3">
      <c r="A4848" s="5">
        <v>45689</v>
      </c>
      <c r="B4848" s="6" t="s">
        <v>20</v>
      </c>
      <c r="C4848" s="6" t="s">
        <v>32</v>
      </c>
      <c r="D4848" s="5">
        <v>45627</v>
      </c>
      <c r="E4848" s="6" t="s">
        <v>15</v>
      </c>
      <c r="F4848" s="7">
        <v>2412</v>
      </c>
      <c r="G4848" s="7">
        <v>175325.4465174129</v>
      </c>
      <c r="H4848" s="7">
        <v>422884977</v>
      </c>
      <c r="I4848" s="7">
        <v>55658887</v>
      </c>
      <c r="J4848" s="7">
        <v>0</v>
      </c>
      <c r="K4848">
        <f t="shared" si="75"/>
        <v>62</v>
      </c>
      <c r="L4848" s="8" t="str" cm="1">
        <f t="array" ref="L4848">_xlfn.IFS(
 AND(K4848&gt;=89,K4848&lt;=92),"3개월",
 AND(K4848&gt;=58,K4848&lt;=62),"2개월",
 AND(K4848&gt;=28,K4848&lt;=32),"1개월",
 AND(K4848=0),"당월",
 TRUE,"그외"
)</f>
        <v>2개월</v>
      </c>
    </row>
    <row r="4849" spans="1:12" x14ac:dyDescent="0.3">
      <c r="A4849" s="5">
        <v>45689</v>
      </c>
      <c r="B4849" s="6" t="s">
        <v>20</v>
      </c>
      <c r="C4849" s="6" t="s">
        <v>32</v>
      </c>
      <c r="D4849" s="5">
        <v>45658</v>
      </c>
      <c r="E4849" s="6" t="s">
        <v>14</v>
      </c>
      <c r="F4849" s="7">
        <v>1462</v>
      </c>
      <c r="G4849" s="7">
        <v>181673.6757865937</v>
      </c>
      <c r="H4849" s="7">
        <v>265606914</v>
      </c>
      <c r="I4849" s="7">
        <v>29216968</v>
      </c>
      <c r="J4849" s="7">
        <v>0</v>
      </c>
      <c r="K4849">
        <f t="shared" si="75"/>
        <v>31</v>
      </c>
      <c r="L4849" s="8" t="str" cm="1">
        <f t="array" ref="L4849">_xlfn.IFS(
 AND(K4849&gt;=89,K4849&lt;=92),"3개월",
 AND(K4849&gt;=58,K4849&lt;=62),"2개월",
 AND(K4849&gt;=28,K4849&lt;=32),"1개월",
 AND(K4849=0),"당월",
 TRUE,"그외"
)</f>
        <v>1개월</v>
      </c>
    </row>
    <row r="4850" spans="1:12" x14ac:dyDescent="0.3">
      <c r="A4850" s="5">
        <v>45689</v>
      </c>
      <c r="B4850" s="6" t="s">
        <v>20</v>
      </c>
      <c r="C4850" s="6" t="s">
        <v>32</v>
      </c>
      <c r="D4850" s="5">
        <v>45658</v>
      </c>
      <c r="E4850" s="6" t="s">
        <v>15</v>
      </c>
      <c r="F4850" s="7">
        <v>12716</v>
      </c>
      <c r="G4850" s="7">
        <v>184354.73474363011</v>
      </c>
      <c r="H4850" s="7">
        <v>2344254807</v>
      </c>
      <c r="I4850" s="7">
        <v>297066978</v>
      </c>
      <c r="J4850" s="7">
        <v>0</v>
      </c>
      <c r="K4850">
        <f t="shared" si="75"/>
        <v>31</v>
      </c>
      <c r="L4850" s="8" t="str" cm="1">
        <f t="array" ref="L4850">_xlfn.IFS(
 AND(K4850&gt;=89,K4850&lt;=92),"3개월",
 AND(K4850&gt;=58,K4850&lt;=62),"2개월",
 AND(K4850&gt;=28,K4850&lt;=32),"1개월",
 AND(K4850=0),"당월",
 TRUE,"그외"
)</f>
        <v>1개월</v>
      </c>
    </row>
    <row r="4851" spans="1:12" x14ac:dyDescent="0.3">
      <c r="A4851" s="5">
        <v>45689</v>
      </c>
      <c r="B4851" s="6" t="s">
        <v>20</v>
      </c>
      <c r="C4851" s="6" t="s">
        <v>32</v>
      </c>
      <c r="D4851" s="5">
        <v>45689</v>
      </c>
      <c r="E4851" s="6" t="s">
        <v>14</v>
      </c>
      <c r="F4851" s="7">
        <v>1035</v>
      </c>
      <c r="G4851" s="7">
        <v>185078.64734299519</v>
      </c>
      <c r="H4851" s="7">
        <v>191556400</v>
      </c>
      <c r="I4851" s="7">
        <v>21106400</v>
      </c>
      <c r="J4851" s="7">
        <v>0</v>
      </c>
      <c r="K4851">
        <f t="shared" si="75"/>
        <v>0</v>
      </c>
      <c r="L4851" s="8" t="str" cm="1">
        <f t="array" ref="L4851">_xlfn.IFS(
 AND(K4851&gt;=89,K4851&lt;=92),"3개월",
 AND(K4851&gt;=58,K4851&lt;=62),"2개월",
 AND(K4851&gt;=28,K4851&lt;=32),"1개월",
 AND(K4851=0),"당월",
 TRUE,"그외"
)</f>
        <v>당월</v>
      </c>
    </row>
    <row r="4852" spans="1:12" x14ac:dyDescent="0.3">
      <c r="A4852" s="5">
        <v>45689</v>
      </c>
      <c r="B4852" s="6" t="s">
        <v>20</v>
      </c>
      <c r="C4852" s="6" t="s">
        <v>32</v>
      </c>
      <c r="D4852" s="5">
        <v>45689</v>
      </c>
      <c r="E4852" s="6" t="s">
        <v>15</v>
      </c>
      <c r="F4852" s="7">
        <v>5158</v>
      </c>
      <c r="G4852" s="7">
        <v>243938.61322217909</v>
      </c>
      <c r="H4852" s="7">
        <v>1258235367</v>
      </c>
      <c r="I4852" s="7">
        <v>128236240</v>
      </c>
      <c r="J4852" s="7">
        <v>0</v>
      </c>
      <c r="K4852">
        <f t="shared" si="75"/>
        <v>0</v>
      </c>
      <c r="L4852" s="8" t="str" cm="1">
        <f t="array" ref="L4852">_xlfn.IFS(
 AND(K4852&gt;=89,K4852&lt;=92),"3개월",
 AND(K4852&gt;=58,K4852&lt;=62),"2개월",
 AND(K4852&gt;=28,K4852&lt;=32),"1개월",
 AND(K4852=0),"당월",
 TRUE,"그외"
)</f>
        <v>당월</v>
      </c>
    </row>
    <row r="4853" spans="1:12" x14ac:dyDescent="0.3">
      <c r="A4853" s="5">
        <v>45689</v>
      </c>
      <c r="B4853" s="6" t="s">
        <v>20</v>
      </c>
      <c r="C4853" s="6" t="s">
        <v>33</v>
      </c>
      <c r="D4853" s="5">
        <v>45474</v>
      </c>
      <c r="E4853" s="6" t="s">
        <v>15</v>
      </c>
      <c r="F4853" s="7">
        <v>4</v>
      </c>
      <c r="G4853" s="7">
        <v>221900</v>
      </c>
      <c r="H4853" s="7">
        <v>887600</v>
      </c>
      <c r="I4853" s="7">
        <v>87600</v>
      </c>
      <c r="J4853" s="7">
        <v>0</v>
      </c>
      <c r="K4853">
        <f t="shared" si="75"/>
        <v>215</v>
      </c>
      <c r="L4853" s="8" t="str" cm="1">
        <f t="array" ref="L4853">_xlfn.IFS(
 AND(K4853&gt;=89,K4853&lt;=92),"3개월",
 AND(K4853&gt;=58,K4853&lt;=62),"2개월",
 AND(K4853&gt;=28,K4853&lt;=32),"1개월",
 AND(K4853=0),"당월",
 TRUE,"그외"
)</f>
        <v>그외</v>
      </c>
    </row>
    <row r="4854" spans="1:12" x14ac:dyDescent="0.3">
      <c r="A4854" s="5">
        <v>45689</v>
      </c>
      <c r="B4854" s="6" t="s">
        <v>20</v>
      </c>
      <c r="C4854" s="6" t="s">
        <v>33</v>
      </c>
      <c r="D4854" s="5">
        <v>45505</v>
      </c>
      <c r="E4854" s="6" t="s">
        <v>15</v>
      </c>
      <c r="F4854" s="7">
        <v>133</v>
      </c>
      <c r="G4854" s="7">
        <v>198743.71007518799</v>
      </c>
      <c r="H4854" s="7">
        <v>26432913.440000001</v>
      </c>
      <c r="I4854" s="7">
        <v>3669761.44</v>
      </c>
      <c r="J4854" s="7">
        <v>0</v>
      </c>
      <c r="K4854">
        <f t="shared" si="75"/>
        <v>184</v>
      </c>
      <c r="L4854" s="8" t="str" cm="1">
        <f t="array" ref="L4854">_xlfn.IFS(
 AND(K4854&gt;=89,K4854&lt;=92),"3개월",
 AND(K4854&gt;=58,K4854&lt;=62),"2개월",
 AND(K4854&gt;=28,K4854&lt;=32),"1개월",
 AND(K4854=0),"당월",
 TRUE,"그외"
)</f>
        <v>그외</v>
      </c>
    </row>
    <row r="4855" spans="1:12" x14ac:dyDescent="0.3">
      <c r="A4855" s="5">
        <v>45689</v>
      </c>
      <c r="B4855" s="6" t="s">
        <v>20</v>
      </c>
      <c r="C4855" s="6" t="s">
        <v>33</v>
      </c>
      <c r="D4855" s="5">
        <v>45536</v>
      </c>
      <c r="E4855" s="6" t="s">
        <v>15</v>
      </c>
      <c r="F4855" s="7">
        <v>274</v>
      </c>
      <c r="G4855" s="7">
        <v>189279.58029197081</v>
      </c>
      <c r="H4855" s="7">
        <v>51862605</v>
      </c>
      <c r="I4855" s="7">
        <v>6711309</v>
      </c>
      <c r="J4855" s="7">
        <v>0</v>
      </c>
      <c r="K4855">
        <f t="shared" si="75"/>
        <v>153</v>
      </c>
      <c r="L4855" s="8" t="str" cm="1">
        <f t="array" ref="L4855">_xlfn.IFS(
 AND(K4855&gt;=89,K4855&lt;=92),"3개월",
 AND(K4855&gt;=58,K4855&lt;=62),"2개월",
 AND(K4855&gt;=28,K4855&lt;=32),"1개월",
 AND(K4855=0),"당월",
 TRUE,"그외"
)</f>
        <v>그외</v>
      </c>
    </row>
    <row r="4856" spans="1:12" x14ac:dyDescent="0.3">
      <c r="A4856" s="5">
        <v>45689</v>
      </c>
      <c r="B4856" s="6" t="s">
        <v>20</v>
      </c>
      <c r="C4856" s="6" t="s">
        <v>33</v>
      </c>
      <c r="D4856" s="5">
        <v>45566</v>
      </c>
      <c r="E4856" s="6" t="s">
        <v>15</v>
      </c>
      <c r="F4856" s="7">
        <v>642</v>
      </c>
      <c r="G4856" s="7">
        <v>192621.2741433022</v>
      </c>
      <c r="H4856" s="7">
        <v>123662858</v>
      </c>
      <c r="I4856" s="7">
        <v>12835409</v>
      </c>
      <c r="J4856" s="7">
        <v>0</v>
      </c>
      <c r="K4856">
        <f t="shared" si="75"/>
        <v>123</v>
      </c>
      <c r="L4856" s="8" t="str" cm="1">
        <f t="array" ref="L4856">_xlfn.IFS(
 AND(K4856&gt;=89,K4856&lt;=92),"3개월",
 AND(K4856&gt;=58,K4856&lt;=62),"2개월",
 AND(K4856&gt;=28,K4856&lt;=32),"1개월",
 AND(K4856=0),"당월",
 TRUE,"그외"
)</f>
        <v>그외</v>
      </c>
    </row>
    <row r="4857" spans="1:12" x14ac:dyDescent="0.3">
      <c r="A4857" s="5">
        <v>45689</v>
      </c>
      <c r="B4857" s="6" t="s">
        <v>20</v>
      </c>
      <c r="C4857" s="6" t="s">
        <v>33</v>
      </c>
      <c r="D4857" s="5">
        <v>45597</v>
      </c>
      <c r="E4857" s="6" t="s">
        <v>15</v>
      </c>
      <c r="F4857" s="7">
        <v>1027</v>
      </c>
      <c r="G4857" s="7">
        <v>215924.98734177221</v>
      </c>
      <c r="H4857" s="7">
        <v>221754962</v>
      </c>
      <c r="I4857" s="7">
        <v>18920563</v>
      </c>
      <c r="J4857" s="7">
        <v>0</v>
      </c>
      <c r="K4857">
        <f t="shared" si="75"/>
        <v>92</v>
      </c>
      <c r="L4857" s="8" t="str" cm="1">
        <f t="array" ref="L4857">_xlfn.IFS(
 AND(K4857&gt;=89,K4857&lt;=92),"3개월",
 AND(K4857&gt;=58,K4857&lt;=62),"2개월",
 AND(K4857&gt;=28,K4857&lt;=32),"1개월",
 AND(K4857=0),"당월",
 TRUE,"그외"
)</f>
        <v>3개월</v>
      </c>
    </row>
    <row r="4858" spans="1:12" x14ac:dyDescent="0.3">
      <c r="A4858" s="5">
        <v>45689</v>
      </c>
      <c r="B4858" s="6" t="s">
        <v>20</v>
      </c>
      <c r="C4858" s="6" t="s">
        <v>33</v>
      </c>
      <c r="D4858" s="5">
        <v>45627</v>
      </c>
      <c r="E4858" s="6" t="s">
        <v>15</v>
      </c>
      <c r="F4858" s="7">
        <v>1498</v>
      </c>
      <c r="G4858" s="7">
        <v>226924.57943925229</v>
      </c>
      <c r="H4858" s="7">
        <v>339933020</v>
      </c>
      <c r="I4858" s="7">
        <v>31872534</v>
      </c>
      <c r="J4858" s="7">
        <v>0</v>
      </c>
      <c r="K4858">
        <f t="shared" si="75"/>
        <v>62</v>
      </c>
      <c r="L4858" s="8" t="str" cm="1">
        <f t="array" ref="L4858">_xlfn.IFS(
 AND(K4858&gt;=89,K4858&lt;=92),"3개월",
 AND(K4858&gt;=58,K4858&lt;=62),"2개월",
 AND(K4858&gt;=28,K4858&lt;=32),"1개월",
 AND(K4858=0),"당월",
 TRUE,"그외"
)</f>
        <v>2개월</v>
      </c>
    </row>
    <row r="4859" spans="1:12" x14ac:dyDescent="0.3">
      <c r="A4859" s="5">
        <v>45689</v>
      </c>
      <c r="B4859" s="6" t="s">
        <v>20</v>
      </c>
      <c r="C4859" s="6" t="s">
        <v>33</v>
      </c>
      <c r="D4859" s="5">
        <v>45658</v>
      </c>
      <c r="E4859" s="6" t="s">
        <v>14</v>
      </c>
      <c r="F4859" s="7">
        <v>498</v>
      </c>
      <c r="G4859" s="7">
        <v>206114.7751004016</v>
      </c>
      <c r="H4859" s="7">
        <v>102645158</v>
      </c>
      <c r="I4859" s="7">
        <v>10048994</v>
      </c>
      <c r="J4859" s="7">
        <v>0</v>
      </c>
      <c r="K4859">
        <f t="shared" si="75"/>
        <v>31</v>
      </c>
      <c r="L4859" s="8" t="str" cm="1">
        <f t="array" ref="L4859">_xlfn.IFS(
 AND(K4859&gt;=89,K4859&lt;=92),"3개월",
 AND(K4859&gt;=58,K4859&lt;=62),"2개월",
 AND(K4859&gt;=28,K4859&lt;=32),"1개월",
 AND(K4859=0),"당월",
 TRUE,"그외"
)</f>
        <v>1개월</v>
      </c>
    </row>
    <row r="4860" spans="1:12" x14ac:dyDescent="0.3">
      <c r="A4860" s="5">
        <v>45689</v>
      </c>
      <c r="B4860" s="6" t="s">
        <v>20</v>
      </c>
      <c r="C4860" s="6" t="s">
        <v>33</v>
      </c>
      <c r="D4860" s="5">
        <v>45658</v>
      </c>
      <c r="E4860" s="6" t="s">
        <v>15</v>
      </c>
      <c r="F4860" s="7">
        <v>4231</v>
      </c>
      <c r="G4860" s="7">
        <v>223795.97636492559</v>
      </c>
      <c r="H4860" s="7">
        <v>946880776</v>
      </c>
      <c r="I4860" s="7">
        <v>92618200</v>
      </c>
      <c r="J4860" s="7">
        <v>0</v>
      </c>
      <c r="K4860">
        <f t="shared" si="75"/>
        <v>31</v>
      </c>
      <c r="L4860" s="8" t="str" cm="1">
        <f t="array" ref="L4860">_xlfn.IFS(
 AND(K4860&gt;=89,K4860&lt;=92),"3개월",
 AND(K4860&gt;=58,K4860&lt;=62),"2개월",
 AND(K4860&gt;=28,K4860&lt;=32),"1개월",
 AND(K4860=0),"당월",
 TRUE,"그외"
)</f>
        <v>1개월</v>
      </c>
    </row>
    <row r="4861" spans="1:12" x14ac:dyDescent="0.3">
      <c r="A4861" s="5">
        <v>45689</v>
      </c>
      <c r="B4861" s="6" t="s">
        <v>20</v>
      </c>
      <c r="C4861" s="6" t="s">
        <v>33</v>
      </c>
      <c r="D4861" s="5">
        <v>45689</v>
      </c>
      <c r="E4861" s="6" t="s">
        <v>14</v>
      </c>
      <c r="F4861" s="7">
        <v>686</v>
      </c>
      <c r="G4861" s="7">
        <v>200588.92128279881</v>
      </c>
      <c r="H4861" s="7">
        <v>137604000</v>
      </c>
      <c r="I4861" s="7">
        <v>13993000</v>
      </c>
      <c r="J4861" s="7">
        <v>0</v>
      </c>
      <c r="K4861">
        <f t="shared" si="75"/>
        <v>0</v>
      </c>
      <c r="L4861" s="8" t="str" cm="1">
        <f t="array" ref="L4861">_xlfn.IFS(
 AND(K4861&gt;=89,K4861&lt;=92),"3개월",
 AND(K4861&gt;=58,K4861&lt;=62),"2개월",
 AND(K4861&gt;=28,K4861&lt;=32),"1개월",
 AND(K4861=0),"당월",
 TRUE,"그외"
)</f>
        <v>당월</v>
      </c>
    </row>
    <row r="4862" spans="1:12" x14ac:dyDescent="0.3">
      <c r="A4862" s="5">
        <v>45689</v>
      </c>
      <c r="B4862" s="6" t="s">
        <v>20</v>
      </c>
      <c r="C4862" s="6" t="s">
        <v>33</v>
      </c>
      <c r="D4862" s="5">
        <v>45689</v>
      </c>
      <c r="E4862" s="6" t="s">
        <v>15</v>
      </c>
      <c r="F4862" s="7">
        <v>1283</v>
      </c>
      <c r="G4862" s="7">
        <v>280890.8293063133</v>
      </c>
      <c r="H4862" s="7">
        <v>360382934</v>
      </c>
      <c r="I4862" s="7">
        <v>31115064</v>
      </c>
      <c r="J4862" s="7">
        <v>0</v>
      </c>
      <c r="K4862">
        <f t="shared" si="75"/>
        <v>0</v>
      </c>
      <c r="L4862" s="8" t="str" cm="1">
        <f t="array" ref="L4862">_xlfn.IFS(
 AND(K4862&gt;=89,K4862&lt;=92),"3개월",
 AND(K4862&gt;=58,K4862&lt;=62),"2개월",
 AND(K4862&gt;=28,K4862&lt;=32),"1개월",
 AND(K4862=0),"당월",
 TRUE,"그외"
)</f>
        <v>당월</v>
      </c>
    </row>
    <row r="4863" spans="1:12" x14ac:dyDescent="0.3">
      <c r="A4863" s="5">
        <v>45689</v>
      </c>
      <c r="B4863" s="6" t="s">
        <v>20</v>
      </c>
      <c r="C4863" s="6" t="s">
        <v>35</v>
      </c>
      <c r="D4863" s="5">
        <v>45474</v>
      </c>
      <c r="E4863" s="6" t="s">
        <v>15</v>
      </c>
      <c r="F4863" s="7">
        <v>24</v>
      </c>
      <c r="G4863" s="7">
        <v>330336.79166666669</v>
      </c>
      <c r="H4863" s="7">
        <v>7928083</v>
      </c>
      <c r="I4863" s="7">
        <v>801445</v>
      </c>
      <c r="J4863" s="7">
        <v>0</v>
      </c>
      <c r="K4863">
        <f t="shared" si="75"/>
        <v>215</v>
      </c>
      <c r="L4863" s="8" t="str" cm="1">
        <f t="array" ref="L4863">_xlfn.IFS(
 AND(K4863&gt;=89,K4863&lt;=92),"3개월",
 AND(K4863&gt;=58,K4863&lt;=62),"2개월",
 AND(K4863&gt;=28,K4863&lt;=32),"1개월",
 AND(K4863=0),"당월",
 TRUE,"그외"
)</f>
        <v>그외</v>
      </c>
    </row>
    <row r="4864" spans="1:12" x14ac:dyDescent="0.3">
      <c r="A4864" s="5">
        <v>45689</v>
      </c>
      <c r="B4864" s="6" t="s">
        <v>20</v>
      </c>
      <c r="C4864" s="6" t="s">
        <v>35</v>
      </c>
      <c r="D4864" s="5">
        <v>45505</v>
      </c>
      <c r="E4864" s="6" t="s">
        <v>15</v>
      </c>
      <c r="F4864" s="7">
        <v>295</v>
      </c>
      <c r="G4864" s="7">
        <v>322548.95498305082</v>
      </c>
      <c r="H4864" s="7">
        <v>95151941.719999999</v>
      </c>
      <c r="I4864" s="7">
        <v>8329996.7200000007</v>
      </c>
      <c r="J4864" s="7">
        <v>0</v>
      </c>
      <c r="K4864">
        <f t="shared" si="75"/>
        <v>184</v>
      </c>
      <c r="L4864" s="8" t="str" cm="1">
        <f t="array" ref="L4864">_xlfn.IFS(
 AND(K4864&gt;=89,K4864&lt;=92),"3개월",
 AND(K4864&gt;=58,K4864&lt;=62),"2개월",
 AND(K4864&gt;=28,K4864&lt;=32),"1개월",
 AND(K4864=0),"당월",
 TRUE,"그외"
)</f>
        <v>그외</v>
      </c>
    </row>
    <row r="4865" spans="1:12" x14ac:dyDescent="0.3">
      <c r="A4865" s="5">
        <v>45689</v>
      </c>
      <c r="B4865" s="6" t="s">
        <v>20</v>
      </c>
      <c r="C4865" s="6" t="s">
        <v>35</v>
      </c>
      <c r="D4865" s="5">
        <v>45536</v>
      </c>
      <c r="E4865" s="6" t="s">
        <v>15</v>
      </c>
      <c r="F4865" s="7">
        <v>121</v>
      </c>
      <c r="G4865" s="7">
        <v>326109.42975206609</v>
      </c>
      <c r="H4865" s="7">
        <v>39459241</v>
      </c>
      <c r="I4865" s="7">
        <v>3278988</v>
      </c>
      <c r="J4865" s="7">
        <v>0</v>
      </c>
      <c r="K4865">
        <f t="shared" si="75"/>
        <v>153</v>
      </c>
      <c r="L4865" s="8" t="str" cm="1">
        <f t="array" ref="L4865">_xlfn.IFS(
 AND(K4865&gt;=89,K4865&lt;=92),"3개월",
 AND(K4865&gt;=58,K4865&lt;=62),"2개월",
 AND(K4865&gt;=28,K4865&lt;=32),"1개월",
 AND(K4865=0),"당월",
 TRUE,"그외"
)</f>
        <v>그외</v>
      </c>
    </row>
    <row r="4866" spans="1:12" x14ac:dyDescent="0.3">
      <c r="A4866" s="5">
        <v>45689</v>
      </c>
      <c r="B4866" s="6" t="s">
        <v>20</v>
      </c>
      <c r="C4866" s="6" t="s">
        <v>35</v>
      </c>
      <c r="D4866" s="5">
        <v>45566</v>
      </c>
      <c r="E4866" s="6" t="s">
        <v>15</v>
      </c>
      <c r="F4866" s="7">
        <v>368</v>
      </c>
      <c r="G4866" s="7">
        <v>320843.83695652173</v>
      </c>
      <c r="H4866" s="7">
        <v>118070532</v>
      </c>
      <c r="I4866" s="7">
        <v>7875780</v>
      </c>
      <c r="J4866" s="7">
        <v>0</v>
      </c>
      <c r="K4866">
        <f t="shared" si="75"/>
        <v>123</v>
      </c>
      <c r="L4866" s="8" t="str" cm="1">
        <f t="array" ref="L4866">_xlfn.IFS(
 AND(K4866&gt;=89,K4866&lt;=92),"3개월",
 AND(K4866&gt;=58,K4866&lt;=62),"2개월",
 AND(K4866&gt;=28,K4866&lt;=32),"1개월",
 AND(K4866=0),"당월",
 TRUE,"그외"
)</f>
        <v>그외</v>
      </c>
    </row>
    <row r="4867" spans="1:12" x14ac:dyDescent="0.3">
      <c r="A4867" s="5">
        <v>45689</v>
      </c>
      <c r="B4867" s="6" t="s">
        <v>20</v>
      </c>
      <c r="C4867" s="6" t="s">
        <v>35</v>
      </c>
      <c r="D4867" s="5">
        <v>45597</v>
      </c>
      <c r="E4867" s="6" t="s">
        <v>14</v>
      </c>
      <c r="F4867" s="7">
        <v>44</v>
      </c>
      <c r="G4867" s="7">
        <v>259363.63636363641</v>
      </c>
      <c r="H4867" s="7">
        <v>11412000</v>
      </c>
      <c r="I4867" s="7">
        <v>672000</v>
      </c>
      <c r="J4867" s="7">
        <v>0</v>
      </c>
      <c r="K4867">
        <f t="shared" si="75"/>
        <v>92</v>
      </c>
      <c r="L4867" s="8" t="str" cm="1">
        <f t="array" ref="L4867">_xlfn.IFS(
 AND(K4867&gt;=89,K4867&lt;=92),"3개월",
 AND(K4867&gt;=58,K4867&lt;=62),"2개월",
 AND(K4867&gt;=28,K4867&lt;=32),"1개월",
 AND(K4867=0),"당월",
 TRUE,"그외"
)</f>
        <v>3개월</v>
      </c>
    </row>
    <row r="4868" spans="1:12" x14ac:dyDescent="0.3">
      <c r="A4868" s="5">
        <v>45689</v>
      </c>
      <c r="B4868" s="6" t="s">
        <v>20</v>
      </c>
      <c r="C4868" s="6" t="s">
        <v>35</v>
      </c>
      <c r="D4868" s="5">
        <v>45597</v>
      </c>
      <c r="E4868" s="6" t="s">
        <v>15</v>
      </c>
      <c r="F4868" s="7">
        <v>747</v>
      </c>
      <c r="G4868" s="7">
        <v>318165.58500669338</v>
      </c>
      <c r="H4868" s="7">
        <v>237669692</v>
      </c>
      <c r="I4868" s="7">
        <v>15943729</v>
      </c>
      <c r="J4868" s="7">
        <v>0</v>
      </c>
      <c r="K4868">
        <f t="shared" si="75"/>
        <v>92</v>
      </c>
      <c r="L4868" s="8" t="str" cm="1">
        <f t="array" ref="L4868">_xlfn.IFS(
 AND(K4868&gt;=89,K4868&lt;=92),"3개월",
 AND(K4868&gt;=58,K4868&lt;=62),"2개월",
 AND(K4868&gt;=28,K4868&lt;=32),"1개월",
 AND(K4868=0),"당월",
 TRUE,"그외"
)</f>
        <v>3개월</v>
      </c>
    </row>
    <row r="4869" spans="1:12" x14ac:dyDescent="0.3">
      <c r="A4869" s="5">
        <v>45689</v>
      </c>
      <c r="B4869" s="6" t="s">
        <v>20</v>
      </c>
      <c r="C4869" s="6" t="s">
        <v>35</v>
      </c>
      <c r="D4869" s="5">
        <v>45627</v>
      </c>
      <c r="E4869" s="6" t="s">
        <v>14</v>
      </c>
      <c r="F4869" s="7">
        <v>91</v>
      </c>
      <c r="G4869" s="7">
        <v>1943125.2747252751</v>
      </c>
      <c r="H4869" s="7">
        <v>176824400</v>
      </c>
      <c r="I4869" s="7">
        <v>1474400</v>
      </c>
      <c r="J4869" s="7">
        <v>0</v>
      </c>
      <c r="K4869">
        <f t="shared" si="75"/>
        <v>62</v>
      </c>
      <c r="L4869" s="8" t="str" cm="1">
        <f t="array" ref="L4869">_xlfn.IFS(
 AND(K4869&gt;=89,K4869&lt;=92),"3개월",
 AND(K4869&gt;=58,K4869&lt;=62),"2개월",
 AND(K4869&gt;=28,K4869&lt;=32),"1개월",
 AND(K4869=0),"당월",
 TRUE,"그외"
)</f>
        <v>2개월</v>
      </c>
    </row>
    <row r="4870" spans="1:12" x14ac:dyDescent="0.3">
      <c r="A4870" s="5">
        <v>45689</v>
      </c>
      <c r="B4870" s="6" t="s">
        <v>20</v>
      </c>
      <c r="C4870" s="6" t="s">
        <v>35</v>
      </c>
      <c r="D4870" s="5">
        <v>45627</v>
      </c>
      <c r="E4870" s="6" t="s">
        <v>15</v>
      </c>
      <c r="F4870" s="7">
        <v>1067</v>
      </c>
      <c r="G4870" s="7">
        <v>307073.07029053418</v>
      </c>
      <c r="H4870" s="7">
        <v>327646966</v>
      </c>
      <c r="I4870" s="7">
        <v>23873309</v>
      </c>
      <c r="J4870" s="7">
        <v>0</v>
      </c>
      <c r="K4870">
        <f t="shared" si="75"/>
        <v>62</v>
      </c>
      <c r="L4870" s="8" t="str" cm="1">
        <f t="array" ref="L4870">_xlfn.IFS(
 AND(K4870&gt;=89,K4870&lt;=92),"3개월",
 AND(K4870&gt;=58,K4870&lt;=62),"2개월",
 AND(K4870&gt;=28,K4870&lt;=32),"1개월",
 AND(K4870=0),"당월",
 TRUE,"그외"
)</f>
        <v>2개월</v>
      </c>
    </row>
    <row r="4871" spans="1:12" x14ac:dyDescent="0.3">
      <c r="A4871" s="5">
        <v>45689</v>
      </c>
      <c r="B4871" s="6" t="s">
        <v>20</v>
      </c>
      <c r="C4871" s="6" t="s">
        <v>35</v>
      </c>
      <c r="D4871" s="5">
        <v>45658</v>
      </c>
      <c r="E4871" s="6" t="s">
        <v>14</v>
      </c>
      <c r="F4871" s="7">
        <v>3507</v>
      </c>
      <c r="G4871" s="7">
        <v>786484.59652124322</v>
      </c>
      <c r="H4871" s="7">
        <v>2758201480</v>
      </c>
      <c r="I4871" s="7">
        <v>2009400</v>
      </c>
      <c r="J4871" s="7">
        <v>0</v>
      </c>
      <c r="K4871">
        <f t="shared" si="75"/>
        <v>31</v>
      </c>
      <c r="L4871" s="8" t="str" cm="1">
        <f t="array" ref="L4871">_xlfn.IFS(
 AND(K4871&gt;=89,K4871&lt;=92),"3개월",
 AND(K4871&gt;=58,K4871&lt;=62),"2개월",
 AND(K4871&gt;=28,K4871&lt;=32),"1개월",
 AND(K4871=0),"당월",
 TRUE,"그외"
)</f>
        <v>1개월</v>
      </c>
    </row>
    <row r="4872" spans="1:12" x14ac:dyDescent="0.3">
      <c r="A4872" s="5">
        <v>45689</v>
      </c>
      <c r="B4872" s="6" t="s">
        <v>20</v>
      </c>
      <c r="C4872" s="6" t="s">
        <v>35</v>
      </c>
      <c r="D4872" s="5">
        <v>45658</v>
      </c>
      <c r="E4872" s="6" t="s">
        <v>15</v>
      </c>
      <c r="F4872" s="7">
        <v>1290</v>
      </c>
      <c r="G4872" s="7">
        <v>275947.3</v>
      </c>
      <c r="H4872" s="7">
        <v>355972017</v>
      </c>
      <c r="I4872" s="7">
        <v>30221533</v>
      </c>
      <c r="J4872" s="7">
        <v>0</v>
      </c>
      <c r="K4872">
        <f t="shared" si="75"/>
        <v>31</v>
      </c>
      <c r="L4872" s="8" t="str" cm="1">
        <f t="array" ref="L4872">_xlfn.IFS(
 AND(K4872&gt;=89,K4872&lt;=92),"3개월",
 AND(K4872&gt;=58,K4872&lt;=62),"2개월",
 AND(K4872&gt;=28,K4872&lt;=32),"1개월",
 AND(K4872=0),"당월",
 TRUE,"그외"
)</f>
        <v>1개월</v>
      </c>
    </row>
    <row r="4873" spans="1:12" x14ac:dyDescent="0.3">
      <c r="A4873" s="5">
        <v>45689</v>
      </c>
      <c r="B4873" s="6" t="s">
        <v>20</v>
      </c>
      <c r="C4873" s="6" t="s">
        <v>35</v>
      </c>
      <c r="D4873" s="5">
        <v>45689</v>
      </c>
      <c r="E4873" s="6" t="s">
        <v>14</v>
      </c>
      <c r="F4873" s="7">
        <v>8160</v>
      </c>
      <c r="G4873" s="7">
        <v>2637.254901960785</v>
      </c>
      <c r="H4873" s="7">
        <v>21520000</v>
      </c>
      <c r="I4873" s="7">
        <v>1545000</v>
      </c>
      <c r="J4873" s="7">
        <v>0</v>
      </c>
      <c r="K4873">
        <f t="shared" si="75"/>
        <v>0</v>
      </c>
      <c r="L4873" s="8" t="str" cm="1">
        <f t="array" ref="L4873">_xlfn.IFS(
 AND(K4873&gt;=89,K4873&lt;=92),"3개월",
 AND(K4873&gt;=58,K4873&lt;=62),"2개월",
 AND(K4873&gt;=28,K4873&lt;=32),"1개월",
 AND(K4873=0),"당월",
 TRUE,"그외"
)</f>
        <v>당월</v>
      </c>
    </row>
    <row r="4874" spans="1:12" x14ac:dyDescent="0.3">
      <c r="A4874" s="5">
        <v>45689</v>
      </c>
      <c r="B4874" s="6" t="s">
        <v>20</v>
      </c>
      <c r="C4874" s="6" t="s">
        <v>35</v>
      </c>
      <c r="D4874" s="5">
        <v>45689</v>
      </c>
      <c r="E4874" s="6" t="s">
        <v>15</v>
      </c>
      <c r="F4874" s="7">
        <v>1117</v>
      </c>
      <c r="G4874" s="7">
        <v>220597.23724261421</v>
      </c>
      <c r="H4874" s="7">
        <v>246407114</v>
      </c>
      <c r="I4874" s="7">
        <v>28383839</v>
      </c>
      <c r="J4874" s="7">
        <v>0</v>
      </c>
      <c r="K4874">
        <f t="shared" ref="K4874:K4937" si="76">A4874-D4874</f>
        <v>0</v>
      </c>
      <c r="L4874" s="8" t="str" cm="1">
        <f t="array" ref="L4874">_xlfn.IFS(
 AND(K4874&gt;=89,K4874&lt;=92),"3개월",
 AND(K4874&gt;=58,K4874&lt;=62),"2개월",
 AND(K4874&gt;=28,K4874&lt;=32),"1개월",
 AND(K4874=0),"당월",
 TRUE,"그외"
)</f>
        <v>당월</v>
      </c>
    </row>
    <row r="4875" spans="1:12" x14ac:dyDescent="0.3">
      <c r="A4875" s="5">
        <v>45689</v>
      </c>
      <c r="B4875" s="6" t="s">
        <v>20</v>
      </c>
      <c r="C4875" s="6" t="s">
        <v>98</v>
      </c>
      <c r="D4875" s="5">
        <v>45627</v>
      </c>
      <c r="E4875" s="6" t="s">
        <v>14</v>
      </c>
      <c r="F4875" s="7">
        <v>283</v>
      </c>
      <c r="G4875" s="7">
        <v>6168197.8798586568</v>
      </c>
      <c r="H4875" s="7">
        <v>1745600000</v>
      </c>
      <c r="I4875" s="7">
        <v>0</v>
      </c>
      <c r="J4875" s="7">
        <v>0</v>
      </c>
      <c r="K4875">
        <f t="shared" si="76"/>
        <v>62</v>
      </c>
      <c r="L4875" s="8" t="str" cm="1">
        <f t="array" ref="L4875">_xlfn.IFS(
 AND(K4875&gt;=89,K4875&lt;=92),"3개월",
 AND(K4875&gt;=58,K4875&lt;=62),"2개월",
 AND(K4875&gt;=28,K4875&lt;=32),"1개월",
 AND(K4875=0),"당월",
 TRUE,"그외"
)</f>
        <v>2개월</v>
      </c>
    </row>
    <row r="4876" spans="1:12" x14ac:dyDescent="0.3">
      <c r="A4876" s="5">
        <v>45689</v>
      </c>
      <c r="B4876" s="6" t="s">
        <v>20</v>
      </c>
      <c r="C4876" s="6" t="s">
        <v>98</v>
      </c>
      <c r="D4876" s="5">
        <v>45658</v>
      </c>
      <c r="E4876" s="6" t="s">
        <v>14</v>
      </c>
      <c r="F4876" s="7">
        <v>1779</v>
      </c>
      <c r="G4876" s="7">
        <v>0</v>
      </c>
      <c r="H4876" s="7">
        <v>0</v>
      </c>
      <c r="I4876" s="7">
        <v>0</v>
      </c>
      <c r="J4876" s="7">
        <v>0</v>
      </c>
      <c r="K4876">
        <f t="shared" si="76"/>
        <v>31</v>
      </c>
      <c r="L4876" s="8" t="str" cm="1">
        <f t="array" ref="L4876">_xlfn.IFS(
 AND(K4876&gt;=89,K4876&lt;=92),"3개월",
 AND(K4876&gt;=58,K4876&lt;=62),"2개월",
 AND(K4876&gt;=28,K4876&lt;=32),"1개월",
 AND(K4876=0),"당월",
 TRUE,"그외"
)</f>
        <v>1개월</v>
      </c>
    </row>
    <row r="4877" spans="1:12" x14ac:dyDescent="0.3">
      <c r="A4877" s="5">
        <v>45689</v>
      </c>
      <c r="B4877" s="6" t="s">
        <v>20</v>
      </c>
      <c r="C4877" s="6" t="s">
        <v>98</v>
      </c>
      <c r="D4877" s="5">
        <v>45658</v>
      </c>
      <c r="E4877" s="6" t="s">
        <v>15</v>
      </c>
      <c r="F4877" s="7">
        <v>1</v>
      </c>
      <c r="G4877" s="7">
        <v>399700</v>
      </c>
      <c r="H4877" s="7">
        <v>399700</v>
      </c>
      <c r="I4877" s="7">
        <v>19700</v>
      </c>
      <c r="J4877" s="7">
        <v>0</v>
      </c>
      <c r="K4877">
        <f t="shared" si="76"/>
        <v>31</v>
      </c>
      <c r="L4877" s="8" t="str" cm="1">
        <f t="array" ref="L4877">_xlfn.IFS(
 AND(K4877&gt;=89,K4877&lt;=92),"3개월",
 AND(K4877&gt;=58,K4877&lt;=62),"2개월",
 AND(K4877&gt;=28,K4877&lt;=32),"1개월",
 AND(K4877=0),"당월",
 TRUE,"그외"
)</f>
        <v>1개월</v>
      </c>
    </row>
    <row r="4878" spans="1:12" x14ac:dyDescent="0.3">
      <c r="A4878" s="5">
        <v>45689</v>
      </c>
      <c r="B4878" s="6" t="s">
        <v>20</v>
      </c>
      <c r="C4878" s="6" t="s">
        <v>98</v>
      </c>
      <c r="D4878" s="5">
        <v>45689</v>
      </c>
      <c r="E4878" s="6" t="s">
        <v>14</v>
      </c>
      <c r="F4878" s="7">
        <v>4570</v>
      </c>
      <c r="G4878" s="7">
        <v>0</v>
      </c>
      <c r="H4878" s="7">
        <v>0</v>
      </c>
      <c r="I4878" s="7">
        <v>0</v>
      </c>
      <c r="J4878" s="7">
        <v>0</v>
      </c>
      <c r="K4878">
        <f t="shared" si="76"/>
        <v>0</v>
      </c>
      <c r="L4878" s="8" t="str" cm="1">
        <f t="array" ref="L4878">_xlfn.IFS(
 AND(K4878&gt;=89,K4878&lt;=92),"3개월",
 AND(K4878&gt;=58,K4878&lt;=62),"2개월",
 AND(K4878&gt;=28,K4878&lt;=32),"1개월",
 AND(K4878=0),"당월",
 TRUE,"그외"
)</f>
        <v>당월</v>
      </c>
    </row>
    <row r="4879" spans="1:12" x14ac:dyDescent="0.3">
      <c r="A4879" s="5">
        <v>45689</v>
      </c>
      <c r="B4879" s="6" t="s">
        <v>20</v>
      </c>
      <c r="C4879" s="6" t="s">
        <v>36</v>
      </c>
      <c r="D4879" s="5">
        <v>45474</v>
      </c>
      <c r="E4879" s="6" t="s">
        <v>15</v>
      </c>
      <c r="F4879" s="7">
        <v>1</v>
      </c>
      <c r="G4879" s="7">
        <v>241119</v>
      </c>
      <c r="H4879" s="7">
        <v>241119</v>
      </c>
      <c r="I4879" s="7">
        <v>43319</v>
      </c>
      <c r="J4879" s="7">
        <v>0</v>
      </c>
      <c r="K4879">
        <f t="shared" si="76"/>
        <v>215</v>
      </c>
      <c r="L4879" s="8" t="str" cm="1">
        <f t="array" ref="L4879">_xlfn.IFS(
 AND(K4879&gt;=89,K4879&lt;=92),"3개월",
 AND(K4879&gt;=58,K4879&lt;=62),"2개월",
 AND(K4879&gt;=28,K4879&lt;=32),"1개월",
 AND(K4879=0),"당월",
 TRUE,"그외"
)</f>
        <v>그외</v>
      </c>
    </row>
    <row r="4880" spans="1:12" x14ac:dyDescent="0.3">
      <c r="A4880" s="5">
        <v>45689</v>
      </c>
      <c r="B4880" s="6" t="s">
        <v>20</v>
      </c>
      <c r="C4880" s="6" t="s">
        <v>36</v>
      </c>
      <c r="D4880" s="5">
        <v>45505</v>
      </c>
      <c r="E4880" s="6" t="s">
        <v>15</v>
      </c>
      <c r="F4880" s="7">
        <v>115</v>
      </c>
      <c r="G4880" s="7">
        <v>186855.55930434779</v>
      </c>
      <c r="H4880" s="7">
        <v>21488389.32</v>
      </c>
      <c r="I4880" s="7">
        <v>3145373.32</v>
      </c>
      <c r="J4880" s="7">
        <v>0</v>
      </c>
      <c r="K4880">
        <f t="shared" si="76"/>
        <v>184</v>
      </c>
      <c r="L4880" s="8" t="str" cm="1">
        <f t="array" ref="L4880">_xlfn.IFS(
 AND(K4880&gt;=89,K4880&lt;=92),"3개월",
 AND(K4880&gt;=58,K4880&lt;=62),"2개월",
 AND(K4880&gt;=28,K4880&lt;=32),"1개월",
 AND(K4880=0),"당월",
 TRUE,"그외"
)</f>
        <v>그외</v>
      </c>
    </row>
    <row r="4881" spans="1:12" x14ac:dyDescent="0.3">
      <c r="A4881" s="5">
        <v>45689</v>
      </c>
      <c r="B4881" s="6" t="s">
        <v>20</v>
      </c>
      <c r="C4881" s="6" t="s">
        <v>36</v>
      </c>
      <c r="D4881" s="5">
        <v>45536</v>
      </c>
      <c r="E4881" s="6" t="s">
        <v>15</v>
      </c>
      <c r="F4881" s="7">
        <v>123</v>
      </c>
      <c r="G4881" s="7">
        <v>199780.46341463411</v>
      </c>
      <c r="H4881" s="7">
        <v>24572997</v>
      </c>
      <c r="I4881" s="7">
        <v>2910643</v>
      </c>
      <c r="J4881" s="7">
        <v>0</v>
      </c>
      <c r="K4881">
        <f t="shared" si="76"/>
        <v>153</v>
      </c>
      <c r="L4881" s="8" t="str" cm="1">
        <f t="array" ref="L4881">_xlfn.IFS(
 AND(K4881&gt;=89,K4881&lt;=92),"3개월",
 AND(K4881&gt;=58,K4881&lt;=62),"2개월",
 AND(K4881&gt;=28,K4881&lt;=32),"1개월",
 AND(K4881=0),"당월",
 TRUE,"그외"
)</f>
        <v>그외</v>
      </c>
    </row>
    <row r="4882" spans="1:12" x14ac:dyDescent="0.3">
      <c r="A4882" s="5">
        <v>45689</v>
      </c>
      <c r="B4882" s="6" t="s">
        <v>20</v>
      </c>
      <c r="C4882" s="6" t="s">
        <v>36</v>
      </c>
      <c r="D4882" s="5">
        <v>45566</v>
      </c>
      <c r="E4882" s="6" t="s">
        <v>15</v>
      </c>
      <c r="F4882" s="7">
        <v>335</v>
      </c>
      <c r="G4882" s="7">
        <v>185610.96417910451</v>
      </c>
      <c r="H4882" s="7">
        <v>62179673</v>
      </c>
      <c r="I4882" s="7">
        <v>6243020</v>
      </c>
      <c r="J4882" s="7">
        <v>0</v>
      </c>
      <c r="K4882">
        <f t="shared" si="76"/>
        <v>123</v>
      </c>
      <c r="L4882" s="8" t="str" cm="1">
        <f t="array" ref="L4882">_xlfn.IFS(
 AND(K4882&gt;=89,K4882&lt;=92),"3개월",
 AND(K4882&gt;=58,K4882&lt;=62),"2개월",
 AND(K4882&gt;=28,K4882&lt;=32),"1개월",
 AND(K4882=0),"당월",
 TRUE,"그외"
)</f>
        <v>그외</v>
      </c>
    </row>
    <row r="4883" spans="1:12" x14ac:dyDescent="0.3">
      <c r="A4883" s="5">
        <v>45689</v>
      </c>
      <c r="B4883" s="6" t="s">
        <v>20</v>
      </c>
      <c r="C4883" s="6" t="s">
        <v>36</v>
      </c>
      <c r="D4883" s="5">
        <v>45597</v>
      </c>
      <c r="E4883" s="6" t="s">
        <v>14</v>
      </c>
      <c r="F4883" s="7">
        <v>84</v>
      </c>
      <c r="G4883" s="7">
        <v>161833.33333333331</v>
      </c>
      <c r="H4883" s="7">
        <v>13594000</v>
      </c>
      <c r="I4883" s="7">
        <v>1344000</v>
      </c>
      <c r="J4883" s="7">
        <v>0</v>
      </c>
      <c r="K4883">
        <f t="shared" si="76"/>
        <v>92</v>
      </c>
      <c r="L4883" s="8" t="str" cm="1">
        <f t="array" ref="L4883">_xlfn.IFS(
 AND(K4883&gt;=89,K4883&lt;=92),"3개월",
 AND(K4883&gt;=58,K4883&lt;=62),"2개월",
 AND(K4883&gt;=28,K4883&lt;=32),"1개월",
 AND(K4883=0),"당월",
 TRUE,"그외"
)</f>
        <v>3개월</v>
      </c>
    </row>
    <row r="4884" spans="1:12" x14ac:dyDescent="0.3">
      <c r="A4884" s="5">
        <v>45689</v>
      </c>
      <c r="B4884" s="6" t="s">
        <v>20</v>
      </c>
      <c r="C4884" s="6" t="s">
        <v>36</v>
      </c>
      <c r="D4884" s="5">
        <v>45597</v>
      </c>
      <c r="E4884" s="6" t="s">
        <v>15</v>
      </c>
      <c r="F4884" s="7">
        <v>567</v>
      </c>
      <c r="G4884" s="7">
        <v>181325.03880070549</v>
      </c>
      <c r="H4884" s="7">
        <v>102811297</v>
      </c>
      <c r="I4884" s="7">
        <v>10773660</v>
      </c>
      <c r="J4884" s="7">
        <v>0</v>
      </c>
      <c r="K4884">
        <f t="shared" si="76"/>
        <v>92</v>
      </c>
      <c r="L4884" s="8" t="str" cm="1">
        <f t="array" ref="L4884">_xlfn.IFS(
 AND(K4884&gt;=89,K4884&lt;=92),"3개월",
 AND(K4884&gt;=58,K4884&lt;=62),"2개월",
 AND(K4884&gt;=28,K4884&lt;=32),"1개월",
 AND(K4884=0),"당월",
 TRUE,"그외"
)</f>
        <v>3개월</v>
      </c>
    </row>
    <row r="4885" spans="1:12" x14ac:dyDescent="0.3">
      <c r="A4885" s="5">
        <v>45689</v>
      </c>
      <c r="B4885" s="6" t="s">
        <v>20</v>
      </c>
      <c r="C4885" s="6" t="s">
        <v>36</v>
      </c>
      <c r="D4885" s="5">
        <v>45627</v>
      </c>
      <c r="E4885" s="6" t="s">
        <v>14</v>
      </c>
      <c r="F4885" s="7">
        <v>282</v>
      </c>
      <c r="G4885" s="7">
        <v>172910.6382978723</v>
      </c>
      <c r="H4885" s="7">
        <v>48760800</v>
      </c>
      <c r="I4885" s="7">
        <v>5470800</v>
      </c>
      <c r="J4885" s="7">
        <v>0</v>
      </c>
      <c r="K4885">
        <f t="shared" si="76"/>
        <v>62</v>
      </c>
      <c r="L4885" s="8" t="str" cm="1">
        <f t="array" ref="L4885">_xlfn.IFS(
 AND(K4885&gt;=89,K4885&lt;=92),"3개월",
 AND(K4885&gt;=58,K4885&lt;=62),"2개월",
 AND(K4885&gt;=28,K4885&lt;=32),"1개월",
 AND(K4885=0),"당월",
 TRUE,"그외"
)</f>
        <v>2개월</v>
      </c>
    </row>
    <row r="4886" spans="1:12" x14ac:dyDescent="0.3">
      <c r="A4886" s="5">
        <v>45689</v>
      </c>
      <c r="B4886" s="6" t="s">
        <v>20</v>
      </c>
      <c r="C4886" s="6" t="s">
        <v>36</v>
      </c>
      <c r="D4886" s="5">
        <v>45627</v>
      </c>
      <c r="E4886" s="6" t="s">
        <v>15</v>
      </c>
      <c r="F4886" s="7">
        <v>1070</v>
      </c>
      <c r="G4886" s="7">
        <v>199629.74299065419</v>
      </c>
      <c r="H4886" s="7">
        <v>213603825</v>
      </c>
      <c r="I4886" s="7">
        <v>23585626</v>
      </c>
      <c r="J4886" s="7">
        <v>0</v>
      </c>
      <c r="K4886">
        <f t="shared" si="76"/>
        <v>62</v>
      </c>
      <c r="L4886" s="8" t="str" cm="1">
        <f t="array" ref="L4886">_xlfn.IFS(
 AND(K4886&gt;=89,K4886&lt;=92),"3개월",
 AND(K4886&gt;=58,K4886&lt;=62),"2개월",
 AND(K4886&gt;=28,K4886&lt;=32),"1개월",
 AND(K4886=0),"당월",
 TRUE,"그외"
)</f>
        <v>2개월</v>
      </c>
    </row>
    <row r="4887" spans="1:12" x14ac:dyDescent="0.3">
      <c r="A4887" s="5">
        <v>45689</v>
      </c>
      <c r="B4887" s="6" t="s">
        <v>20</v>
      </c>
      <c r="C4887" s="6" t="s">
        <v>36</v>
      </c>
      <c r="D4887" s="5">
        <v>45658</v>
      </c>
      <c r="E4887" s="6" t="s">
        <v>14</v>
      </c>
      <c r="F4887" s="7">
        <v>1109</v>
      </c>
      <c r="G4887" s="7">
        <v>176706.3119927863</v>
      </c>
      <c r="H4887" s="7">
        <v>195967300</v>
      </c>
      <c r="I4887" s="7">
        <v>21847300</v>
      </c>
      <c r="J4887" s="7">
        <v>0</v>
      </c>
      <c r="K4887">
        <f t="shared" si="76"/>
        <v>31</v>
      </c>
      <c r="L4887" s="8" t="str" cm="1">
        <f t="array" ref="L4887">_xlfn.IFS(
 AND(K4887&gt;=89,K4887&lt;=92),"3개월",
 AND(K4887&gt;=58,K4887&lt;=62),"2개월",
 AND(K4887&gt;=28,K4887&lt;=32),"1개월",
 AND(K4887=0),"당월",
 TRUE,"그외"
)</f>
        <v>1개월</v>
      </c>
    </row>
    <row r="4888" spans="1:12" x14ac:dyDescent="0.3">
      <c r="A4888" s="5">
        <v>45689</v>
      </c>
      <c r="B4888" s="6" t="s">
        <v>20</v>
      </c>
      <c r="C4888" s="6" t="s">
        <v>36</v>
      </c>
      <c r="D4888" s="5">
        <v>45658</v>
      </c>
      <c r="E4888" s="6" t="s">
        <v>15</v>
      </c>
      <c r="F4888" s="7">
        <v>3375</v>
      </c>
      <c r="G4888" s="7">
        <v>158905.49214814819</v>
      </c>
      <c r="H4888" s="7">
        <v>536306036</v>
      </c>
      <c r="I4888" s="7">
        <v>74262883</v>
      </c>
      <c r="J4888" s="7">
        <v>0</v>
      </c>
      <c r="K4888">
        <f t="shared" si="76"/>
        <v>31</v>
      </c>
      <c r="L4888" s="8" t="str" cm="1">
        <f t="array" ref="L4888">_xlfn.IFS(
 AND(K4888&gt;=89,K4888&lt;=92),"3개월",
 AND(K4888&gt;=58,K4888&lt;=62),"2개월",
 AND(K4888&gt;=28,K4888&lt;=32),"1개월",
 AND(K4888=0),"당월",
 TRUE,"그외"
)</f>
        <v>1개월</v>
      </c>
    </row>
    <row r="4889" spans="1:12" x14ac:dyDescent="0.3">
      <c r="A4889" s="5">
        <v>45689</v>
      </c>
      <c r="B4889" s="6" t="s">
        <v>20</v>
      </c>
      <c r="C4889" s="6" t="s">
        <v>36</v>
      </c>
      <c r="D4889" s="5">
        <v>45689</v>
      </c>
      <c r="E4889" s="6" t="s">
        <v>14</v>
      </c>
      <c r="F4889" s="7">
        <v>1513</v>
      </c>
      <c r="G4889" s="7">
        <v>160559.55056179769</v>
      </c>
      <c r="H4889" s="7">
        <v>242926600</v>
      </c>
      <c r="I4889" s="7">
        <v>30856600</v>
      </c>
      <c r="J4889" s="7">
        <v>0</v>
      </c>
      <c r="K4889">
        <f t="shared" si="76"/>
        <v>0</v>
      </c>
      <c r="L4889" s="8" t="str" cm="1">
        <f t="array" ref="L4889">_xlfn.IFS(
 AND(K4889&gt;=89,K4889&lt;=92),"3개월",
 AND(K4889&gt;=58,K4889&lt;=62),"2개월",
 AND(K4889&gt;=28,K4889&lt;=32),"1개월",
 AND(K4889=0),"당월",
 TRUE,"그외"
)</f>
        <v>당월</v>
      </c>
    </row>
    <row r="4890" spans="1:12" x14ac:dyDescent="0.3">
      <c r="A4890" s="5">
        <v>45689</v>
      </c>
      <c r="B4890" s="6" t="s">
        <v>20</v>
      </c>
      <c r="C4890" s="6" t="s">
        <v>36</v>
      </c>
      <c r="D4890" s="5">
        <v>45689</v>
      </c>
      <c r="E4890" s="6" t="s">
        <v>15</v>
      </c>
      <c r="F4890" s="7">
        <v>1384</v>
      </c>
      <c r="G4890" s="7">
        <v>170586.70375722539</v>
      </c>
      <c r="H4890" s="7">
        <v>236091998</v>
      </c>
      <c r="I4890" s="7">
        <v>31822375</v>
      </c>
      <c r="J4890" s="7">
        <v>0</v>
      </c>
      <c r="K4890">
        <f t="shared" si="76"/>
        <v>0</v>
      </c>
      <c r="L4890" s="8" t="str" cm="1">
        <f t="array" ref="L4890">_xlfn.IFS(
 AND(K4890&gt;=89,K4890&lt;=92),"3개월",
 AND(K4890&gt;=58,K4890&lt;=62),"2개월",
 AND(K4890&gt;=28,K4890&lt;=32),"1개월",
 AND(K4890=0),"당월",
 TRUE,"그외"
)</f>
        <v>당월</v>
      </c>
    </row>
    <row r="4891" spans="1:12" x14ac:dyDescent="0.3">
      <c r="A4891" s="5">
        <v>45689</v>
      </c>
      <c r="B4891" s="6" t="s">
        <v>20</v>
      </c>
      <c r="C4891" s="6" t="s">
        <v>37</v>
      </c>
      <c r="D4891" s="5">
        <v>45474</v>
      </c>
      <c r="E4891" s="6" t="s">
        <v>15</v>
      </c>
      <c r="F4891" s="7">
        <v>8</v>
      </c>
      <c r="G4891" s="7">
        <v>147300</v>
      </c>
      <c r="H4891" s="7">
        <v>1178400</v>
      </c>
      <c r="I4891" s="7">
        <v>98400</v>
      </c>
      <c r="J4891" s="7">
        <v>0</v>
      </c>
      <c r="K4891">
        <f t="shared" si="76"/>
        <v>215</v>
      </c>
      <c r="L4891" s="8" t="str" cm="1">
        <f t="array" ref="L4891">_xlfn.IFS(
 AND(K4891&gt;=89,K4891&lt;=92),"3개월",
 AND(K4891&gt;=58,K4891&lt;=62),"2개월",
 AND(K4891&gt;=28,K4891&lt;=32),"1개월",
 AND(K4891=0),"당월",
 TRUE,"그외"
)</f>
        <v>그외</v>
      </c>
    </row>
    <row r="4892" spans="1:12" x14ac:dyDescent="0.3">
      <c r="A4892" s="5">
        <v>45689</v>
      </c>
      <c r="B4892" s="6" t="s">
        <v>20</v>
      </c>
      <c r="C4892" s="6" t="s">
        <v>37</v>
      </c>
      <c r="D4892" s="5">
        <v>45505</v>
      </c>
      <c r="E4892" s="6" t="s">
        <v>15</v>
      </c>
      <c r="F4892" s="7">
        <v>17</v>
      </c>
      <c r="G4892" s="7">
        <v>135494.1176470588</v>
      </c>
      <c r="H4892" s="7">
        <v>2303400</v>
      </c>
      <c r="I4892" s="7">
        <v>234600</v>
      </c>
      <c r="J4892" s="7">
        <v>0</v>
      </c>
      <c r="K4892">
        <f t="shared" si="76"/>
        <v>184</v>
      </c>
      <c r="L4892" s="8" t="str" cm="1">
        <f t="array" ref="L4892">_xlfn.IFS(
 AND(K4892&gt;=89,K4892&lt;=92),"3개월",
 AND(K4892&gt;=58,K4892&lt;=62),"2개월",
 AND(K4892&gt;=28,K4892&lt;=32),"1개월",
 AND(K4892=0),"당월",
 TRUE,"그외"
)</f>
        <v>그외</v>
      </c>
    </row>
    <row r="4893" spans="1:12" x14ac:dyDescent="0.3">
      <c r="A4893" s="5">
        <v>45689</v>
      </c>
      <c r="B4893" s="6" t="s">
        <v>20</v>
      </c>
      <c r="C4893" s="6" t="s">
        <v>37</v>
      </c>
      <c r="D4893" s="5">
        <v>45536</v>
      </c>
      <c r="E4893" s="6" t="s">
        <v>15</v>
      </c>
      <c r="F4893" s="7">
        <v>32</v>
      </c>
      <c r="G4893" s="7">
        <v>140301.5625</v>
      </c>
      <c r="H4893" s="7">
        <v>4489650</v>
      </c>
      <c r="I4893" s="7">
        <v>752967</v>
      </c>
      <c r="J4893" s="7">
        <v>0</v>
      </c>
      <c r="K4893">
        <f t="shared" si="76"/>
        <v>153</v>
      </c>
      <c r="L4893" s="8" t="str" cm="1">
        <f t="array" ref="L4893">_xlfn.IFS(
 AND(K4893&gt;=89,K4893&lt;=92),"3개월",
 AND(K4893&gt;=58,K4893&lt;=62),"2개월",
 AND(K4893&gt;=28,K4893&lt;=32),"1개월",
 AND(K4893=0),"당월",
 TRUE,"그외"
)</f>
        <v>그외</v>
      </c>
    </row>
    <row r="4894" spans="1:12" x14ac:dyDescent="0.3">
      <c r="A4894" s="5">
        <v>45689</v>
      </c>
      <c r="B4894" s="6" t="s">
        <v>20</v>
      </c>
      <c r="C4894" s="6" t="s">
        <v>37</v>
      </c>
      <c r="D4894" s="5">
        <v>45566</v>
      </c>
      <c r="E4894" s="6" t="s">
        <v>15</v>
      </c>
      <c r="F4894" s="7">
        <v>225</v>
      </c>
      <c r="G4894" s="7">
        <v>139005.48888888891</v>
      </c>
      <c r="H4894" s="7">
        <v>31276235</v>
      </c>
      <c r="I4894" s="7">
        <v>3584007</v>
      </c>
      <c r="J4894" s="7">
        <v>0</v>
      </c>
      <c r="K4894">
        <f t="shared" si="76"/>
        <v>123</v>
      </c>
      <c r="L4894" s="8" t="str" cm="1">
        <f t="array" ref="L4894">_xlfn.IFS(
 AND(K4894&gt;=89,K4894&lt;=92),"3개월",
 AND(K4894&gt;=58,K4894&lt;=62),"2개월",
 AND(K4894&gt;=28,K4894&lt;=32),"1개월",
 AND(K4894=0),"당월",
 TRUE,"그외"
)</f>
        <v>그외</v>
      </c>
    </row>
    <row r="4895" spans="1:12" x14ac:dyDescent="0.3">
      <c r="A4895" s="5">
        <v>45689</v>
      </c>
      <c r="B4895" s="6" t="s">
        <v>20</v>
      </c>
      <c r="C4895" s="6" t="s">
        <v>37</v>
      </c>
      <c r="D4895" s="5">
        <v>45597</v>
      </c>
      <c r="E4895" s="6" t="s">
        <v>14</v>
      </c>
      <c r="F4895" s="7">
        <v>38</v>
      </c>
      <c r="G4895" s="7">
        <v>189300</v>
      </c>
      <c r="H4895" s="7">
        <v>7193400</v>
      </c>
      <c r="I4895" s="7">
        <v>353400</v>
      </c>
      <c r="J4895" s="7">
        <v>0</v>
      </c>
      <c r="K4895">
        <f t="shared" si="76"/>
        <v>92</v>
      </c>
      <c r="L4895" s="8" t="str" cm="1">
        <f t="array" ref="L4895">_xlfn.IFS(
 AND(K4895&gt;=89,K4895&lt;=92),"3개월",
 AND(K4895&gt;=58,K4895&lt;=62),"2개월",
 AND(K4895&gt;=28,K4895&lt;=32),"1개월",
 AND(K4895=0),"당월",
 TRUE,"그외"
)</f>
        <v>3개월</v>
      </c>
    </row>
    <row r="4896" spans="1:12" x14ac:dyDescent="0.3">
      <c r="A4896" s="5">
        <v>45689</v>
      </c>
      <c r="B4896" s="6" t="s">
        <v>20</v>
      </c>
      <c r="C4896" s="6" t="s">
        <v>37</v>
      </c>
      <c r="D4896" s="5">
        <v>45597</v>
      </c>
      <c r="E4896" s="6" t="s">
        <v>15</v>
      </c>
      <c r="F4896" s="7">
        <v>695</v>
      </c>
      <c r="G4896" s="7">
        <v>128634.59712230221</v>
      </c>
      <c r="H4896" s="7">
        <v>89401045</v>
      </c>
      <c r="I4896" s="7">
        <v>9659129</v>
      </c>
      <c r="J4896" s="7">
        <v>0</v>
      </c>
      <c r="K4896">
        <f t="shared" si="76"/>
        <v>92</v>
      </c>
      <c r="L4896" s="8" t="str" cm="1">
        <f t="array" ref="L4896">_xlfn.IFS(
 AND(K4896&gt;=89,K4896&lt;=92),"3개월",
 AND(K4896&gt;=58,K4896&lt;=62),"2개월",
 AND(K4896&gt;=28,K4896&lt;=32),"1개월",
 AND(K4896=0),"당월",
 TRUE,"그외"
)</f>
        <v>3개월</v>
      </c>
    </row>
    <row r="4897" spans="1:12" x14ac:dyDescent="0.3">
      <c r="A4897" s="5">
        <v>45689</v>
      </c>
      <c r="B4897" s="6" t="s">
        <v>20</v>
      </c>
      <c r="C4897" s="6" t="s">
        <v>37</v>
      </c>
      <c r="D4897" s="5">
        <v>45627</v>
      </c>
      <c r="E4897" s="6" t="s">
        <v>14</v>
      </c>
      <c r="F4897" s="7">
        <v>47</v>
      </c>
      <c r="G4897" s="7">
        <v>174291.48936170209</v>
      </c>
      <c r="H4897" s="7">
        <v>8191700</v>
      </c>
      <c r="I4897" s="7">
        <v>521700</v>
      </c>
      <c r="J4897" s="7">
        <v>0</v>
      </c>
      <c r="K4897">
        <f t="shared" si="76"/>
        <v>62</v>
      </c>
      <c r="L4897" s="8" t="str" cm="1">
        <f t="array" ref="L4897">_xlfn.IFS(
 AND(K4897&gt;=89,K4897&lt;=92),"3개월",
 AND(K4897&gt;=58,K4897&lt;=62),"2개월",
 AND(K4897&gt;=28,K4897&lt;=32),"1개월",
 AND(K4897=0),"당월",
 TRUE,"그외"
)</f>
        <v>2개월</v>
      </c>
    </row>
    <row r="4898" spans="1:12" x14ac:dyDescent="0.3">
      <c r="A4898" s="5">
        <v>45689</v>
      </c>
      <c r="B4898" s="6" t="s">
        <v>20</v>
      </c>
      <c r="C4898" s="6" t="s">
        <v>37</v>
      </c>
      <c r="D4898" s="5">
        <v>45627</v>
      </c>
      <c r="E4898" s="6" t="s">
        <v>15</v>
      </c>
      <c r="F4898" s="7">
        <v>1513</v>
      </c>
      <c r="G4898" s="7">
        <v>117099.3952412426</v>
      </c>
      <c r="H4898" s="7">
        <v>177171385</v>
      </c>
      <c r="I4898" s="7">
        <v>20704957</v>
      </c>
      <c r="J4898" s="7">
        <v>0</v>
      </c>
      <c r="K4898">
        <f t="shared" si="76"/>
        <v>62</v>
      </c>
      <c r="L4898" s="8" t="str" cm="1">
        <f t="array" ref="L4898">_xlfn.IFS(
 AND(K4898&gt;=89,K4898&lt;=92),"3개월",
 AND(K4898&gt;=58,K4898&lt;=62),"2개월",
 AND(K4898&gt;=28,K4898&lt;=32),"1개월",
 AND(K4898=0),"당월",
 TRUE,"그외"
)</f>
        <v>2개월</v>
      </c>
    </row>
    <row r="4899" spans="1:12" x14ac:dyDescent="0.3">
      <c r="A4899" s="5">
        <v>45689</v>
      </c>
      <c r="B4899" s="6" t="s">
        <v>20</v>
      </c>
      <c r="C4899" s="6" t="s">
        <v>37</v>
      </c>
      <c r="D4899" s="5">
        <v>45658</v>
      </c>
      <c r="E4899" s="6" t="s">
        <v>14</v>
      </c>
      <c r="F4899" s="7">
        <v>590</v>
      </c>
      <c r="G4899" s="7">
        <v>118358.8033898305</v>
      </c>
      <c r="H4899" s="7">
        <v>69831694</v>
      </c>
      <c r="I4899" s="7">
        <v>6663000</v>
      </c>
      <c r="J4899" s="7">
        <v>0</v>
      </c>
      <c r="K4899">
        <f t="shared" si="76"/>
        <v>31</v>
      </c>
      <c r="L4899" s="8" t="str" cm="1">
        <f t="array" ref="L4899">_xlfn.IFS(
 AND(K4899&gt;=89,K4899&lt;=92),"3개월",
 AND(K4899&gt;=58,K4899&lt;=62),"2개월",
 AND(K4899&gt;=28,K4899&lt;=32),"1개월",
 AND(K4899=0),"당월",
 TRUE,"그외"
)</f>
        <v>1개월</v>
      </c>
    </row>
    <row r="4900" spans="1:12" x14ac:dyDescent="0.3">
      <c r="A4900" s="5">
        <v>45689</v>
      </c>
      <c r="B4900" s="6" t="s">
        <v>20</v>
      </c>
      <c r="C4900" s="6" t="s">
        <v>37</v>
      </c>
      <c r="D4900" s="5">
        <v>45658</v>
      </c>
      <c r="E4900" s="6" t="s">
        <v>15</v>
      </c>
      <c r="F4900" s="7">
        <v>3203</v>
      </c>
      <c r="G4900" s="7">
        <v>113808.94411489231</v>
      </c>
      <c r="H4900" s="7">
        <v>364530048</v>
      </c>
      <c r="I4900" s="7">
        <v>51294821</v>
      </c>
      <c r="J4900" s="7">
        <v>0</v>
      </c>
      <c r="K4900">
        <f t="shared" si="76"/>
        <v>31</v>
      </c>
      <c r="L4900" s="8" t="str" cm="1">
        <f t="array" ref="L4900">_xlfn.IFS(
 AND(K4900&gt;=89,K4900&lt;=92),"3개월",
 AND(K4900&gt;=58,K4900&lt;=62),"2개월",
 AND(K4900&gt;=28,K4900&lt;=32),"1개월",
 AND(K4900=0),"당월",
 TRUE,"그외"
)</f>
        <v>1개월</v>
      </c>
    </row>
    <row r="4901" spans="1:12" x14ac:dyDescent="0.3">
      <c r="A4901" s="5">
        <v>45689</v>
      </c>
      <c r="B4901" s="6" t="s">
        <v>20</v>
      </c>
      <c r="C4901" s="6" t="s">
        <v>37</v>
      </c>
      <c r="D4901" s="5">
        <v>45689</v>
      </c>
      <c r="E4901" s="6" t="s">
        <v>14</v>
      </c>
      <c r="F4901" s="7">
        <v>1490</v>
      </c>
      <c r="G4901" s="7">
        <v>131130.05369127521</v>
      </c>
      <c r="H4901" s="7">
        <v>195383780</v>
      </c>
      <c r="I4901" s="7">
        <v>17432200</v>
      </c>
      <c r="J4901" s="7">
        <v>0</v>
      </c>
      <c r="K4901">
        <f t="shared" si="76"/>
        <v>0</v>
      </c>
      <c r="L4901" s="8" t="str" cm="1">
        <f t="array" ref="L4901">_xlfn.IFS(
 AND(K4901&gt;=89,K4901&lt;=92),"3개월",
 AND(K4901&gt;=58,K4901&lt;=62),"2개월",
 AND(K4901&gt;=28,K4901&lt;=32),"1개월",
 AND(K4901=0),"당월",
 TRUE,"그외"
)</f>
        <v>당월</v>
      </c>
    </row>
    <row r="4902" spans="1:12" x14ac:dyDescent="0.3">
      <c r="A4902" s="5">
        <v>45689</v>
      </c>
      <c r="B4902" s="6" t="s">
        <v>20</v>
      </c>
      <c r="C4902" s="6" t="s">
        <v>37</v>
      </c>
      <c r="D4902" s="5">
        <v>45689</v>
      </c>
      <c r="E4902" s="6" t="s">
        <v>15</v>
      </c>
      <c r="F4902" s="7">
        <v>1712</v>
      </c>
      <c r="G4902" s="7">
        <v>134619.390771028</v>
      </c>
      <c r="H4902" s="7">
        <v>230468397</v>
      </c>
      <c r="I4902" s="7">
        <v>32960155</v>
      </c>
      <c r="J4902" s="7">
        <v>0</v>
      </c>
      <c r="K4902">
        <f t="shared" si="76"/>
        <v>0</v>
      </c>
      <c r="L4902" s="8" t="str" cm="1">
        <f t="array" ref="L4902">_xlfn.IFS(
 AND(K4902&gt;=89,K4902&lt;=92),"3개월",
 AND(K4902&gt;=58,K4902&lt;=62),"2개월",
 AND(K4902&gt;=28,K4902&lt;=32),"1개월",
 AND(K4902=0),"당월",
 TRUE,"그외"
)</f>
        <v>당월</v>
      </c>
    </row>
    <row r="4903" spans="1:12" x14ac:dyDescent="0.3">
      <c r="A4903" s="5">
        <v>45689</v>
      </c>
      <c r="B4903" s="6" t="s">
        <v>20</v>
      </c>
      <c r="C4903" s="6" t="s">
        <v>38</v>
      </c>
      <c r="D4903" s="5">
        <v>45536</v>
      </c>
      <c r="E4903" s="6" t="s">
        <v>15</v>
      </c>
      <c r="F4903" s="7">
        <v>33</v>
      </c>
      <c r="G4903" s="7">
        <v>129290.5151515152</v>
      </c>
      <c r="H4903" s="7">
        <v>4266587</v>
      </c>
      <c r="I4903" s="7">
        <v>855665</v>
      </c>
      <c r="J4903" s="7">
        <v>0</v>
      </c>
      <c r="K4903">
        <f t="shared" si="76"/>
        <v>153</v>
      </c>
      <c r="L4903" s="8" t="str" cm="1">
        <f t="array" ref="L4903">_xlfn.IFS(
 AND(K4903&gt;=89,K4903&lt;=92),"3개월",
 AND(K4903&gt;=58,K4903&lt;=62),"2개월",
 AND(K4903&gt;=28,K4903&lt;=32),"1개월",
 AND(K4903=0),"당월",
 TRUE,"그외"
)</f>
        <v>그외</v>
      </c>
    </row>
    <row r="4904" spans="1:12" x14ac:dyDescent="0.3">
      <c r="A4904" s="5">
        <v>45689</v>
      </c>
      <c r="B4904" s="6" t="s">
        <v>20</v>
      </c>
      <c r="C4904" s="6" t="s">
        <v>38</v>
      </c>
      <c r="D4904" s="5">
        <v>45566</v>
      </c>
      <c r="E4904" s="6" t="s">
        <v>15</v>
      </c>
      <c r="F4904" s="7">
        <v>53</v>
      </c>
      <c r="G4904" s="7">
        <v>110658.4339622642</v>
      </c>
      <c r="H4904" s="7">
        <v>5864897</v>
      </c>
      <c r="I4904" s="7">
        <v>1109546</v>
      </c>
      <c r="J4904" s="7">
        <v>0</v>
      </c>
      <c r="K4904">
        <f t="shared" si="76"/>
        <v>123</v>
      </c>
      <c r="L4904" s="8" t="str" cm="1">
        <f t="array" ref="L4904">_xlfn.IFS(
 AND(K4904&gt;=89,K4904&lt;=92),"3개월",
 AND(K4904&gt;=58,K4904&lt;=62),"2개월",
 AND(K4904&gt;=28,K4904&lt;=32),"1개월",
 AND(K4904=0),"당월",
 TRUE,"그외"
)</f>
        <v>그외</v>
      </c>
    </row>
    <row r="4905" spans="1:12" x14ac:dyDescent="0.3">
      <c r="A4905" s="5">
        <v>45689</v>
      </c>
      <c r="B4905" s="6" t="s">
        <v>20</v>
      </c>
      <c r="C4905" s="6" t="s">
        <v>38</v>
      </c>
      <c r="D4905" s="5">
        <v>45597</v>
      </c>
      <c r="E4905" s="6" t="s">
        <v>15</v>
      </c>
      <c r="F4905" s="7">
        <v>173</v>
      </c>
      <c r="G4905" s="7">
        <v>118881.098265896</v>
      </c>
      <c r="H4905" s="7">
        <v>20566430</v>
      </c>
      <c r="I4905" s="7">
        <v>2802996</v>
      </c>
      <c r="J4905" s="7">
        <v>0</v>
      </c>
      <c r="K4905">
        <f t="shared" si="76"/>
        <v>92</v>
      </c>
      <c r="L4905" s="8" t="str" cm="1">
        <f t="array" ref="L4905">_xlfn.IFS(
 AND(K4905&gt;=89,K4905&lt;=92),"3개월",
 AND(K4905&gt;=58,K4905&lt;=62),"2개월",
 AND(K4905&gt;=28,K4905&lt;=32),"1개월",
 AND(K4905=0),"당월",
 TRUE,"그외"
)</f>
        <v>3개월</v>
      </c>
    </row>
    <row r="4906" spans="1:12" x14ac:dyDescent="0.3">
      <c r="A4906" s="5">
        <v>45689</v>
      </c>
      <c r="B4906" s="6" t="s">
        <v>20</v>
      </c>
      <c r="C4906" s="6" t="s">
        <v>38</v>
      </c>
      <c r="D4906" s="5">
        <v>45627</v>
      </c>
      <c r="E4906" s="6" t="s">
        <v>14</v>
      </c>
      <c r="F4906" s="7">
        <v>2</v>
      </c>
      <c r="G4906" s="7">
        <v>111100</v>
      </c>
      <c r="H4906" s="7">
        <v>222200</v>
      </c>
      <c r="I4906" s="7">
        <v>22200</v>
      </c>
      <c r="J4906" s="7">
        <v>0</v>
      </c>
      <c r="K4906">
        <f t="shared" si="76"/>
        <v>62</v>
      </c>
      <c r="L4906" s="8" t="str" cm="1">
        <f t="array" ref="L4906">_xlfn.IFS(
 AND(K4906&gt;=89,K4906&lt;=92),"3개월",
 AND(K4906&gt;=58,K4906&lt;=62),"2개월",
 AND(K4906&gt;=28,K4906&lt;=32),"1개월",
 AND(K4906=0),"당월",
 TRUE,"그외"
)</f>
        <v>2개월</v>
      </c>
    </row>
    <row r="4907" spans="1:12" x14ac:dyDescent="0.3">
      <c r="A4907" s="5">
        <v>45689</v>
      </c>
      <c r="B4907" s="6" t="s">
        <v>20</v>
      </c>
      <c r="C4907" s="6" t="s">
        <v>38</v>
      </c>
      <c r="D4907" s="5">
        <v>45627</v>
      </c>
      <c r="E4907" s="6" t="s">
        <v>15</v>
      </c>
      <c r="F4907" s="7">
        <v>459</v>
      </c>
      <c r="G4907" s="7">
        <v>108552.7864923747</v>
      </c>
      <c r="H4907" s="7">
        <v>49825729</v>
      </c>
      <c r="I4907" s="7">
        <v>7030936</v>
      </c>
      <c r="J4907" s="7">
        <v>0</v>
      </c>
      <c r="K4907">
        <f t="shared" si="76"/>
        <v>62</v>
      </c>
      <c r="L4907" s="8" t="str" cm="1">
        <f t="array" ref="L4907">_xlfn.IFS(
 AND(K4907&gt;=89,K4907&lt;=92),"3개월",
 AND(K4907&gt;=58,K4907&lt;=62),"2개월",
 AND(K4907&gt;=28,K4907&lt;=32),"1개월",
 AND(K4907=0),"당월",
 TRUE,"그외"
)</f>
        <v>2개월</v>
      </c>
    </row>
    <row r="4908" spans="1:12" x14ac:dyDescent="0.3">
      <c r="A4908" s="5">
        <v>45689</v>
      </c>
      <c r="B4908" s="6" t="s">
        <v>20</v>
      </c>
      <c r="C4908" s="6" t="s">
        <v>38</v>
      </c>
      <c r="D4908" s="5">
        <v>45658</v>
      </c>
      <c r="E4908" s="6" t="s">
        <v>14</v>
      </c>
      <c r="F4908" s="7">
        <v>884</v>
      </c>
      <c r="G4908" s="7">
        <v>105566.221719457</v>
      </c>
      <c r="H4908" s="7">
        <v>93320540</v>
      </c>
      <c r="I4908" s="7">
        <v>9989200</v>
      </c>
      <c r="J4908" s="7">
        <v>0</v>
      </c>
      <c r="K4908">
        <f t="shared" si="76"/>
        <v>31</v>
      </c>
      <c r="L4908" s="8" t="str" cm="1">
        <f t="array" ref="L4908">_xlfn.IFS(
 AND(K4908&gt;=89,K4908&lt;=92),"3개월",
 AND(K4908&gt;=58,K4908&lt;=62),"2개월",
 AND(K4908&gt;=28,K4908&lt;=32),"1개월",
 AND(K4908=0),"당월",
 TRUE,"그외"
)</f>
        <v>1개월</v>
      </c>
    </row>
    <row r="4909" spans="1:12" x14ac:dyDescent="0.3">
      <c r="A4909" s="5">
        <v>45689</v>
      </c>
      <c r="B4909" s="6" t="s">
        <v>20</v>
      </c>
      <c r="C4909" s="6" t="s">
        <v>38</v>
      </c>
      <c r="D4909" s="5">
        <v>45658</v>
      </c>
      <c r="E4909" s="6" t="s">
        <v>15</v>
      </c>
      <c r="F4909" s="7">
        <v>955</v>
      </c>
      <c r="G4909" s="7">
        <v>114475.9968586387</v>
      </c>
      <c r="H4909" s="7">
        <v>109324577</v>
      </c>
      <c r="I4909" s="7">
        <v>16042442</v>
      </c>
      <c r="J4909" s="7">
        <v>0</v>
      </c>
      <c r="K4909">
        <f t="shared" si="76"/>
        <v>31</v>
      </c>
      <c r="L4909" s="8" t="str" cm="1">
        <f t="array" ref="L4909">_xlfn.IFS(
 AND(K4909&gt;=89,K4909&lt;=92),"3개월",
 AND(K4909&gt;=58,K4909&lt;=62),"2개월",
 AND(K4909&gt;=28,K4909&lt;=32),"1개월",
 AND(K4909=0),"당월",
 TRUE,"그외"
)</f>
        <v>1개월</v>
      </c>
    </row>
    <row r="4910" spans="1:12" x14ac:dyDescent="0.3">
      <c r="A4910" s="5">
        <v>45689</v>
      </c>
      <c r="B4910" s="6" t="s">
        <v>20</v>
      </c>
      <c r="C4910" s="6" t="s">
        <v>38</v>
      </c>
      <c r="D4910" s="5">
        <v>45689</v>
      </c>
      <c r="E4910" s="6" t="s">
        <v>14</v>
      </c>
      <c r="F4910" s="7">
        <v>1645</v>
      </c>
      <c r="G4910" s="7">
        <v>111178.79635258359</v>
      </c>
      <c r="H4910" s="7">
        <v>182889120</v>
      </c>
      <c r="I4910" s="7">
        <v>19245700</v>
      </c>
      <c r="J4910" s="7">
        <v>0</v>
      </c>
      <c r="K4910">
        <f t="shared" si="76"/>
        <v>0</v>
      </c>
      <c r="L4910" s="8" t="str" cm="1">
        <f t="array" ref="L4910">_xlfn.IFS(
 AND(K4910&gt;=89,K4910&lt;=92),"3개월",
 AND(K4910&gt;=58,K4910&lt;=62),"2개월",
 AND(K4910&gt;=28,K4910&lt;=32),"1개월",
 AND(K4910=0),"당월",
 TRUE,"그외"
)</f>
        <v>당월</v>
      </c>
    </row>
    <row r="4911" spans="1:12" x14ac:dyDescent="0.3">
      <c r="A4911" s="5">
        <v>45689</v>
      </c>
      <c r="B4911" s="6" t="s">
        <v>20</v>
      </c>
      <c r="C4911" s="6" t="s">
        <v>38</v>
      </c>
      <c r="D4911" s="5">
        <v>45689</v>
      </c>
      <c r="E4911" s="6" t="s">
        <v>15</v>
      </c>
      <c r="F4911" s="7">
        <v>1110</v>
      </c>
      <c r="G4911" s="7">
        <v>116169.7567567568</v>
      </c>
      <c r="H4911" s="7">
        <v>128948430</v>
      </c>
      <c r="I4911" s="7">
        <v>19280840</v>
      </c>
      <c r="J4911" s="7">
        <v>0</v>
      </c>
      <c r="K4911">
        <f t="shared" si="76"/>
        <v>0</v>
      </c>
      <c r="L4911" s="8" t="str" cm="1">
        <f t="array" ref="L4911">_xlfn.IFS(
 AND(K4911&gt;=89,K4911&lt;=92),"3개월",
 AND(K4911&gt;=58,K4911&lt;=62),"2개월",
 AND(K4911&gt;=28,K4911&lt;=32),"1개월",
 AND(K4911=0),"당월",
 TRUE,"그외"
)</f>
        <v>당월</v>
      </c>
    </row>
    <row r="4912" spans="1:12" x14ac:dyDescent="0.3">
      <c r="A4912" s="5">
        <v>45689</v>
      </c>
      <c r="B4912" s="6" t="s">
        <v>40</v>
      </c>
      <c r="C4912" s="6" t="s">
        <v>99</v>
      </c>
      <c r="D4912" s="5">
        <v>45536</v>
      </c>
      <c r="E4912" s="6" t="s">
        <v>15</v>
      </c>
      <c r="F4912" s="7">
        <v>11</v>
      </c>
      <c r="G4912" s="7">
        <v>82786.818181818177</v>
      </c>
      <c r="H4912" s="7">
        <v>910655</v>
      </c>
      <c r="I4912" s="7">
        <v>442110</v>
      </c>
      <c r="J4912" s="7">
        <v>0</v>
      </c>
      <c r="K4912">
        <f t="shared" si="76"/>
        <v>153</v>
      </c>
      <c r="L4912" s="8" t="str" cm="1">
        <f t="array" ref="L4912">_xlfn.IFS(
 AND(K4912&gt;=89,K4912&lt;=92),"3개월",
 AND(K4912&gt;=58,K4912&lt;=62),"2개월",
 AND(K4912&gt;=28,K4912&lt;=32),"1개월",
 AND(K4912=0),"당월",
 TRUE,"그외"
)</f>
        <v>그외</v>
      </c>
    </row>
    <row r="4913" spans="1:12" x14ac:dyDescent="0.3">
      <c r="A4913" s="5">
        <v>45689</v>
      </c>
      <c r="B4913" s="6" t="s">
        <v>40</v>
      </c>
      <c r="C4913" s="6" t="s">
        <v>99</v>
      </c>
      <c r="D4913" s="5">
        <v>45566</v>
      </c>
      <c r="E4913" s="6" t="s">
        <v>15</v>
      </c>
      <c r="F4913" s="7">
        <v>97</v>
      </c>
      <c r="G4913" s="7">
        <v>80565.742268041242</v>
      </c>
      <c r="H4913" s="7">
        <v>7814877</v>
      </c>
      <c r="I4913" s="7">
        <v>2524528</v>
      </c>
      <c r="J4913" s="7">
        <v>0</v>
      </c>
      <c r="K4913">
        <f t="shared" si="76"/>
        <v>123</v>
      </c>
      <c r="L4913" s="8" t="str" cm="1">
        <f t="array" ref="L4913">_xlfn.IFS(
 AND(K4913&gt;=89,K4913&lt;=92),"3개월",
 AND(K4913&gt;=58,K4913&lt;=62),"2개월",
 AND(K4913&gt;=28,K4913&lt;=32),"1개월",
 AND(K4913=0),"당월",
 TRUE,"그외"
)</f>
        <v>그외</v>
      </c>
    </row>
    <row r="4914" spans="1:12" x14ac:dyDescent="0.3">
      <c r="A4914" s="5">
        <v>45689</v>
      </c>
      <c r="B4914" s="6" t="s">
        <v>40</v>
      </c>
      <c r="C4914" s="6" t="s">
        <v>99</v>
      </c>
      <c r="D4914" s="5">
        <v>45597</v>
      </c>
      <c r="E4914" s="6" t="s">
        <v>14</v>
      </c>
      <c r="F4914" s="7">
        <v>170</v>
      </c>
      <c r="G4914" s="7">
        <v>33182.352941176468</v>
      </c>
      <c r="H4914" s="7">
        <v>5641000</v>
      </c>
      <c r="I4914" s="7">
        <v>1581000</v>
      </c>
      <c r="J4914" s="7">
        <v>0</v>
      </c>
      <c r="K4914">
        <f t="shared" si="76"/>
        <v>92</v>
      </c>
      <c r="L4914" s="8" t="str" cm="1">
        <f t="array" ref="L4914">_xlfn.IFS(
 AND(K4914&gt;=89,K4914&lt;=92),"3개월",
 AND(K4914&gt;=58,K4914&lt;=62),"2개월",
 AND(K4914&gt;=28,K4914&lt;=32),"1개월",
 AND(K4914=0),"당월",
 TRUE,"그외"
)</f>
        <v>3개월</v>
      </c>
    </row>
    <row r="4915" spans="1:12" x14ac:dyDescent="0.3">
      <c r="A4915" s="5">
        <v>45689</v>
      </c>
      <c r="B4915" s="6" t="s">
        <v>40</v>
      </c>
      <c r="C4915" s="6" t="s">
        <v>99</v>
      </c>
      <c r="D4915" s="5">
        <v>45597</v>
      </c>
      <c r="E4915" s="6" t="s">
        <v>15</v>
      </c>
      <c r="F4915" s="7">
        <v>132</v>
      </c>
      <c r="G4915" s="7">
        <v>79489.484848484848</v>
      </c>
      <c r="H4915" s="7">
        <v>10492612</v>
      </c>
      <c r="I4915" s="7">
        <v>2740829</v>
      </c>
      <c r="J4915" s="7">
        <v>0</v>
      </c>
      <c r="K4915">
        <f t="shared" si="76"/>
        <v>92</v>
      </c>
      <c r="L4915" s="8" t="str" cm="1">
        <f t="array" ref="L4915">_xlfn.IFS(
 AND(K4915&gt;=89,K4915&lt;=92),"3개월",
 AND(K4915&gt;=58,K4915&lt;=62),"2개월",
 AND(K4915&gt;=28,K4915&lt;=32),"1개월",
 AND(K4915=0),"당월",
 TRUE,"그외"
)</f>
        <v>3개월</v>
      </c>
    </row>
    <row r="4916" spans="1:12" x14ac:dyDescent="0.3">
      <c r="A4916" s="5">
        <v>45689</v>
      </c>
      <c r="B4916" s="6" t="s">
        <v>40</v>
      </c>
      <c r="C4916" s="6" t="s">
        <v>99</v>
      </c>
      <c r="D4916" s="5">
        <v>45627</v>
      </c>
      <c r="E4916" s="6" t="s">
        <v>14</v>
      </c>
      <c r="F4916" s="7">
        <v>523</v>
      </c>
      <c r="G4916" s="7">
        <v>45220.458891013383</v>
      </c>
      <c r="H4916" s="7">
        <v>23650300</v>
      </c>
      <c r="I4916" s="7">
        <v>5805300</v>
      </c>
      <c r="J4916" s="7">
        <v>0</v>
      </c>
      <c r="K4916">
        <f t="shared" si="76"/>
        <v>62</v>
      </c>
      <c r="L4916" s="8" t="str" cm="1">
        <f t="array" ref="L4916">_xlfn.IFS(
 AND(K4916&gt;=89,K4916&lt;=92),"3개월",
 AND(K4916&gt;=58,K4916&lt;=62),"2개월",
 AND(K4916&gt;=28,K4916&lt;=32),"1개월",
 AND(K4916=0),"당월",
 TRUE,"그외"
)</f>
        <v>2개월</v>
      </c>
    </row>
    <row r="4917" spans="1:12" x14ac:dyDescent="0.3">
      <c r="A4917" s="5">
        <v>45689</v>
      </c>
      <c r="B4917" s="6" t="s">
        <v>40</v>
      </c>
      <c r="C4917" s="6" t="s">
        <v>99</v>
      </c>
      <c r="D4917" s="5">
        <v>45627</v>
      </c>
      <c r="E4917" s="6" t="s">
        <v>15</v>
      </c>
      <c r="F4917" s="7">
        <v>312</v>
      </c>
      <c r="G4917" s="7">
        <v>92493.237179487172</v>
      </c>
      <c r="H4917" s="7">
        <v>28857890</v>
      </c>
      <c r="I4917" s="7">
        <v>8361762</v>
      </c>
      <c r="J4917" s="7">
        <v>0</v>
      </c>
      <c r="K4917">
        <f t="shared" si="76"/>
        <v>62</v>
      </c>
      <c r="L4917" s="8" t="str" cm="1">
        <f t="array" ref="L4917">_xlfn.IFS(
 AND(K4917&gt;=89,K4917&lt;=92),"3개월",
 AND(K4917&gt;=58,K4917&lt;=62),"2개월",
 AND(K4917&gt;=28,K4917&lt;=32),"1개월",
 AND(K4917=0),"당월",
 TRUE,"그외"
)</f>
        <v>2개월</v>
      </c>
    </row>
    <row r="4918" spans="1:12" x14ac:dyDescent="0.3">
      <c r="A4918" s="5">
        <v>45689</v>
      </c>
      <c r="B4918" s="6" t="s">
        <v>40</v>
      </c>
      <c r="C4918" s="6" t="s">
        <v>99</v>
      </c>
      <c r="D4918" s="5">
        <v>45658</v>
      </c>
      <c r="E4918" s="6" t="s">
        <v>14</v>
      </c>
      <c r="F4918" s="7">
        <v>522</v>
      </c>
      <c r="G4918" s="7">
        <v>53117.241379310348</v>
      </c>
      <c r="H4918" s="7">
        <v>27727200</v>
      </c>
      <c r="I4918" s="7">
        <v>5898200</v>
      </c>
      <c r="J4918" s="7">
        <v>0</v>
      </c>
      <c r="K4918">
        <f t="shared" si="76"/>
        <v>31</v>
      </c>
      <c r="L4918" s="8" t="str" cm="1">
        <f t="array" ref="L4918">_xlfn.IFS(
 AND(K4918&gt;=89,K4918&lt;=92),"3개월",
 AND(K4918&gt;=58,K4918&lt;=62),"2개월",
 AND(K4918&gt;=28,K4918&lt;=32),"1개월",
 AND(K4918=0),"당월",
 TRUE,"그외"
)</f>
        <v>1개월</v>
      </c>
    </row>
    <row r="4919" spans="1:12" x14ac:dyDescent="0.3">
      <c r="A4919" s="5">
        <v>45689</v>
      </c>
      <c r="B4919" s="6" t="s">
        <v>40</v>
      </c>
      <c r="C4919" s="6" t="s">
        <v>99</v>
      </c>
      <c r="D4919" s="5">
        <v>45658</v>
      </c>
      <c r="E4919" s="6" t="s">
        <v>15</v>
      </c>
      <c r="F4919" s="7">
        <v>466</v>
      </c>
      <c r="G4919" s="7">
        <v>92646.781115879829</v>
      </c>
      <c r="H4919" s="7">
        <v>43173400</v>
      </c>
      <c r="I4919" s="7">
        <v>16765495</v>
      </c>
      <c r="J4919" s="7">
        <v>0</v>
      </c>
      <c r="K4919">
        <f t="shared" si="76"/>
        <v>31</v>
      </c>
      <c r="L4919" s="8" t="str" cm="1">
        <f t="array" ref="L4919">_xlfn.IFS(
 AND(K4919&gt;=89,K4919&lt;=92),"3개월",
 AND(K4919&gt;=58,K4919&lt;=62),"2개월",
 AND(K4919&gt;=28,K4919&lt;=32),"1개월",
 AND(K4919=0),"당월",
 TRUE,"그외"
)</f>
        <v>1개월</v>
      </c>
    </row>
    <row r="4920" spans="1:12" x14ac:dyDescent="0.3">
      <c r="A4920" s="5">
        <v>45689</v>
      </c>
      <c r="B4920" s="6" t="s">
        <v>40</v>
      </c>
      <c r="C4920" s="6" t="s">
        <v>99</v>
      </c>
      <c r="D4920" s="5">
        <v>45689</v>
      </c>
      <c r="E4920" s="6" t="s">
        <v>14</v>
      </c>
      <c r="F4920" s="7">
        <v>1857</v>
      </c>
      <c r="G4920" s="7">
        <v>42552.9886914378</v>
      </c>
      <c r="H4920" s="7">
        <v>79020900</v>
      </c>
      <c r="I4920" s="7">
        <v>21726900</v>
      </c>
      <c r="J4920" s="7">
        <v>0</v>
      </c>
      <c r="K4920">
        <f t="shared" si="76"/>
        <v>0</v>
      </c>
      <c r="L4920" s="8" t="str" cm="1">
        <f t="array" ref="L4920">_xlfn.IFS(
 AND(K4920&gt;=89,K4920&lt;=92),"3개월",
 AND(K4920&gt;=58,K4920&lt;=62),"2개월",
 AND(K4920&gt;=28,K4920&lt;=32),"1개월",
 AND(K4920=0),"당월",
 TRUE,"그외"
)</f>
        <v>당월</v>
      </c>
    </row>
    <row r="4921" spans="1:12" x14ac:dyDescent="0.3">
      <c r="A4921" s="5">
        <v>45689</v>
      </c>
      <c r="B4921" s="6" t="s">
        <v>40</v>
      </c>
      <c r="C4921" s="6" t="s">
        <v>99</v>
      </c>
      <c r="D4921" s="5">
        <v>45689</v>
      </c>
      <c r="E4921" s="6" t="s">
        <v>15</v>
      </c>
      <c r="F4921" s="7">
        <v>1065</v>
      </c>
      <c r="G4921" s="7">
        <v>80225.184037558691</v>
      </c>
      <c r="H4921" s="7">
        <v>85439821</v>
      </c>
      <c r="I4921" s="7">
        <v>41587833</v>
      </c>
      <c r="J4921" s="7">
        <v>0</v>
      </c>
      <c r="K4921">
        <f t="shared" si="76"/>
        <v>0</v>
      </c>
      <c r="L4921" s="8" t="str" cm="1">
        <f t="array" ref="L4921">_xlfn.IFS(
 AND(K4921&gt;=89,K4921&lt;=92),"3개월",
 AND(K4921&gt;=58,K4921&lt;=62),"2개월",
 AND(K4921&gt;=28,K4921&lt;=32),"1개월",
 AND(K4921=0),"당월",
 TRUE,"그외"
)</f>
        <v>당월</v>
      </c>
    </row>
    <row r="4922" spans="1:12" x14ac:dyDescent="0.3">
      <c r="A4922" s="5">
        <v>45689</v>
      </c>
      <c r="B4922" s="6" t="s">
        <v>40</v>
      </c>
      <c r="C4922" s="6" t="s">
        <v>101</v>
      </c>
      <c r="D4922" s="5">
        <v>45597</v>
      </c>
      <c r="E4922" s="6" t="s">
        <v>14</v>
      </c>
      <c r="F4922" s="7">
        <v>4</v>
      </c>
      <c r="G4922" s="7">
        <v>0</v>
      </c>
      <c r="H4922" s="7">
        <v>0</v>
      </c>
      <c r="I4922" s="7">
        <v>0</v>
      </c>
      <c r="J4922" s="7">
        <v>0</v>
      </c>
      <c r="K4922">
        <f t="shared" si="76"/>
        <v>92</v>
      </c>
      <c r="L4922" s="8" t="str" cm="1">
        <f t="array" ref="L4922">_xlfn.IFS(
 AND(K4922&gt;=89,K4922&lt;=92),"3개월",
 AND(K4922&gt;=58,K4922&lt;=62),"2개월",
 AND(K4922&gt;=28,K4922&lt;=32),"1개월",
 AND(K4922=0),"당월",
 TRUE,"그외"
)</f>
        <v>3개월</v>
      </c>
    </row>
    <row r="4923" spans="1:12" x14ac:dyDescent="0.3">
      <c r="A4923" s="5">
        <v>45689</v>
      </c>
      <c r="B4923" s="6" t="s">
        <v>40</v>
      </c>
      <c r="C4923" s="6" t="s">
        <v>101</v>
      </c>
      <c r="D4923" s="5">
        <v>45597</v>
      </c>
      <c r="E4923" s="6" t="s">
        <v>15</v>
      </c>
      <c r="F4923" s="7">
        <v>1</v>
      </c>
      <c r="G4923" s="7">
        <v>470000</v>
      </c>
      <c r="H4923" s="7">
        <v>470000</v>
      </c>
      <c r="I4923" s="7">
        <v>20000</v>
      </c>
      <c r="J4923" s="7">
        <v>0</v>
      </c>
      <c r="K4923">
        <f t="shared" si="76"/>
        <v>92</v>
      </c>
      <c r="L4923" s="8" t="str" cm="1">
        <f t="array" ref="L4923">_xlfn.IFS(
 AND(K4923&gt;=89,K4923&lt;=92),"3개월",
 AND(K4923&gt;=58,K4923&lt;=62),"2개월",
 AND(K4923&gt;=28,K4923&lt;=32),"1개월",
 AND(K4923=0),"당월",
 TRUE,"그외"
)</f>
        <v>3개월</v>
      </c>
    </row>
    <row r="4924" spans="1:12" x14ac:dyDescent="0.3">
      <c r="A4924" s="5">
        <v>45689</v>
      </c>
      <c r="B4924" s="6" t="s">
        <v>40</v>
      </c>
      <c r="C4924" s="6" t="s">
        <v>101</v>
      </c>
      <c r="D4924" s="5">
        <v>45658</v>
      </c>
      <c r="E4924" s="6" t="s">
        <v>14</v>
      </c>
      <c r="F4924" s="7">
        <v>89</v>
      </c>
      <c r="G4924" s="7">
        <v>884831.46067415725</v>
      </c>
      <c r="H4924" s="7">
        <v>78750000</v>
      </c>
      <c r="I4924" s="7">
        <v>0</v>
      </c>
      <c r="J4924" s="7">
        <v>0</v>
      </c>
      <c r="K4924">
        <f t="shared" si="76"/>
        <v>31</v>
      </c>
      <c r="L4924" s="8" t="str" cm="1">
        <f t="array" ref="L4924">_xlfn.IFS(
 AND(K4924&gt;=89,K4924&lt;=92),"3개월",
 AND(K4924&gt;=58,K4924&lt;=62),"2개월",
 AND(K4924&gt;=28,K4924&lt;=32),"1개월",
 AND(K4924=0),"당월",
 TRUE,"그외"
)</f>
        <v>1개월</v>
      </c>
    </row>
    <row r="4925" spans="1:12" x14ac:dyDescent="0.3">
      <c r="A4925" s="5">
        <v>45689</v>
      </c>
      <c r="B4925" s="6" t="s">
        <v>40</v>
      </c>
      <c r="C4925" s="6" t="s">
        <v>101</v>
      </c>
      <c r="D4925" s="5">
        <v>45658</v>
      </c>
      <c r="E4925" s="6" t="s">
        <v>15</v>
      </c>
      <c r="F4925" s="7">
        <v>38</v>
      </c>
      <c r="G4925" s="7">
        <v>124063.39473684211</v>
      </c>
      <c r="H4925" s="7">
        <v>4714409</v>
      </c>
      <c r="I4925" s="7">
        <v>2861615</v>
      </c>
      <c r="J4925" s="7">
        <v>0</v>
      </c>
      <c r="K4925">
        <f t="shared" si="76"/>
        <v>31</v>
      </c>
      <c r="L4925" s="8" t="str" cm="1">
        <f t="array" ref="L4925">_xlfn.IFS(
 AND(K4925&gt;=89,K4925&lt;=92),"3개월",
 AND(K4925&gt;=58,K4925&lt;=62),"2개월",
 AND(K4925&gt;=28,K4925&lt;=32),"1개월",
 AND(K4925=0),"당월",
 TRUE,"그외"
)</f>
        <v>1개월</v>
      </c>
    </row>
    <row r="4926" spans="1:12" x14ac:dyDescent="0.3">
      <c r="A4926" s="5">
        <v>45689</v>
      </c>
      <c r="B4926" s="6" t="s">
        <v>40</v>
      </c>
      <c r="C4926" s="6" t="s">
        <v>101</v>
      </c>
      <c r="D4926" s="5">
        <v>45689</v>
      </c>
      <c r="E4926" s="6" t="s">
        <v>14</v>
      </c>
      <c r="F4926" s="7">
        <v>1272</v>
      </c>
      <c r="G4926" s="7">
        <v>86554.402515723268</v>
      </c>
      <c r="H4926" s="7">
        <v>110097200</v>
      </c>
      <c r="I4926" s="7">
        <v>347200</v>
      </c>
      <c r="J4926" s="7">
        <v>0</v>
      </c>
      <c r="K4926">
        <f t="shared" si="76"/>
        <v>0</v>
      </c>
      <c r="L4926" s="8" t="str" cm="1">
        <f t="array" ref="L4926">_xlfn.IFS(
 AND(K4926&gt;=89,K4926&lt;=92),"3개월",
 AND(K4926&gt;=58,K4926&lt;=62),"2개월",
 AND(K4926&gt;=28,K4926&lt;=32),"1개월",
 AND(K4926=0),"당월",
 TRUE,"그외"
)</f>
        <v>당월</v>
      </c>
    </row>
    <row r="4927" spans="1:12" x14ac:dyDescent="0.3">
      <c r="A4927" s="5">
        <v>45689</v>
      </c>
      <c r="B4927" s="6" t="s">
        <v>40</v>
      </c>
      <c r="C4927" s="6" t="s">
        <v>101</v>
      </c>
      <c r="D4927" s="5">
        <v>45689</v>
      </c>
      <c r="E4927" s="6" t="s">
        <v>15</v>
      </c>
      <c r="F4927" s="7">
        <v>46</v>
      </c>
      <c r="G4927" s="7">
        <v>303584.5</v>
      </c>
      <c r="H4927" s="7">
        <v>13964887</v>
      </c>
      <c r="I4927" s="7">
        <v>3036692</v>
      </c>
      <c r="J4927" s="7">
        <v>0</v>
      </c>
      <c r="K4927">
        <f t="shared" si="76"/>
        <v>0</v>
      </c>
      <c r="L4927" s="8" t="str" cm="1">
        <f t="array" ref="L4927">_xlfn.IFS(
 AND(K4927&gt;=89,K4927&lt;=92),"3개월",
 AND(K4927&gt;=58,K4927&lt;=62),"2개월",
 AND(K4927&gt;=28,K4927&lt;=32),"1개월",
 AND(K4927=0),"당월",
 TRUE,"그외"
)</f>
        <v>당월</v>
      </c>
    </row>
    <row r="4928" spans="1:12" x14ac:dyDescent="0.3">
      <c r="A4928" s="5">
        <v>45689</v>
      </c>
      <c r="B4928" s="6" t="s">
        <v>40</v>
      </c>
      <c r="C4928" s="6" t="s">
        <v>91</v>
      </c>
      <c r="D4928" s="5">
        <v>45536</v>
      </c>
      <c r="E4928" s="6" t="s">
        <v>15</v>
      </c>
      <c r="F4928" s="7">
        <v>94</v>
      </c>
      <c r="G4928" s="7">
        <v>126031.8404255319</v>
      </c>
      <c r="H4928" s="7">
        <v>11846993</v>
      </c>
      <c r="I4928" s="7">
        <v>2080809</v>
      </c>
      <c r="J4928" s="7">
        <v>0</v>
      </c>
      <c r="K4928">
        <f t="shared" si="76"/>
        <v>153</v>
      </c>
      <c r="L4928" s="8" t="str" cm="1">
        <f t="array" ref="L4928">_xlfn.IFS(
 AND(K4928&gt;=89,K4928&lt;=92),"3개월",
 AND(K4928&gt;=58,K4928&lt;=62),"2개월",
 AND(K4928&gt;=28,K4928&lt;=32),"1개월",
 AND(K4928=0),"당월",
 TRUE,"그외"
)</f>
        <v>그외</v>
      </c>
    </row>
    <row r="4929" spans="1:12" x14ac:dyDescent="0.3">
      <c r="A4929" s="5">
        <v>45689</v>
      </c>
      <c r="B4929" s="6" t="s">
        <v>40</v>
      </c>
      <c r="C4929" s="6" t="s">
        <v>91</v>
      </c>
      <c r="D4929" s="5">
        <v>45566</v>
      </c>
      <c r="E4929" s="6" t="s">
        <v>14</v>
      </c>
      <c r="F4929" s="7">
        <v>2</v>
      </c>
      <c r="G4929" s="7">
        <v>99400</v>
      </c>
      <c r="H4929" s="7">
        <v>198800</v>
      </c>
      <c r="I4929" s="7">
        <v>18800</v>
      </c>
      <c r="J4929" s="7">
        <v>0</v>
      </c>
      <c r="K4929">
        <f t="shared" si="76"/>
        <v>123</v>
      </c>
      <c r="L4929" s="8" t="str" cm="1">
        <f t="array" ref="L4929">_xlfn.IFS(
 AND(K4929&gt;=89,K4929&lt;=92),"3개월",
 AND(K4929&gt;=58,K4929&lt;=62),"2개월",
 AND(K4929&gt;=28,K4929&lt;=32),"1개월",
 AND(K4929=0),"당월",
 TRUE,"그외"
)</f>
        <v>그외</v>
      </c>
    </row>
    <row r="4930" spans="1:12" x14ac:dyDescent="0.3">
      <c r="A4930" s="5">
        <v>45689</v>
      </c>
      <c r="B4930" s="6" t="s">
        <v>40</v>
      </c>
      <c r="C4930" s="6" t="s">
        <v>91</v>
      </c>
      <c r="D4930" s="5">
        <v>45566</v>
      </c>
      <c r="E4930" s="6" t="s">
        <v>15</v>
      </c>
      <c r="F4930" s="7">
        <v>202</v>
      </c>
      <c r="G4930" s="7">
        <v>114360.41089108909</v>
      </c>
      <c r="H4930" s="7">
        <v>23100803</v>
      </c>
      <c r="I4930" s="7">
        <v>4104235</v>
      </c>
      <c r="J4930" s="7">
        <v>0</v>
      </c>
      <c r="K4930">
        <f t="shared" si="76"/>
        <v>123</v>
      </c>
      <c r="L4930" s="8" t="str" cm="1">
        <f t="array" ref="L4930">_xlfn.IFS(
 AND(K4930&gt;=89,K4930&lt;=92),"3개월",
 AND(K4930&gt;=58,K4930&lt;=62),"2개월",
 AND(K4930&gt;=28,K4930&lt;=32),"1개월",
 AND(K4930=0),"당월",
 TRUE,"그외"
)</f>
        <v>그외</v>
      </c>
    </row>
    <row r="4931" spans="1:12" x14ac:dyDescent="0.3">
      <c r="A4931" s="5">
        <v>45689</v>
      </c>
      <c r="B4931" s="6" t="s">
        <v>40</v>
      </c>
      <c r="C4931" s="6" t="s">
        <v>91</v>
      </c>
      <c r="D4931" s="5">
        <v>45597</v>
      </c>
      <c r="E4931" s="6" t="s">
        <v>14</v>
      </c>
      <c r="F4931" s="7">
        <v>15</v>
      </c>
      <c r="G4931" s="7">
        <v>99300</v>
      </c>
      <c r="H4931" s="7">
        <v>1489500</v>
      </c>
      <c r="I4931" s="7">
        <v>139500</v>
      </c>
      <c r="J4931" s="7">
        <v>0</v>
      </c>
      <c r="K4931">
        <f t="shared" si="76"/>
        <v>92</v>
      </c>
      <c r="L4931" s="8" t="str" cm="1">
        <f t="array" ref="L4931">_xlfn.IFS(
 AND(K4931&gt;=89,K4931&lt;=92),"3개월",
 AND(K4931&gt;=58,K4931&lt;=62),"2개월",
 AND(K4931&gt;=28,K4931&lt;=32),"1개월",
 AND(K4931=0),"당월",
 TRUE,"그외"
)</f>
        <v>3개월</v>
      </c>
    </row>
    <row r="4932" spans="1:12" x14ac:dyDescent="0.3">
      <c r="A4932" s="5">
        <v>45689</v>
      </c>
      <c r="B4932" s="6" t="s">
        <v>40</v>
      </c>
      <c r="C4932" s="6" t="s">
        <v>91</v>
      </c>
      <c r="D4932" s="5">
        <v>45597</v>
      </c>
      <c r="E4932" s="6" t="s">
        <v>15</v>
      </c>
      <c r="F4932" s="7">
        <v>505</v>
      </c>
      <c r="G4932" s="7">
        <v>161117.7762376238</v>
      </c>
      <c r="H4932" s="7">
        <v>81364477</v>
      </c>
      <c r="I4932" s="7">
        <v>13947502</v>
      </c>
      <c r="J4932" s="7">
        <v>0</v>
      </c>
      <c r="K4932">
        <f t="shared" si="76"/>
        <v>92</v>
      </c>
      <c r="L4932" s="8" t="str" cm="1">
        <f t="array" ref="L4932">_xlfn.IFS(
 AND(K4932&gt;=89,K4932&lt;=92),"3개월",
 AND(K4932&gt;=58,K4932&lt;=62),"2개월",
 AND(K4932&gt;=28,K4932&lt;=32),"1개월",
 AND(K4932=0),"당월",
 TRUE,"그외"
)</f>
        <v>3개월</v>
      </c>
    </row>
    <row r="4933" spans="1:12" x14ac:dyDescent="0.3">
      <c r="A4933" s="5">
        <v>45689</v>
      </c>
      <c r="B4933" s="6" t="s">
        <v>40</v>
      </c>
      <c r="C4933" s="6" t="s">
        <v>91</v>
      </c>
      <c r="D4933" s="5">
        <v>45627</v>
      </c>
      <c r="E4933" s="6" t="s">
        <v>14</v>
      </c>
      <c r="F4933" s="7">
        <v>59</v>
      </c>
      <c r="G4933" s="7">
        <v>76015.254237288129</v>
      </c>
      <c r="H4933" s="7">
        <v>4484900</v>
      </c>
      <c r="I4933" s="7">
        <v>654900</v>
      </c>
      <c r="J4933" s="7">
        <v>0</v>
      </c>
      <c r="K4933">
        <f t="shared" si="76"/>
        <v>62</v>
      </c>
      <c r="L4933" s="8" t="str" cm="1">
        <f t="array" ref="L4933">_xlfn.IFS(
 AND(K4933&gt;=89,K4933&lt;=92),"3개월",
 AND(K4933&gt;=58,K4933&lt;=62),"2개월",
 AND(K4933&gt;=28,K4933&lt;=32),"1개월",
 AND(K4933=0),"당월",
 TRUE,"그외"
)</f>
        <v>2개월</v>
      </c>
    </row>
    <row r="4934" spans="1:12" x14ac:dyDescent="0.3">
      <c r="A4934" s="5">
        <v>45689</v>
      </c>
      <c r="B4934" s="6" t="s">
        <v>40</v>
      </c>
      <c r="C4934" s="6" t="s">
        <v>91</v>
      </c>
      <c r="D4934" s="5">
        <v>45627</v>
      </c>
      <c r="E4934" s="6" t="s">
        <v>15</v>
      </c>
      <c r="F4934" s="7">
        <v>829</v>
      </c>
      <c r="G4934" s="7">
        <v>147351.70446320871</v>
      </c>
      <c r="H4934" s="7">
        <v>122154563</v>
      </c>
      <c r="I4934" s="7">
        <v>31680275</v>
      </c>
      <c r="J4934" s="7">
        <v>0</v>
      </c>
      <c r="K4934">
        <f t="shared" si="76"/>
        <v>62</v>
      </c>
      <c r="L4934" s="8" t="str" cm="1">
        <f t="array" ref="L4934">_xlfn.IFS(
 AND(K4934&gt;=89,K4934&lt;=92),"3개월",
 AND(K4934&gt;=58,K4934&lt;=62),"2개월",
 AND(K4934&gt;=28,K4934&lt;=32),"1개월",
 AND(K4934=0),"당월",
 TRUE,"그외"
)</f>
        <v>2개월</v>
      </c>
    </row>
    <row r="4935" spans="1:12" x14ac:dyDescent="0.3">
      <c r="A4935" s="5">
        <v>45689</v>
      </c>
      <c r="B4935" s="6" t="s">
        <v>40</v>
      </c>
      <c r="C4935" s="6" t="s">
        <v>91</v>
      </c>
      <c r="D4935" s="5">
        <v>45658</v>
      </c>
      <c r="E4935" s="6" t="s">
        <v>14</v>
      </c>
      <c r="F4935" s="7">
        <v>403</v>
      </c>
      <c r="G4935" s="7">
        <v>65071.215880893302</v>
      </c>
      <c r="H4935" s="7">
        <v>26223700</v>
      </c>
      <c r="I4935" s="7">
        <v>4553700</v>
      </c>
      <c r="J4935" s="7">
        <v>0</v>
      </c>
      <c r="K4935">
        <f t="shared" si="76"/>
        <v>31</v>
      </c>
      <c r="L4935" s="8" t="str" cm="1">
        <f t="array" ref="L4935">_xlfn.IFS(
 AND(K4935&gt;=89,K4935&lt;=92),"3개월",
 AND(K4935&gt;=58,K4935&lt;=62),"2개월",
 AND(K4935&gt;=28,K4935&lt;=32),"1개월",
 AND(K4935=0),"당월",
 TRUE,"그외"
)</f>
        <v>1개월</v>
      </c>
    </row>
    <row r="4936" spans="1:12" x14ac:dyDescent="0.3">
      <c r="A4936" s="5">
        <v>45689</v>
      </c>
      <c r="B4936" s="6" t="s">
        <v>40</v>
      </c>
      <c r="C4936" s="6" t="s">
        <v>91</v>
      </c>
      <c r="D4936" s="5">
        <v>45658</v>
      </c>
      <c r="E4936" s="6" t="s">
        <v>15</v>
      </c>
      <c r="F4936" s="7">
        <v>1652</v>
      </c>
      <c r="G4936" s="7">
        <v>144705.63135593219</v>
      </c>
      <c r="H4936" s="7">
        <v>239053703</v>
      </c>
      <c r="I4936" s="7">
        <v>88784616</v>
      </c>
      <c r="J4936" s="7">
        <v>0</v>
      </c>
      <c r="K4936">
        <f t="shared" si="76"/>
        <v>31</v>
      </c>
      <c r="L4936" s="8" t="str" cm="1">
        <f t="array" ref="L4936">_xlfn.IFS(
 AND(K4936&gt;=89,K4936&lt;=92),"3개월",
 AND(K4936&gt;=58,K4936&lt;=62),"2개월",
 AND(K4936&gt;=28,K4936&lt;=32),"1개월",
 AND(K4936=0),"당월",
 TRUE,"그외"
)</f>
        <v>1개월</v>
      </c>
    </row>
    <row r="4937" spans="1:12" x14ac:dyDescent="0.3">
      <c r="A4937" s="5">
        <v>45689</v>
      </c>
      <c r="B4937" s="6" t="s">
        <v>40</v>
      </c>
      <c r="C4937" s="6" t="s">
        <v>91</v>
      </c>
      <c r="D4937" s="5">
        <v>45689</v>
      </c>
      <c r="E4937" s="6" t="s">
        <v>14</v>
      </c>
      <c r="F4937" s="7">
        <v>193</v>
      </c>
      <c r="G4937" s="7">
        <v>62321.761658031093</v>
      </c>
      <c r="H4937" s="7">
        <v>12028100</v>
      </c>
      <c r="I4937" s="7">
        <v>2258100</v>
      </c>
      <c r="J4937" s="7">
        <v>0</v>
      </c>
      <c r="K4937">
        <f t="shared" si="76"/>
        <v>0</v>
      </c>
      <c r="L4937" s="8" t="str" cm="1">
        <f t="array" ref="L4937">_xlfn.IFS(
 AND(K4937&gt;=89,K4937&lt;=92),"3개월",
 AND(K4937&gt;=58,K4937&lt;=62),"2개월",
 AND(K4937&gt;=28,K4937&lt;=32),"1개월",
 AND(K4937=0),"당월",
 TRUE,"그외"
)</f>
        <v>당월</v>
      </c>
    </row>
    <row r="4938" spans="1:12" x14ac:dyDescent="0.3">
      <c r="A4938" s="5">
        <v>45689</v>
      </c>
      <c r="B4938" s="6" t="s">
        <v>40</v>
      </c>
      <c r="C4938" s="6" t="s">
        <v>91</v>
      </c>
      <c r="D4938" s="5">
        <v>45689</v>
      </c>
      <c r="E4938" s="6" t="s">
        <v>15</v>
      </c>
      <c r="F4938" s="7">
        <v>3407</v>
      </c>
      <c r="G4938" s="7">
        <v>134777.79307308479</v>
      </c>
      <c r="H4938" s="7">
        <v>459187941</v>
      </c>
      <c r="I4938" s="7">
        <v>191833619</v>
      </c>
      <c r="J4938" s="7">
        <v>0</v>
      </c>
      <c r="K4938">
        <f t="shared" ref="K4938:K5001" si="77">A4938-D4938</f>
        <v>0</v>
      </c>
      <c r="L4938" s="8" t="str" cm="1">
        <f t="array" ref="L4938">_xlfn.IFS(
 AND(K4938&gt;=89,K4938&lt;=92),"3개월",
 AND(K4938&gt;=58,K4938&lt;=62),"2개월",
 AND(K4938&gt;=28,K4938&lt;=32),"1개월",
 AND(K4938=0),"당월",
 TRUE,"그외"
)</f>
        <v>당월</v>
      </c>
    </row>
    <row r="4939" spans="1:12" x14ac:dyDescent="0.3">
      <c r="A4939" s="5">
        <v>45689</v>
      </c>
      <c r="B4939" s="6" t="s">
        <v>40</v>
      </c>
      <c r="C4939" s="6" t="s">
        <v>122</v>
      </c>
      <c r="D4939" s="5">
        <v>45536</v>
      </c>
      <c r="E4939" s="6" t="s">
        <v>15</v>
      </c>
      <c r="F4939" s="7">
        <v>4</v>
      </c>
      <c r="G4939" s="7">
        <v>132000</v>
      </c>
      <c r="H4939" s="7">
        <v>528000</v>
      </c>
      <c r="I4939" s="7">
        <v>88000</v>
      </c>
      <c r="J4939" s="7">
        <v>0</v>
      </c>
      <c r="K4939">
        <f t="shared" si="77"/>
        <v>153</v>
      </c>
      <c r="L4939" s="8" t="str" cm="1">
        <f t="array" ref="L4939">_xlfn.IFS(
 AND(K4939&gt;=89,K4939&lt;=92),"3개월",
 AND(K4939&gt;=58,K4939&lt;=62),"2개월",
 AND(K4939&gt;=28,K4939&lt;=32),"1개월",
 AND(K4939=0),"당월",
 TRUE,"그외"
)</f>
        <v>그외</v>
      </c>
    </row>
    <row r="4940" spans="1:12" x14ac:dyDescent="0.3">
      <c r="A4940" s="5">
        <v>45689</v>
      </c>
      <c r="B4940" s="6" t="s">
        <v>40</v>
      </c>
      <c r="C4940" s="6" t="s">
        <v>122</v>
      </c>
      <c r="D4940" s="5">
        <v>45566</v>
      </c>
      <c r="E4940" s="6" t="s">
        <v>15</v>
      </c>
      <c r="F4940" s="7">
        <v>22</v>
      </c>
      <c r="G4940" s="7">
        <v>99373.590909090912</v>
      </c>
      <c r="H4940" s="7">
        <v>2186219</v>
      </c>
      <c r="I4940" s="7">
        <v>702878</v>
      </c>
      <c r="J4940" s="7">
        <v>0</v>
      </c>
      <c r="K4940">
        <f t="shared" si="77"/>
        <v>123</v>
      </c>
      <c r="L4940" s="8" t="str" cm="1">
        <f t="array" ref="L4940">_xlfn.IFS(
 AND(K4940&gt;=89,K4940&lt;=92),"3개월",
 AND(K4940&gt;=58,K4940&lt;=62),"2개월",
 AND(K4940&gt;=28,K4940&lt;=32),"1개월",
 AND(K4940=0),"당월",
 TRUE,"그외"
)</f>
        <v>그외</v>
      </c>
    </row>
    <row r="4941" spans="1:12" x14ac:dyDescent="0.3">
      <c r="A4941" s="5">
        <v>45689</v>
      </c>
      <c r="B4941" s="6" t="s">
        <v>40</v>
      </c>
      <c r="C4941" s="6" t="s">
        <v>122</v>
      </c>
      <c r="D4941" s="5">
        <v>45597</v>
      </c>
      <c r="E4941" s="6" t="s">
        <v>14</v>
      </c>
      <c r="F4941" s="7">
        <v>12</v>
      </c>
      <c r="G4941" s="7">
        <v>106000</v>
      </c>
      <c r="H4941" s="7">
        <v>1272000</v>
      </c>
      <c r="I4941" s="7">
        <v>192000</v>
      </c>
      <c r="J4941" s="7">
        <v>0</v>
      </c>
      <c r="K4941">
        <f t="shared" si="77"/>
        <v>92</v>
      </c>
      <c r="L4941" s="8" t="str" cm="1">
        <f t="array" ref="L4941">_xlfn.IFS(
 AND(K4941&gt;=89,K4941&lt;=92),"3개월",
 AND(K4941&gt;=58,K4941&lt;=62),"2개월",
 AND(K4941&gt;=28,K4941&lt;=32),"1개월",
 AND(K4941=0),"당월",
 TRUE,"그외"
)</f>
        <v>3개월</v>
      </c>
    </row>
    <row r="4942" spans="1:12" x14ac:dyDescent="0.3">
      <c r="A4942" s="5">
        <v>45689</v>
      </c>
      <c r="B4942" s="6" t="s">
        <v>40</v>
      </c>
      <c r="C4942" s="6" t="s">
        <v>122</v>
      </c>
      <c r="D4942" s="5">
        <v>45597</v>
      </c>
      <c r="E4942" s="6" t="s">
        <v>15</v>
      </c>
      <c r="F4942" s="7">
        <v>101</v>
      </c>
      <c r="G4942" s="7">
        <v>116323.801980198</v>
      </c>
      <c r="H4942" s="7">
        <v>11748704</v>
      </c>
      <c r="I4942" s="7">
        <v>2624006</v>
      </c>
      <c r="J4942" s="7">
        <v>0</v>
      </c>
      <c r="K4942">
        <f t="shared" si="77"/>
        <v>92</v>
      </c>
      <c r="L4942" s="8" t="str" cm="1">
        <f t="array" ref="L4942">_xlfn.IFS(
 AND(K4942&gt;=89,K4942&lt;=92),"3개월",
 AND(K4942&gt;=58,K4942&lt;=62),"2개월",
 AND(K4942&gt;=28,K4942&lt;=32),"1개월",
 AND(K4942=0),"당월",
 TRUE,"그외"
)</f>
        <v>3개월</v>
      </c>
    </row>
    <row r="4943" spans="1:12" x14ac:dyDescent="0.3">
      <c r="A4943" s="5">
        <v>45689</v>
      </c>
      <c r="B4943" s="6" t="s">
        <v>40</v>
      </c>
      <c r="C4943" s="6" t="s">
        <v>122</v>
      </c>
      <c r="D4943" s="5">
        <v>45627</v>
      </c>
      <c r="E4943" s="6" t="s">
        <v>14</v>
      </c>
      <c r="F4943" s="7">
        <v>90</v>
      </c>
      <c r="G4943" s="7">
        <v>95400</v>
      </c>
      <c r="H4943" s="7">
        <v>8586000</v>
      </c>
      <c r="I4943" s="7">
        <v>1746000</v>
      </c>
      <c r="J4943" s="7">
        <v>0</v>
      </c>
      <c r="K4943">
        <f t="shared" si="77"/>
        <v>62</v>
      </c>
      <c r="L4943" s="8" t="str" cm="1">
        <f t="array" ref="L4943">_xlfn.IFS(
 AND(K4943&gt;=89,K4943&lt;=92),"3개월",
 AND(K4943&gt;=58,K4943&lt;=62),"2개월",
 AND(K4943&gt;=28,K4943&lt;=32),"1개월",
 AND(K4943=0),"당월",
 TRUE,"그외"
)</f>
        <v>2개월</v>
      </c>
    </row>
    <row r="4944" spans="1:12" x14ac:dyDescent="0.3">
      <c r="A4944" s="5">
        <v>45689</v>
      </c>
      <c r="B4944" s="6" t="s">
        <v>40</v>
      </c>
      <c r="C4944" s="6" t="s">
        <v>122</v>
      </c>
      <c r="D4944" s="5">
        <v>45627</v>
      </c>
      <c r="E4944" s="6" t="s">
        <v>15</v>
      </c>
      <c r="F4944" s="7">
        <v>170</v>
      </c>
      <c r="G4944" s="7">
        <v>140691.6470588235</v>
      </c>
      <c r="H4944" s="7">
        <v>23917580</v>
      </c>
      <c r="I4944" s="7">
        <v>8115027</v>
      </c>
      <c r="J4944" s="7">
        <v>0</v>
      </c>
      <c r="K4944">
        <f t="shared" si="77"/>
        <v>62</v>
      </c>
      <c r="L4944" s="8" t="str" cm="1">
        <f t="array" ref="L4944">_xlfn.IFS(
 AND(K4944&gt;=89,K4944&lt;=92),"3개월",
 AND(K4944&gt;=58,K4944&lt;=62),"2개월",
 AND(K4944&gt;=28,K4944&lt;=32),"1개월",
 AND(K4944=0),"당월",
 TRUE,"그외"
)</f>
        <v>2개월</v>
      </c>
    </row>
    <row r="4945" spans="1:12" x14ac:dyDescent="0.3">
      <c r="A4945" s="5">
        <v>45689</v>
      </c>
      <c r="B4945" s="6" t="s">
        <v>40</v>
      </c>
      <c r="C4945" s="6" t="s">
        <v>122</v>
      </c>
      <c r="D4945" s="5">
        <v>45658</v>
      </c>
      <c r="E4945" s="6" t="s">
        <v>14</v>
      </c>
      <c r="F4945" s="7">
        <v>297</v>
      </c>
      <c r="G4945" s="7">
        <v>98361.952861952857</v>
      </c>
      <c r="H4945" s="7">
        <v>29213500</v>
      </c>
      <c r="I4945" s="7">
        <v>5843500</v>
      </c>
      <c r="J4945" s="7">
        <v>0</v>
      </c>
      <c r="K4945">
        <f t="shared" si="77"/>
        <v>31</v>
      </c>
      <c r="L4945" s="8" t="str" cm="1">
        <f t="array" ref="L4945">_xlfn.IFS(
 AND(K4945&gt;=89,K4945&lt;=92),"3개월",
 AND(K4945&gt;=58,K4945&lt;=62),"2개월",
 AND(K4945&gt;=28,K4945&lt;=32),"1개월",
 AND(K4945=0),"당월",
 TRUE,"그외"
)</f>
        <v>1개월</v>
      </c>
    </row>
    <row r="4946" spans="1:12" x14ac:dyDescent="0.3">
      <c r="A4946" s="5">
        <v>45689</v>
      </c>
      <c r="B4946" s="6" t="s">
        <v>40</v>
      </c>
      <c r="C4946" s="6" t="s">
        <v>122</v>
      </c>
      <c r="D4946" s="5">
        <v>45658</v>
      </c>
      <c r="E4946" s="6" t="s">
        <v>15</v>
      </c>
      <c r="F4946" s="7">
        <v>290</v>
      </c>
      <c r="G4946" s="7">
        <v>149449.28275862071</v>
      </c>
      <c r="H4946" s="7">
        <v>43340292</v>
      </c>
      <c r="I4946" s="7">
        <v>18017043</v>
      </c>
      <c r="J4946" s="7">
        <v>0</v>
      </c>
      <c r="K4946">
        <f t="shared" si="77"/>
        <v>31</v>
      </c>
      <c r="L4946" s="8" t="str" cm="1">
        <f t="array" ref="L4946">_xlfn.IFS(
 AND(K4946&gt;=89,K4946&lt;=92),"3개월",
 AND(K4946&gt;=58,K4946&lt;=62),"2개월",
 AND(K4946&gt;=28,K4946&lt;=32),"1개월",
 AND(K4946=0),"당월",
 TRUE,"그외"
)</f>
        <v>1개월</v>
      </c>
    </row>
    <row r="4947" spans="1:12" x14ac:dyDescent="0.3">
      <c r="A4947" s="5">
        <v>45689</v>
      </c>
      <c r="B4947" s="6" t="s">
        <v>40</v>
      </c>
      <c r="C4947" s="6" t="s">
        <v>122</v>
      </c>
      <c r="D4947" s="5">
        <v>45689</v>
      </c>
      <c r="E4947" s="6" t="s">
        <v>14</v>
      </c>
      <c r="F4947" s="7">
        <v>44</v>
      </c>
      <c r="G4947" s="7">
        <v>90384.090909090912</v>
      </c>
      <c r="H4947" s="7">
        <v>3976900</v>
      </c>
      <c r="I4947" s="7">
        <v>896900</v>
      </c>
      <c r="J4947" s="7">
        <v>0</v>
      </c>
      <c r="K4947">
        <f t="shared" si="77"/>
        <v>0</v>
      </c>
      <c r="L4947" s="8" t="str" cm="1">
        <f t="array" ref="L4947">_xlfn.IFS(
 AND(K4947&gt;=89,K4947&lt;=92),"3개월",
 AND(K4947&gt;=58,K4947&lt;=62),"2개월",
 AND(K4947&gt;=28,K4947&lt;=32),"1개월",
 AND(K4947=0),"당월",
 TRUE,"그외"
)</f>
        <v>당월</v>
      </c>
    </row>
    <row r="4948" spans="1:12" x14ac:dyDescent="0.3">
      <c r="A4948" s="5">
        <v>45689</v>
      </c>
      <c r="B4948" s="6" t="s">
        <v>40</v>
      </c>
      <c r="C4948" s="6" t="s">
        <v>122</v>
      </c>
      <c r="D4948" s="5">
        <v>45689</v>
      </c>
      <c r="E4948" s="6" t="s">
        <v>15</v>
      </c>
      <c r="F4948" s="7">
        <v>66</v>
      </c>
      <c r="G4948" s="7">
        <v>139663.69696969699</v>
      </c>
      <c r="H4948" s="7">
        <v>9217804</v>
      </c>
      <c r="I4948" s="7">
        <v>4628708</v>
      </c>
      <c r="J4948" s="7">
        <v>0</v>
      </c>
      <c r="K4948">
        <f t="shared" si="77"/>
        <v>0</v>
      </c>
      <c r="L4948" s="8" t="str" cm="1">
        <f t="array" ref="L4948">_xlfn.IFS(
 AND(K4948&gt;=89,K4948&lt;=92),"3개월",
 AND(K4948&gt;=58,K4948&lt;=62),"2개월",
 AND(K4948&gt;=28,K4948&lt;=32),"1개월",
 AND(K4948=0),"당월",
 TRUE,"그외"
)</f>
        <v>당월</v>
      </c>
    </row>
    <row r="4949" spans="1:12" x14ac:dyDescent="0.3">
      <c r="A4949" s="5">
        <v>45689</v>
      </c>
      <c r="B4949" s="6" t="s">
        <v>40</v>
      </c>
      <c r="C4949" s="6" t="s">
        <v>42</v>
      </c>
      <c r="D4949" s="5">
        <v>45597</v>
      </c>
      <c r="E4949" s="6" t="s">
        <v>14</v>
      </c>
      <c r="F4949" s="7">
        <v>53</v>
      </c>
      <c r="G4949" s="7">
        <v>131000</v>
      </c>
      <c r="H4949" s="7">
        <v>6943000</v>
      </c>
      <c r="I4949" s="7">
        <v>848000</v>
      </c>
      <c r="J4949" s="7">
        <v>0</v>
      </c>
      <c r="K4949">
        <f t="shared" si="77"/>
        <v>92</v>
      </c>
      <c r="L4949" s="8" t="str" cm="1">
        <f t="array" ref="L4949">_xlfn.IFS(
 AND(K4949&gt;=89,K4949&lt;=92),"3개월",
 AND(K4949&gt;=58,K4949&lt;=62),"2개월",
 AND(K4949&gt;=28,K4949&lt;=32),"1개월",
 AND(K4949=0),"당월",
 TRUE,"그외"
)</f>
        <v>3개월</v>
      </c>
    </row>
    <row r="4950" spans="1:12" x14ac:dyDescent="0.3">
      <c r="A4950" s="5">
        <v>45689</v>
      </c>
      <c r="B4950" s="6" t="s">
        <v>40</v>
      </c>
      <c r="C4950" s="6" t="s">
        <v>42</v>
      </c>
      <c r="D4950" s="5">
        <v>45627</v>
      </c>
      <c r="E4950" s="6" t="s">
        <v>14</v>
      </c>
      <c r="F4950" s="7">
        <v>36</v>
      </c>
      <c r="G4950" s="7">
        <v>149844.44444444441</v>
      </c>
      <c r="H4950" s="7">
        <v>5394400</v>
      </c>
      <c r="I4950" s="7">
        <v>698400</v>
      </c>
      <c r="J4950" s="7">
        <v>0</v>
      </c>
      <c r="K4950">
        <f t="shared" si="77"/>
        <v>62</v>
      </c>
      <c r="L4950" s="8" t="str" cm="1">
        <f t="array" ref="L4950">_xlfn.IFS(
 AND(K4950&gt;=89,K4950&lt;=92),"3개월",
 AND(K4950&gt;=58,K4950&lt;=62),"2개월",
 AND(K4950&gt;=28,K4950&lt;=32),"1개월",
 AND(K4950=0),"당월",
 TRUE,"그외"
)</f>
        <v>2개월</v>
      </c>
    </row>
    <row r="4951" spans="1:12" x14ac:dyDescent="0.3">
      <c r="A4951" s="5">
        <v>45689</v>
      </c>
      <c r="B4951" s="6" t="s">
        <v>40</v>
      </c>
      <c r="C4951" s="6" t="s">
        <v>42</v>
      </c>
      <c r="D4951" s="5">
        <v>45658</v>
      </c>
      <c r="E4951" s="6" t="s">
        <v>14</v>
      </c>
      <c r="F4951" s="7">
        <v>802</v>
      </c>
      <c r="G4951" s="7">
        <v>130946.8827930175</v>
      </c>
      <c r="H4951" s="7">
        <v>105019400</v>
      </c>
      <c r="I4951" s="7">
        <v>15799400</v>
      </c>
      <c r="J4951" s="7">
        <v>0</v>
      </c>
      <c r="K4951">
        <f t="shared" si="77"/>
        <v>31</v>
      </c>
      <c r="L4951" s="8" t="str" cm="1">
        <f t="array" ref="L4951">_xlfn.IFS(
 AND(K4951&gt;=89,K4951&lt;=92),"3개월",
 AND(K4951&gt;=58,K4951&lt;=62),"2개월",
 AND(K4951&gt;=28,K4951&lt;=32),"1개월",
 AND(K4951=0),"당월",
 TRUE,"그외"
)</f>
        <v>1개월</v>
      </c>
    </row>
    <row r="4952" spans="1:12" x14ac:dyDescent="0.3">
      <c r="A4952" s="5">
        <v>45689</v>
      </c>
      <c r="B4952" s="6" t="s">
        <v>40</v>
      </c>
      <c r="C4952" s="6" t="s">
        <v>42</v>
      </c>
      <c r="D4952" s="5">
        <v>45689</v>
      </c>
      <c r="E4952" s="6" t="s">
        <v>14</v>
      </c>
      <c r="F4952" s="7">
        <v>1952</v>
      </c>
      <c r="G4952" s="7">
        <v>133265.36885245901</v>
      </c>
      <c r="H4952" s="7">
        <v>260134000</v>
      </c>
      <c r="I4952" s="7">
        <v>39818000</v>
      </c>
      <c r="J4952" s="7">
        <v>0</v>
      </c>
      <c r="K4952">
        <f t="shared" si="77"/>
        <v>0</v>
      </c>
      <c r="L4952" s="8" t="str" cm="1">
        <f t="array" ref="L4952">_xlfn.IFS(
 AND(K4952&gt;=89,K4952&lt;=92),"3개월",
 AND(K4952&gt;=58,K4952&lt;=62),"2개월",
 AND(K4952&gt;=28,K4952&lt;=32),"1개월",
 AND(K4952=0),"당월",
 TRUE,"그외"
)</f>
        <v>당월</v>
      </c>
    </row>
    <row r="4953" spans="1:12" x14ac:dyDescent="0.3">
      <c r="A4953" s="5">
        <v>45689</v>
      </c>
      <c r="B4953" s="6" t="s">
        <v>40</v>
      </c>
      <c r="C4953" s="6" t="s">
        <v>42</v>
      </c>
      <c r="D4953" s="5">
        <v>45689</v>
      </c>
      <c r="E4953" s="6" t="s">
        <v>15</v>
      </c>
      <c r="F4953" s="7">
        <v>5</v>
      </c>
      <c r="G4953" s="7">
        <v>0</v>
      </c>
      <c r="H4953" s="7">
        <v>0</v>
      </c>
      <c r="I4953" s="7">
        <v>0</v>
      </c>
      <c r="J4953" s="7">
        <v>0</v>
      </c>
      <c r="K4953">
        <f t="shared" si="77"/>
        <v>0</v>
      </c>
      <c r="L4953" s="8" t="str" cm="1">
        <f t="array" ref="L4953">_xlfn.IFS(
 AND(K4953&gt;=89,K4953&lt;=92),"3개월",
 AND(K4953&gt;=58,K4953&lt;=62),"2개월",
 AND(K4953&gt;=28,K4953&lt;=32),"1개월",
 AND(K4953=0),"당월",
 TRUE,"그외"
)</f>
        <v>당월</v>
      </c>
    </row>
    <row r="4954" spans="1:12" x14ac:dyDescent="0.3">
      <c r="A4954" s="5">
        <v>45689</v>
      </c>
      <c r="B4954" s="6" t="s">
        <v>40</v>
      </c>
      <c r="C4954" s="6" t="s">
        <v>47</v>
      </c>
      <c r="D4954" s="5">
        <v>45505</v>
      </c>
      <c r="E4954" s="6" t="s">
        <v>15</v>
      </c>
      <c r="F4954" s="7">
        <v>31</v>
      </c>
      <c r="G4954" s="7">
        <v>113388.3225806452</v>
      </c>
      <c r="H4954" s="7">
        <v>3515038</v>
      </c>
      <c r="I4954" s="7">
        <v>952750</v>
      </c>
      <c r="J4954" s="7">
        <v>0</v>
      </c>
      <c r="K4954">
        <f t="shared" si="77"/>
        <v>184</v>
      </c>
      <c r="L4954" s="8" t="str" cm="1">
        <f t="array" ref="L4954">_xlfn.IFS(
 AND(K4954&gt;=89,K4954&lt;=92),"3개월",
 AND(K4954&gt;=58,K4954&lt;=62),"2개월",
 AND(K4954&gt;=28,K4954&lt;=32),"1개월",
 AND(K4954=0),"당월",
 TRUE,"그외"
)</f>
        <v>그외</v>
      </c>
    </row>
    <row r="4955" spans="1:12" x14ac:dyDescent="0.3">
      <c r="A4955" s="5">
        <v>45689</v>
      </c>
      <c r="B4955" s="6" t="s">
        <v>40</v>
      </c>
      <c r="C4955" s="6" t="s">
        <v>47</v>
      </c>
      <c r="D4955" s="5">
        <v>45536</v>
      </c>
      <c r="E4955" s="6" t="s">
        <v>15</v>
      </c>
      <c r="F4955" s="7">
        <v>51</v>
      </c>
      <c r="G4955" s="7">
        <v>96957.03921568628</v>
      </c>
      <c r="H4955" s="7">
        <v>4944809</v>
      </c>
      <c r="I4955" s="7">
        <v>1421825</v>
      </c>
      <c r="J4955" s="7">
        <v>0</v>
      </c>
      <c r="K4955">
        <f t="shared" si="77"/>
        <v>153</v>
      </c>
      <c r="L4955" s="8" t="str" cm="1">
        <f t="array" ref="L4955">_xlfn.IFS(
 AND(K4955&gt;=89,K4955&lt;=92),"3개월",
 AND(K4955&gt;=58,K4955&lt;=62),"2개월",
 AND(K4955&gt;=28,K4955&lt;=32),"1개월",
 AND(K4955=0),"당월",
 TRUE,"그외"
)</f>
        <v>그외</v>
      </c>
    </row>
    <row r="4956" spans="1:12" x14ac:dyDescent="0.3">
      <c r="A4956" s="5">
        <v>45689</v>
      </c>
      <c r="B4956" s="6" t="s">
        <v>40</v>
      </c>
      <c r="C4956" s="6" t="s">
        <v>47</v>
      </c>
      <c r="D4956" s="5">
        <v>45566</v>
      </c>
      <c r="E4956" s="6" t="s">
        <v>15</v>
      </c>
      <c r="F4956" s="7">
        <v>28</v>
      </c>
      <c r="G4956" s="7">
        <v>114867.67857142859</v>
      </c>
      <c r="H4956" s="7">
        <v>3216295</v>
      </c>
      <c r="I4956" s="7">
        <v>630926</v>
      </c>
      <c r="J4956" s="7">
        <v>0</v>
      </c>
      <c r="K4956">
        <f t="shared" si="77"/>
        <v>123</v>
      </c>
      <c r="L4956" s="8" t="str" cm="1">
        <f t="array" ref="L4956">_xlfn.IFS(
 AND(K4956&gt;=89,K4956&lt;=92),"3개월",
 AND(K4956&gt;=58,K4956&lt;=62),"2개월",
 AND(K4956&gt;=28,K4956&lt;=32),"1개월",
 AND(K4956=0),"당월",
 TRUE,"그외"
)</f>
        <v>그외</v>
      </c>
    </row>
    <row r="4957" spans="1:12" x14ac:dyDescent="0.3">
      <c r="A4957" s="5">
        <v>45689</v>
      </c>
      <c r="B4957" s="6" t="s">
        <v>40</v>
      </c>
      <c r="C4957" s="6" t="s">
        <v>47</v>
      </c>
      <c r="D4957" s="5">
        <v>45597</v>
      </c>
      <c r="E4957" s="6" t="s">
        <v>14</v>
      </c>
      <c r="F4957" s="7">
        <v>20</v>
      </c>
      <c r="G4957" s="7">
        <v>103500</v>
      </c>
      <c r="H4957" s="7">
        <v>2070000</v>
      </c>
      <c r="I4957" s="7">
        <v>400000</v>
      </c>
      <c r="J4957" s="7">
        <v>0</v>
      </c>
      <c r="K4957">
        <f t="shared" si="77"/>
        <v>92</v>
      </c>
      <c r="L4957" s="8" t="str" cm="1">
        <f t="array" ref="L4957">_xlfn.IFS(
 AND(K4957&gt;=89,K4957&lt;=92),"3개월",
 AND(K4957&gt;=58,K4957&lt;=62),"2개월",
 AND(K4957&gt;=28,K4957&lt;=32),"1개월",
 AND(K4957=0),"당월",
 TRUE,"그외"
)</f>
        <v>3개월</v>
      </c>
    </row>
    <row r="4958" spans="1:12" x14ac:dyDescent="0.3">
      <c r="A4958" s="5">
        <v>45689</v>
      </c>
      <c r="B4958" s="6" t="s">
        <v>40</v>
      </c>
      <c r="C4958" s="6" t="s">
        <v>47</v>
      </c>
      <c r="D4958" s="5">
        <v>45597</v>
      </c>
      <c r="E4958" s="6" t="s">
        <v>15</v>
      </c>
      <c r="F4958" s="7">
        <v>259</v>
      </c>
      <c r="G4958" s="7">
        <v>107722.77606177609</v>
      </c>
      <c r="H4958" s="7">
        <v>27900199</v>
      </c>
      <c r="I4958" s="7">
        <v>5494524</v>
      </c>
      <c r="J4958" s="7">
        <v>0</v>
      </c>
      <c r="K4958">
        <f t="shared" si="77"/>
        <v>92</v>
      </c>
      <c r="L4958" s="8" t="str" cm="1">
        <f t="array" ref="L4958">_xlfn.IFS(
 AND(K4958&gt;=89,K4958&lt;=92),"3개월",
 AND(K4958&gt;=58,K4958&lt;=62),"2개월",
 AND(K4958&gt;=28,K4958&lt;=32),"1개월",
 AND(K4958=0),"당월",
 TRUE,"그외"
)</f>
        <v>3개월</v>
      </c>
    </row>
    <row r="4959" spans="1:12" x14ac:dyDescent="0.3">
      <c r="A4959" s="5">
        <v>45689</v>
      </c>
      <c r="B4959" s="6" t="s">
        <v>40</v>
      </c>
      <c r="C4959" s="6" t="s">
        <v>47</v>
      </c>
      <c r="D4959" s="5">
        <v>45627</v>
      </c>
      <c r="E4959" s="6" t="s">
        <v>14</v>
      </c>
      <c r="F4959" s="7">
        <v>21</v>
      </c>
      <c r="G4959" s="7">
        <v>81906.619047619053</v>
      </c>
      <c r="H4959" s="7">
        <v>1720039</v>
      </c>
      <c r="I4959" s="7">
        <v>500039</v>
      </c>
      <c r="J4959" s="7">
        <v>0</v>
      </c>
      <c r="K4959">
        <f t="shared" si="77"/>
        <v>62</v>
      </c>
      <c r="L4959" s="8" t="str" cm="1">
        <f t="array" ref="L4959">_xlfn.IFS(
 AND(K4959&gt;=89,K4959&lt;=92),"3개월",
 AND(K4959&gt;=58,K4959&lt;=62),"2개월",
 AND(K4959&gt;=28,K4959&lt;=32),"1개월",
 AND(K4959=0),"당월",
 TRUE,"그외"
)</f>
        <v>2개월</v>
      </c>
    </row>
    <row r="4960" spans="1:12" x14ac:dyDescent="0.3">
      <c r="A4960" s="5">
        <v>45689</v>
      </c>
      <c r="B4960" s="6" t="s">
        <v>40</v>
      </c>
      <c r="C4960" s="6" t="s">
        <v>47</v>
      </c>
      <c r="D4960" s="5">
        <v>45627</v>
      </c>
      <c r="E4960" s="6" t="s">
        <v>15</v>
      </c>
      <c r="F4960" s="7">
        <v>983</v>
      </c>
      <c r="G4960" s="7">
        <v>120092.54120040689</v>
      </c>
      <c r="H4960" s="7">
        <v>118050968</v>
      </c>
      <c r="I4960" s="7">
        <v>24755553</v>
      </c>
      <c r="J4960" s="7">
        <v>0</v>
      </c>
      <c r="K4960">
        <f t="shared" si="77"/>
        <v>62</v>
      </c>
      <c r="L4960" s="8" t="str" cm="1">
        <f t="array" ref="L4960">_xlfn.IFS(
 AND(K4960&gt;=89,K4960&lt;=92),"3개월",
 AND(K4960&gt;=58,K4960&lt;=62),"2개월",
 AND(K4960&gt;=28,K4960&lt;=32),"1개월",
 AND(K4960=0),"당월",
 TRUE,"그외"
)</f>
        <v>2개월</v>
      </c>
    </row>
    <row r="4961" spans="1:12" x14ac:dyDescent="0.3">
      <c r="A4961" s="5">
        <v>45689</v>
      </c>
      <c r="B4961" s="6" t="s">
        <v>40</v>
      </c>
      <c r="C4961" s="6" t="s">
        <v>47</v>
      </c>
      <c r="D4961" s="5">
        <v>45658</v>
      </c>
      <c r="E4961" s="6" t="s">
        <v>14</v>
      </c>
      <c r="F4961" s="7">
        <v>2430</v>
      </c>
      <c r="G4961" s="7">
        <v>122469.6609053498</v>
      </c>
      <c r="H4961" s="7">
        <v>297601276</v>
      </c>
      <c r="I4961" s="7">
        <v>64885430</v>
      </c>
      <c r="J4961" s="7">
        <v>0</v>
      </c>
      <c r="K4961">
        <f t="shared" si="77"/>
        <v>31</v>
      </c>
      <c r="L4961" s="8" t="str" cm="1">
        <f t="array" ref="L4961">_xlfn.IFS(
 AND(K4961&gt;=89,K4961&lt;=92),"3개월",
 AND(K4961&gt;=58,K4961&lt;=62),"2개월",
 AND(K4961&gt;=28,K4961&lt;=32),"1개월",
 AND(K4961=0),"당월",
 TRUE,"그외"
)</f>
        <v>1개월</v>
      </c>
    </row>
    <row r="4962" spans="1:12" x14ac:dyDescent="0.3">
      <c r="A4962" s="5">
        <v>45689</v>
      </c>
      <c r="B4962" s="6" t="s">
        <v>40</v>
      </c>
      <c r="C4962" s="6" t="s">
        <v>47</v>
      </c>
      <c r="D4962" s="5">
        <v>45658</v>
      </c>
      <c r="E4962" s="6" t="s">
        <v>15</v>
      </c>
      <c r="F4962" s="7">
        <v>1772</v>
      </c>
      <c r="G4962" s="7">
        <v>124798.3340857788</v>
      </c>
      <c r="H4962" s="7">
        <v>221142648</v>
      </c>
      <c r="I4962" s="7">
        <v>45907538</v>
      </c>
      <c r="J4962" s="7">
        <v>0</v>
      </c>
      <c r="K4962">
        <f t="shared" si="77"/>
        <v>31</v>
      </c>
      <c r="L4962" s="8" t="str" cm="1">
        <f t="array" ref="L4962">_xlfn.IFS(
 AND(K4962&gt;=89,K4962&lt;=92),"3개월",
 AND(K4962&gt;=58,K4962&lt;=62),"2개월",
 AND(K4962&gt;=28,K4962&lt;=32),"1개월",
 AND(K4962=0),"당월",
 TRUE,"그외"
)</f>
        <v>1개월</v>
      </c>
    </row>
    <row r="4963" spans="1:12" x14ac:dyDescent="0.3">
      <c r="A4963" s="5">
        <v>45689</v>
      </c>
      <c r="B4963" s="6" t="s">
        <v>40</v>
      </c>
      <c r="C4963" s="6" t="s">
        <v>47</v>
      </c>
      <c r="D4963" s="5">
        <v>45689</v>
      </c>
      <c r="E4963" s="6" t="s">
        <v>14</v>
      </c>
      <c r="F4963" s="7">
        <v>1298</v>
      </c>
      <c r="G4963" s="7">
        <v>91168.41294298922</v>
      </c>
      <c r="H4963" s="7">
        <v>118336600</v>
      </c>
      <c r="I4963" s="7">
        <v>35058869</v>
      </c>
      <c r="J4963" s="7">
        <v>0</v>
      </c>
      <c r="K4963">
        <f t="shared" si="77"/>
        <v>0</v>
      </c>
      <c r="L4963" s="8" t="str" cm="1">
        <f t="array" ref="L4963">_xlfn.IFS(
 AND(K4963&gt;=89,K4963&lt;=92),"3개월",
 AND(K4963&gt;=58,K4963&lt;=62),"2개월",
 AND(K4963&gt;=28,K4963&lt;=32),"1개월",
 AND(K4963=0),"당월",
 TRUE,"그외"
)</f>
        <v>당월</v>
      </c>
    </row>
    <row r="4964" spans="1:12" x14ac:dyDescent="0.3">
      <c r="A4964" s="5">
        <v>45689</v>
      </c>
      <c r="B4964" s="6" t="s">
        <v>40</v>
      </c>
      <c r="C4964" s="6" t="s">
        <v>47</v>
      </c>
      <c r="D4964" s="5">
        <v>45689</v>
      </c>
      <c r="E4964" s="6" t="s">
        <v>15</v>
      </c>
      <c r="F4964" s="7">
        <v>2577</v>
      </c>
      <c r="G4964" s="7">
        <v>133932.73884361659</v>
      </c>
      <c r="H4964" s="7">
        <v>345144668</v>
      </c>
      <c r="I4964" s="7">
        <v>67904950</v>
      </c>
      <c r="J4964" s="7">
        <v>0</v>
      </c>
      <c r="K4964">
        <f t="shared" si="77"/>
        <v>0</v>
      </c>
      <c r="L4964" s="8" t="str" cm="1">
        <f t="array" ref="L4964">_xlfn.IFS(
 AND(K4964&gt;=89,K4964&lt;=92),"3개월",
 AND(K4964&gt;=58,K4964&lt;=62),"2개월",
 AND(K4964&gt;=28,K4964&lt;=32),"1개월",
 AND(K4964=0),"당월",
 TRUE,"그외"
)</f>
        <v>당월</v>
      </c>
    </row>
    <row r="4965" spans="1:12" x14ac:dyDescent="0.3">
      <c r="A4965" s="5">
        <v>45689</v>
      </c>
      <c r="B4965" s="6" t="s">
        <v>50</v>
      </c>
      <c r="C4965" s="6" t="s">
        <v>51</v>
      </c>
      <c r="D4965" s="5">
        <v>45505</v>
      </c>
      <c r="E4965" s="6" t="s">
        <v>15</v>
      </c>
      <c r="F4965" s="7">
        <v>53</v>
      </c>
      <c r="G4965" s="7">
        <v>186950.6226415094</v>
      </c>
      <c r="H4965" s="7">
        <v>9908383</v>
      </c>
      <c r="I4965" s="7">
        <v>1412618</v>
      </c>
      <c r="J4965" s="7">
        <v>0</v>
      </c>
      <c r="K4965">
        <f t="shared" si="77"/>
        <v>184</v>
      </c>
      <c r="L4965" s="8" t="str" cm="1">
        <f t="array" ref="L4965">_xlfn.IFS(
 AND(K4965&gt;=89,K4965&lt;=92),"3개월",
 AND(K4965&gt;=58,K4965&lt;=62),"2개월",
 AND(K4965&gt;=28,K4965&lt;=32),"1개월",
 AND(K4965=0),"당월",
 TRUE,"그외"
)</f>
        <v>그외</v>
      </c>
    </row>
    <row r="4966" spans="1:12" x14ac:dyDescent="0.3">
      <c r="A4966" s="5">
        <v>45689</v>
      </c>
      <c r="B4966" s="6" t="s">
        <v>50</v>
      </c>
      <c r="C4966" s="6" t="s">
        <v>51</v>
      </c>
      <c r="D4966" s="5">
        <v>45536</v>
      </c>
      <c r="E4966" s="6" t="s">
        <v>15</v>
      </c>
      <c r="F4966" s="7">
        <v>90</v>
      </c>
      <c r="G4966" s="7">
        <v>253158.14444444439</v>
      </c>
      <c r="H4966" s="7">
        <v>22784233</v>
      </c>
      <c r="I4966" s="7">
        <v>2680146</v>
      </c>
      <c r="J4966" s="7">
        <v>0</v>
      </c>
      <c r="K4966">
        <f t="shared" si="77"/>
        <v>153</v>
      </c>
      <c r="L4966" s="8" t="str" cm="1">
        <f t="array" ref="L4966">_xlfn.IFS(
 AND(K4966&gt;=89,K4966&lt;=92),"3개월",
 AND(K4966&gt;=58,K4966&lt;=62),"2개월",
 AND(K4966&gt;=28,K4966&lt;=32),"1개월",
 AND(K4966=0),"당월",
 TRUE,"그외"
)</f>
        <v>그외</v>
      </c>
    </row>
    <row r="4967" spans="1:12" x14ac:dyDescent="0.3">
      <c r="A4967" s="5">
        <v>45689</v>
      </c>
      <c r="B4967" s="6" t="s">
        <v>50</v>
      </c>
      <c r="C4967" s="6" t="s">
        <v>51</v>
      </c>
      <c r="D4967" s="5">
        <v>45566</v>
      </c>
      <c r="E4967" s="6" t="s">
        <v>15</v>
      </c>
      <c r="F4967" s="7">
        <v>124</v>
      </c>
      <c r="G4967" s="7">
        <v>252828.5</v>
      </c>
      <c r="H4967" s="7">
        <v>31350734</v>
      </c>
      <c r="I4967" s="7">
        <v>2791383</v>
      </c>
      <c r="J4967" s="7">
        <v>0</v>
      </c>
      <c r="K4967">
        <f t="shared" si="77"/>
        <v>123</v>
      </c>
      <c r="L4967" s="8" t="str" cm="1">
        <f t="array" ref="L4967">_xlfn.IFS(
 AND(K4967&gt;=89,K4967&lt;=92),"3개월",
 AND(K4967&gt;=58,K4967&lt;=62),"2개월",
 AND(K4967&gt;=28,K4967&lt;=32),"1개월",
 AND(K4967=0),"당월",
 TRUE,"그외"
)</f>
        <v>그외</v>
      </c>
    </row>
    <row r="4968" spans="1:12" x14ac:dyDescent="0.3">
      <c r="A4968" s="5">
        <v>45689</v>
      </c>
      <c r="B4968" s="6" t="s">
        <v>50</v>
      </c>
      <c r="C4968" s="6" t="s">
        <v>51</v>
      </c>
      <c r="D4968" s="5">
        <v>45597</v>
      </c>
      <c r="E4968" s="6" t="s">
        <v>15</v>
      </c>
      <c r="F4968" s="7">
        <v>304</v>
      </c>
      <c r="G4968" s="7">
        <v>228516.5789473684</v>
      </c>
      <c r="H4968" s="7">
        <v>69469040</v>
      </c>
      <c r="I4968" s="7">
        <v>7009016</v>
      </c>
      <c r="J4968" s="7">
        <v>0</v>
      </c>
      <c r="K4968">
        <f t="shared" si="77"/>
        <v>92</v>
      </c>
      <c r="L4968" s="8" t="str" cm="1">
        <f t="array" ref="L4968">_xlfn.IFS(
 AND(K4968&gt;=89,K4968&lt;=92),"3개월",
 AND(K4968&gt;=58,K4968&lt;=62),"2개월",
 AND(K4968&gt;=28,K4968&lt;=32),"1개월",
 AND(K4968=0),"당월",
 TRUE,"그외"
)</f>
        <v>3개월</v>
      </c>
    </row>
    <row r="4969" spans="1:12" x14ac:dyDescent="0.3">
      <c r="A4969" s="5">
        <v>45689</v>
      </c>
      <c r="B4969" s="6" t="s">
        <v>50</v>
      </c>
      <c r="C4969" s="6" t="s">
        <v>51</v>
      </c>
      <c r="D4969" s="5">
        <v>45627</v>
      </c>
      <c r="E4969" s="6" t="s">
        <v>14</v>
      </c>
      <c r="F4969" s="7">
        <v>244</v>
      </c>
      <c r="G4969" s="7">
        <v>240099.09836065571</v>
      </c>
      <c r="H4969" s="7">
        <v>58584180</v>
      </c>
      <c r="I4969" s="7">
        <v>4694800</v>
      </c>
      <c r="J4969" s="7">
        <v>0</v>
      </c>
      <c r="K4969">
        <f t="shared" si="77"/>
        <v>62</v>
      </c>
      <c r="L4969" s="8" t="str" cm="1">
        <f t="array" ref="L4969">_xlfn.IFS(
 AND(K4969&gt;=89,K4969&lt;=92),"3개월",
 AND(K4969&gt;=58,K4969&lt;=62),"2개월",
 AND(K4969&gt;=28,K4969&lt;=32),"1개월",
 AND(K4969=0),"당월",
 TRUE,"그외"
)</f>
        <v>2개월</v>
      </c>
    </row>
    <row r="4970" spans="1:12" x14ac:dyDescent="0.3">
      <c r="A4970" s="5">
        <v>45689</v>
      </c>
      <c r="B4970" s="6" t="s">
        <v>50</v>
      </c>
      <c r="C4970" s="6" t="s">
        <v>51</v>
      </c>
      <c r="D4970" s="5">
        <v>45627</v>
      </c>
      <c r="E4970" s="6" t="s">
        <v>15</v>
      </c>
      <c r="F4970" s="7">
        <v>1665</v>
      </c>
      <c r="G4970" s="7">
        <v>210327.0114114114</v>
      </c>
      <c r="H4970" s="7">
        <v>350194474</v>
      </c>
      <c r="I4970" s="7">
        <v>41721603</v>
      </c>
      <c r="J4970" s="7">
        <v>0</v>
      </c>
      <c r="K4970">
        <f t="shared" si="77"/>
        <v>62</v>
      </c>
      <c r="L4970" s="8" t="str" cm="1">
        <f t="array" ref="L4970">_xlfn.IFS(
 AND(K4970&gt;=89,K4970&lt;=92),"3개월",
 AND(K4970&gt;=58,K4970&lt;=62),"2개월",
 AND(K4970&gt;=28,K4970&lt;=32),"1개월",
 AND(K4970=0),"당월",
 TRUE,"그외"
)</f>
        <v>2개월</v>
      </c>
    </row>
    <row r="4971" spans="1:12" x14ac:dyDescent="0.3">
      <c r="A4971" s="5">
        <v>45689</v>
      </c>
      <c r="B4971" s="6" t="s">
        <v>50</v>
      </c>
      <c r="C4971" s="6" t="s">
        <v>51</v>
      </c>
      <c r="D4971" s="5">
        <v>45658</v>
      </c>
      <c r="E4971" s="6" t="s">
        <v>14</v>
      </c>
      <c r="F4971" s="7">
        <v>296</v>
      </c>
      <c r="G4971" s="7">
        <v>199666.16216216219</v>
      </c>
      <c r="H4971" s="7">
        <v>59101184</v>
      </c>
      <c r="I4971" s="7">
        <v>6605184</v>
      </c>
      <c r="J4971" s="7">
        <v>0</v>
      </c>
      <c r="K4971">
        <f t="shared" si="77"/>
        <v>31</v>
      </c>
      <c r="L4971" s="8" t="str" cm="1">
        <f t="array" ref="L4971">_xlfn.IFS(
 AND(K4971&gt;=89,K4971&lt;=92),"3개월",
 AND(K4971&gt;=58,K4971&lt;=62),"2개월",
 AND(K4971&gt;=28,K4971&lt;=32),"1개월",
 AND(K4971=0),"당월",
 TRUE,"그외"
)</f>
        <v>1개월</v>
      </c>
    </row>
    <row r="4972" spans="1:12" x14ac:dyDescent="0.3">
      <c r="A4972" s="5">
        <v>45689</v>
      </c>
      <c r="B4972" s="6" t="s">
        <v>50</v>
      </c>
      <c r="C4972" s="6" t="s">
        <v>51</v>
      </c>
      <c r="D4972" s="5">
        <v>45658</v>
      </c>
      <c r="E4972" s="6" t="s">
        <v>15</v>
      </c>
      <c r="F4972" s="7">
        <v>1886</v>
      </c>
      <c r="G4972" s="7">
        <v>236258.9883351007</v>
      </c>
      <c r="H4972" s="7">
        <v>445584452</v>
      </c>
      <c r="I4972" s="7">
        <v>52162978</v>
      </c>
      <c r="J4972" s="7">
        <v>0</v>
      </c>
      <c r="K4972">
        <f t="shared" si="77"/>
        <v>31</v>
      </c>
      <c r="L4972" s="8" t="str" cm="1">
        <f t="array" ref="L4972">_xlfn.IFS(
 AND(K4972&gt;=89,K4972&lt;=92),"3개월",
 AND(K4972&gt;=58,K4972&lt;=62),"2개월",
 AND(K4972&gt;=28,K4972&lt;=32),"1개월",
 AND(K4972=0),"당월",
 TRUE,"그외"
)</f>
        <v>1개월</v>
      </c>
    </row>
    <row r="4973" spans="1:12" x14ac:dyDescent="0.3">
      <c r="A4973" s="5">
        <v>45689</v>
      </c>
      <c r="B4973" s="6" t="s">
        <v>50</v>
      </c>
      <c r="C4973" s="6" t="s">
        <v>51</v>
      </c>
      <c r="D4973" s="5">
        <v>45689</v>
      </c>
      <c r="E4973" s="6" t="s">
        <v>14</v>
      </c>
      <c r="F4973" s="7">
        <v>183</v>
      </c>
      <c r="G4973" s="7">
        <v>248184.6994535519</v>
      </c>
      <c r="H4973" s="7">
        <v>45417800</v>
      </c>
      <c r="I4973" s="7">
        <v>3731800</v>
      </c>
      <c r="J4973" s="7">
        <v>0</v>
      </c>
      <c r="K4973">
        <f t="shared" si="77"/>
        <v>0</v>
      </c>
      <c r="L4973" s="8" t="str" cm="1">
        <f t="array" ref="L4973">_xlfn.IFS(
 AND(K4973&gt;=89,K4973&lt;=92),"3개월",
 AND(K4973&gt;=58,K4973&lt;=62),"2개월",
 AND(K4973&gt;=28,K4973&lt;=32),"1개월",
 AND(K4973=0),"당월",
 TRUE,"그외"
)</f>
        <v>당월</v>
      </c>
    </row>
    <row r="4974" spans="1:12" x14ac:dyDescent="0.3">
      <c r="A4974" s="5">
        <v>45689</v>
      </c>
      <c r="B4974" s="6" t="s">
        <v>50</v>
      </c>
      <c r="C4974" s="6" t="s">
        <v>51</v>
      </c>
      <c r="D4974" s="5">
        <v>45689</v>
      </c>
      <c r="E4974" s="6" t="s">
        <v>15</v>
      </c>
      <c r="F4974" s="7">
        <v>996</v>
      </c>
      <c r="G4974" s="7">
        <v>247280.6907630522</v>
      </c>
      <c r="H4974" s="7">
        <v>246291568</v>
      </c>
      <c r="I4974" s="7">
        <v>28075948</v>
      </c>
      <c r="J4974" s="7">
        <v>0</v>
      </c>
      <c r="K4974">
        <f t="shared" si="77"/>
        <v>0</v>
      </c>
      <c r="L4974" s="8" t="str" cm="1">
        <f t="array" ref="L4974">_xlfn.IFS(
 AND(K4974&gt;=89,K4974&lt;=92),"3개월",
 AND(K4974&gt;=58,K4974&lt;=62),"2개월",
 AND(K4974&gt;=28,K4974&lt;=32),"1개월",
 AND(K4974=0),"당월",
 TRUE,"그외"
)</f>
        <v>당월</v>
      </c>
    </row>
    <row r="4975" spans="1:12" x14ac:dyDescent="0.3">
      <c r="A4975" s="5">
        <v>45689</v>
      </c>
      <c r="B4975" s="6" t="s">
        <v>50</v>
      </c>
      <c r="C4975" s="6" t="s">
        <v>52</v>
      </c>
      <c r="D4975" s="5">
        <v>45505</v>
      </c>
      <c r="E4975" s="6" t="s">
        <v>15</v>
      </c>
      <c r="F4975" s="7">
        <v>542</v>
      </c>
      <c r="G4975" s="7">
        <v>117849.6660516605</v>
      </c>
      <c r="H4975" s="7">
        <v>63874519</v>
      </c>
      <c r="I4975" s="7">
        <v>14903607</v>
      </c>
      <c r="J4975" s="7">
        <v>0</v>
      </c>
      <c r="K4975">
        <f t="shared" si="77"/>
        <v>184</v>
      </c>
      <c r="L4975" s="8" t="str" cm="1">
        <f t="array" ref="L4975">_xlfn.IFS(
 AND(K4975&gt;=89,K4975&lt;=92),"3개월",
 AND(K4975&gt;=58,K4975&lt;=62),"2개월",
 AND(K4975&gt;=28,K4975&lt;=32),"1개월",
 AND(K4975=0),"당월",
 TRUE,"그외"
)</f>
        <v>그외</v>
      </c>
    </row>
    <row r="4976" spans="1:12" x14ac:dyDescent="0.3">
      <c r="A4976" s="5">
        <v>45689</v>
      </c>
      <c r="B4976" s="6" t="s">
        <v>50</v>
      </c>
      <c r="C4976" s="6" t="s">
        <v>52</v>
      </c>
      <c r="D4976" s="5">
        <v>45536</v>
      </c>
      <c r="E4976" s="6" t="s">
        <v>15</v>
      </c>
      <c r="F4976" s="7">
        <v>310</v>
      </c>
      <c r="G4976" s="7">
        <v>135714.77419354839</v>
      </c>
      <c r="H4976" s="7">
        <v>42071580</v>
      </c>
      <c r="I4976" s="7">
        <v>9009846</v>
      </c>
      <c r="J4976" s="7">
        <v>0</v>
      </c>
      <c r="K4976">
        <f t="shared" si="77"/>
        <v>153</v>
      </c>
      <c r="L4976" s="8" t="str" cm="1">
        <f t="array" ref="L4976">_xlfn.IFS(
 AND(K4976&gt;=89,K4976&lt;=92),"3개월",
 AND(K4976&gt;=58,K4976&lt;=62),"2개월",
 AND(K4976&gt;=28,K4976&lt;=32),"1개월",
 AND(K4976=0),"당월",
 TRUE,"그외"
)</f>
        <v>그외</v>
      </c>
    </row>
    <row r="4977" spans="1:12" x14ac:dyDescent="0.3">
      <c r="A4977" s="5">
        <v>45689</v>
      </c>
      <c r="B4977" s="6" t="s">
        <v>50</v>
      </c>
      <c r="C4977" s="6" t="s">
        <v>52</v>
      </c>
      <c r="D4977" s="5">
        <v>45566</v>
      </c>
      <c r="E4977" s="6" t="s">
        <v>15</v>
      </c>
      <c r="F4977" s="7">
        <v>481</v>
      </c>
      <c r="G4977" s="7">
        <v>131987.49064449061</v>
      </c>
      <c r="H4977" s="7">
        <v>63485983</v>
      </c>
      <c r="I4977" s="7">
        <v>11735380</v>
      </c>
      <c r="J4977" s="7">
        <v>0</v>
      </c>
      <c r="K4977">
        <f t="shared" si="77"/>
        <v>123</v>
      </c>
      <c r="L4977" s="8" t="str" cm="1">
        <f t="array" ref="L4977">_xlfn.IFS(
 AND(K4977&gt;=89,K4977&lt;=92),"3개월",
 AND(K4977&gt;=58,K4977&lt;=62),"2개월",
 AND(K4977&gt;=28,K4977&lt;=32),"1개월",
 AND(K4977=0),"당월",
 TRUE,"그외"
)</f>
        <v>그외</v>
      </c>
    </row>
    <row r="4978" spans="1:12" x14ac:dyDescent="0.3">
      <c r="A4978" s="5">
        <v>45689</v>
      </c>
      <c r="B4978" s="6" t="s">
        <v>50</v>
      </c>
      <c r="C4978" s="6" t="s">
        <v>52</v>
      </c>
      <c r="D4978" s="5">
        <v>45597</v>
      </c>
      <c r="E4978" s="6" t="s">
        <v>14</v>
      </c>
      <c r="F4978" s="7">
        <v>83</v>
      </c>
      <c r="G4978" s="7">
        <v>198469.8795180723</v>
      </c>
      <c r="H4978" s="7">
        <v>16473000</v>
      </c>
      <c r="I4978" s="7">
        <v>1328000</v>
      </c>
      <c r="J4978" s="7">
        <v>0</v>
      </c>
      <c r="K4978">
        <f t="shared" si="77"/>
        <v>92</v>
      </c>
      <c r="L4978" s="8" t="str" cm="1">
        <f t="array" ref="L4978">_xlfn.IFS(
 AND(K4978&gt;=89,K4978&lt;=92),"3개월",
 AND(K4978&gt;=58,K4978&lt;=62),"2개월",
 AND(K4978&gt;=28,K4978&lt;=32),"1개월",
 AND(K4978=0),"당월",
 TRUE,"그외"
)</f>
        <v>3개월</v>
      </c>
    </row>
    <row r="4979" spans="1:12" x14ac:dyDescent="0.3">
      <c r="A4979" s="5">
        <v>45689</v>
      </c>
      <c r="B4979" s="6" t="s">
        <v>50</v>
      </c>
      <c r="C4979" s="6" t="s">
        <v>52</v>
      </c>
      <c r="D4979" s="5">
        <v>45597</v>
      </c>
      <c r="E4979" s="6" t="s">
        <v>15</v>
      </c>
      <c r="F4979" s="7">
        <v>440</v>
      </c>
      <c r="G4979" s="7">
        <v>152138.92045454541</v>
      </c>
      <c r="H4979" s="7">
        <v>66941125</v>
      </c>
      <c r="I4979" s="7">
        <v>11295639</v>
      </c>
      <c r="J4979" s="7">
        <v>0</v>
      </c>
      <c r="K4979">
        <f t="shared" si="77"/>
        <v>92</v>
      </c>
      <c r="L4979" s="8" t="str" cm="1">
        <f t="array" ref="L4979">_xlfn.IFS(
 AND(K4979&gt;=89,K4979&lt;=92),"3개월",
 AND(K4979&gt;=58,K4979&lt;=62),"2개월",
 AND(K4979&gt;=28,K4979&lt;=32),"1개월",
 AND(K4979=0),"당월",
 TRUE,"그외"
)</f>
        <v>3개월</v>
      </c>
    </row>
    <row r="4980" spans="1:12" x14ac:dyDescent="0.3">
      <c r="A4980" s="5">
        <v>45689</v>
      </c>
      <c r="B4980" s="6" t="s">
        <v>50</v>
      </c>
      <c r="C4980" s="6" t="s">
        <v>52</v>
      </c>
      <c r="D4980" s="5">
        <v>45627</v>
      </c>
      <c r="E4980" s="6" t="s">
        <v>14</v>
      </c>
      <c r="F4980" s="7">
        <v>54</v>
      </c>
      <c r="G4980" s="7">
        <v>1205092.9629629629</v>
      </c>
      <c r="H4980" s="7">
        <v>65075020</v>
      </c>
      <c r="I4980" s="7">
        <v>1543210</v>
      </c>
      <c r="J4980" s="7">
        <v>0</v>
      </c>
      <c r="K4980">
        <f t="shared" si="77"/>
        <v>62</v>
      </c>
      <c r="L4980" s="8" t="str" cm="1">
        <f t="array" ref="L4980">_xlfn.IFS(
 AND(K4980&gt;=89,K4980&lt;=92),"3개월",
 AND(K4980&gt;=58,K4980&lt;=62),"2개월",
 AND(K4980&gt;=28,K4980&lt;=32),"1개월",
 AND(K4980=0),"당월",
 TRUE,"그외"
)</f>
        <v>2개월</v>
      </c>
    </row>
    <row r="4981" spans="1:12" x14ac:dyDescent="0.3">
      <c r="A4981" s="5">
        <v>45689</v>
      </c>
      <c r="B4981" s="6" t="s">
        <v>50</v>
      </c>
      <c r="C4981" s="6" t="s">
        <v>52</v>
      </c>
      <c r="D4981" s="5">
        <v>45627</v>
      </c>
      <c r="E4981" s="6" t="s">
        <v>15</v>
      </c>
      <c r="F4981" s="7">
        <v>570</v>
      </c>
      <c r="G4981" s="7">
        <v>178711.29824561399</v>
      </c>
      <c r="H4981" s="7">
        <v>101865440</v>
      </c>
      <c r="I4981" s="7">
        <v>16543951</v>
      </c>
      <c r="J4981" s="7">
        <v>0</v>
      </c>
      <c r="K4981">
        <f t="shared" si="77"/>
        <v>62</v>
      </c>
      <c r="L4981" s="8" t="str" cm="1">
        <f t="array" ref="L4981">_xlfn.IFS(
 AND(K4981&gt;=89,K4981&lt;=92),"3개월",
 AND(K4981&gt;=58,K4981&lt;=62),"2개월",
 AND(K4981&gt;=28,K4981&lt;=32),"1개월",
 AND(K4981=0),"당월",
 TRUE,"그외"
)</f>
        <v>2개월</v>
      </c>
    </row>
    <row r="4982" spans="1:12" x14ac:dyDescent="0.3">
      <c r="A4982" s="5">
        <v>45689</v>
      </c>
      <c r="B4982" s="6" t="s">
        <v>50</v>
      </c>
      <c r="C4982" s="6" t="s">
        <v>52</v>
      </c>
      <c r="D4982" s="5">
        <v>45658</v>
      </c>
      <c r="E4982" s="6" t="s">
        <v>14</v>
      </c>
      <c r="F4982" s="7">
        <v>473</v>
      </c>
      <c r="G4982" s="7">
        <v>113636.0063424947</v>
      </c>
      <c r="H4982" s="7">
        <v>53749831</v>
      </c>
      <c r="I4982" s="7">
        <v>14389831</v>
      </c>
      <c r="J4982" s="7">
        <v>0</v>
      </c>
      <c r="K4982">
        <f t="shared" si="77"/>
        <v>31</v>
      </c>
      <c r="L4982" s="8" t="str" cm="1">
        <f t="array" ref="L4982">_xlfn.IFS(
 AND(K4982&gt;=89,K4982&lt;=92),"3개월",
 AND(K4982&gt;=58,K4982&lt;=62),"2개월",
 AND(K4982&gt;=28,K4982&lt;=32),"1개월",
 AND(K4982=0),"당월",
 TRUE,"그외"
)</f>
        <v>1개월</v>
      </c>
    </row>
    <row r="4983" spans="1:12" x14ac:dyDescent="0.3">
      <c r="A4983" s="5">
        <v>45689</v>
      </c>
      <c r="B4983" s="6" t="s">
        <v>50</v>
      </c>
      <c r="C4983" s="6" t="s">
        <v>52</v>
      </c>
      <c r="D4983" s="5">
        <v>45658</v>
      </c>
      <c r="E4983" s="6" t="s">
        <v>15</v>
      </c>
      <c r="F4983" s="7">
        <v>3514</v>
      </c>
      <c r="G4983" s="7">
        <v>153105.44934547521</v>
      </c>
      <c r="H4983" s="7">
        <v>538012549</v>
      </c>
      <c r="I4983" s="7">
        <v>120036344</v>
      </c>
      <c r="J4983" s="7">
        <v>0</v>
      </c>
      <c r="K4983">
        <f t="shared" si="77"/>
        <v>31</v>
      </c>
      <c r="L4983" s="8" t="str" cm="1">
        <f t="array" ref="L4983">_xlfn.IFS(
 AND(K4983&gt;=89,K4983&lt;=92),"3개월",
 AND(K4983&gt;=58,K4983&lt;=62),"2개월",
 AND(K4983&gt;=28,K4983&lt;=32),"1개월",
 AND(K4983=0),"당월",
 TRUE,"그외"
)</f>
        <v>1개월</v>
      </c>
    </row>
    <row r="4984" spans="1:12" x14ac:dyDescent="0.3">
      <c r="A4984" s="5">
        <v>45689</v>
      </c>
      <c r="B4984" s="6" t="s">
        <v>50</v>
      </c>
      <c r="C4984" s="6" t="s">
        <v>52</v>
      </c>
      <c r="D4984" s="5">
        <v>45689</v>
      </c>
      <c r="E4984" s="6" t="s">
        <v>14</v>
      </c>
      <c r="F4984" s="7">
        <v>700</v>
      </c>
      <c r="G4984" s="7">
        <v>155422.28571428571</v>
      </c>
      <c r="H4984" s="7">
        <v>108795600</v>
      </c>
      <c r="I4984" s="7">
        <v>14275600</v>
      </c>
      <c r="J4984" s="7">
        <v>0</v>
      </c>
      <c r="K4984">
        <f t="shared" si="77"/>
        <v>0</v>
      </c>
      <c r="L4984" s="8" t="str" cm="1">
        <f t="array" ref="L4984">_xlfn.IFS(
 AND(K4984&gt;=89,K4984&lt;=92),"3개월",
 AND(K4984&gt;=58,K4984&lt;=62),"2개월",
 AND(K4984&gt;=28,K4984&lt;=32),"1개월",
 AND(K4984=0),"당월",
 TRUE,"그외"
)</f>
        <v>당월</v>
      </c>
    </row>
    <row r="4985" spans="1:12" x14ac:dyDescent="0.3">
      <c r="A4985" s="5">
        <v>45689</v>
      </c>
      <c r="B4985" s="6" t="s">
        <v>50</v>
      </c>
      <c r="C4985" s="6" t="s">
        <v>52</v>
      </c>
      <c r="D4985" s="5">
        <v>45689</v>
      </c>
      <c r="E4985" s="6" t="s">
        <v>15</v>
      </c>
      <c r="F4985" s="7">
        <v>1899</v>
      </c>
      <c r="G4985" s="7">
        <v>134718.00526592939</v>
      </c>
      <c r="H4985" s="7">
        <v>255829492</v>
      </c>
      <c r="I4985" s="7">
        <v>59506127</v>
      </c>
      <c r="J4985" s="7">
        <v>0</v>
      </c>
      <c r="K4985">
        <f t="shared" si="77"/>
        <v>0</v>
      </c>
      <c r="L4985" s="8" t="str" cm="1">
        <f t="array" ref="L4985">_xlfn.IFS(
 AND(K4985&gt;=89,K4985&lt;=92),"3개월",
 AND(K4985&gt;=58,K4985&lt;=62),"2개월",
 AND(K4985&gt;=28,K4985&lt;=32),"1개월",
 AND(K4985=0),"당월",
 TRUE,"그외"
)</f>
        <v>당월</v>
      </c>
    </row>
    <row r="4986" spans="1:12" x14ac:dyDescent="0.3">
      <c r="A4986" s="5">
        <v>45689</v>
      </c>
      <c r="B4986" s="6" t="s">
        <v>50</v>
      </c>
      <c r="C4986" s="6" t="s">
        <v>53</v>
      </c>
      <c r="D4986" s="5">
        <v>45536</v>
      </c>
      <c r="E4986" s="6" t="s">
        <v>15</v>
      </c>
      <c r="F4986" s="7">
        <v>326</v>
      </c>
      <c r="G4986" s="7">
        <v>166069.08588957059</v>
      </c>
      <c r="H4986" s="7">
        <v>54138522</v>
      </c>
      <c r="I4986" s="7">
        <v>9915474</v>
      </c>
      <c r="J4986" s="7">
        <v>0</v>
      </c>
      <c r="K4986">
        <f t="shared" si="77"/>
        <v>153</v>
      </c>
      <c r="L4986" s="8" t="str" cm="1">
        <f t="array" ref="L4986">_xlfn.IFS(
 AND(K4986&gt;=89,K4986&lt;=92),"3개월",
 AND(K4986&gt;=58,K4986&lt;=62),"2개월",
 AND(K4986&gt;=28,K4986&lt;=32),"1개월",
 AND(K4986=0),"당월",
 TRUE,"그외"
)</f>
        <v>그외</v>
      </c>
    </row>
    <row r="4987" spans="1:12" x14ac:dyDescent="0.3">
      <c r="A4987" s="5">
        <v>45689</v>
      </c>
      <c r="B4987" s="6" t="s">
        <v>50</v>
      </c>
      <c r="C4987" s="6" t="s">
        <v>53</v>
      </c>
      <c r="D4987" s="5">
        <v>45566</v>
      </c>
      <c r="E4987" s="6" t="s">
        <v>14</v>
      </c>
      <c r="F4987" s="7">
        <v>8</v>
      </c>
      <c r="G4987" s="7">
        <v>266000</v>
      </c>
      <c r="H4987" s="7">
        <v>2128000</v>
      </c>
      <c r="I4987" s="7">
        <v>128000</v>
      </c>
      <c r="J4987" s="7">
        <v>0</v>
      </c>
      <c r="K4987">
        <f t="shared" si="77"/>
        <v>123</v>
      </c>
      <c r="L4987" s="8" t="str" cm="1">
        <f t="array" ref="L4987">_xlfn.IFS(
 AND(K4987&gt;=89,K4987&lt;=92),"3개월",
 AND(K4987&gt;=58,K4987&lt;=62),"2개월",
 AND(K4987&gt;=28,K4987&lt;=32),"1개월",
 AND(K4987=0),"당월",
 TRUE,"그외"
)</f>
        <v>그외</v>
      </c>
    </row>
    <row r="4988" spans="1:12" x14ac:dyDescent="0.3">
      <c r="A4988" s="5">
        <v>45689</v>
      </c>
      <c r="B4988" s="6" t="s">
        <v>50</v>
      </c>
      <c r="C4988" s="6" t="s">
        <v>53</v>
      </c>
      <c r="D4988" s="5">
        <v>45566</v>
      </c>
      <c r="E4988" s="6" t="s">
        <v>15</v>
      </c>
      <c r="F4988" s="7">
        <v>464</v>
      </c>
      <c r="G4988" s="7">
        <v>170275.44396551719</v>
      </c>
      <c r="H4988" s="7">
        <v>79007806</v>
      </c>
      <c r="I4988" s="7">
        <v>10889669</v>
      </c>
      <c r="J4988" s="7">
        <v>0</v>
      </c>
      <c r="K4988">
        <f t="shared" si="77"/>
        <v>123</v>
      </c>
      <c r="L4988" s="8" t="str" cm="1">
        <f t="array" ref="L4988">_xlfn.IFS(
 AND(K4988&gt;=89,K4988&lt;=92),"3개월",
 AND(K4988&gt;=58,K4988&lt;=62),"2개월",
 AND(K4988&gt;=28,K4988&lt;=32),"1개월",
 AND(K4988=0),"당월",
 TRUE,"그외"
)</f>
        <v>그외</v>
      </c>
    </row>
    <row r="4989" spans="1:12" x14ac:dyDescent="0.3">
      <c r="A4989" s="5">
        <v>45689</v>
      </c>
      <c r="B4989" s="6" t="s">
        <v>50</v>
      </c>
      <c r="C4989" s="6" t="s">
        <v>53</v>
      </c>
      <c r="D4989" s="5">
        <v>45597</v>
      </c>
      <c r="E4989" s="6" t="s">
        <v>15</v>
      </c>
      <c r="F4989" s="7">
        <v>783</v>
      </c>
      <c r="G4989" s="7">
        <v>177317.76372924651</v>
      </c>
      <c r="H4989" s="7">
        <v>138839809</v>
      </c>
      <c r="I4989" s="7">
        <v>20305362</v>
      </c>
      <c r="J4989" s="7">
        <v>0</v>
      </c>
      <c r="K4989">
        <f t="shared" si="77"/>
        <v>92</v>
      </c>
      <c r="L4989" s="8" t="str" cm="1">
        <f t="array" ref="L4989">_xlfn.IFS(
 AND(K4989&gt;=89,K4989&lt;=92),"3개월",
 AND(K4989&gt;=58,K4989&lt;=62),"2개월",
 AND(K4989&gt;=28,K4989&lt;=32),"1개월",
 AND(K4989=0),"당월",
 TRUE,"그외"
)</f>
        <v>3개월</v>
      </c>
    </row>
    <row r="4990" spans="1:12" x14ac:dyDescent="0.3">
      <c r="A4990" s="5">
        <v>45689</v>
      </c>
      <c r="B4990" s="6" t="s">
        <v>50</v>
      </c>
      <c r="C4990" s="6" t="s">
        <v>53</v>
      </c>
      <c r="D4990" s="5">
        <v>45627</v>
      </c>
      <c r="E4990" s="6" t="s">
        <v>14</v>
      </c>
      <c r="F4990" s="7">
        <v>241</v>
      </c>
      <c r="G4990" s="7">
        <v>412051.24481327803</v>
      </c>
      <c r="H4990" s="7">
        <v>99304350</v>
      </c>
      <c r="I4990" s="7">
        <v>5189920</v>
      </c>
      <c r="J4990" s="7">
        <v>0</v>
      </c>
      <c r="K4990">
        <f t="shared" si="77"/>
        <v>62</v>
      </c>
      <c r="L4990" s="8" t="str" cm="1">
        <f t="array" ref="L4990">_xlfn.IFS(
 AND(K4990&gt;=89,K4990&lt;=92),"3개월",
 AND(K4990&gt;=58,K4990&lt;=62),"2개월",
 AND(K4990&gt;=28,K4990&lt;=32),"1개월",
 AND(K4990=0),"당월",
 TRUE,"그외"
)</f>
        <v>2개월</v>
      </c>
    </row>
    <row r="4991" spans="1:12" x14ac:dyDescent="0.3">
      <c r="A4991" s="5">
        <v>45689</v>
      </c>
      <c r="B4991" s="6" t="s">
        <v>50</v>
      </c>
      <c r="C4991" s="6" t="s">
        <v>53</v>
      </c>
      <c r="D4991" s="5">
        <v>45627</v>
      </c>
      <c r="E4991" s="6" t="s">
        <v>15</v>
      </c>
      <c r="F4991" s="7">
        <v>778</v>
      </c>
      <c r="G4991" s="7">
        <v>201297.2107969152</v>
      </c>
      <c r="H4991" s="7">
        <v>156609230</v>
      </c>
      <c r="I4991" s="7">
        <v>21060017</v>
      </c>
      <c r="J4991" s="7">
        <v>0</v>
      </c>
      <c r="K4991">
        <f t="shared" si="77"/>
        <v>62</v>
      </c>
      <c r="L4991" s="8" t="str" cm="1">
        <f t="array" ref="L4991">_xlfn.IFS(
 AND(K4991&gt;=89,K4991&lt;=92),"3개월",
 AND(K4991&gt;=58,K4991&lt;=62),"2개월",
 AND(K4991&gt;=28,K4991&lt;=32),"1개월",
 AND(K4991=0),"당월",
 TRUE,"그외"
)</f>
        <v>2개월</v>
      </c>
    </row>
    <row r="4992" spans="1:12" x14ac:dyDescent="0.3">
      <c r="A4992" s="5">
        <v>45689</v>
      </c>
      <c r="B4992" s="6" t="s">
        <v>50</v>
      </c>
      <c r="C4992" s="6" t="s">
        <v>53</v>
      </c>
      <c r="D4992" s="5">
        <v>45658</v>
      </c>
      <c r="E4992" s="6" t="s">
        <v>14</v>
      </c>
      <c r="F4992" s="7">
        <v>598</v>
      </c>
      <c r="G4992" s="7">
        <v>123855.4046822743</v>
      </c>
      <c r="H4992" s="7">
        <v>74065532</v>
      </c>
      <c r="I4992" s="7">
        <v>17212532</v>
      </c>
      <c r="J4992" s="7">
        <v>0</v>
      </c>
      <c r="K4992">
        <f t="shared" si="77"/>
        <v>31</v>
      </c>
      <c r="L4992" s="8" t="str" cm="1">
        <f t="array" ref="L4992">_xlfn.IFS(
 AND(K4992&gt;=89,K4992&lt;=92),"3개월",
 AND(K4992&gt;=58,K4992&lt;=62),"2개월",
 AND(K4992&gt;=28,K4992&lt;=32),"1개월",
 AND(K4992=0),"당월",
 TRUE,"그외"
)</f>
        <v>1개월</v>
      </c>
    </row>
    <row r="4993" spans="1:12" x14ac:dyDescent="0.3">
      <c r="A4993" s="5">
        <v>45689</v>
      </c>
      <c r="B4993" s="6" t="s">
        <v>50</v>
      </c>
      <c r="C4993" s="6" t="s">
        <v>53</v>
      </c>
      <c r="D4993" s="5">
        <v>45658</v>
      </c>
      <c r="E4993" s="6" t="s">
        <v>15</v>
      </c>
      <c r="F4993" s="7">
        <v>3650</v>
      </c>
      <c r="G4993" s="7">
        <v>156193.8780821918</v>
      </c>
      <c r="H4993" s="7">
        <v>570107655</v>
      </c>
      <c r="I4993" s="7">
        <v>129101557</v>
      </c>
      <c r="J4993" s="7">
        <v>0</v>
      </c>
      <c r="K4993">
        <f t="shared" si="77"/>
        <v>31</v>
      </c>
      <c r="L4993" s="8" t="str" cm="1">
        <f t="array" ref="L4993">_xlfn.IFS(
 AND(K4993&gt;=89,K4993&lt;=92),"3개월",
 AND(K4993&gt;=58,K4993&lt;=62),"2개월",
 AND(K4993&gt;=28,K4993&lt;=32),"1개월",
 AND(K4993=0),"당월",
 TRUE,"그외"
)</f>
        <v>1개월</v>
      </c>
    </row>
    <row r="4994" spans="1:12" x14ac:dyDescent="0.3">
      <c r="A4994" s="5">
        <v>45689</v>
      </c>
      <c r="B4994" s="6" t="s">
        <v>50</v>
      </c>
      <c r="C4994" s="6" t="s">
        <v>53</v>
      </c>
      <c r="D4994" s="5">
        <v>45689</v>
      </c>
      <c r="E4994" s="6" t="s">
        <v>14</v>
      </c>
      <c r="F4994" s="7">
        <v>375</v>
      </c>
      <c r="G4994" s="7">
        <v>179376</v>
      </c>
      <c r="H4994" s="7">
        <v>67266000</v>
      </c>
      <c r="I4994" s="7">
        <v>7648000</v>
      </c>
      <c r="J4994" s="7">
        <v>0</v>
      </c>
      <c r="K4994">
        <f t="shared" si="77"/>
        <v>0</v>
      </c>
      <c r="L4994" s="8" t="str" cm="1">
        <f t="array" ref="L4994">_xlfn.IFS(
 AND(K4994&gt;=89,K4994&lt;=92),"3개월",
 AND(K4994&gt;=58,K4994&lt;=62),"2개월",
 AND(K4994&gt;=28,K4994&lt;=32),"1개월",
 AND(K4994=0),"당월",
 TRUE,"그외"
)</f>
        <v>당월</v>
      </c>
    </row>
    <row r="4995" spans="1:12" x14ac:dyDescent="0.3">
      <c r="A4995" s="5">
        <v>45689</v>
      </c>
      <c r="B4995" s="6" t="s">
        <v>50</v>
      </c>
      <c r="C4995" s="6" t="s">
        <v>53</v>
      </c>
      <c r="D4995" s="5">
        <v>45689</v>
      </c>
      <c r="E4995" s="6" t="s">
        <v>15</v>
      </c>
      <c r="F4995" s="7">
        <v>2077</v>
      </c>
      <c r="G4995" s="7">
        <v>146668.7910447761</v>
      </c>
      <c r="H4995" s="7">
        <v>304631079</v>
      </c>
      <c r="I4995" s="7">
        <v>71156358</v>
      </c>
      <c r="J4995" s="7">
        <v>0</v>
      </c>
      <c r="K4995">
        <f t="shared" si="77"/>
        <v>0</v>
      </c>
      <c r="L4995" s="8" t="str" cm="1">
        <f t="array" ref="L4995">_xlfn.IFS(
 AND(K4995&gt;=89,K4995&lt;=92),"3개월",
 AND(K4995&gt;=58,K4995&lt;=62),"2개월",
 AND(K4995&gt;=28,K4995&lt;=32),"1개월",
 AND(K4995=0),"당월",
 TRUE,"그외"
)</f>
        <v>당월</v>
      </c>
    </row>
    <row r="4996" spans="1:12" x14ac:dyDescent="0.3">
      <c r="A4996" s="5">
        <v>45689</v>
      </c>
      <c r="B4996" s="6" t="s">
        <v>50</v>
      </c>
      <c r="C4996" s="6" t="s">
        <v>54</v>
      </c>
      <c r="D4996" s="5">
        <v>45505</v>
      </c>
      <c r="E4996" s="6" t="s">
        <v>15</v>
      </c>
      <c r="F4996" s="7">
        <v>238</v>
      </c>
      <c r="G4996" s="7">
        <v>162877.7773109244</v>
      </c>
      <c r="H4996" s="7">
        <v>38764911</v>
      </c>
      <c r="I4996" s="7">
        <v>7856061</v>
      </c>
      <c r="J4996" s="7">
        <v>0</v>
      </c>
      <c r="K4996">
        <f t="shared" si="77"/>
        <v>184</v>
      </c>
      <c r="L4996" s="8" t="str" cm="1">
        <f t="array" ref="L4996">_xlfn.IFS(
 AND(K4996&gt;=89,K4996&lt;=92),"3개월",
 AND(K4996&gt;=58,K4996&lt;=62),"2개월",
 AND(K4996&gt;=28,K4996&lt;=32),"1개월",
 AND(K4996=0),"당월",
 TRUE,"그외"
)</f>
        <v>그외</v>
      </c>
    </row>
    <row r="4997" spans="1:12" x14ac:dyDescent="0.3">
      <c r="A4997" s="5">
        <v>45689</v>
      </c>
      <c r="B4997" s="6" t="s">
        <v>50</v>
      </c>
      <c r="C4997" s="6" t="s">
        <v>54</v>
      </c>
      <c r="D4997" s="5">
        <v>45536</v>
      </c>
      <c r="E4997" s="6" t="s">
        <v>15</v>
      </c>
      <c r="F4997" s="7">
        <v>222</v>
      </c>
      <c r="G4997" s="7">
        <v>180738.70270270269</v>
      </c>
      <c r="H4997" s="7">
        <v>40123992</v>
      </c>
      <c r="I4997" s="7">
        <v>7123848</v>
      </c>
      <c r="J4997" s="7">
        <v>0</v>
      </c>
      <c r="K4997">
        <f t="shared" si="77"/>
        <v>153</v>
      </c>
      <c r="L4997" s="8" t="str" cm="1">
        <f t="array" ref="L4997">_xlfn.IFS(
 AND(K4997&gt;=89,K4997&lt;=92),"3개월",
 AND(K4997&gt;=58,K4997&lt;=62),"2개월",
 AND(K4997&gt;=28,K4997&lt;=32),"1개월",
 AND(K4997=0),"당월",
 TRUE,"그외"
)</f>
        <v>그외</v>
      </c>
    </row>
    <row r="4998" spans="1:12" x14ac:dyDescent="0.3">
      <c r="A4998" s="5">
        <v>45689</v>
      </c>
      <c r="B4998" s="6" t="s">
        <v>50</v>
      </c>
      <c r="C4998" s="6" t="s">
        <v>54</v>
      </c>
      <c r="D4998" s="5">
        <v>45566</v>
      </c>
      <c r="E4998" s="6" t="s">
        <v>15</v>
      </c>
      <c r="F4998" s="7">
        <v>155</v>
      </c>
      <c r="G4998" s="7">
        <v>162333.1225806452</v>
      </c>
      <c r="H4998" s="7">
        <v>25161634</v>
      </c>
      <c r="I4998" s="7">
        <v>4306160</v>
      </c>
      <c r="J4998" s="7">
        <v>0</v>
      </c>
      <c r="K4998">
        <f t="shared" si="77"/>
        <v>123</v>
      </c>
      <c r="L4998" s="8" t="str" cm="1">
        <f t="array" ref="L4998">_xlfn.IFS(
 AND(K4998&gt;=89,K4998&lt;=92),"3개월",
 AND(K4998&gt;=58,K4998&lt;=62),"2개월",
 AND(K4998&gt;=28,K4998&lt;=32),"1개월",
 AND(K4998=0),"당월",
 TRUE,"그외"
)</f>
        <v>그외</v>
      </c>
    </row>
    <row r="4999" spans="1:12" x14ac:dyDescent="0.3">
      <c r="A4999" s="5">
        <v>45689</v>
      </c>
      <c r="B4999" s="6" t="s">
        <v>50</v>
      </c>
      <c r="C4999" s="6" t="s">
        <v>54</v>
      </c>
      <c r="D4999" s="5">
        <v>45597</v>
      </c>
      <c r="E4999" s="6" t="s">
        <v>14</v>
      </c>
      <c r="F4999" s="7">
        <v>36</v>
      </c>
      <c r="G4999" s="7">
        <v>133000</v>
      </c>
      <c r="H4999" s="7">
        <v>4788000</v>
      </c>
      <c r="I4999" s="7">
        <v>576000</v>
      </c>
      <c r="J4999" s="7">
        <v>0</v>
      </c>
      <c r="K4999">
        <f t="shared" si="77"/>
        <v>92</v>
      </c>
      <c r="L4999" s="8" t="str" cm="1">
        <f t="array" ref="L4999">_xlfn.IFS(
 AND(K4999&gt;=89,K4999&lt;=92),"3개월",
 AND(K4999&gt;=58,K4999&lt;=62),"2개월",
 AND(K4999&gt;=28,K4999&lt;=32),"1개월",
 AND(K4999=0),"당월",
 TRUE,"그외"
)</f>
        <v>3개월</v>
      </c>
    </row>
    <row r="5000" spans="1:12" x14ac:dyDescent="0.3">
      <c r="A5000" s="5">
        <v>45689</v>
      </c>
      <c r="B5000" s="6" t="s">
        <v>50</v>
      </c>
      <c r="C5000" s="6" t="s">
        <v>54</v>
      </c>
      <c r="D5000" s="5">
        <v>45597</v>
      </c>
      <c r="E5000" s="6" t="s">
        <v>15</v>
      </c>
      <c r="F5000" s="7">
        <v>418</v>
      </c>
      <c r="G5000" s="7">
        <v>175526.10765550239</v>
      </c>
      <c r="H5000" s="7">
        <v>73369913</v>
      </c>
      <c r="I5000" s="7">
        <v>9723371</v>
      </c>
      <c r="J5000" s="7">
        <v>0</v>
      </c>
      <c r="K5000">
        <f t="shared" si="77"/>
        <v>92</v>
      </c>
      <c r="L5000" s="8" t="str" cm="1">
        <f t="array" ref="L5000">_xlfn.IFS(
 AND(K5000&gt;=89,K5000&lt;=92),"3개월",
 AND(K5000&gt;=58,K5000&lt;=62),"2개월",
 AND(K5000&gt;=28,K5000&lt;=32),"1개월",
 AND(K5000=0),"당월",
 TRUE,"그외"
)</f>
        <v>3개월</v>
      </c>
    </row>
    <row r="5001" spans="1:12" x14ac:dyDescent="0.3">
      <c r="A5001" s="5">
        <v>45689</v>
      </c>
      <c r="B5001" s="6" t="s">
        <v>50</v>
      </c>
      <c r="C5001" s="6" t="s">
        <v>54</v>
      </c>
      <c r="D5001" s="5">
        <v>45627</v>
      </c>
      <c r="E5001" s="6" t="s">
        <v>14</v>
      </c>
      <c r="F5001" s="7">
        <v>280</v>
      </c>
      <c r="G5001" s="7">
        <v>325086.19285714283</v>
      </c>
      <c r="H5001" s="7">
        <v>91024134</v>
      </c>
      <c r="I5001" s="7">
        <v>6854684</v>
      </c>
      <c r="J5001" s="7">
        <v>0</v>
      </c>
      <c r="K5001">
        <f t="shared" si="77"/>
        <v>62</v>
      </c>
      <c r="L5001" s="8" t="str" cm="1">
        <f t="array" ref="L5001">_xlfn.IFS(
 AND(K5001&gt;=89,K5001&lt;=92),"3개월",
 AND(K5001&gt;=58,K5001&lt;=62),"2개월",
 AND(K5001&gt;=28,K5001&lt;=32),"1개월",
 AND(K5001=0),"당월",
 TRUE,"그외"
)</f>
        <v>2개월</v>
      </c>
    </row>
    <row r="5002" spans="1:12" x14ac:dyDescent="0.3">
      <c r="A5002" s="5">
        <v>45689</v>
      </c>
      <c r="B5002" s="6" t="s">
        <v>50</v>
      </c>
      <c r="C5002" s="6" t="s">
        <v>54</v>
      </c>
      <c r="D5002" s="5">
        <v>45627</v>
      </c>
      <c r="E5002" s="6" t="s">
        <v>15</v>
      </c>
      <c r="F5002" s="7">
        <v>864</v>
      </c>
      <c r="G5002" s="7">
        <v>188583.7592592593</v>
      </c>
      <c r="H5002" s="7">
        <v>162936368</v>
      </c>
      <c r="I5002" s="7">
        <v>23785154</v>
      </c>
      <c r="J5002" s="7">
        <v>0</v>
      </c>
      <c r="K5002">
        <f t="shared" ref="K5002:K5065" si="78">A5002-D5002</f>
        <v>62</v>
      </c>
      <c r="L5002" s="8" t="str" cm="1">
        <f t="array" ref="L5002">_xlfn.IFS(
 AND(K5002&gt;=89,K5002&lt;=92),"3개월",
 AND(K5002&gt;=58,K5002&lt;=62),"2개월",
 AND(K5002&gt;=28,K5002&lt;=32),"1개월",
 AND(K5002=0),"당월",
 TRUE,"그외"
)</f>
        <v>2개월</v>
      </c>
    </row>
    <row r="5003" spans="1:12" x14ac:dyDescent="0.3">
      <c r="A5003" s="5">
        <v>45689</v>
      </c>
      <c r="B5003" s="6" t="s">
        <v>50</v>
      </c>
      <c r="C5003" s="6" t="s">
        <v>54</v>
      </c>
      <c r="D5003" s="5">
        <v>45658</v>
      </c>
      <c r="E5003" s="6" t="s">
        <v>14</v>
      </c>
      <c r="F5003" s="7">
        <v>868</v>
      </c>
      <c r="G5003" s="7">
        <v>131759.41244239631</v>
      </c>
      <c r="H5003" s="7">
        <v>114367170</v>
      </c>
      <c r="I5003" s="7">
        <v>21300170</v>
      </c>
      <c r="J5003" s="7">
        <v>0</v>
      </c>
      <c r="K5003">
        <f t="shared" si="78"/>
        <v>31</v>
      </c>
      <c r="L5003" s="8" t="str" cm="1">
        <f t="array" ref="L5003">_xlfn.IFS(
 AND(K5003&gt;=89,K5003&lt;=92),"3개월",
 AND(K5003&gt;=58,K5003&lt;=62),"2개월",
 AND(K5003&gt;=28,K5003&lt;=32),"1개월",
 AND(K5003=0),"당월",
 TRUE,"그외"
)</f>
        <v>1개월</v>
      </c>
    </row>
    <row r="5004" spans="1:12" x14ac:dyDescent="0.3">
      <c r="A5004" s="5">
        <v>45689</v>
      </c>
      <c r="B5004" s="6" t="s">
        <v>50</v>
      </c>
      <c r="C5004" s="6" t="s">
        <v>54</v>
      </c>
      <c r="D5004" s="5">
        <v>45658</v>
      </c>
      <c r="E5004" s="6" t="s">
        <v>15</v>
      </c>
      <c r="F5004" s="7">
        <v>3630</v>
      </c>
      <c r="G5004" s="7">
        <v>169421.78071625339</v>
      </c>
      <c r="H5004" s="7">
        <v>615001064</v>
      </c>
      <c r="I5004" s="7">
        <v>123804175</v>
      </c>
      <c r="J5004" s="7">
        <v>0</v>
      </c>
      <c r="K5004">
        <f t="shared" si="78"/>
        <v>31</v>
      </c>
      <c r="L5004" s="8" t="str" cm="1">
        <f t="array" ref="L5004">_xlfn.IFS(
 AND(K5004&gt;=89,K5004&lt;=92),"3개월",
 AND(K5004&gt;=58,K5004&lt;=62),"2개월",
 AND(K5004&gt;=28,K5004&lt;=32),"1개월",
 AND(K5004=0),"당월",
 TRUE,"그외"
)</f>
        <v>1개월</v>
      </c>
    </row>
    <row r="5005" spans="1:12" x14ac:dyDescent="0.3">
      <c r="A5005" s="5">
        <v>45689</v>
      </c>
      <c r="B5005" s="6" t="s">
        <v>50</v>
      </c>
      <c r="C5005" s="6" t="s">
        <v>54</v>
      </c>
      <c r="D5005" s="5">
        <v>45689</v>
      </c>
      <c r="E5005" s="6" t="s">
        <v>14</v>
      </c>
      <c r="F5005" s="7">
        <v>227</v>
      </c>
      <c r="G5005" s="7">
        <v>180327.7533039648</v>
      </c>
      <c r="H5005" s="7">
        <v>40934400</v>
      </c>
      <c r="I5005" s="7">
        <v>4629400</v>
      </c>
      <c r="J5005" s="7">
        <v>0</v>
      </c>
      <c r="K5005">
        <f t="shared" si="78"/>
        <v>0</v>
      </c>
      <c r="L5005" s="8" t="str" cm="1">
        <f t="array" ref="L5005">_xlfn.IFS(
 AND(K5005&gt;=89,K5005&lt;=92),"3개월",
 AND(K5005&gt;=58,K5005&lt;=62),"2개월",
 AND(K5005&gt;=28,K5005&lt;=32),"1개월",
 AND(K5005=0),"당월",
 TRUE,"그외"
)</f>
        <v>당월</v>
      </c>
    </row>
    <row r="5006" spans="1:12" x14ac:dyDescent="0.3">
      <c r="A5006" s="5">
        <v>45689</v>
      </c>
      <c r="B5006" s="6" t="s">
        <v>50</v>
      </c>
      <c r="C5006" s="6" t="s">
        <v>54</v>
      </c>
      <c r="D5006" s="5">
        <v>45689</v>
      </c>
      <c r="E5006" s="6" t="s">
        <v>15</v>
      </c>
      <c r="F5006" s="7">
        <v>2527</v>
      </c>
      <c r="G5006" s="7">
        <v>154349.43173723781</v>
      </c>
      <c r="H5006" s="7">
        <v>390041014</v>
      </c>
      <c r="I5006" s="7">
        <v>77164861</v>
      </c>
      <c r="J5006" s="7">
        <v>0</v>
      </c>
      <c r="K5006">
        <f t="shared" si="78"/>
        <v>0</v>
      </c>
      <c r="L5006" s="8" t="str" cm="1">
        <f t="array" ref="L5006">_xlfn.IFS(
 AND(K5006&gt;=89,K5006&lt;=92),"3개월",
 AND(K5006&gt;=58,K5006&lt;=62),"2개월",
 AND(K5006&gt;=28,K5006&lt;=32),"1개월",
 AND(K5006=0),"당월",
 TRUE,"그외"
)</f>
        <v>당월</v>
      </c>
    </row>
    <row r="5007" spans="1:12" x14ac:dyDescent="0.3">
      <c r="A5007" s="5">
        <v>45689</v>
      </c>
      <c r="B5007" s="6" t="s">
        <v>50</v>
      </c>
      <c r="C5007" s="6" t="s">
        <v>56</v>
      </c>
      <c r="D5007" s="5">
        <v>45505</v>
      </c>
      <c r="E5007" s="6" t="s">
        <v>15</v>
      </c>
      <c r="F5007" s="7">
        <v>617</v>
      </c>
      <c r="G5007" s="7">
        <v>114668.7423014587</v>
      </c>
      <c r="H5007" s="7">
        <v>70750614</v>
      </c>
      <c r="I5007" s="7">
        <v>18723810</v>
      </c>
      <c r="J5007" s="7">
        <v>0</v>
      </c>
      <c r="K5007">
        <f t="shared" si="78"/>
        <v>184</v>
      </c>
      <c r="L5007" s="8" t="str" cm="1">
        <f t="array" ref="L5007">_xlfn.IFS(
 AND(K5007&gt;=89,K5007&lt;=92),"3개월",
 AND(K5007&gt;=58,K5007&lt;=62),"2개월",
 AND(K5007&gt;=28,K5007&lt;=32),"1개월",
 AND(K5007=0),"당월",
 TRUE,"그외"
)</f>
        <v>그외</v>
      </c>
    </row>
    <row r="5008" spans="1:12" x14ac:dyDescent="0.3">
      <c r="A5008" s="5">
        <v>45689</v>
      </c>
      <c r="B5008" s="6" t="s">
        <v>50</v>
      </c>
      <c r="C5008" s="6" t="s">
        <v>56</v>
      </c>
      <c r="D5008" s="5">
        <v>45536</v>
      </c>
      <c r="E5008" s="6" t="s">
        <v>15</v>
      </c>
      <c r="F5008" s="7">
        <v>416</v>
      </c>
      <c r="G5008" s="7">
        <v>142266.0865384615</v>
      </c>
      <c r="H5008" s="7">
        <v>59182692</v>
      </c>
      <c r="I5008" s="7">
        <v>12567979</v>
      </c>
      <c r="J5008" s="7">
        <v>0</v>
      </c>
      <c r="K5008">
        <f t="shared" si="78"/>
        <v>153</v>
      </c>
      <c r="L5008" s="8" t="str" cm="1">
        <f t="array" ref="L5008">_xlfn.IFS(
 AND(K5008&gt;=89,K5008&lt;=92),"3개월",
 AND(K5008&gt;=58,K5008&lt;=62),"2개월",
 AND(K5008&gt;=28,K5008&lt;=32),"1개월",
 AND(K5008=0),"당월",
 TRUE,"그외"
)</f>
        <v>그외</v>
      </c>
    </row>
    <row r="5009" spans="1:12" x14ac:dyDescent="0.3">
      <c r="A5009" s="5">
        <v>45689</v>
      </c>
      <c r="B5009" s="6" t="s">
        <v>50</v>
      </c>
      <c r="C5009" s="6" t="s">
        <v>56</v>
      </c>
      <c r="D5009" s="5">
        <v>45566</v>
      </c>
      <c r="E5009" s="6" t="s">
        <v>15</v>
      </c>
      <c r="F5009" s="7">
        <v>315</v>
      </c>
      <c r="G5009" s="7">
        <v>166781.03492063491</v>
      </c>
      <c r="H5009" s="7">
        <v>52536026</v>
      </c>
      <c r="I5009" s="7">
        <v>7058685</v>
      </c>
      <c r="J5009" s="7">
        <v>0</v>
      </c>
      <c r="K5009">
        <f t="shared" si="78"/>
        <v>123</v>
      </c>
      <c r="L5009" s="8" t="str" cm="1">
        <f t="array" ref="L5009">_xlfn.IFS(
 AND(K5009&gt;=89,K5009&lt;=92),"3개월",
 AND(K5009&gt;=58,K5009&lt;=62),"2개월",
 AND(K5009&gt;=28,K5009&lt;=32),"1개월",
 AND(K5009=0),"당월",
 TRUE,"그외"
)</f>
        <v>그외</v>
      </c>
    </row>
    <row r="5010" spans="1:12" x14ac:dyDescent="0.3">
      <c r="A5010" s="5">
        <v>45689</v>
      </c>
      <c r="B5010" s="6" t="s">
        <v>50</v>
      </c>
      <c r="C5010" s="6" t="s">
        <v>56</v>
      </c>
      <c r="D5010" s="5">
        <v>45597</v>
      </c>
      <c r="E5010" s="6" t="s">
        <v>14</v>
      </c>
      <c r="F5010" s="7">
        <v>59</v>
      </c>
      <c r="G5010" s="7">
        <v>216000</v>
      </c>
      <c r="H5010" s="7">
        <v>12744000</v>
      </c>
      <c r="I5010" s="7">
        <v>944000</v>
      </c>
      <c r="J5010" s="7">
        <v>0</v>
      </c>
      <c r="K5010">
        <f t="shared" si="78"/>
        <v>92</v>
      </c>
      <c r="L5010" s="8" t="str" cm="1">
        <f t="array" ref="L5010">_xlfn.IFS(
 AND(K5010&gt;=89,K5010&lt;=92),"3개월",
 AND(K5010&gt;=58,K5010&lt;=62),"2개월",
 AND(K5010&gt;=28,K5010&lt;=32),"1개월",
 AND(K5010=0),"당월",
 TRUE,"그외"
)</f>
        <v>3개월</v>
      </c>
    </row>
    <row r="5011" spans="1:12" x14ac:dyDescent="0.3">
      <c r="A5011" s="5">
        <v>45689</v>
      </c>
      <c r="B5011" s="6" t="s">
        <v>50</v>
      </c>
      <c r="C5011" s="6" t="s">
        <v>56</v>
      </c>
      <c r="D5011" s="5">
        <v>45597</v>
      </c>
      <c r="E5011" s="6" t="s">
        <v>15</v>
      </c>
      <c r="F5011" s="7">
        <v>436</v>
      </c>
      <c r="G5011" s="7">
        <v>180290.88990825691</v>
      </c>
      <c r="H5011" s="7">
        <v>78606828</v>
      </c>
      <c r="I5011" s="7">
        <v>9534369</v>
      </c>
      <c r="J5011" s="7">
        <v>0</v>
      </c>
      <c r="K5011">
        <f t="shared" si="78"/>
        <v>92</v>
      </c>
      <c r="L5011" s="8" t="str" cm="1">
        <f t="array" ref="L5011">_xlfn.IFS(
 AND(K5011&gt;=89,K5011&lt;=92),"3개월",
 AND(K5011&gt;=58,K5011&lt;=62),"2개월",
 AND(K5011&gt;=28,K5011&lt;=32),"1개월",
 AND(K5011=0),"당월",
 TRUE,"그외"
)</f>
        <v>3개월</v>
      </c>
    </row>
    <row r="5012" spans="1:12" x14ac:dyDescent="0.3">
      <c r="A5012" s="5">
        <v>45689</v>
      </c>
      <c r="B5012" s="6" t="s">
        <v>50</v>
      </c>
      <c r="C5012" s="6" t="s">
        <v>56</v>
      </c>
      <c r="D5012" s="5">
        <v>45627</v>
      </c>
      <c r="E5012" s="6" t="s">
        <v>14</v>
      </c>
      <c r="F5012" s="7">
        <v>61</v>
      </c>
      <c r="G5012" s="7">
        <v>743167.86885245901</v>
      </c>
      <c r="H5012" s="7">
        <v>45333240</v>
      </c>
      <c r="I5012" s="7">
        <v>1067000</v>
      </c>
      <c r="J5012" s="7">
        <v>0</v>
      </c>
      <c r="K5012">
        <f t="shared" si="78"/>
        <v>62</v>
      </c>
      <c r="L5012" s="8" t="str" cm="1">
        <f t="array" ref="L5012">_xlfn.IFS(
 AND(K5012&gt;=89,K5012&lt;=92),"3개월",
 AND(K5012&gt;=58,K5012&lt;=62),"2개월",
 AND(K5012&gt;=28,K5012&lt;=32),"1개월",
 AND(K5012=0),"당월",
 TRUE,"그외"
)</f>
        <v>2개월</v>
      </c>
    </row>
    <row r="5013" spans="1:12" x14ac:dyDescent="0.3">
      <c r="A5013" s="5">
        <v>45689</v>
      </c>
      <c r="B5013" s="6" t="s">
        <v>50</v>
      </c>
      <c r="C5013" s="6" t="s">
        <v>56</v>
      </c>
      <c r="D5013" s="5">
        <v>45627</v>
      </c>
      <c r="E5013" s="6" t="s">
        <v>15</v>
      </c>
      <c r="F5013" s="7">
        <v>725</v>
      </c>
      <c r="G5013" s="7">
        <v>199521.6551724138</v>
      </c>
      <c r="H5013" s="7">
        <v>144653200</v>
      </c>
      <c r="I5013" s="7">
        <v>20865945</v>
      </c>
      <c r="J5013" s="7">
        <v>0</v>
      </c>
      <c r="K5013">
        <f t="shared" si="78"/>
        <v>62</v>
      </c>
      <c r="L5013" s="8" t="str" cm="1">
        <f t="array" ref="L5013">_xlfn.IFS(
 AND(K5013&gt;=89,K5013&lt;=92),"3개월",
 AND(K5013&gt;=58,K5013&lt;=62),"2개월",
 AND(K5013&gt;=28,K5013&lt;=32),"1개월",
 AND(K5013=0),"당월",
 TRUE,"그외"
)</f>
        <v>2개월</v>
      </c>
    </row>
    <row r="5014" spans="1:12" x14ac:dyDescent="0.3">
      <c r="A5014" s="5">
        <v>45689</v>
      </c>
      <c r="B5014" s="6" t="s">
        <v>50</v>
      </c>
      <c r="C5014" s="6" t="s">
        <v>56</v>
      </c>
      <c r="D5014" s="5">
        <v>45658</v>
      </c>
      <c r="E5014" s="6" t="s">
        <v>14</v>
      </c>
      <c r="F5014" s="7">
        <v>158</v>
      </c>
      <c r="G5014" s="7">
        <v>65511.392405063292</v>
      </c>
      <c r="H5014" s="7">
        <v>10350800</v>
      </c>
      <c r="I5014" s="7">
        <v>5790800</v>
      </c>
      <c r="J5014" s="7">
        <v>0</v>
      </c>
      <c r="K5014">
        <f t="shared" si="78"/>
        <v>31</v>
      </c>
      <c r="L5014" s="8" t="str" cm="1">
        <f t="array" ref="L5014">_xlfn.IFS(
 AND(K5014&gt;=89,K5014&lt;=92),"3개월",
 AND(K5014&gt;=58,K5014&lt;=62),"2개월",
 AND(K5014&gt;=28,K5014&lt;=32),"1개월",
 AND(K5014=0),"당월",
 TRUE,"그외"
)</f>
        <v>1개월</v>
      </c>
    </row>
    <row r="5015" spans="1:12" x14ac:dyDescent="0.3">
      <c r="A5015" s="5">
        <v>45689</v>
      </c>
      <c r="B5015" s="6" t="s">
        <v>50</v>
      </c>
      <c r="C5015" s="6" t="s">
        <v>56</v>
      </c>
      <c r="D5015" s="5">
        <v>45658</v>
      </c>
      <c r="E5015" s="6" t="s">
        <v>15</v>
      </c>
      <c r="F5015" s="7">
        <v>1817</v>
      </c>
      <c r="G5015" s="7">
        <v>183684.0319207485</v>
      </c>
      <c r="H5015" s="7">
        <v>333753886</v>
      </c>
      <c r="I5015" s="7">
        <v>55043463</v>
      </c>
      <c r="J5015" s="7">
        <v>0</v>
      </c>
      <c r="K5015">
        <f t="shared" si="78"/>
        <v>31</v>
      </c>
      <c r="L5015" s="8" t="str" cm="1">
        <f t="array" ref="L5015">_xlfn.IFS(
 AND(K5015&gt;=89,K5015&lt;=92),"3개월",
 AND(K5015&gt;=58,K5015&lt;=62),"2개월",
 AND(K5015&gt;=28,K5015&lt;=32),"1개월",
 AND(K5015=0),"당월",
 TRUE,"그외"
)</f>
        <v>1개월</v>
      </c>
    </row>
    <row r="5016" spans="1:12" x14ac:dyDescent="0.3">
      <c r="A5016" s="5">
        <v>45689</v>
      </c>
      <c r="B5016" s="6" t="s">
        <v>50</v>
      </c>
      <c r="C5016" s="6" t="s">
        <v>56</v>
      </c>
      <c r="D5016" s="5">
        <v>45689</v>
      </c>
      <c r="E5016" s="6" t="s">
        <v>14</v>
      </c>
      <c r="F5016" s="7">
        <v>84</v>
      </c>
      <c r="G5016" s="7">
        <v>226542.8571428571</v>
      </c>
      <c r="H5016" s="7">
        <v>19029600</v>
      </c>
      <c r="I5016" s="7">
        <v>1713600</v>
      </c>
      <c r="J5016" s="7">
        <v>0</v>
      </c>
      <c r="K5016">
        <f t="shared" si="78"/>
        <v>0</v>
      </c>
      <c r="L5016" s="8" t="str" cm="1">
        <f t="array" ref="L5016">_xlfn.IFS(
 AND(K5016&gt;=89,K5016&lt;=92),"3개월",
 AND(K5016&gt;=58,K5016&lt;=62),"2개월",
 AND(K5016&gt;=28,K5016&lt;=32),"1개월",
 AND(K5016=0),"당월",
 TRUE,"그외"
)</f>
        <v>당월</v>
      </c>
    </row>
    <row r="5017" spans="1:12" x14ac:dyDescent="0.3">
      <c r="A5017" s="5">
        <v>45689</v>
      </c>
      <c r="B5017" s="6" t="s">
        <v>50</v>
      </c>
      <c r="C5017" s="6" t="s">
        <v>56</v>
      </c>
      <c r="D5017" s="5">
        <v>45689</v>
      </c>
      <c r="E5017" s="6" t="s">
        <v>15</v>
      </c>
      <c r="F5017" s="7">
        <v>985</v>
      </c>
      <c r="G5017" s="7">
        <v>167730.5319796954</v>
      </c>
      <c r="H5017" s="7">
        <v>165214574</v>
      </c>
      <c r="I5017" s="7">
        <v>30442804</v>
      </c>
      <c r="J5017" s="7">
        <v>0</v>
      </c>
      <c r="K5017">
        <f t="shared" si="78"/>
        <v>0</v>
      </c>
      <c r="L5017" s="8" t="str" cm="1">
        <f t="array" ref="L5017">_xlfn.IFS(
 AND(K5017&gt;=89,K5017&lt;=92),"3개월",
 AND(K5017&gt;=58,K5017&lt;=62),"2개월",
 AND(K5017&gt;=28,K5017&lt;=32),"1개월",
 AND(K5017=0),"당월",
 TRUE,"그외"
)</f>
        <v>당월</v>
      </c>
    </row>
    <row r="5018" spans="1:12" x14ac:dyDescent="0.3">
      <c r="A5018" s="5">
        <v>45689</v>
      </c>
      <c r="B5018" s="6" t="s">
        <v>50</v>
      </c>
      <c r="C5018" s="6" t="s">
        <v>57</v>
      </c>
      <c r="D5018" s="5">
        <v>45505</v>
      </c>
      <c r="E5018" s="6" t="s">
        <v>15</v>
      </c>
      <c r="F5018" s="7">
        <v>530</v>
      </c>
      <c r="G5018" s="7">
        <v>124068.81320754719</v>
      </c>
      <c r="H5018" s="7">
        <v>65756471</v>
      </c>
      <c r="I5018" s="7">
        <v>15339880</v>
      </c>
      <c r="J5018" s="7">
        <v>0</v>
      </c>
      <c r="K5018">
        <f t="shared" si="78"/>
        <v>184</v>
      </c>
      <c r="L5018" s="8" t="str" cm="1">
        <f t="array" ref="L5018">_xlfn.IFS(
 AND(K5018&gt;=89,K5018&lt;=92),"3개월",
 AND(K5018&gt;=58,K5018&lt;=62),"2개월",
 AND(K5018&gt;=28,K5018&lt;=32),"1개월",
 AND(K5018=0),"당월",
 TRUE,"그외"
)</f>
        <v>그외</v>
      </c>
    </row>
    <row r="5019" spans="1:12" x14ac:dyDescent="0.3">
      <c r="A5019" s="5">
        <v>45689</v>
      </c>
      <c r="B5019" s="6" t="s">
        <v>50</v>
      </c>
      <c r="C5019" s="6" t="s">
        <v>57</v>
      </c>
      <c r="D5019" s="5">
        <v>45536</v>
      </c>
      <c r="E5019" s="6" t="s">
        <v>15</v>
      </c>
      <c r="F5019" s="7">
        <v>502</v>
      </c>
      <c r="G5019" s="7">
        <v>135616.40239043819</v>
      </c>
      <c r="H5019" s="7">
        <v>68079434</v>
      </c>
      <c r="I5019" s="7">
        <v>14218037</v>
      </c>
      <c r="J5019" s="7">
        <v>0</v>
      </c>
      <c r="K5019">
        <f t="shared" si="78"/>
        <v>153</v>
      </c>
      <c r="L5019" s="8" t="str" cm="1">
        <f t="array" ref="L5019">_xlfn.IFS(
 AND(K5019&gt;=89,K5019&lt;=92),"3개월",
 AND(K5019&gt;=58,K5019&lt;=62),"2개월",
 AND(K5019&gt;=28,K5019&lt;=32),"1개월",
 AND(K5019=0),"당월",
 TRUE,"그외"
)</f>
        <v>그외</v>
      </c>
    </row>
    <row r="5020" spans="1:12" x14ac:dyDescent="0.3">
      <c r="A5020" s="5">
        <v>45689</v>
      </c>
      <c r="B5020" s="6" t="s">
        <v>50</v>
      </c>
      <c r="C5020" s="6" t="s">
        <v>57</v>
      </c>
      <c r="D5020" s="5">
        <v>45566</v>
      </c>
      <c r="E5020" s="6" t="s">
        <v>15</v>
      </c>
      <c r="F5020" s="7">
        <v>645</v>
      </c>
      <c r="G5020" s="7">
        <v>161283.4201550388</v>
      </c>
      <c r="H5020" s="7">
        <v>104027806</v>
      </c>
      <c r="I5020" s="7">
        <v>13753939</v>
      </c>
      <c r="J5020" s="7">
        <v>0</v>
      </c>
      <c r="K5020">
        <f t="shared" si="78"/>
        <v>123</v>
      </c>
      <c r="L5020" s="8" t="str" cm="1">
        <f t="array" ref="L5020">_xlfn.IFS(
 AND(K5020&gt;=89,K5020&lt;=92),"3개월",
 AND(K5020&gt;=58,K5020&lt;=62),"2개월",
 AND(K5020&gt;=28,K5020&lt;=32),"1개월",
 AND(K5020=0),"당월",
 TRUE,"그외"
)</f>
        <v>그외</v>
      </c>
    </row>
    <row r="5021" spans="1:12" x14ac:dyDescent="0.3">
      <c r="A5021" s="5">
        <v>45689</v>
      </c>
      <c r="B5021" s="6" t="s">
        <v>50</v>
      </c>
      <c r="C5021" s="6" t="s">
        <v>57</v>
      </c>
      <c r="D5021" s="5">
        <v>45597</v>
      </c>
      <c r="E5021" s="6" t="s">
        <v>14</v>
      </c>
      <c r="F5021" s="7">
        <v>168</v>
      </c>
      <c r="G5021" s="7">
        <v>178488.09523809521</v>
      </c>
      <c r="H5021" s="7">
        <v>29986000</v>
      </c>
      <c r="I5021" s="7">
        <v>2688000</v>
      </c>
      <c r="J5021" s="7">
        <v>0</v>
      </c>
      <c r="K5021">
        <f t="shared" si="78"/>
        <v>92</v>
      </c>
      <c r="L5021" s="8" t="str" cm="1">
        <f t="array" ref="L5021">_xlfn.IFS(
 AND(K5021&gt;=89,K5021&lt;=92),"3개월",
 AND(K5021&gt;=58,K5021&lt;=62),"2개월",
 AND(K5021&gt;=28,K5021&lt;=32),"1개월",
 AND(K5021=0),"당월",
 TRUE,"그외"
)</f>
        <v>3개월</v>
      </c>
    </row>
    <row r="5022" spans="1:12" x14ac:dyDescent="0.3">
      <c r="A5022" s="5">
        <v>45689</v>
      </c>
      <c r="B5022" s="6" t="s">
        <v>50</v>
      </c>
      <c r="C5022" s="6" t="s">
        <v>57</v>
      </c>
      <c r="D5022" s="5">
        <v>45597</v>
      </c>
      <c r="E5022" s="6" t="s">
        <v>15</v>
      </c>
      <c r="F5022" s="7">
        <v>755</v>
      </c>
      <c r="G5022" s="7">
        <v>198952.4026490066</v>
      </c>
      <c r="H5022" s="7">
        <v>150209064</v>
      </c>
      <c r="I5022" s="7">
        <v>15936369</v>
      </c>
      <c r="J5022" s="7">
        <v>0</v>
      </c>
      <c r="K5022">
        <f t="shared" si="78"/>
        <v>92</v>
      </c>
      <c r="L5022" s="8" t="str" cm="1">
        <f t="array" ref="L5022">_xlfn.IFS(
 AND(K5022&gt;=89,K5022&lt;=92),"3개월",
 AND(K5022&gt;=58,K5022&lt;=62),"2개월",
 AND(K5022&gt;=28,K5022&lt;=32),"1개월",
 AND(K5022=0),"당월",
 TRUE,"그외"
)</f>
        <v>3개월</v>
      </c>
    </row>
    <row r="5023" spans="1:12" x14ac:dyDescent="0.3">
      <c r="A5023" s="5">
        <v>45689</v>
      </c>
      <c r="B5023" s="6" t="s">
        <v>50</v>
      </c>
      <c r="C5023" s="6" t="s">
        <v>57</v>
      </c>
      <c r="D5023" s="5">
        <v>45627</v>
      </c>
      <c r="E5023" s="6" t="s">
        <v>14</v>
      </c>
      <c r="F5023" s="7">
        <v>635</v>
      </c>
      <c r="G5023" s="7">
        <v>293375.18110236223</v>
      </c>
      <c r="H5023" s="7">
        <v>186293240</v>
      </c>
      <c r="I5023" s="7">
        <v>15106990</v>
      </c>
      <c r="J5023" s="7">
        <v>0</v>
      </c>
      <c r="K5023">
        <f t="shared" si="78"/>
        <v>62</v>
      </c>
      <c r="L5023" s="8" t="str" cm="1">
        <f t="array" ref="L5023">_xlfn.IFS(
 AND(K5023&gt;=89,K5023&lt;=92),"3개월",
 AND(K5023&gt;=58,K5023&lt;=62),"2개월",
 AND(K5023&gt;=28,K5023&lt;=32),"1개월",
 AND(K5023=0),"당월",
 TRUE,"그외"
)</f>
        <v>2개월</v>
      </c>
    </row>
    <row r="5024" spans="1:12" x14ac:dyDescent="0.3">
      <c r="A5024" s="5">
        <v>45689</v>
      </c>
      <c r="B5024" s="6" t="s">
        <v>50</v>
      </c>
      <c r="C5024" s="6" t="s">
        <v>57</v>
      </c>
      <c r="D5024" s="5">
        <v>45627</v>
      </c>
      <c r="E5024" s="6" t="s">
        <v>15</v>
      </c>
      <c r="F5024" s="7">
        <v>990</v>
      </c>
      <c r="G5024" s="7">
        <v>200842.11818181819</v>
      </c>
      <c r="H5024" s="7">
        <v>198833697</v>
      </c>
      <c r="I5024" s="7">
        <v>25965442</v>
      </c>
      <c r="J5024" s="7">
        <v>0</v>
      </c>
      <c r="K5024">
        <f t="shared" si="78"/>
        <v>62</v>
      </c>
      <c r="L5024" s="8" t="str" cm="1">
        <f t="array" ref="L5024">_xlfn.IFS(
 AND(K5024&gt;=89,K5024&lt;=92),"3개월",
 AND(K5024&gt;=58,K5024&lt;=62),"2개월",
 AND(K5024&gt;=28,K5024&lt;=32),"1개월",
 AND(K5024=0),"당월",
 TRUE,"그외"
)</f>
        <v>2개월</v>
      </c>
    </row>
    <row r="5025" spans="1:12" x14ac:dyDescent="0.3">
      <c r="A5025" s="5">
        <v>45689</v>
      </c>
      <c r="B5025" s="6" t="s">
        <v>50</v>
      </c>
      <c r="C5025" s="6" t="s">
        <v>57</v>
      </c>
      <c r="D5025" s="5">
        <v>45658</v>
      </c>
      <c r="E5025" s="6" t="s">
        <v>14</v>
      </c>
      <c r="F5025" s="7">
        <v>523</v>
      </c>
      <c r="G5025" s="7">
        <v>109250.9158699809</v>
      </c>
      <c r="H5025" s="7">
        <v>57138229</v>
      </c>
      <c r="I5025" s="7">
        <v>16269229</v>
      </c>
      <c r="J5025" s="7">
        <v>0</v>
      </c>
      <c r="K5025">
        <f t="shared" si="78"/>
        <v>31</v>
      </c>
      <c r="L5025" s="8" t="str" cm="1">
        <f t="array" ref="L5025">_xlfn.IFS(
 AND(K5025&gt;=89,K5025&lt;=92),"3개월",
 AND(K5025&gt;=58,K5025&lt;=62),"2개월",
 AND(K5025&gt;=28,K5025&lt;=32),"1개월",
 AND(K5025=0),"당월",
 TRUE,"그외"
)</f>
        <v>1개월</v>
      </c>
    </row>
    <row r="5026" spans="1:12" x14ac:dyDescent="0.3">
      <c r="A5026" s="5">
        <v>45689</v>
      </c>
      <c r="B5026" s="6" t="s">
        <v>50</v>
      </c>
      <c r="C5026" s="6" t="s">
        <v>57</v>
      </c>
      <c r="D5026" s="5">
        <v>45658</v>
      </c>
      <c r="E5026" s="6" t="s">
        <v>15</v>
      </c>
      <c r="F5026" s="7">
        <v>3001</v>
      </c>
      <c r="G5026" s="7">
        <v>173143.9646784405</v>
      </c>
      <c r="H5026" s="7">
        <v>519605038</v>
      </c>
      <c r="I5026" s="7">
        <v>105494919</v>
      </c>
      <c r="J5026" s="7">
        <v>0</v>
      </c>
      <c r="K5026">
        <f t="shared" si="78"/>
        <v>31</v>
      </c>
      <c r="L5026" s="8" t="str" cm="1">
        <f t="array" ref="L5026">_xlfn.IFS(
 AND(K5026&gt;=89,K5026&lt;=92),"3개월",
 AND(K5026&gt;=58,K5026&lt;=62),"2개월",
 AND(K5026&gt;=28,K5026&lt;=32),"1개월",
 AND(K5026=0),"당월",
 TRUE,"그외"
)</f>
        <v>1개월</v>
      </c>
    </row>
    <row r="5027" spans="1:12" x14ac:dyDescent="0.3">
      <c r="A5027" s="5">
        <v>45689</v>
      </c>
      <c r="B5027" s="6" t="s">
        <v>50</v>
      </c>
      <c r="C5027" s="6" t="s">
        <v>57</v>
      </c>
      <c r="D5027" s="5">
        <v>45689</v>
      </c>
      <c r="E5027" s="6" t="s">
        <v>14</v>
      </c>
      <c r="F5027" s="7">
        <v>193</v>
      </c>
      <c r="G5027" s="7">
        <v>208089.11917098449</v>
      </c>
      <c r="H5027" s="7">
        <v>40161200</v>
      </c>
      <c r="I5027" s="7">
        <v>3937200</v>
      </c>
      <c r="J5027" s="7">
        <v>0</v>
      </c>
      <c r="K5027">
        <f t="shared" si="78"/>
        <v>0</v>
      </c>
      <c r="L5027" s="8" t="str" cm="1">
        <f t="array" ref="L5027">_xlfn.IFS(
 AND(K5027&gt;=89,K5027&lt;=92),"3개월",
 AND(K5027&gt;=58,K5027&lt;=62),"2개월",
 AND(K5027&gt;=28,K5027&lt;=32),"1개월",
 AND(K5027=0),"당월",
 TRUE,"그외"
)</f>
        <v>당월</v>
      </c>
    </row>
    <row r="5028" spans="1:12" x14ac:dyDescent="0.3">
      <c r="A5028" s="5">
        <v>45689</v>
      </c>
      <c r="B5028" s="6" t="s">
        <v>50</v>
      </c>
      <c r="C5028" s="6" t="s">
        <v>57</v>
      </c>
      <c r="D5028" s="5">
        <v>45689</v>
      </c>
      <c r="E5028" s="6" t="s">
        <v>15</v>
      </c>
      <c r="F5028" s="7">
        <v>1912</v>
      </c>
      <c r="G5028" s="7">
        <v>164270.7358786611</v>
      </c>
      <c r="H5028" s="7">
        <v>314085647</v>
      </c>
      <c r="I5028" s="7">
        <v>60138457</v>
      </c>
      <c r="J5028" s="7">
        <v>0</v>
      </c>
      <c r="K5028">
        <f t="shared" si="78"/>
        <v>0</v>
      </c>
      <c r="L5028" s="8" t="str" cm="1">
        <f t="array" ref="L5028">_xlfn.IFS(
 AND(K5028&gt;=89,K5028&lt;=92),"3개월",
 AND(K5028&gt;=58,K5028&lt;=62),"2개월",
 AND(K5028&gt;=28,K5028&lt;=32),"1개월",
 AND(K5028=0),"당월",
 TRUE,"그외"
)</f>
        <v>당월</v>
      </c>
    </row>
    <row r="5029" spans="1:12" x14ac:dyDescent="0.3">
      <c r="A5029" s="5">
        <v>45689</v>
      </c>
      <c r="B5029" s="6" t="s">
        <v>60</v>
      </c>
      <c r="C5029" s="6" t="s">
        <v>61</v>
      </c>
      <c r="D5029" s="5">
        <v>45505</v>
      </c>
      <c r="E5029" s="6" t="s">
        <v>15</v>
      </c>
      <c r="F5029" s="7">
        <v>13</v>
      </c>
      <c r="G5029" s="7">
        <v>280618.15384615387</v>
      </c>
      <c r="H5029" s="7">
        <v>3648036</v>
      </c>
      <c r="I5029" s="7">
        <v>591124</v>
      </c>
      <c r="J5029" s="7">
        <v>0</v>
      </c>
      <c r="K5029">
        <f t="shared" si="78"/>
        <v>184</v>
      </c>
      <c r="L5029" s="8" t="str" cm="1">
        <f t="array" ref="L5029">_xlfn.IFS(
 AND(K5029&gt;=89,K5029&lt;=92),"3개월",
 AND(K5029&gt;=58,K5029&lt;=62),"2개월",
 AND(K5029&gt;=28,K5029&lt;=32),"1개월",
 AND(K5029=0),"당월",
 TRUE,"그외"
)</f>
        <v>그외</v>
      </c>
    </row>
    <row r="5030" spans="1:12" x14ac:dyDescent="0.3">
      <c r="A5030" s="5">
        <v>45689</v>
      </c>
      <c r="B5030" s="6" t="s">
        <v>60</v>
      </c>
      <c r="C5030" s="6" t="s">
        <v>61</v>
      </c>
      <c r="D5030" s="5">
        <v>45536</v>
      </c>
      <c r="E5030" s="6" t="s">
        <v>15</v>
      </c>
      <c r="F5030" s="7">
        <v>7</v>
      </c>
      <c r="G5030" s="7">
        <v>385304</v>
      </c>
      <c r="H5030" s="7">
        <v>2697128</v>
      </c>
      <c r="I5030" s="7">
        <v>371599</v>
      </c>
      <c r="J5030" s="7">
        <v>0</v>
      </c>
      <c r="K5030">
        <f t="shared" si="78"/>
        <v>153</v>
      </c>
      <c r="L5030" s="8" t="str" cm="1">
        <f t="array" ref="L5030">_xlfn.IFS(
 AND(K5030&gt;=89,K5030&lt;=92),"3개월",
 AND(K5030&gt;=58,K5030&lt;=62),"2개월",
 AND(K5030&gt;=28,K5030&lt;=32),"1개월",
 AND(K5030=0),"당월",
 TRUE,"그외"
)</f>
        <v>그외</v>
      </c>
    </row>
    <row r="5031" spans="1:12" x14ac:dyDescent="0.3">
      <c r="A5031" s="5">
        <v>45689</v>
      </c>
      <c r="B5031" s="6" t="s">
        <v>60</v>
      </c>
      <c r="C5031" s="6" t="s">
        <v>61</v>
      </c>
      <c r="D5031" s="5">
        <v>45566</v>
      </c>
      <c r="E5031" s="6" t="s">
        <v>14</v>
      </c>
      <c r="F5031" s="7">
        <v>32</v>
      </c>
      <c r="G5031" s="7">
        <v>246400</v>
      </c>
      <c r="H5031" s="7">
        <v>7884800</v>
      </c>
      <c r="I5031" s="7">
        <v>812800</v>
      </c>
      <c r="J5031" s="7">
        <v>0</v>
      </c>
      <c r="K5031">
        <f t="shared" si="78"/>
        <v>123</v>
      </c>
      <c r="L5031" s="8" t="str" cm="1">
        <f t="array" ref="L5031">_xlfn.IFS(
 AND(K5031&gt;=89,K5031&lt;=92),"3개월",
 AND(K5031&gt;=58,K5031&lt;=62),"2개월",
 AND(K5031&gt;=28,K5031&lt;=32),"1개월",
 AND(K5031=0),"당월",
 TRUE,"그외"
)</f>
        <v>그외</v>
      </c>
    </row>
    <row r="5032" spans="1:12" x14ac:dyDescent="0.3">
      <c r="A5032" s="5">
        <v>45689</v>
      </c>
      <c r="B5032" s="6" t="s">
        <v>60</v>
      </c>
      <c r="C5032" s="6" t="s">
        <v>61</v>
      </c>
      <c r="D5032" s="5">
        <v>45566</v>
      </c>
      <c r="E5032" s="6" t="s">
        <v>15</v>
      </c>
      <c r="F5032" s="7">
        <v>115</v>
      </c>
      <c r="G5032" s="7">
        <v>318316.54782608693</v>
      </c>
      <c r="H5032" s="7">
        <v>36606403</v>
      </c>
      <c r="I5032" s="7">
        <v>3759176</v>
      </c>
      <c r="J5032" s="7">
        <v>0</v>
      </c>
      <c r="K5032">
        <f t="shared" si="78"/>
        <v>123</v>
      </c>
      <c r="L5032" s="8" t="str" cm="1">
        <f t="array" ref="L5032">_xlfn.IFS(
 AND(K5032&gt;=89,K5032&lt;=92),"3개월",
 AND(K5032&gt;=58,K5032&lt;=62),"2개월",
 AND(K5032&gt;=28,K5032&lt;=32),"1개월",
 AND(K5032=0),"당월",
 TRUE,"그외"
)</f>
        <v>그외</v>
      </c>
    </row>
    <row r="5033" spans="1:12" x14ac:dyDescent="0.3">
      <c r="A5033" s="5">
        <v>45689</v>
      </c>
      <c r="B5033" s="6" t="s">
        <v>60</v>
      </c>
      <c r="C5033" s="6" t="s">
        <v>61</v>
      </c>
      <c r="D5033" s="5">
        <v>45597</v>
      </c>
      <c r="E5033" s="6" t="s">
        <v>14</v>
      </c>
      <c r="F5033" s="7">
        <v>138</v>
      </c>
      <c r="G5033" s="7">
        <v>242298.55072463769</v>
      </c>
      <c r="H5033" s="7">
        <v>33437200</v>
      </c>
      <c r="I5033" s="7">
        <v>3505200</v>
      </c>
      <c r="J5033" s="7">
        <v>0</v>
      </c>
      <c r="K5033">
        <f t="shared" si="78"/>
        <v>92</v>
      </c>
      <c r="L5033" s="8" t="str" cm="1">
        <f t="array" ref="L5033">_xlfn.IFS(
 AND(K5033&gt;=89,K5033&lt;=92),"3개월",
 AND(K5033&gt;=58,K5033&lt;=62),"2개월",
 AND(K5033&gt;=28,K5033&lt;=32),"1개월",
 AND(K5033=0),"당월",
 TRUE,"그외"
)</f>
        <v>3개월</v>
      </c>
    </row>
    <row r="5034" spans="1:12" x14ac:dyDescent="0.3">
      <c r="A5034" s="5">
        <v>45689</v>
      </c>
      <c r="B5034" s="6" t="s">
        <v>60</v>
      </c>
      <c r="C5034" s="6" t="s">
        <v>61</v>
      </c>
      <c r="D5034" s="5">
        <v>45597</v>
      </c>
      <c r="E5034" s="6" t="s">
        <v>15</v>
      </c>
      <c r="F5034" s="7">
        <v>118</v>
      </c>
      <c r="G5034" s="7">
        <v>290021.70338983048</v>
      </c>
      <c r="H5034" s="7">
        <v>34222561</v>
      </c>
      <c r="I5034" s="7">
        <v>3926075</v>
      </c>
      <c r="J5034" s="7">
        <v>0</v>
      </c>
      <c r="K5034">
        <f t="shared" si="78"/>
        <v>92</v>
      </c>
      <c r="L5034" s="8" t="str" cm="1">
        <f t="array" ref="L5034">_xlfn.IFS(
 AND(K5034&gt;=89,K5034&lt;=92),"3개월",
 AND(K5034&gt;=58,K5034&lt;=62),"2개월",
 AND(K5034&gt;=28,K5034&lt;=32),"1개월",
 AND(K5034=0),"당월",
 TRUE,"그외"
)</f>
        <v>3개월</v>
      </c>
    </row>
    <row r="5035" spans="1:12" x14ac:dyDescent="0.3">
      <c r="A5035" s="5">
        <v>45689</v>
      </c>
      <c r="B5035" s="6" t="s">
        <v>60</v>
      </c>
      <c r="C5035" s="6" t="s">
        <v>61</v>
      </c>
      <c r="D5035" s="5">
        <v>45627</v>
      </c>
      <c r="E5035" s="6" t="s">
        <v>14</v>
      </c>
      <c r="F5035" s="7">
        <v>159</v>
      </c>
      <c r="G5035" s="7">
        <v>306861.63522012578</v>
      </c>
      <c r="H5035" s="7">
        <v>48791000</v>
      </c>
      <c r="I5035" s="7">
        <v>4819000</v>
      </c>
      <c r="J5035" s="7">
        <v>0</v>
      </c>
      <c r="K5035">
        <f t="shared" si="78"/>
        <v>62</v>
      </c>
      <c r="L5035" s="8" t="str" cm="1">
        <f t="array" ref="L5035">_xlfn.IFS(
 AND(K5035&gt;=89,K5035&lt;=92),"3개월",
 AND(K5035&gt;=58,K5035&lt;=62),"2개월",
 AND(K5035&gt;=28,K5035&lt;=32),"1개월",
 AND(K5035=0),"당월",
 TRUE,"그외"
)</f>
        <v>2개월</v>
      </c>
    </row>
    <row r="5036" spans="1:12" x14ac:dyDescent="0.3">
      <c r="A5036" s="5">
        <v>45689</v>
      </c>
      <c r="B5036" s="6" t="s">
        <v>60</v>
      </c>
      <c r="C5036" s="6" t="s">
        <v>61</v>
      </c>
      <c r="D5036" s="5">
        <v>45627</v>
      </c>
      <c r="E5036" s="6" t="s">
        <v>15</v>
      </c>
      <c r="F5036" s="7">
        <v>2026</v>
      </c>
      <c r="G5036" s="7">
        <v>279487.44619940768</v>
      </c>
      <c r="H5036" s="7">
        <v>566241566</v>
      </c>
      <c r="I5036" s="7">
        <v>73391531</v>
      </c>
      <c r="J5036" s="7">
        <v>0</v>
      </c>
      <c r="K5036">
        <f t="shared" si="78"/>
        <v>62</v>
      </c>
      <c r="L5036" s="8" t="str" cm="1">
        <f t="array" ref="L5036">_xlfn.IFS(
 AND(K5036&gt;=89,K5036&lt;=92),"3개월",
 AND(K5036&gt;=58,K5036&lt;=62),"2개월",
 AND(K5036&gt;=28,K5036&lt;=32),"1개월",
 AND(K5036=0),"당월",
 TRUE,"그외"
)</f>
        <v>2개월</v>
      </c>
    </row>
    <row r="5037" spans="1:12" x14ac:dyDescent="0.3">
      <c r="A5037" s="5">
        <v>45689</v>
      </c>
      <c r="B5037" s="6" t="s">
        <v>60</v>
      </c>
      <c r="C5037" s="6" t="s">
        <v>61</v>
      </c>
      <c r="D5037" s="5">
        <v>45658</v>
      </c>
      <c r="E5037" s="6" t="s">
        <v>14</v>
      </c>
      <c r="F5037" s="7">
        <v>861</v>
      </c>
      <c r="G5037" s="7">
        <v>629992.6550522648</v>
      </c>
      <c r="H5037" s="7">
        <v>542423676</v>
      </c>
      <c r="I5037" s="7">
        <v>30298996</v>
      </c>
      <c r="J5037" s="7">
        <v>0</v>
      </c>
      <c r="K5037">
        <f t="shared" si="78"/>
        <v>31</v>
      </c>
      <c r="L5037" s="8" t="str" cm="1">
        <f t="array" ref="L5037">_xlfn.IFS(
 AND(K5037&gt;=89,K5037&lt;=92),"3개월",
 AND(K5037&gt;=58,K5037&lt;=62),"2개월",
 AND(K5037&gt;=28,K5037&lt;=32),"1개월",
 AND(K5037=0),"당월",
 TRUE,"그외"
)</f>
        <v>1개월</v>
      </c>
    </row>
    <row r="5038" spans="1:12" x14ac:dyDescent="0.3">
      <c r="A5038" s="5">
        <v>45689</v>
      </c>
      <c r="B5038" s="6" t="s">
        <v>60</v>
      </c>
      <c r="C5038" s="6" t="s">
        <v>61</v>
      </c>
      <c r="D5038" s="5">
        <v>45658</v>
      </c>
      <c r="E5038" s="6" t="s">
        <v>15</v>
      </c>
      <c r="F5038" s="7">
        <v>3234</v>
      </c>
      <c r="G5038" s="7">
        <v>254474.20377241811</v>
      </c>
      <c r="H5038" s="7">
        <v>822969575</v>
      </c>
      <c r="I5038" s="7">
        <v>131040349</v>
      </c>
      <c r="J5038" s="7">
        <v>0</v>
      </c>
      <c r="K5038">
        <f t="shared" si="78"/>
        <v>31</v>
      </c>
      <c r="L5038" s="8" t="str" cm="1">
        <f t="array" ref="L5038">_xlfn.IFS(
 AND(K5038&gt;=89,K5038&lt;=92),"3개월",
 AND(K5038&gt;=58,K5038&lt;=62),"2개월",
 AND(K5038&gt;=28,K5038&lt;=32),"1개월",
 AND(K5038=0),"당월",
 TRUE,"그외"
)</f>
        <v>1개월</v>
      </c>
    </row>
    <row r="5039" spans="1:12" x14ac:dyDescent="0.3">
      <c r="A5039" s="5">
        <v>45689</v>
      </c>
      <c r="B5039" s="6" t="s">
        <v>60</v>
      </c>
      <c r="C5039" s="6" t="s">
        <v>61</v>
      </c>
      <c r="D5039" s="5">
        <v>45689</v>
      </c>
      <c r="E5039" s="6" t="s">
        <v>14</v>
      </c>
      <c r="F5039" s="7">
        <v>2130</v>
      </c>
      <c r="G5039" s="7">
        <v>76513.239436619711</v>
      </c>
      <c r="H5039" s="7">
        <v>162973200</v>
      </c>
      <c r="I5039" s="7">
        <v>78784056</v>
      </c>
      <c r="J5039" s="7">
        <v>0</v>
      </c>
      <c r="K5039">
        <f t="shared" si="78"/>
        <v>0</v>
      </c>
      <c r="L5039" s="8" t="str" cm="1">
        <f t="array" ref="L5039">_xlfn.IFS(
 AND(K5039&gt;=89,K5039&lt;=92),"3개월",
 AND(K5039&gt;=58,K5039&lt;=62),"2개월",
 AND(K5039&gt;=28,K5039&lt;=32),"1개월",
 AND(K5039=0),"당월",
 TRUE,"그외"
)</f>
        <v>당월</v>
      </c>
    </row>
    <row r="5040" spans="1:12" x14ac:dyDescent="0.3">
      <c r="A5040" s="5">
        <v>45689</v>
      </c>
      <c r="B5040" s="6" t="s">
        <v>60</v>
      </c>
      <c r="C5040" s="6" t="s">
        <v>61</v>
      </c>
      <c r="D5040" s="5">
        <v>45689</v>
      </c>
      <c r="E5040" s="6" t="s">
        <v>15</v>
      </c>
      <c r="F5040" s="7">
        <v>1312</v>
      </c>
      <c r="G5040" s="7">
        <v>258943.8102134146</v>
      </c>
      <c r="H5040" s="7">
        <v>339734279</v>
      </c>
      <c r="I5040" s="7">
        <v>56011942</v>
      </c>
      <c r="J5040" s="7">
        <v>0</v>
      </c>
      <c r="K5040">
        <f t="shared" si="78"/>
        <v>0</v>
      </c>
      <c r="L5040" s="8" t="str" cm="1">
        <f t="array" ref="L5040">_xlfn.IFS(
 AND(K5040&gt;=89,K5040&lt;=92),"3개월",
 AND(K5040&gt;=58,K5040&lt;=62),"2개월",
 AND(K5040&gt;=28,K5040&lt;=32),"1개월",
 AND(K5040=0),"당월",
 TRUE,"그외"
)</f>
        <v>당월</v>
      </c>
    </row>
    <row r="5041" spans="1:12" x14ac:dyDescent="0.3">
      <c r="A5041" s="5">
        <v>45689</v>
      </c>
      <c r="B5041" s="6" t="s">
        <v>60</v>
      </c>
      <c r="C5041" s="6" t="s">
        <v>104</v>
      </c>
      <c r="D5041" s="5">
        <v>45505</v>
      </c>
      <c r="E5041" s="6" t="s">
        <v>15</v>
      </c>
      <c r="F5041" s="7">
        <v>343</v>
      </c>
      <c r="G5041" s="7">
        <v>276527.83090379008</v>
      </c>
      <c r="H5041" s="7">
        <v>94849046</v>
      </c>
      <c r="I5041" s="7">
        <v>14015730</v>
      </c>
      <c r="J5041" s="7">
        <v>0</v>
      </c>
      <c r="K5041">
        <f t="shared" si="78"/>
        <v>184</v>
      </c>
      <c r="L5041" s="8" t="str" cm="1">
        <f t="array" ref="L5041">_xlfn.IFS(
 AND(K5041&gt;=89,K5041&lt;=92),"3개월",
 AND(K5041&gt;=58,K5041&lt;=62),"2개월",
 AND(K5041&gt;=28,K5041&lt;=32),"1개월",
 AND(K5041=0),"당월",
 TRUE,"그외"
)</f>
        <v>그외</v>
      </c>
    </row>
    <row r="5042" spans="1:12" x14ac:dyDescent="0.3">
      <c r="A5042" s="5">
        <v>45689</v>
      </c>
      <c r="B5042" s="6" t="s">
        <v>60</v>
      </c>
      <c r="C5042" s="6" t="s">
        <v>104</v>
      </c>
      <c r="D5042" s="5">
        <v>45536</v>
      </c>
      <c r="E5042" s="6" t="s">
        <v>15</v>
      </c>
      <c r="F5042" s="7">
        <v>195</v>
      </c>
      <c r="G5042" s="7">
        <v>327629.53846153838</v>
      </c>
      <c r="H5042" s="7">
        <v>63887760</v>
      </c>
      <c r="I5042" s="7">
        <v>7021960</v>
      </c>
      <c r="J5042" s="7">
        <v>0</v>
      </c>
      <c r="K5042">
        <f t="shared" si="78"/>
        <v>153</v>
      </c>
      <c r="L5042" s="8" t="str" cm="1">
        <f t="array" ref="L5042">_xlfn.IFS(
 AND(K5042&gt;=89,K5042&lt;=92),"3개월",
 AND(K5042&gt;=58,K5042&lt;=62),"2개월",
 AND(K5042&gt;=28,K5042&lt;=32),"1개월",
 AND(K5042=0),"당월",
 TRUE,"그외"
)</f>
        <v>그외</v>
      </c>
    </row>
    <row r="5043" spans="1:12" x14ac:dyDescent="0.3">
      <c r="A5043" s="5">
        <v>45689</v>
      </c>
      <c r="B5043" s="6" t="s">
        <v>60</v>
      </c>
      <c r="C5043" s="6" t="s">
        <v>104</v>
      </c>
      <c r="D5043" s="5">
        <v>45566</v>
      </c>
      <c r="E5043" s="6" t="s">
        <v>14</v>
      </c>
      <c r="F5043" s="7">
        <v>40</v>
      </c>
      <c r="G5043" s="7">
        <v>295400</v>
      </c>
      <c r="H5043" s="7">
        <v>11816000</v>
      </c>
      <c r="I5043" s="7">
        <v>1016000</v>
      </c>
      <c r="J5043" s="7">
        <v>0</v>
      </c>
      <c r="K5043">
        <f t="shared" si="78"/>
        <v>123</v>
      </c>
      <c r="L5043" s="8" t="str" cm="1">
        <f t="array" ref="L5043">_xlfn.IFS(
 AND(K5043&gt;=89,K5043&lt;=92),"3개월",
 AND(K5043&gt;=58,K5043&lt;=62),"2개월",
 AND(K5043&gt;=28,K5043&lt;=32),"1개월",
 AND(K5043=0),"당월",
 TRUE,"그외"
)</f>
        <v>그외</v>
      </c>
    </row>
    <row r="5044" spans="1:12" x14ac:dyDescent="0.3">
      <c r="A5044" s="5">
        <v>45689</v>
      </c>
      <c r="B5044" s="6" t="s">
        <v>60</v>
      </c>
      <c r="C5044" s="6" t="s">
        <v>104</v>
      </c>
      <c r="D5044" s="5">
        <v>45566</v>
      </c>
      <c r="E5044" s="6" t="s">
        <v>15</v>
      </c>
      <c r="F5044" s="7">
        <v>178</v>
      </c>
      <c r="G5044" s="7">
        <v>336758.74719101121</v>
      </c>
      <c r="H5044" s="7">
        <v>59943057</v>
      </c>
      <c r="I5044" s="7">
        <v>4982728</v>
      </c>
      <c r="J5044" s="7">
        <v>0</v>
      </c>
      <c r="K5044">
        <f t="shared" si="78"/>
        <v>123</v>
      </c>
      <c r="L5044" s="8" t="str" cm="1">
        <f t="array" ref="L5044">_xlfn.IFS(
 AND(K5044&gt;=89,K5044&lt;=92),"3개월",
 AND(K5044&gt;=58,K5044&lt;=62),"2개월",
 AND(K5044&gt;=28,K5044&lt;=32),"1개월",
 AND(K5044=0),"당월",
 TRUE,"그외"
)</f>
        <v>그외</v>
      </c>
    </row>
    <row r="5045" spans="1:12" x14ac:dyDescent="0.3">
      <c r="A5045" s="5">
        <v>45689</v>
      </c>
      <c r="B5045" s="6" t="s">
        <v>60</v>
      </c>
      <c r="C5045" s="6" t="s">
        <v>104</v>
      </c>
      <c r="D5045" s="5">
        <v>45597</v>
      </c>
      <c r="E5045" s="6" t="s">
        <v>14</v>
      </c>
      <c r="F5045" s="7">
        <v>168</v>
      </c>
      <c r="G5045" s="7">
        <v>283175</v>
      </c>
      <c r="H5045" s="7">
        <v>47573400</v>
      </c>
      <c r="I5045" s="7">
        <v>4089400</v>
      </c>
      <c r="J5045" s="7">
        <v>0</v>
      </c>
      <c r="K5045">
        <f t="shared" si="78"/>
        <v>92</v>
      </c>
      <c r="L5045" s="8" t="str" cm="1">
        <f t="array" ref="L5045">_xlfn.IFS(
 AND(K5045&gt;=89,K5045&lt;=92),"3개월",
 AND(K5045&gt;=58,K5045&lt;=62),"2개월",
 AND(K5045&gt;=28,K5045&lt;=32),"1개월",
 AND(K5045=0),"당월",
 TRUE,"그외"
)</f>
        <v>3개월</v>
      </c>
    </row>
    <row r="5046" spans="1:12" x14ac:dyDescent="0.3">
      <c r="A5046" s="5">
        <v>45689</v>
      </c>
      <c r="B5046" s="6" t="s">
        <v>60</v>
      </c>
      <c r="C5046" s="6" t="s">
        <v>104</v>
      </c>
      <c r="D5046" s="5">
        <v>45597</v>
      </c>
      <c r="E5046" s="6" t="s">
        <v>15</v>
      </c>
      <c r="F5046" s="7">
        <v>228</v>
      </c>
      <c r="G5046" s="7">
        <v>360875.80701754388</v>
      </c>
      <c r="H5046" s="7">
        <v>82279684</v>
      </c>
      <c r="I5046" s="7">
        <v>7218545</v>
      </c>
      <c r="J5046" s="7">
        <v>0</v>
      </c>
      <c r="K5046">
        <f t="shared" si="78"/>
        <v>92</v>
      </c>
      <c r="L5046" s="8" t="str" cm="1">
        <f t="array" ref="L5046">_xlfn.IFS(
 AND(K5046&gt;=89,K5046&lt;=92),"3개월",
 AND(K5046&gt;=58,K5046&lt;=62),"2개월",
 AND(K5046&gt;=28,K5046&lt;=32),"1개월",
 AND(K5046=0),"당월",
 TRUE,"그외"
)</f>
        <v>3개월</v>
      </c>
    </row>
    <row r="5047" spans="1:12" x14ac:dyDescent="0.3">
      <c r="A5047" s="5">
        <v>45689</v>
      </c>
      <c r="B5047" s="6" t="s">
        <v>60</v>
      </c>
      <c r="C5047" s="6" t="s">
        <v>104</v>
      </c>
      <c r="D5047" s="5">
        <v>45627</v>
      </c>
      <c r="E5047" s="6" t="s">
        <v>14</v>
      </c>
      <c r="F5047" s="7">
        <v>68</v>
      </c>
      <c r="G5047" s="7">
        <v>227225</v>
      </c>
      <c r="H5047" s="7">
        <v>15451300</v>
      </c>
      <c r="I5047" s="7">
        <v>1606300</v>
      </c>
      <c r="J5047" s="7">
        <v>0</v>
      </c>
      <c r="K5047">
        <f t="shared" si="78"/>
        <v>62</v>
      </c>
      <c r="L5047" s="8" t="str" cm="1">
        <f t="array" ref="L5047">_xlfn.IFS(
 AND(K5047&gt;=89,K5047&lt;=92),"3개월",
 AND(K5047&gt;=58,K5047&lt;=62),"2개월",
 AND(K5047&gt;=28,K5047&lt;=32),"1개월",
 AND(K5047=0),"당월",
 TRUE,"그외"
)</f>
        <v>2개월</v>
      </c>
    </row>
    <row r="5048" spans="1:12" x14ac:dyDescent="0.3">
      <c r="A5048" s="5">
        <v>45689</v>
      </c>
      <c r="B5048" s="6" t="s">
        <v>60</v>
      </c>
      <c r="C5048" s="6" t="s">
        <v>104</v>
      </c>
      <c r="D5048" s="5">
        <v>45627</v>
      </c>
      <c r="E5048" s="6" t="s">
        <v>15</v>
      </c>
      <c r="F5048" s="7">
        <v>668</v>
      </c>
      <c r="G5048" s="7">
        <v>311696.03592814371</v>
      </c>
      <c r="H5048" s="7">
        <v>208212952</v>
      </c>
      <c r="I5048" s="7">
        <v>22073559</v>
      </c>
      <c r="J5048" s="7">
        <v>0</v>
      </c>
      <c r="K5048">
        <f t="shared" si="78"/>
        <v>62</v>
      </c>
      <c r="L5048" s="8" t="str" cm="1">
        <f t="array" ref="L5048">_xlfn.IFS(
 AND(K5048&gt;=89,K5048&lt;=92),"3개월",
 AND(K5048&gt;=58,K5048&lt;=62),"2개월",
 AND(K5048&gt;=28,K5048&lt;=32),"1개월",
 AND(K5048=0),"당월",
 TRUE,"그외"
)</f>
        <v>2개월</v>
      </c>
    </row>
    <row r="5049" spans="1:12" x14ac:dyDescent="0.3">
      <c r="A5049" s="5">
        <v>45689</v>
      </c>
      <c r="B5049" s="6" t="s">
        <v>60</v>
      </c>
      <c r="C5049" s="6" t="s">
        <v>104</v>
      </c>
      <c r="D5049" s="5">
        <v>45658</v>
      </c>
      <c r="E5049" s="6" t="s">
        <v>14</v>
      </c>
      <c r="F5049" s="7">
        <v>1560</v>
      </c>
      <c r="G5049" s="7">
        <v>254849.48717948719</v>
      </c>
      <c r="H5049" s="7">
        <v>397565200</v>
      </c>
      <c r="I5049" s="7">
        <v>36934200</v>
      </c>
      <c r="J5049" s="7">
        <v>0</v>
      </c>
      <c r="K5049">
        <f t="shared" si="78"/>
        <v>31</v>
      </c>
      <c r="L5049" s="8" t="str" cm="1">
        <f t="array" ref="L5049">_xlfn.IFS(
 AND(K5049&gt;=89,K5049&lt;=92),"3개월",
 AND(K5049&gt;=58,K5049&lt;=62),"2개월",
 AND(K5049&gt;=28,K5049&lt;=32),"1개월",
 AND(K5049=0),"당월",
 TRUE,"그외"
)</f>
        <v>1개월</v>
      </c>
    </row>
    <row r="5050" spans="1:12" x14ac:dyDescent="0.3">
      <c r="A5050" s="5">
        <v>45689</v>
      </c>
      <c r="B5050" s="6" t="s">
        <v>60</v>
      </c>
      <c r="C5050" s="6" t="s">
        <v>104</v>
      </c>
      <c r="D5050" s="5">
        <v>45658</v>
      </c>
      <c r="E5050" s="6" t="s">
        <v>15</v>
      </c>
      <c r="F5050" s="7">
        <v>1909</v>
      </c>
      <c r="G5050" s="7">
        <v>247313.9088528025</v>
      </c>
      <c r="H5050" s="7">
        <v>472122252</v>
      </c>
      <c r="I5050" s="7">
        <v>68224676</v>
      </c>
      <c r="J5050" s="7">
        <v>0</v>
      </c>
      <c r="K5050">
        <f t="shared" si="78"/>
        <v>31</v>
      </c>
      <c r="L5050" s="8" t="str" cm="1">
        <f t="array" ref="L5050">_xlfn.IFS(
 AND(K5050&gt;=89,K5050&lt;=92),"3개월",
 AND(K5050&gt;=58,K5050&lt;=62),"2개월",
 AND(K5050&gt;=28,K5050&lt;=32),"1개월",
 AND(K5050=0),"당월",
 TRUE,"그외"
)</f>
        <v>1개월</v>
      </c>
    </row>
    <row r="5051" spans="1:12" x14ac:dyDescent="0.3">
      <c r="A5051" s="5">
        <v>45689</v>
      </c>
      <c r="B5051" s="6" t="s">
        <v>60</v>
      </c>
      <c r="C5051" s="6" t="s">
        <v>104</v>
      </c>
      <c r="D5051" s="5">
        <v>45689</v>
      </c>
      <c r="E5051" s="6" t="s">
        <v>14</v>
      </c>
      <c r="F5051" s="7">
        <v>1549</v>
      </c>
      <c r="G5051" s="7">
        <v>232302.90510006461</v>
      </c>
      <c r="H5051" s="7">
        <v>359837200</v>
      </c>
      <c r="I5051" s="7">
        <v>49687200</v>
      </c>
      <c r="J5051" s="7">
        <v>0</v>
      </c>
      <c r="K5051">
        <f t="shared" si="78"/>
        <v>0</v>
      </c>
      <c r="L5051" s="8" t="str" cm="1">
        <f t="array" ref="L5051">_xlfn.IFS(
 AND(K5051&gt;=89,K5051&lt;=92),"3개월",
 AND(K5051&gt;=58,K5051&lt;=62),"2개월",
 AND(K5051&gt;=28,K5051&lt;=32),"1개월",
 AND(K5051=0),"당월",
 TRUE,"그외"
)</f>
        <v>당월</v>
      </c>
    </row>
    <row r="5052" spans="1:12" x14ac:dyDescent="0.3">
      <c r="A5052" s="5">
        <v>45689</v>
      </c>
      <c r="B5052" s="6" t="s">
        <v>60</v>
      </c>
      <c r="C5052" s="6" t="s">
        <v>104</v>
      </c>
      <c r="D5052" s="5">
        <v>45689</v>
      </c>
      <c r="E5052" s="6" t="s">
        <v>15</v>
      </c>
      <c r="F5052" s="7">
        <v>2157</v>
      </c>
      <c r="G5052" s="7">
        <v>207211.53129346311</v>
      </c>
      <c r="H5052" s="7">
        <v>446955273</v>
      </c>
      <c r="I5052" s="7">
        <v>89147942</v>
      </c>
      <c r="J5052" s="7">
        <v>0</v>
      </c>
      <c r="K5052">
        <f t="shared" si="78"/>
        <v>0</v>
      </c>
      <c r="L5052" s="8" t="str" cm="1">
        <f t="array" ref="L5052">_xlfn.IFS(
 AND(K5052&gt;=89,K5052&lt;=92),"3개월",
 AND(K5052&gt;=58,K5052&lt;=62),"2개월",
 AND(K5052&gt;=28,K5052&lt;=32),"1개월",
 AND(K5052=0),"당월",
 TRUE,"그외"
)</f>
        <v>당월</v>
      </c>
    </row>
    <row r="5053" spans="1:12" x14ac:dyDescent="0.3">
      <c r="A5053" s="5">
        <v>45689</v>
      </c>
      <c r="B5053" s="6" t="s">
        <v>60</v>
      </c>
      <c r="C5053" s="6" t="s">
        <v>62</v>
      </c>
      <c r="D5053" s="5">
        <v>45505</v>
      </c>
      <c r="E5053" s="6" t="s">
        <v>15</v>
      </c>
      <c r="F5053" s="7">
        <v>31</v>
      </c>
      <c r="G5053" s="7">
        <v>279579.45161290321</v>
      </c>
      <c r="H5053" s="7">
        <v>8666963</v>
      </c>
      <c r="I5053" s="7">
        <v>1378140</v>
      </c>
      <c r="J5053" s="7">
        <v>0</v>
      </c>
      <c r="K5053">
        <f t="shared" si="78"/>
        <v>184</v>
      </c>
      <c r="L5053" s="8" t="str" cm="1">
        <f t="array" ref="L5053">_xlfn.IFS(
 AND(K5053&gt;=89,K5053&lt;=92),"3개월",
 AND(K5053&gt;=58,K5053&lt;=62),"2개월",
 AND(K5053&gt;=28,K5053&lt;=32),"1개월",
 AND(K5053=0),"당월",
 TRUE,"그외"
)</f>
        <v>그외</v>
      </c>
    </row>
    <row r="5054" spans="1:12" x14ac:dyDescent="0.3">
      <c r="A5054" s="5">
        <v>45689</v>
      </c>
      <c r="B5054" s="6" t="s">
        <v>60</v>
      </c>
      <c r="C5054" s="6" t="s">
        <v>62</v>
      </c>
      <c r="D5054" s="5">
        <v>45536</v>
      </c>
      <c r="E5054" s="6" t="s">
        <v>15</v>
      </c>
      <c r="F5054" s="7">
        <v>63</v>
      </c>
      <c r="G5054" s="7">
        <v>306038.6984126984</v>
      </c>
      <c r="H5054" s="7">
        <v>19280438</v>
      </c>
      <c r="I5054" s="7">
        <v>2561403</v>
      </c>
      <c r="J5054" s="7">
        <v>0</v>
      </c>
      <c r="K5054">
        <f t="shared" si="78"/>
        <v>153</v>
      </c>
      <c r="L5054" s="8" t="str" cm="1">
        <f t="array" ref="L5054">_xlfn.IFS(
 AND(K5054&gt;=89,K5054&lt;=92),"3개월",
 AND(K5054&gt;=58,K5054&lt;=62),"2개월",
 AND(K5054&gt;=28,K5054&lt;=32),"1개월",
 AND(K5054=0),"당월",
 TRUE,"그외"
)</f>
        <v>그외</v>
      </c>
    </row>
    <row r="5055" spans="1:12" x14ac:dyDescent="0.3">
      <c r="A5055" s="5">
        <v>45689</v>
      </c>
      <c r="B5055" s="6" t="s">
        <v>60</v>
      </c>
      <c r="C5055" s="6" t="s">
        <v>62</v>
      </c>
      <c r="D5055" s="5">
        <v>45566</v>
      </c>
      <c r="E5055" s="6" t="s">
        <v>15</v>
      </c>
      <c r="F5055" s="7">
        <v>137</v>
      </c>
      <c r="G5055" s="7">
        <v>270696</v>
      </c>
      <c r="H5055" s="7">
        <v>37085352</v>
      </c>
      <c r="I5055" s="7">
        <v>5461878</v>
      </c>
      <c r="J5055" s="7">
        <v>0</v>
      </c>
      <c r="K5055">
        <f t="shared" si="78"/>
        <v>123</v>
      </c>
      <c r="L5055" s="8" t="str" cm="1">
        <f t="array" ref="L5055">_xlfn.IFS(
 AND(K5055&gt;=89,K5055&lt;=92),"3개월",
 AND(K5055&gt;=58,K5055&lt;=62),"2개월",
 AND(K5055&gt;=28,K5055&lt;=32),"1개월",
 AND(K5055=0),"당월",
 TRUE,"그외"
)</f>
        <v>그외</v>
      </c>
    </row>
    <row r="5056" spans="1:12" x14ac:dyDescent="0.3">
      <c r="A5056" s="5">
        <v>45689</v>
      </c>
      <c r="B5056" s="6" t="s">
        <v>60</v>
      </c>
      <c r="C5056" s="6" t="s">
        <v>62</v>
      </c>
      <c r="D5056" s="5">
        <v>45597</v>
      </c>
      <c r="E5056" s="6" t="s">
        <v>14</v>
      </c>
      <c r="F5056" s="7">
        <v>66</v>
      </c>
      <c r="G5056" s="7">
        <v>154548.48484848489</v>
      </c>
      <c r="H5056" s="7">
        <v>10200200</v>
      </c>
      <c r="I5056" s="7">
        <v>1762200</v>
      </c>
      <c r="J5056" s="7">
        <v>0</v>
      </c>
      <c r="K5056">
        <f t="shared" si="78"/>
        <v>92</v>
      </c>
      <c r="L5056" s="8" t="str" cm="1">
        <f t="array" ref="L5056">_xlfn.IFS(
 AND(K5056&gt;=89,K5056&lt;=92),"3개월",
 AND(K5056&gt;=58,K5056&lt;=62),"2개월",
 AND(K5056&gt;=28,K5056&lt;=32),"1개월",
 AND(K5056=0),"당월",
 TRUE,"그외"
)</f>
        <v>3개월</v>
      </c>
    </row>
    <row r="5057" spans="1:12" x14ac:dyDescent="0.3">
      <c r="A5057" s="5">
        <v>45689</v>
      </c>
      <c r="B5057" s="6" t="s">
        <v>60</v>
      </c>
      <c r="C5057" s="6" t="s">
        <v>62</v>
      </c>
      <c r="D5057" s="5">
        <v>45597</v>
      </c>
      <c r="E5057" s="6" t="s">
        <v>15</v>
      </c>
      <c r="F5057" s="7">
        <v>574</v>
      </c>
      <c r="G5057" s="7">
        <v>272361.22125435539</v>
      </c>
      <c r="H5057" s="7">
        <v>156335341</v>
      </c>
      <c r="I5057" s="7">
        <v>20420596</v>
      </c>
      <c r="J5057" s="7">
        <v>0</v>
      </c>
      <c r="K5057">
        <f t="shared" si="78"/>
        <v>92</v>
      </c>
      <c r="L5057" s="8" t="str" cm="1">
        <f t="array" ref="L5057">_xlfn.IFS(
 AND(K5057&gt;=89,K5057&lt;=92),"3개월",
 AND(K5057&gt;=58,K5057&lt;=62),"2개월",
 AND(K5057&gt;=28,K5057&lt;=32),"1개월",
 AND(K5057=0),"당월",
 TRUE,"그외"
)</f>
        <v>3개월</v>
      </c>
    </row>
    <row r="5058" spans="1:12" x14ac:dyDescent="0.3">
      <c r="A5058" s="5">
        <v>45689</v>
      </c>
      <c r="B5058" s="6" t="s">
        <v>60</v>
      </c>
      <c r="C5058" s="6" t="s">
        <v>62</v>
      </c>
      <c r="D5058" s="5">
        <v>45627</v>
      </c>
      <c r="E5058" s="6" t="s">
        <v>14</v>
      </c>
      <c r="F5058" s="7">
        <v>747</v>
      </c>
      <c r="G5058" s="7">
        <v>163078.53681392231</v>
      </c>
      <c r="H5058" s="7">
        <v>121819667</v>
      </c>
      <c r="I5058" s="7">
        <v>25617819</v>
      </c>
      <c r="J5058" s="7">
        <v>0</v>
      </c>
      <c r="K5058">
        <f t="shared" si="78"/>
        <v>62</v>
      </c>
      <c r="L5058" s="8" t="str" cm="1">
        <f t="array" ref="L5058">_xlfn.IFS(
 AND(K5058&gt;=89,K5058&lt;=92),"3개월",
 AND(K5058&gt;=58,K5058&lt;=62),"2개월",
 AND(K5058&gt;=28,K5058&lt;=32),"1개월",
 AND(K5058=0),"당월",
 TRUE,"그외"
)</f>
        <v>2개월</v>
      </c>
    </row>
    <row r="5059" spans="1:12" x14ac:dyDescent="0.3">
      <c r="A5059" s="5">
        <v>45689</v>
      </c>
      <c r="B5059" s="6" t="s">
        <v>60</v>
      </c>
      <c r="C5059" s="6" t="s">
        <v>62</v>
      </c>
      <c r="D5059" s="5">
        <v>45627</v>
      </c>
      <c r="E5059" s="6" t="s">
        <v>15</v>
      </c>
      <c r="F5059" s="7">
        <v>3905</v>
      </c>
      <c r="G5059" s="7">
        <v>209093.14186939821</v>
      </c>
      <c r="H5059" s="7">
        <v>816508719</v>
      </c>
      <c r="I5059" s="7">
        <v>153601725</v>
      </c>
      <c r="J5059" s="7">
        <v>0</v>
      </c>
      <c r="K5059">
        <f t="shared" si="78"/>
        <v>62</v>
      </c>
      <c r="L5059" s="8" t="str" cm="1">
        <f t="array" ref="L5059">_xlfn.IFS(
 AND(K5059&gt;=89,K5059&lt;=92),"3개월",
 AND(K5059&gt;=58,K5059&lt;=62),"2개월",
 AND(K5059&gt;=28,K5059&lt;=32),"1개월",
 AND(K5059=0),"당월",
 TRUE,"그외"
)</f>
        <v>2개월</v>
      </c>
    </row>
    <row r="5060" spans="1:12" x14ac:dyDescent="0.3">
      <c r="A5060" s="5">
        <v>45689</v>
      </c>
      <c r="B5060" s="6" t="s">
        <v>60</v>
      </c>
      <c r="C5060" s="6" t="s">
        <v>62</v>
      </c>
      <c r="D5060" s="5">
        <v>45658</v>
      </c>
      <c r="E5060" s="6" t="s">
        <v>14</v>
      </c>
      <c r="F5060" s="7">
        <v>2440</v>
      </c>
      <c r="G5060" s="7">
        <v>176838.59426229511</v>
      </c>
      <c r="H5060" s="7">
        <v>431486170</v>
      </c>
      <c r="I5060" s="7">
        <v>82581958</v>
      </c>
      <c r="J5060" s="7">
        <v>0</v>
      </c>
      <c r="K5060">
        <f t="shared" si="78"/>
        <v>31</v>
      </c>
      <c r="L5060" s="8" t="str" cm="1">
        <f t="array" ref="L5060">_xlfn.IFS(
 AND(K5060&gt;=89,K5060&lt;=92),"3개월",
 AND(K5060&gt;=58,K5060&lt;=62),"2개월",
 AND(K5060&gt;=28,K5060&lt;=32),"1개월",
 AND(K5060=0),"당월",
 TRUE,"그외"
)</f>
        <v>1개월</v>
      </c>
    </row>
    <row r="5061" spans="1:12" x14ac:dyDescent="0.3">
      <c r="A5061" s="5">
        <v>45689</v>
      </c>
      <c r="B5061" s="6" t="s">
        <v>60</v>
      </c>
      <c r="C5061" s="6" t="s">
        <v>62</v>
      </c>
      <c r="D5061" s="5">
        <v>45658</v>
      </c>
      <c r="E5061" s="6" t="s">
        <v>15</v>
      </c>
      <c r="F5061" s="7">
        <v>13228</v>
      </c>
      <c r="G5061" s="7">
        <v>153053.15882975509</v>
      </c>
      <c r="H5061" s="7">
        <v>2024587185</v>
      </c>
      <c r="I5061" s="7">
        <v>525234950</v>
      </c>
      <c r="J5061" s="7">
        <v>0</v>
      </c>
      <c r="K5061">
        <f t="shared" si="78"/>
        <v>31</v>
      </c>
      <c r="L5061" s="8" t="str" cm="1">
        <f t="array" ref="L5061">_xlfn.IFS(
 AND(K5061&gt;=89,K5061&lt;=92),"3개월",
 AND(K5061&gt;=58,K5061&lt;=62),"2개월",
 AND(K5061&gt;=28,K5061&lt;=32),"1개월",
 AND(K5061=0),"당월",
 TRUE,"그외"
)</f>
        <v>1개월</v>
      </c>
    </row>
    <row r="5062" spans="1:12" x14ac:dyDescent="0.3">
      <c r="A5062" s="5">
        <v>45689</v>
      </c>
      <c r="B5062" s="6" t="s">
        <v>60</v>
      </c>
      <c r="C5062" s="6" t="s">
        <v>62</v>
      </c>
      <c r="D5062" s="5">
        <v>45689</v>
      </c>
      <c r="E5062" s="6" t="s">
        <v>14</v>
      </c>
      <c r="F5062" s="7">
        <v>4452</v>
      </c>
      <c r="G5062" s="7">
        <v>259799.42767295599</v>
      </c>
      <c r="H5062" s="7">
        <v>1156627052</v>
      </c>
      <c r="I5062" s="7">
        <v>149139818</v>
      </c>
      <c r="J5062" s="7">
        <v>0</v>
      </c>
      <c r="K5062">
        <f t="shared" si="78"/>
        <v>0</v>
      </c>
      <c r="L5062" s="8" t="str" cm="1">
        <f t="array" ref="L5062">_xlfn.IFS(
 AND(K5062&gt;=89,K5062&lt;=92),"3개월",
 AND(K5062&gt;=58,K5062&lt;=62),"2개월",
 AND(K5062&gt;=28,K5062&lt;=32),"1개월",
 AND(K5062=0),"당월",
 TRUE,"그외"
)</f>
        <v>당월</v>
      </c>
    </row>
    <row r="5063" spans="1:12" x14ac:dyDescent="0.3">
      <c r="A5063" s="5">
        <v>45689</v>
      </c>
      <c r="B5063" s="6" t="s">
        <v>60</v>
      </c>
      <c r="C5063" s="6" t="s">
        <v>62</v>
      </c>
      <c r="D5063" s="5">
        <v>45689</v>
      </c>
      <c r="E5063" s="6" t="s">
        <v>15</v>
      </c>
      <c r="F5063" s="7">
        <v>8525</v>
      </c>
      <c r="G5063" s="7">
        <v>156311.61102639299</v>
      </c>
      <c r="H5063" s="7">
        <v>1332556484</v>
      </c>
      <c r="I5063" s="7">
        <v>347777408</v>
      </c>
      <c r="J5063" s="7">
        <v>0</v>
      </c>
      <c r="K5063">
        <f t="shared" si="78"/>
        <v>0</v>
      </c>
      <c r="L5063" s="8" t="str" cm="1">
        <f t="array" ref="L5063">_xlfn.IFS(
 AND(K5063&gt;=89,K5063&lt;=92),"3개월",
 AND(K5063&gt;=58,K5063&lt;=62),"2개월",
 AND(K5063&gt;=28,K5063&lt;=32),"1개월",
 AND(K5063=0),"당월",
 TRUE,"그외"
)</f>
        <v>당월</v>
      </c>
    </row>
    <row r="5064" spans="1:12" x14ac:dyDescent="0.3">
      <c r="A5064" s="5">
        <v>45689</v>
      </c>
      <c r="B5064" s="6" t="s">
        <v>60</v>
      </c>
      <c r="C5064" s="6" t="s">
        <v>123</v>
      </c>
      <c r="D5064" s="5">
        <v>45505</v>
      </c>
      <c r="E5064" s="6" t="s">
        <v>15</v>
      </c>
      <c r="F5064" s="7">
        <v>45</v>
      </c>
      <c r="G5064" s="7">
        <v>224222.1777777778</v>
      </c>
      <c r="H5064" s="7">
        <v>10089998</v>
      </c>
      <c r="I5064" s="7">
        <v>1878919</v>
      </c>
      <c r="J5064" s="7">
        <v>0</v>
      </c>
      <c r="K5064">
        <f t="shared" si="78"/>
        <v>184</v>
      </c>
      <c r="L5064" s="8" t="str" cm="1">
        <f t="array" ref="L5064">_xlfn.IFS(
 AND(K5064&gt;=89,K5064&lt;=92),"3개월",
 AND(K5064&gt;=58,K5064&lt;=62),"2개월",
 AND(K5064&gt;=28,K5064&lt;=32),"1개월",
 AND(K5064=0),"당월",
 TRUE,"그외"
)</f>
        <v>그외</v>
      </c>
    </row>
    <row r="5065" spans="1:12" x14ac:dyDescent="0.3">
      <c r="A5065" s="5">
        <v>45689</v>
      </c>
      <c r="B5065" s="6" t="s">
        <v>60</v>
      </c>
      <c r="C5065" s="6" t="s">
        <v>123</v>
      </c>
      <c r="D5065" s="5">
        <v>45536</v>
      </c>
      <c r="E5065" s="6" t="s">
        <v>15</v>
      </c>
      <c r="F5065" s="7">
        <v>99</v>
      </c>
      <c r="G5065" s="7">
        <v>218646.40404040401</v>
      </c>
      <c r="H5065" s="7">
        <v>21645994</v>
      </c>
      <c r="I5065" s="7">
        <v>3731467</v>
      </c>
      <c r="J5065" s="7">
        <v>0</v>
      </c>
      <c r="K5065">
        <f t="shared" si="78"/>
        <v>153</v>
      </c>
      <c r="L5065" s="8" t="str" cm="1">
        <f t="array" ref="L5065">_xlfn.IFS(
 AND(K5065&gt;=89,K5065&lt;=92),"3개월",
 AND(K5065&gt;=58,K5065&lt;=62),"2개월",
 AND(K5065&gt;=28,K5065&lt;=32),"1개월",
 AND(K5065=0),"당월",
 TRUE,"그외"
)</f>
        <v>그외</v>
      </c>
    </row>
    <row r="5066" spans="1:12" x14ac:dyDescent="0.3">
      <c r="A5066" s="5">
        <v>45689</v>
      </c>
      <c r="B5066" s="6" t="s">
        <v>60</v>
      </c>
      <c r="C5066" s="6" t="s">
        <v>123</v>
      </c>
      <c r="D5066" s="5">
        <v>45566</v>
      </c>
      <c r="E5066" s="6" t="s">
        <v>15</v>
      </c>
      <c r="F5066" s="7">
        <v>258</v>
      </c>
      <c r="G5066" s="7">
        <v>250196.63565891469</v>
      </c>
      <c r="H5066" s="7">
        <v>64550732</v>
      </c>
      <c r="I5066" s="7">
        <v>8427430</v>
      </c>
      <c r="J5066" s="7">
        <v>0</v>
      </c>
      <c r="K5066">
        <f t="shared" ref="K5066:K5129" si="79">A5066-D5066</f>
        <v>123</v>
      </c>
      <c r="L5066" s="8" t="str" cm="1">
        <f t="array" ref="L5066">_xlfn.IFS(
 AND(K5066&gt;=89,K5066&lt;=92),"3개월",
 AND(K5066&gt;=58,K5066&lt;=62),"2개월",
 AND(K5066&gt;=28,K5066&lt;=32),"1개월",
 AND(K5066=0),"당월",
 TRUE,"그외"
)</f>
        <v>그외</v>
      </c>
    </row>
    <row r="5067" spans="1:12" x14ac:dyDescent="0.3">
      <c r="A5067" s="5">
        <v>45689</v>
      </c>
      <c r="B5067" s="6" t="s">
        <v>60</v>
      </c>
      <c r="C5067" s="6" t="s">
        <v>123</v>
      </c>
      <c r="D5067" s="5">
        <v>45597</v>
      </c>
      <c r="E5067" s="6" t="s">
        <v>14</v>
      </c>
      <c r="F5067" s="7">
        <v>112</v>
      </c>
      <c r="G5067" s="7">
        <v>197114.28571428571</v>
      </c>
      <c r="H5067" s="7">
        <v>22076800</v>
      </c>
      <c r="I5067" s="7">
        <v>2844800</v>
      </c>
      <c r="J5067" s="7">
        <v>0</v>
      </c>
      <c r="K5067">
        <f t="shared" si="79"/>
        <v>92</v>
      </c>
      <c r="L5067" s="8" t="str" cm="1">
        <f t="array" ref="L5067">_xlfn.IFS(
 AND(K5067&gt;=89,K5067&lt;=92),"3개월",
 AND(K5067&gt;=58,K5067&lt;=62),"2개월",
 AND(K5067&gt;=28,K5067&lt;=32),"1개월",
 AND(K5067=0),"당월",
 TRUE,"그외"
)</f>
        <v>3개월</v>
      </c>
    </row>
    <row r="5068" spans="1:12" x14ac:dyDescent="0.3">
      <c r="A5068" s="5">
        <v>45689</v>
      </c>
      <c r="B5068" s="6" t="s">
        <v>60</v>
      </c>
      <c r="C5068" s="6" t="s">
        <v>123</v>
      </c>
      <c r="D5068" s="5">
        <v>45597</v>
      </c>
      <c r="E5068" s="6" t="s">
        <v>15</v>
      </c>
      <c r="F5068" s="7">
        <v>553</v>
      </c>
      <c r="G5068" s="7">
        <v>267715.93128390599</v>
      </c>
      <c r="H5068" s="7">
        <v>148046910</v>
      </c>
      <c r="I5068" s="7">
        <v>15678307</v>
      </c>
      <c r="J5068" s="7">
        <v>0</v>
      </c>
      <c r="K5068">
        <f t="shared" si="79"/>
        <v>92</v>
      </c>
      <c r="L5068" s="8" t="str" cm="1">
        <f t="array" ref="L5068">_xlfn.IFS(
 AND(K5068&gt;=89,K5068&lt;=92),"3개월",
 AND(K5068&gt;=58,K5068&lt;=62),"2개월",
 AND(K5068&gt;=28,K5068&lt;=32),"1개월",
 AND(K5068=0),"당월",
 TRUE,"그외"
)</f>
        <v>3개월</v>
      </c>
    </row>
    <row r="5069" spans="1:12" x14ac:dyDescent="0.3">
      <c r="A5069" s="5">
        <v>45689</v>
      </c>
      <c r="B5069" s="6" t="s">
        <v>60</v>
      </c>
      <c r="C5069" s="6" t="s">
        <v>123</v>
      </c>
      <c r="D5069" s="5">
        <v>45627</v>
      </c>
      <c r="E5069" s="6" t="s">
        <v>14</v>
      </c>
      <c r="F5069" s="7">
        <v>64</v>
      </c>
      <c r="G5069" s="7">
        <v>208062.5</v>
      </c>
      <c r="H5069" s="7">
        <v>13316000</v>
      </c>
      <c r="I5069" s="7">
        <v>1952000</v>
      </c>
      <c r="J5069" s="7">
        <v>0</v>
      </c>
      <c r="K5069">
        <f t="shared" si="79"/>
        <v>62</v>
      </c>
      <c r="L5069" s="8" t="str" cm="1">
        <f t="array" ref="L5069">_xlfn.IFS(
 AND(K5069&gt;=89,K5069&lt;=92),"3개월",
 AND(K5069&gt;=58,K5069&lt;=62),"2개월",
 AND(K5069&gt;=28,K5069&lt;=32),"1개월",
 AND(K5069=0),"당월",
 TRUE,"그외"
)</f>
        <v>2개월</v>
      </c>
    </row>
    <row r="5070" spans="1:12" x14ac:dyDescent="0.3">
      <c r="A5070" s="5">
        <v>45689</v>
      </c>
      <c r="B5070" s="6" t="s">
        <v>60</v>
      </c>
      <c r="C5070" s="6" t="s">
        <v>123</v>
      </c>
      <c r="D5070" s="5">
        <v>45627</v>
      </c>
      <c r="E5070" s="6" t="s">
        <v>15</v>
      </c>
      <c r="F5070" s="7">
        <v>1420</v>
      </c>
      <c r="G5070" s="7">
        <v>246797.5394366197</v>
      </c>
      <c r="H5070" s="7">
        <v>350452506</v>
      </c>
      <c r="I5070" s="7">
        <v>46829855</v>
      </c>
      <c r="J5070" s="7">
        <v>0</v>
      </c>
      <c r="K5070">
        <f t="shared" si="79"/>
        <v>62</v>
      </c>
      <c r="L5070" s="8" t="str" cm="1">
        <f t="array" ref="L5070">_xlfn.IFS(
 AND(K5070&gt;=89,K5070&lt;=92),"3개월",
 AND(K5070&gt;=58,K5070&lt;=62),"2개월",
 AND(K5070&gt;=28,K5070&lt;=32),"1개월",
 AND(K5070=0),"당월",
 TRUE,"그외"
)</f>
        <v>2개월</v>
      </c>
    </row>
    <row r="5071" spans="1:12" x14ac:dyDescent="0.3">
      <c r="A5071" s="5">
        <v>45689</v>
      </c>
      <c r="B5071" s="6" t="s">
        <v>60</v>
      </c>
      <c r="C5071" s="6" t="s">
        <v>123</v>
      </c>
      <c r="D5071" s="5">
        <v>45658</v>
      </c>
      <c r="E5071" s="6" t="s">
        <v>14</v>
      </c>
      <c r="F5071" s="7">
        <v>922</v>
      </c>
      <c r="G5071" s="7">
        <v>212006.19305856829</v>
      </c>
      <c r="H5071" s="7">
        <v>195469710</v>
      </c>
      <c r="I5071" s="7">
        <v>33744140</v>
      </c>
      <c r="J5071" s="7">
        <v>0</v>
      </c>
      <c r="K5071">
        <f t="shared" si="79"/>
        <v>31</v>
      </c>
      <c r="L5071" s="8" t="str" cm="1">
        <f t="array" ref="L5071">_xlfn.IFS(
 AND(K5071&gt;=89,K5071&lt;=92),"3개월",
 AND(K5071&gt;=58,K5071&lt;=62),"2개월",
 AND(K5071&gt;=28,K5071&lt;=32),"1개월",
 AND(K5071=0),"당월",
 TRUE,"그외"
)</f>
        <v>1개월</v>
      </c>
    </row>
    <row r="5072" spans="1:12" x14ac:dyDescent="0.3">
      <c r="A5072" s="5">
        <v>45689</v>
      </c>
      <c r="B5072" s="6" t="s">
        <v>60</v>
      </c>
      <c r="C5072" s="6" t="s">
        <v>123</v>
      </c>
      <c r="D5072" s="5">
        <v>45658</v>
      </c>
      <c r="E5072" s="6" t="s">
        <v>15</v>
      </c>
      <c r="F5072" s="7">
        <v>2842</v>
      </c>
      <c r="G5072" s="7">
        <v>241785.2343420127</v>
      </c>
      <c r="H5072" s="7">
        <v>687153636</v>
      </c>
      <c r="I5072" s="7">
        <v>93232094</v>
      </c>
      <c r="J5072" s="7">
        <v>0</v>
      </c>
      <c r="K5072">
        <f t="shared" si="79"/>
        <v>31</v>
      </c>
      <c r="L5072" s="8" t="str" cm="1">
        <f t="array" ref="L5072">_xlfn.IFS(
 AND(K5072&gt;=89,K5072&lt;=92),"3개월",
 AND(K5072&gt;=58,K5072&lt;=62),"2개월",
 AND(K5072&gt;=28,K5072&lt;=32),"1개월",
 AND(K5072=0),"당월",
 TRUE,"그외"
)</f>
        <v>1개월</v>
      </c>
    </row>
    <row r="5073" spans="1:12" x14ac:dyDescent="0.3">
      <c r="A5073" s="5">
        <v>45689</v>
      </c>
      <c r="B5073" s="6" t="s">
        <v>60</v>
      </c>
      <c r="C5073" s="6" t="s">
        <v>123</v>
      </c>
      <c r="D5073" s="5">
        <v>45689</v>
      </c>
      <c r="E5073" s="6" t="s">
        <v>14</v>
      </c>
      <c r="F5073" s="7">
        <v>666</v>
      </c>
      <c r="G5073" s="7">
        <v>209188.1996996997</v>
      </c>
      <c r="H5073" s="7">
        <v>139319341</v>
      </c>
      <c r="I5073" s="7">
        <v>27987168</v>
      </c>
      <c r="J5073" s="7">
        <v>0</v>
      </c>
      <c r="K5073">
        <f t="shared" si="79"/>
        <v>0</v>
      </c>
      <c r="L5073" s="8" t="str" cm="1">
        <f t="array" ref="L5073">_xlfn.IFS(
 AND(K5073&gt;=89,K5073&lt;=92),"3개월",
 AND(K5073&gt;=58,K5073&lt;=62),"2개월",
 AND(K5073&gt;=28,K5073&lt;=32),"1개월",
 AND(K5073=0),"당월",
 TRUE,"그외"
)</f>
        <v>당월</v>
      </c>
    </row>
    <row r="5074" spans="1:12" x14ac:dyDescent="0.3">
      <c r="A5074" s="5">
        <v>45689</v>
      </c>
      <c r="B5074" s="6" t="s">
        <v>60</v>
      </c>
      <c r="C5074" s="6" t="s">
        <v>123</v>
      </c>
      <c r="D5074" s="5">
        <v>45689</v>
      </c>
      <c r="E5074" s="6" t="s">
        <v>15</v>
      </c>
      <c r="F5074" s="7">
        <v>2782</v>
      </c>
      <c r="G5074" s="7">
        <v>222189.15923795829</v>
      </c>
      <c r="H5074" s="7">
        <v>618130241</v>
      </c>
      <c r="I5074" s="7">
        <v>98026515</v>
      </c>
      <c r="J5074" s="7">
        <v>0</v>
      </c>
      <c r="K5074">
        <f t="shared" si="79"/>
        <v>0</v>
      </c>
      <c r="L5074" s="8" t="str" cm="1">
        <f t="array" ref="L5074">_xlfn.IFS(
 AND(K5074&gt;=89,K5074&lt;=92),"3개월",
 AND(K5074&gt;=58,K5074&lt;=62),"2개월",
 AND(K5074&gt;=28,K5074&lt;=32),"1개월",
 AND(K5074=0),"당월",
 TRUE,"그외"
)</f>
        <v>당월</v>
      </c>
    </row>
    <row r="5075" spans="1:12" x14ac:dyDescent="0.3">
      <c r="A5075" s="5">
        <v>45689</v>
      </c>
      <c r="B5075" s="6" t="s">
        <v>60</v>
      </c>
      <c r="C5075" s="6" t="s">
        <v>64</v>
      </c>
      <c r="D5075" s="5">
        <v>45474</v>
      </c>
      <c r="E5075" s="6" t="s">
        <v>15</v>
      </c>
      <c r="F5075" s="7">
        <v>30</v>
      </c>
      <c r="G5075" s="7">
        <v>229258.26666666669</v>
      </c>
      <c r="H5075" s="7">
        <v>6877748</v>
      </c>
      <c r="I5075" s="7">
        <v>1068334</v>
      </c>
      <c r="J5075" s="7">
        <v>0</v>
      </c>
      <c r="K5075">
        <f t="shared" si="79"/>
        <v>215</v>
      </c>
      <c r="L5075" s="8" t="str" cm="1">
        <f t="array" ref="L5075">_xlfn.IFS(
 AND(K5075&gt;=89,K5075&lt;=92),"3개월",
 AND(K5075&gt;=58,K5075&lt;=62),"2개월",
 AND(K5075&gt;=28,K5075&lt;=32),"1개월",
 AND(K5075=0),"당월",
 TRUE,"그외"
)</f>
        <v>그외</v>
      </c>
    </row>
    <row r="5076" spans="1:12" x14ac:dyDescent="0.3">
      <c r="A5076" s="5">
        <v>45689</v>
      </c>
      <c r="B5076" s="6" t="s">
        <v>60</v>
      </c>
      <c r="C5076" s="6" t="s">
        <v>64</v>
      </c>
      <c r="D5076" s="5">
        <v>45505</v>
      </c>
      <c r="E5076" s="6" t="s">
        <v>15</v>
      </c>
      <c r="F5076" s="7">
        <v>1650</v>
      </c>
      <c r="G5076" s="7">
        <v>230530.75696969699</v>
      </c>
      <c r="H5076" s="7">
        <v>380375749</v>
      </c>
      <c r="I5076" s="7">
        <v>66388618</v>
      </c>
      <c r="J5076" s="7">
        <v>0</v>
      </c>
      <c r="K5076">
        <f t="shared" si="79"/>
        <v>184</v>
      </c>
      <c r="L5076" s="8" t="str" cm="1">
        <f t="array" ref="L5076">_xlfn.IFS(
 AND(K5076&gt;=89,K5076&lt;=92),"3개월",
 AND(K5076&gt;=58,K5076&lt;=62),"2개월",
 AND(K5076&gt;=28,K5076&lt;=32),"1개월",
 AND(K5076=0),"당월",
 TRUE,"그외"
)</f>
        <v>그외</v>
      </c>
    </row>
    <row r="5077" spans="1:12" x14ac:dyDescent="0.3">
      <c r="A5077" s="5">
        <v>45689</v>
      </c>
      <c r="B5077" s="6" t="s">
        <v>60</v>
      </c>
      <c r="C5077" s="6" t="s">
        <v>64</v>
      </c>
      <c r="D5077" s="5">
        <v>45536</v>
      </c>
      <c r="E5077" s="6" t="s">
        <v>15</v>
      </c>
      <c r="F5077" s="7">
        <v>1267</v>
      </c>
      <c r="G5077" s="7">
        <v>249444.01894238361</v>
      </c>
      <c r="H5077" s="7">
        <v>316045572</v>
      </c>
      <c r="I5077" s="7">
        <v>45708842</v>
      </c>
      <c r="J5077" s="7">
        <v>0</v>
      </c>
      <c r="K5077">
        <f t="shared" si="79"/>
        <v>153</v>
      </c>
      <c r="L5077" s="8" t="str" cm="1">
        <f t="array" ref="L5077">_xlfn.IFS(
 AND(K5077&gt;=89,K5077&lt;=92),"3개월",
 AND(K5077&gt;=58,K5077&lt;=62),"2개월",
 AND(K5077&gt;=28,K5077&lt;=32),"1개월",
 AND(K5077=0),"당월",
 TRUE,"그외"
)</f>
        <v>그외</v>
      </c>
    </row>
    <row r="5078" spans="1:12" x14ac:dyDescent="0.3">
      <c r="A5078" s="5">
        <v>45689</v>
      </c>
      <c r="B5078" s="6" t="s">
        <v>60</v>
      </c>
      <c r="C5078" s="6" t="s">
        <v>64</v>
      </c>
      <c r="D5078" s="5">
        <v>45566</v>
      </c>
      <c r="E5078" s="6" t="s">
        <v>14</v>
      </c>
      <c r="F5078" s="7">
        <v>18</v>
      </c>
      <c r="G5078" s="7">
        <v>245400</v>
      </c>
      <c r="H5078" s="7">
        <v>4417200</v>
      </c>
      <c r="I5078" s="7">
        <v>457200</v>
      </c>
      <c r="J5078" s="7">
        <v>0</v>
      </c>
      <c r="K5078">
        <f t="shared" si="79"/>
        <v>123</v>
      </c>
      <c r="L5078" s="8" t="str" cm="1">
        <f t="array" ref="L5078">_xlfn.IFS(
 AND(K5078&gt;=89,K5078&lt;=92),"3개월",
 AND(K5078&gt;=58,K5078&lt;=62),"2개월",
 AND(K5078&gt;=28,K5078&lt;=32),"1개월",
 AND(K5078=0),"당월",
 TRUE,"그외"
)</f>
        <v>그외</v>
      </c>
    </row>
    <row r="5079" spans="1:12" x14ac:dyDescent="0.3">
      <c r="A5079" s="5">
        <v>45689</v>
      </c>
      <c r="B5079" s="6" t="s">
        <v>60</v>
      </c>
      <c r="C5079" s="6" t="s">
        <v>64</v>
      </c>
      <c r="D5079" s="5">
        <v>45566</v>
      </c>
      <c r="E5079" s="6" t="s">
        <v>15</v>
      </c>
      <c r="F5079" s="7">
        <v>1399</v>
      </c>
      <c r="G5079" s="7">
        <v>258081.18799142251</v>
      </c>
      <c r="H5079" s="7">
        <v>361055582</v>
      </c>
      <c r="I5079" s="7">
        <v>36869132</v>
      </c>
      <c r="J5079" s="7">
        <v>0</v>
      </c>
      <c r="K5079">
        <f t="shared" si="79"/>
        <v>123</v>
      </c>
      <c r="L5079" s="8" t="str" cm="1">
        <f t="array" ref="L5079">_xlfn.IFS(
 AND(K5079&gt;=89,K5079&lt;=92),"3개월",
 AND(K5079&gt;=58,K5079&lt;=62),"2개월",
 AND(K5079&gt;=28,K5079&lt;=32),"1개월",
 AND(K5079=0),"당월",
 TRUE,"그외"
)</f>
        <v>그외</v>
      </c>
    </row>
    <row r="5080" spans="1:12" x14ac:dyDescent="0.3">
      <c r="A5080" s="5">
        <v>45689</v>
      </c>
      <c r="B5080" s="6" t="s">
        <v>60</v>
      </c>
      <c r="C5080" s="6" t="s">
        <v>64</v>
      </c>
      <c r="D5080" s="5">
        <v>45597</v>
      </c>
      <c r="E5080" s="6" t="s">
        <v>14</v>
      </c>
      <c r="F5080" s="7">
        <v>1109</v>
      </c>
      <c r="G5080" s="7">
        <v>241354.9143372408</v>
      </c>
      <c r="H5080" s="7">
        <v>267662600</v>
      </c>
      <c r="I5080" s="7">
        <v>28168600</v>
      </c>
      <c r="J5080" s="7">
        <v>0</v>
      </c>
      <c r="K5080">
        <f t="shared" si="79"/>
        <v>92</v>
      </c>
      <c r="L5080" s="8" t="str" cm="1">
        <f t="array" ref="L5080">_xlfn.IFS(
 AND(K5080&gt;=89,K5080&lt;=92),"3개월",
 AND(K5080&gt;=58,K5080&lt;=62),"2개월",
 AND(K5080&gt;=28,K5080&lt;=32),"1개월",
 AND(K5080=0),"당월",
 TRUE,"그외"
)</f>
        <v>3개월</v>
      </c>
    </row>
    <row r="5081" spans="1:12" x14ac:dyDescent="0.3">
      <c r="A5081" s="5">
        <v>45689</v>
      </c>
      <c r="B5081" s="6" t="s">
        <v>60</v>
      </c>
      <c r="C5081" s="6" t="s">
        <v>64</v>
      </c>
      <c r="D5081" s="5">
        <v>45597</v>
      </c>
      <c r="E5081" s="6" t="s">
        <v>15</v>
      </c>
      <c r="F5081" s="7">
        <v>1360</v>
      </c>
      <c r="G5081" s="7">
        <v>268234.4301470588</v>
      </c>
      <c r="H5081" s="7">
        <v>364798825</v>
      </c>
      <c r="I5081" s="7">
        <v>36045527</v>
      </c>
      <c r="J5081" s="7">
        <v>0</v>
      </c>
      <c r="K5081">
        <f t="shared" si="79"/>
        <v>92</v>
      </c>
      <c r="L5081" s="8" t="str" cm="1">
        <f t="array" ref="L5081">_xlfn.IFS(
 AND(K5081&gt;=89,K5081&lt;=92),"3개월",
 AND(K5081&gt;=58,K5081&lt;=62),"2개월",
 AND(K5081&gt;=28,K5081&lt;=32),"1개월",
 AND(K5081=0),"당월",
 TRUE,"그외"
)</f>
        <v>3개월</v>
      </c>
    </row>
    <row r="5082" spans="1:12" x14ac:dyDescent="0.3">
      <c r="A5082" s="5">
        <v>45689</v>
      </c>
      <c r="B5082" s="6" t="s">
        <v>60</v>
      </c>
      <c r="C5082" s="6" t="s">
        <v>64</v>
      </c>
      <c r="D5082" s="5">
        <v>45627</v>
      </c>
      <c r="E5082" s="6" t="s">
        <v>14</v>
      </c>
      <c r="F5082" s="7">
        <v>1299</v>
      </c>
      <c r="G5082" s="7">
        <v>323638.41416474211</v>
      </c>
      <c r="H5082" s="7">
        <v>420406300</v>
      </c>
      <c r="I5082" s="7">
        <v>39487300</v>
      </c>
      <c r="J5082" s="7">
        <v>0</v>
      </c>
      <c r="K5082">
        <f t="shared" si="79"/>
        <v>62</v>
      </c>
      <c r="L5082" s="8" t="str" cm="1">
        <f t="array" ref="L5082">_xlfn.IFS(
 AND(K5082&gt;=89,K5082&lt;=92),"3개월",
 AND(K5082&gt;=58,K5082&lt;=62),"2개월",
 AND(K5082&gt;=28,K5082&lt;=32),"1개월",
 AND(K5082=0),"당월",
 TRUE,"그외"
)</f>
        <v>2개월</v>
      </c>
    </row>
    <row r="5083" spans="1:12" x14ac:dyDescent="0.3">
      <c r="A5083" s="5">
        <v>45689</v>
      </c>
      <c r="B5083" s="6" t="s">
        <v>60</v>
      </c>
      <c r="C5083" s="6" t="s">
        <v>64</v>
      </c>
      <c r="D5083" s="5">
        <v>45627</v>
      </c>
      <c r="E5083" s="6" t="s">
        <v>15</v>
      </c>
      <c r="F5083" s="7">
        <v>4214</v>
      </c>
      <c r="G5083" s="7">
        <v>276342.28856193641</v>
      </c>
      <c r="H5083" s="7">
        <v>1164506404</v>
      </c>
      <c r="I5083" s="7">
        <v>127769359</v>
      </c>
      <c r="J5083" s="7">
        <v>0</v>
      </c>
      <c r="K5083">
        <f t="shared" si="79"/>
        <v>62</v>
      </c>
      <c r="L5083" s="8" t="str" cm="1">
        <f t="array" ref="L5083">_xlfn.IFS(
 AND(K5083&gt;=89,K5083&lt;=92),"3개월",
 AND(K5083&gt;=58,K5083&lt;=62),"2개월",
 AND(K5083&gt;=28,K5083&lt;=32),"1개월",
 AND(K5083=0),"당월",
 TRUE,"그외"
)</f>
        <v>2개월</v>
      </c>
    </row>
    <row r="5084" spans="1:12" x14ac:dyDescent="0.3">
      <c r="A5084" s="5">
        <v>45689</v>
      </c>
      <c r="B5084" s="6" t="s">
        <v>60</v>
      </c>
      <c r="C5084" s="6" t="s">
        <v>64</v>
      </c>
      <c r="D5084" s="5">
        <v>45658</v>
      </c>
      <c r="E5084" s="6" t="s">
        <v>14</v>
      </c>
      <c r="F5084" s="7">
        <v>4973</v>
      </c>
      <c r="G5084" s="7">
        <v>343573.25558013271</v>
      </c>
      <c r="H5084" s="7">
        <v>1708589800</v>
      </c>
      <c r="I5084" s="7">
        <v>152539800</v>
      </c>
      <c r="J5084" s="7">
        <v>0</v>
      </c>
      <c r="K5084">
        <f t="shared" si="79"/>
        <v>31</v>
      </c>
      <c r="L5084" s="8" t="str" cm="1">
        <f t="array" ref="L5084">_xlfn.IFS(
 AND(K5084&gt;=89,K5084&lt;=92),"3개월",
 AND(K5084&gt;=58,K5084&lt;=62),"2개월",
 AND(K5084&gt;=28,K5084&lt;=32),"1개월",
 AND(K5084=0),"당월",
 TRUE,"그외"
)</f>
        <v>1개월</v>
      </c>
    </row>
    <row r="5085" spans="1:12" x14ac:dyDescent="0.3">
      <c r="A5085" s="5">
        <v>45689</v>
      </c>
      <c r="B5085" s="6" t="s">
        <v>60</v>
      </c>
      <c r="C5085" s="6" t="s">
        <v>64</v>
      </c>
      <c r="D5085" s="5">
        <v>45658</v>
      </c>
      <c r="E5085" s="6" t="s">
        <v>15</v>
      </c>
      <c r="F5085" s="7">
        <v>6169</v>
      </c>
      <c r="G5085" s="7">
        <v>254612.33895282869</v>
      </c>
      <c r="H5085" s="7">
        <v>1570703519</v>
      </c>
      <c r="I5085" s="7">
        <v>193113169</v>
      </c>
      <c r="J5085" s="7">
        <v>0</v>
      </c>
      <c r="K5085">
        <f t="shared" si="79"/>
        <v>31</v>
      </c>
      <c r="L5085" s="8" t="str" cm="1">
        <f t="array" ref="L5085">_xlfn.IFS(
 AND(K5085&gt;=89,K5085&lt;=92),"3개월",
 AND(K5085&gt;=58,K5085&lt;=62),"2개월",
 AND(K5085&gt;=28,K5085&lt;=32),"1개월",
 AND(K5085=0),"당월",
 TRUE,"그외"
)</f>
        <v>1개월</v>
      </c>
    </row>
    <row r="5086" spans="1:12" x14ac:dyDescent="0.3">
      <c r="A5086" s="5">
        <v>45689</v>
      </c>
      <c r="B5086" s="6" t="s">
        <v>60</v>
      </c>
      <c r="C5086" s="6" t="s">
        <v>64</v>
      </c>
      <c r="D5086" s="5">
        <v>45689</v>
      </c>
      <c r="E5086" s="6" t="s">
        <v>14</v>
      </c>
      <c r="F5086" s="7">
        <v>4126</v>
      </c>
      <c r="G5086" s="7">
        <v>127326.7256422685</v>
      </c>
      <c r="H5086" s="7">
        <v>525350070</v>
      </c>
      <c r="I5086" s="7">
        <v>132552186</v>
      </c>
      <c r="J5086" s="7">
        <v>0</v>
      </c>
      <c r="K5086">
        <f t="shared" si="79"/>
        <v>0</v>
      </c>
      <c r="L5086" s="8" t="str" cm="1">
        <f t="array" ref="L5086">_xlfn.IFS(
 AND(K5086&gt;=89,K5086&lt;=92),"3개월",
 AND(K5086&gt;=58,K5086&lt;=62),"2개월",
 AND(K5086&gt;=28,K5086&lt;=32),"1개월",
 AND(K5086=0),"당월",
 TRUE,"그외"
)</f>
        <v>당월</v>
      </c>
    </row>
    <row r="5087" spans="1:12" x14ac:dyDescent="0.3">
      <c r="A5087" s="5">
        <v>45689</v>
      </c>
      <c r="B5087" s="6" t="s">
        <v>60</v>
      </c>
      <c r="C5087" s="6" t="s">
        <v>64</v>
      </c>
      <c r="D5087" s="5">
        <v>45689</v>
      </c>
      <c r="E5087" s="6" t="s">
        <v>15</v>
      </c>
      <c r="F5087" s="7">
        <v>2954</v>
      </c>
      <c r="G5087" s="7">
        <v>264806.5585646581</v>
      </c>
      <c r="H5087" s="7">
        <v>782238574</v>
      </c>
      <c r="I5087" s="7">
        <v>97696831</v>
      </c>
      <c r="J5087" s="7">
        <v>0</v>
      </c>
      <c r="K5087">
        <f t="shared" si="79"/>
        <v>0</v>
      </c>
      <c r="L5087" s="8" t="str" cm="1">
        <f t="array" ref="L5087">_xlfn.IFS(
 AND(K5087&gt;=89,K5087&lt;=92),"3개월",
 AND(K5087&gt;=58,K5087&lt;=62),"2개월",
 AND(K5087&gt;=28,K5087&lt;=32),"1개월",
 AND(K5087=0),"당월",
 TRUE,"그외"
)</f>
        <v>당월</v>
      </c>
    </row>
    <row r="5088" spans="1:12" x14ac:dyDescent="0.3">
      <c r="A5088" s="5">
        <v>45689</v>
      </c>
      <c r="B5088" s="6" t="s">
        <v>60</v>
      </c>
      <c r="C5088" s="6" t="s">
        <v>65</v>
      </c>
      <c r="D5088" s="5">
        <v>45505</v>
      </c>
      <c r="E5088" s="6" t="s">
        <v>15</v>
      </c>
      <c r="F5088" s="7">
        <v>355</v>
      </c>
      <c r="G5088" s="7">
        <v>234080.89859154931</v>
      </c>
      <c r="H5088" s="7">
        <v>83098719</v>
      </c>
      <c r="I5088" s="7">
        <v>14240421</v>
      </c>
      <c r="J5088" s="7">
        <v>0</v>
      </c>
      <c r="K5088">
        <f t="shared" si="79"/>
        <v>184</v>
      </c>
      <c r="L5088" s="8" t="str" cm="1">
        <f t="array" ref="L5088">_xlfn.IFS(
 AND(K5088&gt;=89,K5088&lt;=92),"3개월",
 AND(K5088&gt;=58,K5088&lt;=62),"2개월",
 AND(K5088&gt;=28,K5088&lt;=32),"1개월",
 AND(K5088=0),"당월",
 TRUE,"그외"
)</f>
        <v>그외</v>
      </c>
    </row>
    <row r="5089" spans="1:12" x14ac:dyDescent="0.3">
      <c r="A5089" s="5">
        <v>45689</v>
      </c>
      <c r="B5089" s="6" t="s">
        <v>60</v>
      </c>
      <c r="C5089" s="6" t="s">
        <v>65</v>
      </c>
      <c r="D5089" s="5">
        <v>45536</v>
      </c>
      <c r="E5089" s="6" t="s">
        <v>15</v>
      </c>
      <c r="F5089" s="7">
        <v>287</v>
      </c>
      <c r="G5089" s="7">
        <v>248386.06271776999</v>
      </c>
      <c r="H5089" s="7">
        <v>71286800</v>
      </c>
      <c r="I5089" s="7">
        <v>10274600</v>
      </c>
      <c r="J5089" s="7">
        <v>0</v>
      </c>
      <c r="K5089">
        <f t="shared" si="79"/>
        <v>153</v>
      </c>
      <c r="L5089" s="8" t="str" cm="1">
        <f t="array" ref="L5089">_xlfn.IFS(
 AND(K5089&gt;=89,K5089&lt;=92),"3개월",
 AND(K5089&gt;=58,K5089&lt;=62),"2개월",
 AND(K5089&gt;=28,K5089&lt;=32),"1개월",
 AND(K5089=0),"당월",
 TRUE,"그외"
)</f>
        <v>그외</v>
      </c>
    </row>
    <row r="5090" spans="1:12" x14ac:dyDescent="0.3">
      <c r="A5090" s="5">
        <v>45689</v>
      </c>
      <c r="B5090" s="6" t="s">
        <v>60</v>
      </c>
      <c r="C5090" s="6" t="s">
        <v>65</v>
      </c>
      <c r="D5090" s="5">
        <v>45566</v>
      </c>
      <c r="E5090" s="6" t="s">
        <v>14</v>
      </c>
      <c r="F5090" s="7">
        <v>94</v>
      </c>
      <c r="G5090" s="7">
        <v>240740.42553191489</v>
      </c>
      <c r="H5090" s="7">
        <v>22629600</v>
      </c>
      <c r="I5090" s="7">
        <v>2387600</v>
      </c>
      <c r="J5090" s="7">
        <v>0</v>
      </c>
      <c r="K5090">
        <f t="shared" si="79"/>
        <v>123</v>
      </c>
      <c r="L5090" s="8" t="str" cm="1">
        <f t="array" ref="L5090">_xlfn.IFS(
 AND(K5090&gt;=89,K5090&lt;=92),"3개월",
 AND(K5090&gt;=58,K5090&lt;=62),"2개월",
 AND(K5090&gt;=28,K5090&lt;=32),"1개월",
 AND(K5090=0),"당월",
 TRUE,"그외"
)</f>
        <v>그외</v>
      </c>
    </row>
    <row r="5091" spans="1:12" x14ac:dyDescent="0.3">
      <c r="A5091" s="5">
        <v>45689</v>
      </c>
      <c r="B5091" s="6" t="s">
        <v>60</v>
      </c>
      <c r="C5091" s="6" t="s">
        <v>65</v>
      </c>
      <c r="D5091" s="5">
        <v>45566</v>
      </c>
      <c r="E5091" s="6" t="s">
        <v>15</v>
      </c>
      <c r="F5091" s="7">
        <v>325</v>
      </c>
      <c r="G5091" s="7">
        <v>262869.67384615378</v>
      </c>
      <c r="H5091" s="7">
        <v>85432644</v>
      </c>
      <c r="I5091" s="7">
        <v>8271132</v>
      </c>
      <c r="J5091" s="7">
        <v>0</v>
      </c>
      <c r="K5091">
        <f t="shared" si="79"/>
        <v>123</v>
      </c>
      <c r="L5091" s="8" t="str" cm="1">
        <f t="array" ref="L5091">_xlfn.IFS(
 AND(K5091&gt;=89,K5091&lt;=92),"3개월",
 AND(K5091&gt;=58,K5091&lt;=62),"2개월",
 AND(K5091&gt;=28,K5091&lt;=32),"1개월",
 AND(K5091=0),"당월",
 TRUE,"그외"
)</f>
        <v>그외</v>
      </c>
    </row>
    <row r="5092" spans="1:12" x14ac:dyDescent="0.3">
      <c r="A5092" s="5">
        <v>45689</v>
      </c>
      <c r="B5092" s="6" t="s">
        <v>60</v>
      </c>
      <c r="C5092" s="6" t="s">
        <v>65</v>
      </c>
      <c r="D5092" s="5">
        <v>45597</v>
      </c>
      <c r="E5092" s="6" t="s">
        <v>14</v>
      </c>
      <c r="F5092" s="7">
        <v>867</v>
      </c>
      <c r="G5092" s="7">
        <v>244479.58477508649</v>
      </c>
      <c r="H5092" s="7">
        <v>211963800</v>
      </c>
      <c r="I5092" s="7">
        <v>22021800</v>
      </c>
      <c r="J5092" s="7">
        <v>0</v>
      </c>
      <c r="K5092">
        <f t="shared" si="79"/>
        <v>92</v>
      </c>
      <c r="L5092" s="8" t="str" cm="1">
        <f t="array" ref="L5092">_xlfn.IFS(
 AND(K5092&gt;=89,K5092&lt;=92),"3개월",
 AND(K5092&gt;=58,K5092&lt;=62),"2개월",
 AND(K5092&gt;=28,K5092&lt;=32),"1개월",
 AND(K5092=0),"당월",
 TRUE,"그외"
)</f>
        <v>3개월</v>
      </c>
    </row>
    <row r="5093" spans="1:12" x14ac:dyDescent="0.3">
      <c r="A5093" s="5">
        <v>45689</v>
      </c>
      <c r="B5093" s="6" t="s">
        <v>60</v>
      </c>
      <c r="C5093" s="6" t="s">
        <v>65</v>
      </c>
      <c r="D5093" s="5">
        <v>45597</v>
      </c>
      <c r="E5093" s="6" t="s">
        <v>15</v>
      </c>
      <c r="F5093" s="7">
        <v>602</v>
      </c>
      <c r="G5093" s="7">
        <v>276051.61461794021</v>
      </c>
      <c r="H5093" s="7">
        <v>166183072</v>
      </c>
      <c r="I5093" s="7">
        <v>15328284</v>
      </c>
      <c r="J5093" s="7">
        <v>0</v>
      </c>
      <c r="K5093">
        <f t="shared" si="79"/>
        <v>92</v>
      </c>
      <c r="L5093" s="8" t="str" cm="1">
        <f t="array" ref="L5093">_xlfn.IFS(
 AND(K5093&gt;=89,K5093&lt;=92),"3개월",
 AND(K5093&gt;=58,K5093&lt;=62),"2개월",
 AND(K5093&gt;=28,K5093&lt;=32),"1개월",
 AND(K5093=0),"당월",
 TRUE,"그외"
)</f>
        <v>3개월</v>
      </c>
    </row>
    <row r="5094" spans="1:12" x14ac:dyDescent="0.3">
      <c r="A5094" s="5">
        <v>45689</v>
      </c>
      <c r="B5094" s="6" t="s">
        <v>60</v>
      </c>
      <c r="C5094" s="6" t="s">
        <v>65</v>
      </c>
      <c r="D5094" s="5">
        <v>45627</v>
      </c>
      <c r="E5094" s="6" t="s">
        <v>14</v>
      </c>
      <c r="F5094" s="7">
        <v>1472</v>
      </c>
      <c r="G5094" s="7">
        <v>224319.29347826089</v>
      </c>
      <c r="H5094" s="7">
        <v>330198000</v>
      </c>
      <c r="I5094" s="7">
        <v>44896000</v>
      </c>
      <c r="J5094" s="7">
        <v>0</v>
      </c>
      <c r="K5094">
        <f t="shared" si="79"/>
        <v>62</v>
      </c>
      <c r="L5094" s="8" t="str" cm="1">
        <f t="array" ref="L5094">_xlfn.IFS(
 AND(K5094&gt;=89,K5094&lt;=92),"3개월",
 AND(K5094&gt;=58,K5094&lt;=62),"2개월",
 AND(K5094&gt;=28,K5094&lt;=32),"1개월",
 AND(K5094=0),"당월",
 TRUE,"그외"
)</f>
        <v>2개월</v>
      </c>
    </row>
    <row r="5095" spans="1:12" x14ac:dyDescent="0.3">
      <c r="A5095" s="5">
        <v>45689</v>
      </c>
      <c r="B5095" s="6" t="s">
        <v>60</v>
      </c>
      <c r="C5095" s="6" t="s">
        <v>65</v>
      </c>
      <c r="D5095" s="5">
        <v>45627</v>
      </c>
      <c r="E5095" s="6" t="s">
        <v>15</v>
      </c>
      <c r="F5095" s="7">
        <v>1288</v>
      </c>
      <c r="G5095" s="7">
        <v>281183.01009316772</v>
      </c>
      <c r="H5095" s="7">
        <v>362163717</v>
      </c>
      <c r="I5095" s="7">
        <v>39359113</v>
      </c>
      <c r="J5095" s="7">
        <v>0</v>
      </c>
      <c r="K5095">
        <f t="shared" si="79"/>
        <v>62</v>
      </c>
      <c r="L5095" s="8" t="str" cm="1">
        <f t="array" ref="L5095">_xlfn.IFS(
 AND(K5095&gt;=89,K5095&lt;=92),"3개월",
 AND(K5095&gt;=58,K5095&lt;=62),"2개월",
 AND(K5095&gt;=28,K5095&lt;=32),"1개월",
 AND(K5095=0),"당월",
 TRUE,"그외"
)</f>
        <v>2개월</v>
      </c>
    </row>
    <row r="5096" spans="1:12" x14ac:dyDescent="0.3">
      <c r="A5096" s="5">
        <v>45689</v>
      </c>
      <c r="B5096" s="6" t="s">
        <v>60</v>
      </c>
      <c r="C5096" s="6" t="s">
        <v>65</v>
      </c>
      <c r="D5096" s="5">
        <v>45658</v>
      </c>
      <c r="E5096" s="6" t="s">
        <v>14</v>
      </c>
      <c r="F5096" s="7">
        <v>474</v>
      </c>
      <c r="G5096" s="7">
        <v>267444.72573839658</v>
      </c>
      <c r="H5096" s="7">
        <v>126768800</v>
      </c>
      <c r="I5096" s="7">
        <v>14669800</v>
      </c>
      <c r="J5096" s="7">
        <v>0</v>
      </c>
      <c r="K5096">
        <f t="shared" si="79"/>
        <v>31</v>
      </c>
      <c r="L5096" s="8" t="str" cm="1">
        <f t="array" ref="L5096">_xlfn.IFS(
 AND(K5096&gt;=89,K5096&lt;=92),"3개월",
 AND(K5096&gt;=58,K5096&lt;=62),"2개월",
 AND(K5096&gt;=28,K5096&lt;=32),"1개월",
 AND(K5096=0),"당월",
 TRUE,"그외"
)</f>
        <v>1개월</v>
      </c>
    </row>
    <row r="5097" spans="1:12" x14ac:dyDescent="0.3">
      <c r="A5097" s="5">
        <v>45689</v>
      </c>
      <c r="B5097" s="6" t="s">
        <v>60</v>
      </c>
      <c r="C5097" s="6" t="s">
        <v>65</v>
      </c>
      <c r="D5097" s="5">
        <v>45658</v>
      </c>
      <c r="E5097" s="6" t="s">
        <v>15</v>
      </c>
      <c r="F5097" s="7">
        <v>1434</v>
      </c>
      <c r="G5097" s="7">
        <v>276417.38145048817</v>
      </c>
      <c r="H5097" s="7">
        <v>396382525</v>
      </c>
      <c r="I5097" s="7">
        <v>44253896</v>
      </c>
      <c r="J5097" s="7">
        <v>0</v>
      </c>
      <c r="K5097">
        <f t="shared" si="79"/>
        <v>31</v>
      </c>
      <c r="L5097" s="8" t="str" cm="1">
        <f t="array" ref="L5097">_xlfn.IFS(
 AND(K5097&gt;=89,K5097&lt;=92),"3개월",
 AND(K5097&gt;=58,K5097&lt;=62),"2개월",
 AND(K5097&gt;=28,K5097&lt;=32),"1개월",
 AND(K5097=0),"당월",
 TRUE,"그외"
)</f>
        <v>1개월</v>
      </c>
    </row>
    <row r="5098" spans="1:12" x14ac:dyDescent="0.3">
      <c r="A5098" s="5">
        <v>45689</v>
      </c>
      <c r="B5098" s="6" t="s">
        <v>60</v>
      </c>
      <c r="C5098" s="6" t="s">
        <v>65</v>
      </c>
      <c r="D5098" s="5">
        <v>45689</v>
      </c>
      <c r="E5098" s="6" t="s">
        <v>14</v>
      </c>
      <c r="F5098" s="7">
        <v>674</v>
      </c>
      <c r="G5098" s="7">
        <v>266359.05044510379</v>
      </c>
      <c r="H5098" s="7">
        <v>179526000</v>
      </c>
      <c r="I5098" s="7">
        <v>21583000</v>
      </c>
      <c r="J5098" s="7">
        <v>0</v>
      </c>
      <c r="K5098">
        <f t="shared" si="79"/>
        <v>0</v>
      </c>
      <c r="L5098" s="8" t="str" cm="1">
        <f t="array" ref="L5098">_xlfn.IFS(
 AND(K5098&gt;=89,K5098&lt;=92),"3개월",
 AND(K5098&gt;=58,K5098&lt;=62),"2개월",
 AND(K5098&gt;=28,K5098&lt;=32),"1개월",
 AND(K5098=0),"당월",
 TRUE,"그외"
)</f>
        <v>당월</v>
      </c>
    </row>
    <row r="5099" spans="1:12" x14ac:dyDescent="0.3">
      <c r="A5099" s="5">
        <v>45689</v>
      </c>
      <c r="B5099" s="6" t="s">
        <v>60</v>
      </c>
      <c r="C5099" s="6" t="s">
        <v>65</v>
      </c>
      <c r="D5099" s="5">
        <v>45689</v>
      </c>
      <c r="E5099" s="6" t="s">
        <v>15</v>
      </c>
      <c r="F5099" s="7">
        <v>964</v>
      </c>
      <c r="G5099" s="7">
        <v>252221.32987551871</v>
      </c>
      <c r="H5099" s="7">
        <v>243141362</v>
      </c>
      <c r="I5099" s="7">
        <v>31239020</v>
      </c>
      <c r="J5099" s="7">
        <v>0</v>
      </c>
      <c r="K5099">
        <f t="shared" si="79"/>
        <v>0</v>
      </c>
      <c r="L5099" s="8" t="str" cm="1">
        <f t="array" ref="L5099">_xlfn.IFS(
 AND(K5099&gt;=89,K5099&lt;=92),"3개월",
 AND(K5099&gt;=58,K5099&lt;=62),"2개월",
 AND(K5099&gt;=28,K5099&lt;=32),"1개월",
 AND(K5099=0),"당월",
 TRUE,"그외"
)</f>
        <v>당월</v>
      </c>
    </row>
    <row r="5100" spans="1:12" x14ac:dyDescent="0.3">
      <c r="A5100" s="5">
        <v>45689</v>
      </c>
      <c r="B5100" s="6" t="s">
        <v>60</v>
      </c>
      <c r="C5100" s="6" t="s">
        <v>66</v>
      </c>
      <c r="D5100" s="5">
        <v>45505</v>
      </c>
      <c r="E5100" s="6" t="s">
        <v>15</v>
      </c>
      <c r="F5100" s="7">
        <v>271</v>
      </c>
      <c r="G5100" s="7">
        <v>224271.3173431734</v>
      </c>
      <c r="H5100" s="7">
        <v>60777527</v>
      </c>
      <c r="I5100" s="7">
        <v>10885498</v>
      </c>
      <c r="J5100" s="7">
        <v>0</v>
      </c>
      <c r="K5100">
        <f t="shared" si="79"/>
        <v>184</v>
      </c>
      <c r="L5100" s="8" t="str" cm="1">
        <f t="array" ref="L5100">_xlfn.IFS(
 AND(K5100&gt;=89,K5100&lt;=92),"3개월",
 AND(K5100&gt;=58,K5100&lt;=62),"2개월",
 AND(K5100&gt;=28,K5100&lt;=32),"1개월",
 AND(K5100=0),"당월",
 TRUE,"그외"
)</f>
        <v>그외</v>
      </c>
    </row>
    <row r="5101" spans="1:12" x14ac:dyDescent="0.3">
      <c r="A5101" s="5">
        <v>45689</v>
      </c>
      <c r="B5101" s="6" t="s">
        <v>60</v>
      </c>
      <c r="C5101" s="6" t="s">
        <v>66</v>
      </c>
      <c r="D5101" s="5">
        <v>45536</v>
      </c>
      <c r="E5101" s="6" t="s">
        <v>14</v>
      </c>
      <c r="F5101" s="7">
        <v>14</v>
      </c>
      <c r="G5101" s="7">
        <v>305800</v>
      </c>
      <c r="H5101" s="7">
        <v>4281200</v>
      </c>
      <c r="I5101" s="7">
        <v>501200</v>
      </c>
      <c r="J5101" s="7">
        <v>0</v>
      </c>
      <c r="K5101">
        <f t="shared" si="79"/>
        <v>153</v>
      </c>
      <c r="L5101" s="8" t="str" cm="1">
        <f t="array" ref="L5101">_xlfn.IFS(
 AND(K5101&gt;=89,K5101&lt;=92),"3개월",
 AND(K5101&gt;=58,K5101&lt;=62),"2개월",
 AND(K5101&gt;=28,K5101&lt;=32),"1개월",
 AND(K5101=0),"당월",
 TRUE,"그외"
)</f>
        <v>그외</v>
      </c>
    </row>
    <row r="5102" spans="1:12" x14ac:dyDescent="0.3">
      <c r="A5102" s="5">
        <v>45689</v>
      </c>
      <c r="B5102" s="6" t="s">
        <v>60</v>
      </c>
      <c r="C5102" s="6" t="s">
        <v>66</v>
      </c>
      <c r="D5102" s="5">
        <v>45536</v>
      </c>
      <c r="E5102" s="6" t="s">
        <v>15</v>
      </c>
      <c r="F5102" s="7">
        <v>153</v>
      </c>
      <c r="G5102" s="7">
        <v>292127.82352941169</v>
      </c>
      <c r="H5102" s="7">
        <v>44695557</v>
      </c>
      <c r="I5102" s="7">
        <v>5517735</v>
      </c>
      <c r="J5102" s="7">
        <v>0</v>
      </c>
      <c r="K5102">
        <f t="shared" si="79"/>
        <v>153</v>
      </c>
      <c r="L5102" s="8" t="str" cm="1">
        <f t="array" ref="L5102">_xlfn.IFS(
 AND(K5102&gt;=89,K5102&lt;=92),"3개월",
 AND(K5102&gt;=58,K5102&lt;=62),"2개월",
 AND(K5102&gt;=28,K5102&lt;=32),"1개월",
 AND(K5102=0),"당월",
 TRUE,"그외"
)</f>
        <v>그외</v>
      </c>
    </row>
    <row r="5103" spans="1:12" x14ac:dyDescent="0.3">
      <c r="A5103" s="5">
        <v>45689</v>
      </c>
      <c r="B5103" s="6" t="s">
        <v>60</v>
      </c>
      <c r="C5103" s="6" t="s">
        <v>66</v>
      </c>
      <c r="D5103" s="5">
        <v>45566</v>
      </c>
      <c r="E5103" s="6" t="s">
        <v>14</v>
      </c>
      <c r="F5103" s="7">
        <v>4</v>
      </c>
      <c r="G5103" s="7">
        <v>475400</v>
      </c>
      <c r="H5103" s="7">
        <v>1901600</v>
      </c>
      <c r="I5103" s="7">
        <v>101600</v>
      </c>
      <c r="J5103" s="7">
        <v>0</v>
      </c>
      <c r="K5103">
        <f t="shared" si="79"/>
        <v>123</v>
      </c>
      <c r="L5103" s="8" t="str" cm="1">
        <f t="array" ref="L5103">_xlfn.IFS(
 AND(K5103&gt;=89,K5103&lt;=92),"3개월",
 AND(K5103&gt;=58,K5103&lt;=62),"2개월",
 AND(K5103&gt;=28,K5103&lt;=32),"1개월",
 AND(K5103=0),"당월",
 TRUE,"그외"
)</f>
        <v>그외</v>
      </c>
    </row>
    <row r="5104" spans="1:12" x14ac:dyDescent="0.3">
      <c r="A5104" s="5">
        <v>45689</v>
      </c>
      <c r="B5104" s="6" t="s">
        <v>60</v>
      </c>
      <c r="C5104" s="6" t="s">
        <v>66</v>
      </c>
      <c r="D5104" s="5">
        <v>45566</v>
      </c>
      <c r="E5104" s="6" t="s">
        <v>15</v>
      </c>
      <c r="F5104" s="7">
        <v>266</v>
      </c>
      <c r="G5104" s="7">
        <v>293484.85714285722</v>
      </c>
      <c r="H5104" s="7">
        <v>78066972</v>
      </c>
      <c r="I5104" s="7">
        <v>7036502</v>
      </c>
      <c r="J5104" s="7">
        <v>0</v>
      </c>
      <c r="K5104">
        <f t="shared" si="79"/>
        <v>123</v>
      </c>
      <c r="L5104" s="8" t="str" cm="1">
        <f t="array" ref="L5104">_xlfn.IFS(
 AND(K5104&gt;=89,K5104&lt;=92),"3개월",
 AND(K5104&gt;=58,K5104&lt;=62),"2개월",
 AND(K5104&gt;=28,K5104&lt;=32),"1개월",
 AND(K5104=0),"당월",
 TRUE,"그외"
)</f>
        <v>그외</v>
      </c>
    </row>
    <row r="5105" spans="1:12" x14ac:dyDescent="0.3">
      <c r="A5105" s="5">
        <v>45689</v>
      </c>
      <c r="B5105" s="6" t="s">
        <v>60</v>
      </c>
      <c r="C5105" s="6" t="s">
        <v>66</v>
      </c>
      <c r="D5105" s="5">
        <v>45597</v>
      </c>
      <c r="E5105" s="6" t="s">
        <v>14</v>
      </c>
      <c r="F5105" s="7">
        <v>594</v>
      </c>
      <c r="G5105" s="7">
        <v>261639.05723905721</v>
      </c>
      <c r="H5105" s="7">
        <v>155413600</v>
      </c>
      <c r="I5105" s="7">
        <v>15087600</v>
      </c>
      <c r="J5105" s="7">
        <v>0</v>
      </c>
      <c r="K5105">
        <f t="shared" si="79"/>
        <v>92</v>
      </c>
      <c r="L5105" s="8" t="str" cm="1">
        <f t="array" ref="L5105">_xlfn.IFS(
 AND(K5105&gt;=89,K5105&lt;=92),"3개월",
 AND(K5105&gt;=58,K5105&lt;=62),"2개월",
 AND(K5105&gt;=28,K5105&lt;=32),"1개월",
 AND(K5105=0),"당월",
 TRUE,"그외"
)</f>
        <v>3개월</v>
      </c>
    </row>
    <row r="5106" spans="1:12" x14ac:dyDescent="0.3">
      <c r="A5106" s="5">
        <v>45689</v>
      </c>
      <c r="B5106" s="6" t="s">
        <v>60</v>
      </c>
      <c r="C5106" s="6" t="s">
        <v>66</v>
      </c>
      <c r="D5106" s="5">
        <v>45597</v>
      </c>
      <c r="E5106" s="6" t="s">
        <v>15</v>
      </c>
      <c r="F5106" s="7">
        <v>415</v>
      </c>
      <c r="G5106" s="7">
        <v>305216.46265060239</v>
      </c>
      <c r="H5106" s="7">
        <v>126664832</v>
      </c>
      <c r="I5106" s="7">
        <v>10838185</v>
      </c>
      <c r="J5106" s="7">
        <v>0</v>
      </c>
      <c r="K5106">
        <f t="shared" si="79"/>
        <v>92</v>
      </c>
      <c r="L5106" s="8" t="str" cm="1">
        <f t="array" ref="L5106">_xlfn.IFS(
 AND(K5106&gt;=89,K5106&lt;=92),"3개월",
 AND(K5106&gt;=58,K5106&lt;=62),"2개월",
 AND(K5106&gt;=28,K5106&lt;=32),"1개월",
 AND(K5106=0),"당월",
 TRUE,"그외"
)</f>
        <v>3개월</v>
      </c>
    </row>
    <row r="5107" spans="1:12" x14ac:dyDescent="0.3">
      <c r="A5107" s="5">
        <v>45689</v>
      </c>
      <c r="B5107" s="6" t="s">
        <v>60</v>
      </c>
      <c r="C5107" s="6" t="s">
        <v>66</v>
      </c>
      <c r="D5107" s="5">
        <v>45627</v>
      </c>
      <c r="E5107" s="6" t="s">
        <v>14</v>
      </c>
      <c r="F5107" s="7">
        <v>790</v>
      </c>
      <c r="G5107" s="7">
        <v>261148.1012658228</v>
      </c>
      <c r="H5107" s="7">
        <v>206307000</v>
      </c>
      <c r="I5107" s="7">
        <v>23912000</v>
      </c>
      <c r="J5107" s="7">
        <v>0</v>
      </c>
      <c r="K5107">
        <f t="shared" si="79"/>
        <v>62</v>
      </c>
      <c r="L5107" s="8" t="str" cm="1">
        <f t="array" ref="L5107">_xlfn.IFS(
 AND(K5107&gt;=89,K5107&lt;=92),"3개월",
 AND(K5107&gt;=58,K5107&lt;=62),"2개월",
 AND(K5107&gt;=28,K5107&lt;=32),"1개월",
 AND(K5107=0),"당월",
 TRUE,"그외"
)</f>
        <v>2개월</v>
      </c>
    </row>
    <row r="5108" spans="1:12" x14ac:dyDescent="0.3">
      <c r="A5108" s="5">
        <v>45689</v>
      </c>
      <c r="B5108" s="6" t="s">
        <v>60</v>
      </c>
      <c r="C5108" s="6" t="s">
        <v>66</v>
      </c>
      <c r="D5108" s="5">
        <v>45627</v>
      </c>
      <c r="E5108" s="6" t="s">
        <v>15</v>
      </c>
      <c r="F5108" s="7">
        <v>1067</v>
      </c>
      <c r="G5108" s="7">
        <v>297448.04873477039</v>
      </c>
      <c r="H5108" s="7">
        <v>317377068</v>
      </c>
      <c r="I5108" s="7">
        <v>32985189</v>
      </c>
      <c r="J5108" s="7">
        <v>0</v>
      </c>
      <c r="K5108">
        <f t="shared" si="79"/>
        <v>62</v>
      </c>
      <c r="L5108" s="8" t="str" cm="1">
        <f t="array" ref="L5108">_xlfn.IFS(
 AND(K5108&gt;=89,K5108&lt;=92),"3개월",
 AND(K5108&gt;=58,K5108&lt;=62),"2개월",
 AND(K5108&gt;=28,K5108&lt;=32),"1개월",
 AND(K5108=0),"당월",
 TRUE,"그외"
)</f>
        <v>2개월</v>
      </c>
    </row>
    <row r="5109" spans="1:12" x14ac:dyDescent="0.3">
      <c r="A5109" s="5">
        <v>45689</v>
      </c>
      <c r="B5109" s="6" t="s">
        <v>60</v>
      </c>
      <c r="C5109" s="6" t="s">
        <v>66</v>
      </c>
      <c r="D5109" s="5">
        <v>45658</v>
      </c>
      <c r="E5109" s="6" t="s">
        <v>14</v>
      </c>
      <c r="F5109" s="7">
        <v>2440</v>
      </c>
      <c r="G5109" s="7">
        <v>256779.46721311481</v>
      </c>
      <c r="H5109" s="7">
        <v>626541900</v>
      </c>
      <c r="I5109" s="7">
        <v>63699900</v>
      </c>
      <c r="J5109" s="7">
        <v>0</v>
      </c>
      <c r="K5109">
        <f t="shared" si="79"/>
        <v>31</v>
      </c>
      <c r="L5109" s="8" t="str" cm="1">
        <f t="array" ref="L5109">_xlfn.IFS(
 AND(K5109&gt;=89,K5109&lt;=92),"3개월",
 AND(K5109&gt;=58,K5109&lt;=62),"2개월",
 AND(K5109&gt;=28,K5109&lt;=32),"1개월",
 AND(K5109=0),"당월",
 TRUE,"그외"
)</f>
        <v>1개월</v>
      </c>
    </row>
    <row r="5110" spans="1:12" x14ac:dyDescent="0.3">
      <c r="A5110" s="5">
        <v>45689</v>
      </c>
      <c r="B5110" s="6" t="s">
        <v>60</v>
      </c>
      <c r="C5110" s="6" t="s">
        <v>66</v>
      </c>
      <c r="D5110" s="5">
        <v>45658</v>
      </c>
      <c r="E5110" s="6" t="s">
        <v>15</v>
      </c>
      <c r="F5110" s="7">
        <v>1605</v>
      </c>
      <c r="G5110" s="7">
        <v>280419.06105919002</v>
      </c>
      <c r="H5110" s="7">
        <v>450072593</v>
      </c>
      <c r="I5110" s="7">
        <v>50340574</v>
      </c>
      <c r="J5110" s="7">
        <v>0</v>
      </c>
      <c r="K5110">
        <f t="shared" si="79"/>
        <v>31</v>
      </c>
      <c r="L5110" s="8" t="str" cm="1">
        <f t="array" ref="L5110">_xlfn.IFS(
 AND(K5110&gt;=89,K5110&lt;=92),"3개월",
 AND(K5110&gt;=58,K5110&lt;=62),"2개월",
 AND(K5110&gt;=28,K5110&lt;=32),"1개월",
 AND(K5110=0),"당월",
 TRUE,"그외"
)</f>
        <v>1개월</v>
      </c>
    </row>
    <row r="5111" spans="1:12" x14ac:dyDescent="0.3">
      <c r="A5111" s="5">
        <v>45689</v>
      </c>
      <c r="B5111" s="6" t="s">
        <v>60</v>
      </c>
      <c r="C5111" s="6" t="s">
        <v>66</v>
      </c>
      <c r="D5111" s="5">
        <v>45689</v>
      </c>
      <c r="E5111" s="6" t="s">
        <v>14</v>
      </c>
      <c r="F5111" s="7">
        <v>1510</v>
      </c>
      <c r="G5111" s="7">
        <v>273248.14569536422</v>
      </c>
      <c r="H5111" s="7">
        <v>412604700</v>
      </c>
      <c r="I5111" s="7">
        <v>48434700</v>
      </c>
      <c r="J5111" s="7">
        <v>0</v>
      </c>
      <c r="K5111">
        <f t="shared" si="79"/>
        <v>0</v>
      </c>
      <c r="L5111" s="8" t="str" cm="1">
        <f t="array" ref="L5111">_xlfn.IFS(
 AND(K5111&gt;=89,K5111&lt;=92),"3개월",
 AND(K5111&gt;=58,K5111&lt;=62),"2개월",
 AND(K5111&gt;=28,K5111&lt;=32),"1개월",
 AND(K5111=0),"당월",
 TRUE,"그외"
)</f>
        <v>당월</v>
      </c>
    </row>
    <row r="5112" spans="1:12" x14ac:dyDescent="0.3">
      <c r="A5112" s="5">
        <v>45689</v>
      </c>
      <c r="B5112" s="6" t="s">
        <v>60</v>
      </c>
      <c r="C5112" s="6" t="s">
        <v>66</v>
      </c>
      <c r="D5112" s="5">
        <v>45689</v>
      </c>
      <c r="E5112" s="6" t="s">
        <v>15</v>
      </c>
      <c r="F5112" s="7">
        <v>767</v>
      </c>
      <c r="G5112" s="7">
        <v>298175.93220338982</v>
      </c>
      <c r="H5112" s="7">
        <v>228700940</v>
      </c>
      <c r="I5112" s="7">
        <v>24743830</v>
      </c>
      <c r="J5112" s="7">
        <v>0</v>
      </c>
      <c r="K5112">
        <f t="shared" si="79"/>
        <v>0</v>
      </c>
      <c r="L5112" s="8" t="str" cm="1">
        <f t="array" ref="L5112">_xlfn.IFS(
 AND(K5112&gt;=89,K5112&lt;=92),"3개월",
 AND(K5112&gt;=58,K5112&lt;=62),"2개월",
 AND(K5112&gt;=28,K5112&lt;=32),"1개월",
 AND(K5112=0),"당월",
 TRUE,"그외"
)</f>
        <v>당월</v>
      </c>
    </row>
    <row r="5113" spans="1:12" x14ac:dyDescent="0.3">
      <c r="A5113" s="5">
        <v>45689</v>
      </c>
      <c r="B5113" s="6" t="s">
        <v>60</v>
      </c>
      <c r="C5113" s="6" t="s">
        <v>67</v>
      </c>
      <c r="D5113" s="5">
        <v>45536</v>
      </c>
      <c r="E5113" s="6" t="s">
        <v>15</v>
      </c>
      <c r="F5113" s="7">
        <v>212</v>
      </c>
      <c r="G5113" s="7">
        <v>268917.09433962271</v>
      </c>
      <c r="H5113" s="7">
        <v>57010424</v>
      </c>
      <c r="I5113" s="7">
        <v>7595621</v>
      </c>
      <c r="J5113" s="7">
        <v>0</v>
      </c>
      <c r="K5113">
        <f t="shared" si="79"/>
        <v>153</v>
      </c>
      <c r="L5113" s="8" t="str" cm="1">
        <f t="array" ref="L5113">_xlfn.IFS(
 AND(K5113&gt;=89,K5113&lt;=92),"3개월",
 AND(K5113&gt;=58,K5113&lt;=62),"2개월",
 AND(K5113&gt;=28,K5113&lt;=32),"1개월",
 AND(K5113=0),"당월",
 TRUE,"그외"
)</f>
        <v>그외</v>
      </c>
    </row>
    <row r="5114" spans="1:12" x14ac:dyDescent="0.3">
      <c r="A5114" s="5">
        <v>45689</v>
      </c>
      <c r="B5114" s="6" t="s">
        <v>60</v>
      </c>
      <c r="C5114" s="6" t="s">
        <v>67</v>
      </c>
      <c r="D5114" s="5">
        <v>45566</v>
      </c>
      <c r="E5114" s="6" t="s">
        <v>15</v>
      </c>
      <c r="F5114" s="7">
        <v>147</v>
      </c>
      <c r="G5114" s="7">
        <v>272984.0544217687</v>
      </c>
      <c r="H5114" s="7">
        <v>40128656</v>
      </c>
      <c r="I5114" s="7">
        <v>3760034</v>
      </c>
      <c r="J5114" s="7">
        <v>0</v>
      </c>
      <c r="K5114">
        <f t="shared" si="79"/>
        <v>123</v>
      </c>
      <c r="L5114" s="8" t="str" cm="1">
        <f t="array" ref="L5114">_xlfn.IFS(
 AND(K5114&gt;=89,K5114&lt;=92),"3개월",
 AND(K5114&gt;=58,K5114&lt;=62),"2개월",
 AND(K5114&gt;=28,K5114&lt;=32),"1개월",
 AND(K5114=0),"당월",
 TRUE,"그외"
)</f>
        <v>그외</v>
      </c>
    </row>
    <row r="5115" spans="1:12" x14ac:dyDescent="0.3">
      <c r="A5115" s="5">
        <v>45689</v>
      </c>
      <c r="B5115" s="6" t="s">
        <v>60</v>
      </c>
      <c r="C5115" s="6" t="s">
        <v>67</v>
      </c>
      <c r="D5115" s="5">
        <v>45597</v>
      </c>
      <c r="E5115" s="6" t="s">
        <v>14</v>
      </c>
      <c r="F5115" s="7">
        <v>290</v>
      </c>
      <c r="G5115" s="7">
        <v>245813.79310344829</v>
      </c>
      <c r="H5115" s="7">
        <v>71286000</v>
      </c>
      <c r="I5115" s="7">
        <v>7366000</v>
      </c>
      <c r="J5115" s="7">
        <v>0</v>
      </c>
      <c r="K5115">
        <f t="shared" si="79"/>
        <v>92</v>
      </c>
      <c r="L5115" s="8" t="str" cm="1">
        <f t="array" ref="L5115">_xlfn.IFS(
 AND(K5115&gt;=89,K5115&lt;=92),"3개월",
 AND(K5115&gt;=58,K5115&lt;=62),"2개월",
 AND(K5115&gt;=28,K5115&lt;=32),"1개월",
 AND(K5115=0),"당월",
 TRUE,"그외"
)</f>
        <v>3개월</v>
      </c>
    </row>
    <row r="5116" spans="1:12" x14ac:dyDescent="0.3">
      <c r="A5116" s="5">
        <v>45689</v>
      </c>
      <c r="B5116" s="6" t="s">
        <v>60</v>
      </c>
      <c r="C5116" s="6" t="s">
        <v>67</v>
      </c>
      <c r="D5116" s="5">
        <v>45597</v>
      </c>
      <c r="E5116" s="6" t="s">
        <v>15</v>
      </c>
      <c r="F5116" s="7">
        <v>155</v>
      </c>
      <c r="G5116" s="7">
        <v>281244.43870967737</v>
      </c>
      <c r="H5116" s="7">
        <v>43592888</v>
      </c>
      <c r="I5116" s="7">
        <v>3761316</v>
      </c>
      <c r="J5116" s="7">
        <v>0</v>
      </c>
      <c r="K5116">
        <f t="shared" si="79"/>
        <v>92</v>
      </c>
      <c r="L5116" s="8" t="str" cm="1">
        <f t="array" ref="L5116">_xlfn.IFS(
 AND(K5116&gt;=89,K5116&lt;=92),"3개월",
 AND(K5116&gt;=58,K5116&lt;=62),"2개월",
 AND(K5116&gt;=28,K5116&lt;=32),"1개월",
 AND(K5116=0),"당월",
 TRUE,"그외"
)</f>
        <v>3개월</v>
      </c>
    </row>
    <row r="5117" spans="1:12" x14ac:dyDescent="0.3">
      <c r="A5117" s="5">
        <v>45689</v>
      </c>
      <c r="B5117" s="6" t="s">
        <v>60</v>
      </c>
      <c r="C5117" s="6" t="s">
        <v>67</v>
      </c>
      <c r="D5117" s="5">
        <v>45627</v>
      </c>
      <c r="E5117" s="6" t="s">
        <v>14</v>
      </c>
      <c r="F5117" s="7">
        <v>339</v>
      </c>
      <c r="G5117" s="7">
        <v>440907.07964601769</v>
      </c>
      <c r="H5117" s="7">
        <v>149467500</v>
      </c>
      <c r="I5117" s="7">
        <v>10217500</v>
      </c>
      <c r="J5117" s="7">
        <v>0</v>
      </c>
      <c r="K5117">
        <f t="shared" si="79"/>
        <v>62</v>
      </c>
      <c r="L5117" s="8" t="str" cm="1">
        <f t="array" ref="L5117">_xlfn.IFS(
 AND(K5117&gt;=89,K5117&lt;=92),"3개월",
 AND(K5117&gt;=58,K5117&lt;=62),"2개월",
 AND(K5117&gt;=28,K5117&lt;=32),"1개월",
 AND(K5117=0),"당월",
 TRUE,"그외"
)</f>
        <v>2개월</v>
      </c>
    </row>
    <row r="5118" spans="1:12" x14ac:dyDescent="0.3">
      <c r="A5118" s="5">
        <v>45689</v>
      </c>
      <c r="B5118" s="6" t="s">
        <v>60</v>
      </c>
      <c r="C5118" s="6" t="s">
        <v>67</v>
      </c>
      <c r="D5118" s="5">
        <v>45627</v>
      </c>
      <c r="E5118" s="6" t="s">
        <v>15</v>
      </c>
      <c r="F5118" s="7">
        <v>1619</v>
      </c>
      <c r="G5118" s="7">
        <v>261984.25818406421</v>
      </c>
      <c r="H5118" s="7">
        <v>424152514</v>
      </c>
      <c r="I5118" s="7">
        <v>48052131</v>
      </c>
      <c r="J5118" s="7">
        <v>0</v>
      </c>
      <c r="K5118">
        <f t="shared" si="79"/>
        <v>62</v>
      </c>
      <c r="L5118" s="8" t="str" cm="1">
        <f t="array" ref="L5118">_xlfn.IFS(
 AND(K5118&gt;=89,K5118&lt;=92),"3개월",
 AND(K5118&gt;=58,K5118&lt;=62),"2개월",
 AND(K5118&gt;=28,K5118&lt;=32),"1개월",
 AND(K5118=0),"당월",
 TRUE,"그외"
)</f>
        <v>2개월</v>
      </c>
    </row>
    <row r="5119" spans="1:12" x14ac:dyDescent="0.3">
      <c r="A5119" s="5">
        <v>45689</v>
      </c>
      <c r="B5119" s="6" t="s">
        <v>60</v>
      </c>
      <c r="C5119" s="6" t="s">
        <v>67</v>
      </c>
      <c r="D5119" s="5">
        <v>45658</v>
      </c>
      <c r="E5119" s="6" t="s">
        <v>14</v>
      </c>
      <c r="F5119" s="7">
        <v>1425</v>
      </c>
      <c r="G5119" s="7">
        <v>452206.17543859652</v>
      </c>
      <c r="H5119" s="7">
        <v>644393800</v>
      </c>
      <c r="I5119" s="7">
        <v>42551800</v>
      </c>
      <c r="J5119" s="7">
        <v>0</v>
      </c>
      <c r="K5119">
        <f t="shared" si="79"/>
        <v>31</v>
      </c>
      <c r="L5119" s="8" t="str" cm="1">
        <f t="array" ref="L5119">_xlfn.IFS(
 AND(K5119&gt;=89,K5119&lt;=92),"3개월",
 AND(K5119&gt;=58,K5119&lt;=62),"2개월",
 AND(K5119&gt;=28,K5119&lt;=32),"1개월",
 AND(K5119=0),"당월",
 TRUE,"그외"
)</f>
        <v>1개월</v>
      </c>
    </row>
    <row r="5120" spans="1:12" x14ac:dyDescent="0.3">
      <c r="A5120" s="5">
        <v>45689</v>
      </c>
      <c r="B5120" s="6" t="s">
        <v>60</v>
      </c>
      <c r="C5120" s="6" t="s">
        <v>67</v>
      </c>
      <c r="D5120" s="5">
        <v>45658</v>
      </c>
      <c r="E5120" s="6" t="s">
        <v>15</v>
      </c>
      <c r="F5120" s="7">
        <v>2874</v>
      </c>
      <c r="G5120" s="7">
        <v>223131.65274878219</v>
      </c>
      <c r="H5120" s="7">
        <v>641280370</v>
      </c>
      <c r="I5120" s="7">
        <v>88620810</v>
      </c>
      <c r="J5120" s="7">
        <v>0</v>
      </c>
      <c r="K5120">
        <f t="shared" si="79"/>
        <v>31</v>
      </c>
      <c r="L5120" s="8" t="str" cm="1">
        <f t="array" ref="L5120">_xlfn.IFS(
 AND(K5120&gt;=89,K5120&lt;=92),"3개월",
 AND(K5120&gt;=58,K5120&lt;=62),"2개월",
 AND(K5120&gt;=28,K5120&lt;=32),"1개월",
 AND(K5120=0),"당월",
 TRUE,"그외"
)</f>
        <v>1개월</v>
      </c>
    </row>
    <row r="5121" spans="1:12" x14ac:dyDescent="0.3">
      <c r="A5121" s="5">
        <v>45689</v>
      </c>
      <c r="B5121" s="6" t="s">
        <v>60</v>
      </c>
      <c r="C5121" s="6" t="s">
        <v>67</v>
      </c>
      <c r="D5121" s="5">
        <v>45689</v>
      </c>
      <c r="E5121" s="6" t="s">
        <v>14</v>
      </c>
      <c r="F5121" s="7">
        <v>1967</v>
      </c>
      <c r="G5121" s="7">
        <v>66322.318251143879</v>
      </c>
      <c r="H5121" s="7">
        <v>130456000</v>
      </c>
      <c r="I5121" s="7">
        <v>63123000</v>
      </c>
      <c r="J5121" s="7">
        <v>0</v>
      </c>
      <c r="K5121">
        <f t="shared" si="79"/>
        <v>0</v>
      </c>
      <c r="L5121" s="8" t="str" cm="1">
        <f t="array" ref="L5121">_xlfn.IFS(
 AND(K5121&gt;=89,K5121&lt;=92),"3개월",
 AND(K5121&gt;=58,K5121&lt;=62),"2개월",
 AND(K5121&gt;=28,K5121&lt;=32),"1개월",
 AND(K5121=0),"당월",
 TRUE,"그외"
)</f>
        <v>당월</v>
      </c>
    </row>
    <row r="5122" spans="1:12" x14ac:dyDescent="0.3">
      <c r="A5122" s="5">
        <v>45689</v>
      </c>
      <c r="B5122" s="6" t="s">
        <v>60</v>
      </c>
      <c r="C5122" s="6" t="s">
        <v>67</v>
      </c>
      <c r="D5122" s="5">
        <v>45689</v>
      </c>
      <c r="E5122" s="6" t="s">
        <v>15</v>
      </c>
      <c r="F5122" s="7">
        <v>904</v>
      </c>
      <c r="G5122" s="7">
        <v>235921.4314159292</v>
      </c>
      <c r="H5122" s="7">
        <v>213272974</v>
      </c>
      <c r="I5122" s="7">
        <v>29440973</v>
      </c>
      <c r="J5122" s="7">
        <v>0</v>
      </c>
      <c r="K5122">
        <f t="shared" si="79"/>
        <v>0</v>
      </c>
      <c r="L5122" s="8" t="str" cm="1">
        <f t="array" ref="L5122">_xlfn.IFS(
 AND(K5122&gt;=89,K5122&lt;=92),"3개월",
 AND(K5122&gt;=58,K5122&lt;=62),"2개월",
 AND(K5122&gt;=28,K5122&lt;=32),"1개월",
 AND(K5122=0),"당월",
 TRUE,"그외"
)</f>
        <v>당월</v>
      </c>
    </row>
    <row r="5123" spans="1:12" x14ac:dyDescent="0.3">
      <c r="A5123" s="5">
        <v>45689</v>
      </c>
      <c r="B5123" s="6" t="s">
        <v>60</v>
      </c>
      <c r="C5123" s="6" t="s">
        <v>68</v>
      </c>
      <c r="D5123" s="5">
        <v>45505</v>
      </c>
      <c r="E5123" s="6" t="s">
        <v>15</v>
      </c>
      <c r="F5123" s="7">
        <v>414</v>
      </c>
      <c r="G5123" s="7">
        <v>281315.73913043481</v>
      </c>
      <c r="H5123" s="7">
        <v>116464716</v>
      </c>
      <c r="I5123" s="7">
        <v>16646328</v>
      </c>
      <c r="J5123" s="7">
        <v>0</v>
      </c>
      <c r="K5123">
        <f t="shared" si="79"/>
        <v>184</v>
      </c>
      <c r="L5123" s="8" t="str" cm="1">
        <f t="array" ref="L5123">_xlfn.IFS(
 AND(K5123&gt;=89,K5123&lt;=92),"3개월",
 AND(K5123&gt;=58,K5123&lt;=62),"2개월",
 AND(K5123&gt;=28,K5123&lt;=32),"1개월",
 AND(K5123=0),"당월",
 TRUE,"그외"
)</f>
        <v>그외</v>
      </c>
    </row>
    <row r="5124" spans="1:12" x14ac:dyDescent="0.3">
      <c r="A5124" s="5">
        <v>45689</v>
      </c>
      <c r="B5124" s="6" t="s">
        <v>60</v>
      </c>
      <c r="C5124" s="6" t="s">
        <v>68</v>
      </c>
      <c r="D5124" s="5">
        <v>45536</v>
      </c>
      <c r="E5124" s="6" t="s">
        <v>14</v>
      </c>
      <c r="F5124" s="7">
        <v>62</v>
      </c>
      <c r="G5124" s="7">
        <v>263187.09677419357</v>
      </c>
      <c r="H5124" s="7">
        <v>16317600</v>
      </c>
      <c r="I5124" s="7">
        <v>2219600</v>
      </c>
      <c r="J5124" s="7">
        <v>0</v>
      </c>
      <c r="K5124">
        <f t="shared" si="79"/>
        <v>153</v>
      </c>
      <c r="L5124" s="8" t="str" cm="1">
        <f t="array" ref="L5124">_xlfn.IFS(
 AND(K5124&gt;=89,K5124&lt;=92),"3개월",
 AND(K5124&gt;=58,K5124&lt;=62),"2개월",
 AND(K5124&gt;=28,K5124&lt;=32),"1개월",
 AND(K5124=0),"당월",
 TRUE,"그외"
)</f>
        <v>그외</v>
      </c>
    </row>
    <row r="5125" spans="1:12" x14ac:dyDescent="0.3">
      <c r="A5125" s="5">
        <v>45689</v>
      </c>
      <c r="B5125" s="6" t="s">
        <v>60</v>
      </c>
      <c r="C5125" s="6" t="s">
        <v>68</v>
      </c>
      <c r="D5125" s="5">
        <v>45536</v>
      </c>
      <c r="E5125" s="6" t="s">
        <v>15</v>
      </c>
      <c r="F5125" s="7">
        <v>201</v>
      </c>
      <c r="G5125" s="7">
        <v>315470.14925373142</v>
      </c>
      <c r="H5125" s="7">
        <v>63409500</v>
      </c>
      <c r="I5125" s="7">
        <v>7195800</v>
      </c>
      <c r="J5125" s="7">
        <v>0</v>
      </c>
      <c r="K5125">
        <f t="shared" si="79"/>
        <v>153</v>
      </c>
      <c r="L5125" s="8" t="str" cm="1">
        <f t="array" ref="L5125">_xlfn.IFS(
 AND(K5125&gt;=89,K5125&lt;=92),"3개월",
 AND(K5125&gt;=58,K5125&lt;=62),"2개월",
 AND(K5125&gt;=28,K5125&lt;=32),"1개월",
 AND(K5125=0),"당월",
 TRUE,"그외"
)</f>
        <v>그외</v>
      </c>
    </row>
    <row r="5126" spans="1:12" x14ac:dyDescent="0.3">
      <c r="A5126" s="5">
        <v>45689</v>
      </c>
      <c r="B5126" s="6" t="s">
        <v>60</v>
      </c>
      <c r="C5126" s="6" t="s">
        <v>68</v>
      </c>
      <c r="D5126" s="5">
        <v>45566</v>
      </c>
      <c r="E5126" s="6" t="s">
        <v>14</v>
      </c>
      <c r="F5126" s="7">
        <v>288</v>
      </c>
      <c r="G5126" s="7">
        <v>229983.33333333331</v>
      </c>
      <c r="H5126" s="7">
        <v>66235200</v>
      </c>
      <c r="I5126" s="7">
        <v>7315200</v>
      </c>
      <c r="J5126" s="7">
        <v>0</v>
      </c>
      <c r="K5126">
        <f t="shared" si="79"/>
        <v>123</v>
      </c>
      <c r="L5126" s="8" t="str" cm="1">
        <f t="array" ref="L5126">_xlfn.IFS(
 AND(K5126&gt;=89,K5126&lt;=92),"3개월",
 AND(K5126&gt;=58,K5126&lt;=62),"2개월",
 AND(K5126&gt;=28,K5126&lt;=32),"1개월",
 AND(K5126=0),"당월",
 TRUE,"그외"
)</f>
        <v>그외</v>
      </c>
    </row>
    <row r="5127" spans="1:12" x14ac:dyDescent="0.3">
      <c r="A5127" s="5">
        <v>45689</v>
      </c>
      <c r="B5127" s="6" t="s">
        <v>60</v>
      </c>
      <c r="C5127" s="6" t="s">
        <v>68</v>
      </c>
      <c r="D5127" s="5">
        <v>45566</v>
      </c>
      <c r="E5127" s="6" t="s">
        <v>15</v>
      </c>
      <c r="F5127" s="7">
        <v>307</v>
      </c>
      <c r="G5127" s="7">
        <v>314816.93811074918</v>
      </c>
      <c r="H5127" s="7">
        <v>96648800</v>
      </c>
      <c r="I5127" s="7">
        <v>7797800</v>
      </c>
      <c r="J5127" s="7">
        <v>0</v>
      </c>
      <c r="K5127">
        <f t="shared" si="79"/>
        <v>123</v>
      </c>
      <c r="L5127" s="8" t="str" cm="1">
        <f t="array" ref="L5127">_xlfn.IFS(
 AND(K5127&gt;=89,K5127&lt;=92),"3개월",
 AND(K5127&gt;=58,K5127&lt;=62),"2개월",
 AND(K5127&gt;=28,K5127&lt;=32),"1개월",
 AND(K5127=0),"당월",
 TRUE,"그외"
)</f>
        <v>그외</v>
      </c>
    </row>
    <row r="5128" spans="1:12" x14ac:dyDescent="0.3">
      <c r="A5128" s="5">
        <v>45689</v>
      </c>
      <c r="B5128" s="6" t="s">
        <v>60</v>
      </c>
      <c r="C5128" s="6" t="s">
        <v>68</v>
      </c>
      <c r="D5128" s="5">
        <v>45597</v>
      </c>
      <c r="E5128" s="6" t="s">
        <v>14</v>
      </c>
      <c r="F5128" s="7">
        <v>1107</v>
      </c>
      <c r="G5128" s="7">
        <v>241185.90785907861</v>
      </c>
      <c r="H5128" s="7">
        <v>266992800</v>
      </c>
      <c r="I5128" s="7">
        <v>28117800</v>
      </c>
      <c r="J5128" s="7">
        <v>0</v>
      </c>
      <c r="K5128">
        <f t="shared" si="79"/>
        <v>92</v>
      </c>
      <c r="L5128" s="8" t="str" cm="1">
        <f t="array" ref="L5128">_xlfn.IFS(
 AND(K5128&gt;=89,K5128&lt;=92),"3개월",
 AND(K5128&gt;=58,K5128&lt;=62),"2개월",
 AND(K5128&gt;=28,K5128&lt;=32),"1개월",
 AND(K5128=0),"당월",
 TRUE,"그외"
)</f>
        <v>3개월</v>
      </c>
    </row>
    <row r="5129" spans="1:12" x14ac:dyDescent="0.3">
      <c r="A5129" s="5">
        <v>45689</v>
      </c>
      <c r="B5129" s="6" t="s">
        <v>60</v>
      </c>
      <c r="C5129" s="6" t="s">
        <v>68</v>
      </c>
      <c r="D5129" s="5">
        <v>45597</v>
      </c>
      <c r="E5129" s="6" t="s">
        <v>15</v>
      </c>
      <c r="F5129" s="7">
        <v>681</v>
      </c>
      <c r="G5129" s="7">
        <v>315464.64170337742</v>
      </c>
      <c r="H5129" s="7">
        <v>214831421</v>
      </c>
      <c r="I5129" s="7">
        <v>17369225</v>
      </c>
      <c r="J5129" s="7">
        <v>0</v>
      </c>
      <c r="K5129">
        <f t="shared" si="79"/>
        <v>92</v>
      </c>
      <c r="L5129" s="8" t="str" cm="1">
        <f t="array" ref="L5129">_xlfn.IFS(
 AND(K5129&gt;=89,K5129&lt;=92),"3개월",
 AND(K5129&gt;=58,K5129&lt;=62),"2개월",
 AND(K5129&gt;=28,K5129&lt;=32),"1개월",
 AND(K5129=0),"당월",
 TRUE,"그외"
)</f>
        <v>3개월</v>
      </c>
    </row>
    <row r="5130" spans="1:12" x14ac:dyDescent="0.3">
      <c r="A5130" s="5">
        <v>45689</v>
      </c>
      <c r="B5130" s="6" t="s">
        <v>60</v>
      </c>
      <c r="C5130" s="6" t="s">
        <v>68</v>
      </c>
      <c r="D5130" s="5">
        <v>45627</v>
      </c>
      <c r="E5130" s="6" t="s">
        <v>14</v>
      </c>
      <c r="F5130" s="7">
        <v>1468</v>
      </c>
      <c r="G5130" s="7">
        <v>253925.61307901909</v>
      </c>
      <c r="H5130" s="7">
        <v>372762800</v>
      </c>
      <c r="I5130" s="7">
        <v>44763800</v>
      </c>
      <c r="J5130" s="7">
        <v>0</v>
      </c>
      <c r="K5130">
        <f t="shared" ref="K5130:K5193" si="80">A5130-D5130</f>
        <v>62</v>
      </c>
      <c r="L5130" s="8" t="str" cm="1">
        <f t="array" ref="L5130">_xlfn.IFS(
 AND(K5130&gt;=89,K5130&lt;=92),"3개월",
 AND(K5130&gt;=58,K5130&lt;=62),"2개월",
 AND(K5130&gt;=28,K5130&lt;=32),"1개월",
 AND(K5130=0),"당월",
 TRUE,"그외"
)</f>
        <v>2개월</v>
      </c>
    </row>
    <row r="5131" spans="1:12" x14ac:dyDescent="0.3">
      <c r="A5131" s="5">
        <v>45689</v>
      </c>
      <c r="B5131" s="6" t="s">
        <v>60</v>
      </c>
      <c r="C5131" s="6" t="s">
        <v>68</v>
      </c>
      <c r="D5131" s="5">
        <v>45627</v>
      </c>
      <c r="E5131" s="6" t="s">
        <v>15</v>
      </c>
      <c r="F5131" s="7">
        <v>782</v>
      </c>
      <c r="G5131" s="7">
        <v>329356.99232736568</v>
      </c>
      <c r="H5131" s="7">
        <v>257557168</v>
      </c>
      <c r="I5131" s="7">
        <v>23903774</v>
      </c>
      <c r="J5131" s="7">
        <v>0</v>
      </c>
      <c r="K5131">
        <f t="shared" si="80"/>
        <v>62</v>
      </c>
      <c r="L5131" s="8" t="str" cm="1">
        <f t="array" ref="L5131">_xlfn.IFS(
 AND(K5131&gt;=89,K5131&lt;=92),"3개월",
 AND(K5131&gt;=58,K5131&lt;=62),"2개월",
 AND(K5131&gt;=28,K5131&lt;=32),"1개월",
 AND(K5131=0),"당월",
 TRUE,"그외"
)</f>
        <v>2개월</v>
      </c>
    </row>
    <row r="5132" spans="1:12" x14ac:dyDescent="0.3">
      <c r="A5132" s="5">
        <v>45689</v>
      </c>
      <c r="B5132" s="6" t="s">
        <v>60</v>
      </c>
      <c r="C5132" s="6" t="s">
        <v>68</v>
      </c>
      <c r="D5132" s="5">
        <v>45658</v>
      </c>
      <c r="E5132" s="6" t="s">
        <v>14</v>
      </c>
      <c r="F5132" s="7">
        <v>577</v>
      </c>
      <c r="G5132" s="7">
        <v>264003.11958405538</v>
      </c>
      <c r="H5132" s="7">
        <v>152329800</v>
      </c>
      <c r="I5132" s="7">
        <v>17845800</v>
      </c>
      <c r="J5132" s="7">
        <v>0</v>
      </c>
      <c r="K5132">
        <f t="shared" si="80"/>
        <v>31</v>
      </c>
      <c r="L5132" s="8" t="str" cm="1">
        <f t="array" ref="L5132">_xlfn.IFS(
 AND(K5132&gt;=89,K5132&lt;=92),"3개월",
 AND(K5132&gt;=58,K5132&lt;=62),"2개월",
 AND(K5132&gt;=28,K5132&lt;=32),"1개월",
 AND(K5132=0),"당월",
 TRUE,"그외"
)</f>
        <v>1개월</v>
      </c>
    </row>
    <row r="5133" spans="1:12" x14ac:dyDescent="0.3">
      <c r="A5133" s="5">
        <v>45689</v>
      </c>
      <c r="B5133" s="6" t="s">
        <v>60</v>
      </c>
      <c r="C5133" s="6" t="s">
        <v>68</v>
      </c>
      <c r="D5133" s="5">
        <v>45658</v>
      </c>
      <c r="E5133" s="6" t="s">
        <v>15</v>
      </c>
      <c r="F5133" s="7">
        <v>1719</v>
      </c>
      <c r="G5133" s="7">
        <v>284575.54973821988</v>
      </c>
      <c r="H5133" s="7">
        <v>489185370</v>
      </c>
      <c r="I5133" s="7">
        <v>53552459</v>
      </c>
      <c r="J5133" s="7">
        <v>0</v>
      </c>
      <c r="K5133">
        <f t="shared" si="80"/>
        <v>31</v>
      </c>
      <c r="L5133" s="8" t="str" cm="1">
        <f t="array" ref="L5133">_xlfn.IFS(
 AND(K5133&gt;=89,K5133&lt;=92),"3개월",
 AND(K5133&gt;=58,K5133&lt;=62),"2개월",
 AND(K5133&gt;=28,K5133&lt;=32),"1개월",
 AND(K5133=0),"당월",
 TRUE,"그외"
)</f>
        <v>1개월</v>
      </c>
    </row>
    <row r="5134" spans="1:12" x14ac:dyDescent="0.3">
      <c r="A5134" s="5">
        <v>45689</v>
      </c>
      <c r="B5134" s="6" t="s">
        <v>60</v>
      </c>
      <c r="C5134" s="6" t="s">
        <v>68</v>
      </c>
      <c r="D5134" s="5">
        <v>45689</v>
      </c>
      <c r="E5134" s="6" t="s">
        <v>14</v>
      </c>
      <c r="F5134" s="7">
        <v>355</v>
      </c>
      <c r="G5134" s="7">
        <v>269092.95774647879</v>
      </c>
      <c r="H5134" s="7">
        <v>95528000</v>
      </c>
      <c r="I5134" s="7">
        <v>11330000</v>
      </c>
      <c r="J5134" s="7">
        <v>0</v>
      </c>
      <c r="K5134">
        <f t="shared" si="80"/>
        <v>0</v>
      </c>
      <c r="L5134" s="8" t="str" cm="1">
        <f t="array" ref="L5134">_xlfn.IFS(
 AND(K5134&gt;=89,K5134&lt;=92),"3개월",
 AND(K5134&gt;=58,K5134&lt;=62),"2개월",
 AND(K5134&gt;=28,K5134&lt;=32),"1개월",
 AND(K5134=0),"당월",
 TRUE,"그외"
)</f>
        <v>당월</v>
      </c>
    </row>
    <row r="5135" spans="1:12" x14ac:dyDescent="0.3">
      <c r="A5135" s="5">
        <v>45689</v>
      </c>
      <c r="B5135" s="6" t="s">
        <v>60</v>
      </c>
      <c r="C5135" s="6" t="s">
        <v>68</v>
      </c>
      <c r="D5135" s="5">
        <v>45689</v>
      </c>
      <c r="E5135" s="6" t="s">
        <v>15</v>
      </c>
      <c r="F5135" s="7">
        <v>978</v>
      </c>
      <c r="G5135" s="7">
        <v>268325.34867075662</v>
      </c>
      <c r="H5135" s="7">
        <v>262422191</v>
      </c>
      <c r="I5135" s="7">
        <v>31329380</v>
      </c>
      <c r="J5135" s="7">
        <v>0</v>
      </c>
      <c r="K5135">
        <f t="shared" si="80"/>
        <v>0</v>
      </c>
      <c r="L5135" s="8" t="str" cm="1">
        <f t="array" ref="L5135">_xlfn.IFS(
 AND(K5135&gt;=89,K5135&lt;=92),"3개월",
 AND(K5135&gt;=58,K5135&lt;=62),"2개월",
 AND(K5135&gt;=28,K5135&lt;=32),"1개월",
 AND(K5135=0),"당월",
 TRUE,"그외"
)</f>
        <v>당월</v>
      </c>
    </row>
    <row r="5136" spans="1:12" x14ac:dyDescent="0.3">
      <c r="A5136" s="5">
        <v>45689</v>
      </c>
      <c r="B5136" s="6" t="s">
        <v>60</v>
      </c>
      <c r="C5136" s="6" t="s">
        <v>69</v>
      </c>
      <c r="D5136" s="5">
        <v>45505</v>
      </c>
      <c r="E5136" s="6" t="s">
        <v>15</v>
      </c>
      <c r="F5136" s="7">
        <v>159</v>
      </c>
      <c r="G5136" s="7">
        <v>228186.51572327051</v>
      </c>
      <c r="H5136" s="7">
        <v>36281656</v>
      </c>
      <c r="I5136" s="7">
        <v>6376312</v>
      </c>
      <c r="J5136" s="7">
        <v>0</v>
      </c>
      <c r="K5136">
        <f t="shared" si="80"/>
        <v>184</v>
      </c>
      <c r="L5136" s="8" t="str" cm="1">
        <f t="array" ref="L5136">_xlfn.IFS(
 AND(K5136&gt;=89,K5136&lt;=92),"3개월",
 AND(K5136&gt;=58,K5136&lt;=62),"2개월",
 AND(K5136&gt;=28,K5136&lt;=32),"1개월",
 AND(K5136=0),"당월",
 TRUE,"그외"
)</f>
        <v>그외</v>
      </c>
    </row>
    <row r="5137" spans="1:12" x14ac:dyDescent="0.3">
      <c r="A5137" s="5">
        <v>45689</v>
      </c>
      <c r="B5137" s="6" t="s">
        <v>60</v>
      </c>
      <c r="C5137" s="6" t="s">
        <v>69</v>
      </c>
      <c r="D5137" s="5">
        <v>45536</v>
      </c>
      <c r="E5137" s="6" t="s">
        <v>15</v>
      </c>
      <c r="F5137" s="7">
        <v>93</v>
      </c>
      <c r="G5137" s="7">
        <v>316439.13978494622</v>
      </c>
      <c r="H5137" s="7">
        <v>29428840</v>
      </c>
      <c r="I5137" s="7">
        <v>3342188</v>
      </c>
      <c r="J5137" s="7">
        <v>0</v>
      </c>
      <c r="K5137">
        <f t="shared" si="80"/>
        <v>153</v>
      </c>
      <c r="L5137" s="8" t="str" cm="1">
        <f t="array" ref="L5137">_xlfn.IFS(
 AND(K5137&gt;=89,K5137&lt;=92),"3개월",
 AND(K5137&gt;=58,K5137&lt;=62),"2개월",
 AND(K5137&gt;=28,K5137&lt;=32),"1개월",
 AND(K5137=0),"당월",
 TRUE,"그외"
)</f>
        <v>그외</v>
      </c>
    </row>
    <row r="5138" spans="1:12" x14ac:dyDescent="0.3">
      <c r="A5138" s="5">
        <v>45689</v>
      </c>
      <c r="B5138" s="6" t="s">
        <v>60</v>
      </c>
      <c r="C5138" s="6" t="s">
        <v>69</v>
      </c>
      <c r="D5138" s="5">
        <v>45566</v>
      </c>
      <c r="E5138" s="6" t="s">
        <v>15</v>
      </c>
      <c r="F5138" s="7">
        <v>146</v>
      </c>
      <c r="G5138" s="7">
        <v>295391.0684931507</v>
      </c>
      <c r="H5138" s="7">
        <v>43127096</v>
      </c>
      <c r="I5138" s="7">
        <v>3868947</v>
      </c>
      <c r="J5138" s="7">
        <v>0</v>
      </c>
      <c r="K5138">
        <f t="shared" si="80"/>
        <v>123</v>
      </c>
      <c r="L5138" s="8" t="str" cm="1">
        <f t="array" ref="L5138">_xlfn.IFS(
 AND(K5138&gt;=89,K5138&lt;=92),"3개월",
 AND(K5138&gt;=58,K5138&lt;=62),"2개월",
 AND(K5138&gt;=28,K5138&lt;=32),"1개월",
 AND(K5138=0),"당월",
 TRUE,"그외"
)</f>
        <v>그외</v>
      </c>
    </row>
    <row r="5139" spans="1:12" x14ac:dyDescent="0.3">
      <c r="A5139" s="5">
        <v>45689</v>
      </c>
      <c r="B5139" s="6" t="s">
        <v>60</v>
      </c>
      <c r="C5139" s="6" t="s">
        <v>69</v>
      </c>
      <c r="D5139" s="5">
        <v>45597</v>
      </c>
      <c r="E5139" s="6" t="s">
        <v>14</v>
      </c>
      <c r="F5139" s="7">
        <v>526</v>
      </c>
      <c r="G5139" s="7">
        <v>262510.26615969581</v>
      </c>
      <c r="H5139" s="7">
        <v>138080400</v>
      </c>
      <c r="I5139" s="7">
        <v>13360400</v>
      </c>
      <c r="J5139" s="7">
        <v>0</v>
      </c>
      <c r="K5139">
        <f t="shared" si="80"/>
        <v>92</v>
      </c>
      <c r="L5139" s="8" t="str" cm="1">
        <f t="array" ref="L5139">_xlfn.IFS(
 AND(K5139&gt;=89,K5139&lt;=92),"3개월",
 AND(K5139&gt;=58,K5139&lt;=62),"2개월",
 AND(K5139&gt;=28,K5139&lt;=32),"1개월",
 AND(K5139=0),"당월",
 TRUE,"그외"
)</f>
        <v>3개월</v>
      </c>
    </row>
    <row r="5140" spans="1:12" x14ac:dyDescent="0.3">
      <c r="A5140" s="5">
        <v>45689</v>
      </c>
      <c r="B5140" s="6" t="s">
        <v>60</v>
      </c>
      <c r="C5140" s="6" t="s">
        <v>69</v>
      </c>
      <c r="D5140" s="5">
        <v>45597</v>
      </c>
      <c r="E5140" s="6" t="s">
        <v>15</v>
      </c>
      <c r="F5140" s="7">
        <v>166</v>
      </c>
      <c r="G5140" s="7">
        <v>323082.85542168672</v>
      </c>
      <c r="H5140" s="7">
        <v>53631754</v>
      </c>
      <c r="I5140" s="7">
        <v>4463942</v>
      </c>
      <c r="J5140" s="7">
        <v>0</v>
      </c>
      <c r="K5140">
        <f t="shared" si="80"/>
        <v>92</v>
      </c>
      <c r="L5140" s="8" t="str" cm="1">
        <f t="array" ref="L5140">_xlfn.IFS(
 AND(K5140&gt;=89,K5140&lt;=92),"3개월",
 AND(K5140&gt;=58,K5140&lt;=62),"2개월",
 AND(K5140&gt;=28,K5140&lt;=32),"1개월",
 AND(K5140=0),"당월",
 TRUE,"그외"
)</f>
        <v>3개월</v>
      </c>
    </row>
    <row r="5141" spans="1:12" x14ac:dyDescent="0.3">
      <c r="A5141" s="5">
        <v>45689</v>
      </c>
      <c r="B5141" s="6" t="s">
        <v>60</v>
      </c>
      <c r="C5141" s="6" t="s">
        <v>69</v>
      </c>
      <c r="D5141" s="5">
        <v>45627</v>
      </c>
      <c r="E5141" s="6" t="s">
        <v>14</v>
      </c>
      <c r="F5141" s="7">
        <v>1292</v>
      </c>
      <c r="G5141" s="7">
        <v>271362.22910216718</v>
      </c>
      <c r="H5141" s="7">
        <v>350600000</v>
      </c>
      <c r="I5141" s="7">
        <v>39406000</v>
      </c>
      <c r="J5141" s="7">
        <v>0</v>
      </c>
      <c r="K5141">
        <f t="shared" si="80"/>
        <v>62</v>
      </c>
      <c r="L5141" s="8" t="str" cm="1">
        <f t="array" ref="L5141">_xlfn.IFS(
 AND(K5141&gt;=89,K5141&lt;=92),"3개월",
 AND(K5141&gt;=58,K5141&lt;=62),"2개월",
 AND(K5141&gt;=28,K5141&lt;=32),"1개월",
 AND(K5141=0),"당월",
 TRUE,"그외"
)</f>
        <v>2개월</v>
      </c>
    </row>
    <row r="5142" spans="1:12" x14ac:dyDescent="0.3">
      <c r="A5142" s="5">
        <v>45689</v>
      </c>
      <c r="B5142" s="6" t="s">
        <v>60</v>
      </c>
      <c r="C5142" s="6" t="s">
        <v>69</v>
      </c>
      <c r="D5142" s="5">
        <v>45627</v>
      </c>
      <c r="E5142" s="6" t="s">
        <v>15</v>
      </c>
      <c r="F5142" s="7">
        <v>1004</v>
      </c>
      <c r="G5142" s="7">
        <v>259433.50597609559</v>
      </c>
      <c r="H5142" s="7">
        <v>260471240</v>
      </c>
      <c r="I5142" s="7">
        <v>30470364</v>
      </c>
      <c r="J5142" s="7">
        <v>0</v>
      </c>
      <c r="K5142">
        <f t="shared" si="80"/>
        <v>62</v>
      </c>
      <c r="L5142" s="8" t="str" cm="1">
        <f t="array" ref="L5142">_xlfn.IFS(
 AND(K5142&gt;=89,K5142&lt;=92),"3개월",
 AND(K5142&gt;=58,K5142&lt;=62),"2개월",
 AND(K5142&gt;=28,K5142&lt;=32),"1개월",
 AND(K5142=0),"당월",
 TRUE,"그외"
)</f>
        <v>2개월</v>
      </c>
    </row>
    <row r="5143" spans="1:12" x14ac:dyDescent="0.3">
      <c r="A5143" s="5">
        <v>45689</v>
      </c>
      <c r="B5143" s="6" t="s">
        <v>60</v>
      </c>
      <c r="C5143" s="6" t="s">
        <v>69</v>
      </c>
      <c r="D5143" s="5">
        <v>45658</v>
      </c>
      <c r="E5143" s="6" t="s">
        <v>14</v>
      </c>
      <c r="F5143" s="7">
        <v>1319</v>
      </c>
      <c r="G5143" s="7">
        <v>230097.1190295679</v>
      </c>
      <c r="H5143" s="7">
        <v>303498100</v>
      </c>
      <c r="I5143" s="7">
        <v>31781100</v>
      </c>
      <c r="J5143" s="7">
        <v>0</v>
      </c>
      <c r="K5143">
        <f t="shared" si="80"/>
        <v>31</v>
      </c>
      <c r="L5143" s="8" t="str" cm="1">
        <f t="array" ref="L5143">_xlfn.IFS(
 AND(K5143&gt;=89,K5143&lt;=92),"3개월",
 AND(K5143&gt;=58,K5143&lt;=62),"2개월",
 AND(K5143&gt;=28,K5143&lt;=32),"1개월",
 AND(K5143=0),"당월",
 TRUE,"그외"
)</f>
        <v>1개월</v>
      </c>
    </row>
    <row r="5144" spans="1:12" x14ac:dyDescent="0.3">
      <c r="A5144" s="5">
        <v>45689</v>
      </c>
      <c r="B5144" s="6" t="s">
        <v>60</v>
      </c>
      <c r="C5144" s="6" t="s">
        <v>69</v>
      </c>
      <c r="D5144" s="5">
        <v>45658</v>
      </c>
      <c r="E5144" s="6" t="s">
        <v>15</v>
      </c>
      <c r="F5144" s="7">
        <v>2409</v>
      </c>
      <c r="G5144" s="7">
        <v>224303.6210045662</v>
      </c>
      <c r="H5144" s="7">
        <v>540347423</v>
      </c>
      <c r="I5144" s="7">
        <v>74832043</v>
      </c>
      <c r="J5144" s="7">
        <v>0</v>
      </c>
      <c r="K5144">
        <f t="shared" si="80"/>
        <v>31</v>
      </c>
      <c r="L5144" s="8" t="str" cm="1">
        <f t="array" ref="L5144">_xlfn.IFS(
 AND(K5144&gt;=89,K5144&lt;=92),"3개월",
 AND(K5144&gt;=58,K5144&lt;=62),"2개월",
 AND(K5144&gt;=28,K5144&lt;=32),"1개월",
 AND(K5144=0),"당월",
 TRUE,"그외"
)</f>
        <v>1개월</v>
      </c>
    </row>
    <row r="5145" spans="1:12" x14ac:dyDescent="0.3">
      <c r="A5145" s="5">
        <v>45689</v>
      </c>
      <c r="B5145" s="6" t="s">
        <v>60</v>
      </c>
      <c r="C5145" s="6" t="s">
        <v>69</v>
      </c>
      <c r="D5145" s="5">
        <v>45689</v>
      </c>
      <c r="E5145" s="6" t="s">
        <v>14</v>
      </c>
      <c r="F5145" s="7">
        <v>898</v>
      </c>
      <c r="G5145" s="7">
        <v>214770.15590200451</v>
      </c>
      <c r="H5145" s="7">
        <v>192863600</v>
      </c>
      <c r="I5145" s="7">
        <v>28801600</v>
      </c>
      <c r="J5145" s="7">
        <v>0</v>
      </c>
      <c r="K5145">
        <f t="shared" si="80"/>
        <v>0</v>
      </c>
      <c r="L5145" s="8" t="str" cm="1">
        <f t="array" ref="L5145">_xlfn.IFS(
 AND(K5145&gt;=89,K5145&lt;=92),"3개월",
 AND(K5145&gt;=58,K5145&lt;=62),"2개월",
 AND(K5145&gt;=28,K5145&lt;=32),"1개월",
 AND(K5145=0),"당월",
 TRUE,"그외"
)</f>
        <v>당월</v>
      </c>
    </row>
    <row r="5146" spans="1:12" x14ac:dyDescent="0.3">
      <c r="A5146" s="5">
        <v>45689</v>
      </c>
      <c r="B5146" s="6" t="s">
        <v>60</v>
      </c>
      <c r="C5146" s="6" t="s">
        <v>69</v>
      </c>
      <c r="D5146" s="5">
        <v>45689</v>
      </c>
      <c r="E5146" s="6" t="s">
        <v>15</v>
      </c>
      <c r="F5146" s="7">
        <v>1056</v>
      </c>
      <c r="G5146" s="7">
        <v>208461.48863636359</v>
      </c>
      <c r="H5146" s="7">
        <v>220135332</v>
      </c>
      <c r="I5146" s="7">
        <v>33989065</v>
      </c>
      <c r="J5146" s="7">
        <v>0</v>
      </c>
      <c r="K5146">
        <f t="shared" si="80"/>
        <v>0</v>
      </c>
      <c r="L5146" s="8" t="str" cm="1">
        <f t="array" ref="L5146">_xlfn.IFS(
 AND(K5146&gt;=89,K5146&lt;=92),"3개월",
 AND(K5146&gt;=58,K5146&lt;=62),"2개월",
 AND(K5146&gt;=28,K5146&lt;=32),"1개월",
 AND(K5146=0),"당월",
 TRUE,"그외"
)</f>
        <v>당월</v>
      </c>
    </row>
    <row r="5147" spans="1:12" x14ac:dyDescent="0.3">
      <c r="A5147" s="5">
        <v>45689</v>
      </c>
      <c r="B5147" s="6" t="s">
        <v>60</v>
      </c>
      <c r="C5147" s="6" t="s">
        <v>70</v>
      </c>
      <c r="D5147" s="5">
        <v>45505</v>
      </c>
      <c r="E5147" s="6" t="s">
        <v>15</v>
      </c>
      <c r="F5147" s="7">
        <v>113</v>
      </c>
      <c r="G5147" s="7">
        <v>199302.40707964599</v>
      </c>
      <c r="H5147" s="7">
        <v>22521172</v>
      </c>
      <c r="I5147" s="7">
        <v>4537804</v>
      </c>
      <c r="J5147" s="7">
        <v>0</v>
      </c>
      <c r="K5147">
        <f t="shared" si="80"/>
        <v>184</v>
      </c>
      <c r="L5147" s="8" t="str" cm="1">
        <f t="array" ref="L5147">_xlfn.IFS(
 AND(K5147&gt;=89,K5147&lt;=92),"3개월",
 AND(K5147&gt;=58,K5147&lt;=62),"2개월",
 AND(K5147&gt;=28,K5147&lt;=32),"1개월",
 AND(K5147=0),"당월",
 TRUE,"그외"
)</f>
        <v>그외</v>
      </c>
    </row>
    <row r="5148" spans="1:12" x14ac:dyDescent="0.3">
      <c r="A5148" s="5">
        <v>45689</v>
      </c>
      <c r="B5148" s="6" t="s">
        <v>60</v>
      </c>
      <c r="C5148" s="6" t="s">
        <v>70</v>
      </c>
      <c r="D5148" s="5">
        <v>45536</v>
      </c>
      <c r="E5148" s="6" t="s">
        <v>15</v>
      </c>
      <c r="F5148" s="7">
        <v>47</v>
      </c>
      <c r="G5148" s="7">
        <v>337500</v>
      </c>
      <c r="H5148" s="7">
        <v>15862500</v>
      </c>
      <c r="I5148" s="7">
        <v>1682600</v>
      </c>
      <c r="J5148" s="7">
        <v>0</v>
      </c>
      <c r="K5148">
        <f t="shared" si="80"/>
        <v>153</v>
      </c>
      <c r="L5148" s="8" t="str" cm="1">
        <f t="array" ref="L5148">_xlfn.IFS(
 AND(K5148&gt;=89,K5148&lt;=92),"3개월",
 AND(K5148&gt;=58,K5148&lt;=62),"2개월",
 AND(K5148&gt;=28,K5148&lt;=32),"1개월",
 AND(K5148=0),"당월",
 TRUE,"그외"
)</f>
        <v>그외</v>
      </c>
    </row>
    <row r="5149" spans="1:12" x14ac:dyDescent="0.3">
      <c r="A5149" s="5">
        <v>45689</v>
      </c>
      <c r="B5149" s="6" t="s">
        <v>60</v>
      </c>
      <c r="C5149" s="6" t="s">
        <v>70</v>
      </c>
      <c r="D5149" s="5">
        <v>45566</v>
      </c>
      <c r="E5149" s="6" t="s">
        <v>15</v>
      </c>
      <c r="F5149" s="7">
        <v>33</v>
      </c>
      <c r="G5149" s="7">
        <v>320127.27272727271</v>
      </c>
      <c r="H5149" s="7">
        <v>10564200</v>
      </c>
      <c r="I5149" s="7">
        <v>838200</v>
      </c>
      <c r="J5149" s="7">
        <v>0</v>
      </c>
      <c r="K5149">
        <f t="shared" si="80"/>
        <v>123</v>
      </c>
      <c r="L5149" s="8" t="str" cm="1">
        <f t="array" ref="L5149">_xlfn.IFS(
 AND(K5149&gt;=89,K5149&lt;=92),"3개월",
 AND(K5149&gt;=58,K5149&lt;=62),"2개월",
 AND(K5149&gt;=28,K5149&lt;=32),"1개월",
 AND(K5149=0),"당월",
 TRUE,"그외"
)</f>
        <v>그외</v>
      </c>
    </row>
    <row r="5150" spans="1:12" x14ac:dyDescent="0.3">
      <c r="A5150" s="5">
        <v>45689</v>
      </c>
      <c r="B5150" s="6" t="s">
        <v>60</v>
      </c>
      <c r="C5150" s="6" t="s">
        <v>70</v>
      </c>
      <c r="D5150" s="5">
        <v>45597</v>
      </c>
      <c r="E5150" s="6" t="s">
        <v>14</v>
      </c>
      <c r="F5150" s="7">
        <v>454</v>
      </c>
      <c r="G5150" s="7">
        <v>219629.0748898678</v>
      </c>
      <c r="H5150" s="7">
        <v>99711600</v>
      </c>
      <c r="I5150" s="7">
        <v>11531600</v>
      </c>
      <c r="J5150" s="7">
        <v>0</v>
      </c>
      <c r="K5150">
        <f t="shared" si="80"/>
        <v>92</v>
      </c>
      <c r="L5150" s="8" t="str" cm="1">
        <f t="array" ref="L5150">_xlfn.IFS(
 AND(K5150&gt;=89,K5150&lt;=92),"3개월",
 AND(K5150&gt;=58,K5150&lt;=62),"2개월",
 AND(K5150&gt;=28,K5150&lt;=32),"1개월",
 AND(K5150=0),"당월",
 TRUE,"그외"
)</f>
        <v>3개월</v>
      </c>
    </row>
    <row r="5151" spans="1:12" x14ac:dyDescent="0.3">
      <c r="A5151" s="5">
        <v>45689</v>
      </c>
      <c r="B5151" s="6" t="s">
        <v>60</v>
      </c>
      <c r="C5151" s="6" t="s">
        <v>70</v>
      </c>
      <c r="D5151" s="5">
        <v>45597</v>
      </c>
      <c r="E5151" s="6" t="s">
        <v>15</v>
      </c>
      <c r="F5151" s="7">
        <v>554</v>
      </c>
      <c r="G5151" s="7">
        <v>266491.79061371839</v>
      </c>
      <c r="H5151" s="7">
        <v>147636452</v>
      </c>
      <c r="I5151" s="7">
        <v>14337716</v>
      </c>
      <c r="J5151" s="7">
        <v>0</v>
      </c>
      <c r="K5151">
        <f t="shared" si="80"/>
        <v>92</v>
      </c>
      <c r="L5151" s="8" t="str" cm="1">
        <f t="array" ref="L5151">_xlfn.IFS(
 AND(K5151&gt;=89,K5151&lt;=92),"3개월",
 AND(K5151&gt;=58,K5151&lt;=62),"2개월",
 AND(K5151&gt;=28,K5151&lt;=32),"1개월",
 AND(K5151=0),"당월",
 TRUE,"그외"
)</f>
        <v>3개월</v>
      </c>
    </row>
    <row r="5152" spans="1:12" x14ac:dyDescent="0.3">
      <c r="A5152" s="5">
        <v>45689</v>
      </c>
      <c r="B5152" s="6" t="s">
        <v>60</v>
      </c>
      <c r="C5152" s="6" t="s">
        <v>70</v>
      </c>
      <c r="D5152" s="5">
        <v>45627</v>
      </c>
      <c r="E5152" s="6" t="s">
        <v>14</v>
      </c>
      <c r="F5152" s="7">
        <v>763</v>
      </c>
      <c r="G5152" s="7">
        <v>227434.20707732631</v>
      </c>
      <c r="H5152" s="7">
        <v>173532300</v>
      </c>
      <c r="I5152" s="7">
        <v>23261300</v>
      </c>
      <c r="J5152" s="7">
        <v>0</v>
      </c>
      <c r="K5152">
        <f t="shared" si="80"/>
        <v>62</v>
      </c>
      <c r="L5152" s="8" t="str" cm="1">
        <f t="array" ref="L5152">_xlfn.IFS(
 AND(K5152&gt;=89,K5152&lt;=92),"3개월",
 AND(K5152&gt;=58,K5152&lt;=62),"2개월",
 AND(K5152&gt;=28,K5152&lt;=32),"1개월",
 AND(K5152=0),"당월",
 TRUE,"그외"
)</f>
        <v>2개월</v>
      </c>
    </row>
    <row r="5153" spans="1:12" x14ac:dyDescent="0.3">
      <c r="A5153" s="5">
        <v>45689</v>
      </c>
      <c r="B5153" s="6" t="s">
        <v>60</v>
      </c>
      <c r="C5153" s="6" t="s">
        <v>70</v>
      </c>
      <c r="D5153" s="5">
        <v>45627</v>
      </c>
      <c r="E5153" s="6" t="s">
        <v>15</v>
      </c>
      <c r="F5153" s="7">
        <v>1002</v>
      </c>
      <c r="G5153" s="7">
        <v>255105.99600798401</v>
      </c>
      <c r="H5153" s="7">
        <v>255616208</v>
      </c>
      <c r="I5153" s="7">
        <v>30073284</v>
      </c>
      <c r="J5153" s="7">
        <v>0</v>
      </c>
      <c r="K5153">
        <f t="shared" si="80"/>
        <v>62</v>
      </c>
      <c r="L5153" s="8" t="str" cm="1">
        <f t="array" ref="L5153">_xlfn.IFS(
 AND(K5153&gt;=89,K5153&lt;=92),"3개월",
 AND(K5153&gt;=58,K5153&lt;=62),"2개월",
 AND(K5153&gt;=28,K5153&lt;=32),"1개월",
 AND(K5153=0),"당월",
 TRUE,"그외"
)</f>
        <v>2개월</v>
      </c>
    </row>
    <row r="5154" spans="1:12" x14ac:dyDescent="0.3">
      <c r="A5154" s="5">
        <v>45689</v>
      </c>
      <c r="B5154" s="6" t="s">
        <v>60</v>
      </c>
      <c r="C5154" s="6" t="s">
        <v>70</v>
      </c>
      <c r="D5154" s="5">
        <v>45658</v>
      </c>
      <c r="E5154" s="6" t="s">
        <v>14</v>
      </c>
      <c r="F5154" s="7">
        <v>978</v>
      </c>
      <c r="G5154" s="7">
        <v>235571.5746421268</v>
      </c>
      <c r="H5154" s="7">
        <v>230389000</v>
      </c>
      <c r="I5154" s="7">
        <v>21110000</v>
      </c>
      <c r="J5154" s="7">
        <v>0</v>
      </c>
      <c r="K5154">
        <f t="shared" si="80"/>
        <v>31</v>
      </c>
      <c r="L5154" s="8" t="str" cm="1">
        <f t="array" ref="L5154">_xlfn.IFS(
 AND(K5154&gt;=89,K5154&lt;=92),"3개월",
 AND(K5154&gt;=58,K5154&lt;=62),"2개월",
 AND(K5154&gt;=28,K5154&lt;=32),"1개월",
 AND(K5154=0),"당월",
 TRUE,"그외"
)</f>
        <v>1개월</v>
      </c>
    </row>
    <row r="5155" spans="1:12" x14ac:dyDescent="0.3">
      <c r="A5155" s="5">
        <v>45689</v>
      </c>
      <c r="B5155" s="6" t="s">
        <v>60</v>
      </c>
      <c r="C5155" s="6" t="s">
        <v>70</v>
      </c>
      <c r="D5155" s="5">
        <v>45658</v>
      </c>
      <c r="E5155" s="6" t="s">
        <v>15</v>
      </c>
      <c r="F5155" s="7">
        <v>2643</v>
      </c>
      <c r="G5155" s="7">
        <v>216268.13129020049</v>
      </c>
      <c r="H5155" s="7">
        <v>571596671</v>
      </c>
      <c r="I5155" s="7">
        <v>81911456</v>
      </c>
      <c r="J5155" s="7">
        <v>0</v>
      </c>
      <c r="K5155">
        <f t="shared" si="80"/>
        <v>31</v>
      </c>
      <c r="L5155" s="8" t="str" cm="1">
        <f t="array" ref="L5155">_xlfn.IFS(
 AND(K5155&gt;=89,K5155&lt;=92),"3개월",
 AND(K5155&gt;=58,K5155&lt;=62),"2개월",
 AND(K5155&gt;=28,K5155&lt;=32),"1개월",
 AND(K5155=0),"당월",
 TRUE,"그외"
)</f>
        <v>1개월</v>
      </c>
    </row>
    <row r="5156" spans="1:12" x14ac:dyDescent="0.3">
      <c r="A5156" s="5">
        <v>45689</v>
      </c>
      <c r="B5156" s="6" t="s">
        <v>60</v>
      </c>
      <c r="C5156" s="6" t="s">
        <v>70</v>
      </c>
      <c r="D5156" s="5">
        <v>45689</v>
      </c>
      <c r="E5156" s="6" t="s">
        <v>14</v>
      </c>
      <c r="F5156" s="7">
        <v>678</v>
      </c>
      <c r="G5156" s="7">
        <v>220292.47787610619</v>
      </c>
      <c r="H5156" s="7">
        <v>149358300</v>
      </c>
      <c r="I5156" s="7">
        <v>21735300</v>
      </c>
      <c r="J5156" s="7">
        <v>0</v>
      </c>
      <c r="K5156">
        <f t="shared" si="80"/>
        <v>0</v>
      </c>
      <c r="L5156" s="8" t="str" cm="1">
        <f t="array" ref="L5156">_xlfn.IFS(
 AND(K5156&gt;=89,K5156&lt;=92),"3개월",
 AND(K5156&gt;=58,K5156&lt;=62),"2개월",
 AND(K5156&gt;=28,K5156&lt;=32),"1개월",
 AND(K5156=0),"당월",
 TRUE,"그외"
)</f>
        <v>당월</v>
      </c>
    </row>
    <row r="5157" spans="1:12" x14ac:dyDescent="0.3">
      <c r="A5157" s="5">
        <v>45689</v>
      </c>
      <c r="B5157" s="6" t="s">
        <v>60</v>
      </c>
      <c r="C5157" s="6" t="s">
        <v>70</v>
      </c>
      <c r="D5157" s="5">
        <v>45689</v>
      </c>
      <c r="E5157" s="6" t="s">
        <v>15</v>
      </c>
      <c r="F5157" s="7">
        <v>1445</v>
      </c>
      <c r="G5157" s="7">
        <v>204862.92525951561</v>
      </c>
      <c r="H5157" s="7">
        <v>296026927</v>
      </c>
      <c r="I5157" s="7">
        <v>46675569</v>
      </c>
      <c r="J5157" s="7">
        <v>0</v>
      </c>
      <c r="K5157">
        <f t="shared" si="80"/>
        <v>0</v>
      </c>
      <c r="L5157" s="8" t="str" cm="1">
        <f t="array" ref="L5157">_xlfn.IFS(
 AND(K5157&gt;=89,K5157&lt;=92),"3개월",
 AND(K5157&gt;=58,K5157&lt;=62),"2개월",
 AND(K5157&gt;=28,K5157&lt;=32),"1개월",
 AND(K5157=0),"당월",
 TRUE,"그외"
)</f>
        <v>당월</v>
      </c>
    </row>
    <row r="5158" spans="1:12" x14ac:dyDescent="0.3">
      <c r="A5158" s="5">
        <v>45689</v>
      </c>
      <c r="B5158" s="6" t="s">
        <v>60</v>
      </c>
      <c r="C5158" s="6" t="s">
        <v>112</v>
      </c>
      <c r="D5158" s="5">
        <v>45505</v>
      </c>
      <c r="E5158" s="6" t="s">
        <v>15</v>
      </c>
      <c r="F5158" s="7">
        <v>315</v>
      </c>
      <c r="G5158" s="7">
        <v>234212.08444444439</v>
      </c>
      <c r="H5158" s="7">
        <v>73776806.599999994</v>
      </c>
      <c r="I5158" s="7">
        <v>13272813.6</v>
      </c>
      <c r="J5158" s="7">
        <v>0</v>
      </c>
      <c r="K5158">
        <f t="shared" si="80"/>
        <v>184</v>
      </c>
      <c r="L5158" s="8" t="str" cm="1">
        <f t="array" ref="L5158">_xlfn.IFS(
 AND(K5158&gt;=89,K5158&lt;=92),"3개월",
 AND(K5158&gt;=58,K5158&lt;=62),"2개월",
 AND(K5158&gt;=28,K5158&lt;=32),"1개월",
 AND(K5158=0),"당월",
 TRUE,"그외"
)</f>
        <v>그외</v>
      </c>
    </row>
    <row r="5159" spans="1:12" x14ac:dyDescent="0.3">
      <c r="A5159" s="5">
        <v>45689</v>
      </c>
      <c r="B5159" s="6" t="s">
        <v>60</v>
      </c>
      <c r="C5159" s="6" t="s">
        <v>112</v>
      </c>
      <c r="D5159" s="5">
        <v>45536</v>
      </c>
      <c r="E5159" s="6" t="s">
        <v>14</v>
      </c>
      <c r="F5159" s="7">
        <v>12</v>
      </c>
      <c r="G5159" s="7">
        <v>226800</v>
      </c>
      <c r="H5159" s="7">
        <v>2721600</v>
      </c>
      <c r="I5159" s="7">
        <v>429600</v>
      </c>
      <c r="J5159" s="7">
        <v>0</v>
      </c>
      <c r="K5159">
        <f t="shared" si="80"/>
        <v>153</v>
      </c>
      <c r="L5159" s="8" t="str" cm="1">
        <f t="array" ref="L5159">_xlfn.IFS(
 AND(K5159&gt;=89,K5159&lt;=92),"3개월",
 AND(K5159&gt;=58,K5159&lt;=62),"2개월",
 AND(K5159&gt;=28,K5159&lt;=32),"1개월",
 AND(K5159=0),"당월",
 TRUE,"그외"
)</f>
        <v>그외</v>
      </c>
    </row>
    <row r="5160" spans="1:12" x14ac:dyDescent="0.3">
      <c r="A5160" s="5">
        <v>45689</v>
      </c>
      <c r="B5160" s="6" t="s">
        <v>60</v>
      </c>
      <c r="C5160" s="6" t="s">
        <v>112</v>
      </c>
      <c r="D5160" s="5">
        <v>45536</v>
      </c>
      <c r="E5160" s="6" t="s">
        <v>15</v>
      </c>
      <c r="F5160" s="7">
        <v>249</v>
      </c>
      <c r="G5160" s="7">
        <v>262168.29718875501</v>
      </c>
      <c r="H5160" s="7">
        <v>65279906</v>
      </c>
      <c r="I5160" s="7">
        <v>10221008</v>
      </c>
      <c r="J5160" s="7">
        <v>0</v>
      </c>
      <c r="K5160">
        <f t="shared" si="80"/>
        <v>153</v>
      </c>
      <c r="L5160" s="8" t="str" cm="1">
        <f t="array" ref="L5160">_xlfn.IFS(
 AND(K5160&gt;=89,K5160&lt;=92),"3개월",
 AND(K5160&gt;=58,K5160&lt;=62),"2개월",
 AND(K5160&gt;=28,K5160&lt;=32),"1개월",
 AND(K5160=0),"당월",
 TRUE,"그외"
)</f>
        <v>그외</v>
      </c>
    </row>
    <row r="5161" spans="1:12" x14ac:dyDescent="0.3">
      <c r="A5161" s="5">
        <v>45689</v>
      </c>
      <c r="B5161" s="6" t="s">
        <v>60</v>
      </c>
      <c r="C5161" s="6" t="s">
        <v>112</v>
      </c>
      <c r="D5161" s="5">
        <v>45566</v>
      </c>
      <c r="E5161" s="6" t="s">
        <v>14</v>
      </c>
      <c r="F5161" s="7">
        <v>8</v>
      </c>
      <c r="G5161" s="7">
        <v>225400</v>
      </c>
      <c r="H5161" s="7">
        <v>1803200</v>
      </c>
      <c r="I5161" s="7">
        <v>203200</v>
      </c>
      <c r="J5161" s="7">
        <v>0</v>
      </c>
      <c r="K5161">
        <f t="shared" si="80"/>
        <v>123</v>
      </c>
      <c r="L5161" s="8" t="str" cm="1">
        <f t="array" ref="L5161">_xlfn.IFS(
 AND(K5161&gt;=89,K5161&lt;=92),"3개월",
 AND(K5161&gt;=58,K5161&lt;=62),"2개월",
 AND(K5161&gt;=28,K5161&lt;=32),"1개월",
 AND(K5161=0),"당월",
 TRUE,"그외"
)</f>
        <v>그외</v>
      </c>
    </row>
    <row r="5162" spans="1:12" x14ac:dyDescent="0.3">
      <c r="A5162" s="5">
        <v>45689</v>
      </c>
      <c r="B5162" s="6" t="s">
        <v>60</v>
      </c>
      <c r="C5162" s="6" t="s">
        <v>112</v>
      </c>
      <c r="D5162" s="5">
        <v>45566</v>
      </c>
      <c r="E5162" s="6" t="s">
        <v>15</v>
      </c>
      <c r="F5162" s="7">
        <v>732</v>
      </c>
      <c r="G5162" s="7">
        <v>245631.0259562842</v>
      </c>
      <c r="H5162" s="7">
        <v>179801911</v>
      </c>
      <c r="I5162" s="7">
        <v>22275527</v>
      </c>
      <c r="J5162" s="7">
        <v>0</v>
      </c>
      <c r="K5162">
        <f t="shared" si="80"/>
        <v>123</v>
      </c>
      <c r="L5162" s="8" t="str" cm="1">
        <f t="array" ref="L5162">_xlfn.IFS(
 AND(K5162&gt;=89,K5162&lt;=92),"3개월",
 AND(K5162&gt;=58,K5162&lt;=62),"2개월",
 AND(K5162&gt;=28,K5162&lt;=32),"1개월",
 AND(K5162=0),"당월",
 TRUE,"그외"
)</f>
        <v>그외</v>
      </c>
    </row>
    <row r="5163" spans="1:12" x14ac:dyDescent="0.3">
      <c r="A5163" s="5">
        <v>45689</v>
      </c>
      <c r="B5163" s="6" t="s">
        <v>60</v>
      </c>
      <c r="C5163" s="6" t="s">
        <v>112</v>
      </c>
      <c r="D5163" s="5">
        <v>45597</v>
      </c>
      <c r="E5163" s="6" t="s">
        <v>14</v>
      </c>
      <c r="F5163" s="7">
        <v>206</v>
      </c>
      <c r="G5163" s="7">
        <v>227768.93203883499</v>
      </c>
      <c r="H5163" s="7">
        <v>46920400</v>
      </c>
      <c r="I5163" s="7">
        <v>5232400</v>
      </c>
      <c r="J5163" s="7">
        <v>0</v>
      </c>
      <c r="K5163">
        <f t="shared" si="80"/>
        <v>92</v>
      </c>
      <c r="L5163" s="8" t="str" cm="1">
        <f t="array" ref="L5163">_xlfn.IFS(
 AND(K5163&gt;=89,K5163&lt;=92),"3개월",
 AND(K5163&gt;=58,K5163&lt;=62),"2개월",
 AND(K5163&gt;=28,K5163&lt;=32),"1개월",
 AND(K5163=0),"당월",
 TRUE,"그외"
)</f>
        <v>3개월</v>
      </c>
    </row>
    <row r="5164" spans="1:12" x14ac:dyDescent="0.3">
      <c r="A5164" s="5">
        <v>45689</v>
      </c>
      <c r="B5164" s="6" t="s">
        <v>60</v>
      </c>
      <c r="C5164" s="6" t="s">
        <v>112</v>
      </c>
      <c r="D5164" s="5">
        <v>45597</v>
      </c>
      <c r="E5164" s="6" t="s">
        <v>15</v>
      </c>
      <c r="F5164" s="7">
        <v>1233</v>
      </c>
      <c r="G5164" s="7">
        <v>212966.6715328467</v>
      </c>
      <c r="H5164" s="7">
        <v>262587906</v>
      </c>
      <c r="I5164" s="7">
        <v>38102204</v>
      </c>
      <c r="J5164" s="7">
        <v>0</v>
      </c>
      <c r="K5164">
        <f t="shared" si="80"/>
        <v>92</v>
      </c>
      <c r="L5164" s="8" t="str" cm="1">
        <f t="array" ref="L5164">_xlfn.IFS(
 AND(K5164&gt;=89,K5164&lt;=92),"3개월",
 AND(K5164&gt;=58,K5164&lt;=62),"2개월",
 AND(K5164&gt;=28,K5164&lt;=32),"1개월",
 AND(K5164=0),"당월",
 TRUE,"그외"
)</f>
        <v>3개월</v>
      </c>
    </row>
    <row r="5165" spans="1:12" x14ac:dyDescent="0.3">
      <c r="A5165" s="5">
        <v>45689</v>
      </c>
      <c r="B5165" s="6" t="s">
        <v>60</v>
      </c>
      <c r="C5165" s="6" t="s">
        <v>112</v>
      </c>
      <c r="D5165" s="5">
        <v>45627</v>
      </c>
      <c r="E5165" s="6" t="s">
        <v>14</v>
      </c>
      <c r="F5165" s="7">
        <v>968</v>
      </c>
      <c r="G5165" s="7">
        <v>214180.2685950413</v>
      </c>
      <c r="H5165" s="7">
        <v>207326500</v>
      </c>
      <c r="I5165" s="7">
        <v>29493500</v>
      </c>
      <c r="J5165" s="7">
        <v>0</v>
      </c>
      <c r="K5165">
        <f t="shared" si="80"/>
        <v>62</v>
      </c>
      <c r="L5165" s="8" t="str" cm="1">
        <f t="array" ref="L5165">_xlfn.IFS(
 AND(K5165&gt;=89,K5165&lt;=92),"3개월",
 AND(K5165&gt;=58,K5165&lt;=62),"2개월",
 AND(K5165&gt;=28,K5165&lt;=32),"1개월",
 AND(K5165=0),"당월",
 TRUE,"그외"
)</f>
        <v>2개월</v>
      </c>
    </row>
    <row r="5166" spans="1:12" x14ac:dyDescent="0.3">
      <c r="A5166" s="5">
        <v>45689</v>
      </c>
      <c r="B5166" s="6" t="s">
        <v>60</v>
      </c>
      <c r="C5166" s="6" t="s">
        <v>112</v>
      </c>
      <c r="D5166" s="5">
        <v>45627</v>
      </c>
      <c r="E5166" s="6" t="s">
        <v>15</v>
      </c>
      <c r="F5166" s="7">
        <v>1023</v>
      </c>
      <c r="G5166" s="7">
        <v>263532.35092864127</v>
      </c>
      <c r="H5166" s="7">
        <v>269593595</v>
      </c>
      <c r="I5166" s="7">
        <v>35779299</v>
      </c>
      <c r="J5166" s="7">
        <v>0</v>
      </c>
      <c r="K5166">
        <f t="shared" si="80"/>
        <v>62</v>
      </c>
      <c r="L5166" s="8" t="str" cm="1">
        <f t="array" ref="L5166">_xlfn.IFS(
 AND(K5166&gt;=89,K5166&lt;=92),"3개월",
 AND(K5166&gt;=58,K5166&lt;=62),"2개월",
 AND(K5166&gt;=28,K5166&lt;=32),"1개월",
 AND(K5166=0),"당월",
 TRUE,"그외"
)</f>
        <v>2개월</v>
      </c>
    </row>
    <row r="5167" spans="1:12" x14ac:dyDescent="0.3">
      <c r="A5167" s="5">
        <v>45689</v>
      </c>
      <c r="B5167" s="6" t="s">
        <v>60</v>
      </c>
      <c r="C5167" s="6" t="s">
        <v>112</v>
      </c>
      <c r="D5167" s="5">
        <v>45658</v>
      </c>
      <c r="E5167" s="6" t="s">
        <v>14</v>
      </c>
      <c r="F5167" s="7">
        <v>1275</v>
      </c>
      <c r="G5167" s="7">
        <v>320212.54901960777</v>
      </c>
      <c r="H5167" s="7">
        <v>408271000</v>
      </c>
      <c r="I5167" s="7">
        <v>37813000</v>
      </c>
      <c r="J5167" s="7">
        <v>0</v>
      </c>
      <c r="K5167">
        <f t="shared" si="80"/>
        <v>31</v>
      </c>
      <c r="L5167" s="8" t="str" cm="1">
        <f t="array" ref="L5167">_xlfn.IFS(
 AND(K5167&gt;=89,K5167&lt;=92),"3개월",
 AND(K5167&gt;=58,K5167&lt;=62),"2개월",
 AND(K5167&gt;=28,K5167&lt;=32),"1개월",
 AND(K5167=0),"당월",
 TRUE,"그외"
)</f>
        <v>1개월</v>
      </c>
    </row>
    <row r="5168" spans="1:12" x14ac:dyDescent="0.3">
      <c r="A5168" s="5">
        <v>45689</v>
      </c>
      <c r="B5168" s="6" t="s">
        <v>60</v>
      </c>
      <c r="C5168" s="6" t="s">
        <v>112</v>
      </c>
      <c r="D5168" s="5">
        <v>45658</v>
      </c>
      <c r="E5168" s="6" t="s">
        <v>15</v>
      </c>
      <c r="F5168" s="7">
        <v>1654</v>
      </c>
      <c r="G5168" s="7">
        <v>254527.2315598549</v>
      </c>
      <c r="H5168" s="7">
        <v>420988041</v>
      </c>
      <c r="I5168" s="7">
        <v>60182975</v>
      </c>
      <c r="J5168" s="7">
        <v>0</v>
      </c>
      <c r="K5168">
        <f t="shared" si="80"/>
        <v>31</v>
      </c>
      <c r="L5168" s="8" t="str" cm="1">
        <f t="array" ref="L5168">_xlfn.IFS(
 AND(K5168&gt;=89,K5168&lt;=92),"3개월",
 AND(K5168&gt;=58,K5168&lt;=62),"2개월",
 AND(K5168&gt;=28,K5168&lt;=32),"1개월",
 AND(K5168=0),"당월",
 TRUE,"그외"
)</f>
        <v>1개월</v>
      </c>
    </row>
    <row r="5169" spans="1:12" x14ac:dyDescent="0.3">
      <c r="A5169" s="5">
        <v>45689</v>
      </c>
      <c r="B5169" s="6" t="s">
        <v>60</v>
      </c>
      <c r="C5169" s="6" t="s">
        <v>112</v>
      </c>
      <c r="D5169" s="5">
        <v>45689</v>
      </c>
      <c r="E5169" s="6" t="s">
        <v>14</v>
      </c>
      <c r="F5169" s="7">
        <v>1198</v>
      </c>
      <c r="G5169" s="7">
        <v>113894.15692821371</v>
      </c>
      <c r="H5169" s="7">
        <v>136445200</v>
      </c>
      <c r="I5169" s="7">
        <v>38385200</v>
      </c>
      <c r="J5169" s="7">
        <v>0</v>
      </c>
      <c r="K5169">
        <f t="shared" si="80"/>
        <v>0</v>
      </c>
      <c r="L5169" s="8" t="str" cm="1">
        <f t="array" ref="L5169">_xlfn.IFS(
 AND(K5169&gt;=89,K5169&lt;=92),"3개월",
 AND(K5169&gt;=58,K5169&lt;=62),"2개월",
 AND(K5169&gt;=28,K5169&lt;=32),"1개월",
 AND(K5169=0),"당월",
 TRUE,"그외"
)</f>
        <v>당월</v>
      </c>
    </row>
    <row r="5170" spans="1:12" x14ac:dyDescent="0.3">
      <c r="A5170" s="5">
        <v>45689</v>
      </c>
      <c r="B5170" s="6" t="s">
        <v>60</v>
      </c>
      <c r="C5170" s="6" t="s">
        <v>112</v>
      </c>
      <c r="D5170" s="5">
        <v>45689</v>
      </c>
      <c r="E5170" s="6" t="s">
        <v>15</v>
      </c>
      <c r="F5170" s="7">
        <v>793</v>
      </c>
      <c r="G5170" s="7">
        <v>247828.14375788151</v>
      </c>
      <c r="H5170" s="7">
        <v>196527718</v>
      </c>
      <c r="I5170" s="7">
        <v>33964662</v>
      </c>
      <c r="J5170" s="7">
        <v>0</v>
      </c>
      <c r="K5170">
        <f t="shared" si="80"/>
        <v>0</v>
      </c>
      <c r="L5170" s="8" t="str" cm="1">
        <f t="array" ref="L5170">_xlfn.IFS(
 AND(K5170&gt;=89,K5170&lt;=92),"3개월",
 AND(K5170&gt;=58,K5170&lt;=62),"2개월",
 AND(K5170&gt;=28,K5170&lt;=32),"1개월",
 AND(K5170=0),"당월",
 TRUE,"그외"
)</f>
        <v>당월</v>
      </c>
    </row>
    <row r="5171" spans="1:12" x14ac:dyDescent="0.3">
      <c r="A5171" s="5">
        <v>45689</v>
      </c>
      <c r="B5171" s="6" t="s">
        <v>60</v>
      </c>
      <c r="C5171" s="6" t="s">
        <v>114</v>
      </c>
      <c r="D5171" s="5">
        <v>45536</v>
      </c>
      <c r="E5171" s="6" t="s">
        <v>15</v>
      </c>
      <c r="F5171" s="7">
        <v>1054</v>
      </c>
      <c r="G5171" s="7">
        <v>219118.9117647059</v>
      </c>
      <c r="H5171" s="7">
        <v>230951333</v>
      </c>
      <c r="I5171" s="7">
        <v>37244103</v>
      </c>
      <c r="J5171" s="7">
        <v>0</v>
      </c>
      <c r="K5171">
        <f t="shared" si="80"/>
        <v>153</v>
      </c>
      <c r="L5171" s="8" t="str" cm="1">
        <f t="array" ref="L5171">_xlfn.IFS(
 AND(K5171&gt;=89,K5171&lt;=92),"3개월",
 AND(K5171&gt;=58,K5171&lt;=62),"2개월",
 AND(K5171&gt;=28,K5171&lt;=32),"1개월",
 AND(K5171=0),"당월",
 TRUE,"그외"
)</f>
        <v>그외</v>
      </c>
    </row>
    <row r="5172" spans="1:12" x14ac:dyDescent="0.3">
      <c r="A5172" s="5">
        <v>45689</v>
      </c>
      <c r="B5172" s="6" t="s">
        <v>60</v>
      </c>
      <c r="C5172" s="6" t="s">
        <v>114</v>
      </c>
      <c r="D5172" s="5">
        <v>45566</v>
      </c>
      <c r="E5172" s="6" t="s">
        <v>15</v>
      </c>
      <c r="F5172" s="7">
        <v>1117</v>
      </c>
      <c r="G5172" s="7">
        <v>236719.43867502239</v>
      </c>
      <c r="H5172" s="7">
        <v>264415613</v>
      </c>
      <c r="I5172" s="7">
        <v>27535868</v>
      </c>
      <c r="J5172" s="7">
        <v>0</v>
      </c>
      <c r="K5172">
        <f t="shared" si="80"/>
        <v>123</v>
      </c>
      <c r="L5172" s="8" t="str" cm="1">
        <f t="array" ref="L5172">_xlfn.IFS(
 AND(K5172&gt;=89,K5172&lt;=92),"3개월",
 AND(K5172&gt;=58,K5172&lt;=62),"2개월",
 AND(K5172&gt;=28,K5172&lt;=32),"1개월",
 AND(K5172=0),"당월",
 TRUE,"그외"
)</f>
        <v>그외</v>
      </c>
    </row>
    <row r="5173" spans="1:12" x14ac:dyDescent="0.3">
      <c r="A5173" s="5">
        <v>45689</v>
      </c>
      <c r="B5173" s="6" t="s">
        <v>60</v>
      </c>
      <c r="C5173" s="6" t="s">
        <v>114</v>
      </c>
      <c r="D5173" s="5">
        <v>45597</v>
      </c>
      <c r="E5173" s="6" t="s">
        <v>14</v>
      </c>
      <c r="F5173" s="7">
        <v>116</v>
      </c>
      <c r="G5173" s="7">
        <v>223348.27586206899</v>
      </c>
      <c r="H5173" s="7">
        <v>25908400</v>
      </c>
      <c r="I5173" s="7">
        <v>2946400</v>
      </c>
      <c r="J5173" s="7">
        <v>0</v>
      </c>
      <c r="K5173">
        <f t="shared" si="80"/>
        <v>92</v>
      </c>
      <c r="L5173" s="8" t="str" cm="1">
        <f t="array" ref="L5173">_xlfn.IFS(
 AND(K5173&gt;=89,K5173&lt;=92),"3개월",
 AND(K5173&gt;=58,K5173&lt;=62),"2개월",
 AND(K5173&gt;=28,K5173&lt;=32),"1개월",
 AND(K5173=0),"당월",
 TRUE,"그외"
)</f>
        <v>3개월</v>
      </c>
    </row>
    <row r="5174" spans="1:12" x14ac:dyDescent="0.3">
      <c r="A5174" s="5">
        <v>45689</v>
      </c>
      <c r="B5174" s="6" t="s">
        <v>60</v>
      </c>
      <c r="C5174" s="6" t="s">
        <v>114</v>
      </c>
      <c r="D5174" s="5">
        <v>45597</v>
      </c>
      <c r="E5174" s="6" t="s">
        <v>15</v>
      </c>
      <c r="F5174" s="7">
        <v>1463</v>
      </c>
      <c r="G5174" s="7">
        <v>253199.55707450441</v>
      </c>
      <c r="H5174" s="7">
        <v>370430952</v>
      </c>
      <c r="I5174" s="7">
        <v>36853899</v>
      </c>
      <c r="J5174" s="7">
        <v>0</v>
      </c>
      <c r="K5174">
        <f t="shared" si="80"/>
        <v>92</v>
      </c>
      <c r="L5174" s="8" t="str" cm="1">
        <f t="array" ref="L5174">_xlfn.IFS(
 AND(K5174&gt;=89,K5174&lt;=92),"3개월",
 AND(K5174&gt;=58,K5174&lt;=62),"2개월",
 AND(K5174&gt;=28,K5174&lt;=32),"1개월",
 AND(K5174=0),"당월",
 TRUE,"그외"
)</f>
        <v>3개월</v>
      </c>
    </row>
    <row r="5175" spans="1:12" x14ac:dyDescent="0.3">
      <c r="A5175" s="5">
        <v>45689</v>
      </c>
      <c r="B5175" s="6" t="s">
        <v>60</v>
      </c>
      <c r="C5175" s="6" t="s">
        <v>114</v>
      </c>
      <c r="D5175" s="5">
        <v>45627</v>
      </c>
      <c r="E5175" s="6" t="s">
        <v>14</v>
      </c>
      <c r="F5175" s="7">
        <v>154</v>
      </c>
      <c r="G5175" s="7">
        <v>223058.44155844161</v>
      </c>
      <c r="H5175" s="7">
        <v>34351000</v>
      </c>
      <c r="I5175" s="7">
        <v>4697000</v>
      </c>
      <c r="J5175" s="7">
        <v>0</v>
      </c>
      <c r="K5175">
        <f t="shared" si="80"/>
        <v>62</v>
      </c>
      <c r="L5175" s="8" t="str" cm="1">
        <f t="array" ref="L5175">_xlfn.IFS(
 AND(K5175&gt;=89,K5175&lt;=92),"3개월",
 AND(K5175&gt;=58,K5175&lt;=62),"2개월",
 AND(K5175&gt;=28,K5175&lt;=32),"1개월",
 AND(K5175=0),"당월",
 TRUE,"그외"
)</f>
        <v>2개월</v>
      </c>
    </row>
    <row r="5176" spans="1:12" x14ac:dyDescent="0.3">
      <c r="A5176" s="5">
        <v>45689</v>
      </c>
      <c r="B5176" s="6" t="s">
        <v>60</v>
      </c>
      <c r="C5176" s="6" t="s">
        <v>114</v>
      </c>
      <c r="D5176" s="5">
        <v>45627</v>
      </c>
      <c r="E5176" s="6" t="s">
        <v>15</v>
      </c>
      <c r="F5176" s="7">
        <v>1048</v>
      </c>
      <c r="G5176" s="7">
        <v>305126.07251908397</v>
      </c>
      <c r="H5176" s="7">
        <v>319772124</v>
      </c>
      <c r="I5176" s="7">
        <v>29194460</v>
      </c>
      <c r="J5176" s="7">
        <v>0</v>
      </c>
      <c r="K5176">
        <f t="shared" si="80"/>
        <v>62</v>
      </c>
      <c r="L5176" s="8" t="str" cm="1">
        <f t="array" ref="L5176">_xlfn.IFS(
 AND(K5176&gt;=89,K5176&lt;=92),"3개월",
 AND(K5176&gt;=58,K5176&lt;=62),"2개월",
 AND(K5176&gt;=28,K5176&lt;=32),"1개월",
 AND(K5176=0),"당월",
 TRUE,"그외"
)</f>
        <v>2개월</v>
      </c>
    </row>
    <row r="5177" spans="1:12" x14ac:dyDescent="0.3">
      <c r="A5177" s="5">
        <v>45689</v>
      </c>
      <c r="B5177" s="6" t="s">
        <v>60</v>
      </c>
      <c r="C5177" s="6" t="s">
        <v>114</v>
      </c>
      <c r="D5177" s="5">
        <v>45658</v>
      </c>
      <c r="E5177" s="6" t="s">
        <v>14</v>
      </c>
      <c r="F5177" s="7">
        <v>670</v>
      </c>
      <c r="G5177" s="7">
        <v>228391.04477611941</v>
      </c>
      <c r="H5177" s="7">
        <v>153022000</v>
      </c>
      <c r="I5177" s="7">
        <v>20770000</v>
      </c>
      <c r="J5177" s="7">
        <v>0</v>
      </c>
      <c r="K5177">
        <f t="shared" si="80"/>
        <v>31</v>
      </c>
      <c r="L5177" s="8" t="str" cm="1">
        <f t="array" ref="L5177">_xlfn.IFS(
 AND(K5177&gt;=89,K5177&lt;=92),"3개월",
 AND(K5177&gt;=58,K5177&lt;=62),"2개월",
 AND(K5177&gt;=28,K5177&lt;=32),"1개월",
 AND(K5177=0),"당월",
 TRUE,"그외"
)</f>
        <v>1개월</v>
      </c>
    </row>
    <row r="5178" spans="1:12" x14ac:dyDescent="0.3">
      <c r="A5178" s="5">
        <v>45689</v>
      </c>
      <c r="B5178" s="6" t="s">
        <v>60</v>
      </c>
      <c r="C5178" s="6" t="s">
        <v>114</v>
      </c>
      <c r="D5178" s="5">
        <v>45658</v>
      </c>
      <c r="E5178" s="6" t="s">
        <v>15</v>
      </c>
      <c r="F5178" s="7">
        <v>2281</v>
      </c>
      <c r="G5178" s="7">
        <v>261291.41034633931</v>
      </c>
      <c r="H5178" s="7">
        <v>596005707</v>
      </c>
      <c r="I5178" s="7">
        <v>66806009</v>
      </c>
      <c r="J5178" s="7">
        <v>0</v>
      </c>
      <c r="K5178">
        <f t="shared" si="80"/>
        <v>31</v>
      </c>
      <c r="L5178" s="8" t="str" cm="1">
        <f t="array" ref="L5178">_xlfn.IFS(
 AND(K5178&gt;=89,K5178&lt;=92),"3개월",
 AND(K5178&gt;=58,K5178&lt;=62),"2개월",
 AND(K5178&gt;=28,K5178&lt;=32),"1개월",
 AND(K5178=0),"당월",
 TRUE,"그외"
)</f>
        <v>1개월</v>
      </c>
    </row>
    <row r="5179" spans="1:12" x14ac:dyDescent="0.3">
      <c r="A5179" s="5">
        <v>45689</v>
      </c>
      <c r="B5179" s="6" t="s">
        <v>60</v>
      </c>
      <c r="C5179" s="6" t="s">
        <v>114</v>
      </c>
      <c r="D5179" s="5">
        <v>45689</v>
      </c>
      <c r="E5179" s="6" t="s">
        <v>14</v>
      </c>
      <c r="F5179" s="7">
        <v>418</v>
      </c>
      <c r="G5179" s="7">
        <v>214910.04784688991</v>
      </c>
      <c r="H5179" s="7">
        <v>89832400</v>
      </c>
      <c r="I5179" s="7">
        <v>13413400</v>
      </c>
      <c r="J5179" s="7">
        <v>0</v>
      </c>
      <c r="K5179">
        <f t="shared" si="80"/>
        <v>0</v>
      </c>
      <c r="L5179" s="8" t="str" cm="1">
        <f t="array" ref="L5179">_xlfn.IFS(
 AND(K5179&gt;=89,K5179&lt;=92),"3개월",
 AND(K5179&gt;=58,K5179&lt;=62),"2개월",
 AND(K5179&gt;=28,K5179&lt;=32),"1개월",
 AND(K5179=0),"당월",
 TRUE,"그외"
)</f>
        <v>당월</v>
      </c>
    </row>
    <row r="5180" spans="1:12" x14ac:dyDescent="0.3">
      <c r="A5180" s="5">
        <v>45689</v>
      </c>
      <c r="B5180" s="6" t="s">
        <v>60</v>
      </c>
      <c r="C5180" s="6" t="s">
        <v>114</v>
      </c>
      <c r="D5180" s="5">
        <v>45689</v>
      </c>
      <c r="E5180" s="6" t="s">
        <v>15</v>
      </c>
      <c r="F5180" s="7">
        <v>1480</v>
      </c>
      <c r="G5180" s="7">
        <v>232907.26013513509</v>
      </c>
      <c r="H5180" s="7">
        <v>344702745</v>
      </c>
      <c r="I5180" s="7">
        <v>42062109</v>
      </c>
      <c r="J5180" s="7">
        <v>0</v>
      </c>
      <c r="K5180">
        <f t="shared" si="80"/>
        <v>0</v>
      </c>
      <c r="L5180" s="8" t="str" cm="1">
        <f t="array" ref="L5180">_xlfn.IFS(
 AND(K5180&gt;=89,K5180&lt;=92),"3개월",
 AND(K5180&gt;=58,K5180&lt;=62),"2개월",
 AND(K5180&gt;=28,K5180&lt;=32),"1개월",
 AND(K5180=0),"당월",
 TRUE,"그외"
)</f>
        <v>당월</v>
      </c>
    </row>
    <row r="5181" spans="1:12" x14ac:dyDescent="0.3">
      <c r="A5181" s="5">
        <v>45689</v>
      </c>
      <c r="B5181" s="6" t="s">
        <v>60</v>
      </c>
      <c r="C5181" s="6" t="s">
        <v>72</v>
      </c>
      <c r="D5181" s="5">
        <v>45474</v>
      </c>
      <c r="E5181" s="6" t="s">
        <v>15</v>
      </c>
      <c r="F5181" s="7">
        <v>30</v>
      </c>
      <c r="G5181" s="7">
        <v>237400</v>
      </c>
      <c r="H5181" s="7">
        <v>7122000</v>
      </c>
      <c r="I5181" s="7">
        <v>822000</v>
      </c>
      <c r="J5181" s="7">
        <v>0</v>
      </c>
      <c r="K5181">
        <f t="shared" si="80"/>
        <v>215</v>
      </c>
      <c r="L5181" s="8" t="str" cm="1">
        <f t="array" ref="L5181">_xlfn.IFS(
 AND(K5181&gt;=89,K5181&lt;=92),"3개월",
 AND(K5181&gt;=58,K5181&lt;=62),"2개월",
 AND(K5181&gt;=28,K5181&lt;=32),"1개월",
 AND(K5181=0),"당월",
 TRUE,"그외"
)</f>
        <v>그외</v>
      </c>
    </row>
    <row r="5182" spans="1:12" x14ac:dyDescent="0.3">
      <c r="A5182" s="5">
        <v>45689</v>
      </c>
      <c r="B5182" s="6" t="s">
        <v>60</v>
      </c>
      <c r="C5182" s="6" t="s">
        <v>72</v>
      </c>
      <c r="D5182" s="5">
        <v>45505</v>
      </c>
      <c r="E5182" s="6" t="s">
        <v>15</v>
      </c>
      <c r="F5182" s="7">
        <v>665</v>
      </c>
      <c r="G5182" s="7">
        <v>274307.78646616539</v>
      </c>
      <c r="H5182" s="7">
        <v>182414678</v>
      </c>
      <c r="I5182" s="7">
        <v>20162252</v>
      </c>
      <c r="J5182" s="7">
        <v>0</v>
      </c>
      <c r="K5182">
        <f t="shared" si="80"/>
        <v>184</v>
      </c>
      <c r="L5182" s="8" t="str" cm="1">
        <f t="array" ref="L5182">_xlfn.IFS(
 AND(K5182&gt;=89,K5182&lt;=92),"3개월",
 AND(K5182&gt;=58,K5182&lt;=62),"2개월",
 AND(K5182&gt;=28,K5182&lt;=32),"1개월",
 AND(K5182=0),"당월",
 TRUE,"그외"
)</f>
        <v>그외</v>
      </c>
    </row>
    <row r="5183" spans="1:12" x14ac:dyDescent="0.3">
      <c r="A5183" s="5">
        <v>45689</v>
      </c>
      <c r="B5183" s="6" t="s">
        <v>60</v>
      </c>
      <c r="C5183" s="6" t="s">
        <v>72</v>
      </c>
      <c r="D5183" s="5">
        <v>45536</v>
      </c>
      <c r="E5183" s="6" t="s">
        <v>14</v>
      </c>
      <c r="F5183" s="7">
        <v>4</v>
      </c>
      <c r="G5183" s="7">
        <v>247500</v>
      </c>
      <c r="H5183" s="7">
        <v>990000</v>
      </c>
      <c r="I5183" s="7">
        <v>110000</v>
      </c>
      <c r="J5183" s="7">
        <v>0</v>
      </c>
      <c r="K5183">
        <f t="shared" si="80"/>
        <v>153</v>
      </c>
      <c r="L5183" s="8" t="str" cm="1">
        <f t="array" ref="L5183">_xlfn.IFS(
 AND(K5183&gt;=89,K5183&lt;=92),"3개월",
 AND(K5183&gt;=58,K5183&lt;=62),"2개월",
 AND(K5183&gt;=28,K5183&lt;=32),"1개월",
 AND(K5183=0),"당월",
 TRUE,"그외"
)</f>
        <v>그외</v>
      </c>
    </row>
    <row r="5184" spans="1:12" x14ac:dyDescent="0.3">
      <c r="A5184" s="5">
        <v>45689</v>
      </c>
      <c r="B5184" s="6" t="s">
        <v>60</v>
      </c>
      <c r="C5184" s="6" t="s">
        <v>72</v>
      </c>
      <c r="D5184" s="5">
        <v>45536</v>
      </c>
      <c r="E5184" s="6" t="s">
        <v>15</v>
      </c>
      <c r="F5184" s="7">
        <v>602</v>
      </c>
      <c r="G5184" s="7">
        <v>269765.91362126247</v>
      </c>
      <c r="H5184" s="7">
        <v>162399080</v>
      </c>
      <c r="I5184" s="7">
        <v>16508630</v>
      </c>
      <c r="J5184" s="7">
        <v>0</v>
      </c>
      <c r="K5184">
        <f t="shared" si="80"/>
        <v>153</v>
      </c>
      <c r="L5184" s="8" t="str" cm="1">
        <f t="array" ref="L5184">_xlfn.IFS(
 AND(K5184&gt;=89,K5184&lt;=92),"3개월",
 AND(K5184&gt;=58,K5184&lt;=62),"2개월",
 AND(K5184&gt;=28,K5184&lt;=32),"1개월",
 AND(K5184=0),"당월",
 TRUE,"그외"
)</f>
        <v>그외</v>
      </c>
    </row>
    <row r="5185" spans="1:12" x14ac:dyDescent="0.3">
      <c r="A5185" s="5">
        <v>45689</v>
      </c>
      <c r="B5185" s="6" t="s">
        <v>60</v>
      </c>
      <c r="C5185" s="6" t="s">
        <v>72</v>
      </c>
      <c r="D5185" s="5">
        <v>45566</v>
      </c>
      <c r="E5185" s="6" t="s">
        <v>14</v>
      </c>
      <c r="F5185" s="7">
        <v>107</v>
      </c>
      <c r="G5185" s="7">
        <v>280165.42056074768</v>
      </c>
      <c r="H5185" s="7">
        <v>29977700</v>
      </c>
      <c r="I5185" s="7">
        <v>2150700</v>
      </c>
      <c r="J5185" s="7">
        <v>0</v>
      </c>
      <c r="K5185">
        <f t="shared" si="80"/>
        <v>123</v>
      </c>
      <c r="L5185" s="8" t="str" cm="1">
        <f t="array" ref="L5185">_xlfn.IFS(
 AND(K5185&gt;=89,K5185&lt;=92),"3개월",
 AND(K5185&gt;=58,K5185&lt;=62),"2개월",
 AND(K5185&gt;=28,K5185&lt;=32),"1개월",
 AND(K5185=0),"당월",
 TRUE,"그외"
)</f>
        <v>그외</v>
      </c>
    </row>
    <row r="5186" spans="1:12" x14ac:dyDescent="0.3">
      <c r="A5186" s="5">
        <v>45689</v>
      </c>
      <c r="B5186" s="6" t="s">
        <v>60</v>
      </c>
      <c r="C5186" s="6" t="s">
        <v>72</v>
      </c>
      <c r="D5186" s="5">
        <v>45566</v>
      </c>
      <c r="E5186" s="6" t="s">
        <v>15</v>
      </c>
      <c r="F5186" s="7">
        <v>677</v>
      </c>
      <c r="G5186" s="7">
        <v>264844.92023633682</v>
      </c>
      <c r="H5186" s="7">
        <v>179300011</v>
      </c>
      <c r="I5186" s="7">
        <v>13663321</v>
      </c>
      <c r="J5186" s="7">
        <v>0</v>
      </c>
      <c r="K5186">
        <f t="shared" si="80"/>
        <v>123</v>
      </c>
      <c r="L5186" s="8" t="str" cm="1">
        <f t="array" ref="L5186">_xlfn.IFS(
 AND(K5186&gt;=89,K5186&lt;=92),"3개월",
 AND(K5186&gt;=58,K5186&lt;=62),"2개월",
 AND(K5186&gt;=28,K5186&lt;=32),"1개월",
 AND(K5186=0),"당월",
 TRUE,"그외"
)</f>
        <v>그외</v>
      </c>
    </row>
    <row r="5187" spans="1:12" x14ac:dyDescent="0.3">
      <c r="A5187" s="5">
        <v>45689</v>
      </c>
      <c r="B5187" s="6" t="s">
        <v>60</v>
      </c>
      <c r="C5187" s="6" t="s">
        <v>72</v>
      </c>
      <c r="D5187" s="5">
        <v>45597</v>
      </c>
      <c r="E5187" s="6" t="s">
        <v>14</v>
      </c>
      <c r="F5187" s="7">
        <v>336</v>
      </c>
      <c r="G5187" s="7">
        <v>223449.40476190479</v>
      </c>
      <c r="H5187" s="7">
        <v>75079000</v>
      </c>
      <c r="I5187" s="7">
        <v>6720000</v>
      </c>
      <c r="J5187" s="7">
        <v>0</v>
      </c>
      <c r="K5187">
        <f t="shared" si="80"/>
        <v>92</v>
      </c>
      <c r="L5187" s="8" t="str" cm="1">
        <f t="array" ref="L5187">_xlfn.IFS(
 AND(K5187&gt;=89,K5187&lt;=92),"3개월",
 AND(K5187&gt;=58,K5187&lt;=62),"2개월",
 AND(K5187&gt;=28,K5187&lt;=32),"1개월",
 AND(K5187=0),"당월",
 TRUE,"그외"
)</f>
        <v>3개월</v>
      </c>
    </row>
    <row r="5188" spans="1:12" x14ac:dyDescent="0.3">
      <c r="A5188" s="5">
        <v>45689</v>
      </c>
      <c r="B5188" s="6" t="s">
        <v>60</v>
      </c>
      <c r="C5188" s="6" t="s">
        <v>72</v>
      </c>
      <c r="D5188" s="5">
        <v>45597</v>
      </c>
      <c r="E5188" s="6" t="s">
        <v>15</v>
      </c>
      <c r="F5188" s="7">
        <v>1639</v>
      </c>
      <c r="G5188" s="7">
        <v>258489.76571079931</v>
      </c>
      <c r="H5188" s="7">
        <v>423664726</v>
      </c>
      <c r="I5188" s="7">
        <v>32821397</v>
      </c>
      <c r="J5188" s="7">
        <v>0</v>
      </c>
      <c r="K5188">
        <f t="shared" si="80"/>
        <v>92</v>
      </c>
      <c r="L5188" s="8" t="str" cm="1">
        <f t="array" ref="L5188">_xlfn.IFS(
 AND(K5188&gt;=89,K5188&lt;=92),"3개월",
 AND(K5188&gt;=58,K5188&lt;=62),"2개월",
 AND(K5188&gt;=28,K5188&lt;=32),"1개월",
 AND(K5188=0),"당월",
 TRUE,"그외"
)</f>
        <v>3개월</v>
      </c>
    </row>
    <row r="5189" spans="1:12" x14ac:dyDescent="0.3">
      <c r="A5189" s="5">
        <v>45689</v>
      </c>
      <c r="B5189" s="6" t="s">
        <v>60</v>
      </c>
      <c r="C5189" s="6" t="s">
        <v>72</v>
      </c>
      <c r="D5189" s="5">
        <v>45627</v>
      </c>
      <c r="E5189" s="6" t="s">
        <v>14</v>
      </c>
      <c r="F5189" s="7">
        <v>906</v>
      </c>
      <c r="G5189" s="7">
        <v>291161.14790286968</v>
      </c>
      <c r="H5189" s="7">
        <v>263792000</v>
      </c>
      <c r="I5189" s="7">
        <v>21150000</v>
      </c>
      <c r="J5189" s="7">
        <v>0</v>
      </c>
      <c r="K5189">
        <f t="shared" si="80"/>
        <v>62</v>
      </c>
      <c r="L5189" s="8" t="str" cm="1">
        <f t="array" ref="L5189">_xlfn.IFS(
 AND(K5189&gt;=89,K5189&lt;=92),"3개월",
 AND(K5189&gt;=58,K5189&lt;=62),"2개월",
 AND(K5189&gt;=28,K5189&lt;=32),"1개월",
 AND(K5189=0),"당월",
 TRUE,"그외"
)</f>
        <v>2개월</v>
      </c>
    </row>
    <row r="5190" spans="1:12" x14ac:dyDescent="0.3">
      <c r="A5190" s="5">
        <v>45689</v>
      </c>
      <c r="B5190" s="6" t="s">
        <v>60</v>
      </c>
      <c r="C5190" s="6" t="s">
        <v>72</v>
      </c>
      <c r="D5190" s="5">
        <v>45627</v>
      </c>
      <c r="E5190" s="6" t="s">
        <v>15</v>
      </c>
      <c r="F5190" s="7">
        <v>2289</v>
      </c>
      <c r="G5190" s="7">
        <v>258416.1834862385</v>
      </c>
      <c r="H5190" s="7">
        <v>591514644</v>
      </c>
      <c r="I5190" s="7">
        <v>53378358</v>
      </c>
      <c r="J5190" s="7">
        <v>0</v>
      </c>
      <c r="K5190">
        <f t="shared" si="80"/>
        <v>62</v>
      </c>
      <c r="L5190" s="8" t="str" cm="1">
        <f t="array" ref="L5190">_xlfn.IFS(
 AND(K5190&gt;=89,K5190&lt;=92),"3개월",
 AND(K5190&gt;=58,K5190&lt;=62),"2개월",
 AND(K5190&gt;=28,K5190&lt;=32),"1개월",
 AND(K5190=0),"당월",
 TRUE,"그외"
)</f>
        <v>2개월</v>
      </c>
    </row>
    <row r="5191" spans="1:12" x14ac:dyDescent="0.3">
      <c r="A5191" s="5">
        <v>45689</v>
      </c>
      <c r="B5191" s="6" t="s">
        <v>60</v>
      </c>
      <c r="C5191" s="6" t="s">
        <v>72</v>
      </c>
      <c r="D5191" s="5">
        <v>45658</v>
      </c>
      <c r="E5191" s="6" t="s">
        <v>14</v>
      </c>
      <c r="F5191" s="7">
        <v>2699</v>
      </c>
      <c r="G5191" s="7">
        <v>352555.76139310858</v>
      </c>
      <c r="H5191" s="7">
        <v>951548000</v>
      </c>
      <c r="I5191" s="7">
        <v>62223000</v>
      </c>
      <c r="J5191" s="7">
        <v>0</v>
      </c>
      <c r="K5191">
        <f t="shared" si="80"/>
        <v>31</v>
      </c>
      <c r="L5191" s="8" t="str" cm="1">
        <f t="array" ref="L5191">_xlfn.IFS(
 AND(K5191&gt;=89,K5191&lt;=92),"3개월",
 AND(K5191&gt;=58,K5191&lt;=62),"2개월",
 AND(K5191&gt;=28,K5191&lt;=32),"1개월",
 AND(K5191=0),"당월",
 TRUE,"그외"
)</f>
        <v>1개월</v>
      </c>
    </row>
    <row r="5192" spans="1:12" x14ac:dyDescent="0.3">
      <c r="A5192" s="5">
        <v>45689</v>
      </c>
      <c r="B5192" s="6" t="s">
        <v>60</v>
      </c>
      <c r="C5192" s="6" t="s">
        <v>72</v>
      </c>
      <c r="D5192" s="5">
        <v>45658</v>
      </c>
      <c r="E5192" s="6" t="s">
        <v>15</v>
      </c>
      <c r="F5192" s="7">
        <v>3340</v>
      </c>
      <c r="G5192" s="7">
        <v>263011.39461077843</v>
      </c>
      <c r="H5192" s="7">
        <v>878458058</v>
      </c>
      <c r="I5192" s="7">
        <v>79550121</v>
      </c>
      <c r="J5192" s="7">
        <v>0</v>
      </c>
      <c r="K5192">
        <f t="shared" si="80"/>
        <v>31</v>
      </c>
      <c r="L5192" s="8" t="str" cm="1">
        <f t="array" ref="L5192">_xlfn.IFS(
 AND(K5192&gt;=89,K5192&lt;=92),"3개월",
 AND(K5192&gt;=58,K5192&lt;=62),"2개월",
 AND(K5192&gt;=28,K5192&lt;=32),"1개월",
 AND(K5192=0),"당월",
 TRUE,"그외"
)</f>
        <v>1개월</v>
      </c>
    </row>
    <row r="5193" spans="1:12" x14ac:dyDescent="0.3">
      <c r="A5193" s="5">
        <v>45689</v>
      </c>
      <c r="B5193" s="6" t="s">
        <v>60</v>
      </c>
      <c r="C5193" s="6" t="s">
        <v>72</v>
      </c>
      <c r="D5193" s="5">
        <v>45689</v>
      </c>
      <c r="E5193" s="6" t="s">
        <v>14</v>
      </c>
      <c r="F5193" s="7">
        <v>1858</v>
      </c>
      <c r="G5193" s="7">
        <v>50397.362755651237</v>
      </c>
      <c r="H5193" s="7">
        <v>93638300</v>
      </c>
      <c r="I5193" s="7">
        <v>46063300</v>
      </c>
      <c r="J5193" s="7">
        <v>0</v>
      </c>
      <c r="K5193">
        <f t="shared" si="80"/>
        <v>0</v>
      </c>
      <c r="L5193" s="8" t="str" cm="1">
        <f t="array" ref="L5193">_xlfn.IFS(
 AND(K5193&gt;=89,K5193&lt;=92),"3개월",
 AND(K5193&gt;=58,K5193&lt;=62),"2개월",
 AND(K5193&gt;=28,K5193&lt;=32),"1개월",
 AND(K5193=0),"당월",
 TRUE,"그외"
)</f>
        <v>당월</v>
      </c>
    </row>
    <row r="5194" spans="1:12" x14ac:dyDescent="0.3">
      <c r="A5194" s="5">
        <v>45689</v>
      </c>
      <c r="B5194" s="6" t="s">
        <v>60</v>
      </c>
      <c r="C5194" s="6" t="s">
        <v>72</v>
      </c>
      <c r="D5194" s="5">
        <v>45689</v>
      </c>
      <c r="E5194" s="6" t="s">
        <v>15</v>
      </c>
      <c r="F5194" s="7">
        <v>1629</v>
      </c>
      <c r="G5194" s="7">
        <v>236998.0681399632</v>
      </c>
      <c r="H5194" s="7">
        <v>386069853</v>
      </c>
      <c r="I5194" s="7">
        <v>39134096</v>
      </c>
      <c r="J5194" s="7">
        <v>0</v>
      </c>
      <c r="K5194">
        <f t="shared" ref="K5194:K5257" si="81">A5194-D5194</f>
        <v>0</v>
      </c>
      <c r="L5194" s="8" t="str" cm="1">
        <f t="array" ref="L5194">_xlfn.IFS(
 AND(K5194&gt;=89,K5194&lt;=92),"3개월",
 AND(K5194&gt;=58,K5194&lt;=62),"2개월",
 AND(K5194&gt;=28,K5194&lt;=32),"1개월",
 AND(K5194=0),"당월",
 TRUE,"그외"
)</f>
        <v>당월</v>
      </c>
    </row>
    <row r="5195" spans="1:12" x14ac:dyDescent="0.3">
      <c r="A5195" s="5">
        <v>45689</v>
      </c>
      <c r="B5195" s="6" t="s">
        <v>60</v>
      </c>
      <c r="C5195" s="6" t="s">
        <v>115</v>
      </c>
      <c r="D5195" s="5">
        <v>45536</v>
      </c>
      <c r="E5195" s="6" t="s">
        <v>15</v>
      </c>
      <c r="F5195" s="7">
        <v>258</v>
      </c>
      <c r="G5195" s="7">
        <v>268062.57751937979</v>
      </c>
      <c r="H5195" s="7">
        <v>69160145</v>
      </c>
      <c r="I5195" s="7">
        <v>9344466</v>
      </c>
      <c r="J5195" s="7">
        <v>0</v>
      </c>
      <c r="K5195">
        <f t="shared" si="81"/>
        <v>153</v>
      </c>
      <c r="L5195" s="8" t="str" cm="1">
        <f t="array" ref="L5195">_xlfn.IFS(
 AND(K5195&gt;=89,K5195&lt;=92),"3개월",
 AND(K5195&gt;=58,K5195&lt;=62),"2개월",
 AND(K5195&gt;=28,K5195&lt;=32),"1개월",
 AND(K5195=0),"당월",
 TRUE,"그외"
)</f>
        <v>그외</v>
      </c>
    </row>
    <row r="5196" spans="1:12" x14ac:dyDescent="0.3">
      <c r="A5196" s="5">
        <v>45689</v>
      </c>
      <c r="B5196" s="6" t="s">
        <v>60</v>
      </c>
      <c r="C5196" s="6" t="s">
        <v>115</v>
      </c>
      <c r="D5196" s="5">
        <v>45566</v>
      </c>
      <c r="E5196" s="6" t="s">
        <v>15</v>
      </c>
      <c r="F5196" s="7">
        <v>706</v>
      </c>
      <c r="G5196" s="7">
        <v>258386.328611898</v>
      </c>
      <c r="H5196" s="7">
        <v>182420748</v>
      </c>
      <c r="I5196" s="7">
        <v>18368030</v>
      </c>
      <c r="J5196" s="7">
        <v>0</v>
      </c>
      <c r="K5196">
        <f t="shared" si="81"/>
        <v>123</v>
      </c>
      <c r="L5196" s="8" t="str" cm="1">
        <f t="array" ref="L5196">_xlfn.IFS(
 AND(K5196&gt;=89,K5196&lt;=92),"3개월",
 AND(K5196&gt;=58,K5196&lt;=62),"2개월",
 AND(K5196&gt;=28,K5196&lt;=32),"1개월",
 AND(K5196=0),"당월",
 TRUE,"그외"
)</f>
        <v>그외</v>
      </c>
    </row>
    <row r="5197" spans="1:12" x14ac:dyDescent="0.3">
      <c r="A5197" s="5">
        <v>45689</v>
      </c>
      <c r="B5197" s="6" t="s">
        <v>60</v>
      </c>
      <c r="C5197" s="6" t="s">
        <v>115</v>
      </c>
      <c r="D5197" s="5">
        <v>45597</v>
      </c>
      <c r="E5197" s="6" t="s">
        <v>14</v>
      </c>
      <c r="F5197" s="7">
        <v>130</v>
      </c>
      <c r="G5197" s="7">
        <v>262092.30769230769</v>
      </c>
      <c r="H5197" s="7">
        <v>34072000</v>
      </c>
      <c r="I5197" s="7">
        <v>3302000</v>
      </c>
      <c r="J5197" s="7">
        <v>0</v>
      </c>
      <c r="K5197">
        <f t="shared" si="81"/>
        <v>92</v>
      </c>
      <c r="L5197" s="8" t="str" cm="1">
        <f t="array" ref="L5197">_xlfn.IFS(
 AND(K5197&gt;=89,K5197&lt;=92),"3개월",
 AND(K5197&gt;=58,K5197&lt;=62),"2개월",
 AND(K5197&gt;=28,K5197&lt;=32),"1개월",
 AND(K5197=0),"당월",
 TRUE,"그외"
)</f>
        <v>3개월</v>
      </c>
    </row>
    <row r="5198" spans="1:12" x14ac:dyDescent="0.3">
      <c r="A5198" s="5">
        <v>45689</v>
      </c>
      <c r="B5198" s="6" t="s">
        <v>60</v>
      </c>
      <c r="C5198" s="6" t="s">
        <v>115</v>
      </c>
      <c r="D5198" s="5">
        <v>45597</v>
      </c>
      <c r="E5198" s="6" t="s">
        <v>15</v>
      </c>
      <c r="F5198" s="7">
        <v>878</v>
      </c>
      <c r="G5198" s="7">
        <v>256615.11503416859</v>
      </c>
      <c r="H5198" s="7">
        <v>225308071</v>
      </c>
      <c r="I5198" s="7">
        <v>23148484</v>
      </c>
      <c r="J5198" s="7">
        <v>0</v>
      </c>
      <c r="K5198">
        <f t="shared" si="81"/>
        <v>92</v>
      </c>
      <c r="L5198" s="8" t="str" cm="1">
        <f t="array" ref="L5198">_xlfn.IFS(
 AND(K5198&gt;=89,K5198&lt;=92),"3개월",
 AND(K5198&gt;=58,K5198&lt;=62),"2개월",
 AND(K5198&gt;=28,K5198&lt;=32),"1개월",
 AND(K5198=0),"당월",
 TRUE,"그외"
)</f>
        <v>3개월</v>
      </c>
    </row>
    <row r="5199" spans="1:12" x14ac:dyDescent="0.3">
      <c r="A5199" s="5">
        <v>45689</v>
      </c>
      <c r="B5199" s="6" t="s">
        <v>60</v>
      </c>
      <c r="C5199" s="6" t="s">
        <v>115</v>
      </c>
      <c r="D5199" s="5">
        <v>45627</v>
      </c>
      <c r="E5199" s="6" t="s">
        <v>14</v>
      </c>
      <c r="F5199" s="7">
        <v>119</v>
      </c>
      <c r="G5199" s="7">
        <v>379121.84873949579</v>
      </c>
      <c r="H5199" s="7">
        <v>45115500</v>
      </c>
      <c r="I5199" s="7">
        <v>3568500</v>
      </c>
      <c r="J5199" s="7">
        <v>0</v>
      </c>
      <c r="K5199">
        <f t="shared" si="81"/>
        <v>62</v>
      </c>
      <c r="L5199" s="8" t="str" cm="1">
        <f t="array" ref="L5199">_xlfn.IFS(
 AND(K5199&gt;=89,K5199&lt;=92),"3개월",
 AND(K5199&gt;=58,K5199&lt;=62),"2개월",
 AND(K5199&gt;=28,K5199&lt;=32),"1개월",
 AND(K5199=0),"당월",
 TRUE,"그외"
)</f>
        <v>2개월</v>
      </c>
    </row>
    <row r="5200" spans="1:12" x14ac:dyDescent="0.3">
      <c r="A5200" s="5">
        <v>45689</v>
      </c>
      <c r="B5200" s="6" t="s">
        <v>60</v>
      </c>
      <c r="C5200" s="6" t="s">
        <v>115</v>
      </c>
      <c r="D5200" s="5">
        <v>45627</v>
      </c>
      <c r="E5200" s="6" t="s">
        <v>15</v>
      </c>
      <c r="F5200" s="7">
        <v>762</v>
      </c>
      <c r="G5200" s="7">
        <v>291898.43175853021</v>
      </c>
      <c r="H5200" s="7">
        <v>222426605</v>
      </c>
      <c r="I5200" s="7">
        <v>24075990</v>
      </c>
      <c r="J5200" s="7">
        <v>0</v>
      </c>
      <c r="K5200">
        <f t="shared" si="81"/>
        <v>62</v>
      </c>
      <c r="L5200" s="8" t="str" cm="1">
        <f t="array" ref="L5200">_xlfn.IFS(
 AND(K5200&gt;=89,K5200&lt;=92),"3개월",
 AND(K5200&gt;=58,K5200&lt;=62),"2개월",
 AND(K5200&gt;=28,K5200&lt;=32),"1개월",
 AND(K5200=0),"당월",
 TRUE,"그외"
)</f>
        <v>2개월</v>
      </c>
    </row>
    <row r="5201" spans="1:12" x14ac:dyDescent="0.3">
      <c r="A5201" s="5">
        <v>45689</v>
      </c>
      <c r="B5201" s="6" t="s">
        <v>60</v>
      </c>
      <c r="C5201" s="6" t="s">
        <v>115</v>
      </c>
      <c r="D5201" s="5">
        <v>45658</v>
      </c>
      <c r="E5201" s="6" t="s">
        <v>14</v>
      </c>
      <c r="F5201" s="7">
        <v>1088</v>
      </c>
      <c r="G5201" s="7">
        <v>760902.57352941181</v>
      </c>
      <c r="H5201" s="7">
        <v>827862000</v>
      </c>
      <c r="I5201" s="7">
        <v>30504000</v>
      </c>
      <c r="J5201" s="7">
        <v>0</v>
      </c>
      <c r="K5201">
        <f t="shared" si="81"/>
        <v>31</v>
      </c>
      <c r="L5201" s="8" t="str" cm="1">
        <f t="array" ref="L5201">_xlfn.IFS(
 AND(K5201&gt;=89,K5201&lt;=92),"3개월",
 AND(K5201&gt;=58,K5201&lt;=62),"2개월",
 AND(K5201&gt;=28,K5201&lt;=32),"1개월",
 AND(K5201=0),"당월",
 TRUE,"그외"
)</f>
        <v>1개월</v>
      </c>
    </row>
    <row r="5202" spans="1:12" x14ac:dyDescent="0.3">
      <c r="A5202" s="5">
        <v>45689</v>
      </c>
      <c r="B5202" s="6" t="s">
        <v>60</v>
      </c>
      <c r="C5202" s="6" t="s">
        <v>115</v>
      </c>
      <c r="D5202" s="5">
        <v>45658</v>
      </c>
      <c r="E5202" s="6" t="s">
        <v>15</v>
      </c>
      <c r="F5202" s="7">
        <v>1540</v>
      </c>
      <c r="G5202" s="7">
        <v>249740.6714285714</v>
      </c>
      <c r="H5202" s="7">
        <v>384600634</v>
      </c>
      <c r="I5202" s="7">
        <v>50982262</v>
      </c>
      <c r="J5202" s="7">
        <v>0</v>
      </c>
      <c r="K5202">
        <f t="shared" si="81"/>
        <v>31</v>
      </c>
      <c r="L5202" s="8" t="str" cm="1">
        <f t="array" ref="L5202">_xlfn.IFS(
 AND(K5202&gt;=89,K5202&lt;=92),"3개월",
 AND(K5202&gt;=58,K5202&lt;=62),"2개월",
 AND(K5202&gt;=28,K5202&lt;=32),"1개월",
 AND(K5202=0),"당월",
 TRUE,"그외"
)</f>
        <v>1개월</v>
      </c>
    </row>
    <row r="5203" spans="1:12" x14ac:dyDescent="0.3">
      <c r="A5203" s="5">
        <v>45689</v>
      </c>
      <c r="B5203" s="6" t="s">
        <v>60</v>
      </c>
      <c r="C5203" s="6" t="s">
        <v>115</v>
      </c>
      <c r="D5203" s="5">
        <v>45689</v>
      </c>
      <c r="E5203" s="6" t="s">
        <v>14</v>
      </c>
      <c r="F5203" s="7">
        <v>2714</v>
      </c>
      <c r="G5203" s="7">
        <v>44716.654384672067</v>
      </c>
      <c r="H5203" s="7">
        <v>121361000</v>
      </c>
      <c r="I5203" s="7">
        <v>87077000</v>
      </c>
      <c r="J5203" s="7">
        <v>0</v>
      </c>
      <c r="K5203">
        <f t="shared" si="81"/>
        <v>0</v>
      </c>
      <c r="L5203" s="8" t="str" cm="1">
        <f t="array" ref="L5203">_xlfn.IFS(
 AND(K5203&gt;=89,K5203&lt;=92),"3개월",
 AND(K5203&gt;=58,K5203&lt;=62),"2개월",
 AND(K5203&gt;=28,K5203&lt;=32),"1개월",
 AND(K5203=0),"당월",
 TRUE,"그외"
)</f>
        <v>당월</v>
      </c>
    </row>
    <row r="5204" spans="1:12" x14ac:dyDescent="0.3">
      <c r="A5204" s="5">
        <v>45689</v>
      </c>
      <c r="B5204" s="6" t="s">
        <v>60</v>
      </c>
      <c r="C5204" s="6" t="s">
        <v>115</v>
      </c>
      <c r="D5204" s="5">
        <v>45689</v>
      </c>
      <c r="E5204" s="6" t="s">
        <v>15</v>
      </c>
      <c r="F5204" s="7">
        <v>1671</v>
      </c>
      <c r="G5204" s="7">
        <v>201274.8988629563</v>
      </c>
      <c r="H5204" s="7">
        <v>336330356</v>
      </c>
      <c r="I5204" s="7">
        <v>62268274</v>
      </c>
      <c r="J5204" s="7">
        <v>0</v>
      </c>
      <c r="K5204">
        <f t="shared" si="81"/>
        <v>0</v>
      </c>
      <c r="L5204" s="8" t="str" cm="1">
        <f t="array" ref="L5204">_xlfn.IFS(
 AND(K5204&gt;=89,K5204&lt;=92),"3개월",
 AND(K5204&gt;=58,K5204&lt;=62),"2개월",
 AND(K5204&gt;=28,K5204&lt;=32),"1개월",
 AND(K5204=0),"당월",
 TRUE,"그외"
)</f>
        <v>당월</v>
      </c>
    </row>
    <row r="5205" spans="1:12" x14ac:dyDescent="0.3">
      <c r="A5205" s="5">
        <v>45689</v>
      </c>
      <c r="B5205" s="6" t="s">
        <v>75</v>
      </c>
      <c r="C5205" s="6" t="s">
        <v>124</v>
      </c>
      <c r="D5205" s="5">
        <v>45474</v>
      </c>
      <c r="E5205" s="6" t="s">
        <v>15</v>
      </c>
      <c r="F5205" s="7">
        <v>4</v>
      </c>
      <c r="G5205" s="7">
        <v>204350</v>
      </c>
      <c r="H5205" s="7">
        <v>817400</v>
      </c>
      <c r="I5205" s="7">
        <v>142400</v>
      </c>
      <c r="J5205" s="7">
        <v>0</v>
      </c>
      <c r="K5205">
        <f t="shared" si="81"/>
        <v>215</v>
      </c>
      <c r="L5205" s="8" t="str" cm="1">
        <f t="array" ref="L5205">_xlfn.IFS(
 AND(K5205&gt;=89,K5205&lt;=92),"3개월",
 AND(K5205&gt;=58,K5205&lt;=62),"2개월",
 AND(K5205&gt;=28,K5205&lt;=32),"1개월",
 AND(K5205=0),"당월",
 TRUE,"그외"
)</f>
        <v>그외</v>
      </c>
    </row>
    <row r="5206" spans="1:12" x14ac:dyDescent="0.3">
      <c r="A5206" s="5">
        <v>45689</v>
      </c>
      <c r="B5206" s="6" t="s">
        <v>75</v>
      </c>
      <c r="C5206" s="6" t="s">
        <v>124</v>
      </c>
      <c r="D5206" s="5">
        <v>45505</v>
      </c>
      <c r="E5206" s="6" t="s">
        <v>15</v>
      </c>
      <c r="F5206" s="7">
        <v>478</v>
      </c>
      <c r="G5206" s="7">
        <v>232170.64435146441</v>
      </c>
      <c r="H5206" s="7">
        <v>110977568</v>
      </c>
      <c r="I5206" s="7">
        <v>19379102</v>
      </c>
      <c r="J5206" s="7">
        <v>0</v>
      </c>
      <c r="K5206">
        <f t="shared" si="81"/>
        <v>184</v>
      </c>
      <c r="L5206" s="8" t="str" cm="1">
        <f t="array" ref="L5206">_xlfn.IFS(
 AND(K5206&gt;=89,K5206&lt;=92),"3개월",
 AND(K5206&gt;=58,K5206&lt;=62),"2개월",
 AND(K5206&gt;=28,K5206&lt;=32),"1개월",
 AND(K5206=0),"당월",
 TRUE,"그외"
)</f>
        <v>그외</v>
      </c>
    </row>
    <row r="5207" spans="1:12" x14ac:dyDescent="0.3">
      <c r="A5207" s="5">
        <v>45689</v>
      </c>
      <c r="B5207" s="6" t="s">
        <v>75</v>
      </c>
      <c r="C5207" s="6" t="s">
        <v>124</v>
      </c>
      <c r="D5207" s="5">
        <v>45536</v>
      </c>
      <c r="E5207" s="6" t="s">
        <v>14</v>
      </c>
      <c r="F5207" s="7">
        <v>10</v>
      </c>
      <c r="G5207" s="7">
        <v>264800</v>
      </c>
      <c r="H5207" s="7">
        <v>2648000</v>
      </c>
      <c r="I5207" s="7">
        <v>358000</v>
      </c>
      <c r="J5207" s="7">
        <v>0</v>
      </c>
      <c r="K5207">
        <f t="shared" si="81"/>
        <v>153</v>
      </c>
      <c r="L5207" s="8" t="str" cm="1">
        <f t="array" ref="L5207">_xlfn.IFS(
 AND(K5207&gt;=89,K5207&lt;=92),"3개월",
 AND(K5207&gt;=58,K5207&lt;=62),"2개월",
 AND(K5207&gt;=28,K5207&lt;=32),"1개월",
 AND(K5207=0),"당월",
 TRUE,"그외"
)</f>
        <v>그외</v>
      </c>
    </row>
    <row r="5208" spans="1:12" x14ac:dyDescent="0.3">
      <c r="A5208" s="5">
        <v>45689</v>
      </c>
      <c r="B5208" s="6" t="s">
        <v>75</v>
      </c>
      <c r="C5208" s="6" t="s">
        <v>124</v>
      </c>
      <c r="D5208" s="5">
        <v>45536</v>
      </c>
      <c r="E5208" s="6" t="s">
        <v>15</v>
      </c>
      <c r="F5208" s="7">
        <v>183</v>
      </c>
      <c r="G5208" s="7">
        <v>270385.20218579232</v>
      </c>
      <c r="H5208" s="7">
        <v>49480492</v>
      </c>
      <c r="I5208" s="7">
        <v>6738125</v>
      </c>
      <c r="J5208" s="7">
        <v>0</v>
      </c>
      <c r="K5208">
        <f t="shared" si="81"/>
        <v>153</v>
      </c>
      <c r="L5208" s="8" t="str" cm="1">
        <f t="array" ref="L5208">_xlfn.IFS(
 AND(K5208&gt;=89,K5208&lt;=92),"3개월",
 AND(K5208&gt;=58,K5208&lt;=62),"2개월",
 AND(K5208&gt;=28,K5208&lt;=32),"1개월",
 AND(K5208=0),"당월",
 TRUE,"그외"
)</f>
        <v>그외</v>
      </c>
    </row>
    <row r="5209" spans="1:12" x14ac:dyDescent="0.3">
      <c r="A5209" s="5">
        <v>45689</v>
      </c>
      <c r="B5209" s="6" t="s">
        <v>75</v>
      </c>
      <c r="C5209" s="6" t="s">
        <v>124</v>
      </c>
      <c r="D5209" s="5">
        <v>45566</v>
      </c>
      <c r="E5209" s="6" t="s">
        <v>14</v>
      </c>
      <c r="F5209" s="7">
        <v>20</v>
      </c>
      <c r="G5209" s="7">
        <v>251400</v>
      </c>
      <c r="H5209" s="7">
        <v>5028000</v>
      </c>
      <c r="I5209" s="7">
        <v>508000</v>
      </c>
      <c r="J5209" s="7">
        <v>0</v>
      </c>
      <c r="K5209">
        <f t="shared" si="81"/>
        <v>123</v>
      </c>
      <c r="L5209" s="8" t="str" cm="1">
        <f t="array" ref="L5209">_xlfn.IFS(
 AND(K5209&gt;=89,K5209&lt;=92),"3개월",
 AND(K5209&gt;=58,K5209&lt;=62),"2개월",
 AND(K5209&gt;=28,K5209&lt;=32),"1개월",
 AND(K5209=0),"당월",
 TRUE,"그외"
)</f>
        <v>그외</v>
      </c>
    </row>
    <row r="5210" spans="1:12" x14ac:dyDescent="0.3">
      <c r="A5210" s="5">
        <v>45689</v>
      </c>
      <c r="B5210" s="6" t="s">
        <v>75</v>
      </c>
      <c r="C5210" s="6" t="s">
        <v>124</v>
      </c>
      <c r="D5210" s="5">
        <v>45566</v>
      </c>
      <c r="E5210" s="6" t="s">
        <v>15</v>
      </c>
      <c r="F5210" s="7">
        <v>536</v>
      </c>
      <c r="G5210" s="7">
        <v>232478.35447761201</v>
      </c>
      <c r="H5210" s="7">
        <v>124608398</v>
      </c>
      <c r="I5210" s="7">
        <v>13837874</v>
      </c>
      <c r="J5210" s="7">
        <v>0</v>
      </c>
      <c r="K5210">
        <f t="shared" si="81"/>
        <v>123</v>
      </c>
      <c r="L5210" s="8" t="str" cm="1">
        <f t="array" ref="L5210">_xlfn.IFS(
 AND(K5210&gt;=89,K5210&lt;=92),"3개월",
 AND(K5210&gt;=58,K5210&lt;=62),"2개월",
 AND(K5210&gt;=28,K5210&lt;=32),"1개월",
 AND(K5210=0),"당월",
 TRUE,"그외"
)</f>
        <v>그외</v>
      </c>
    </row>
    <row r="5211" spans="1:12" x14ac:dyDescent="0.3">
      <c r="A5211" s="5">
        <v>45689</v>
      </c>
      <c r="B5211" s="6" t="s">
        <v>75</v>
      </c>
      <c r="C5211" s="6" t="s">
        <v>124</v>
      </c>
      <c r="D5211" s="5">
        <v>45597</v>
      </c>
      <c r="E5211" s="6" t="s">
        <v>14</v>
      </c>
      <c r="F5211" s="7">
        <v>102</v>
      </c>
      <c r="G5211" s="7">
        <v>258782.3529411765</v>
      </c>
      <c r="H5211" s="7">
        <v>26395800</v>
      </c>
      <c r="I5211" s="7">
        <v>2590800</v>
      </c>
      <c r="J5211" s="7">
        <v>0</v>
      </c>
      <c r="K5211">
        <f t="shared" si="81"/>
        <v>92</v>
      </c>
      <c r="L5211" s="8" t="str" cm="1">
        <f t="array" ref="L5211">_xlfn.IFS(
 AND(K5211&gt;=89,K5211&lt;=92),"3개월",
 AND(K5211&gt;=58,K5211&lt;=62),"2개월",
 AND(K5211&gt;=28,K5211&lt;=32),"1개월",
 AND(K5211=0),"당월",
 TRUE,"그외"
)</f>
        <v>3개월</v>
      </c>
    </row>
    <row r="5212" spans="1:12" x14ac:dyDescent="0.3">
      <c r="A5212" s="5">
        <v>45689</v>
      </c>
      <c r="B5212" s="6" t="s">
        <v>75</v>
      </c>
      <c r="C5212" s="6" t="s">
        <v>124</v>
      </c>
      <c r="D5212" s="5">
        <v>45597</v>
      </c>
      <c r="E5212" s="6" t="s">
        <v>15</v>
      </c>
      <c r="F5212" s="7">
        <v>778</v>
      </c>
      <c r="G5212" s="7">
        <v>253625.94601542421</v>
      </c>
      <c r="H5212" s="7">
        <v>197320986</v>
      </c>
      <c r="I5212" s="7">
        <v>20843192</v>
      </c>
      <c r="J5212" s="7">
        <v>0</v>
      </c>
      <c r="K5212">
        <f t="shared" si="81"/>
        <v>92</v>
      </c>
      <c r="L5212" s="8" t="str" cm="1">
        <f t="array" ref="L5212">_xlfn.IFS(
 AND(K5212&gt;=89,K5212&lt;=92),"3개월",
 AND(K5212&gt;=58,K5212&lt;=62),"2개월",
 AND(K5212&gt;=28,K5212&lt;=32),"1개월",
 AND(K5212=0),"당월",
 TRUE,"그외"
)</f>
        <v>3개월</v>
      </c>
    </row>
    <row r="5213" spans="1:12" x14ac:dyDescent="0.3">
      <c r="A5213" s="5">
        <v>45689</v>
      </c>
      <c r="B5213" s="6" t="s">
        <v>75</v>
      </c>
      <c r="C5213" s="6" t="s">
        <v>124</v>
      </c>
      <c r="D5213" s="5">
        <v>45627</v>
      </c>
      <c r="E5213" s="6" t="s">
        <v>14</v>
      </c>
      <c r="F5213" s="7">
        <v>89</v>
      </c>
      <c r="G5213" s="7">
        <v>308323.59550561802</v>
      </c>
      <c r="H5213" s="7">
        <v>27440800</v>
      </c>
      <c r="I5213" s="7">
        <v>2673800</v>
      </c>
      <c r="J5213" s="7">
        <v>0</v>
      </c>
      <c r="K5213">
        <f t="shared" si="81"/>
        <v>62</v>
      </c>
      <c r="L5213" s="8" t="str" cm="1">
        <f t="array" ref="L5213">_xlfn.IFS(
 AND(K5213&gt;=89,K5213&lt;=92),"3개월",
 AND(K5213&gt;=58,K5213&lt;=62),"2개월",
 AND(K5213&gt;=28,K5213&lt;=32),"1개월",
 AND(K5213=0),"당월",
 TRUE,"그외"
)</f>
        <v>2개월</v>
      </c>
    </row>
    <row r="5214" spans="1:12" x14ac:dyDescent="0.3">
      <c r="A5214" s="5">
        <v>45689</v>
      </c>
      <c r="B5214" s="6" t="s">
        <v>75</v>
      </c>
      <c r="C5214" s="6" t="s">
        <v>124</v>
      </c>
      <c r="D5214" s="5">
        <v>45627</v>
      </c>
      <c r="E5214" s="6" t="s">
        <v>15</v>
      </c>
      <c r="F5214" s="7">
        <v>659</v>
      </c>
      <c r="G5214" s="7">
        <v>302599.29893778451</v>
      </c>
      <c r="H5214" s="7">
        <v>199412938</v>
      </c>
      <c r="I5214" s="7">
        <v>21124085</v>
      </c>
      <c r="J5214" s="7">
        <v>0</v>
      </c>
      <c r="K5214">
        <f t="shared" si="81"/>
        <v>62</v>
      </c>
      <c r="L5214" s="8" t="str" cm="1">
        <f t="array" ref="L5214">_xlfn.IFS(
 AND(K5214&gt;=89,K5214&lt;=92),"3개월",
 AND(K5214&gt;=58,K5214&lt;=62),"2개월",
 AND(K5214&gt;=28,K5214&lt;=32),"1개월",
 AND(K5214=0),"당월",
 TRUE,"그외"
)</f>
        <v>2개월</v>
      </c>
    </row>
    <row r="5215" spans="1:12" x14ac:dyDescent="0.3">
      <c r="A5215" s="5">
        <v>45689</v>
      </c>
      <c r="B5215" s="6" t="s">
        <v>75</v>
      </c>
      <c r="C5215" s="6" t="s">
        <v>124</v>
      </c>
      <c r="D5215" s="5">
        <v>45658</v>
      </c>
      <c r="E5215" s="6" t="s">
        <v>14</v>
      </c>
      <c r="F5215" s="7">
        <v>1480</v>
      </c>
      <c r="G5215" s="7">
        <v>288643.24324324331</v>
      </c>
      <c r="H5215" s="7">
        <v>427192000</v>
      </c>
      <c r="I5215" s="7">
        <v>44237000</v>
      </c>
      <c r="J5215" s="7">
        <v>0</v>
      </c>
      <c r="K5215">
        <f t="shared" si="81"/>
        <v>31</v>
      </c>
      <c r="L5215" s="8" t="str" cm="1">
        <f t="array" ref="L5215">_xlfn.IFS(
 AND(K5215&gt;=89,K5215&lt;=92),"3개월",
 AND(K5215&gt;=58,K5215&lt;=62),"2개월",
 AND(K5215&gt;=28,K5215&lt;=32),"1개월",
 AND(K5215=0),"당월",
 TRUE,"그외"
)</f>
        <v>1개월</v>
      </c>
    </row>
    <row r="5216" spans="1:12" x14ac:dyDescent="0.3">
      <c r="A5216" s="5">
        <v>45689</v>
      </c>
      <c r="B5216" s="6" t="s">
        <v>75</v>
      </c>
      <c r="C5216" s="6" t="s">
        <v>124</v>
      </c>
      <c r="D5216" s="5">
        <v>45658</v>
      </c>
      <c r="E5216" s="6" t="s">
        <v>15</v>
      </c>
      <c r="F5216" s="7">
        <v>2855</v>
      </c>
      <c r="G5216" s="7">
        <v>185842.12504378281</v>
      </c>
      <c r="H5216" s="7">
        <v>530579267</v>
      </c>
      <c r="I5216" s="7">
        <v>91654271</v>
      </c>
      <c r="J5216" s="7">
        <v>0</v>
      </c>
      <c r="K5216">
        <f t="shared" si="81"/>
        <v>31</v>
      </c>
      <c r="L5216" s="8" t="str" cm="1">
        <f t="array" ref="L5216">_xlfn.IFS(
 AND(K5216&gt;=89,K5216&lt;=92),"3개월",
 AND(K5216&gt;=58,K5216&lt;=62),"2개월",
 AND(K5216&gt;=28,K5216&lt;=32),"1개월",
 AND(K5216=0),"당월",
 TRUE,"그외"
)</f>
        <v>1개월</v>
      </c>
    </row>
    <row r="5217" spans="1:12" x14ac:dyDescent="0.3">
      <c r="A5217" s="5">
        <v>45689</v>
      </c>
      <c r="B5217" s="6" t="s">
        <v>75</v>
      </c>
      <c r="C5217" s="6" t="s">
        <v>124</v>
      </c>
      <c r="D5217" s="5">
        <v>45689</v>
      </c>
      <c r="E5217" s="6" t="s">
        <v>14</v>
      </c>
      <c r="F5217" s="7">
        <v>929</v>
      </c>
      <c r="G5217" s="7">
        <v>85214.302475780409</v>
      </c>
      <c r="H5217" s="7">
        <v>79164087</v>
      </c>
      <c r="I5217" s="7">
        <v>29859107</v>
      </c>
      <c r="J5217" s="7">
        <v>0</v>
      </c>
      <c r="K5217">
        <f t="shared" si="81"/>
        <v>0</v>
      </c>
      <c r="L5217" s="8" t="str" cm="1">
        <f t="array" ref="L5217">_xlfn.IFS(
 AND(K5217&gt;=89,K5217&lt;=92),"3개월",
 AND(K5217&gt;=58,K5217&lt;=62),"2개월",
 AND(K5217&gt;=28,K5217&lt;=32),"1개월",
 AND(K5217=0),"당월",
 TRUE,"그외"
)</f>
        <v>당월</v>
      </c>
    </row>
    <row r="5218" spans="1:12" x14ac:dyDescent="0.3">
      <c r="A5218" s="5">
        <v>45689</v>
      </c>
      <c r="B5218" s="6" t="s">
        <v>75</v>
      </c>
      <c r="C5218" s="6" t="s">
        <v>124</v>
      </c>
      <c r="D5218" s="5">
        <v>45689</v>
      </c>
      <c r="E5218" s="6" t="s">
        <v>15</v>
      </c>
      <c r="F5218" s="7">
        <v>1193</v>
      </c>
      <c r="G5218" s="7">
        <v>174048.09220452639</v>
      </c>
      <c r="H5218" s="7">
        <v>207639374</v>
      </c>
      <c r="I5218" s="7">
        <v>40610994</v>
      </c>
      <c r="J5218" s="7">
        <v>0</v>
      </c>
      <c r="K5218">
        <f t="shared" si="81"/>
        <v>0</v>
      </c>
      <c r="L5218" s="8" t="str" cm="1">
        <f t="array" ref="L5218">_xlfn.IFS(
 AND(K5218&gt;=89,K5218&lt;=92),"3개월",
 AND(K5218&gt;=58,K5218&lt;=62),"2개월",
 AND(K5218&gt;=28,K5218&lt;=32),"1개월",
 AND(K5218=0),"당월",
 TRUE,"그외"
)</f>
        <v>당월</v>
      </c>
    </row>
    <row r="5219" spans="1:12" x14ac:dyDescent="0.3">
      <c r="A5219" s="5">
        <v>45689</v>
      </c>
      <c r="B5219" s="6" t="s">
        <v>75</v>
      </c>
      <c r="C5219" s="6" t="s">
        <v>79</v>
      </c>
      <c r="D5219" s="5">
        <v>45474</v>
      </c>
      <c r="E5219" s="6" t="s">
        <v>15</v>
      </c>
      <c r="F5219" s="7">
        <v>1</v>
      </c>
      <c r="G5219" s="7">
        <v>245600</v>
      </c>
      <c r="H5219" s="7">
        <v>245600</v>
      </c>
      <c r="I5219" s="7">
        <v>35600</v>
      </c>
      <c r="J5219" s="7">
        <v>0</v>
      </c>
      <c r="K5219">
        <f t="shared" si="81"/>
        <v>215</v>
      </c>
      <c r="L5219" s="8" t="str" cm="1">
        <f t="array" ref="L5219">_xlfn.IFS(
 AND(K5219&gt;=89,K5219&lt;=92),"3개월",
 AND(K5219&gt;=58,K5219&lt;=62),"2개월",
 AND(K5219&gt;=28,K5219&lt;=32),"1개월",
 AND(K5219=0),"당월",
 TRUE,"그외"
)</f>
        <v>그외</v>
      </c>
    </row>
    <row r="5220" spans="1:12" x14ac:dyDescent="0.3">
      <c r="A5220" s="5">
        <v>45689</v>
      </c>
      <c r="B5220" s="6" t="s">
        <v>75</v>
      </c>
      <c r="C5220" s="6" t="s">
        <v>79</v>
      </c>
      <c r="D5220" s="5">
        <v>45505</v>
      </c>
      <c r="E5220" s="6" t="s">
        <v>15</v>
      </c>
      <c r="F5220" s="7">
        <v>175</v>
      </c>
      <c r="G5220" s="7">
        <v>232844.2285714286</v>
      </c>
      <c r="H5220" s="7">
        <v>40747740</v>
      </c>
      <c r="I5220" s="7">
        <v>7191030</v>
      </c>
      <c r="J5220" s="7">
        <v>0</v>
      </c>
      <c r="K5220">
        <f t="shared" si="81"/>
        <v>184</v>
      </c>
      <c r="L5220" s="8" t="str" cm="1">
        <f t="array" ref="L5220">_xlfn.IFS(
 AND(K5220&gt;=89,K5220&lt;=92),"3개월",
 AND(K5220&gt;=58,K5220&lt;=62),"2개월",
 AND(K5220&gt;=28,K5220&lt;=32),"1개월",
 AND(K5220=0),"당월",
 TRUE,"그외"
)</f>
        <v>그외</v>
      </c>
    </row>
    <row r="5221" spans="1:12" x14ac:dyDescent="0.3">
      <c r="A5221" s="5">
        <v>45689</v>
      </c>
      <c r="B5221" s="6" t="s">
        <v>75</v>
      </c>
      <c r="C5221" s="6" t="s">
        <v>79</v>
      </c>
      <c r="D5221" s="5">
        <v>45536</v>
      </c>
      <c r="E5221" s="6" t="s">
        <v>15</v>
      </c>
      <c r="F5221" s="7">
        <v>141</v>
      </c>
      <c r="G5221" s="7">
        <v>245376.93617021281</v>
      </c>
      <c r="H5221" s="7">
        <v>34598148</v>
      </c>
      <c r="I5221" s="7">
        <v>5085414</v>
      </c>
      <c r="J5221" s="7">
        <v>0</v>
      </c>
      <c r="K5221">
        <f t="shared" si="81"/>
        <v>153</v>
      </c>
      <c r="L5221" s="8" t="str" cm="1">
        <f t="array" ref="L5221">_xlfn.IFS(
 AND(K5221&gt;=89,K5221&lt;=92),"3개월",
 AND(K5221&gt;=58,K5221&lt;=62),"2개월",
 AND(K5221&gt;=28,K5221&lt;=32),"1개월",
 AND(K5221=0),"당월",
 TRUE,"그외"
)</f>
        <v>그외</v>
      </c>
    </row>
    <row r="5222" spans="1:12" x14ac:dyDescent="0.3">
      <c r="A5222" s="5">
        <v>45689</v>
      </c>
      <c r="B5222" s="6" t="s">
        <v>75</v>
      </c>
      <c r="C5222" s="6" t="s">
        <v>79</v>
      </c>
      <c r="D5222" s="5">
        <v>45566</v>
      </c>
      <c r="E5222" s="6" t="s">
        <v>14</v>
      </c>
      <c r="F5222" s="7">
        <v>21</v>
      </c>
      <c r="G5222" s="7">
        <v>251923.8095238095</v>
      </c>
      <c r="H5222" s="7">
        <v>5290400</v>
      </c>
      <c r="I5222" s="7">
        <v>533400</v>
      </c>
      <c r="J5222" s="7">
        <v>0</v>
      </c>
      <c r="K5222">
        <f t="shared" si="81"/>
        <v>123</v>
      </c>
      <c r="L5222" s="8" t="str" cm="1">
        <f t="array" ref="L5222">_xlfn.IFS(
 AND(K5222&gt;=89,K5222&lt;=92),"3개월",
 AND(K5222&gt;=58,K5222&lt;=62),"2개월",
 AND(K5222&gt;=28,K5222&lt;=32),"1개월",
 AND(K5222=0),"당월",
 TRUE,"그외"
)</f>
        <v>그외</v>
      </c>
    </row>
    <row r="5223" spans="1:12" x14ac:dyDescent="0.3">
      <c r="A5223" s="5">
        <v>45689</v>
      </c>
      <c r="B5223" s="6" t="s">
        <v>75</v>
      </c>
      <c r="C5223" s="6" t="s">
        <v>79</v>
      </c>
      <c r="D5223" s="5">
        <v>45566</v>
      </c>
      <c r="E5223" s="6" t="s">
        <v>15</v>
      </c>
      <c r="F5223" s="7">
        <v>168</v>
      </c>
      <c r="G5223" s="7">
        <v>256014.1726190476</v>
      </c>
      <c r="H5223" s="7">
        <v>43010381</v>
      </c>
      <c r="I5223" s="7">
        <v>4570717</v>
      </c>
      <c r="J5223" s="7">
        <v>0</v>
      </c>
      <c r="K5223">
        <f t="shared" si="81"/>
        <v>123</v>
      </c>
      <c r="L5223" s="8" t="str" cm="1">
        <f t="array" ref="L5223">_xlfn.IFS(
 AND(K5223&gt;=89,K5223&lt;=92),"3개월",
 AND(K5223&gt;=58,K5223&lt;=62),"2개월",
 AND(K5223&gt;=28,K5223&lt;=32),"1개월",
 AND(K5223=0),"당월",
 TRUE,"그외"
)</f>
        <v>그외</v>
      </c>
    </row>
    <row r="5224" spans="1:12" x14ac:dyDescent="0.3">
      <c r="A5224" s="5">
        <v>45689</v>
      </c>
      <c r="B5224" s="6" t="s">
        <v>75</v>
      </c>
      <c r="C5224" s="6" t="s">
        <v>79</v>
      </c>
      <c r="D5224" s="5">
        <v>45597</v>
      </c>
      <c r="E5224" s="6" t="s">
        <v>14</v>
      </c>
      <c r="F5224" s="7">
        <v>98</v>
      </c>
      <c r="G5224" s="7">
        <v>307655.10204081627</v>
      </c>
      <c r="H5224" s="7">
        <v>30150200</v>
      </c>
      <c r="I5224" s="7">
        <v>2489200</v>
      </c>
      <c r="J5224" s="7">
        <v>0</v>
      </c>
      <c r="K5224">
        <f t="shared" si="81"/>
        <v>92</v>
      </c>
      <c r="L5224" s="8" t="str" cm="1">
        <f t="array" ref="L5224">_xlfn.IFS(
 AND(K5224&gt;=89,K5224&lt;=92),"3개월",
 AND(K5224&gt;=58,K5224&lt;=62),"2개월",
 AND(K5224&gt;=28,K5224&lt;=32),"1개월",
 AND(K5224=0),"당월",
 TRUE,"그외"
)</f>
        <v>3개월</v>
      </c>
    </row>
    <row r="5225" spans="1:12" x14ac:dyDescent="0.3">
      <c r="A5225" s="5">
        <v>45689</v>
      </c>
      <c r="B5225" s="6" t="s">
        <v>75</v>
      </c>
      <c r="C5225" s="6" t="s">
        <v>79</v>
      </c>
      <c r="D5225" s="5">
        <v>45597</v>
      </c>
      <c r="E5225" s="6" t="s">
        <v>15</v>
      </c>
      <c r="F5225" s="7">
        <v>473</v>
      </c>
      <c r="G5225" s="7">
        <v>256443.80126849891</v>
      </c>
      <c r="H5225" s="7">
        <v>121297918</v>
      </c>
      <c r="I5225" s="7">
        <v>12955151</v>
      </c>
      <c r="J5225" s="7">
        <v>0</v>
      </c>
      <c r="K5225">
        <f t="shared" si="81"/>
        <v>92</v>
      </c>
      <c r="L5225" s="8" t="str" cm="1">
        <f t="array" ref="L5225">_xlfn.IFS(
 AND(K5225&gt;=89,K5225&lt;=92),"3개월",
 AND(K5225&gt;=58,K5225&lt;=62),"2개월",
 AND(K5225&gt;=28,K5225&lt;=32),"1개월",
 AND(K5225=0),"당월",
 TRUE,"그외"
)</f>
        <v>3개월</v>
      </c>
    </row>
    <row r="5226" spans="1:12" x14ac:dyDescent="0.3">
      <c r="A5226" s="5">
        <v>45689</v>
      </c>
      <c r="B5226" s="6" t="s">
        <v>75</v>
      </c>
      <c r="C5226" s="6" t="s">
        <v>79</v>
      </c>
      <c r="D5226" s="5">
        <v>45627</v>
      </c>
      <c r="E5226" s="6" t="s">
        <v>14</v>
      </c>
      <c r="F5226" s="7">
        <v>92</v>
      </c>
      <c r="G5226" s="7">
        <v>352871.30434782611</v>
      </c>
      <c r="H5226" s="7">
        <v>32464160</v>
      </c>
      <c r="I5226" s="7">
        <v>2745000</v>
      </c>
      <c r="J5226" s="7">
        <v>0</v>
      </c>
      <c r="K5226">
        <f t="shared" si="81"/>
        <v>62</v>
      </c>
      <c r="L5226" s="8" t="str" cm="1">
        <f t="array" ref="L5226">_xlfn.IFS(
 AND(K5226&gt;=89,K5226&lt;=92),"3개월",
 AND(K5226&gt;=58,K5226&lt;=62),"2개월",
 AND(K5226&gt;=28,K5226&lt;=32),"1개월",
 AND(K5226=0),"당월",
 TRUE,"그외"
)</f>
        <v>2개월</v>
      </c>
    </row>
    <row r="5227" spans="1:12" x14ac:dyDescent="0.3">
      <c r="A5227" s="5">
        <v>45689</v>
      </c>
      <c r="B5227" s="6" t="s">
        <v>75</v>
      </c>
      <c r="C5227" s="6" t="s">
        <v>79</v>
      </c>
      <c r="D5227" s="5">
        <v>45627</v>
      </c>
      <c r="E5227" s="6" t="s">
        <v>15</v>
      </c>
      <c r="F5227" s="7">
        <v>680</v>
      </c>
      <c r="G5227" s="7">
        <v>271790.63970588229</v>
      </c>
      <c r="H5227" s="7">
        <v>184817635</v>
      </c>
      <c r="I5227" s="7">
        <v>21172654</v>
      </c>
      <c r="J5227" s="7">
        <v>0</v>
      </c>
      <c r="K5227">
        <f t="shared" si="81"/>
        <v>62</v>
      </c>
      <c r="L5227" s="8" t="str" cm="1">
        <f t="array" ref="L5227">_xlfn.IFS(
 AND(K5227&gt;=89,K5227&lt;=92),"3개월",
 AND(K5227&gt;=58,K5227&lt;=62),"2개월",
 AND(K5227&gt;=28,K5227&lt;=32),"1개월",
 AND(K5227=0),"당월",
 TRUE,"그외"
)</f>
        <v>2개월</v>
      </c>
    </row>
    <row r="5228" spans="1:12" x14ac:dyDescent="0.3">
      <c r="A5228" s="5">
        <v>45689</v>
      </c>
      <c r="B5228" s="6" t="s">
        <v>75</v>
      </c>
      <c r="C5228" s="6" t="s">
        <v>79</v>
      </c>
      <c r="D5228" s="5">
        <v>45658</v>
      </c>
      <c r="E5228" s="6" t="s">
        <v>14</v>
      </c>
      <c r="F5228" s="7">
        <v>2231</v>
      </c>
      <c r="G5228" s="7">
        <v>237902.14253697891</v>
      </c>
      <c r="H5228" s="7">
        <v>530759680</v>
      </c>
      <c r="I5228" s="7">
        <v>67549000</v>
      </c>
      <c r="J5228" s="7">
        <v>0</v>
      </c>
      <c r="K5228">
        <f t="shared" si="81"/>
        <v>31</v>
      </c>
      <c r="L5228" s="8" t="str" cm="1">
        <f t="array" ref="L5228">_xlfn.IFS(
 AND(K5228&gt;=89,K5228&lt;=92),"3개월",
 AND(K5228&gt;=58,K5228&lt;=62),"2개월",
 AND(K5228&gt;=28,K5228&lt;=32),"1개월",
 AND(K5228=0),"당월",
 TRUE,"그외"
)</f>
        <v>1개월</v>
      </c>
    </row>
    <row r="5229" spans="1:12" x14ac:dyDescent="0.3">
      <c r="A5229" s="5">
        <v>45689</v>
      </c>
      <c r="B5229" s="6" t="s">
        <v>75</v>
      </c>
      <c r="C5229" s="6" t="s">
        <v>79</v>
      </c>
      <c r="D5229" s="5">
        <v>45658</v>
      </c>
      <c r="E5229" s="6" t="s">
        <v>15</v>
      </c>
      <c r="F5229" s="7">
        <v>2114</v>
      </c>
      <c r="G5229" s="7">
        <v>158524.28003784301</v>
      </c>
      <c r="H5229" s="7">
        <v>335120328</v>
      </c>
      <c r="I5229" s="7">
        <v>69600069</v>
      </c>
      <c r="J5229" s="7">
        <v>0</v>
      </c>
      <c r="K5229">
        <f t="shared" si="81"/>
        <v>31</v>
      </c>
      <c r="L5229" s="8" t="str" cm="1">
        <f t="array" ref="L5229">_xlfn.IFS(
 AND(K5229&gt;=89,K5229&lt;=92),"3개월",
 AND(K5229&gt;=58,K5229&lt;=62),"2개월",
 AND(K5229&gt;=28,K5229&lt;=32),"1개월",
 AND(K5229=0),"당월",
 TRUE,"그외"
)</f>
        <v>1개월</v>
      </c>
    </row>
    <row r="5230" spans="1:12" x14ac:dyDescent="0.3">
      <c r="A5230" s="5">
        <v>45689</v>
      </c>
      <c r="B5230" s="6" t="s">
        <v>75</v>
      </c>
      <c r="C5230" s="6" t="s">
        <v>79</v>
      </c>
      <c r="D5230" s="5">
        <v>45689</v>
      </c>
      <c r="E5230" s="6" t="s">
        <v>14</v>
      </c>
      <c r="F5230" s="7">
        <v>1438</v>
      </c>
      <c r="G5230" s="7">
        <v>93275.06954102921</v>
      </c>
      <c r="H5230" s="7">
        <v>134129550</v>
      </c>
      <c r="I5230" s="7">
        <v>46144300</v>
      </c>
      <c r="J5230" s="7">
        <v>0</v>
      </c>
      <c r="K5230">
        <f t="shared" si="81"/>
        <v>0</v>
      </c>
      <c r="L5230" s="8" t="str" cm="1">
        <f t="array" ref="L5230">_xlfn.IFS(
 AND(K5230&gt;=89,K5230&lt;=92),"3개월",
 AND(K5230&gt;=58,K5230&lt;=62),"2개월",
 AND(K5230&gt;=28,K5230&lt;=32),"1개월",
 AND(K5230=0),"당월",
 TRUE,"그외"
)</f>
        <v>당월</v>
      </c>
    </row>
    <row r="5231" spans="1:12" x14ac:dyDescent="0.3">
      <c r="A5231" s="5">
        <v>45689</v>
      </c>
      <c r="B5231" s="6" t="s">
        <v>75</v>
      </c>
      <c r="C5231" s="6" t="s">
        <v>79</v>
      </c>
      <c r="D5231" s="5">
        <v>45689</v>
      </c>
      <c r="E5231" s="6" t="s">
        <v>15</v>
      </c>
      <c r="F5231" s="7">
        <v>1694</v>
      </c>
      <c r="G5231" s="7">
        <v>136498.147579693</v>
      </c>
      <c r="H5231" s="7">
        <v>231227862</v>
      </c>
      <c r="I5231" s="7">
        <v>59411303</v>
      </c>
      <c r="J5231" s="7">
        <v>0</v>
      </c>
      <c r="K5231">
        <f t="shared" si="81"/>
        <v>0</v>
      </c>
      <c r="L5231" s="8" t="str" cm="1">
        <f t="array" ref="L5231">_xlfn.IFS(
 AND(K5231&gt;=89,K5231&lt;=92),"3개월",
 AND(K5231&gt;=58,K5231&lt;=62),"2개월",
 AND(K5231&gt;=28,K5231&lt;=32),"1개월",
 AND(K5231=0),"당월",
 TRUE,"그외"
)</f>
        <v>당월</v>
      </c>
    </row>
    <row r="5232" spans="1:12" x14ac:dyDescent="0.3">
      <c r="A5232" s="5">
        <v>45689</v>
      </c>
      <c r="B5232" s="6" t="s">
        <v>75</v>
      </c>
      <c r="C5232" s="6" t="s">
        <v>80</v>
      </c>
      <c r="D5232" s="5">
        <v>45474</v>
      </c>
      <c r="E5232" s="6" t="s">
        <v>15</v>
      </c>
      <c r="F5232" s="7">
        <v>18</v>
      </c>
      <c r="G5232" s="7">
        <v>532405.77777777775</v>
      </c>
      <c r="H5232" s="7">
        <v>9583304</v>
      </c>
      <c r="I5232" s="7">
        <v>424500</v>
      </c>
      <c r="J5232" s="7">
        <v>0</v>
      </c>
      <c r="K5232">
        <f t="shared" si="81"/>
        <v>215</v>
      </c>
      <c r="L5232" s="8" t="str" cm="1">
        <f t="array" ref="L5232">_xlfn.IFS(
 AND(K5232&gt;=89,K5232&lt;=92),"3개월",
 AND(K5232&gt;=58,K5232&lt;=62),"2개월",
 AND(K5232&gt;=28,K5232&lt;=32),"1개월",
 AND(K5232=0),"당월",
 TRUE,"그외"
)</f>
        <v>그외</v>
      </c>
    </row>
    <row r="5233" spans="1:12" x14ac:dyDescent="0.3">
      <c r="A5233" s="5">
        <v>45689</v>
      </c>
      <c r="B5233" s="6" t="s">
        <v>75</v>
      </c>
      <c r="C5233" s="6" t="s">
        <v>80</v>
      </c>
      <c r="D5233" s="5">
        <v>45505</v>
      </c>
      <c r="E5233" s="6" t="s">
        <v>15</v>
      </c>
      <c r="F5233" s="7">
        <v>354</v>
      </c>
      <c r="G5233" s="7">
        <v>519554.4265536723</v>
      </c>
      <c r="H5233" s="7">
        <v>183922267</v>
      </c>
      <c r="I5233" s="7">
        <v>23196552</v>
      </c>
      <c r="J5233" s="7">
        <v>0</v>
      </c>
      <c r="K5233">
        <f t="shared" si="81"/>
        <v>184</v>
      </c>
      <c r="L5233" s="8" t="str" cm="1">
        <f t="array" ref="L5233">_xlfn.IFS(
 AND(K5233&gt;=89,K5233&lt;=92),"3개월",
 AND(K5233&gt;=58,K5233&lt;=62),"2개월",
 AND(K5233&gt;=28,K5233&lt;=32),"1개월",
 AND(K5233=0),"당월",
 TRUE,"그외"
)</f>
        <v>그외</v>
      </c>
    </row>
    <row r="5234" spans="1:12" x14ac:dyDescent="0.3">
      <c r="A5234" s="5">
        <v>45689</v>
      </c>
      <c r="B5234" s="6" t="s">
        <v>75</v>
      </c>
      <c r="C5234" s="6" t="s">
        <v>80</v>
      </c>
      <c r="D5234" s="5">
        <v>45536</v>
      </c>
      <c r="E5234" s="6" t="s">
        <v>15</v>
      </c>
      <c r="F5234" s="7">
        <v>393</v>
      </c>
      <c r="G5234" s="7">
        <v>540488.32569974556</v>
      </c>
      <c r="H5234" s="7">
        <v>212411912</v>
      </c>
      <c r="I5234" s="7">
        <v>16810334</v>
      </c>
      <c r="J5234" s="7">
        <v>0</v>
      </c>
      <c r="K5234">
        <f t="shared" si="81"/>
        <v>153</v>
      </c>
      <c r="L5234" s="8" t="str" cm="1">
        <f t="array" ref="L5234">_xlfn.IFS(
 AND(K5234&gt;=89,K5234&lt;=92),"3개월",
 AND(K5234&gt;=58,K5234&lt;=62),"2개월",
 AND(K5234&gt;=28,K5234&lt;=32),"1개월",
 AND(K5234=0),"당월",
 TRUE,"그외"
)</f>
        <v>그외</v>
      </c>
    </row>
    <row r="5235" spans="1:12" x14ac:dyDescent="0.3">
      <c r="A5235" s="5">
        <v>45689</v>
      </c>
      <c r="B5235" s="6" t="s">
        <v>75</v>
      </c>
      <c r="C5235" s="6" t="s">
        <v>80</v>
      </c>
      <c r="D5235" s="5">
        <v>45566</v>
      </c>
      <c r="E5235" s="6" t="s">
        <v>14</v>
      </c>
      <c r="F5235" s="7">
        <v>20</v>
      </c>
      <c r="G5235" s="7">
        <v>665500</v>
      </c>
      <c r="H5235" s="7">
        <v>13310000</v>
      </c>
      <c r="I5235" s="7">
        <v>1230000</v>
      </c>
      <c r="J5235" s="7">
        <v>0</v>
      </c>
      <c r="K5235">
        <f t="shared" si="81"/>
        <v>123</v>
      </c>
      <c r="L5235" s="8" t="str" cm="1">
        <f t="array" ref="L5235">_xlfn.IFS(
 AND(K5235&gt;=89,K5235&lt;=92),"3개월",
 AND(K5235&gt;=58,K5235&lt;=62),"2개월",
 AND(K5235&gt;=28,K5235&lt;=32),"1개월",
 AND(K5235=0),"당월",
 TRUE,"그외"
)</f>
        <v>그외</v>
      </c>
    </row>
    <row r="5236" spans="1:12" x14ac:dyDescent="0.3">
      <c r="A5236" s="5">
        <v>45689</v>
      </c>
      <c r="B5236" s="6" t="s">
        <v>75</v>
      </c>
      <c r="C5236" s="6" t="s">
        <v>80</v>
      </c>
      <c r="D5236" s="5">
        <v>45566</v>
      </c>
      <c r="E5236" s="6" t="s">
        <v>15</v>
      </c>
      <c r="F5236" s="7">
        <v>587</v>
      </c>
      <c r="G5236" s="7">
        <v>527065.5672913118</v>
      </c>
      <c r="H5236" s="7">
        <v>309387488</v>
      </c>
      <c r="I5236" s="7">
        <v>20564471</v>
      </c>
      <c r="J5236" s="7">
        <v>0</v>
      </c>
      <c r="K5236">
        <f t="shared" si="81"/>
        <v>123</v>
      </c>
      <c r="L5236" s="8" t="str" cm="1">
        <f t="array" ref="L5236">_xlfn.IFS(
 AND(K5236&gt;=89,K5236&lt;=92),"3개월",
 AND(K5236&gt;=58,K5236&lt;=62),"2개월",
 AND(K5236&gt;=28,K5236&lt;=32),"1개월",
 AND(K5236=0),"당월",
 TRUE,"그외"
)</f>
        <v>그외</v>
      </c>
    </row>
    <row r="5237" spans="1:12" x14ac:dyDescent="0.3">
      <c r="A5237" s="5">
        <v>45689</v>
      </c>
      <c r="B5237" s="6" t="s">
        <v>75</v>
      </c>
      <c r="C5237" s="6" t="s">
        <v>80</v>
      </c>
      <c r="D5237" s="5">
        <v>45597</v>
      </c>
      <c r="E5237" s="6" t="s">
        <v>14</v>
      </c>
      <c r="F5237" s="7">
        <v>66</v>
      </c>
      <c r="G5237" s="7">
        <v>627657.5757575758</v>
      </c>
      <c r="H5237" s="7">
        <v>41425400</v>
      </c>
      <c r="I5237" s="7">
        <v>4052400</v>
      </c>
      <c r="J5237" s="7">
        <v>0</v>
      </c>
      <c r="K5237">
        <f t="shared" si="81"/>
        <v>92</v>
      </c>
      <c r="L5237" s="8" t="str" cm="1">
        <f t="array" ref="L5237">_xlfn.IFS(
 AND(K5237&gt;=89,K5237&lt;=92),"3개월",
 AND(K5237&gt;=58,K5237&lt;=62),"2개월",
 AND(K5237&gt;=28,K5237&lt;=32),"1개월",
 AND(K5237=0),"당월",
 TRUE,"그외"
)</f>
        <v>3개월</v>
      </c>
    </row>
    <row r="5238" spans="1:12" x14ac:dyDescent="0.3">
      <c r="A5238" s="5">
        <v>45689</v>
      </c>
      <c r="B5238" s="6" t="s">
        <v>75</v>
      </c>
      <c r="C5238" s="6" t="s">
        <v>80</v>
      </c>
      <c r="D5238" s="5">
        <v>45597</v>
      </c>
      <c r="E5238" s="6" t="s">
        <v>15</v>
      </c>
      <c r="F5238" s="7">
        <v>1627</v>
      </c>
      <c r="G5238" s="7">
        <v>484572.49539028888</v>
      </c>
      <c r="H5238" s="7">
        <v>788399450</v>
      </c>
      <c r="I5238" s="7">
        <v>53788959</v>
      </c>
      <c r="J5238" s="7">
        <v>0</v>
      </c>
      <c r="K5238">
        <f t="shared" si="81"/>
        <v>92</v>
      </c>
      <c r="L5238" s="8" t="str" cm="1">
        <f t="array" ref="L5238">_xlfn.IFS(
 AND(K5238&gt;=89,K5238&lt;=92),"3개월",
 AND(K5238&gt;=58,K5238&lt;=62),"2개월",
 AND(K5238&gt;=28,K5238&lt;=32),"1개월",
 AND(K5238=0),"당월",
 TRUE,"그외"
)</f>
        <v>3개월</v>
      </c>
    </row>
    <row r="5239" spans="1:12" x14ac:dyDescent="0.3">
      <c r="A5239" s="5">
        <v>45689</v>
      </c>
      <c r="B5239" s="6" t="s">
        <v>75</v>
      </c>
      <c r="C5239" s="6" t="s">
        <v>80</v>
      </c>
      <c r="D5239" s="5">
        <v>45627</v>
      </c>
      <c r="E5239" s="6" t="s">
        <v>14</v>
      </c>
      <c r="F5239" s="7">
        <v>302</v>
      </c>
      <c r="G5239" s="7">
        <v>681340.39735099336</v>
      </c>
      <c r="H5239" s="7">
        <v>205764800</v>
      </c>
      <c r="I5239" s="7">
        <v>22140800</v>
      </c>
      <c r="J5239" s="7">
        <v>0</v>
      </c>
      <c r="K5239">
        <f t="shared" si="81"/>
        <v>62</v>
      </c>
      <c r="L5239" s="8" t="str" cm="1">
        <f t="array" ref="L5239">_xlfn.IFS(
 AND(K5239&gt;=89,K5239&lt;=92),"3개월",
 AND(K5239&gt;=58,K5239&lt;=62),"2개월",
 AND(K5239&gt;=28,K5239&lt;=32),"1개월",
 AND(K5239=0),"당월",
 TRUE,"그외"
)</f>
        <v>2개월</v>
      </c>
    </row>
    <row r="5240" spans="1:12" x14ac:dyDescent="0.3">
      <c r="A5240" s="5">
        <v>45689</v>
      </c>
      <c r="B5240" s="6" t="s">
        <v>75</v>
      </c>
      <c r="C5240" s="6" t="s">
        <v>80</v>
      </c>
      <c r="D5240" s="5">
        <v>45627</v>
      </c>
      <c r="E5240" s="6" t="s">
        <v>15</v>
      </c>
      <c r="F5240" s="7">
        <v>2100</v>
      </c>
      <c r="G5240" s="7">
        <v>475770.3057142857</v>
      </c>
      <c r="H5240" s="7">
        <v>999117642</v>
      </c>
      <c r="I5240" s="7">
        <v>83853250</v>
      </c>
      <c r="J5240" s="7">
        <v>0</v>
      </c>
      <c r="K5240">
        <f t="shared" si="81"/>
        <v>62</v>
      </c>
      <c r="L5240" s="8" t="str" cm="1">
        <f t="array" ref="L5240">_xlfn.IFS(
 AND(K5240&gt;=89,K5240&lt;=92),"3개월",
 AND(K5240&gt;=58,K5240&lt;=62),"2개월",
 AND(K5240&gt;=28,K5240&lt;=32),"1개월",
 AND(K5240=0),"당월",
 TRUE,"그외"
)</f>
        <v>2개월</v>
      </c>
    </row>
    <row r="5241" spans="1:12" x14ac:dyDescent="0.3">
      <c r="A5241" s="5">
        <v>45689</v>
      </c>
      <c r="B5241" s="6" t="s">
        <v>75</v>
      </c>
      <c r="C5241" s="6" t="s">
        <v>80</v>
      </c>
      <c r="D5241" s="5">
        <v>45658</v>
      </c>
      <c r="E5241" s="6" t="s">
        <v>14</v>
      </c>
      <c r="F5241" s="7">
        <v>1126</v>
      </c>
      <c r="G5241" s="7">
        <v>690942.98401420959</v>
      </c>
      <c r="H5241" s="7">
        <v>778001800</v>
      </c>
      <c r="I5241" s="7">
        <v>81274800</v>
      </c>
      <c r="J5241" s="7">
        <v>0</v>
      </c>
      <c r="K5241">
        <f t="shared" si="81"/>
        <v>31</v>
      </c>
      <c r="L5241" s="8" t="str" cm="1">
        <f t="array" ref="L5241">_xlfn.IFS(
 AND(K5241&gt;=89,K5241&lt;=92),"3개월",
 AND(K5241&gt;=58,K5241&lt;=62),"2개월",
 AND(K5241&gt;=28,K5241&lt;=32),"1개월",
 AND(K5241=0),"당월",
 TRUE,"그외"
)</f>
        <v>1개월</v>
      </c>
    </row>
    <row r="5242" spans="1:12" x14ac:dyDescent="0.3">
      <c r="A5242" s="5">
        <v>45689</v>
      </c>
      <c r="B5242" s="6" t="s">
        <v>75</v>
      </c>
      <c r="C5242" s="6" t="s">
        <v>80</v>
      </c>
      <c r="D5242" s="5">
        <v>45658</v>
      </c>
      <c r="E5242" s="6" t="s">
        <v>15</v>
      </c>
      <c r="F5242" s="7">
        <v>3216</v>
      </c>
      <c r="G5242" s="7">
        <v>420306.0553482587</v>
      </c>
      <c r="H5242" s="7">
        <v>1351704274</v>
      </c>
      <c r="I5242" s="7">
        <v>135190152</v>
      </c>
      <c r="J5242" s="7">
        <v>0</v>
      </c>
      <c r="K5242">
        <f t="shared" si="81"/>
        <v>31</v>
      </c>
      <c r="L5242" s="8" t="str" cm="1">
        <f t="array" ref="L5242">_xlfn.IFS(
 AND(K5242&gt;=89,K5242&lt;=92),"3개월",
 AND(K5242&gt;=58,K5242&lt;=62),"2개월",
 AND(K5242&gt;=28,K5242&lt;=32),"1개월",
 AND(K5242=0),"당월",
 TRUE,"그외"
)</f>
        <v>1개월</v>
      </c>
    </row>
    <row r="5243" spans="1:12" x14ac:dyDescent="0.3">
      <c r="A5243" s="5">
        <v>45689</v>
      </c>
      <c r="B5243" s="6" t="s">
        <v>75</v>
      </c>
      <c r="C5243" s="6" t="s">
        <v>80</v>
      </c>
      <c r="D5243" s="5">
        <v>45689</v>
      </c>
      <c r="E5243" s="6" t="s">
        <v>14</v>
      </c>
      <c r="F5243" s="7">
        <v>881</v>
      </c>
      <c r="G5243" s="7">
        <v>140795.57321225881</v>
      </c>
      <c r="H5243" s="7">
        <v>124040900</v>
      </c>
      <c r="I5243" s="7">
        <v>69510900</v>
      </c>
      <c r="J5243" s="7">
        <v>0</v>
      </c>
      <c r="K5243">
        <f t="shared" si="81"/>
        <v>0</v>
      </c>
      <c r="L5243" s="8" t="str" cm="1">
        <f t="array" ref="L5243">_xlfn.IFS(
 AND(K5243&gt;=89,K5243&lt;=92),"3개월",
 AND(K5243&gt;=58,K5243&lt;=62),"2개월",
 AND(K5243&gt;=28,K5243&lt;=32),"1개월",
 AND(K5243=0),"당월",
 TRUE,"그외"
)</f>
        <v>당월</v>
      </c>
    </row>
    <row r="5244" spans="1:12" x14ac:dyDescent="0.3">
      <c r="A5244" s="5">
        <v>45689</v>
      </c>
      <c r="B5244" s="6" t="s">
        <v>75</v>
      </c>
      <c r="C5244" s="6" t="s">
        <v>80</v>
      </c>
      <c r="D5244" s="5">
        <v>45689</v>
      </c>
      <c r="E5244" s="6" t="s">
        <v>15</v>
      </c>
      <c r="F5244" s="7">
        <v>1359</v>
      </c>
      <c r="G5244" s="7">
        <v>418251.02428256068</v>
      </c>
      <c r="H5244" s="7">
        <v>568403142</v>
      </c>
      <c r="I5244" s="7">
        <v>48379129</v>
      </c>
      <c r="J5244" s="7">
        <v>0</v>
      </c>
      <c r="K5244">
        <f t="shared" si="81"/>
        <v>0</v>
      </c>
      <c r="L5244" s="8" t="str" cm="1">
        <f t="array" ref="L5244">_xlfn.IFS(
 AND(K5244&gt;=89,K5244&lt;=92),"3개월",
 AND(K5244&gt;=58,K5244&lt;=62),"2개월",
 AND(K5244&gt;=28,K5244&lt;=32),"1개월",
 AND(K5244=0),"당월",
 TRUE,"그외"
)</f>
        <v>당월</v>
      </c>
    </row>
    <row r="5245" spans="1:12" x14ac:dyDescent="0.3">
      <c r="A5245" s="5">
        <v>45689</v>
      </c>
      <c r="B5245" s="6" t="s">
        <v>81</v>
      </c>
      <c r="C5245" s="6" t="s">
        <v>125</v>
      </c>
      <c r="D5245" s="5">
        <v>45505</v>
      </c>
      <c r="E5245" s="6" t="s">
        <v>15</v>
      </c>
      <c r="F5245" s="7">
        <v>10</v>
      </c>
      <c r="G5245" s="7">
        <v>400168</v>
      </c>
      <c r="H5245" s="7">
        <v>4001680</v>
      </c>
      <c r="I5245" s="7">
        <v>489610</v>
      </c>
      <c r="J5245" s="7">
        <v>0</v>
      </c>
      <c r="K5245">
        <f t="shared" si="81"/>
        <v>184</v>
      </c>
      <c r="L5245" s="8" t="str" cm="1">
        <f t="array" ref="L5245">_xlfn.IFS(
 AND(K5245&gt;=89,K5245&lt;=92),"3개월",
 AND(K5245&gt;=58,K5245&lt;=62),"2개월",
 AND(K5245&gt;=28,K5245&lt;=32),"1개월",
 AND(K5245=0),"당월",
 TRUE,"그외"
)</f>
        <v>그외</v>
      </c>
    </row>
    <row r="5246" spans="1:12" x14ac:dyDescent="0.3">
      <c r="A5246" s="5">
        <v>45689</v>
      </c>
      <c r="B5246" s="6" t="s">
        <v>81</v>
      </c>
      <c r="C5246" s="6" t="s">
        <v>125</v>
      </c>
      <c r="D5246" s="5">
        <v>45536</v>
      </c>
      <c r="E5246" s="6" t="s">
        <v>14</v>
      </c>
      <c r="F5246" s="7">
        <v>5</v>
      </c>
      <c r="G5246" s="7">
        <v>346729.2</v>
      </c>
      <c r="H5246" s="7">
        <v>1733646</v>
      </c>
      <c r="I5246" s="7">
        <v>248490</v>
      </c>
      <c r="J5246" s="7">
        <v>0</v>
      </c>
      <c r="K5246">
        <f t="shared" si="81"/>
        <v>153</v>
      </c>
      <c r="L5246" s="8" t="str" cm="1">
        <f t="array" ref="L5246">_xlfn.IFS(
 AND(K5246&gt;=89,K5246&lt;=92),"3개월",
 AND(K5246&gt;=58,K5246&lt;=62),"2개월",
 AND(K5246&gt;=28,K5246&lt;=32),"1개월",
 AND(K5246=0),"당월",
 TRUE,"그외"
)</f>
        <v>그외</v>
      </c>
    </row>
    <row r="5247" spans="1:12" x14ac:dyDescent="0.3">
      <c r="A5247" s="5">
        <v>45689</v>
      </c>
      <c r="B5247" s="6" t="s">
        <v>81</v>
      </c>
      <c r="C5247" s="6" t="s">
        <v>125</v>
      </c>
      <c r="D5247" s="5">
        <v>45536</v>
      </c>
      <c r="E5247" s="6" t="s">
        <v>15</v>
      </c>
      <c r="F5247" s="7">
        <v>3</v>
      </c>
      <c r="G5247" s="7">
        <v>394433.33333333331</v>
      </c>
      <c r="H5247" s="7">
        <v>1183300</v>
      </c>
      <c r="I5247" s="7">
        <v>115500</v>
      </c>
      <c r="J5247" s="7">
        <v>0</v>
      </c>
      <c r="K5247">
        <f t="shared" si="81"/>
        <v>153</v>
      </c>
      <c r="L5247" s="8" t="str" cm="1">
        <f t="array" ref="L5247">_xlfn.IFS(
 AND(K5247&gt;=89,K5247&lt;=92),"3개월",
 AND(K5247&gt;=58,K5247&lt;=62),"2개월",
 AND(K5247&gt;=28,K5247&lt;=32),"1개월",
 AND(K5247=0),"당월",
 TRUE,"그외"
)</f>
        <v>그외</v>
      </c>
    </row>
    <row r="5248" spans="1:12" x14ac:dyDescent="0.3">
      <c r="A5248" s="5">
        <v>45689</v>
      </c>
      <c r="B5248" s="6" t="s">
        <v>81</v>
      </c>
      <c r="C5248" s="6" t="s">
        <v>125</v>
      </c>
      <c r="D5248" s="5">
        <v>45566</v>
      </c>
      <c r="E5248" s="6" t="s">
        <v>15</v>
      </c>
      <c r="F5248" s="7">
        <v>15</v>
      </c>
      <c r="G5248" s="7">
        <v>379537.66666666669</v>
      </c>
      <c r="H5248" s="7">
        <v>5693065</v>
      </c>
      <c r="I5248" s="7">
        <v>467522</v>
      </c>
      <c r="J5248" s="7">
        <v>0</v>
      </c>
      <c r="K5248">
        <f t="shared" si="81"/>
        <v>123</v>
      </c>
      <c r="L5248" s="8" t="str" cm="1">
        <f t="array" ref="L5248">_xlfn.IFS(
 AND(K5248&gt;=89,K5248&lt;=92),"3개월",
 AND(K5248&gt;=58,K5248&lt;=62),"2개월",
 AND(K5248&gt;=28,K5248&lt;=32),"1개월",
 AND(K5248=0),"당월",
 TRUE,"그외"
)</f>
        <v>그외</v>
      </c>
    </row>
    <row r="5249" spans="1:12" x14ac:dyDescent="0.3">
      <c r="A5249" s="5">
        <v>45689</v>
      </c>
      <c r="B5249" s="6" t="s">
        <v>81</v>
      </c>
      <c r="C5249" s="6" t="s">
        <v>125</v>
      </c>
      <c r="D5249" s="5">
        <v>45597</v>
      </c>
      <c r="E5249" s="6" t="s">
        <v>14</v>
      </c>
      <c r="F5249" s="7">
        <v>3</v>
      </c>
      <c r="G5249" s="7">
        <v>434868</v>
      </c>
      <c r="H5249" s="7">
        <v>1304604</v>
      </c>
      <c r="I5249" s="7">
        <v>210420</v>
      </c>
      <c r="J5249" s="7">
        <v>0</v>
      </c>
      <c r="K5249">
        <f t="shared" si="81"/>
        <v>92</v>
      </c>
      <c r="L5249" s="8" t="str" cm="1">
        <f t="array" ref="L5249">_xlfn.IFS(
 AND(K5249&gt;=89,K5249&lt;=92),"3개월",
 AND(K5249&gt;=58,K5249&lt;=62),"2개월",
 AND(K5249&gt;=28,K5249&lt;=32),"1개월",
 AND(K5249=0),"당월",
 TRUE,"그외"
)</f>
        <v>3개월</v>
      </c>
    </row>
    <row r="5250" spans="1:12" x14ac:dyDescent="0.3">
      <c r="A5250" s="5">
        <v>45689</v>
      </c>
      <c r="B5250" s="6" t="s">
        <v>81</v>
      </c>
      <c r="C5250" s="6" t="s">
        <v>125</v>
      </c>
      <c r="D5250" s="5">
        <v>45597</v>
      </c>
      <c r="E5250" s="6" t="s">
        <v>15</v>
      </c>
      <c r="F5250" s="7">
        <v>99</v>
      </c>
      <c r="G5250" s="7">
        <v>369984.36363636359</v>
      </c>
      <c r="H5250" s="7">
        <v>36628452</v>
      </c>
      <c r="I5250" s="7">
        <v>2779665</v>
      </c>
      <c r="J5250" s="7">
        <v>0</v>
      </c>
      <c r="K5250">
        <f t="shared" si="81"/>
        <v>92</v>
      </c>
      <c r="L5250" s="8" t="str" cm="1">
        <f t="array" ref="L5250">_xlfn.IFS(
 AND(K5250&gt;=89,K5250&lt;=92),"3개월",
 AND(K5250&gt;=58,K5250&lt;=62),"2개월",
 AND(K5250&gt;=28,K5250&lt;=32),"1개월",
 AND(K5250=0),"당월",
 TRUE,"그외"
)</f>
        <v>3개월</v>
      </c>
    </row>
    <row r="5251" spans="1:12" x14ac:dyDescent="0.3">
      <c r="A5251" s="5">
        <v>45689</v>
      </c>
      <c r="B5251" s="6" t="s">
        <v>81</v>
      </c>
      <c r="C5251" s="6" t="s">
        <v>125</v>
      </c>
      <c r="D5251" s="5">
        <v>45627</v>
      </c>
      <c r="E5251" s="6" t="s">
        <v>14</v>
      </c>
      <c r="F5251" s="7">
        <v>101</v>
      </c>
      <c r="G5251" s="7">
        <v>402412.45544554462</v>
      </c>
      <c r="H5251" s="7">
        <v>40643658</v>
      </c>
      <c r="I5251" s="7">
        <v>6233990</v>
      </c>
      <c r="J5251" s="7">
        <v>0</v>
      </c>
      <c r="K5251">
        <f t="shared" si="81"/>
        <v>62</v>
      </c>
      <c r="L5251" s="8" t="str" cm="1">
        <f t="array" ref="L5251">_xlfn.IFS(
 AND(K5251&gt;=89,K5251&lt;=92),"3개월",
 AND(K5251&gt;=58,K5251&lt;=62),"2개월",
 AND(K5251&gt;=28,K5251&lt;=32),"1개월",
 AND(K5251=0),"당월",
 TRUE,"그외"
)</f>
        <v>2개월</v>
      </c>
    </row>
    <row r="5252" spans="1:12" x14ac:dyDescent="0.3">
      <c r="A5252" s="5">
        <v>45689</v>
      </c>
      <c r="B5252" s="6" t="s">
        <v>81</v>
      </c>
      <c r="C5252" s="6" t="s">
        <v>125</v>
      </c>
      <c r="D5252" s="5">
        <v>45627</v>
      </c>
      <c r="E5252" s="6" t="s">
        <v>15</v>
      </c>
      <c r="F5252" s="7">
        <v>89</v>
      </c>
      <c r="G5252" s="7">
        <v>424953.79775280901</v>
      </c>
      <c r="H5252" s="7">
        <v>37820888</v>
      </c>
      <c r="I5252" s="7">
        <v>3638879</v>
      </c>
      <c r="J5252" s="7">
        <v>0</v>
      </c>
      <c r="K5252">
        <f t="shared" si="81"/>
        <v>62</v>
      </c>
      <c r="L5252" s="8" t="str" cm="1">
        <f t="array" ref="L5252">_xlfn.IFS(
 AND(K5252&gt;=89,K5252&lt;=92),"3개월",
 AND(K5252&gt;=58,K5252&lt;=62),"2개월",
 AND(K5252&gt;=28,K5252&lt;=32),"1개월",
 AND(K5252=0),"당월",
 TRUE,"그외"
)</f>
        <v>2개월</v>
      </c>
    </row>
    <row r="5253" spans="1:12" x14ac:dyDescent="0.3">
      <c r="A5253" s="5">
        <v>45689</v>
      </c>
      <c r="B5253" s="6" t="s">
        <v>81</v>
      </c>
      <c r="C5253" s="6" t="s">
        <v>125</v>
      </c>
      <c r="D5253" s="5">
        <v>45658</v>
      </c>
      <c r="E5253" s="6" t="s">
        <v>14</v>
      </c>
      <c r="F5253" s="7">
        <v>83</v>
      </c>
      <c r="G5253" s="7">
        <v>403768.96385542169</v>
      </c>
      <c r="H5253" s="7">
        <v>33512824</v>
      </c>
      <c r="I5253" s="7">
        <v>4193195</v>
      </c>
      <c r="J5253" s="7">
        <v>0</v>
      </c>
      <c r="K5253">
        <f t="shared" si="81"/>
        <v>31</v>
      </c>
      <c r="L5253" s="8" t="str" cm="1">
        <f t="array" ref="L5253">_xlfn.IFS(
 AND(K5253&gt;=89,K5253&lt;=92),"3개월",
 AND(K5253&gt;=58,K5253&lt;=62),"2개월",
 AND(K5253&gt;=28,K5253&lt;=32),"1개월",
 AND(K5253=0),"당월",
 TRUE,"그외"
)</f>
        <v>1개월</v>
      </c>
    </row>
    <row r="5254" spans="1:12" x14ac:dyDescent="0.3">
      <c r="A5254" s="5">
        <v>45689</v>
      </c>
      <c r="B5254" s="6" t="s">
        <v>81</v>
      </c>
      <c r="C5254" s="6" t="s">
        <v>125</v>
      </c>
      <c r="D5254" s="5">
        <v>45658</v>
      </c>
      <c r="E5254" s="6" t="s">
        <v>15</v>
      </c>
      <c r="F5254" s="7">
        <v>336</v>
      </c>
      <c r="G5254" s="7">
        <v>413190.39285714278</v>
      </c>
      <c r="H5254" s="7">
        <v>138831972</v>
      </c>
      <c r="I5254" s="7">
        <v>15570001</v>
      </c>
      <c r="J5254" s="7">
        <v>0</v>
      </c>
      <c r="K5254">
        <f t="shared" si="81"/>
        <v>31</v>
      </c>
      <c r="L5254" s="8" t="str" cm="1">
        <f t="array" ref="L5254">_xlfn.IFS(
 AND(K5254&gt;=89,K5254&lt;=92),"3개월",
 AND(K5254&gt;=58,K5254&lt;=62),"2개월",
 AND(K5254&gt;=28,K5254&lt;=32),"1개월",
 AND(K5254=0),"당월",
 TRUE,"그외"
)</f>
        <v>1개월</v>
      </c>
    </row>
    <row r="5255" spans="1:12" x14ac:dyDescent="0.3">
      <c r="A5255" s="5">
        <v>45689</v>
      </c>
      <c r="B5255" s="6" t="s">
        <v>81</v>
      </c>
      <c r="C5255" s="6" t="s">
        <v>125</v>
      </c>
      <c r="D5255" s="5">
        <v>45689</v>
      </c>
      <c r="E5255" s="6" t="s">
        <v>14</v>
      </c>
      <c r="F5255" s="7">
        <v>310</v>
      </c>
      <c r="G5255" s="7">
        <v>428310.61935483868</v>
      </c>
      <c r="H5255" s="7">
        <v>132776292</v>
      </c>
      <c r="I5255" s="7">
        <v>19022355</v>
      </c>
      <c r="J5255" s="7">
        <v>0</v>
      </c>
      <c r="K5255">
        <f t="shared" si="81"/>
        <v>0</v>
      </c>
      <c r="L5255" s="8" t="str" cm="1">
        <f t="array" ref="L5255">_xlfn.IFS(
 AND(K5255&gt;=89,K5255&lt;=92),"3개월",
 AND(K5255&gt;=58,K5255&lt;=62),"2개월",
 AND(K5255&gt;=28,K5255&lt;=32),"1개월",
 AND(K5255=0),"당월",
 TRUE,"그외"
)</f>
        <v>당월</v>
      </c>
    </row>
    <row r="5256" spans="1:12" x14ac:dyDescent="0.3">
      <c r="A5256" s="5">
        <v>45689</v>
      </c>
      <c r="B5256" s="6" t="s">
        <v>81</v>
      </c>
      <c r="C5256" s="6" t="s">
        <v>125</v>
      </c>
      <c r="D5256" s="5">
        <v>45689</v>
      </c>
      <c r="E5256" s="6" t="s">
        <v>15</v>
      </c>
      <c r="F5256" s="7">
        <v>413</v>
      </c>
      <c r="G5256" s="7">
        <v>426935.01210653753</v>
      </c>
      <c r="H5256" s="7">
        <v>176324160</v>
      </c>
      <c r="I5256" s="7">
        <v>20344703</v>
      </c>
      <c r="J5256" s="7">
        <v>0</v>
      </c>
      <c r="K5256">
        <f t="shared" si="81"/>
        <v>0</v>
      </c>
      <c r="L5256" s="8" t="str" cm="1">
        <f t="array" ref="L5256">_xlfn.IFS(
 AND(K5256&gt;=89,K5256&lt;=92),"3개월",
 AND(K5256&gt;=58,K5256&lt;=62),"2개월",
 AND(K5256&gt;=28,K5256&lt;=32),"1개월",
 AND(K5256=0),"당월",
 TRUE,"그외"
)</f>
        <v>당월</v>
      </c>
    </row>
    <row r="5257" spans="1:12" x14ac:dyDescent="0.3">
      <c r="A5257" s="5">
        <v>45689</v>
      </c>
      <c r="B5257" s="6" t="s">
        <v>84</v>
      </c>
      <c r="C5257" s="6" t="s">
        <v>85</v>
      </c>
      <c r="D5257" s="5">
        <v>45505</v>
      </c>
      <c r="E5257" s="6" t="s">
        <v>15</v>
      </c>
      <c r="F5257" s="7">
        <v>82</v>
      </c>
      <c r="G5257" s="7">
        <v>776224.47560975607</v>
      </c>
      <c r="H5257" s="7">
        <v>63650407</v>
      </c>
      <c r="I5257" s="7">
        <v>9153714</v>
      </c>
      <c r="J5257" s="7">
        <v>0</v>
      </c>
      <c r="K5257">
        <f t="shared" si="81"/>
        <v>184</v>
      </c>
      <c r="L5257" s="8" t="str" cm="1">
        <f t="array" ref="L5257">_xlfn.IFS(
 AND(K5257&gt;=89,K5257&lt;=92),"3개월",
 AND(K5257&gt;=58,K5257&lt;=62),"2개월",
 AND(K5257&gt;=28,K5257&lt;=32),"1개월",
 AND(K5257=0),"당월",
 TRUE,"그외"
)</f>
        <v>그외</v>
      </c>
    </row>
    <row r="5258" spans="1:12" x14ac:dyDescent="0.3">
      <c r="A5258" s="5">
        <v>45689</v>
      </c>
      <c r="B5258" s="6" t="s">
        <v>84</v>
      </c>
      <c r="C5258" s="6" t="s">
        <v>85</v>
      </c>
      <c r="D5258" s="5">
        <v>45536</v>
      </c>
      <c r="E5258" s="6" t="s">
        <v>15</v>
      </c>
      <c r="F5258" s="7">
        <v>201</v>
      </c>
      <c r="G5258" s="7">
        <v>842255.75124378107</v>
      </c>
      <c r="H5258" s="7">
        <v>169293406</v>
      </c>
      <c r="I5258" s="7">
        <v>20971489</v>
      </c>
      <c r="J5258" s="7">
        <v>0</v>
      </c>
      <c r="K5258">
        <f t="shared" ref="K5258:K5321" si="82">A5258-D5258</f>
        <v>153</v>
      </c>
      <c r="L5258" s="8" t="str" cm="1">
        <f t="array" ref="L5258">_xlfn.IFS(
 AND(K5258&gt;=89,K5258&lt;=92),"3개월",
 AND(K5258&gt;=58,K5258&lt;=62),"2개월",
 AND(K5258&gt;=28,K5258&lt;=32),"1개월",
 AND(K5258=0),"당월",
 TRUE,"그외"
)</f>
        <v>그외</v>
      </c>
    </row>
    <row r="5259" spans="1:12" x14ac:dyDescent="0.3">
      <c r="A5259" s="5">
        <v>45689</v>
      </c>
      <c r="B5259" s="6" t="s">
        <v>84</v>
      </c>
      <c r="C5259" s="6" t="s">
        <v>85</v>
      </c>
      <c r="D5259" s="5">
        <v>45566</v>
      </c>
      <c r="E5259" s="6" t="s">
        <v>15</v>
      </c>
      <c r="F5259" s="7">
        <v>619</v>
      </c>
      <c r="G5259" s="7">
        <v>638930.8432956381</v>
      </c>
      <c r="H5259" s="7">
        <v>395498192</v>
      </c>
      <c r="I5259" s="7">
        <v>53201158</v>
      </c>
      <c r="J5259" s="7">
        <v>0</v>
      </c>
      <c r="K5259">
        <f t="shared" si="82"/>
        <v>123</v>
      </c>
      <c r="L5259" s="8" t="str" cm="1">
        <f t="array" ref="L5259">_xlfn.IFS(
 AND(K5259&gt;=89,K5259&lt;=92),"3개월",
 AND(K5259&gt;=58,K5259&lt;=62),"2개월",
 AND(K5259&gt;=28,K5259&lt;=32),"1개월",
 AND(K5259=0),"당월",
 TRUE,"그외"
)</f>
        <v>그외</v>
      </c>
    </row>
    <row r="5260" spans="1:12" x14ac:dyDescent="0.3">
      <c r="A5260" s="5">
        <v>45689</v>
      </c>
      <c r="B5260" s="6" t="s">
        <v>84</v>
      </c>
      <c r="C5260" s="6" t="s">
        <v>85</v>
      </c>
      <c r="D5260" s="5">
        <v>45597</v>
      </c>
      <c r="E5260" s="6" t="s">
        <v>14</v>
      </c>
      <c r="F5260" s="7">
        <v>25</v>
      </c>
      <c r="G5260" s="7">
        <v>697560</v>
      </c>
      <c r="H5260" s="7">
        <v>17439000</v>
      </c>
      <c r="I5260" s="7">
        <v>614000</v>
      </c>
      <c r="J5260" s="7">
        <v>0</v>
      </c>
      <c r="K5260">
        <f t="shared" si="82"/>
        <v>92</v>
      </c>
      <c r="L5260" s="8" t="str" cm="1">
        <f t="array" ref="L5260">_xlfn.IFS(
 AND(K5260&gt;=89,K5260&lt;=92),"3개월",
 AND(K5260&gt;=58,K5260&lt;=62),"2개월",
 AND(K5260&gt;=28,K5260&lt;=32),"1개월",
 AND(K5260=0),"당월",
 TRUE,"그외"
)</f>
        <v>3개월</v>
      </c>
    </row>
    <row r="5261" spans="1:12" x14ac:dyDescent="0.3">
      <c r="A5261" s="5">
        <v>45689</v>
      </c>
      <c r="B5261" s="6" t="s">
        <v>84</v>
      </c>
      <c r="C5261" s="6" t="s">
        <v>85</v>
      </c>
      <c r="D5261" s="5">
        <v>45597</v>
      </c>
      <c r="E5261" s="6" t="s">
        <v>15</v>
      </c>
      <c r="F5261" s="7">
        <v>561</v>
      </c>
      <c r="G5261" s="7">
        <v>686975.89839572192</v>
      </c>
      <c r="H5261" s="7">
        <v>385393479</v>
      </c>
      <c r="I5261" s="7">
        <v>45698360</v>
      </c>
      <c r="J5261" s="7">
        <v>0</v>
      </c>
      <c r="K5261">
        <f t="shared" si="82"/>
        <v>92</v>
      </c>
      <c r="L5261" s="8" t="str" cm="1">
        <f t="array" ref="L5261">_xlfn.IFS(
 AND(K5261&gt;=89,K5261&lt;=92),"3개월",
 AND(K5261&gt;=58,K5261&lt;=62),"2개월",
 AND(K5261&gt;=28,K5261&lt;=32),"1개월",
 AND(K5261=0),"당월",
 TRUE,"그외"
)</f>
        <v>3개월</v>
      </c>
    </row>
    <row r="5262" spans="1:12" x14ac:dyDescent="0.3">
      <c r="A5262" s="5">
        <v>45689</v>
      </c>
      <c r="B5262" s="6" t="s">
        <v>84</v>
      </c>
      <c r="C5262" s="6" t="s">
        <v>85</v>
      </c>
      <c r="D5262" s="5">
        <v>45627</v>
      </c>
      <c r="E5262" s="6" t="s">
        <v>14</v>
      </c>
      <c r="F5262" s="7">
        <v>12</v>
      </c>
      <c r="G5262" s="7">
        <v>674866.66666666663</v>
      </c>
      <c r="H5262" s="7">
        <v>8098400</v>
      </c>
      <c r="I5262" s="7">
        <v>598400</v>
      </c>
      <c r="J5262" s="7">
        <v>0</v>
      </c>
      <c r="K5262">
        <f t="shared" si="82"/>
        <v>62</v>
      </c>
      <c r="L5262" s="8" t="str" cm="1">
        <f t="array" ref="L5262">_xlfn.IFS(
 AND(K5262&gt;=89,K5262&lt;=92),"3개월",
 AND(K5262&gt;=58,K5262&lt;=62),"2개월",
 AND(K5262&gt;=28,K5262&lt;=32),"1개월",
 AND(K5262=0),"당월",
 TRUE,"그외"
)</f>
        <v>2개월</v>
      </c>
    </row>
    <row r="5263" spans="1:12" x14ac:dyDescent="0.3">
      <c r="A5263" s="5">
        <v>45689</v>
      </c>
      <c r="B5263" s="6" t="s">
        <v>84</v>
      </c>
      <c r="C5263" s="6" t="s">
        <v>85</v>
      </c>
      <c r="D5263" s="5">
        <v>45627</v>
      </c>
      <c r="E5263" s="6" t="s">
        <v>15</v>
      </c>
      <c r="F5263" s="7">
        <v>670</v>
      </c>
      <c r="G5263" s="7">
        <v>725772.33880597015</v>
      </c>
      <c r="H5263" s="7">
        <v>486267467</v>
      </c>
      <c r="I5263" s="7">
        <v>58381785</v>
      </c>
      <c r="J5263" s="7">
        <v>0</v>
      </c>
      <c r="K5263">
        <f t="shared" si="82"/>
        <v>62</v>
      </c>
      <c r="L5263" s="8" t="str" cm="1">
        <f t="array" ref="L5263">_xlfn.IFS(
 AND(K5263&gt;=89,K5263&lt;=92),"3개월",
 AND(K5263&gt;=58,K5263&lt;=62),"2개월",
 AND(K5263&gt;=28,K5263&lt;=32),"1개월",
 AND(K5263=0),"당월",
 TRUE,"그외"
)</f>
        <v>2개월</v>
      </c>
    </row>
    <row r="5264" spans="1:12" x14ac:dyDescent="0.3">
      <c r="A5264" s="5">
        <v>45689</v>
      </c>
      <c r="B5264" s="6" t="s">
        <v>84</v>
      </c>
      <c r="C5264" s="6" t="s">
        <v>85</v>
      </c>
      <c r="D5264" s="5">
        <v>45658</v>
      </c>
      <c r="E5264" s="6" t="s">
        <v>14</v>
      </c>
      <c r="F5264" s="7">
        <v>1074</v>
      </c>
      <c r="G5264" s="7">
        <v>618249.53445065173</v>
      </c>
      <c r="H5264" s="7">
        <v>664000000</v>
      </c>
      <c r="I5264" s="7">
        <v>0</v>
      </c>
      <c r="J5264" s="7">
        <v>0</v>
      </c>
      <c r="K5264">
        <f t="shared" si="82"/>
        <v>31</v>
      </c>
      <c r="L5264" s="8" t="str" cm="1">
        <f t="array" ref="L5264">_xlfn.IFS(
 AND(K5264&gt;=89,K5264&lt;=92),"3개월",
 AND(K5264&gt;=58,K5264&lt;=62),"2개월",
 AND(K5264&gt;=28,K5264&lt;=32),"1개월",
 AND(K5264=0),"당월",
 TRUE,"그외"
)</f>
        <v>1개월</v>
      </c>
    </row>
    <row r="5265" spans="1:12" x14ac:dyDescent="0.3">
      <c r="A5265" s="5">
        <v>45689</v>
      </c>
      <c r="B5265" s="6" t="s">
        <v>84</v>
      </c>
      <c r="C5265" s="6" t="s">
        <v>85</v>
      </c>
      <c r="D5265" s="5">
        <v>45658</v>
      </c>
      <c r="E5265" s="6" t="s">
        <v>15</v>
      </c>
      <c r="F5265" s="7">
        <v>1093</v>
      </c>
      <c r="G5265" s="7">
        <v>721881.80603842635</v>
      </c>
      <c r="H5265" s="7">
        <v>789016814</v>
      </c>
      <c r="I5265" s="7">
        <v>89965182</v>
      </c>
      <c r="J5265" s="7">
        <v>0</v>
      </c>
      <c r="K5265">
        <f t="shared" si="82"/>
        <v>31</v>
      </c>
      <c r="L5265" s="8" t="str" cm="1">
        <f t="array" ref="L5265">_xlfn.IFS(
 AND(K5265&gt;=89,K5265&lt;=92),"3개월",
 AND(K5265&gt;=58,K5265&lt;=62),"2개월",
 AND(K5265&gt;=28,K5265&lt;=32),"1개월",
 AND(K5265=0),"당월",
 TRUE,"그외"
)</f>
        <v>1개월</v>
      </c>
    </row>
    <row r="5266" spans="1:12" x14ac:dyDescent="0.3">
      <c r="A5266" s="5">
        <v>45689</v>
      </c>
      <c r="B5266" s="6" t="s">
        <v>84</v>
      </c>
      <c r="C5266" s="6" t="s">
        <v>85</v>
      </c>
      <c r="D5266" s="5">
        <v>45689</v>
      </c>
      <c r="E5266" s="6" t="s">
        <v>14</v>
      </c>
      <c r="F5266" s="7">
        <v>1787</v>
      </c>
      <c r="G5266" s="7">
        <v>620747.06211527705</v>
      </c>
      <c r="H5266" s="7">
        <v>1109275000</v>
      </c>
      <c r="I5266" s="7">
        <v>0</v>
      </c>
      <c r="J5266" s="7">
        <v>0</v>
      </c>
      <c r="K5266">
        <f t="shared" si="82"/>
        <v>0</v>
      </c>
      <c r="L5266" s="8" t="str" cm="1">
        <f t="array" ref="L5266">_xlfn.IFS(
 AND(K5266&gt;=89,K5266&lt;=92),"3개월",
 AND(K5266&gt;=58,K5266&lt;=62),"2개월",
 AND(K5266&gt;=28,K5266&lt;=32),"1개월",
 AND(K5266=0),"당월",
 TRUE,"그외"
)</f>
        <v>당월</v>
      </c>
    </row>
    <row r="5267" spans="1:12" x14ac:dyDescent="0.3">
      <c r="A5267" s="5">
        <v>45689</v>
      </c>
      <c r="B5267" s="6" t="s">
        <v>84</v>
      </c>
      <c r="C5267" s="6" t="s">
        <v>85</v>
      </c>
      <c r="D5267" s="5">
        <v>45689</v>
      </c>
      <c r="E5267" s="6" t="s">
        <v>15</v>
      </c>
      <c r="F5267" s="7">
        <v>625</v>
      </c>
      <c r="G5267" s="7">
        <v>645956.55519999994</v>
      </c>
      <c r="H5267" s="7">
        <v>403722847</v>
      </c>
      <c r="I5267" s="7">
        <v>53416297</v>
      </c>
      <c r="J5267" s="7">
        <v>0</v>
      </c>
      <c r="K5267">
        <f t="shared" si="82"/>
        <v>0</v>
      </c>
      <c r="L5267" s="8" t="str" cm="1">
        <f t="array" ref="L5267">_xlfn.IFS(
 AND(K5267&gt;=89,K5267&lt;=92),"3개월",
 AND(K5267&gt;=58,K5267&lt;=62),"2개월",
 AND(K5267&gt;=28,K5267&lt;=32),"1개월",
 AND(K5267=0),"당월",
 TRUE,"그외"
)</f>
        <v>당월</v>
      </c>
    </row>
    <row r="5268" spans="1:12" x14ac:dyDescent="0.3">
      <c r="A5268" s="5">
        <v>45689</v>
      </c>
      <c r="B5268" s="6" t="s">
        <v>84</v>
      </c>
      <c r="C5268" s="6" t="s">
        <v>85</v>
      </c>
      <c r="D5268" s="5">
        <v>45717</v>
      </c>
      <c r="E5268" s="6" t="s">
        <v>15</v>
      </c>
      <c r="F5268" s="7">
        <v>2</v>
      </c>
      <c r="G5268" s="7">
        <v>67626</v>
      </c>
      <c r="H5268" s="7">
        <v>135252</v>
      </c>
      <c r="I5268" s="7">
        <v>0</v>
      </c>
      <c r="J5268" s="7">
        <v>0</v>
      </c>
      <c r="K5268">
        <f t="shared" si="82"/>
        <v>-28</v>
      </c>
      <c r="L5268" s="8" t="str" cm="1">
        <f t="array" ref="L5268">_xlfn.IFS(
 AND(K5268&gt;=89,K5268&lt;=92),"3개월",
 AND(K5268&gt;=58,K5268&lt;=62),"2개월",
 AND(K5268&gt;=28,K5268&lt;=32),"1개월",
 AND(K5268=0),"당월",
 TRUE,"그외"
)</f>
        <v>그외</v>
      </c>
    </row>
    <row r="5269" spans="1:12" x14ac:dyDescent="0.3">
      <c r="A5269" s="5">
        <v>45689</v>
      </c>
      <c r="B5269" s="6" t="s">
        <v>84</v>
      </c>
      <c r="C5269" s="6" t="s">
        <v>86</v>
      </c>
      <c r="D5269" s="5">
        <v>45505</v>
      </c>
      <c r="E5269" s="6" t="s">
        <v>15</v>
      </c>
      <c r="F5269" s="7">
        <v>296</v>
      </c>
      <c r="G5269" s="7">
        <v>435295.80405405408</v>
      </c>
      <c r="H5269" s="7">
        <v>128847558</v>
      </c>
      <c r="I5269" s="7">
        <v>31447111</v>
      </c>
      <c r="J5269" s="7">
        <v>0</v>
      </c>
      <c r="K5269">
        <f t="shared" si="82"/>
        <v>184</v>
      </c>
      <c r="L5269" s="8" t="str" cm="1">
        <f t="array" ref="L5269">_xlfn.IFS(
 AND(K5269&gt;=89,K5269&lt;=92),"3개월",
 AND(K5269&gt;=58,K5269&lt;=62),"2개월",
 AND(K5269&gt;=28,K5269&lt;=32),"1개월",
 AND(K5269=0),"당월",
 TRUE,"그외"
)</f>
        <v>그외</v>
      </c>
    </row>
    <row r="5270" spans="1:12" x14ac:dyDescent="0.3">
      <c r="A5270" s="5">
        <v>45689</v>
      </c>
      <c r="B5270" s="6" t="s">
        <v>84</v>
      </c>
      <c r="C5270" s="6" t="s">
        <v>86</v>
      </c>
      <c r="D5270" s="5">
        <v>45536</v>
      </c>
      <c r="E5270" s="6" t="s">
        <v>15</v>
      </c>
      <c r="F5270" s="7">
        <v>316</v>
      </c>
      <c r="G5270" s="7">
        <v>560329.72784810129</v>
      </c>
      <c r="H5270" s="7">
        <v>177064194</v>
      </c>
      <c r="I5270" s="7">
        <v>31556766</v>
      </c>
      <c r="J5270" s="7">
        <v>0</v>
      </c>
      <c r="K5270">
        <f t="shared" si="82"/>
        <v>153</v>
      </c>
      <c r="L5270" s="8" t="str" cm="1">
        <f t="array" ref="L5270">_xlfn.IFS(
 AND(K5270&gt;=89,K5270&lt;=92),"3개월",
 AND(K5270&gt;=58,K5270&lt;=62),"2개월",
 AND(K5270&gt;=28,K5270&lt;=32),"1개월",
 AND(K5270=0),"당월",
 TRUE,"그외"
)</f>
        <v>그외</v>
      </c>
    </row>
    <row r="5271" spans="1:12" x14ac:dyDescent="0.3">
      <c r="A5271" s="5">
        <v>45689</v>
      </c>
      <c r="B5271" s="6" t="s">
        <v>84</v>
      </c>
      <c r="C5271" s="6" t="s">
        <v>86</v>
      </c>
      <c r="D5271" s="5">
        <v>45566</v>
      </c>
      <c r="E5271" s="6" t="s">
        <v>15</v>
      </c>
      <c r="F5271" s="7">
        <v>542</v>
      </c>
      <c r="G5271" s="7">
        <v>536649.21771217708</v>
      </c>
      <c r="H5271" s="7">
        <v>290863876</v>
      </c>
      <c r="I5271" s="7">
        <v>46383811</v>
      </c>
      <c r="J5271" s="7">
        <v>0</v>
      </c>
      <c r="K5271">
        <f t="shared" si="82"/>
        <v>123</v>
      </c>
      <c r="L5271" s="8" t="str" cm="1">
        <f t="array" ref="L5271">_xlfn.IFS(
 AND(K5271&gt;=89,K5271&lt;=92),"3개월",
 AND(K5271&gt;=58,K5271&lt;=62),"2개월",
 AND(K5271&gt;=28,K5271&lt;=32),"1개월",
 AND(K5271=0),"당월",
 TRUE,"그외"
)</f>
        <v>그외</v>
      </c>
    </row>
    <row r="5272" spans="1:12" x14ac:dyDescent="0.3">
      <c r="A5272" s="5">
        <v>45689</v>
      </c>
      <c r="B5272" s="6" t="s">
        <v>84</v>
      </c>
      <c r="C5272" s="6" t="s">
        <v>86</v>
      </c>
      <c r="D5272" s="5">
        <v>45597</v>
      </c>
      <c r="E5272" s="6" t="s">
        <v>15</v>
      </c>
      <c r="F5272" s="7">
        <v>665</v>
      </c>
      <c r="G5272" s="7">
        <v>551175.04210526322</v>
      </c>
      <c r="H5272" s="7">
        <v>366531403</v>
      </c>
      <c r="I5272" s="7">
        <v>53744165</v>
      </c>
      <c r="J5272" s="7">
        <v>0</v>
      </c>
      <c r="K5272">
        <f t="shared" si="82"/>
        <v>92</v>
      </c>
      <c r="L5272" s="8" t="str" cm="1">
        <f t="array" ref="L5272">_xlfn.IFS(
 AND(K5272&gt;=89,K5272&lt;=92),"3개월",
 AND(K5272&gt;=58,K5272&lt;=62),"2개월",
 AND(K5272&gt;=28,K5272&lt;=32),"1개월",
 AND(K5272=0),"당월",
 TRUE,"그외"
)</f>
        <v>3개월</v>
      </c>
    </row>
    <row r="5273" spans="1:12" x14ac:dyDescent="0.3">
      <c r="A5273" s="5">
        <v>45689</v>
      </c>
      <c r="B5273" s="6" t="s">
        <v>84</v>
      </c>
      <c r="C5273" s="6" t="s">
        <v>86</v>
      </c>
      <c r="D5273" s="5">
        <v>45627</v>
      </c>
      <c r="E5273" s="6" t="s">
        <v>14</v>
      </c>
      <c r="F5273" s="7">
        <v>114</v>
      </c>
      <c r="G5273" s="7">
        <v>369926.00877192977</v>
      </c>
      <c r="H5273" s="7">
        <v>42171565</v>
      </c>
      <c r="I5273" s="7">
        <v>8527200</v>
      </c>
      <c r="J5273" s="7">
        <v>0</v>
      </c>
      <c r="K5273">
        <f t="shared" si="82"/>
        <v>62</v>
      </c>
      <c r="L5273" s="8" t="str" cm="1">
        <f t="array" ref="L5273">_xlfn.IFS(
 AND(K5273&gt;=89,K5273&lt;=92),"3개월",
 AND(K5273&gt;=58,K5273&lt;=62),"2개월",
 AND(K5273&gt;=28,K5273&lt;=32),"1개월",
 AND(K5273=0),"당월",
 TRUE,"그외"
)</f>
        <v>2개월</v>
      </c>
    </row>
    <row r="5274" spans="1:12" x14ac:dyDescent="0.3">
      <c r="A5274" s="5">
        <v>45689</v>
      </c>
      <c r="B5274" s="6" t="s">
        <v>84</v>
      </c>
      <c r="C5274" s="6" t="s">
        <v>86</v>
      </c>
      <c r="D5274" s="5">
        <v>45627</v>
      </c>
      <c r="E5274" s="6" t="s">
        <v>15</v>
      </c>
      <c r="F5274" s="7">
        <v>512</v>
      </c>
      <c r="G5274" s="7">
        <v>617667.443359375</v>
      </c>
      <c r="H5274" s="7">
        <v>316245731</v>
      </c>
      <c r="I5274" s="7">
        <v>47049146</v>
      </c>
      <c r="J5274" s="7">
        <v>0</v>
      </c>
      <c r="K5274">
        <f t="shared" si="82"/>
        <v>62</v>
      </c>
      <c r="L5274" s="8" t="str" cm="1">
        <f t="array" ref="L5274">_xlfn.IFS(
 AND(K5274&gt;=89,K5274&lt;=92),"3개월",
 AND(K5274&gt;=58,K5274&lt;=62),"2개월",
 AND(K5274&gt;=28,K5274&lt;=32),"1개월",
 AND(K5274=0),"당월",
 TRUE,"그외"
)</f>
        <v>2개월</v>
      </c>
    </row>
    <row r="5275" spans="1:12" x14ac:dyDescent="0.3">
      <c r="A5275" s="5">
        <v>45689</v>
      </c>
      <c r="B5275" s="6" t="s">
        <v>84</v>
      </c>
      <c r="C5275" s="6" t="s">
        <v>86</v>
      </c>
      <c r="D5275" s="5">
        <v>45658</v>
      </c>
      <c r="E5275" s="6" t="s">
        <v>14</v>
      </c>
      <c r="F5275" s="7">
        <v>1196</v>
      </c>
      <c r="G5275" s="7">
        <v>446561.33277591981</v>
      </c>
      <c r="H5275" s="7">
        <v>534087354</v>
      </c>
      <c r="I5275" s="7">
        <v>91015600</v>
      </c>
      <c r="J5275" s="7">
        <v>0</v>
      </c>
      <c r="K5275">
        <f t="shared" si="82"/>
        <v>31</v>
      </c>
      <c r="L5275" s="8" t="str" cm="1">
        <f t="array" ref="L5275">_xlfn.IFS(
 AND(K5275&gt;=89,K5275&lt;=92),"3개월",
 AND(K5275&gt;=58,K5275&lt;=62),"2개월",
 AND(K5275&gt;=28,K5275&lt;=32),"1개월",
 AND(K5275=0),"당월",
 TRUE,"그외"
)</f>
        <v>1개월</v>
      </c>
    </row>
    <row r="5276" spans="1:12" x14ac:dyDescent="0.3">
      <c r="A5276" s="5">
        <v>45689</v>
      </c>
      <c r="B5276" s="6" t="s">
        <v>84</v>
      </c>
      <c r="C5276" s="6" t="s">
        <v>86</v>
      </c>
      <c r="D5276" s="5">
        <v>45658</v>
      </c>
      <c r="E5276" s="6" t="s">
        <v>15</v>
      </c>
      <c r="F5276" s="7">
        <v>820</v>
      </c>
      <c r="G5276" s="7">
        <v>551758.92804878054</v>
      </c>
      <c r="H5276" s="7">
        <v>452442321</v>
      </c>
      <c r="I5276" s="7">
        <v>72296362</v>
      </c>
      <c r="J5276" s="7">
        <v>0</v>
      </c>
      <c r="K5276">
        <f t="shared" si="82"/>
        <v>31</v>
      </c>
      <c r="L5276" s="8" t="str" cm="1">
        <f t="array" ref="L5276">_xlfn.IFS(
 AND(K5276&gt;=89,K5276&lt;=92),"3개월",
 AND(K5276&gt;=58,K5276&lt;=62),"2개월",
 AND(K5276&gt;=28,K5276&lt;=32),"1개월",
 AND(K5276=0),"당월",
 TRUE,"그외"
)</f>
        <v>1개월</v>
      </c>
    </row>
    <row r="5277" spans="1:12" x14ac:dyDescent="0.3">
      <c r="A5277" s="5">
        <v>45689</v>
      </c>
      <c r="B5277" s="6" t="s">
        <v>84</v>
      </c>
      <c r="C5277" s="6" t="s">
        <v>86</v>
      </c>
      <c r="D5277" s="5">
        <v>45689</v>
      </c>
      <c r="E5277" s="6" t="s">
        <v>14</v>
      </c>
      <c r="F5277" s="7">
        <v>1150</v>
      </c>
      <c r="G5277" s="7">
        <v>424456.62260869559</v>
      </c>
      <c r="H5277" s="7">
        <v>488125116</v>
      </c>
      <c r="I5277" s="7">
        <v>90729400</v>
      </c>
      <c r="J5277" s="7">
        <v>0</v>
      </c>
      <c r="K5277">
        <f t="shared" si="82"/>
        <v>0</v>
      </c>
      <c r="L5277" s="8" t="str" cm="1">
        <f t="array" ref="L5277">_xlfn.IFS(
 AND(K5277&gt;=89,K5277&lt;=92),"3개월",
 AND(K5277&gt;=58,K5277&lt;=62),"2개월",
 AND(K5277&gt;=28,K5277&lt;=32),"1개월",
 AND(K5277=0),"당월",
 TRUE,"그외"
)</f>
        <v>당월</v>
      </c>
    </row>
    <row r="5278" spans="1:12" x14ac:dyDescent="0.3">
      <c r="A5278" s="5">
        <v>45689</v>
      </c>
      <c r="B5278" s="6" t="s">
        <v>84</v>
      </c>
      <c r="C5278" s="6" t="s">
        <v>86</v>
      </c>
      <c r="D5278" s="5">
        <v>45689</v>
      </c>
      <c r="E5278" s="6" t="s">
        <v>15</v>
      </c>
      <c r="F5278" s="7">
        <v>909</v>
      </c>
      <c r="G5278" s="7">
        <v>428903.58965896588</v>
      </c>
      <c r="H5278" s="7">
        <v>389873363</v>
      </c>
      <c r="I5278" s="7">
        <v>84669615</v>
      </c>
      <c r="J5278" s="7">
        <v>0</v>
      </c>
      <c r="K5278">
        <f t="shared" si="82"/>
        <v>0</v>
      </c>
      <c r="L5278" s="8" t="str" cm="1">
        <f t="array" ref="L5278">_xlfn.IFS(
 AND(K5278&gt;=89,K5278&lt;=92),"3개월",
 AND(K5278&gt;=58,K5278&lt;=62),"2개월",
 AND(K5278&gt;=28,K5278&lt;=32),"1개월",
 AND(K5278=0),"당월",
 TRUE,"그외"
)</f>
        <v>당월</v>
      </c>
    </row>
    <row r="5279" spans="1:12" x14ac:dyDescent="0.3">
      <c r="A5279" s="5">
        <v>45689</v>
      </c>
      <c r="B5279" s="6" t="s">
        <v>84</v>
      </c>
      <c r="C5279" s="6" t="s">
        <v>87</v>
      </c>
      <c r="D5279" s="5">
        <v>45505</v>
      </c>
      <c r="E5279" s="6" t="s">
        <v>15</v>
      </c>
      <c r="F5279" s="7">
        <v>121</v>
      </c>
      <c r="G5279" s="7">
        <v>426789.71900826448</v>
      </c>
      <c r="H5279" s="7">
        <v>51641556</v>
      </c>
      <c r="I5279" s="7">
        <v>12247968</v>
      </c>
      <c r="J5279" s="7">
        <v>0</v>
      </c>
      <c r="K5279">
        <f t="shared" si="82"/>
        <v>184</v>
      </c>
      <c r="L5279" s="8" t="str" cm="1">
        <f t="array" ref="L5279">_xlfn.IFS(
 AND(K5279&gt;=89,K5279&lt;=92),"3개월",
 AND(K5279&gt;=58,K5279&lt;=62),"2개월",
 AND(K5279&gt;=28,K5279&lt;=32),"1개월",
 AND(K5279=0),"당월",
 TRUE,"그외"
)</f>
        <v>그외</v>
      </c>
    </row>
    <row r="5280" spans="1:12" x14ac:dyDescent="0.3">
      <c r="A5280" s="5">
        <v>45689</v>
      </c>
      <c r="B5280" s="6" t="s">
        <v>84</v>
      </c>
      <c r="C5280" s="6" t="s">
        <v>87</v>
      </c>
      <c r="D5280" s="5">
        <v>45536</v>
      </c>
      <c r="E5280" s="6" t="s">
        <v>15</v>
      </c>
      <c r="F5280" s="7">
        <v>202</v>
      </c>
      <c r="G5280" s="7">
        <v>351903.96534653468</v>
      </c>
      <c r="H5280" s="7">
        <v>71084601</v>
      </c>
      <c r="I5280" s="7">
        <v>19262763</v>
      </c>
      <c r="J5280" s="7">
        <v>0</v>
      </c>
      <c r="K5280">
        <f t="shared" si="82"/>
        <v>153</v>
      </c>
      <c r="L5280" s="8" t="str" cm="1">
        <f t="array" ref="L5280">_xlfn.IFS(
 AND(K5280&gt;=89,K5280&lt;=92),"3개월",
 AND(K5280&gt;=58,K5280&lt;=62),"2개월",
 AND(K5280&gt;=28,K5280&lt;=32),"1개월",
 AND(K5280=0),"당월",
 TRUE,"그외"
)</f>
        <v>그외</v>
      </c>
    </row>
    <row r="5281" spans="1:12" x14ac:dyDescent="0.3">
      <c r="A5281" s="5">
        <v>45689</v>
      </c>
      <c r="B5281" s="6" t="s">
        <v>84</v>
      </c>
      <c r="C5281" s="6" t="s">
        <v>87</v>
      </c>
      <c r="D5281" s="5">
        <v>45566</v>
      </c>
      <c r="E5281" s="6" t="s">
        <v>15</v>
      </c>
      <c r="F5281" s="7">
        <v>621</v>
      </c>
      <c r="G5281" s="7">
        <v>319058.53140096623</v>
      </c>
      <c r="H5281" s="7">
        <v>198135348</v>
      </c>
      <c r="I5281" s="7">
        <v>47015040</v>
      </c>
      <c r="J5281" s="7">
        <v>0</v>
      </c>
      <c r="K5281">
        <f t="shared" si="82"/>
        <v>123</v>
      </c>
      <c r="L5281" s="8" t="str" cm="1">
        <f t="array" ref="L5281">_xlfn.IFS(
 AND(K5281&gt;=89,K5281&lt;=92),"3개월",
 AND(K5281&gt;=58,K5281&lt;=62),"2개월",
 AND(K5281&gt;=28,K5281&lt;=32),"1개월",
 AND(K5281=0),"당월",
 TRUE,"그외"
)</f>
        <v>그외</v>
      </c>
    </row>
    <row r="5282" spans="1:12" x14ac:dyDescent="0.3">
      <c r="A5282" s="5">
        <v>45689</v>
      </c>
      <c r="B5282" s="6" t="s">
        <v>84</v>
      </c>
      <c r="C5282" s="6" t="s">
        <v>87</v>
      </c>
      <c r="D5282" s="5">
        <v>45597</v>
      </c>
      <c r="E5282" s="6" t="s">
        <v>14</v>
      </c>
      <c r="F5282" s="7">
        <v>95</v>
      </c>
      <c r="G5282" s="7">
        <v>661400</v>
      </c>
      <c r="H5282" s="7">
        <v>62833000</v>
      </c>
      <c r="I5282" s="7">
        <v>5833000</v>
      </c>
      <c r="J5282" s="7">
        <v>0</v>
      </c>
      <c r="K5282">
        <f t="shared" si="82"/>
        <v>92</v>
      </c>
      <c r="L5282" s="8" t="str" cm="1">
        <f t="array" ref="L5282">_xlfn.IFS(
 AND(K5282&gt;=89,K5282&lt;=92),"3개월",
 AND(K5282&gt;=58,K5282&lt;=62),"2개월",
 AND(K5282&gt;=28,K5282&lt;=32),"1개월",
 AND(K5282=0),"당월",
 TRUE,"그외"
)</f>
        <v>3개월</v>
      </c>
    </row>
    <row r="5283" spans="1:12" x14ac:dyDescent="0.3">
      <c r="A5283" s="5">
        <v>45689</v>
      </c>
      <c r="B5283" s="6" t="s">
        <v>84</v>
      </c>
      <c r="C5283" s="6" t="s">
        <v>87</v>
      </c>
      <c r="D5283" s="5">
        <v>45597</v>
      </c>
      <c r="E5283" s="6" t="s">
        <v>15</v>
      </c>
      <c r="F5283" s="7">
        <v>619</v>
      </c>
      <c r="G5283" s="7">
        <v>377151.18416801287</v>
      </c>
      <c r="H5283" s="7">
        <v>233456583</v>
      </c>
      <c r="I5283" s="7">
        <v>52863144</v>
      </c>
      <c r="J5283" s="7">
        <v>0</v>
      </c>
      <c r="K5283">
        <f t="shared" si="82"/>
        <v>92</v>
      </c>
      <c r="L5283" s="8" t="str" cm="1">
        <f t="array" ref="L5283">_xlfn.IFS(
 AND(K5283&gt;=89,K5283&lt;=92),"3개월",
 AND(K5283&gt;=58,K5283&lt;=62),"2개월",
 AND(K5283&gt;=28,K5283&lt;=32),"1개월",
 AND(K5283=0),"당월",
 TRUE,"그외"
)</f>
        <v>3개월</v>
      </c>
    </row>
    <row r="5284" spans="1:12" x14ac:dyDescent="0.3">
      <c r="A5284" s="5">
        <v>45689</v>
      </c>
      <c r="B5284" s="6" t="s">
        <v>84</v>
      </c>
      <c r="C5284" s="6" t="s">
        <v>87</v>
      </c>
      <c r="D5284" s="5">
        <v>45627</v>
      </c>
      <c r="E5284" s="6" t="s">
        <v>14</v>
      </c>
      <c r="F5284" s="7">
        <v>84</v>
      </c>
      <c r="G5284" s="7">
        <v>482240.47619047621</v>
      </c>
      <c r="H5284" s="7">
        <v>40508200</v>
      </c>
      <c r="I5284" s="7">
        <v>6283200</v>
      </c>
      <c r="J5284" s="7">
        <v>0</v>
      </c>
      <c r="K5284">
        <f t="shared" si="82"/>
        <v>62</v>
      </c>
      <c r="L5284" s="8" t="str" cm="1">
        <f t="array" ref="L5284">_xlfn.IFS(
 AND(K5284&gt;=89,K5284&lt;=92),"3개월",
 AND(K5284&gt;=58,K5284&lt;=62),"2개월",
 AND(K5284&gt;=28,K5284&lt;=32),"1개월",
 AND(K5284=0),"당월",
 TRUE,"그외"
)</f>
        <v>2개월</v>
      </c>
    </row>
    <row r="5285" spans="1:12" x14ac:dyDescent="0.3">
      <c r="A5285" s="5">
        <v>45689</v>
      </c>
      <c r="B5285" s="6" t="s">
        <v>84</v>
      </c>
      <c r="C5285" s="6" t="s">
        <v>87</v>
      </c>
      <c r="D5285" s="5">
        <v>45627</v>
      </c>
      <c r="E5285" s="6" t="s">
        <v>15</v>
      </c>
      <c r="F5285" s="7">
        <v>756</v>
      </c>
      <c r="G5285" s="7">
        <v>442563.46957671962</v>
      </c>
      <c r="H5285" s="7">
        <v>334577983</v>
      </c>
      <c r="I5285" s="7">
        <v>69809928</v>
      </c>
      <c r="J5285" s="7">
        <v>0</v>
      </c>
      <c r="K5285">
        <f t="shared" si="82"/>
        <v>62</v>
      </c>
      <c r="L5285" s="8" t="str" cm="1">
        <f t="array" ref="L5285">_xlfn.IFS(
 AND(K5285&gt;=89,K5285&lt;=92),"3개월",
 AND(K5285&gt;=58,K5285&lt;=62),"2개월",
 AND(K5285&gt;=28,K5285&lt;=32),"1개월",
 AND(K5285=0),"당월",
 TRUE,"그외"
)</f>
        <v>2개월</v>
      </c>
    </row>
    <row r="5286" spans="1:12" x14ac:dyDescent="0.3">
      <c r="A5286" s="5">
        <v>45689</v>
      </c>
      <c r="B5286" s="6" t="s">
        <v>84</v>
      </c>
      <c r="C5286" s="6" t="s">
        <v>87</v>
      </c>
      <c r="D5286" s="5">
        <v>45658</v>
      </c>
      <c r="E5286" s="6" t="s">
        <v>14</v>
      </c>
      <c r="F5286" s="7">
        <v>574</v>
      </c>
      <c r="G5286" s="7">
        <v>303713.24041811848</v>
      </c>
      <c r="H5286" s="7">
        <v>174331400</v>
      </c>
      <c r="I5286" s="7">
        <v>43681400</v>
      </c>
      <c r="J5286" s="7">
        <v>0</v>
      </c>
      <c r="K5286">
        <f t="shared" si="82"/>
        <v>31</v>
      </c>
      <c r="L5286" s="8" t="str" cm="1">
        <f t="array" ref="L5286">_xlfn.IFS(
 AND(K5286&gt;=89,K5286&lt;=92),"3개월",
 AND(K5286&gt;=58,K5286&lt;=62),"2개월",
 AND(K5286&gt;=28,K5286&lt;=32),"1개월",
 AND(K5286=0),"당월",
 TRUE,"그외"
)</f>
        <v>1개월</v>
      </c>
    </row>
    <row r="5287" spans="1:12" x14ac:dyDescent="0.3">
      <c r="A5287" s="5">
        <v>45689</v>
      </c>
      <c r="B5287" s="6" t="s">
        <v>84</v>
      </c>
      <c r="C5287" s="6" t="s">
        <v>87</v>
      </c>
      <c r="D5287" s="5">
        <v>45658</v>
      </c>
      <c r="E5287" s="6" t="s">
        <v>15</v>
      </c>
      <c r="F5287" s="7">
        <v>1141</v>
      </c>
      <c r="G5287" s="7">
        <v>432740.55652936018</v>
      </c>
      <c r="H5287" s="7">
        <v>493756975</v>
      </c>
      <c r="I5287" s="7">
        <v>114927925</v>
      </c>
      <c r="J5287" s="7">
        <v>0</v>
      </c>
      <c r="K5287">
        <f t="shared" si="82"/>
        <v>31</v>
      </c>
      <c r="L5287" s="8" t="str" cm="1">
        <f t="array" ref="L5287">_xlfn.IFS(
 AND(K5287&gt;=89,K5287&lt;=92),"3개월",
 AND(K5287&gt;=58,K5287&lt;=62),"2개월",
 AND(K5287&gt;=28,K5287&lt;=32),"1개월",
 AND(K5287=0),"당월",
 TRUE,"그외"
)</f>
        <v>1개월</v>
      </c>
    </row>
    <row r="5288" spans="1:12" x14ac:dyDescent="0.3">
      <c r="A5288" s="5">
        <v>45689</v>
      </c>
      <c r="B5288" s="6" t="s">
        <v>84</v>
      </c>
      <c r="C5288" s="6" t="s">
        <v>87</v>
      </c>
      <c r="D5288" s="5">
        <v>45689</v>
      </c>
      <c r="E5288" s="6" t="s">
        <v>14</v>
      </c>
      <c r="F5288" s="7">
        <v>567</v>
      </c>
      <c r="G5288" s="7">
        <v>314573.83421516762</v>
      </c>
      <c r="H5288" s="7">
        <v>178363364</v>
      </c>
      <c r="I5288" s="7">
        <v>44736300</v>
      </c>
      <c r="J5288" s="7">
        <v>0</v>
      </c>
      <c r="K5288">
        <f t="shared" si="82"/>
        <v>0</v>
      </c>
      <c r="L5288" s="8" t="str" cm="1">
        <f t="array" ref="L5288">_xlfn.IFS(
 AND(K5288&gt;=89,K5288&lt;=92),"3개월",
 AND(K5288&gt;=58,K5288&lt;=62),"2개월",
 AND(K5288&gt;=28,K5288&lt;=32),"1개월",
 AND(K5288=0),"당월",
 TRUE,"그외"
)</f>
        <v>당월</v>
      </c>
    </row>
    <row r="5289" spans="1:12" x14ac:dyDescent="0.3">
      <c r="A5289" s="5">
        <v>45689</v>
      </c>
      <c r="B5289" s="6" t="s">
        <v>84</v>
      </c>
      <c r="C5289" s="6" t="s">
        <v>87</v>
      </c>
      <c r="D5289" s="5">
        <v>45689</v>
      </c>
      <c r="E5289" s="6" t="s">
        <v>15</v>
      </c>
      <c r="F5289" s="7">
        <v>888</v>
      </c>
      <c r="G5289" s="7">
        <v>417496.27477477479</v>
      </c>
      <c r="H5289" s="7">
        <v>370736692</v>
      </c>
      <c r="I5289" s="7">
        <v>93713186</v>
      </c>
      <c r="J5289" s="7">
        <v>0</v>
      </c>
      <c r="K5289">
        <f t="shared" si="82"/>
        <v>0</v>
      </c>
      <c r="L5289" s="8" t="str" cm="1">
        <f t="array" ref="L5289">_xlfn.IFS(
 AND(K5289&gt;=89,K5289&lt;=92),"3개월",
 AND(K5289&gt;=58,K5289&lt;=62),"2개월",
 AND(K5289&gt;=28,K5289&lt;=32),"1개월",
 AND(K5289=0),"당월",
 TRUE,"그외"
)</f>
        <v>당월</v>
      </c>
    </row>
    <row r="5290" spans="1:12" x14ac:dyDescent="0.3">
      <c r="A5290" s="5">
        <v>45689</v>
      </c>
      <c r="B5290" s="6" t="s">
        <v>84</v>
      </c>
      <c r="C5290" s="6" t="s">
        <v>88</v>
      </c>
      <c r="D5290" s="5">
        <v>45505</v>
      </c>
      <c r="E5290" s="6" t="s">
        <v>14</v>
      </c>
      <c r="F5290" s="7">
        <v>3</v>
      </c>
      <c r="G5290" s="7">
        <v>687918</v>
      </c>
      <c r="H5290" s="7">
        <v>2063754</v>
      </c>
      <c r="I5290" s="7">
        <v>294600</v>
      </c>
      <c r="J5290" s="7">
        <v>0</v>
      </c>
      <c r="K5290">
        <f t="shared" si="82"/>
        <v>184</v>
      </c>
      <c r="L5290" s="8" t="str" cm="1">
        <f t="array" ref="L5290">_xlfn.IFS(
 AND(K5290&gt;=89,K5290&lt;=92),"3개월",
 AND(K5290&gt;=58,K5290&lt;=62),"2개월",
 AND(K5290&gt;=28,K5290&lt;=32),"1개월",
 AND(K5290=0),"당월",
 TRUE,"그외"
)</f>
        <v>그외</v>
      </c>
    </row>
    <row r="5291" spans="1:12" x14ac:dyDescent="0.3">
      <c r="A5291" s="5">
        <v>45689</v>
      </c>
      <c r="B5291" s="6" t="s">
        <v>84</v>
      </c>
      <c r="C5291" s="6" t="s">
        <v>88</v>
      </c>
      <c r="D5291" s="5">
        <v>45505</v>
      </c>
      <c r="E5291" s="6" t="s">
        <v>15</v>
      </c>
      <c r="F5291" s="7">
        <v>270</v>
      </c>
      <c r="G5291" s="7">
        <v>432907.51444444439</v>
      </c>
      <c r="H5291" s="7">
        <v>116885028.90000001</v>
      </c>
      <c r="I5291" s="7">
        <v>28655797.899999999</v>
      </c>
      <c r="J5291" s="7">
        <v>0</v>
      </c>
      <c r="K5291">
        <f t="shared" si="82"/>
        <v>184</v>
      </c>
      <c r="L5291" s="8" t="str" cm="1">
        <f t="array" ref="L5291">_xlfn.IFS(
 AND(K5291&gt;=89,K5291&lt;=92),"3개월",
 AND(K5291&gt;=58,K5291&lt;=62),"2개월",
 AND(K5291&gt;=28,K5291&lt;=32),"1개월",
 AND(K5291=0),"당월",
 TRUE,"그외"
)</f>
        <v>그외</v>
      </c>
    </row>
    <row r="5292" spans="1:12" x14ac:dyDescent="0.3">
      <c r="A5292" s="5">
        <v>45689</v>
      </c>
      <c r="B5292" s="6" t="s">
        <v>84</v>
      </c>
      <c r="C5292" s="6" t="s">
        <v>88</v>
      </c>
      <c r="D5292" s="5">
        <v>45536</v>
      </c>
      <c r="E5292" s="6" t="s">
        <v>15</v>
      </c>
      <c r="F5292" s="7">
        <v>363</v>
      </c>
      <c r="G5292" s="7">
        <v>544744.5757575758</v>
      </c>
      <c r="H5292" s="7">
        <v>197742281</v>
      </c>
      <c r="I5292" s="7">
        <v>37460728</v>
      </c>
      <c r="J5292" s="7">
        <v>0</v>
      </c>
      <c r="K5292">
        <f t="shared" si="82"/>
        <v>153</v>
      </c>
      <c r="L5292" s="8" t="str" cm="1">
        <f t="array" ref="L5292">_xlfn.IFS(
 AND(K5292&gt;=89,K5292&lt;=92),"3개월",
 AND(K5292&gt;=58,K5292&lt;=62),"2개월",
 AND(K5292&gt;=28,K5292&lt;=32),"1개월",
 AND(K5292=0),"당월",
 TRUE,"그외"
)</f>
        <v>그외</v>
      </c>
    </row>
    <row r="5293" spans="1:12" x14ac:dyDescent="0.3">
      <c r="A5293" s="5">
        <v>45689</v>
      </c>
      <c r="B5293" s="6" t="s">
        <v>84</v>
      </c>
      <c r="C5293" s="6" t="s">
        <v>88</v>
      </c>
      <c r="D5293" s="5">
        <v>45566</v>
      </c>
      <c r="E5293" s="6" t="s">
        <v>15</v>
      </c>
      <c r="F5293" s="7">
        <v>815</v>
      </c>
      <c r="G5293" s="7">
        <v>475209.97914110433</v>
      </c>
      <c r="H5293" s="7">
        <v>387296133</v>
      </c>
      <c r="I5293" s="7">
        <v>66659603</v>
      </c>
      <c r="J5293" s="7">
        <v>0</v>
      </c>
      <c r="K5293">
        <f t="shared" si="82"/>
        <v>123</v>
      </c>
      <c r="L5293" s="8" t="str" cm="1">
        <f t="array" ref="L5293">_xlfn.IFS(
 AND(K5293&gt;=89,K5293&lt;=92),"3개월",
 AND(K5293&gt;=58,K5293&lt;=62),"2개월",
 AND(K5293&gt;=28,K5293&lt;=32),"1개월",
 AND(K5293=0),"당월",
 TRUE,"그외"
)</f>
        <v>그외</v>
      </c>
    </row>
    <row r="5294" spans="1:12" x14ac:dyDescent="0.3">
      <c r="A5294" s="5">
        <v>45689</v>
      </c>
      <c r="B5294" s="6" t="s">
        <v>84</v>
      </c>
      <c r="C5294" s="6" t="s">
        <v>88</v>
      </c>
      <c r="D5294" s="5">
        <v>45597</v>
      </c>
      <c r="E5294" s="6" t="s">
        <v>14</v>
      </c>
      <c r="F5294" s="7">
        <v>2</v>
      </c>
      <c r="G5294" s="7">
        <v>676758</v>
      </c>
      <c r="H5294" s="7">
        <v>1353516</v>
      </c>
      <c r="I5294" s="7">
        <v>122800</v>
      </c>
      <c r="J5294" s="7">
        <v>0</v>
      </c>
      <c r="K5294">
        <f t="shared" si="82"/>
        <v>92</v>
      </c>
      <c r="L5294" s="8" t="str" cm="1">
        <f t="array" ref="L5294">_xlfn.IFS(
 AND(K5294&gt;=89,K5294&lt;=92),"3개월",
 AND(K5294&gt;=58,K5294&lt;=62),"2개월",
 AND(K5294&gt;=28,K5294&lt;=32),"1개월",
 AND(K5294=0),"당월",
 TRUE,"그외"
)</f>
        <v>3개월</v>
      </c>
    </row>
    <row r="5295" spans="1:12" x14ac:dyDescent="0.3">
      <c r="A5295" s="5">
        <v>45689</v>
      </c>
      <c r="B5295" s="6" t="s">
        <v>84</v>
      </c>
      <c r="C5295" s="6" t="s">
        <v>88</v>
      </c>
      <c r="D5295" s="5">
        <v>45597</v>
      </c>
      <c r="E5295" s="6" t="s">
        <v>15</v>
      </c>
      <c r="F5295" s="7">
        <v>960</v>
      </c>
      <c r="G5295" s="7">
        <v>526779.34895833337</v>
      </c>
      <c r="H5295" s="7">
        <v>505708175</v>
      </c>
      <c r="I5295" s="7">
        <v>83293766</v>
      </c>
      <c r="J5295" s="7">
        <v>0</v>
      </c>
      <c r="K5295">
        <f t="shared" si="82"/>
        <v>92</v>
      </c>
      <c r="L5295" s="8" t="str" cm="1">
        <f t="array" ref="L5295">_xlfn.IFS(
 AND(K5295&gt;=89,K5295&lt;=92),"3개월",
 AND(K5295&gt;=58,K5295&lt;=62),"2개월",
 AND(K5295&gt;=28,K5295&lt;=32),"1개월",
 AND(K5295=0),"당월",
 TRUE,"그외"
)</f>
        <v>3개월</v>
      </c>
    </row>
    <row r="5296" spans="1:12" x14ac:dyDescent="0.3">
      <c r="A5296" s="5">
        <v>45689</v>
      </c>
      <c r="B5296" s="6" t="s">
        <v>84</v>
      </c>
      <c r="C5296" s="6" t="s">
        <v>88</v>
      </c>
      <c r="D5296" s="5">
        <v>45627</v>
      </c>
      <c r="E5296" s="6" t="s">
        <v>14</v>
      </c>
      <c r="F5296" s="7">
        <v>5</v>
      </c>
      <c r="G5296" s="7">
        <v>464527</v>
      </c>
      <c r="H5296" s="7">
        <v>2322635</v>
      </c>
      <c r="I5296" s="7">
        <v>374000</v>
      </c>
      <c r="J5296" s="7">
        <v>0</v>
      </c>
      <c r="K5296">
        <f t="shared" si="82"/>
        <v>62</v>
      </c>
      <c r="L5296" s="8" t="str" cm="1">
        <f t="array" ref="L5296">_xlfn.IFS(
 AND(K5296&gt;=89,K5296&lt;=92),"3개월",
 AND(K5296&gt;=58,K5296&lt;=62),"2개월",
 AND(K5296&gt;=28,K5296&lt;=32),"1개월",
 AND(K5296=0),"당월",
 TRUE,"그외"
)</f>
        <v>2개월</v>
      </c>
    </row>
    <row r="5297" spans="1:12" x14ac:dyDescent="0.3">
      <c r="A5297" s="5">
        <v>45689</v>
      </c>
      <c r="B5297" s="6" t="s">
        <v>84</v>
      </c>
      <c r="C5297" s="6" t="s">
        <v>88</v>
      </c>
      <c r="D5297" s="5">
        <v>45627</v>
      </c>
      <c r="E5297" s="6" t="s">
        <v>15</v>
      </c>
      <c r="F5297" s="7">
        <v>973</v>
      </c>
      <c r="G5297" s="7">
        <v>573200.03288797534</v>
      </c>
      <c r="H5297" s="7">
        <v>557723632</v>
      </c>
      <c r="I5297" s="7">
        <v>94175000</v>
      </c>
      <c r="J5297" s="7">
        <v>0</v>
      </c>
      <c r="K5297">
        <f t="shared" si="82"/>
        <v>62</v>
      </c>
      <c r="L5297" s="8" t="str" cm="1">
        <f t="array" ref="L5297">_xlfn.IFS(
 AND(K5297&gt;=89,K5297&lt;=92),"3개월",
 AND(K5297&gt;=58,K5297&lt;=62),"2개월",
 AND(K5297&gt;=28,K5297&lt;=32),"1개월",
 AND(K5297=0),"당월",
 TRUE,"그외"
)</f>
        <v>2개월</v>
      </c>
    </row>
    <row r="5298" spans="1:12" x14ac:dyDescent="0.3">
      <c r="A5298" s="5">
        <v>45689</v>
      </c>
      <c r="B5298" s="6" t="s">
        <v>84</v>
      </c>
      <c r="C5298" s="6" t="s">
        <v>88</v>
      </c>
      <c r="D5298" s="5">
        <v>45658</v>
      </c>
      <c r="E5298" s="6" t="s">
        <v>14</v>
      </c>
      <c r="F5298" s="7">
        <v>462</v>
      </c>
      <c r="G5298" s="7">
        <v>482932.88311688311</v>
      </c>
      <c r="H5298" s="7">
        <v>223114992</v>
      </c>
      <c r="I5298" s="7">
        <v>35158200</v>
      </c>
      <c r="J5298" s="7">
        <v>0</v>
      </c>
      <c r="K5298">
        <f t="shared" si="82"/>
        <v>31</v>
      </c>
      <c r="L5298" s="8" t="str" cm="1">
        <f t="array" ref="L5298">_xlfn.IFS(
 AND(K5298&gt;=89,K5298&lt;=92),"3개월",
 AND(K5298&gt;=58,K5298&lt;=62),"2개월",
 AND(K5298&gt;=28,K5298&lt;=32),"1개월",
 AND(K5298=0),"당월",
 TRUE,"그외"
)</f>
        <v>1개월</v>
      </c>
    </row>
    <row r="5299" spans="1:12" x14ac:dyDescent="0.3">
      <c r="A5299" s="5">
        <v>45689</v>
      </c>
      <c r="B5299" s="6" t="s">
        <v>84</v>
      </c>
      <c r="C5299" s="6" t="s">
        <v>88</v>
      </c>
      <c r="D5299" s="5">
        <v>45658</v>
      </c>
      <c r="E5299" s="6" t="s">
        <v>15</v>
      </c>
      <c r="F5299" s="7">
        <v>1727</v>
      </c>
      <c r="G5299" s="7">
        <v>535471.34221192822</v>
      </c>
      <c r="H5299" s="7">
        <v>924759008</v>
      </c>
      <c r="I5299" s="7">
        <v>163137183</v>
      </c>
      <c r="J5299" s="7">
        <v>0</v>
      </c>
      <c r="K5299">
        <f t="shared" si="82"/>
        <v>31</v>
      </c>
      <c r="L5299" s="8" t="str" cm="1">
        <f t="array" ref="L5299">_xlfn.IFS(
 AND(K5299&gt;=89,K5299&lt;=92),"3개월",
 AND(K5299&gt;=58,K5299&lt;=62),"2개월",
 AND(K5299&gt;=28,K5299&lt;=32),"1개월",
 AND(K5299=0),"당월",
 TRUE,"그외"
)</f>
        <v>1개월</v>
      </c>
    </row>
    <row r="5300" spans="1:12" x14ac:dyDescent="0.3">
      <c r="A5300" s="5">
        <v>45689</v>
      </c>
      <c r="B5300" s="6" t="s">
        <v>84</v>
      </c>
      <c r="C5300" s="6" t="s">
        <v>88</v>
      </c>
      <c r="D5300" s="5">
        <v>45689</v>
      </c>
      <c r="E5300" s="6" t="s">
        <v>14</v>
      </c>
      <c r="F5300" s="7">
        <v>211</v>
      </c>
      <c r="G5300" s="7">
        <v>434213.50236966822</v>
      </c>
      <c r="H5300" s="7">
        <v>91619049</v>
      </c>
      <c r="I5300" s="7">
        <v>16647900</v>
      </c>
      <c r="J5300" s="7">
        <v>0</v>
      </c>
      <c r="K5300">
        <f t="shared" si="82"/>
        <v>0</v>
      </c>
      <c r="L5300" s="8" t="str" cm="1">
        <f t="array" ref="L5300">_xlfn.IFS(
 AND(K5300&gt;=89,K5300&lt;=92),"3개월",
 AND(K5300&gt;=58,K5300&lt;=62),"2개월",
 AND(K5300&gt;=28,K5300&lt;=32),"1개월",
 AND(K5300=0),"당월",
 TRUE,"그외"
)</f>
        <v>당월</v>
      </c>
    </row>
    <row r="5301" spans="1:12" x14ac:dyDescent="0.3">
      <c r="A5301" s="5">
        <v>45689</v>
      </c>
      <c r="B5301" s="6" t="s">
        <v>84</v>
      </c>
      <c r="C5301" s="6" t="s">
        <v>88</v>
      </c>
      <c r="D5301" s="5">
        <v>45689</v>
      </c>
      <c r="E5301" s="6" t="s">
        <v>15</v>
      </c>
      <c r="F5301" s="7">
        <v>1529</v>
      </c>
      <c r="G5301" s="7">
        <v>476877.85284499673</v>
      </c>
      <c r="H5301" s="7">
        <v>729146237</v>
      </c>
      <c r="I5301" s="7">
        <v>148530919</v>
      </c>
      <c r="J5301" s="7">
        <v>0</v>
      </c>
      <c r="K5301">
        <f t="shared" si="82"/>
        <v>0</v>
      </c>
      <c r="L5301" s="8" t="str" cm="1">
        <f t="array" ref="L5301">_xlfn.IFS(
 AND(K5301&gt;=89,K5301&lt;=92),"3개월",
 AND(K5301&gt;=58,K5301&lt;=62),"2개월",
 AND(K5301&gt;=28,K5301&lt;=32),"1개월",
 AND(K5301=0),"당월",
 TRUE,"그외"
)</f>
        <v>당월</v>
      </c>
    </row>
    <row r="5302" spans="1:12" x14ac:dyDescent="0.3">
      <c r="A5302" s="5">
        <v>45717</v>
      </c>
      <c r="B5302" s="6" t="s">
        <v>12</v>
      </c>
      <c r="C5302" s="6" t="s">
        <v>13</v>
      </c>
      <c r="D5302" s="5">
        <v>45505</v>
      </c>
      <c r="E5302" s="6" t="s">
        <v>15</v>
      </c>
      <c r="F5302" s="7">
        <v>843</v>
      </c>
      <c r="G5302" s="7">
        <v>37384.013048635818</v>
      </c>
      <c r="H5302" s="7">
        <v>31514723</v>
      </c>
      <c r="I5302" s="7">
        <v>8345700</v>
      </c>
      <c r="J5302" s="7">
        <v>758700</v>
      </c>
      <c r="K5302">
        <f t="shared" si="82"/>
        <v>212</v>
      </c>
      <c r="L5302" s="8" t="str" cm="1">
        <f t="array" ref="L5302">_xlfn.IFS(
 AND(K5302&gt;=89,K5302&lt;=92),"3개월",
 AND(K5302&gt;=58,K5302&lt;=62),"2개월",
 AND(K5302&gt;=28,K5302&lt;=32),"1개월",
 AND(K5302=0),"당월",
 TRUE,"그외"
)</f>
        <v>그외</v>
      </c>
    </row>
    <row r="5303" spans="1:12" x14ac:dyDescent="0.3">
      <c r="A5303" s="5">
        <v>45717</v>
      </c>
      <c r="B5303" s="6" t="s">
        <v>12</v>
      </c>
      <c r="C5303" s="6" t="s">
        <v>13</v>
      </c>
      <c r="D5303" s="5">
        <v>45536</v>
      </c>
      <c r="E5303" s="6" t="s">
        <v>15</v>
      </c>
      <c r="F5303" s="7">
        <v>1263</v>
      </c>
      <c r="G5303" s="7">
        <v>44045.211401425178</v>
      </c>
      <c r="H5303" s="7">
        <v>55629102</v>
      </c>
      <c r="I5303" s="7">
        <v>12503700</v>
      </c>
      <c r="J5303" s="7">
        <v>1136700</v>
      </c>
      <c r="K5303">
        <f t="shared" si="82"/>
        <v>181</v>
      </c>
      <c r="L5303" s="8" t="str" cm="1">
        <f t="array" ref="L5303">_xlfn.IFS(
 AND(K5303&gt;=89,K5303&lt;=92),"3개월",
 AND(K5303&gt;=58,K5303&lt;=62),"2개월",
 AND(K5303&gt;=28,K5303&lt;=32),"1개월",
 AND(K5303=0),"당월",
 TRUE,"그외"
)</f>
        <v>그외</v>
      </c>
    </row>
    <row r="5304" spans="1:12" x14ac:dyDescent="0.3">
      <c r="A5304" s="5">
        <v>45717</v>
      </c>
      <c r="B5304" s="6" t="s">
        <v>12</v>
      </c>
      <c r="C5304" s="6" t="s">
        <v>13</v>
      </c>
      <c r="D5304" s="5">
        <v>45566</v>
      </c>
      <c r="E5304" s="6" t="s">
        <v>15</v>
      </c>
      <c r="F5304" s="7">
        <v>1358</v>
      </c>
      <c r="G5304" s="7">
        <v>51372.5500736377</v>
      </c>
      <c r="H5304" s="7">
        <v>69763923</v>
      </c>
      <c r="I5304" s="7">
        <v>11960300</v>
      </c>
      <c r="J5304" s="7">
        <v>1087300</v>
      </c>
      <c r="K5304">
        <f t="shared" si="82"/>
        <v>151</v>
      </c>
      <c r="L5304" s="8" t="str" cm="1">
        <f t="array" ref="L5304">_xlfn.IFS(
 AND(K5304&gt;=89,K5304&lt;=92),"3개월",
 AND(K5304&gt;=58,K5304&lt;=62),"2개월",
 AND(K5304&gt;=28,K5304&lt;=32),"1개월",
 AND(K5304=0),"당월",
 TRUE,"그외"
)</f>
        <v>그외</v>
      </c>
    </row>
    <row r="5305" spans="1:12" x14ac:dyDescent="0.3">
      <c r="A5305" s="5">
        <v>45717</v>
      </c>
      <c r="B5305" s="6" t="s">
        <v>12</v>
      </c>
      <c r="C5305" s="6" t="s">
        <v>13</v>
      </c>
      <c r="D5305" s="5">
        <v>45597</v>
      </c>
      <c r="E5305" s="6" t="s">
        <v>15</v>
      </c>
      <c r="F5305" s="7">
        <v>2744</v>
      </c>
      <c r="G5305" s="7">
        <v>59432.170918367337</v>
      </c>
      <c r="H5305" s="7">
        <v>163081877</v>
      </c>
      <c r="I5305" s="7">
        <v>21171700</v>
      </c>
      <c r="J5305" s="7">
        <v>1924700</v>
      </c>
      <c r="K5305">
        <f t="shared" si="82"/>
        <v>120</v>
      </c>
      <c r="L5305" s="8" t="str" cm="1">
        <f t="array" ref="L5305">_xlfn.IFS(
 AND(K5305&gt;=89,K5305&lt;=92),"3개월",
 AND(K5305&gt;=58,K5305&lt;=62),"2개월",
 AND(K5305&gt;=28,K5305&lt;=32),"1개월",
 AND(K5305=0),"당월",
 TRUE,"그외"
)</f>
        <v>그외</v>
      </c>
    </row>
    <row r="5306" spans="1:12" x14ac:dyDescent="0.3">
      <c r="A5306" s="5">
        <v>45717</v>
      </c>
      <c r="B5306" s="6" t="s">
        <v>12</v>
      </c>
      <c r="C5306" s="6" t="s">
        <v>13</v>
      </c>
      <c r="D5306" s="5">
        <v>45627</v>
      </c>
      <c r="E5306" s="6" t="s">
        <v>14</v>
      </c>
      <c r="F5306" s="7">
        <v>24</v>
      </c>
      <c r="G5306" s="7">
        <v>104364</v>
      </c>
      <c r="H5306" s="7">
        <v>2504736</v>
      </c>
      <c r="I5306" s="7">
        <v>211200</v>
      </c>
      <c r="J5306" s="7">
        <v>19200</v>
      </c>
      <c r="K5306">
        <f t="shared" si="82"/>
        <v>90</v>
      </c>
      <c r="L5306" s="8" t="str" cm="1">
        <f t="array" ref="L5306">_xlfn.IFS(
 AND(K5306&gt;=89,K5306&lt;=92),"3개월",
 AND(K5306&gt;=58,K5306&lt;=62),"2개월",
 AND(K5306&gt;=28,K5306&lt;=32),"1개월",
 AND(K5306=0),"당월",
 TRUE,"그외"
)</f>
        <v>3개월</v>
      </c>
    </row>
    <row r="5307" spans="1:12" x14ac:dyDescent="0.3">
      <c r="A5307" s="5">
        <v>45717</v>
      </c>
      <c r="B5307" s="6" t="s">
        <v>12</v>
      </c>
      <c r="C5307" s="6" t="s">
        <v>13</v>
      </c>
      <c r="D5307" s="5">
        <v>45627</v>
      </c>
      <c r="E5307" s="6" t="s">
        <v>15</v>
      </c>
      <c r="F5307" s="7">
        <v>3355</v>
      </c>
      <c r="G5307" s="7">
        <v>67749.788077496269</v>
      </c>
      <c r="H5307" s="7">
        <v>227300539</v>
      </c>
      <c r="I5307" s="7">
        <v>29121400</v>
      </c>
      <c r="J5307" s="7">
        <v>2647400</v>
      </c>
      <c r="K5307">
        <f t="shared" si="82"/>
        <v>90</v>
      </c>
      <c r="L5307" s="8" t="str" cm="1">
        <f t="array" ref="L5307">_xlfn.IFS(
 AND(K5307&gt;=89,K5307&lt;=92),"3개월",
 AND(K5307&gt;=58,K5307&lt;=62),"2개월",
 AND(K5307&gt;=28,K5307&lt;=32),"1개월",
 AND(K5307=0),"당월",
 TRUE,"그외"
)</f>
        <v>3개월</v>
      </c>
    </row>
    <row r="5308" spans="1:12" x14ac:dyDescent="0.3">
      <c r="A5308" s="5">
        <v>45717</v>
      </c>
      <c r="B5308" s="6" t="s">
        <v>12</v>
      </c>
      <c r="C5308" s="6" t="s">
        <v>13</v>
      </c>
      <c r="D5308" s="5">
        <v>45658</v>
      </c>
      <c r="E5308" s="6" t="s">
        <v>14</v>
      </c>
      <c r="F5308" s="7">
        <v>306</v>
      </c>
      <c r="G5308" s="7">
        <v>87117.937908496737</v>
      </c>
      <c r="H5308" s="7">
        <v>26658089</v>
      </c>
      <c r="I5308" s="7">
        <v>2692800</v>
      </c>
      <c r="J5308" s="7">
        <v>244800</v>
      </c>
      <c r="K5308">
        <f t="shared" si="82"/>
        <v>59</v>
      </c>
      <c r="L5308" s="8" t="str" cm="1">
        <f t="array" ref="L5308">_xlfn.IFS(
 AND(K5308&gt;=89,K5308&lt;=92),"3개월",
 AND(K5308&gt;=58,K5308&lt;=62),"2개월",
 AND(K5308&gt;=28,K5308&lt;=32),"1개월",
 AND(K5308=0),"당월",
 TRUE,"그외"
)</f>
        <v>2개월</v>
      </c>
    </row>
    <row r="5309" spans="1:12" x14ac:dyDescent="0.3">
      <c r="A5309" s="5">
        <v>45717</v>
      </c>
      <c r="B5309" s="6" t="s">
        <v>12</v>
      </c>
      <c r="C5309" s="6" t="s">
        <v>13</v>
      </c>
      <c r="D5309" s="5">
        <v>45658</v>
      </c>
      <c r="E5309" s="6" t="s">
        <v>15</v>
      </c>
      <c r="F5309" s="7">
        <v>7441</v>
      </c>
      <c r="G5309" s="7">
        <v>63360.350221744389</v>
      </c>
      <c r="H5309" s="7">
        <v>471464366</v>
      </c>
      <c r="I5309" s="7">
        <v>64824100</v>
      </c>
      <c r="J5309" s="7">
        <v>5893100</v>
      </c>
      <c r="K5309">
        <f t="shared" si="82"/>
        <v>59</v>
      </c>
      <c r="L5309" s="8" t="str" cm="1">
        <f t="array" ref="L5309">_xlfn.IFS(
 AND(K5309&gt;=89,K5309&lt;=92),"3개월",
 AND(K5309&gt;=58,K5309&lt;=62),"2개월",
 AND(K5309&gt;=28,K5309&lt;=32),"1개월",
 AND(K5309=0),"당월",
 TRUE,"그외"
)</f>
        <v>2개월</v>
      </c>
    </row>
    <row r="5310" spans="1:12" x14ac:dyDescent="0.3">
      <c r="A5310" s="5">
        <v>45717</v>
      </c>
      <c r="B5310" s="6" t="s">
        <v>12</v>
      </c>
      <c r="C5310" s="6" t="s">
        <v>13</v>
      </c>
      <c r="D5310" s="5">
        <v>45689</v>
      </c>
      <c r="E5310" s="6" t="s">
        <v>14</v>
      </c>
      <c r="F5310" s="7">
        <v>2820</v>
      </c>
      <c r="G5310" s="7">
        <v>70892.70815602837</v>
      </c>
      <c r="H5310" s="7">
        <v>199917437</v>
      </c>
      <c r="I5310" s="7">
        <v>24816000</v>
      </c>
      <c r="J5310" s="7">
        <v>2256000</v>
      </c>
      <c r="K5310">
        <f t="shared" si="82"/>
        <v>28</v>
      </c>
      <c r="L5310" s="8" t="str" cm="1">
        <f t="array" ref="L5310">_xlfn.IFS(
 AND(K5310&gt;=89,K5310&lt;=92),"3개월",
 AND(K5310&gt;=58,K5310&lt;=62),"2개월",
 AND(K5310&gt;=28,K5310&lt;=32),"1개월",
 AND(K5310=0),"당월",
 TRUE,"그외"
)</f>
        <v>1개월</v>
      </c>
    </row>
    <row r="5311" spans="1:12" x14ac:dyDescent="0.3">
      <c r="A5311" s="5">
        <v>45717</v>
      </c>
      <c r="B5311" s="6" t="s">
        <v>12</v>
      </c>
      <c r="C5311" s="6" t="s">
        <v>13</v>
      </c>
      <c r="D5311" s="5">
        <v>45689</v>
      </c>
      <c r="E5311" s="6" t="s">
        <v>15</v>
      </c>
      <c r="F5311" s="7">
        <v>51133</v>
      </c>
      <c r="G5311" s="7">
        <v>42200.741595447173</v>
      </c>
      <c r="H5311" s="7">
        <v>2157850520</v>
      </c>
      <c r="I5311" s="7">
        <v>447043300</v>
      </c>
      <c r="J5311" s="7">
        <v>40640300</v>
      </c>
      <c r="K5311">
        <f t="shared" si="82"/>
        <v>28</v>
      </c>
      <c r="L5311" s="8" t="str" cm="1">
        <f t="array" ref="L5311">_xlfn.IFS(
 AND(K5311&gt;=89,K5311&lt;=92),"3개월",
 AND(K5311&gt;=58,K5311&lt;=62),"2개월",
 AND(K5311&gt;=28,K5311&lt;=32),"1개월",
 AND(K5311=0),"당월",
 TRUE,"그외"
)</f>
        <v>1개월</v>
      </c>
    </row>
    <row r="5312" spans="1:12" x14ac:dyDescent="0.3">
      <c r="A5312" s="5">
        <v>45717</v>
      </c>
      <c r="B5312" s="6" t="s">
        <v>12</v>
      </c>
      <c r="C5312" s="6" t="s">
        <v>13</v>
      </c>
      <c r="D5312" s="5">
        <v>45717</v>
      </c>
      <c r="E5312" s="6" t="s">
        <v>14</v>
      </c>
      <c r="F5312" s="7">
        <v>1516</v>
      </c>
      <c r="G5312" s="7">
        <v>67882.405013192605</v>
      </c>
      <c r="H5312" s="7">
        <v>102909726</v>
      </c>
      <c r="I5312" s="7">
        <v>16583600</v>
      </c>
      <c r="J5312" s="7">
        <v>1507600</v>
      </c>
      <c r="K5312">
        <f t="shared" si="82"/>
        <v>0</v>
      </c>
      <c r="L5312" s="8" t="str" cm="1">
        <f t="array" ref="L5312">_xlfn.IFS(
 AND(K5312&gt;=89,K5312&lt;=92),"3개월",
 AND(K5312&gt;=58,K5312&lt;=62),"2개월",
 AND(K5312&gt;=28,K5312&lt;=32),"1개월",
 AND(K5312=0),"당월",
 TRUE,"그외"
)</f>
        <v>당월</v>
      </c>
    </row>
    <row r="5313" spans="1:12" x14ac:dyDescent="0.3">
      <c r="A5313" s="5">
        <v>45717</v>
      </c>
      <c r="B5313" s="6" t="s">
        <v>12</v>
      </c>
      <c r="C5313" s="6" t="s">
        <v>13</v>
      </c>
      <c r="D5313" s="5">
        <v>45717</v>
      </c>
      <c r="E5313" s="6" t="s">
        <v>15</v>
      </c>
      <c r="F5313" s="7">
        <v>82176</v>
      </c>
      <c r="G5313" s="7">
        <v>35051.944387655763</v>
      </c>
      <c r="H5313" s="7">
        <v>2880428582</v>
      </c>
      <c r="I5313" s="7">
        <v>886195300</v>
      </c>
      <c r="J5313" s="7">
        <v>80563206</v>
      </c>
      <c r="K5313">
        <f t="shared" si="82"/>
        <v>0</v>
      </c>
      <c r="L5313" s="8" t="str" cm="1">
        <f t="array" ref="L5313">_xlfn.IFS(
 AND(K5313&gt;=89,K5313&lt;=92),"3개월",
 AND(K5313&gt;=58,K5313&lt;=62),"2개월",
 AND(K5313&gt;=28,K5313&lt;=32),"1개월",
 AND(K5313=0),"당월",
 TRUE,"그외"
)</f>
        <v>당월</v>
      </c>
    </row>
    <row r="5314" spans="1:12" x14ac:dyDescent="0.3">
      <c r="A5314" s="5">
        <v>45717</v>
      </c>
      <c r="B5314" s="6" t="s">
        <v>12</v>
      </c>
      <c r="C5314" s="6" t="s">
        <v>16</v>
      </c>
      <c r="D5314" s="5">
        <v>45505</v>
      </c>
      <c r="E5314" s="6" t="s">
        <v>15</v>
      </c>
      <c r="F5314" s="7">
        <v>247</v>
      </c>
      <c r="G5314" s="7">
        <v>67610.627530364378</v>
      </c>
      <c r="H5314" s="7">
        <v>16699825</v>
      </c>
      <c r="I5314" s="7">
        <v>2445300</v>
      </c>
      <c r="J5314" s="7">
        <v>222300</v>
      </c>
      <c r="K5314">
        <f t="shared" si="82"/>
        <v>212</v>
      </c>
      <c r="L5314" s="8" t="str" cm="1">
        <f t="array" ref="L5314">_xlfn.IFS(
 AND(K5314&gt;=89,K5314&lt;=92),"3개월",
 AND(K5314&gt;=58,K5314&lt;=62),"2개월",
 AND(K5314&gt;=28,K5314&lt;=32),"1개월",
 AND(K5314=0),"당월",
 TRUE,"그외"
)</f>
        <v>그외</v>
      </c>
    </row>
    <row r="5315" spans="1:12" x14ac:dyDescent="0.3">
      <c r="A5315" s="5">
        <v>45717</v>
      </c>
      <c r="B5315" s="6" t="s">
        <v>12</v>
      </c>
      <c r="C5315" s="6" t="s">
        <v>16</v>
      </c>
      <c r="D5315" s="5">
        <v>45536</v>
      </c>
      <c r="E5315" s="6" t="s">
        <v>15</v>
      </c>
      <c r="F5315" s="7">
        <v>407</v>
      </c>
      <c r="G5315" s="7">
        <v>71000.670761670757</v>
      </c>
      <c r="H5315" s="7">
        <v>28897273</v>
      </c>
      <c r="I5315" s="7">
        <v>4029300</v>
      </c>
      <c r="J5315" s="7">
        <v>366300</v>
      </c>
      <c r="K5315">
        <f t="shared" si="82"/>
        <v>181</v>
      </c>
      <c r="L5315" s="8" t="str" cm="1">
        <f t="array" ref="L5315">_xlfn.IFS(
 AND(K5315&gt;=89,K5315&lt;=92),"3개월",
 AND(K5315&gt;=58,K5315&lt;=62),"2개월",
 AND(K5315&gt;=28,K5315&lt;=32),"1개월",
 AND(K5315=0),"당월",
 TRUE,"그외"
)</f>
        <v>그외</v>
      </c>
    </row>
    <row r="5316" spans="1:12" x14ac:dyDescent="0.3">
      <c r="A5316" s="5">
        <v>45717</v>
      </c>
      <c r="B5316" s="6" t="s">
        <v>12</v>
      </c>
      <c r="C5316" s="6" t="s">
        <v>16</v>
      </c>
      <c r="D5316" s="5">
        <v>45566</v>
      </c>
      <c r="E5316" s="6" t="s">
        <v>15</v>
      </c>
      <c r="F5316" s="7">
        <v>691</v>
      </c>
      <c r="G5316" s="7">
        <v>69334.513748191021</v>
      </c>
      <c r="H5316" s="7">
        <v>47910149</v>
      </c>
      <c r="I5316" s="7">
        <v>6102800</v>
      </c>
      <c r="J5316" s="7">
        <v>554800</v>
      </c>
      <c r="K5316">
        <f t="shared" si="82"/>
        <v>151</v>
      </c>
      <c r="L5316" s="8" t="str" cm="1">
        <f t="array" ref="L5316">_xlfn.IFS(
 AND(K5316&gt;=89,K5316&lt;=92),"3개월",
 AND(K5316&gt;=58,K5316&lt;=62),"2개월",
 AND(K5316&gt;=28,K5316&lt;=32),"1개월",
 AND(K5316=0),"당월",
 TRUE,"그외"
)</f>
        <v>그외</v>
      </c>
    </row>
    <row r="5317" spans="1:12" x14ac:dyDescent="0.3">
      <c r="A5317" s="5">
        <v>45717</v>
      </c>
      <c r="B5317" s="6" t="s">
        <v>12</v>
      </c>
      <c r="C5317" s="6" t="s">
        <v>16</v>
      </c>
      <c r="D5317" s="5">
        <v>45597</v>
      </c>
      <c r="E5317" s="6" t="s">
        <v>14</v>
      </c>
      <c r="F5317" s="7">
        <v>1</v>
      </c>
      <c r="G5317" s="7">
        <v>87910</v>
      </c>
      <c r="H5317" s="7">
        <v>87910</v>
      </c>
      <c r="I5317" s="7">
        <v>7700</v>
      </c>
      <c r="J5317" s="7">
        <v>700</v>
      </c>
      <c r="K5317">
        <f t="shared" si="82"/>
        <v>120</v>
      </c>
      <c r="L5317" s="8" t="str" cm="1">
        <f t="array" ref="L5317">_xlfn.IFS(
 AND(K5317&gt;=89,K5317&lt;=92),"3개월",
 AND(K5317&gt;=58,K5317&lt;=62),"2개월",
 AND(K5317&gt;=28,K5317&lt;=32),"1개월",
 AND(K5317=0),"당월",
 TRUE,"그외"
)</f>
        <v>그외</v>
      </c>
    </row>
    <row r="5318" spans="1:12" x14ac:dyDescent="0.3">
      <c r="A5318" s="5">
        <v>45717</v>
      </c>
      <c r="B5318" s="6" t="s">
        <v>12</v>
      </c>
      <c r="C5318" s="6" t="s">
        <v>16</v>
      </c>
      <c r="D5318" s="5">
        <v>45597</v>
      </c>
      <c r="E5318" s="6" t="s">
        <v>15</v>
      </c>
      <c r="F5318" s="7">
        <v>1204</v>
      </c>
      <c r="G5318" s="7">
        <v>66764.794019933557</v>
      </c>
      <c r="H5318" s="7">
        <v>80384812</v>
      </c>
      <c r="I5318" s="7">
        <v>9284000</v>
      </c>
      <c r="J5318" s="7">
        <v>844000</v>
      </c>
      <c r="K5318">
        <f t="shared" si="82"/>
        <v>120</v>
      </c>
      <c r="L5318" s="8" t="str" cm="1">
        <f t="array" ref="L5318">_xlfn.IFS(
 AND(K5318&gt;=89,K5318&lt;=92),"3개월",
 AND(K5318&gt;=58,K5318&lt;=62),"2개월",
 AND(K5318&gt;=28,K5318&lt;=32),"1개월",
 AND(K5318=0),"당월",
 TRUE,"그외"
)</f>
        <v>그외</v>
      </c>
    </row>
    <row r="5319" spans="1:12" x14ac:dyDescent="0.3">
      <c r="A5319" s="5">
        <v>45717</v>
      </c>
      <c r="B5319" s="6" t="s">
        <v>12</v>
      </c>
      <c r="C5319" s="6" t="s">
        <v>16</v>
      </c>
      <c r="D5319" s="5">
        <v>45627</v>
      </c>
      <c r="E5319" s="6" t="s">
        <v>14</v>
      </c>
      <c r="F5319" s="7">
        <v>178</v>
      </c>
      <c r="G5319" s="7">
        <v>88807.842696629217</v>
      </c>
      <c r="H5319" s="7">
        <v>15807796</v>
      </c>
      <c r="I5319" s="7">
        <v>1566400</v>
      </c>
      <c r="J5319" s="7">
        <v>142400</v>
      </c>
      <c r="K5319">
        <f t="shared" si="82"/>
        <v>90</v>
      </c>
      <c r="L5319" s="8" t="str" cm="1">
        <f t="array" ref="L5319">_xlfn.IFS(
 AND(K5319&gt;=89,K5319&lt;=92),"3개월",
 AND(K5319&gt;=58,K5319&lt;=62),"2개월",
 AND(K5319&gt;=28,K5319&lt;=32),"1개월",
 AND(K5319=0),"당월",
 TRUE,"그외"
)</f>
        <v>3개월</v>
      </c>
    </row>
    <row r="5320" spans="1:12" x14ac:dyDescent="0.3">
      <c r="A5320" s="5">
        <v>45717</v>
      </c>
      <c r="B5320" s="6" t="s">
        <v>12</v>
      </c>
      <c r="C5320" s="6" t="s">
        <v>16</v>
      </c>
      <c r="D5320" s="5">
        <v>45627</v>
      </c>
      <c r="E5320" s="6" t="s">
        <v>15</v>
      </c>
      <c r="F5320" s="7">
        <v>2369</v>
      </c>
      <c r="G5320" s="7">
        <v>63183.228366399322</v>
      </c>
      <c r="H5320" s="7">
        <v>149681068</v>
      </c>
      <c r="I5320" s="7">
        <v>20833263</v>
      </c>
      <c r="J5320" s="7">
        <v>1893400</v>
      </c>
      <c r="K5320">
        <f t="shared" si="82"/>
        <v>90</v>
      </c>
      <c r="L5320" s="8" t="str" cm="1">
        <f t="array" ref="L5320">_xlfn.IFS(
 AND(K5320&gt;=89,K5320&lt;=92),"3개월",
 AND(K5320&gt;=58,K5320&lt;=62),"2개월",
 AND(K5320&gt;=28,K5320&lt;=32),"1개월",
 AND(K5320=0),"당월",
 TRUE,"그외"
)</f>
        <v>3개월</v>
      </c>
    </row>
    <row r="5321" spans="1:12" x14ac:dyDescent="0.3">
      <c r="A5321" s="5">
        <v>45717</v>
      </c>
      <c r="B5321" s="6" t="s">
        <v>12</v>
      </c>
      <c r="C5321" s="6" t="s">
        <v>16</v>
      </c>
      <c r="D5321" s="5">
        <v>45658</v>
      </c>
      <c r="E5321" s="6" t="s">
        <v>14</v>
      </c>
      <c r="F5321" s="7">
        <v>134</v>
      </c>
      <c r="G5321" s="7">
        <v>88910</v>
      </c>
      <c r="H5321" s="7">
        <v>11913940</v>
      </c>
      <c r="I5321" s="7">
        <v>1179200</v>
      </c>
      <c r="J5321" s="7">
        <v>107200</v>
      </c>
      <c r="K5321">
        <f t="shared" si="82"/>
        <v>59</v>
      </c>
      <c r="L5321" s="8" t="str" cm="1">
        <f t="array" ref="L5321">_xlfn.IFS(
 AND(K5321&gt;=89,K5321&lt;=92),"3개월",
 AND(K5321&gt;=58,K5321&lt;=62),"2개월",
 AND(K5321&gt;=28,K5321&lt;=32),"1개월",
 AND(K5321=0),"당월",
 TRUE,"그외"
)</f>
        <v>2개월</v>
      </c>
    </row>
    <row r="5322" spans="1:12" x14ac:dyDescent="0.3">
      <c r="A5322" s="5">
        <v>45717</v>
      </c>
      <c r="B5322" s="6" t="s">
        <v>12</v>
      </c>
      <c r="C5322" s="6" t="s">
        <v>16</v>
      </c>
      <c r="D5322" s="5">
        <v>45658</v>
      </c>
      <c r="E5322" s="6" t="s">
        <v>15</v>
      </c>
      <c r="F5322" s="7">
        <v>4889</v>
      </c>
      <c r="G5322" s="7">
        <v>59654.650439762743</v>
      </c>
      <c r="H5322" s="7">
        <v>291651586</v>
      </c>
      <c r="I5322" s="7">
        <v>42904400</v>
      </c>
      <c r="J5322" s="7">
        <v>3900400</v>
      </c>
      <c r="K5322">
        <f t="shared" ref="K5322:K5385" si="83">A5322-D5322</f>
        <v>59</v>
      </c>
      <c r="L5322" s="8" t="str" cm="1">
        <f t="array" ref="L5322">_xlfn.IFS(
 AND(K5322&gt;=89,K5322&lt;=92),"3개월",
 AND(K5322&gt;=58,K5322&lt;=62),"2개월",
 AND(K5322&gt;=28,K5322&lt;=32),"1개월",
 AND(K5322=0),"당월",
 TRUE,"그외"
)</f>
        <v>2개월</v>
      </c>
    </row>
    <row r="5323" spans="1:12" x14ac:dyDescent="0.3">
      <c r="A5323" s="5">
        <v>45717</v>
      </c>
      <c r="B5323" s="6" t="s">
        <v>12</v>
      </c>
      <c r="C5323" s="6" t="s">
        <v>16</v>
      </c>
      <c r="D5323" s="5">
        <v>45689</v>
      </c>
      <c r="E5323" s="6" t="s">
        <v>14</v>
      </c>
      <c r="F5323" s="7">
        <v>1552</v>
      </c>
      <c r="G5323" s="7">
        <v>68186.457474226801</v>
      </c>
      <c r="H5323" s="7">
        <v>105825382</v>
      </c>
      <c r="I5323" s="7">
        <v>13657600</v>
      </c>
      <c r="J5323" s="7">
        <v>1241600</v>
      </c>
      <c r="K5323">
        <f t="shared" si="83"/>
        <v>28</v>
      </c>
      <c r="L5323" s="8" t="str" cm="1">
        <f t="array" ref="L5323">_xlfn.IFS(
 AND(K5323&gt;=89,K5323&lt;=92),"3개월",
 AND(K5323&gt;=58,K5323&lt;=62),"2개월",
 AND(K5323&gt;=28,K5323&lt;=32),"1개월",
 AND(K5323=0),"당월",
 TRUE,"그외"
)</f>
        <v>1개월</v>
      </c>
    </row>
    <row r="5324" spans="1:12" x14ac:dyDescent="0.3">
      <c r="A5324" s="5">
        <v>45717</v>
      </c>
      <c r="B5324" s="6" t="s">
        <v>12</v>
      </c>
      <c r="C5324" s="6" t="s">
        <v>16</v>
      </c>
      <c r="D5324" s="5">
        <v>45689</v>
      </c>
      <c r="E5324" s="6" t="s">
        <v>15</v>
      </c>
      <c r="F5324" s="7">
        <v>24524</v>
      </c>
      <c r="G5324" s="7">
        <v>39766.01720763334</v>
      </c>
      <c r="H5324" s="7">
        <v>975221806</v>
      </c>
      <c r="I5324" s="7">
        <v>215264898</v>
      </c>
      <c r="J5324" s="7">
        <v>19568600</v>
      </c>
      <c r="K5324">
        <f t="shared" si="83"/>
        <v>28</v>
      </c>
      <c r="L5324" s="8" t="str" cm="1">
        <f t="array" ref="L5324">_xlfn.IFS(
 AND(K5324&gt;=89,K5324&lt;=92),"3개월",
 AND(K5324&gt;=58,K5324&lt;=62),"2개월",
 AND(K5324&gt;=28,K5324&lt;=32),"1개월",
 AND(K5324=0),"당월",
 TRUE,"그외"
)</f>
        <v>1개월</v>
      </c>
    </row>
    <row r="5325" spans="1:12" x14ac:dyDescent="0.3">
      <c r="A5325" s="5">
        <v>45717</v>
      </c>
      <c r="B5325" s="6" t="s">
        <v>12</v>
      </c>
      <c r="C5325" s="6" t="s">
        <v>16</v>
      </c>
      <c r="D5325" s="5">
        <v>45717</v>
      </c>
      <c r="E5325" s="6" t="s">
        <v>14</v>
      </c>
      <c r="F5325" s="7">
        <v>482</v>
      </c>
      <c r="G5325" s="7">
        <v>69704.622406638999</v>
      </c>
      <c r="H5325" s="7">
        <v>33597628</v>
      </c>
      <c r="I5325" s="7">
        <v>5247000</v>
      </c>
      <c r="J5325" s="7">
        <v>477000</v>
      </c>
      <c r="K5325">
        <f t="shared" si="83"/>
        <v>0</v>
      </c>
      <c r="L5325" s="8" t="str" cm="1">
        <f t="array" ref="L5325">_xlfn.IFS(
 AND(K5325&gt;=89,K5325&lt;=92),"3개월",
 AND(K5325&gt;=58,K5325&lt;=62),"2개월",
 AND(K5325&gt;=28,K5325&lt;=32),"1개월",
 AND(K5325=0),"당월",
 TRUE,"그외"
)</f>
        <v>당월</v>
      </c>
    </row>
    <row r="5326" spans="1:12" x14ac:dyDescent="0.3">
      <c r="A5326" s="5">
        <v>45717</v>
      </c>
      <c r="B5326" s="6" t="s">
        <v>12</v>
      </c>
      <c r="C5326" s="6" t="s">
        <v>16</v>
      </c>
      <c r="D5326" s="5">
        <v>45717</v>
      </c>
      <c r="E5326" s="6" t="s">
        <v>15</v>
      </c>
      <c r="F5326" s="7">
        <v>34253</v>
      </c>
      <c r="G5326" s="7">
        <v>30802.7243161183</v>
      </c>
      <c r="H5326" s="7">
        <v>1055085716</v>
      </c>
      <c r="I5326" s="7">
        <v>371161064</v>
      </c>
      <c r="J5326" s="7">
        <v>33740917</v>
      </c>
      <c r="K5326">
        <f t="shared" si="83"/>
        <v>0</v>
      </c>
      <c r="L5326" s="8" t="str" cm="1">
        <f t="array" ref="L5326">_xlfn.IFS(
 AND(K5326&gt;=89,K5326&lt;=92),"3개월",
 AND(K5326&gt;=58,K5326&lt;=62),"2개월",
 AND(K5326&gt;=28,K5326&lt;=32),"1개월",
 AND(K5326=0),"당월",
 TRUE,"그외"
)</f>
        <v>당월</v>
      </c>
    </row>
    <row r="5327" spans="1:12" x14ac:dyDescent="0.3">
      <c r="A5327" s="5">
        <v>45717</v>
      </c>
      <c r="B5327" s="6" t="s">
        <v>12</v>
      </c>
      <c r="C5327" s="6" t="s">
        <v>17</v>
      </c>
      <c r="D5327" s="5">
        <v>45505</v>
      </c>
      <c r="E5327" s="6" t="s">
        <v>15</v>
      </c>
      <c r="F5327" s="7">
        <v>106</v>
      </c>
      <c r="G5327" s="7">
        <v>67638.764150943403</v>
      </c>
      <c r="H5327" s="7">
        <v>7169709</v>
      </c>
      <c r="I5327" s="7">
        <v>1049400</v>
      </c>
      <c r="J5327" s="7">
        <v>95400</v>
      </c>
      <c r="K5327">
        <f t="shared" si="83"/>
        <v>212</v>
      </c>
      <c r="L5327" s="8" t="str" cm="1">
        <f t="array" ref="L5327">_xlfn.IFS(
 AND(K5327&gt;=89,K5327&lt;=92),"3개월",
 AND(K5327&gt;=58,K5327&lt;=62),"2개월",
 AND(K5327&gt;=28,K5327&lt;=32),"1개월",
 AND(K5327=0),"당월",
 TRUE,"그외"
)</f>
        <v>그외</v>
      </c>
    </row>
    <row r="5328" spans="1:12" x14ac:dyDescent="0.3">
      <c r="A5328" s="5">
        <v>45717</v>
      </c>
      <c r="B5328" s="6" t="s">
        <v>12</v>
      </c>
      <c r="C5328" s="6" t="s">
        <v>17</v>
      </c>
      <c r="D5328" s="5">
        <v>45536</v>
      </c>
      <c r="E5328" s="6" t="s">
        <v>14</v>
      </c>
      <c r="F5328" s="7">
        <v>134</v>
      </c>
      <c r="G5328" s="7">
        <v>72107.67164179105</v>
      </c>
      <c r="H5328" s="7">
        <v>9662428</v>
      </c>
      <c r="I5328" s="7">
        <v>1326600</v>
      </c>
      <c r="J5328" s="7">
        <v>120600</v>
      </c>
      <c r="K5328">
        <f t="shared" si="83"/>
        <v>181</v>
      </c>
      <c r="L5328" s="8" t="str" cm="1">
        <f t="array" ref="L5328">_xlfn.IFS(
 AND(K5328&gt;=89,K5328&lt;=92),"3개월",
 AND(K5328&gt;=58,K5328&lt;=62),"2개월",
 AND(K5328&gt;=28,K5328&lt;=32),"1개월",
 AND(K5328=0),"당월",
 TRUE,"그외"
)</f>
        <v>그외</v>
      </c>
    </row>
    <row r="5329" spans="1:12" x14ac:dyDescent="0.3">
      <c r="A5329" s="5">
        <v>45717</v>
      </c>
      <c r="B5329" s="6" t="s">
        <v>12</v>
      </c>
      <c r="C5329" s="6" t="s">
        <v>17</v>
      </c>
      <c r="D5329" s="5">
        <v>45536</v>
      </c>
      <c r="E5329" s="6" t="s">
        <v>15</v>
      </c>
      <c r="F5329" s="7">
        <v>199</v>
      </c>
      <c r="G5329" s="7">
        <v>71209.160804020095</v>
      </c>
      <c r="H5329" s="7">
        <v>14170623</v>
      </c>
      <c r="I5329" s="7">
        <v>1970100</v>
      </c>
      <c r="J5329" s="7">
        <v>179100</v>
      </c>
      <c r="K5329">
        <f t="shared" si="83"/>
        <v>181</v>
      </c>
      <c r="L5329" s="8" t="str" cm="1">
        <f t="array" ref="L5329">_xlfn.IFS(
 AND(K5329&gt;=89,K5329&lt;=92),"3개월",
 AND(K5329&gt;=58,K5329&lt;=62),"2개월",
 AND(K5329&gt;=28,K5329&lt;=32),"1개월",
 AND(K5329=0),"당월",
 TRUE,"그외"
)</f>
        <v>그외</v>
      </c>
    </row>
    <row r="5330" spans="1:12" x14ac:dyDescent="0.3">
      <c r="A5330" s="5">
        <v>45717</v>
      </c>
      <c r="B5330" s="6" t="s">
        <v>12</v>
      </c>
      <c r="C5330" s="6" t="s">
        <v>17</v>
      </c>
      <c r="D5330" s="5">
        <v>45566</v>
      </c>
      <c r="E5330" s="6" t="s">
        <v>14</v>
      </c>
      <c r="F5330" s="7">
        <v>31</v>
      </c>
      <c r="G5330" s="7">
        <v>72546</v>
      </c>
      <c r="H5330" s="7">
        <v>2248926</v>
      </c>
      <c r="I5330" s="7">
        <v>272800</v>
      </c>
      <c r="J5330" s="7">
        <v>24800</v>
      </c>
      <c r="K5330">
        <f t="shared" si="83"/>
        <v>151</v>
      </c>
      <c r="L5330" s="8" t="str" cm="1">
        <f t="array" ref="L5330">_xlfn.IFS(
 AND(K5330&gt;=89,K5330&lt;=92),"3개월",
 AND(K5330&gt;=58,K5330&lt;=62),"2개월",
 AND(K5330&gt;=28,K5330&lt;=32),"1개월",
 AND(K5330=0),"당월",
 TRUE,"그외"
)</f>
        <v>그외</v>
      </c>
    </row>
    <row r="5331" spans="1:12" x14ac:dyDescent="0.3">
      <c r="A5331" s="5">
        <v>45717</v>
      </c>
      <c r="B5331" s="6" t="s">
        <v>12</v>
      </c>
      <c r="C5331" s="6" t="s">
        <v>17</v>
      </c>
      <c r="D5331" s="5">
        <v>45566</v>
      </c>
      <c r="E5331" s="6" t="s">
        <v>15</v>
      </c>
      <c r="F5331" s="7">
        <v>402</v>
      </c>
      <c r="G5331" s="7">
        <v>66536.624378109453</v>
      </c>
      <c r="H5331" s="7">
        <v>26747723</v>
      </c>
      <c r="I5331" s="7">
        <v>3537600</v>
      </c>
      <c r="J5331" s="7">
        <v>321600</v>
      </c>
      <c r="K5331">
        <f t="shared" si="83"/>
        <v>151</v>
      </c>
      <c r="L5331" s="8" t="str" cm="1">
        <f t="array" ref="L5331">_xlfn.IFS(
 AND(K5331&gt;=89,K5331&lt;=92),"3개월",
 AND(K5331&gt;=58,K5331&lt;=62),"2개월",
 AND(K5331&gt;=28,K5331&lt;=32),"1개월",
 AND(K5331=0),"당월",
 TRUE,"그외"
)</f>
        <v>그외</v>
      </c>
    </row>
    <row r="5332" spans="1:12" x14ac:dyDescent="0.3">
      <c r="A5332" s="5">
        <v>45717</v>
      </c>
      <c r="B5332" s="6" t="s">
        <v>12</v>
      </c>
      <c r="C5332" s="6" t="s">
        <v>17</v>
      </c>
      <c r="D5332" s="5">
        <v>45597</v>
      </c>
      <c r="E5332" s="6" t="s">
        <v>14</v>
      </c>
      <c r="F5332" s="7">
        <v>2</v>
      </c>
      <c r="G5332" s="7">
        <v>71546</v>
      </c>
      <c r="H5332" s="7">
        <v>143092</v>
      </c>
      <c r="I5332" s="7">
        <v>15400</v>
      </c>
      <c r="J5332" s="7">
        <v>1400</v>
      </c>
      <c r="K5332">
        <f t="shared" si="83"/>
        <v>120</v>
      </c>
      <c r="L5332" s="8" t="str" cm="1">
        <f t="array" ref="L5332">_xlfn.IFS(
 AND(K5332&gt;=89,K5332&lt;=92),"3개월",
 AND(K5332&gt;=58,K5332&lt;=62),"2개월",
 AND(K5332&gt;=28,K5332&lt;=32),"1개월",
 AND(K5332=0),"당월",
 TRUE,"그외"
)</f>
        <v>그외</v>
      </c>
    </row>
    <row r="5333" spans="1:12" x14ac:dyDescent="0.3">
      <c r="A5333" s="5">
        <v>45717</v>
      </c>
      <c r="B5333" s="6" t="s">
        <v>12</v>
      </c>
      <c r="C5333" s="6" t="s">
        <v>17</v>
      </c>
      <c r="D5333" s="5">
        <v>45597</v>
      </c>
      <c r="E5333" s="6" t="s">
        <v>15</v>
      </c>
      <c r="F5333" s="7">
        <v>317</v>
      </c>
      <c r="G5333" s="7">
        <v>61423.72239747634</v>
      </c>
      <c r="H5333" s="7">
        <v>19471320</v>
      </c>
      <c r="I5333" s="7">
        <v>2440900</v>
      </c>
      <c r="J5333" s="7">
        <v>221900</v>
      </c>
      <c r="K5333">
        <f t="shared" si="83"/>
        <v>120</v>
      </c>
      <c r="L5333" s="8" t="str" cm="1">
        <f t="array" ref="L5333">_xlfn.IFS(
 AND(K5333&gt;=89,K5333&lt;=92),"3개월",
 AND(K5333&gt;=58,K5333&lt;=62),"2개월",
 AND(K5333&gt;=28,K5333&lt;=32),"1개월",
 AND(K5333=0),"당월",
 TRUE,"그외"
)</f>
        <v>그외</v>
      </c>
    </row>
    <row r="5334" spans="1:12" x14ac:dyDescent="0.3">
      <c r="A5334" s="5">
        <v>45717</v>
      </c>
      <c r="B5334" s="6" t="s">
        <v>12</v>
      </c>
      <c r="C5334" s="6" t="s">
        <v>17</v>
      </c>
      <c r="D5334" s="5">
        <v>45627</v>
      </c>
      <c r="E5334" s="6" t="s">
        <v>14</v>
      </c>
      <c r="F5334" s="7">
        <v>66</v>
      </c>
      <c r="G5334" s="7">
        <v>64598.151515151512</v>
      </c>
      <c r="H5334" s="7">
        <v>4263478</v>
      </c>
      <c r="I5334" s="7">
        <v>580800</v>
      </c>
      <c r="J5334" s="7">
        <v>52800</v>
      </c>
      <c r="K5334">
        <f t="shared" si="83"/>
        <v>90</v>
      </c>
      <c r="L5334" s="8" t="str" cm="1">
        <f t="array" ref="L5334">_xlfn.IFS(
 AND(K5334&gt;=89,K5334&lt;=92),"3개월",
 AND(K5334&gt;=58,K5334&lt;=62),"2개월",
 AND(K5334&gt;=28,K5334&lt;=32),"1개월",
 AND(K5334=0),"당월",
 TRUE,"그외"
)</f>
        <v>3개월</v>
      </c>
    </row>
    <row r="5335" spans="1:12" x14ac:dyDescent="0.3">
      <c r="A5335" s="5">
        <v>45717</v>
      </c>
      <c r="B5335" s="6" t="s">
        <v>12</v>
      </c>
      <c r="C5335" s="6" t="s">
        <v>17</v>
      </c>
      <c r="D5335" s="5">
        <v>45627</v>
      </c>
      <c r="E5335" s="6" t="s">
        <v>15</v>
      </c>
      <c r="F5335" s="7">
        <v>880</v>
      </c>
      <c r="G5335" s="7">
        <v>61574.717045454548</v>
      </c>
      <c r="H5335" s="7">
        <v>54185751</v>
      </c>
      <c r="I5335" s="7">
        <v>7747300</v>
      </c>
      <c r="J5335" s="7">
        <v>704300</v>
      </c>
      <c r="K5335">
        <f t="shared" si="83"/>
        <v>90</v>
      </c>
      <c r="L5335" s="8" t="str" cm="1">
        <f t="array" ref="L5335">_xlfn.IFS(
 AND(K5335&gt;=89,K5335&lt;=92),"3개월",
 AND(K5335&gt;=58,K5335&lt;=62),"2개월",
 AND(K5335&gt;=28,K5335&lt;=32),"1개월",
 AND(K5335=0),"당월",
 TRUE,"그외"
)</f>
        <v>3개월</v>
      </c>
    </row>
    <row r="5336" spans="1:12" x14ac:dyDescent="0.3">
      <c r="A5336" s="5">
        <v>45717</v>
      </c>
      <c r="B5336" s="6" t="s">
        <v>12</v>
      </c>
      <c r="C5336" s="6" t="s">
        <v>17</v>
      </c>
      <c r="D5336" s="5">
        <v>45658</v>
      </c>
      <c r="E5336" s="6" t="s">
        <v>14</v>
      </c>
      <c r="F5336" s="7">
        <v>289</v>
      </c>
      <c r="G5336" s="7">
        <v>62335.747404844289</v>
      </c>
      <c r="H5336" s="7">
        <v>18015031</v>
      </c>
      <c r="I5336" s="7">
        <v>2543200</v>
      </c>
      <c r="J5336" s="7">
        <v>231200</v>
      </c>
      <c r="K5336">
        <f t="shared" si="83"/>
        <v>59</v>
      </c>
      <c r="L5336" s="8" t="str" cm="1">
        <f t="array" ref="L5336">_xlfn.IFS(
 AND(K5336&gt;=89,K5336&lt;=92),"3개월",
 AND(K5336&gt;=58,K5336&lt;=62),"2개월",
 AND(K5336&gt;=28,K5336&lt;=32),"1개월",
 AND(K5336=0),"당월",
 TRUE,"그외"
)</f>
        <v>2개월</v>
      </c>
    </row>
    <row r="5337" spans="1:12" x14ac:dyDescent="0.3">
      <c r="A5337" s="5">
        <v>45717</v>
      </c>
      <c r="B5337" s="6" t="s">
        <v>12</v>
      </c>
      <c r="C5337" s="6" t="s">
        <v>17</v>
      </c>
      <c r="D5337" s="5">
        <v>45658</v>
      </c>
      <c r="E5337" s="6" t="s">
        <v>15</v>
      </c>
      <c r="F5337" s="7">
        <v>2499</v>
      </c>
      <c r="G5337" s="7">
        <v>49067.692276910762</v>
      </c>
      <c r="H5337" s="7">
        <v>122620163</v>
      </c>
      <c r="I5337" s="7">
        <v>21991200</v>
      </c>
      <c r="J5337" s="7">
        <v>1999200</v>
      </c>
      <c r="K5337">
        <f t="shared" si="83"/>
        <v>59</v>
      </c>
      <c r="L5337" s="8" t="str" cm="1">
        <f t="array" ref="L5337">_xlfn.IFS(
 AND(K5337&gt;=89,K5337&lt;=92),"3개월",
 AND(K5337&gt;=58,K5337&lt;=62),"2개월",
 AND(K5337&gt;=28,K5337&lt;=32),"1개월",
 AND(K5337=0),"당월",
 TRUE,"그외"
)</f>
        <v>2개월</v>
      </c>
    </row>
    <row r="5338" spans="1:12" x14ac:dyDescent="0.3">
      <c r="A5338" s="5">
        <v>45717</v>
      </c>
      <c r="B5338" s="6" t="s">
        <v>12</v>
      </c>
      <c r="C5338" s="6" t="s">
        <v>17</v>
      </c>
      <c r="D5338" s="5">
        <v>45689</v>
      </c>
      <c r="E5338" s="6" t="s">
        <v>14</v>
      </c>
      <c r="F5338" s="7">
        <v>663</v>
      </c>
      <c r="G5338" s="7">
        <v>56138.355957767722</v>
      </c>
      <c r="H5338" s="7">
        <v>37219730</v>
      </c>
      <c r="I5338" s="7">
        <v>5834400</v>
      </c>
      <c r="J5338" s="7">
        <v>530400</v>
      </c>
      <c r="K5338">
        <f t="shared" si="83"/>
        <v>28</v>
      </c>
      <c r="L5338" s="8" t="str" cm="1">
        <f t="array" ref="L5338">_xlfn.IFS(
 AND(K5338&gt;=89,K5338&lt;=92),"3개월",
 AND(K5338&gt;=58,K5338&lt;=62),"2개월",
 AND(K5338&gt;=28,K5338&lt;=32),"1개월",
 AND(K5338=0),"당월",
 TRUE,"그외"
)</f>
        <v>1개월</v>
      </c>
    </row>
    <row r="5339" spans="1:12" x14ac:dyDescent="0.3">
      <c r="A5339" s="5">
        <v>45717</v>
      </c>
      <c r="B5339" s="6" t="s">
        <v>12</v>
      </c>
      <c r="C5339" s="6" t="s">
        <v>17</v>
      </c>
      <c r="D5339" s="5">
        <v>45689</v>
      </c>
      <c r="E5339" s="6" t="s">
        <v>15</v>
      </c>
      <c r="F5339" s="7">
        <v>13765</v>
      </c>
      <c r="G5339" s="7">
        <v>34839.084271703599</v>
      </c>
      <c r="H5339" s="7">
        <v>479559995</v>
      </c>
      <c r="I5339" s="7">
        <v>121013200</v>
      </c>
      <c r="J5339" s="7">
        <v>11001200</v>
      </c>
      <c r="K5339">
        <f t="shared" si="83"/>
        <v>28</v>
      </c>
      <c r="L5339" s="8" t="str" cm="1">
        <f t="array" ref="L5339">_xlfn.IFS(
 AND(K5339&gt;=89,K5339&lt;=92),"3개월",
 AND(K5339&gt;=58,K5339&lt;=62),"2개월",
 AND(K5339&gt;=28,K5339&lt;=32),"1개월",
 AND(K5339=0),"당월",
 TRUE,"그외"
)</f>
        <v>1개월</v>
      </c>
    </row>
    <row r="5340" spans="1:12" x14ac:dyDescent="0.3">
      <c r="A5340" s="5">
        <v>45717</v>
      </c>
      <c r="B5340" s="6" t="s">
        <v>12</v>
      </c>
      <c r="C5340" s="6" t="s">
        <v>17</v>
      </c>
      <c r="D5340" s="5">
        <v>45717</v>
      </c>
      <c r="E5340" s="6" t="s">
        <v>14</v>
      </c>
      <c r="F5340" s="7">
        <v>137</v>
      </c>
      <c r="G5340" s="7">
        <v>66274.496350364963</v>
      </c>
      <c r="H5340" s="7">
        <v>9079606</v>
      </c>
      <c r="I5340" s="7">
        <v>1416800</v>
      </c>
      <c r="J5340" s="7">
        <v>128800</v>
      </c>
      <c r="K5340">
        <f t="shared" si="83"/>
        <v>0</v>
      </c>
      <c r="L5340" s="8" t="str" cm="1">
        <f t="array" ref="L5340">_xlfn.IFS(
 AND(K5340&gt;=89,K5340&lt;=92),"3개월",
 AND(K5340&gt;=58,K5340&lt;=62),"2개월",
 AND(K5340&gt;=28,K5340&lt;=32),"1개월",
 AND(K5340=0),"당월",
 TRUE,"그외"
)</f>
        <v>당월</v>
      </c>
    </row>
    <row r="5341" spans="1:12" x14ac:dyDescent="0.3">
      <c r="A5341" s="5">
        <v>45717</v>
      </c>
      <c r="B5341" s="6" t="s">
        <v>12</v>
      </c>
      <c r="C5341" s="6" t="s">
        <v>17</v>
      </c>
      <c r="D5341" s="5">
        <v>45717</v>
      </c>
      <c r="E5341" s="6" t="s">
        <v>15</v>
      </c>
      <c r="F5341" s="7">
        <v>20837</v>
      </c>
      <c r="G5341" s="7">
        <v>29460.020348418679</v>
      </c>
      <c r="H5341" s="7">
        <v>613858444</v>
      </c>
      <c r="I5341" s="7">
        <v>227956600</v>
      </c>
      <c r="J5341" s="7">
        <v>20723327</v>
      </c>
      <c r="K5341">
        <f t="shared" si="83"/>
        <v>0</v>
      </c>
      <c r="L5341" s="8" t="str" cm="1">
        <f t="array" ref="L5341">_xlfn.IFS(
 AND(K5341&gt;=89,K5341&lt;=92),"3개월",
 AND(K5341&gt;=58,K5341&lt;=62),"2개월",
 AND(K5341&gt;=28,K5341&lt;=32),"1개월",
 AND(K5341=0),"당월",
 TRUE,"그외"
)</f>
        <v>당월</v>
      </c>
    </row>
    <row r="5342" spans="1:12" x14ac:dyDescent="0.3">
      <c r="A5342" s="5">
        <v>45717</v>
      </c>
      <c r="B5342" s="6" t="s">
        <v>12</v>
      </c>
      <c r="C5342" s="6" t="s">
        <v>18</v>
      </c>
      <c r="D5342" s="5">
        <v>45505</v>
      </c>
      <c r="E5342" s="6" t="s">
        <v>15</v>
      </c>
      <c r="F5342" s="7">
        <v>115</v>
      </c>
      <c r="G5342" s="7">
        <v>81419.426086956519</v>
      </c>
      <c r="H5342" s="7">
        <v>9363234</v>
      </c>
      <c r="I5342" s="7">
        <v>1138500</v>
      </c>
      <c r="J5342" s="7">
        <v>103500</v>
      </c>
      <c r="K5342">
        <f t="shared" si="83"/>
        <v>212</v>
      </c>
      <c r="L5342" s="8" t="str" cm="1">
        <f t="array" ref="L5342">_xlfn.IFS(
 AND(K5342&gt;=89,K5342&lt;=92),"3개월",
 AND(K5342&gt;=58,K5342&lt;=62),"2개월",
 AND(K5342&gt;=28,K5342&lt;=32),"1개월",
 AND(K5342=0),"당월",
 TRUE,"그외"
)</f>
        <v>그외</v>
      </c>
    </row>
    <row r="5343" spans="1:12" x14ac:dyDescent="0.3">
      <c r="A5343" s="5">
        <v>45717</v>
      </c>
      <c r="B5343" s="6" t="s">
        <v>12</v>
      </c>
      <c r="C5343" s="6" t="s">
        <v>18</v>
      </c>
      <c r="D5343" s="5">
        <v>45536</v>
      </c>
      <c r="E5343" s="6" t="s">
        <v>15</v>
      </c>
      <c r="F5343" s="7">
        <v>132</v>
      </c>
      <c r="G5343" s="7">
        <v>91184.25</v>
      </c>
      <c r="H5343" s="7">
        <v>12036321</v>
      </c>
      <c r="I5343" s="7">
        <v>1306800</v>
      </c>
      <c r="J5343" s="7">
        <v>118800</v>
      </c>
      <c r="K5343">
        <f t="shared" si="83"/>
        <v>181</v>
      </c>
      <c r="L5343" s="8" t="str" cm="1">
        <f t="array" ref="L5343">_xlfn.IFS(
 AND(K5343&gt;=89,K5343&lt;=92),"3개월",
 AND(K5343&gt;=58,K5343&lt;=62),"2개월",
 AND(K5343&gt;=28,K5343&lt;=32),"1개월",
 AND(K5343=0),"당월",
 TRUE,"그외"
)</f>
        <v>그외</v>
      </c>
    </row>
    <row r="5344" spans="1:12" x14ac:dyDescent="0.3">
      <c r="A5344" s="5">
        <v>45717</v>
      </c>
      <c r="B5344" s="6" t="s">
        <v>12</v>
      </c>
      <c r="C5344" s="6" t="s">
        <v>18</v>
      </c>
      <c r="D5344" s="5">
        <v>45566</v>
      </c>
      <c r="E5344" s="6" t="s">
        <v>14</v>
      </c>
      <c r="F5344" s="7">
        <v>4</v>
      </c>
      <c r="G5344" s="7">
        <v>95273</v>
      </c>
      <c r="H5344" s="7">
        <v>381092</v>
      </c>
      <c r="I5344" s="7">
        <v>35200</v>
      </c>
      <c r="J5344" s="7">
        <v>3200</v>
      </c>
      <c r="K5344">
        <f t="shared" si="83"/>
        <v>151</v>
      </c>
      <c r="L5344" s="8" t="str" cm="1">
        <f t="array" ref="L5344">_xlfn.IFS(
 AND(K5344&gt;=89,K5344&lt;=92),"3개월",
 AND(K5344&gt;=58,K5344&lt;=62),"2개월",
 AND(K5344&gt;=28,K5344&lt;=32),"1개월",
 AND(K5344=0),"당월",
 TRUE,"그외"
)</f>
        <v>그외</v>
      </c>
    </row>
    <row r="5345" spans="1:12" x14ac:dyDescent="0.3">
      <c r="A5345" s="5">
        <v>45717</v>
      </c>
      <c r="B5345" s="6" t="s">
        <v>12</v>
      </c>
      <c r="C5345" s="6" t="s">
        <v>18</v>
      </c>
      <c r="D5345" s="5">
        <v>45566</v>
      </c>
      <c r="E5345" s="6" t="s">
        <v>15</v>
      </c>
      <c r="F5345" s="7">
        <v>288</v>
      </c>
      <c r="G5345" s="7">
        <v>86314.826388888891</v>
      </c>
      <c r="H5345" s="7">
        <v>24858670</v>
      </c>
      <c r="I5345" s="7">
        <v>2534400</v>
      </c>
      <c r="J5345" s="7">
        <v>230400</v>
      </c>
      <c r="K5345">
        <f t="shared" si="83"/>
        <v>151</v>
      </c>
      <c r="L5345" s="8" t="str" cm="1">
        <f t="array" ref="L5345">_xlfn.IFS(
 AND(K5345&gt;=89,K5345&lt;=92),"3개월",
 AND(K5345&gt;=58,K5345&lt;=62),"2개월",
 AND(K5345&gt;=28,K5345&lt;=32),"1개월",
 AND(K5345=0),"당월",
 TRUE,"그외"
)</f>
        <v>그외</v>
      </c>
    </row>
    <row r="5346" spans="1:12" x14ac:dyDescent="0.3">
      <c r="A5346" s="5">
        <v>45717</v>
      </c>
      <c r="B5346" s="6" t="s">
        <v>12</v>
      </c>
      <c r="C5346" s="6" t="s">
        <v>18</v>
      </c>
      <c r="D5346" s="5">
        <v>45597</v>
      </c>
      <c r="E5346" s="6" t="s">
        <v>14</v>
      </c>
      <c r="F5346" s="7">
        <v>26</v>
      </c>
      <c r="G5346" s="7">
        <v>94273</v>
      </c>
      <c r="H5346" s="7">
        <v>2451098</v>
      </c>
      <c r="I5346" s="7">
        <v>200200</v>
      </c>
      <c r="J5346" s="7">
        <v>18200</v>
      </c>
      <c r="K5346">
        <f t="shared" si="83"/>
        <v>120</v>
      </c>
      <c r="L5346" s="8" t="str" cm="1">
        <f t="array" ref="L5346">_xlfn.IFS(
 AND(K5346&gt;=89,K5346&lt;=92),"3개월",
 AND(K5346&gt;=58,K5346&lt;=62),"2개월",
 AND(K5346&gt;=28,K5346&lt;=32),"1개월",
 AND(K5346=0),"당월",
 TRUE,"그외"
)</f>
        <v>그외</v>
      </c>
    </row>
    <row r="5347" spans="1:12" x14ac:dyDescent="0.3">
      <c r="A5347" s="5">
        <v>45717</v>
      </c>
      <c r="B5347" s="6" t="s">
        <v>12</v>
      </c>
      <c r="C5347" s="6" t="s">
        <v>18</v>
      </c>
      <c r="D5347" s="5">
        <v>45597</v>
      </c>
      <c r="E5347" s="6" t="s">
        <v>15</v>
      </c>
      <c r="F5347" s="7">
        <v>692</v>
      </c>
      <c r="G5347" s="7">
        <v>75867.232658959532</v>
      </c>
      <c r="H5347" s="7">
        <v>52500125</v>
      </c>
      <c r="I5347" s="7">
        <v>5328400</v>
      </c>
      <c r="J5347" s="7">
        <v>484400</v>
      </c>
      <c r="K5347">
        <f t="shared" si="83"/>
        <v>120</v>
      </c>
      <c r="L5347" s="8" t="str" cm="1">
        <f t="array" ref="L5347">_xlfn.IFS(
 AND(K5347&gt;=89,K5347&lt;=92),"3개월",
 AND(K5347&gt;=58,K5347&lt;=62),"2개월",
 AND(K5347&gt;=28,K5347&lt;=32),"1개월",
 AND(K5347=0),"당월",
 TRUE,"그외"
)</f>
        <v>그외</v>
      </c>
    </row>
    <row r="5348" spans="1:12" x14ac:dyDescent="0.3">
      <c r="A5348" s="5">
        <v>45717</v>
      </c>
      <c r="B5348" s="6" t="s">
        <v>12</v>
      </c>
      <c r="C5348" s="6" t="s">
        <v>18</v>
      </c>
      <c r="D5348" s="5">
        <v>45627</v>
      </c>
      <c r="E5348" s="6" t="s">
        <v>14</v>
      </c>
      <c r="F5348" s="7">
        <v>62</v>
      </c>
      <c r="G5348" s="7">
        <v>83308.290322580651</v>
      </c>
      <c r="H5348" s="7">
        <v>5165114</v>
      </c>
      <c r="I5348" s="7">
        <v>545600</v>
      </c>
      <c r="J5348" s="7">
        <v>49600</v>
      </c>
      <c r="K5348">
        <f t="shared" si="83"/>
        <v>90</v>
      </c>
      <c r="L5348" s="8" t="str" cm="1">
        <f t="array" ref="L5348">_xlfn.IFS(
 AND(K5348&gt;=89,K5348&lt;=92),"3개월",
 AND(K5348&gt;=58,K5348&lt;=62),"2개월",
 AND(K5348&gt;=28,K5348&lt;=32),"1개월",
 AND(K5348=0),"당월",
 TRUE,"그외"
)</f>
        <v>3개월</v>
      </c>
    </row>
    <row r="5349" spans="1:12" x14ac:dyDescent="0.3">
      <c r="A5349" s="5">
        <v>45717</v>
      </c>
      <c r="B5349" s="6" t="s">
        <v>12</v>
      </c>
      <c r="C5349" s="6" t="s">
        <v>18</v>
      </c>
      <c r="D5349" s="5">
        <v>45627</v>
      </c>
      <c r="E5349" s="6" t="s">
        <v>15</v>
      </c>
      <c r="F5349" s="7">
        <v>1615</v>
      </c>
      <c r="G5349" s="7">
        <v>69425.766563467492</v>
      </c>
      <c r="H5349" s="7">
        <v>112122613</v>
      </c>
      <c r="I5349" s="7">
        <v>14214200</v>
      </c>
      <c r="J5349" s="7">
        <v>1292200</v>
      </c>
      <c r="K5349">
        <f t="shared" si="83"/>
        <v>90</v>
      </c>
      <c r="L5349" s="8" t="str" cm="1">
        <f t="array" ref="L5349">_xlfn.IFS(
 AND(K5349&gt;=89,K5349&lt;=92),"3개월",
 AND(K5349&gt;=58,K5349&lt;=62),"2개월",
 AND(K5349&gt;=28,K5349&lt;=32),"1개월",
 AND(K5349=0),"당월",
 TRUE,"그외"
)</f>
        <v>3개월</v>
      </c>
    </row>
    <row r="5350" spans="1:12" x14ac:dyDescent="0.3">
      <c r="A5350" s="5">
        <v>45717</v>
      </c>
      <c r="B5350" s="6" t="s">
        <v>12</v>
      </c>
      <c r="C5350" s="6" t="s">
        <v>18</v>
      </c>
      <c r="D5350" s="5">
        <v>45658</v>
      </c>
      <c r="E5350" s="6" t="s">
        <v>14</v>
      </c>
      <c r="F5350" s="7">
        <v>32</v>
      </c>
      <c r="G5350" s="7">
        <v>95273</v>
      </c>
      <c r="H5350" s="7">
        <v>3048736</v>
      </c>
      <c r="I5350" s="7">
        <v>281600</v>
      </c>
      <c r="J5350" s="7">
        <v>25600</v>
      </c>
      <c r="K5350">
        <f t="shared" si="83"/>
        <v>59</v>
      </c>
      <c r="L5350" s="8" t="str" cm="1">
        <f t="array" ref="L5350">_xlfn.IFS(
 AND(K5350&gt;=89,K5350&lt;=92),"3개월",
 AND(K5350&gt;=58,K5350&lt;=62),"2개월",
 AND(K5350&gt;=28,K5350&lt;=32),"1개월",
 AND(K5350=0),"당월",
 TRUE,"그외"
)</f>
        <v>2개월</v>
      </c>
    </row>
    <row r="5351" spans="1:12" x14ac:dyDescent="0.3">
      <c r="A5351" s="5">
        <v>45717</v>
      </c>
      <c r="B5351" s="6" t="s">
        <v>12</v>
      </c>
      <c r="C5351" s="6" t="s">
        <v>18</v>
      </c>
      <c r="D5351" s="5">
        <v>45658</v>
      </c>
      <c r="E5351" s="6" t="s">
        <v>15</v>
      </c>
      <c r="F5351" s="7">
        <v>3643</v>
      </c>
      <c r="G5351" s="7">
        <v>66740.168542410102</v>
      </c>
      <c r="H5351" s="7">
        <v>243134434</v>
      </c>
      <c r="I5351" s="7">
        <v>31902200</v>
      </c>
      <c r="J5351" s="7">
        <v>2900200</v>
      </c>
      <c r="K5351">
        <f t="shared" si="83"/>
        <v>59</v>
      </c>
      <c r="L5351" s="8" t="str" cm="1">
        <f t="array" ref="L5351">_xlfn.IFS(
 AND(K5351&gt;=89,K5351&lt;=92),"3개월",
 AND(K5351&gt;=58,K5351&lt;=62),"2개월",
 AND(K5351&gt;=28,K5351&lt;=32),"1개월",
 AND(K5351=0),"당월",
 TRUE,"그외"
)</f>
        <v>2개월</v>
      </c>
    </row>
    <row r="5352" spans="1:12" x14ac:dyDescent="0.3">
      <c r="A5352" s="5">
        <v>45717</v>
      </c>
      <c r="B5352" s="6" t="s">
        <v>12</v>
      </c>
      <c r="C5352" s="6" t="s">
        <v>18</v>
      </c>
      <c r="D5352" s="5">
        <v>45689</v>
      </c>
      <c r="E5352" s="6" t="s">
        <v>14</v>
      </c>
      <c r="F5352" s="7">
        <v>816</v>
      </c>
      <c r="G5352" s="7">
        <v>65584.740196078434</v>
      </c>
      <c r="H5352" s="7">
        <v>53517148</v>
      </c>
      <c r="I5352" s="7">
        <v>7178600</v>
      </c>
      <c r="J5352" s="7">
        <v>652600</v>
      </c>
      <c r="K5352">
        <f t="shared" si="83"/>
        <v>28</v>
      </c>
      <c r="L5352" s="8" t="str" cm="1">
        <f t="array" ref="L5352">_xlfn.IFS(
 AND(K5352&gt;=89,K5352&lt;=92),"3개월",
 AND(K5352&gt;=58,K5352&lt;=62),"2개월",
 AND(K5352&gt;=28,K5352&lt;=32),"1개월",
 AND(K5352=0),"당월",
 TRUE,"그외"
)</f>
        <v>1개월</v>
      </c>
    </row>
    <row r="5353" spans="1:12" x14ac:dyDescent="0.3">
      <c r="A5353" s="5">
        <v>45717</v>
      </c>
      <c r="B5353" s="6" t="s">
        <v>12</v>
      </c>
      <c r="C5353" s="6" t="s">
        <v>18</v>
      </c>
      <c r="D5353" s="5">
        <v>45689</v>
      </c>
      <c r="E5353" s="6" t="s">
        <v>15</v>
      </c>
      <c r="F5353" s="7">
        <v>12844</v>
      </c>
      <c r="G5353" s="7">
        <v>49404.386561818748</v>
      </c>
      <c r="H5353" s="7">
        <v>634549941</v>
      </c>
      <c r="I5353" s="7">
        <v>112704900</v>
      </c>
      <c r="J5353" s="7">
        <v>10245900</v>
      </c>
      <c r="K5353">
        <f t="shared" si="83"/>
        <v>28</v>
      </c>
      <c r="L5353" s="8" t="str" cm="1">
        <f t="array" ref="L5353">_xlfn.IFS(
 AND(K5353&gt;=89,K5353&lt;=92),"3개월",
 AND(K5353&gt;=58,K5353&lt;=62),"2개월",
 AND(K5353&gt;=28,K5353&lt;=32),"1개월",
 AND(K5353=0),"당월",
 TRUE,"그외"
)</f>
        <v>1개월</v>
      </c>
    </row>
    <row r="5354" spans="1:12" x14ac:dyDescent="0.3">
      <c r="A5354" s="5">
        <v>45717</v>
      </c>
      <c r="B5354" s="6" t="s">
        <v>12</v>
      </c>
      <c r="C5354" s="6" t="s">
        <v>18</v>
      </c>
      <c r="D5354" s="5">
        <v>45717</v>
      </c>
      <c r="E5354" s="6" t="s">
        <v>14</v>
      </c>
      <c r="F5354" s="7">
        <v>84</v>
      </c>
      <c r="G5354" s="7">
        <v>76134.357142857145</v>
      </c>
      <c r="H5354" s="7">
        <v>6395286</v>
      </c>
      <c r="I5354" s="7">
        <v>910800</v>
      </c>
      <c r="J5354" s="7">
        <v>82800</v>
      </c>
      <c r="K5354">
        <f t="shared" si="83"/>
        <v>0</v>
      </c>
      <c r="L5354" s="8" t="str" cm="1">
        <f t="array" ref="L5354">_xlfn.IFS(
 AND(K5354&gt;=89,K5354&lt;=92),"3개월",
 AND(K5354&gt;=58,K5354&lt;=62),"2개월",
 AND(K5354&gt;=28,K5354&lt;=32),"1개월",
 AND(K5354=0),"당월",
 TRUE,"그외"
)</f>
        <v>당월</v>
      </c>
    </row>
    <row r="5355" spans="1:12" x14ac:dyDescent="0.3">
      <c r="A5355" s="5">
        <v>45717</v>
      </c>
      <c r="B5355" s="6" t="s">
        <v>12</v>
      </c>
      <c r="C5355" s="6" t="s">
        <v>18</v>
      </c>
      <c r="D5355" s="5">
        <v>45717</v>
      </c>
      <c r="E5355" s="6" t="s">
        <v>15</v>
      </c>
      <c r="F5355" s="7">
        <v>13957</v>
      </c>
      <c r="G5355" s="7">
        <v>44327.521530414837</v>
      </c>
      <c r="H5355" s="7">
        <v>618679218</v>
      </c>
      <c r="I5355" s="7">
        <v>152285100</v>
      </c>
      <c r="J5355" s="7">
        <v>13844100</v>
      </c>
      <c r="K5355">
        <f t="shared" si="83"/>
        <v>0</v>
      </c>
      <c r="L5355" s="8" t="str" cm="1">
        <f t="array" ref="L5355">_xlfn.IFS(
 AND(K5355&gt;=89,K5355&lt;=92),"3개월",
 AND(K5355&gt;=58,K5355&lt;=62),"2개월",
 AND(K5355&gt;=28,K5355&lt;=32),"1개월",
 AND(K5355=0),"당월",
 TRUE,"그외"
)</f>
        <v>당월</v>
      </c>
    </row>
    <row r="5356" spans="1:12" x14ac:dyDescent="0.3">
      <c r="A5356" s="5">
        <v>45717</v>
      </c>
      <c r="B5356" s="6" t="s">
        <v>12</v>
      </c>
      <c r="C5356" s="6" t="s">
        <v>19</v>
      </c>
      <c r="D5356" s="5">
        <v>45536</v>
      </c>
      <c r="E5356" s="6" t="s">
        <v>15</v>
      </c>
      <c r="F5356" s="7">
        <v>3</v>
      </c>
      <c r="G5356" s="7">
        <v>68091</v>
      </c>
      <c r="H5356" s="7">
        <v>204273</v>
      </c>
      <c r="I5356" s="7">
        <v>29700</v>
      </c>
      <c r="J5356" s="7">
        <v>2700</v>
      </c>
      <c r="K5356">
        <f t="shared" si="83"/>
        <v>181</v>
      </c>
      <c r="L5356" s="8" t="str" cm="1">
        <f t="array" ref="L5356">_xlfn.IFS(
 AND(K5356&gt;=89,K5356&lt;=92),"3개월",
 AND(K5356&gt;=58,K5356&lt;=62),"2개월",
 AND(K5356&gt;=28,K5356&lt;=32),"1개월",
 AND(K5356=0),"당월",
 TRUE,"그외"
)</f>
        <v>그외</v>
      </c>
    </row>
    <row r="5357" spans="1:12" x14ac:dyDescent="0.3">
      <c r="A5357" s="5">
        <v>45717</v>
      </c>
      <c r="B5357" s="6" t="s">
        <v>12</v>
      </c>
      <c r="C5357" s="6" t="s">
        <v>19</v>
      </c>
      <c r="D5357" s="5">
        <v>45566</v>
      </c>
      <c r="E5357" s="6" t="s">
        <v>15</v>
      </c>
      <c r="F5357" s="7">
        <v>2</v>
      </c>
      <c r="G5357" s="7">
        <v>67091</v>
      </c>
      <c r="H5357" s="7">
        <v>134182</v>
      </c>
      <c r="I5357" s="7">
        <v>17600</v>
      </c>
      <c r="J5357" s="7">
        <v>1600</v>
      </c>
      <c r="K5357">
        <f t="shared" si="83"/>
        <v>151</v>
      </c>
      <c r="L5357" s="8" t="str" cm="1">
        <f t="array" ref="L5357">_xlfn.IFS(
 AND(K5357&gt;=89,K5357&lt;=92),"3개월",
 AND(K5357&gt;=58,K5357&lt;=62),"2개월",
 AND(K5357&gt;=28,K5357&lt;=32),"1개월",
 AND(K5357=0),"당월",
 TRUE,"그외"
)</f>
        <v>그외</v>
      </c>
    </row>
    <row r="5358" spans="1:12" x14ac:dyDescent="0.3">
      <c r="A5358" s="5">
        <v>45717</v>
      </c>
      <c r="B5358" s="6" t="s">
        <v>12</v>
      </c>
      <c r="C5358" s="6" t="s">
        <v>19</v>
      </c>
      <c r="D5358" s="5">
        <v>45597</v>
      </c>
      <c r="E5358" s="6" t="s">
        <v>15</v>
      </c>
      <c r="F5358" s="7">
        <v>9</v>
      </c>
      <c r="G5358" s="7">
        <v>80636.777777777781</v>
      </c>
      <c r="H5358" s="7">
        <v>725731</v>
      </c>
      <c r="I5358" s="7">
        <v>69300</v>
      </c>
      <c r="J5358" s="7">
        <v>6300</v>
      </c>
      <c r="K5358">
        <f t="shared" si="83"/>
        <v>120</v>
      </c>
      <c r="L5358" s="8" t="str" cm="1">
        <f t="array" ref="L5358">_xlfn.IFS(
 AND(K5358&gt;=89,K5358&lt;=92),"3개월",
 AND(K5358&gt;=58,K5358&lt;=62),"2개월",
 AND(K5358&gt;=28,K5358&lt;=32),"1개월",
 AND(K5358=0),"당월",
 TRUE,"그외"
)</f>
        <v>그외</v>
      </c>
    </row>
    <row r="5359" spans="1:12" x14ac:dyDescent="0.3">
      <c r="A5359" s="5">
        <v>45717</v>
      </c>
      <c r="B5359" s="6" t="s">
        <v>12</v>
      </c>
      <c r="C5359" s="6" t="s">
        <v>19</v>
      </c>
      <c r="D5359" s="5">
        <v>45627</v>
      </c>
      <c r="E5359" s="6" t="s">
        <v>15</v>
      </c>
      <c r="F5359" s="7">
        <v>16</v>
      </c>
      <c r="G5359" s="7">
        <v>46023</v>
      </c>
      <c r="H5359" s="7">
        <v>736368</v>
      </c>
      <c r="I5359" s="7">
        <v>88000</v>
      </c>
      <c r="J5359" s="7">
        <v>8000</v>
      </c>
      <c r="K5359">
        <f t="shared" si="83"/>
        <v>90</v>
      </c>
      <c r="L5359" s="8" t="str" cm="1">
        <f t="array" ref="L5359">_xlfn.IFS(
 AND(K5359&gt;=89,K5359&lt;=92),"3개월",
 AND(K5359&gt;=58,K5359&lt;=62),"2개월",
 AND(K5359&gt;=28,K5359&lt;=32),"1개월",
 AND(K5359=0),"당월",
 TRUE,"그외"
)</f>
        <v>3개월</v>
      </c>
    </row>
    <row r="5360" spans="1:12" x14ac:dyDescent="0.3">
      <c r="A5360" s="5">
        <v>45717</v>
      </c>
      <c r="B5360" s="6" t="s">
        <v>12</v>
      </c>
      <c r="C5360" s="6" t="s">
        <v>19</v>
      </c>
      <c r="D5360" s="5">
        <v>45658</v>
      </c>
      <c r="E5360" s="6" t="s">
        <v>15</v>
      </c>
      <c r="F5360" s="7">
        <v>28</v>
      </c>
      <c r="G5360" s="7">
        <v>63146.535714285717</v>
      </c>
      <c r="H5360" s="7">
        <v>1768103</v>
      </c>
      <c r="I5360" s="7">
        <v>184800</v>
      </c>
      <c r="J5360" s="7">
        <v>16800</v>
      </c>
      <c r="K5360">
        <f t="shared" si="83"/>
        <v>59</v>
      </c>
      <c r="L5360" s="8" t="str" cm="1">
        <f t="array" ref="L5360">_xlfn.IFS(
 AND(K5360&gt;=89,K5360&lt;=92),"3개월",
 AND(K5360&gt;=58,K5360&lt;=62),"2개월",
 AND(K5360&gt;=28,K5360&lt;=32),"1개월",
 AND(K5360=0),"당월",
 TRUE,"그외"
)</f>
        <v>2개월</v>
      </c>
    </row>
    <row r="5361" spans="1:12" x14ac:dyDescent="0.3">
      <c r="A5361" s="5">
        <v>45717</v>
      </c>
      <c r="B5361" s="6" t="s">
        <v>12</v>
      </c>
      <c r="C5361" s="6" t="s">
        <v>19</v>
      </c>
      <c r="D5361" s="5">
        <v>45689</v>
      </c>
      <c r="E5361" s="6" t="s">
        <v>15</v>
      </c>
      <c r="F5361" s="7">
        <v>7152</v>
      </c>
      <c r="G5361" s="7">
        <v>36063.588227069347</v>
      </c>
      <c r="H5361" s="7">
        <v>257926783</v>
      </c>
      <c r="I5361" s="7">
        <v>61476800</v>
      </c>
      <c r="J5361" s="7">
        <v>5588800</v>
      </c>
      <c r="K5361">
        <f t="shared" si="83"/>
        <v>28</v>
      </c>
      <c r="L5361" s="8" t="str" cm="1">
        <f t="array" ref="L5361">_xlfn.IFS(
 AND(K5361&gt;=89,K5361&lt;=92),"3개월",
 AND(K5361&gt;=58,K5361&lt;=62),"2개월",
 AND(K5361&gt;=28,K5361&lt;=32),"1개월",
 AND(K5361=0),"당월",
 TRUE,"그외"
)</f>
        <v>1개월</v>
      </c>
    </row>
    <row r="5362" spans="1:12" x14ac:dyDescent="0.3">
      <c r="A5362" s="5">
        <v>45717</v>
      </c>
      <c r="B5362" s="6" t="s">
        <v>12</v>
      </c>
      <c r="C5362" s="6" t="s">
        <v>19</v>
      </c>
      <c r="D5362" s="5">
        <v>45717</v>
      </c>
      <c r="E5362" s="6" t="s">
        <v>15</v>
      </c>
      <c r="F5362" s="7">
        <v>35383</v>
      </c>
      <c r="G5362" s="7">
        <v>36719.579091654181</v>
      </c>
      <c r="H5362" s="7">
        <v>1299248867</v>
      </c>
      <c r="I5362" s="7">
        <v>381415100</v>
      </c>
      <c r="J5362" s="7">
        <v>34674100</v>
      </c>
      <c r="K5362">
        <f t="shared" si="83"/>
        <v>0</v>
      </c>
      <c r="L5362" s="8" t="str" cm="1">
        <f t="array" ref="L5362">_xlfn.IFS(
 AND(K5362&gt;=89,K5362&lt;=92),"3개월",
 AND(K5362&gt;=58,K5362&lt;=62),"2개월",
 AND(K5362&gt;=28,K5362&lt;=32),"1개월",
 AND(K5362=0),"당월",
 TRUE,"그외"
)</f>
        <v>당월</v>
      </c>
    </row>
    <row r="5363" spans="1:12" x14ac:dyDescent="0.3">
      <c r="A5363" s="5">
        <v>45717</v>
      </c>
      <c r="B5363" s="6" t="s">
        <v>20</v>
      </c>
      <c r="C5363" s="6" t="s">
        <v>22</v>
      </c>
      <c r="D5363" s="5">
        <v>45505</v>
      </c>
      <c r="E5363" s="6" t="s">
        <v>15</v>
      </c>
      <c r="F5363" s="7">
        <v>192</v>
      </c>
      <c r="G5363" s="7">
        <v>99087.932916666672</v>
      </c>
      <c r="H5363" s="7">
        <v>19024883.120000001</v>
      </c>
      <c r="I5363" s="7">
        <v>3231375.12</v>
      </c>
      <c r="J5363" s="7">
        <v>0</v>
      </c>
      <c r="K5363">
        <f t="shared" si="83"/>
        <v>212</v>
      </c>
      <c r="L5363" s="8" t="str" cm="1">
        <f t="array" ref="L5363">_xlfn.IFS(
 AND(K5363&gt;=89,K5363&lt;=92),"3개월",
 AND(K5363&gt;=58,K5363&lt;=62),"2개월",
 AND(K5363&gt;=28,K5363&lt;=32),"1개월",
 AND(K5363=0),"당월",
 TRUE,"그외"
)</f>
        <v>그외</v>
      </c>
    </row>
    <row r="5364" spans="1:12" x14ac:dyDescent="0.3">
      <c r="A5364" s="5">
        <v>45717</v>
      </c>
      <c r="B5364" s="6" t="s">
        <v>20</v>
      </c>
      <c r="C5364" s="6" t="s">
        <v>22</v>
      </c>
      <c r="D5364" s="5">
        <v>45536</v>
      </c>
      <c r="E5364" s="6" t="s">
        <v>15</v>
      </c>
      <c r="F5364" s="7">
        <v>326</v>
      </c>
      <c r="G5364" s="7">
        <v>118481.88036809819</v>
      </c>
      <c r="H5364" s="7">
        <v>38625093</v>
      </c>
      <c r="I5364" s="7">
        <v>6921463</v>
      </c>
      <c r="J5364" s="7">
        <v>0</v>
      </c>
      <c r="K5364">
        <f t="shared" si="83"/>
        <v>181</v>
      </c>
      <c r="L5364" s="8" t="str" cm="1">
        <f t="array" ref="L5364">_xlfn.IFS(
 AND(K5364&gt;=89,K5364&lt;=92),"3개월",
 AND(K5364&gt;=58,K5364&lt;=62),"2개월",
 AND(K5364&gt;=28,K5364&lt;=32),"1개월",
 AND(K5364=0),"당월",
 TRUE,"그외"
)</f>
        <v>그외</v>
      </c>
    </row>
    <row r="5365" spans="1:12" x14ac:dyDescent="0.3">
      <c r="A5365" s="5">
        <v>45717</v>
      </c>
      <c r="B5365" s="6" t="s">
        <v>20</v>
      </c>
      <c r="C5365" s="6" t="s">
        <v>22</v>
      </c>
      <c r="D5365" s="5">
        <v>45566</v>
      </c>
      <c r="E5365" s="6" t="s">
        <v>15</v>
      </c>
      <c r="F5365" s="7">
        <v>1164</v>
      </c>
      <c r="G5365" s="7">
        <v>122462.425257732</v>
      </c>
      <c r="H5365" s="7">
        <v>142546263</v>
      </c>
      <c r="I5365" s="7">
        <v>18132905</v>
      </c>
      <c r="J5365" s="7">
        <v>0</v>
      </c>
      <c r="K5365">
        <f t="shared" si="83"/>
        <v>151</v>
      </c>
      <c r="L5365" s="8" t="str" cm="1">
        <f t="array" ref="L5365">_xlfn.IFS(
 AND(K5365&gt;=89,K5365&lt;=92),"3개월",
 AND(K5365&gt;=58,K5365&lt;=62),"2개월",
 AND(K5365&gt;=28,K5365&lt;=32),"1개월",
 AND(K5365=0),"당월",
 TRUE,"그외"
)</f>
        <v>그외</v>
      </c>
    </row>
    <row r="5366" spans="1:12" x14ac:dyDescent="0.3">
      <c r="A5366" s="5">
        <v>45717</v>
      </c>
      <c r="B5366" s="6" t="s">
        <v>20</v>
      </c>
      <c r="C5366" s="6" t="s">
        <v>22</v>
      </c>
      <c r="D5366" s="5">
        <v>45597</v>
      </c>
      <c r="E5366" s="6" t="s">
        <v>15</v>
      </c>
      <c r="F5366" s="7">
        <v>2352</v>
      </c>
      <c r="G5366" s="7">
        <v>120113.9013605442</v>
      </c>
      <c r="H5366" s="7">
        <v>282507896</v>
      </c>
      <c r="I5366" s="7">
        <v>37512070</v>
      </c>
      <c r="J5366" s="7">
        <v>0</v>
      </c>
      <c r="K5366">
        <f t="shared" si="83"/>
        <v>120</v>
      </c>
      <c r="L5366" s="8" t="str" cm="1">
        <f t="array" ref="L5366">_xlfn.IFS(
 AND(K5366&gt;=89,K5366&lt;=92),"3개월",
 AND(K5366&gt;=58,K5366&lt;=62),"2개월",
 AND(K5366&gt;=28,K5366&lt;=32),"1개월",
 AND(K5366=0),"당월",
 TRUE,"그외"
)</f>
        <v>그외</v>
      </c>
    </row>
    <row r="5367" spans="1:12" x14ac:dyDescent="0.3">
      <c r="A5367" s="5">
        <v>45717</v>
      </c>
      <c r="B5367" s="6" t="s">
        <v>20</v>
      </c>
      <c r="C5367" s="6" t="s">
        <v>22</v>
      </c>
      <c r="D5367" s="5">
        <v>45627</v>
      </c>
      <c r="E5367" s="6" t="s">
        <v>14</v>
      </c>
      <c r="F5367" s="7">
        <v>10</v>
      </c>
      <c r="G5367" s="7">
        <v>155100</v>
      </c>
      <c r="H5367" s="7">
        <v>1551000</v>
      </c>
      <c r="I5367" s="7">
        <v>111000</v>
      </c>
      <c r="J5367" s="7">
        <v>0</v>
      </c>
      <c r="K5367">
        <f t="shared" si="83"/>
        <v>90</v>
      </c>
      <c r="L5367" s="8" t="str" cm="1">
        <f t="array" ref="L5367">_xlfn.IFS(
 AND(K5367&gt;=89,K5367&lt;=92),"3개월",
 AND(K5367&gt;=58,K5367&lt;=62),"2개월",
 AND(K5367&gt;=28,K5367&lt;=32),"1개월",
 AND(K5367=0),"당월",
 TRUE,"그외"
)</f>
        <v>3개월</v>
      </c>
    </row>
    <row r="5368" spans="1:12" x14ac:dyDescent="0.3">
      <c r="A5368" s="5">
        <v>45717</v>
      </c>
      <c r="B5368" s="6" t="s">
        <v>20</v>
      </c>
      <c r="C5368" s="6" t="s">
        <v>22</v>
      </c>
      <c r="D5368" s="5">
        <v>45627</v>
      </c>
      <c r="E5368" s="6" t="s">
        <v>15</v>
      </c>
      <c r="F5368" s="7">
        <v>2939</v>
      </c>
      <c r="G5368" s="7">
        <v>118903.8815923784</v>
      </c>
      <c r="H5368" s="7">
        <v>349458508</v>
      </c>
      <c r="I5368" s="7">
        <v>46057355</v>
      </c>
      <c r="J5368" s="7">
        <v>0</v>
      </c>
      <c r="K5368">
        <f t="shared" si="83"/>
        <v>90</v>
      </c>
      <c r="L5368" s="8" t="str" cm="1">
        <f t="array" ref="L5368">_xlfn.IFS(
 AND(K5368&gt;=89,K5368&lt;=92),"3개월",
 AND(K5368&gt;=58,K5368&lt;=62),"2개월",
 AND(K5368&gt;=28,K5368&lt;=32),"1개월",
 AND(K5368=0),"당월",
 TRUE,"그외"
)</f>
        <v>3개월</v>
      </c>
    </row>
    <row r="5369" spans="1:12" x14ac:dyDescent="0.3">
      <c r="A5369" s="5">
        <v>45717</v>
      </c>
      <c r="B5369" s="6" t="s">
        <v>20</v>
      </c>
      <c r="C5369" s="6" t="s">
        <v>22</v>
      </c>
      <c r="D5369" s="5">
        <v>45658</v>
      </c>
      <c r="E5369" s="6" t="s">
        <v>14</v>
      </c>
      <c r="F5369" s="7">
        <v>49</v>
      </c>
      <c r="G5369" s="7">
        <v>129486.18367346939</v>
      </c>
      <c r="H5369" s="7">
        <v>6344823</v>
      </c>
      <c r="I5369" s="7">
        <v>796804</v>
      </c>
      <c r="J5369" s="7">
        <v>0</v>
      </c>
      <c r="K5369">
        <f t="shared" si="83"/>
        <v>59</v>
      </c>
      <c r="L5369" s="8" t="str" cm="1">
        <f t="array" ref="L5369">_xlfn.IFS(
 AND(K5369&gt;=89,K5369&lt;=92),"3개월",
 AND(K5369&gt;=58,K5369&lt;=62),"2개월",
 AND(K5369&gt;=28,K5369&lt;=32),"1개월",
 AND(K5369=0),"당월",
 TRUE,"그외"
)</f>
        <v>2개월</v>
      </c>
    </row>
    <row r="5370" spans="1:12" x14ac:dyDescent="0.3">
      <c r="A5370" s="5">
        <v>45717</v>
      </c>
      <c r="B5370" s="6" t="s">
        <v>20</v>
      </c>
      <c r="C5370" s="6" t="s">
        <v>22</v>
      </c>
      <c r="D5370" s="5">
        <v>45658</v>
      </c>
      <c r="E5370" s="6" t="s">
        <v>15</v>
      </c>
      <c r="F5370" s="7">
        <v>6998</v>
      </c>
      <c r="G5370" s="7">
        <v>117031.35995998859</v>
      </c>
      <c r="H5370" s="7">
        <v>818985457</v>
      </c>
      <c r="I5370" s="7">
        <v>114161205</v>
      </c>
      <c r="J5370" s="7">
        <v>0</v>
      </c>
      <c r="K5370">
        <f t="shared" si="83"/>
        <v>59</v>
      </c>
      <c r="L5370" s="8" t="str" cm="1">
        <f t="array" ref="L5370">_xlfn.IFS(
 AND(K5370&gt;=89,K5370&lt;=92),"3개월",
 AND(K5370&gt;=58,K5370&lt;=62),"2개월",
 AND(K5370&gt;=28,K5370&lt;=32),"1개월",
 AND(K5370=0),"당월",
 TRUE,"그외"
)</f>
        <v>2개월</v>
      </c>
    </row>
    <row r="5371" spans="1:12" x14ac:dyDescent="0.3">
      <c r="A5371" s="5">
        <v>45717</v>
      </c>
      <c r="B5371" s="6" t="s">
        <v>20</v>
      </c>
      <c r="C5371" s="6" t="s">
        <v>22</v>
      </c>
      <c r="D5371" s="5">
        <v>45689</v>
      </c>
      <c r="E5371" s="6" t="s">
        <v>14</v>
      </c>
      <c r="F5371" s="7">
        <v>4727</v>
      </c>
      <c r="G5371" s="7">
        <v>103028.7700444256</v>
      </c>
      <c r="H5371" s="7">
        <v>487016996</v>
      </c>
      <c r="I5371" s="7">
        <v>55468455</v>
      </c>
      <c r="J5371" s="7">
        <v>0</v>
      </c>
      <c r="K5371">
        <f t="shared" si="83"/>
        <v>28</v>
      </c>
      <c r="L5371" s="8" t="str" cm="1">
        <f t="array" ref="L5371">_xlfn.IFS(
 AND(K5371&gt;=89,K5371&lt;=92),"3개월",
 AND(K5371&gt;=58,K5371&lt;=62),"2개월",
 AND(K5371&gt;=28,K5371&lt;=32),"1개월",
 AND(K5371=0),"당월",
 TRUE,"그외"
)</f>
        <v>1개월</v>
      </c>
    </row>
    <row r="5372" spans="1:12" x14ac:dyDescent="0.3">
      <c r="A5372" s="5">
        <v>45717</v>
      </c>
      <c r="B5372" s="6" t="s">
        <v>20</v>
      </c>
      <c r="C5372" s="6" t="s">
        <v>22</v>
      </c>
      <c r="D5372" s="5">
        <v>45689</v>
      </c>
      <c r="E5372" s="6" t="s">
        <v>15</v>
      </c>
      <c r="F5372" s="7">
        <v>21962</v>
      </c>
      <c r="G5372" s="7">
        <v>125395.8012020763</v>
      </c>
      <c r="H5372" s="7">
        <v>2753942586</v>
      </c>
      <c r="I5372" s="7">
        <v>351106478</v>
      </c>
      <c r="J5372" s="7">
        <v>0</v>
      </c>
      <c r="K5372">
        <f t="shared" si="83"/>
        <v>28</v>
      </c>
      <c r="L5372" s="8" t="str" cm="1">
        <f t="array" ref="L5372">_xlfn.IFS(
 AND(K5372&gt;=89,K5372&lt;=92),"3개월",
 AND(K5372&gt;=58,K5372&lt;=62),"2개월",
 AND(K5372&gt;=28,K5372&lt;=32),"1개월",
 AND(K5372=0),"당월",
 TRUE,"그외"
)</f>
        <v>1개월</v>
      </c>
    </row>
    <row r="5373" spans="1:12" x14ac:dyDescent="0.3">
      <c r="A5373" s="5">
        <v>45717</v>
      </c>
      <c r="B5373" s="6" t="s">
        <v>20</v>
      </c>
      <c r="C5373" s="6" t="s">
        <v>22</v>
      </c>
      <c r="D5373" s="5">
        <v>45717</v>
      </c>
      <c r="E5373" s="6" t="s">
        <v>14</v>
      </c>
      <c r="F5373" s="7">
        <v>3090</v>
      </c>
      <c r="G5373" s="7">
        <v>121115.2252427184</v>
      </c>
      <c r="H5373" s="7">
        <v>374246046</v>
      </c>
      <c r="I5373" s="7">
        <v>40593728</v>
      </c>
      <c r="J5373" s="7">
        <v>0</v>
      </c>
      <c r="K5373">
        <f t="shared" si="83"/>
        <v>0</v>
      </c>
      <c r="L5373" s="8" t="str" cm="1">
        <f t="array" ref="L5373">_xlfn.IFS(
 AND(K5373&gt;=89,K5373&lt;=92),"3개월",
 AND(K5373&gt;=58,K5373&lt;=62),"2개월",
 AND(K5373&gt;=28,K5373&lt;=32),"1개월",
 AND(K5373=0),"당월",
 TRUE,"그외"
)</f>
        <v>당월</v>
      </c>
    </row>
    <row r="5374" spans="1:12" x14ac:dyDescent="0.3">
      <c r="A5374" s="5">
        <v>45717</v>
      </c>
      <c r="B5374" s="6" t="s">
        <v>20</v>
      </c>
      <c r="C5374" s="6" t="s">
        <v>22</v>
      </c>
      <c r="D5374" s="5">
        <v>45717</v>
      </c>
      <c r="E5374" s="6" t="s">
        <v>15</v>
      </c>
      <c r="F5374" s="7">
        <v>11205</v>
      </c>
      <c r="G5374" s="7">
        <v>131515.00062472111</v>
      </c>
      <c r="H5374" s="7">
        <v>1473625582</v>
      </c>
      <c r="I5374" s="7">
        <v>203938103</v>
      </c>
      <c r="J5374" s="7">
        <v>0</v>
      </c>
      <c r="K5374">
        <f t="shared" si="83"/>
        <v>0</v>
      </c>
      <c r="L5374" s="8" t="str" cm="1">
        <f t="array" ref="L5374">_xlfn.IFS(
 AND(K5374&gt;=89,K5374&lt;=92),"3개월",
 AND(K5374&gt;=58,K5374&lt;=62),"2개월",
 AND(K5374&gt;=28,K5374&lt;=32),"1개월",
 AND(K5374=0),"당월",
 TRUE,"그외"
)</f>
        <v>당월</v>
      </c>
    </row>
    <row r="5375" spans="1:12" x14ac:dyDescent="0.3">
      <c r="A5375" s="5">
        <v>45717</v>
      </c>
      <c r="B5375" s="6" t="s">
        <v>20</v>
      </c>
      <c r="C5375" s="6" t="s">
        <v>23</v>
      </c>
      <c r="D5375" s="5">
        <v>45566</v>
      </c>
      <c r="E5375" s="6" t="s">
        <v>15</v>
      </c>
      <c r="F5375" s="7">
        <v>18</v>
      </c>
      <c r="G5375" s="7">
        <v>127466.6666666667</v>
      </c>
      <c r="H5375" s="7">
        <v>2294400</v>
      </c>
      <c r="I5375" s="7">
        <v>169200</v>
      </c>
      <c r="J5375" s="7">
        <v>0</v>
      </c>
      <c r="K5375">
        <f t="shared" si="83"/>
        <v>151</v>
      </c>
      <c r="L5375" s="8" t="str" cm="1">
        <f t="array" ref="L5375">_xlfn.IFS(
 AND(K5375&gt;=89,K5375&lt;=92),"3개월",
 AND(K5375&gt;=58,K5375&lt;=62),"2개월",
 AND(K5375&gt;=28,K5375&lt;=32),"1개월",
 AND(K5375=0),"당월",
 TRUE,"그외"
)</f>
        <v>그외</v>
      </c>
    </row>
    <row r="5376" spans="1:12" x14ac:dyDescent="0.3">
      <c r="A5376" s="5">
        <v>45717</v>
      </c>
      <c r="B5376" s="6" t="s">
        <v>20</v>
      </c>
      <c r="C5376" s="6" t="s">
        <v>23</v>
      </c>
      <c r="D5376" s="5">
        <v>45597</v>
      </c>
      <c r="E5376" s="6" t="s">
        <v>15</v>
      </c>
      <c r="F5376" s="7">
        <v>234</v>
      </c>
      <c r="G5376" s="7">
        <v>115589.93589743591</v>
      </c>
      <c r="H5376" s="7">
        <v>27048045</v>
      </c>
      <c r="I5376" s="7">
        <v>2457201</v>
      </c>
      <c r="J5376" s="7">
        <v>0</v>
      </c>
      <c r="K5376">
        <f t="shared" si="83"/>
        <v>120</v>
      </c>
      <c r="L5376" s="8" t="str" cm="1">
        <f t="array" ref="L5376">_xlfn.IFS(
 AND(K5376&gt;=89,K5376&lt;=92),"3개월",
 AND(K5376&gt;=58,K5376&lt;=62),"2개월",
 AND(K5376&gt;=28,K5376&lt;=32),"1개월",
 AND(K5376=0),"당월",
 TRUE,"그외"
)</f>
        <v>그외</v>
      </c>
    </row>
    <row r="5377" spans="1:12" x14ac:dyDescent="0.3">
      <c r="A5377" s="5">
        <v>45717</v>
      </c>
      <c r="B5377" s="6" t="s">
        <v>20</v>
      </c>
      <c r="C5377" s="6" t="s">
        <v>23</v>
      </c>
      <c r="D5377" s="5">
        <v>45627</v>
      </c>
      <c r="E5377" s="6" t="s">
        <v>15</v>
      </c>
      <c r="F5377" s="7">
        <v>416</v>
      </c>
      <c r="G5377" s="7">
        <v>133322.65625</v>
      </c>
      <c r="H5377" s="7">
        <v>55462225</v>
      </c>
      <c r="I5377" s="7">
        <v>5882801</v>
      </c>
      <c r="J5377" s="7">
        <v>0</v>
      </c>
      <c r="K5377">
        <f t="shared" si="83"/>
        <v>90</v>
      </c>
      <c r="L5377" s="8" t="str" cm="1">
        <f t="array" ref="L5377">_xlfn.IFS(
 AND(K5377&gt;=89,K5377&lt;=92),"3개월",
 AND(K5377&gt;=58,K5377&lt;=62),"2개월",
 AND(K5377&gt;=28,K5377&lt;=32),"1개월",
 AND(K5377=0),"당월",
 TRUE,"그외"
)</f>
        <v>3개월</v>
      </c>
    </row>
    <row r="5378" spans="1:12" x14ac:dyDescent="0.3">
      <c r="A5378" s="5">
        <v>45717</v>
      </c>
      <c r="B5378" s="6" t="s">
        <v>20</v>
      </c>
      <c r="C5378" s="6" t="s">
        <v>23</v>
      </c>
      <c r="D5378" s="5">
        <v>45658</v>
      </c>
      <c r="E5378" s="6" t="s">
        <v>15</v>
      </c>
      <c r="F5378" s="7">
        <v>1281</v>
      </c>
      <c r="G5378" s="7">
        <v>119718.3957845433</v>
      </c>
      <c r="H5378" s="7">
        <v>153359265</v>
      </c>
      <c r="I5378" s="7">
        <v>17089998</v>
      </c>
      <c r="J5378" s="7">
        <v>0</v>
      </c>
      <c r="K5378">
        <f t="shared" si="83"/>
        <v>59</v>
      </c>
      <c r="L5378" s="8" t="str" cm="1">
        <f t="array" ref="L5378">_xlfn.IFS(
 AND(K5378&gt;=89,K5378&lt;=92),"3개월",
 AND(K5378&gt;=58,K5378&lt;=62),"2개월",
 AND(K5378&gt;=28,K5378&lt;=32),"1개월",
 AND(K5378=0),"당월",
 TRUE,"그외"
)</f>
        <v>2개월</v>
      </c>
    </row>
    <row r="5379" spans="1:12" x14ac:dyDescent="0.3">
      <c r="A5379" s="5">
        <v>45717</v>
      </c>
      <c r="B5379" s="6" t="s">
        <v>20</v>
      </c>
      <c r="C5379" s="6" t="s">
        <v>23</v>
      </c>
      <c r="D5379" s="5">
        <v>45689</v>
      </c>
      <c r="E5379" s="6" t="s">
        <v>14</v>
      </c>
      <c r="F5379" s="7">
        <v>590</v>
      </c>
      <c r="G5379" s="7">
        <v>120089.8305084746</v>
      </c>
      <c r="H5379" s="7">
        <v>70853000</v>
      </c>
      <c r="I5379" s="7">
        <v>6903000</v>
      </c>
      <c r="J5379" s="7">
        <v>0</v>
      </c>
      <c r="K5379">
        <f t="shared" si="83"/>
        <v>28</v>
      </c>
      <c r="L5379" s="8" t="str" cm="1">
        <f t="array" ref="L5379">_xlfn.IFS(
 AND(K5379&gt;=89,K5379&lt;=92),"3개월",
 AND(K5379&gt;=58,K5379&lt;=62),"2개월",
 AND(K5379&gt;=28,K5379&lt;=32),"1개월",
 AND(K5379=0),"당월",
 TRUE,"그외"
)</f>
        <v>1개월</v>
      </c>
    </row>
    <row r="5380" spans="1:12" x14ac:dyDescent="0.3">
      <c r="A5380" s="5">
        <v>45717</v>
      </c>
      <c r="B5380" s="6" t="s">
        <v>20</v>
      </c>
      <c r="C5380" s="6" t="s">
        <v>23</v>
      </c>
      <c r="D5380" s="5">
        <v>45689</v>
      </c>
      <c r="E5380" s="6" t="s">
        <v>15</v>
      </c>
      <c r="F5380" s="7">
        <v>4500</v>
      </c>
      <c r="G5380" s="7">
        <v>110749.1335555556</v>
      </c>
      <c r="H5380" s="7">
        <v>498371101</v>
      </c>
      <c r="I5380" s="7">
        <v>58399415</v>
      </c>
      <c r="J5380" s="7">
        <v>0</v>
      </c>
      <c r="K5380">
        <f t="shared" si="83"/>
        <v>28</v>
      </c>
      <c r="L5380" s="8" t="str" cm="1">
        <f t="array" ref="L5380">_xlfn.IFS(
 AND(K5380&gt;=89,K5380&lt;=92),"3개월",
 AND(K5380&gt;=58,K5380&lt;=62),"2개월",
 AND(K5380&gt;=28,K5380&lt;=32),"1개월",
 AND(K5380=0),"당월",
 TRUE,"그외"
)</f>
        <v>1개월</v>
      </c>
    </row>
    <row r="5381" spans="1:12" x14ac:dyDescent="0.3">
      <c r="A5381" s="5">
        <v>45717</v>
      </c>
      <c r="B5381" s="6" t="s">
        <v>20</v>
      </c>
      <c r="C5381" s="6" t="s">
        <v>23</v>
      </c>
      <c r="D5381" s="5">
        <v>45717</v>
      </c>
      <c r="E5381" s="6" t="s">
        <v>14</v>
      </c>
      <c r="F5381" s="7">
        <v>401</v>
      </c>
      <c r="G5381" s="7">
        <v>120867.3316708229</v>
      </c>
      <c r="H5381" s="7">
        <v>48467800</v>
      </c>
      <c r="I5381" s="7">
        <v>5207800</v>
      </c>
      <c r="J5381" s="7">
        <v>0</v>
      </c>
      <c r="K5381">
        <f t="shared" si="83"/>
        <v>0</v>
      </c>
      <c r="L5381" s="8" t="str" cm="1">
        <f t="array" ref="L5381">_xlfn.IFS(
 AND(K5381&gt;=89,K5381&lt;=92),"3개월",
 AND(K5381&gt;=58,K5381&lt;=62),"2개월",
 AND(K5381&gt;=28,K5381&lt;=32),"1개월",
 AND(K5381=0),"당월",
 TRUE,"그외"
)</f>
        <v>당월</v>
      </c>
    </row>
    <row r="5382" spans="1:12" x14ac:dyDescent="0.3">
      <c r="A5382" s="5">
        <v>45717</v>
      </c>
      <c r="B5382" s="6" t="s">
        <v>20</v>
      </c>
      <c r="C5382" s="6" t="s">
        <v>23</v>
      </c>
      <c r="D5382" s="5">
        <v>45717</v>
      </c>
      <c r="E5382" s="6" t="s">
        <v>15</v>
      </c>
      <c r="F5382" s="7">
        <v>1322</v>
      </c>
      <c r="G5382" s="7">
        <v>121418.1838124054</v>
      </c>
      <c r="H5382" s="7">
        <v>160514839</v>
      </c>
      <c r="I5382" s="7">
        <v>21241087</v>
      </c>
      <c r="J5382" s="7">
        <v>0</v>
      </c>
      <c r="K5382">
        <f t="shared" si="83"/>
        <v>0</v>
      </c>
      <c r="L5382" s="8" t="str" cm="1">
        <f t="array" ref="L5382">_xlfn.IFS(
 AND(K5382&gt;=89,K5382&lt;=92),"3개월",
 AND(K5382&gt;=58,K5382&lt;=62),"2개월",
 AND(K5382&gt;=28,K5382&lt;=32),"1개월",
 AND(K5382=0),"당월",
 TRUE,"그외"
)</f>
        <v>당월</v>
      </c>
    </row>
    <row r="5383" spans="1:12" x14ac:dyDescent="0.3">
      <c r="A5383" s="5">
        <v>45717</v>
      </c>
      <c r="B5383" s="6" t="s">
        <v>20</v>
      </c>
      <c r="C5383" s="6" t="s">
        <v>24</v>
      </c>
      <c r="D5383" s="5">
        <v>45474</v>
      </c>
      <c r="E5383" s="6" t="s">
        <v>15</v>
      </c>
      <c r="F5383" s="7">
        <v>18</v>
      </c>
      <c r="G5383" s="7">
        <v>193005.38888888891</v>
      </c>
      <c r="H5383" s="7">
        <v>3474097</v>
      </c>
      <c r="I5383" s="7">
        <v>252257</v>
      </c>
      <c r="J5383" s="7">
        <v>0</v>
      </c>
      <c r="K5383">
        <f t="shared" si="83"/>
        <v>243</v>
      </c>
      <c r="L5383" s="8" t="str" cm="1">
        <f t="array" ref="L5383">_xlfn.IFS(
 AND(K5383&gt;=89,K5383&lt;=92),"3개월",
 AND(K5383&gt;=58,K5383&lt;=62),"2개월",
 AND(K5383&gt;=28,K5383&lt;=32),"1개월",
 AND(K5383=0),"당월",
 TRUE,"그외"
)</f>
        <v>그외</v>
      </c>
    </row>
    <row r="5384" spans="1:12" x14ac:dyDescent="0.3">
      <c r="A5384" s="5">
        <v>45717</v>
      </c>
      <c r="B5384" s="6" t="s">
        <v>20</v>
      </c>
      <c r="C5384" s="6" t="s">
        <v>24</v>
      </c>
      <c r="D5384" s="5">
        <v>45505</v>
      </c>
      <c r="E5384" s="6" t="s">
        <v>15</v>
      </c>
      <c r="F5384" s="7">
        <v>175</v>
      </c>
      <c r="G5384" s="7">
        <v>143445.28365714289</v>
      </c>
      <c r="H5384" s="7">
        <v>25102924.640000001</v>
      </c>
      <c r="I5384" s="7">
        <v>2871399.64</v>
      </c>
      <c r="J5384" s="7">
        <v>0</v>
      </c>
      <c r="K5384">
        <f t="shared" si="83"/>
        <v>212</v>
      </c>
      <c r="L5384" s="8" t="str" cm="1">
        <f t="array" ref="L5384">_xlfn.IFS(
 AND(K5384&gt;=89,K5384&lt;=92),"3개월",
 AND(K5384&gt;=58,K5384&lt;=62),"2개월",
 AND(K5384&gt;=28,K5384&lt;=32),"1개월",
 AND(K5384=0),"당월",
 TRUE,"그외"
)</f>
        <v>그외</v>
      </c>
    </row>
    <row r="5385" spans="1:12" x14ac:dyDescent="0.3">
      <c r="A5385" s="5">
        <v>45717</v>
      </c>
      <c r="B5385" s="6" t="s">
        <v>20</v>
      </c>
      <c r="C5385" s="6" t="s">
        <v>24</v>
      </c>
      <c r="D5385" s="5">
        <v>45536</v>
      </c>
      <c r="E5385" s="6" t="s">
        <v>15</v>
      </c>
      <c r="F5385" s="7">
        <v>86</v>
      </c>
      <c r="G5385" s="7">
        <v>150642.70930232559</v>
      </c>
      <c r="H5385" s="7">
        <v>12955273</v>
      </c>
      <c r="I5385" s="7">
        <v>1607815</v>
      </c>
      <c r="J5385" s="7">
        <v>0</v>
      </c>
      <c r="K5385">
        <f t="shared" si="83"/>
        <v>181</v>
      </c>
      <c r="L5385" s="8" t="str" cm="1">
        <f t="array" ref="L5385">_xlfn.IFS(
 AND(K5385&gt;=89,K5385&lt;=92),"3개월",
 AND(K5385&gt;=58,K5385&lt;=62),"2개월",
 AND(K5385&gt;=28,K5385&lt;=32),"1개월",
 AND(K5385=0),"당월",
 TRUE,"그외"
)</f>
        <v>그외</v>
      </c>
    </row>
    <row r="5386" spans="1:12" x14ac:dyDescent="0.3">
      <c r="A5386" s="5">
        <v>45717</v>
      </c>
      <c r="B5386" s="6" t="s">
        <v>20</v>
      </c>
      <c r="C5386" s="6" t="s">
        <v>24</v>
      </c>
      <c r="D5386" s="5">
        <v>45566</v>
      </c>
      <c r="E5386" s="6" t="s">
        <v>15</v>
      </c>
      <c r="F5386" s="7">
        <v>257</v>
      </c>
      <c r="G5386" s="7">
        <v>140295.9105058366</v>
      </c>
      <c r="H5386" s="7">
        <v>36056049</v>
      </c>
      <c r="I5386" s="7">
        <v>3470879</v>
      </c>
      <c r="J5386" s="7">
        <v>0</v>
      </c>
      <c r="K5386">
        <f t="shared" ref="K5386:K5449" si="84">A5386-D5386</f>
        <v>151</v>
      </c>
      <c r="L5386" s="8" t="str" cm="1">
        <f t="array" ref="L5386">_xlfn.IFS(
 AND(K5386&gt;=89,K5386&lt;=92),"3개월",
 AND(K5386&gt;=58,K5386&lt;=62),"2개월",
 AND(K5386&gt;=28,K5386&lt;=32),"1개월",
 AND(K5386=0),"당월",
 TRUE,"그외"
)</f>
        <v>그외</v>
      </c>
    </row>
    <row r="5387" spans="1:12" x14ac:dyDescent="0.3">
      <c r="A5387" s="5">
        <v>45717</v>
      </c>
      <c r="B5387" s="6" t="s">
        <v>20</v>
      </c>
      <c r="C5387" s="6" t="s">
        <v>24</v>
      </c>
      <c r="D5387" s="5">
        <v>45597</v>
      </c>
      <c r="E5387" s="6" t="s">
        <v>15</v>
      </c>
      <c r="F5387" s="7">
        <v>406</v>
      </c>
      <c r="G5387" s="7">
        <v>133788.38423645319</v>
      </c>
      <c r="H5387" s="7">
        <v>54318084</v>
      </c>
      <c r="I5387" s="7">
        <v>5223099</v>
      </c>
      <c r="J5387" s="7">
        <v>0</v>
      </c>
      <c r="K5387">
        <f t="shared" si="84"/>
        <v>120</v>
      </c>
      <c r="L5387" s="8" t="str" cm="1">
        <f t="array" ref="L5387">_xlfn.IFS(
 AND(K5387&gt;=89,K5387&lt;=92),"3개월",
 AND(K5387&gt;=58,K5387&lt;=62),"2개월",
 AND(K5387&gt;=28,K5387&lt;=32),"1개월",
 AND(K5387=0),"당월",
 TRUE,"그외"
)</f>
        <v>그외</v>
      </c>
    </row>
    <row r="5388" spans="1:12" x14ac:dyDescent="0.3">
      <c r="A5388" s="5">
        <v>45717</v>
      </c>
      <c r="B5388" s="6" t="s">
        <v>20</v>
      </c>
      <c r="C5388" s="6" t="s">
        <v>24</v>
      </c>
      <c r="D5388" s="5">
        <v>45627</v>
      </c>
      <c r="E5388" s="6" t="s">
        <v>15</v>
      </c>
      <c r="F5388" s="7">
        <v>899</v>
      </c>
      <c r="G5388" s="7">
        <v>141916.64182424921</v>
      </c>
      <c r="H5388" s="7">
        <v>127583061</v>
      </c>
      <c r="I5388" s="7">
        <v>12608788</v>
      </c>
      <c r="J5388" s="7">
        <v>0</v>
      </c>
      <c r="K5388">
        <f t="shared" si="84"/>
        <v>90</v>
      </c>
      <c r="L5388" s="8" t="str" cm="1">
        <f t="array" ref="L5388">_xlfn.IFS(
 AND(K5388&gt;=89,K5388&lt;=92),"3개월",
 AND(K5388&gt;=58,K5388&lt;=62),"2개월",
 AND(K5388&gt;=28,K5388&lt;=32),"1개월",
 AND(K5388=0),"당월",
 TRUE,"그외"
)</f>
        <v>3개월</v>
      </c>
    </row>
    <row r="5389" spans="1:12" x14ac:dyDescent="0.3">
      <c r="A5389" s="5">
        <v>45717</v>
      </c>
      <c r="B5389" s="6" t="s">
        <v>20</v>
      </c>
      <c r="C5389" s="6" t="s">
        <v>24</v>
      </c>
      <c r="D5389" s="5">
        <v>45658</v>
      </c>
      <c r="E5389" s="6" t="s">
        <v>14</v>
      </c>
      <c r="F5389" s="7">
        <v>146</v>
      </c>
      <c r="G5389" s="7">
        <v>185491.78082191781</v>
      </c>
      <c r="H5389" s="7">
        <v>27081800</v>
      </c>
      <c r="I5389" s="7">
        <v>1649800</v>
      </c>
      <c r="J5389" s="7">
        <v>0</v>
      </c>
      <c r="K5389">
        <f t="shared" si="84"/>
        <v>59</v>
      </c>
      <c r="L5389" s="8" t="str" cm="1">
        <f t="array" ref="L5389">_xlfn.IFS(
 AND(K5389&gt;=89,K5389&lt;=92),"3개월",
 AND(K5389&gt;=58,K5389&lt;=62),"2개월",
 AND(K5389&gt;=28,K5389&lt;=32),"1개월",
 AND(K5389=0),"당월",
 TRUE,"그외"
)</f>
        <v>2개월</v>
      </c>
    </row>
    <row r="5390" spans="1:12" x14ac:dyDescent="0.3">
      <c r="A5390" s="5">
        <v>45717</v>
      </c>
      <c r="B5390" s="6" t="s">
        <v>20</v>
      </c>
      <c r="C5390" s="6" t="s">
        <v>24</v>
      </c>
      <c r="D5390" s="5">
        <v>45658</v>
      </c>
      <c r="E5390" s="6" t="s">
        <v>15</v>
      </c>
      <c r="F5390" s="7">
        <v>2053</v>
      </c>
      <c r="G5390" s="7">
        <v>133943.9551875304</v>
      </c>
      <c r="H5390" s="7">
        <v>274986940</v>
      </c>
      <c r="I5390" s="7">
        <v>29231134</v>
      </c>
      <c r="J5390" s="7">
        <v>0</v>
      </c>
      <c r="K5390">
        <f t="shared" si="84"/>
        <v>59</v>
      </c>
      <c r="L5390" s="8" t="str" cm="1">
        <f t="array" ref="L5390">_xlfn.IFS(
 AND(K5390&gt;=89,K5390&lt;=92),"3개월",
 AND(K5390&gt;=58,K5390&lt;=62),"2개월",
 AND(K5390&gt;=28,K5390&lt;=32),"1개월",
 AND(K5390=0),"당월",
 TRUE,"그외"
)</f>
        <v>2개월</v>
      </c>
    </row>
    <row r="5391" spans="1:12" x14ac:dyDescent="0.3">
      <c r="A5391" s="5">
        <v>45717</v>
      </c>
      <c r="B5391" s="6" t="s">
        <v>20</v>
      </c>
      <c r="C5391" s="6" t="s">
        <v>24</v>
      </c>
      <c r="D5391" s="5">
        <v>45689</v>
      </c>
      <c r="E5391" s="6" t="s">
        <v>14</v>
      </c>
      <c r="F5391" s="7">
        <v>749</v>
      </c>
      <c r="G5391" s="7">
        <v>146538.45126835781</v>
      </c>
      <c r="H5391" s="7">
        <v>109757300</v>
      </c>
      <c r="I5391" s="7">
        <v>8763300</v>
      </c>
      <c r="J5391" s="7">
        <v>0</v>
      </c>
      <c r="K5391">
        <f t="shared" si="84"/>
        <v>28</v>
      </c>
      <c r="L5391" s="8" t="str" cm="1">
        <f t="array" ref="L5391">_xlfn.IFS(
 AND(K5391&gt;=89,K5391&lt;=92),"3개월",
 AND(K5391&gt;=58,K5391&lt;=62),"2개월",
 AND(K5391&gt;=28,K5391&lt;=32),"1개월",
 AND(K5391=0),"당월",
 TRUE,"그외"
)</f>
        <v>1개월</v>
      </c>
    </row>
    <row r="5392" spans="1:12" x14ac:dyDescent="0.3">
      <c r="A5392" s="5">
        <v>45717</v>
      </c>
      <c r="B5392" s="6" t="s">
        <v>20</v>
      </c>
      <c r="C5392" s="6" t="s">
        <v>24</v>
      </c>
      <c r="D5392" s="5">
        <v>45689</v>
      </c>
      <c r="E5392" s="6" t="s">
        <v>15</v>
      </c>
      <c r="F5392" s="7">
        <v>3655</v>
      </c>
      <c r="G5392" s="7">
        <v>131830.01340629271</v>
      </c>
      <c r="H5392" s="7">
        <v>481838699</v>
      </c>
      <c r="I5392" s="7">
        <v>53020618</v>
      </c>
      <c r="J5392" s="7">
        <v>0</v>
      </c>
      <c r="K5392">
        <f t="shared" si="84"/>
        <v>28</v>
      </c>
      <c r="L5392" s="8" t="str" cm="1">
        <f t="array" ref="L5392">_xlfn.IFS(
 AND(K5392&gt;=89,K5392&lt;=92),"3개월",
 AND(K5392&gt;=58,K5392&lt;=62),"2개월",
 AND(K5392&gt;=28,K5392&lt;=32),"1개월",
 AND(K5392=0),"당월",
 TRUE,"그외"
)</f>
        <v>1개월</v>
      </c>
    </row>
    <row r="5393" spans="1:12" x14ac:dyDescent="0.3">
      <c r="A5393" s="5">
        <v>45717</v>
      </c>
      <c r="B5393" s="6" t="s">
        <v>20</v>
      </c>
      <c r="C5393" s="6" t="s">
        <v>24</v>
      </c>
      <c r="D5393" s="5">
        <v>45717</v>
      </c>
      <c r="E5393" s="6" t="s">
        <v>14</v>
      </c>
      <c r="F5393" s="7">
        <v>868</v>
      </c>
      <c r="G5393" s="7">
        <v>151659.44700460829</v>
      </c>
      <c r="H5393" s="7">
        <v>131640400</v>
      </c>
      <c r="I5393" s="7">
        <v>11281400</v>
      </c>
      <c r="J5393" s="7">
        <v>0</v>
      </c>
      <c r="K5393">
        <f t="shared" si="84"/>
        <v>0</v>
      </c>
      <c r="L5393" s="8" t="str" cm="1">
        <f t="array" ref="L5393">_xlfn.IFS(
 AND(K5393&gt;=89,K5393&lt;=92),"3개월",
 AND(K5393&gt;=58,K5393&lt;=62),"2개월",
 AND(K5393&gt;=28,K5393&lt;=32),"1개월",
 AND(K5393=0),"당월",
 TRUE,"그외"
)</f>
        <v>당월</v>
      </c>
    </row>
    <row r="5394" spans="1:12" x14ac:dyDescent="0.3">
      <c r="A5394" s="5">
        <v>45717</v>
      </c>
      <c r="B5394" s="6" t="s">
        <v>20</v>
      </c>
      <c r="C5394" s="6" t="s">
        <v>24</v>
      </c>
      <c r="D5394" s="5">
        <v>45717</v>
      </c>
      <c r="E5394" s="6" t="s">
        <v>15</v>
      </c>
      <c r="F5394" s="7">
        <v>1615</v>
      </c>
      <c r="G5394" s="7">
        <v>158125.46625386999</v>
      </c>
      <c r="H5394" s="7">
        <v>255372628</v>
      </c>
      <c r="I5394" s="7">
        <v>25198701</v>
      </c>
      <c r="J5394" s="7">
        <v>0</v>
      </c>
      <c r="K5394">
        <f t="shared" si="84"/>
        <v>0</v>
      </c>
      <c r="L5394" s="8" t="str" cm="1">
        <f t="array" ref="L5394">_xlfn.IFS(
 AND(K5394&gt;=89,K5394&lt;=92),"3개월",
 AND(K5394&gt;=58,K5394&lt;=62),"2개월",
 AND(K5394&gt;=28,K5394&lt;=32),"1개월",
 AND(K5394=0),"당월",
 TRUE,"그외"
)</f>
        <v>당월</v>
      </c>
    </row>
    <row r="5395" spans="1:12" x14ac:dyDescent="0.3">
      <c r="A5395" s="5">
        <v>45717</v>
      </c>
      <c r="B5395" s="6" t="s">
        <v>20</v>
      </c>
      <c r="C5395" s="6" t="s">
        <v>27</v>
      </c>
      <c r="D5395" s="5">
        <v>45505</v>
      </c>
      <c r="E5395" s="6" t="s">
        <v>15</v>
      </c>
      <c r="F5395" s="7">
        <v>172</v>
      </c>
      <c r="G5395" s="7">
        <v>91062.970930232565</v>
      </c>
      <c r="H5395" s="7">
        <v>15662831</v>
      </c>
      <c r="I5395" s="7">
        <v>3073752</v>
      </c>
      <c r="J5395" s="7">
        <v>0</v>
      </c>
      <c r="K5395">
        <f t="shared" si="84"/>
        <v>212</v>
      </c>
      <c r="L5395" s="8" t="str" cm="1">
        <f t="array" ref="L5395">_xlfn.IFS(
 AND(K5395&gt;=89,K5395&lt;=92),"3개월",
 AND(K5395&gt;=58,K5395&lt;=62),"2개월",
 AND(K5395&gt;=28,K5395&lt;=32),"1개월",
 AND(K5395=0),"당월",
 TRUE,"그외"
)</f>
        <v>그외</v>
      </c>
    </row>
    <row r="5396" spans="1:12" x14ac:dyDescent="0.3">
      <c r="A5396" s="5">
        <v>45717</v>
      </c>
      <c r="B5396" s="6" t="s">
        <v>20</v>
      </c>
      <c r="C5396" s="6" t="s">
        <v>27</v>
      </c>
      <c r="D5396" s="5">
        <v>45536</v>
      </c>
      <c r="E5396" s="6" t="s">
        <v>15</v>
      </c>
      <c r="F5396" s="7">
        <v>244</v>
      </c>
      <c r="G5396" s="7">
        <v>94616.352459016387</v>
      </c>
      <c r="H5396" s="7">
        <v>23086390</v>
      </c>
      <c r="I5396" s="7">
        <v>6069672</v>
      </c>
      <c r="J5396" s="7">
        <v>0</v>
      </c>
      <c r="K5396">
        <f t="shared" si="84"/>
        <v>181</v>
      </c>
      <c r="L5396" s="8" t="str" cm="1">
        <f t="array" ref="L5396">_xlfn.IFS(
 AND(K5396&gt;=89,K5396&lt;=92),"3개월",
 AND(K5396&gt;=58,K5396&lt;=62),"2개월",
 AND(K5396&gt;=28,K5396&lt;=32),"1개월",
 AND(K5396=0),"당월",
 TRUE,"그외"
)</f>
        <v>그외</v>
      </c>
    </row>
    <row r="5397" spans="1:12" x14ac:dyDescent="0.3">
      <c r="A5397" s="5">
        <v>45717</v>
      </c>
      <c r="B5397" s="6" t="s">
        <v>20</v>
      </c>
      <c r="C5397" s="6" t="s">
        <v>27</v>
      </c>
      <c r="D5397" s="5">
        <v>45566</v>
      </c>
      <c r="E5397" s="6" t="s">
        <v>15</v>
      </c>
      <c r="F5397" s="7">
        <v>505</v>
      </c>
      <c r="G5397" s="7">
        <v>101805.601980198</v>
      </c>
      <c r="H5397" s="7">
        <v>51411829</v>
      </c>
      <c r="I5397" s="7">
        <v>12258011</v>
      </c>
      <c r="J5397" s="7">
        <v>0</v>
      </c>
      <c r="K5397">
        <f t="shared" si="84"/>
        <v>151</v>
      </c>
      <c r="L5397" s="8" t="str" cm="1">
        <f t="array" ref="L5397">_xlfn.IFS(
 AND(K5397&gt;=89,K5397&lt;=92),"3개월",
 AND(K5397&gt;=58,K5397&lt;=62),"2개월",
 AND(K5397&gt;=28,K5397&lt;=32),"1개월",
 AND(K5397=0),"당월",
 TRUE,"그외"
)</f>
        <v>그외</v>
      </c>
    </row>
    <row r="5398" spans="1:12" x14ac:dyDescent="0.3">
      <c r="A5398" s="5">
        <v>45717</v>
      </c>
      <c r="B5398" s="6" t="s">
        <v>20</v>
      </c>
      <c r="C5398" s="6" t="s">
        <v>27</v>
      </c>
      <c r="D5398" s="5">
        <v>45597</v>
      </c>
      <c r="E5398" s="6" t="s">
        <v>14</v>
      </c>
      <c r="F5398" s="7">
        <v>3</v>
      </c>
      <c r="G5398" s="7">
        <v>159300</v>
      </c>
      <c r="H5398" s="7">
        <v>477900</v>
      </c>
      <c r="I5398" s="7">
        <v>27900</v>
      </c>
      <c r="J5398" s="7">
        <v>0</v>
      </c>
      <c r="K5398">
        <f t="shared" si="84"/>
        <v>120</v>
      </c>
      <c r="L5398" s="8" t="str" cm="1">
        <f t="array" ref="L5398">_xlfn.IFS(
 AND(K5398&gt;=89,K5398&lt;=92),"3개월",
 AND(K5398&gt;=58,K5398&lt;=62),"2개월",
 AND(K5398&gt;=28,K5398&lt;=32),"1개월",
 AND(K5398=0),"당월",
 TRUE,"그외"
)</f>
        <v>그외</v>
      </c>
    </row>
    <row r="5399" spans="1:12" x14ac:dyDescent="0.3">
      <c r="A5399" s="5">
        <v>45717</v>
      </c>
      <c r="B5399" s="6" t="s">
        <v>20</v>
      </c>
      <c r="C5399" s="6" t="s">
        <v>27</v>
      </c>
      <c r="D5399" s="5">
        <v>45597</v>
      </c>
      <c r="E5399" s="6" t="s">
        <v>15</v>
      </c>
      <c r="F5399" s="7">
        <v>635</v>
      </c>
      <c r="G5399" s="7">
        <v>110839.9921259843</v>
      </c>
      <c r="H5399" s="7">
        <v>70383395</v>
      </c>
      <c r="I5399" s="7">
        <v>13996832</v>
      </c>
      <c r="J5399" s="7">
        <v>0</v>
      </c>
      <c r="K5399">
        <f t="shared" si="84"/>
        <v>120</v>
      </c>
      <c r="L5399" s="8" t="str" cm="1">
        <f t="array" ref="L5399">_xlfn.IFS(
 AND(K5399&gt;=89,K5399&lt;=92),"3개월",
 AND(K5399&gt;=58,K5399&lt;=62),"2개월",
 AND(K5399&gt;=28,K5399&lt;=32),"1개월",
 AND(K5399=0),"당월",
 TRUE,"그외"
)</f>
        <v>그외</v>
      </c>
    </row>
    <row r="5400" spans="1:12" x14ac:dyDescent="0.3">
      <c r="A5400" s="5">
        <v>45717</v>
      </c>
      <c r="B5400" s="6" t="s">
        <v>20</v>
      </c>
      <c r="C5400" s="6" t="s">
        <v>27</v>
      </c>
      <c r="D5400" s="5">
        <v>45627</v>
      </c>
      <c r="E5400" s="6" t="s">
        <v>14</v>
      </c>
      <c r="F5400" s="7">
        <v>9</v>
      </c>
      <c r="G5400" s="7">
        <v>126655.55555555561</v>
      </c>
      <c r="H5400" s="7">
        <v>1139900</v>
      </c>
      <c r="I5400" s="7">
        <v>99900</v>
      </c>
      <c r="J5400" s="7">
        <v>0</v>
      </c>
      <c r="K5400">
        <f t="shared" si="84"/>
        <v>90</v>
      </c>
      <c r="L5400" s="8" t="str" cm="1">
        <f t="array" ref="L5400">_xlfn.IFS(
 AND(K5400&gt;=89,K5400&lt;=92),"3개월",
 AND(K5400&gt;=58,K5400&lt;=62),"2개월",
 AND(K5400&gt;=28,K5400&lt;=32),"1개월",
 AND(K5400=0),"당월",
 TRUE,"그외"
)</f>
        <v>3개월</v>
      </c>
    </row>
    <row r="5401" spans="1:12" x14ac:dyDescent="0.3">
      <c r="A5401" s="5">
        <v>45717</v>
      </c>
      <c r="B5401" s="6" t="s">
        <v>20</v>
      </c>
      <c r="C5401" s="6" t="s">
        <v>27</v>
      </c>
      <c r="D5401" s="5">
        <v>45627</v>
      </c>
      <c r="E5401" s="6" t="s">
        <v>15</v>
      </c>
      <c r="F5401" s="7">
        <v>1692</v>
      </c>
      <c r="G5401" s="7">
        <v>119581.64066193849</v>
      </c>
      <c r="H5401" s="7">
        <v>202332136</v>
      </c>
      <c r="I5401" s="7">
        <v>29083153</v>
      </c>
      <c r="J5401" s="7">
        <v>0</v>
      </c>
      <c r="K5401">
        <f t="shared" si="84"/>
        <v>90</v>
      </c>
      <c r="L5401" s="8" t="str" cm="1">
        <f t="array" ref="L5401">_xlfn.IFS(
 AND(K5401&gt;=89,K5401&lt;=92),"3개월",
 AND(K5401&gt;=58,K5401&lt;=62),"2개월",
 AND(K5401&gt;=28,K5401&lt;=32),"1개월",
 AND(K5401=0),"당월",
 TRUE,"그외"
)</f>
        <v>3개월</v>
      </c>
    </row>
    <row r="5402" spans="1:12" x14ac:dyDescent="0.3">
      <c r="A5402" s="5">
        <v>45717</v>
      </c>
      <c r="B5402" s="6" t="s">
        <v>20</v>
      </c>
      <c r="C5402" s="6" t="s">
        <v>27</v>
      </c>
      <c r="D5402" s="5">
        <v>45658</v>
      </c>
      <c r="E5402" s="6" t="s">
        <v>14</v>
      </c>
      <c r="F5402" s="7">
        <v>301</v>
      </c>
      <c r="G5402" s="7">
        <v>132069.20598006641</v>
      </c>
      <c r="H5402" s="7">
        <v>39752831</v>
      </c>
      <c r="I5402" s="7">
        <v>4009564</v>
      </c>
      <c r="J5402" s="7">
        <v>0</v>
      </c>
      <c r="K5402">
        <f t="shared" si="84"/>
        <v>59</v>
      </c>
      <c r="L5402" s="8" t="str" cm="1">
        <f t="array" ref="L5402">_xlfn.IFS(
 AND(K5402&gt;=89,K5402&lt;=92),"3개월",
 AND(K5402&gt;=58,K5402&lt;=62),"2개월",
 AND(K5402&gt;=28,K5402&lt;=32),"1개월",
 AND(K5402=0),"당월",
 TRUE,"그외"
)</f>
        <v>2개월</v>
      </c>
    </row>
    <row r="5403" spans="1:12" x14ac:dyDescent="0.3">
      <c r="A5403" s="5">
        <v>45717</v>
      </c>
      <c r="B5403" s="6" t="s">
        <v>20</v>
      </c>
      <c r="C5403" s="6" t="s">
        <v>27</v>
      </c>
      <c r="D5403" s="5">
        <v>45658</v>
      </c>
      <c r="E5403" s="6" t="s">
        <v>15</v>
      </c>
      <c r="F5403" s="7">
        <v>8861</v>
      </c>
      <c r="G5403" s="7">
        <v>117275.9378174021</v>
      </c>
      <c r="H5403" s="7">
        <v>1039182085</v>
      </c>
      <c r="I5403" s="7">
        <v>152132348</v>
      </c>
      <c r="J5403" s="7">
        <v>0</v>
      </c>
      <c r="K5403">
        <f t="shared" si="84"/>
        <v>59</v>
      </c>
      <c r="L5403" s="8" t="str" cm="1">
        <f t="array" ref="L5403">_xlfn.IFS(
 AND(K5403&gt;=89,K5403&lt;=92),"3개월",
 AND(K5403&gt;=58,K5403&lt;=62),"2개월",
 AND(K5403&gt;=28,K5403&lt;=32),"1개월",
 AND(K5403=0),"당월",
 TRUE,"그외"
)</f>
        <v>2개월</v>
      </c>
    </row>
    <row r="5404" spans="1:12" x14ac:dyDescent="0.3">
      <c r="A5404" s="5">
        <v>45717</v>
      </c>
      <c r="B5404" s="6" t="s">
        <v>20</v>
      </c>
      <c r="C5404" s="6" t="s">
        <v>27</v>
      </c>
      <c r="D5404" s="5">
        <v>45689</v>
      </c>
      <c r="E5404" s="6" t="s">
        <v>14</v>
      </c>
      <c r="F5404" s="7">
        <v>3610</v>
      </c>
      <c r="G5404" s="7">
        <v>138794.65900277009</v>
      </c>
      <c r="H5404" s="7">
        <v>501048719</v>
      </c>
      <c r="I5404" s="7">
        <v>46002868</v>
      </c>
      <c r="J5404" s="7">
        <v>0</v>
      </c>
      <c r="K5404">
        <f t="shared" si="84"/>
        <v>28</v>
      </c>
      <c r="L5404" s="8" t="str" cm="1">
        <f t="array" ref="L5404">_xlfn.IFS(
 AND(K5404&gt;=89,K5404&lt;=92),"3개월",
 AND(K5404&gt;=58,K5404&lt;=62),"2개월",
 AND(K5404&gt;=28,K5404&lt;=32),"1개월",
 AND(K5404=0),"당월",
 TRUE,"그외"
)</f>
        <v>1개월</v>
      </c>
    </row>
    <row r="5405" spans="1:12" x14ac:dyDescent="0.3">
      <c r="A5405" s="5">
        <v>45717</v>
      </c>
      <c r="B5405" s="6" t="s">
        <v>20</v>
      </c>
      <c r="C5405" s="6" t="s">
        <v>27</v>
      </c>
      <c r="D5405" s="5">
        <v>45689</v>
      </c>
      <c r="E5405" s="6" t="s">
        <v>15</v>
      </c>
      <c r="F5405" s="7">
        <v>16190</v>
      </c>
      <c r="G5405" s="7">
        <v>145789.106979617</v>
      </c>
      <c r="H5405" s="7">
        <v>2360325642</v>
      </c>
      <c r="I5405" s="7">
        <v>310925180</v>
      </c>
      <c r="J5405" s="7">
        <v>0</v>
      </c>
      <c r="K5405">
        <f t="shared" si="84"/>
        <v>28</v>
      </c>
      <c r="L5405" s="8" t="str" cm="1">
        <f t="array" ref="L5405">_xlfn.IFS(
 AND(K5405&gt;=89,K5405&lt;=92),"3개월",
 AND(K5405&gt;=58,K5405&lt;=62),"2개월",
 AND(K5405&gt;=28,K5405&lt;=32),"1개월",
 AND(K5405=0),"당월",
 TRUE,"그외"
)</f>
        <v>1개월</v>
      </c>
    </row>
    <row r="5406" spans="1:12" x14ac:dyDescent="0.3">
      <c r="A5406" s="5">
        <v>45717</v>
      </c>
      <c r="B5406" s="6" t="s">
        <v>20</v>
      </c>
      <c r="C5406" s="6" t="s">
        <v>27</v>
      </c>
      <c r="D5406" s="5">
        <v>45717</v>
      </c>
      <c r="E5406" s="6" t="s">
        <v>14</v>
      </c>
      <c r="F5406" s="7">
        <v>2198</v>
      </c>
      <c r="G5406" s="7">
        <v>134697.82211101</v>
      </c>
      <c r="H5406" s="7">
        <v>296065813</v>
      </c>
      <c r="I5406" s="7">
        <v>29600687</v>
      </c>
      <c r="J5406" s="7">
        <v>0</v>
      </c>
      <c r="K5406">
        <f t="shared" si="84"/>
        <v>0</v>
      </c>
      <c r="L5406" s="8" t="str" cm="1">
        <f t="array" ref="L5406">_xlfn.IFS(
 AND(K5406&gt;=89,K5406&lt;=92),"3개월",
 AND(K5406&gt;=58,K5406&lt;=62),"2개월",
 AND(K5406&gt;=28,K5406&lt;=32),"1개월",
 AND(K5406=0),"당월",
 TRUE,"그외"
)</f>
        <v>당월</v>
      </c>
    </row>
    <row r="5407" spans="1:12" x14ac:dyDescent="0.3">
      <c r="A5407" s="5">
        <v>45717</v>
      </c>
      <c r="B5407" s="6" t="s">
        <v>20</v>
      </c>
      <c r="C5407" s="6" t="s">
        <v>27</v>
      </c>
      <c r="D5407" s="5">
        <v>45717</v>
      </c>
      <c r="E5407" s="6" t="s">
        <v>15</v>
      </c>
      <c r="F5407" s="7">
        <v>7425</v>
      </c>
      <c r="G5407" s="7">
        <v>154887.736969697</v>
      </c>
      <c r="H5407" s="7">
        <v>1150041447</v>
      </c>
      <c r="I5407" s="7">
        <v>152744026</v>
      </c>
      <c r="J5407" s="7">
        <v>0</v>
      </c>
      <c r="K5407">
        <f t="shared" si="84"/>
        <v>0</v>
      </c>
      <c r="L5407" s="8" t="str" cm="1">
        <f t="array" ref="L5407">_xlfn.IFS(
 AND(K5407&gt;=89,K5407&lt;=92),"3개월",
 AND(K5407&gt;=58,K5407&lt;=62),"2개월",
 AND(K5407&gt;=28,K5407&lt;=32),"1개월",
 AND(K5407=0),"당월",
 TRUE,"그외"
)</f>
        <v>당월</v>
      </c>
    </row>
    <row r="5408" spans="1:12" x14ac:dyDescent="0.3">
      <c r="A5408" s="5">
        <v>45717</v>
      </c>
      <c r="B5408" s="6" t="s">
        <v>20</v>
      </c>
      <c r="C5408" s="6" t="s">
        <v>28</v>
      </c>
      <c r="D5408" s="5">
        <v>45505</v>
      </c>
      <c r="E5408" s="6" t="s">
        <v>15</v>
      </c>
      <c r="F5408" s="7">
        <v>104</v>
      </c>
      <c r="G5408" s="7">
        <v>123542.3076923077</v>
      </c>
      <c r="H5408" s="7">
        <v>12848400</v>
      </c>
      <c r="I5408" s="7">
        <v>1435200</v>
      </c>
      <c r="J5408" s="7">
        <v>0</v>
      </c>
      <c r="K5408">
        <f t="shared" si="84"/>
        <v>212</v>
      </c>
      <c r="L5408" s="8" t="str" cm="1">
        <f t="array" ref="L5408">_xlfn.IFS(
 AND(K5408&gt;=89,K5408&lt;=92),"3개월",
 AND(K5408&gt;=58,K5408&lt;=62),"2개월",
 AND(K5408&gt;=28,K5408&lt;=32),"1개월",
 AND(K5408=0),"당월",
 TRUE,"그외"
)</f>
        <v>그외</v>
      </c>
    </row>
    <row r="5409" spans="1:12" x14ac:dyDescent="0.3">
      <c r="A5409" s="5">
        <v>45717</v>
      </c>
      <c r="B5409" s="6" t="s">
        <v>20</v>
      </c>
      <c r="C5409" s="6" t="s">
        <v>28</v>
      </c>
      <c r="D5409" s="5">
        <v>45536</v>
      </c>
      <c r="E5409" s="6" t="s">
        <v>15</v>
      </c>
      <c r="F5409" s="7">
        <v>47</v>
      </c>
      <c r="G5409" s="7">
        <v>214612.7659574468</v>
      </c>
      <c r="H5409" s="7">
        <v>10086800</v>
      </c>
      <c r="I5409" s="7">
        <v>582800</v>
      </c>
      <c r="J5409" s="7">
        <v>0</v>
      </c>
      <c r="K5409">
        <f t="shared" si="84"/>
        <v>181</v>
      </c>
      <c r="L5409" s="8" t="str" cm="1">
        <f t="array" ref="L5409">_xlfn.IFS(
 AND(K5409&gt;=89,K5409&lt;=92),"3개월",
 AND(K5409&gt;=58,K5409&lt;=62),"2개월",
 AND(K5409&gt;=28,K5409&lt;=32),"1개월",
 AND(K5409=0),"당월",
 TRUE,"그외"
)</f>
        <v>그외</v>
      </c>
    </row>
    <row r="5410" spans="1:12" x14ac:dyDescent="0.3">
      <c r="A5410" s="5">
        <v>45717</v>
      </c>
      <c r="B5410" s="6" t="s">
        <v>20</v>
      </c>
      <c r="C5410" s="6" t="s">
        <v>28</v>
      </c>
      <c r="D5410" s="5">
        <v>45566</v>
      </c>
      <c r="E5410" s="6" t="s">
        <v>15</v>
      </c>
      <c r="F5410" s="7">
        <v>81</v>
      </c>
      <c r="G5410" s="7">
        <v>163983.70370370371</v>
      </c>
      <c r="H5410" s="7">
        <v>13282680</v>
      </c>
      <c r="I5410" s="7">
        <v>939045</v>
      </c>
      <c r="J5410" s="7">
        <v>0</v>
      </c>
      <c r="K5410">
        <f t="shared" si="84"/>
        <v>151</v>
      </c>
      <c r="L5410" s="8" t="str" cm="1">
        <f t="array" ref="L5410">_xlfn.IFS(
 AND(K5410&gt;=89,K5410&lt;=92),"3개월",
 AND(K5410&gt;=58,K5410&lt;=62),"2개월",
 AND(K5410&gt;=28,K5410&lt;=32),"1개월",
 AND(K5410=0),"당월",
 TRUE,"그외"
)</f>
        <v>그외</v>
      </c>
    </row>
    <row r="5411" spans="1:12" x14ac:dyDescent="0.3">
      <c r="A5411" s="5">
        <v>45717</v>
      </c>
      <c r="B5411" s="6" t="s">
        <v>20</v>
      </c>
      <c r="C5411" s="6" t="s">
        <v>28</v>
      </c>
      <c r="D5411" s="5">
        <v>45597</v>
      </c>
      <c r="E5411" s="6" t="s">
        <v>15</v>
      </c>
      <c r="F5411" s="7">
        <v>313</v>
      </c>
      <c r="G5411" s="7">
        <v>170340.29712460059</v>
      </c>
      <c r="H5411" s="7">
        <v>53316513</v>
      </c>
      <c r="I5411" s="7">
        <v>4349013</v>
      </c>
      <c r="J5411" s="7">
        <v>0</v>
      </c>
      <c r="K5411">
        <f t="shared" si="84"/>
        <v>120</v>
      </c>
      <c r="L5411" s="8" t="str" cm="1">
        <f t="array" ref="L5411">_xlfn.IFS(
 AND(K5411&gt;=89,K5411&lt;=92),"3개월",
 AND(K5411&gt;=58,K5411&lt;=62),"2개월",
 AND(K5411&gt;=28,K5411&lt;=32),"1개월",
 AND(K5411=0),"당월",
 TRUE,"그외"
)</f>
        <v>그외</v>
      </c>
    </row>
    <row r="5412" spans="1:12" x14ac:dyDescent="0.3">
      <c r="A5412" s="5">
        <v>45717</v>
      </c>
      <c r="B5412" s="6" t="s">
        <v>20</v>
      </c>
      <c r="C5412" s="6" t="s">
        <v>28</v>
      </c>
      <c r="D5412" s="5">
        <v>45627</v>
      </c>
      <c r="E5412" s="6" t="s">
        <v>14</v>
      </c>
      <c r="F5412" s="7">
        <v>28</v>
      </c>
      <c r="G5412" s="7">
        <v>101814.2857142857</v>
      </c>
      <c r="H5412" s="7">
        <v>2850800</v>
      </c>
      <c r="I5412" s="7">
        <v>310800</v>
      </c>
      <c r="J5412" s="7">
        <v>0</v>
      </c>
      <c r="K5412">
        <f t="shared" si="84"/>
        <v>90</v>
      </c>
      <c r="L5412" s="8" t="str" cm="1">
        <f t="array" ref="L5412">_xlfn.IFS(
 AND(K5412&gt;=89,K5412&lt;=92),"3개월",
 AND(K5412&gt;=58,K5412&lt;=62),"2개월",
 AND(K5412&gt;=28,K5412&lt;=32),"1개월",
 AND(K5412=0),"당월",
 TRUE,"그외"
)</f>
        <v>3개월</v>
      </c>
    </row>
    <row r="5413" spans="1:12" x14ac:dyDescent="0.3">
      <c r="A5413" s="5">
        <v>45717</v>
      </c>
      <c r="B5413" s="6" t="s">
        <v>20</v>
      </c>
      <c r="C5413" s="6" t="s">
        <v>28</v>
      </c>
      <c r="D5413" s="5">
        <v>45627</v>
      </c>
      <c r="E5413" s="6" t="s">
        <v>15</v>
      </c>
      <c r="F5413" s="7">
        <v>837</v>
      </c>
      <c r="G5413" s="7">
        <v>115551.2234169654</v>
      </c>
      <c r="H5413" s="7">
        <v>96716374</v>
      </c>
      <c r="I5413" s="7">
        <v>10197147</v>
      </c>
      <c r="J5413" s="7">
        <v>0</v>
      </c>
      <c r="K5413">
        <f t="shared" si="84"/>
        <v>90</v>
      </c>
      <c r="L5413" s="8" t="str" cm="1">
        <f t="array" ref="L5413">_xlfn.IFS(
 AND(K5413&gt;=89,K5413&lt;=92),"3개월",
 AND(K5413&gt;=58,K5413&lt;=62),"2개월",
 AND(K5413&gt;=28,K5413&lt;=32),"1개월",
 AND(K5413=0),"당월",
 TRUE,"그외"
)</f>
        <v>3개월</v>
      </c>
    </row>
    <row r="5414" spans="1:12" x14ac:dyDescent="0.3">
      <c r="A5414" s="5">
        <v>45717</v>
      </c>
      <c r="B5414" s="6" t="s">
        <v>20</v>
      </c>
      <c r="C5414" s="6" t="s">
        <v>28</v>
      </c>
      <c r="D5414" s="5">
        <v>45658</v>
      </c>
      <c r="E5414" s="6" t="s">
        <v>14</v>
      </c>
      <c r="F5414" s="7">
        <v>255</v>
      </c>
      <c r="G5414" s="7">
        <v>108711.76470588231</v>
      </c>
      <c r="H5414" s="7">
        <v>27721500</v>
      </c>
      <c r="I5414" s="7">
        <v>2881500</v>
      </c>
      <c r="J5414" s="7">
        <v>0</v>
      </c>
      <c r="K5414">
        <f t="shared" si="84"/>
        <v>59</v>
      </c>
      <c r="L5414" s="8" t="str" cm="1">
        <f t="array" ref="L5414">_xlfn.IFS(
 AND(K5414&gt;=89,K5414&lt;=92),"3개월",
 AND(K5414&gt;=58,K5414&lt;=62),"2개월",
 AND(K5414&gt;=28,K5414&lt;=32),"1개월",
 AND(K5414=0),"당월",
 TRUE,"그외"
)</f>
        <v>2개월</v>
      </c>
    </row>
    <row r="5415" spans="1:12" x14ac:dyDescent="0.3">
      <c r="A5415" s="5">
        <v>45717</v>
      </c>
      <c r="B5415" s="6" t="s">
        <v>20</v>
      </c>
      <c r="C5415" s="6" t="s">
        <v>28</v>
      </c>
      <c r="D5415" s="5">
        <v>45658</v>
      </c>
      <c r="E5415" s="6" t="s">
        <v>15</v>
      </c>
      <c r="F5415" s="7">
        <v>1974</v>
      </c>
      <c r="G5415" s="7">
        <v>128899.3358662614</v>
      </c>
      <c r="H5415" s="7">
        <v>254447289</v>
      </c>
      <c r="I5415" s="7">
        <v>26239021</v>
      </c>
      <c r="J5415" s="7">
        <v>0</v>
      </c>
      <c r="K5415">
        <f t="shared" si="84"/>
        <v>59</v>
      </c>
      <c r="L5415" s="8" t="str" cm="1">
        <f t="array" ref="L5415">_xlfn.IFS(
 AND(K5415&gt;=89,K5415&lt;=92),"3개월",
 AND(K5415&gt;=58,K5415&lt;=62),"2개월",
 AND(K5415&gt;=28,K5415&lt;=32),"1개월",
 AND(K5415=0),"당월",
 TRUE,"그외"
)</f>
        <v>2개월</v>
      </c>
    </row>
    <row r="5416" spans="1:12" x14ac:dyDescent="0.3">
      <c r="A5416" s="5">
        <v>45717</v>
      </c>
      <c r="B5416" s="6" t="s">
        <v>20</v>
      </c>
      <c r="C5416" s="6" t="s">
        <v>28</v>
      </c>
      <c r="D5416" s="5">
        <v>45689</v>
      </c>
      <c r="E5416" s="6" t="s">
        <v>14</v>
      </c>
      <c r="F5416" s="7">
        <v>655</v>
      </c>
      <c r="G5416" s="7">
        <v>146387.02290076329</v>
      </c>
      <c r="H5416" s="7">
        <v>95883500</v>
      </c>
      <c r="I5416" s="7">
        <v>7663500</v>
      </c>
      <c r="J5416" s="7">
        <v>0</v>
      </c>
      <c r="K5416">
        <f t="shared" si="84"/>
        <v>28</v>
      </c>
      <c r="L5416" s="8" t="str" cm="1">
        <f t="array" ref="L5416">_xlfn.IFS(
 AND(K5416&gt;=89,K5416&lt;=92),"3개월",
 AND(K5416&gt;=58,K5416&lt;=62),"2개월",
 AND(K5416&gt;=28,K5416&lt;=32),"1개월",
 AND(K5416=0),"당월",
 TRUE,"그외"
)</f>
        <v>1개월</v>
      </c>
    </row>
    <row r="5417" spans="1:12" x14ac:dyDescent="0.3">
      <c r="A5417" s="5">
        <v>45717</v>
      </c>
      <c r="B5417" s="6" t="s">
        <v>20</v>
      </c>
      <c r="C5417" s="6" t="s">
        <v>28</v>
      </c>
      <c r="D5417" s="5">
        <v>45689</v>
      </c>
      <c r="E5417" s="6" t="s">
        <v>15</v>
      </c>
      <c r="F5417" s="7">
        <v>4255</v>
      </c>
      <c r="G5417" s="7">
        <v>131070.8101057579</v>
      </c>
      <c r="H5417" s="7">
        <v>557706297</v>
      </c>
      <c r="I5417" s="7">
        <v>60031560</v>
      </c>
      <c r="J5417" s="7">
        <v>0</v>
      </c>
      <c r="K5417">
        <f t="shared" si="84"/>
        <v>28</v>
      </c>
      <c r="L5417" s="8" t="str" cm="1">
        <f t="array" ref="L5417">_xlfn.IFS(
 AND(K5417&gt;=89,K5417&lt;=92),"3개월",
 AND(K5417&gt;=58,K5417&lt;=62),"2개월",
 AND(K5417&gt;=28,K5417&lt;=32),"1개월",
 AND(K5417=0),"당월",
 TRUE,"그외"
)</f>
        <v>1개월</v>
      </c>
    </row>
    <row r="5418" spans="1:12" x14ac:dyDescent="0.3">
      <c r="A5418" s="5">
        <v>45717</v>
      </c>
      <c r="B5418" s="6" t="s">
        <v>20</v>
      </c>
      <c r="C5418" s="6" t="s">
        <v>28</v>
      </c>
      <c r="D5418" s="5">
        <v>45717</v>
      </c>
      <c r="E5418" s="6" t="s">
        <v>14</v>
      </c>
      <c r="F5418" s="7">
        <v>489</v>
      </c>
      <c r="G5418" s="7">
        <v>158316.9734151329</v>
      </c>
      <c r="H5418" s="7">
        <v>77417000</v>
      </c>
      <c r="I5418" s="7">
        <v>6357000</v>
      </c>
      <c r="J5418" s="7">
        <v>0</v>
      </c>
      <c r="K5418">
        <f t="shared" si="84"/>
        <v>0</v>
      </c>
      <c r="L5418" s="8" t="str" cm="1">
        <f t="array" ref="L5418">_xlfn.IFS(
 AND(K5418&gt;=89,K5418&lt;=92),"3개월",
 AND(K5418&gt;=58,K5418&lt;=62),"2개월",
 AND(K5418&gt;=28,K5418&lt;=32),"1개월",
 AND(K5418=0),"당월",
 TRUE,"그외"
)</f>
        <v>당월</v>
      </c>
    </row>
    <row r="5419" spans="1:12" x14ac:dyDescent="0.3">
      <c r="A5419" s="5">
        <v>45717</v>
      </c>
      <c r="B5419" s="6" t="s">
        <v>20</v>
      </c>
      <c r="C5419" s="6" t="s">
        <v>28</v>
      </c>
      <c r="D5419" s="5">
        <v>45717</v>
      </c>
      <c r="E5419" s="6" t="s">
        <v>15</v>
      </c>
      <c r="F5419" s="7">
        <v>2065</v>
      </c>
      <c r="G5419" s="7">
        <v>140272.46101694909</v>
      </c>
      <c r="H5419" s="7">
        <v>289662632</v>
      </c>
      <c r="I5419" s="7">
        <v>34210623</v>
      </c>
      <c r="J5419" s="7">
        <v>0</v>
      </c>
      <c r="K5419">
        <f t="shared" si="84"/>
        <v>0</v>
      </c>
      <c r="L5419" s="8" t="str" cm="1">
        <f t="array" ref="L5419">_xlfn.IFS(
 AND(K5419&gt;=89,K5419&lt;=92),"3개월",
 AND(K5419&gt;=58,K5419&lt;=62),"2개월",
 AND(K5419&gt;=28,K5419&lt;=32),"1개월",
 AND(K5419=0),"당월",
 TRUE,"그외"
)</f>
        <v>당월</v>
      </c>
    </row>
    <row r="5420" spans="1:12" x14ac:dyDescent="0.3">
      <c r="A5420" s="5">
        <v>45717</v>
      </c>
      <c r="B5420" s="6" t="s">
        <v>20</v>
      </c>
      <c r="C5420" s="6" t="s">
        <v>29</v>
      </c>
      <c r="D5420" s="5">
        <v>45474</v>
      </c>
      <c r="E5420" s="6" t="s">
        <v>15</v>
      </c>
      <c r="F5420" s="7">
        <v>3</v>
      </c>
      <c r="G5420" s="7">
        <v>212300</v>
      </c>
      <c r="H5420" s="7">
        <v>636900</v>
      </c>
      <c r="I5420" s="7">
        <v>36900</v>
      </c>
      <c r="J5420" s="7">
        <v>0</v>
      </c>
      <c r="K5420">
        <f t="shared" si="84"/>
        <v>243</v>
      </c>
      <c r="L5420" s="8" t="str" cm="1">
        <f t="array" ref="L5420">_xlfn.IFS(
 AND(K5420&gt;=89,K5420&lt;=92),"3개월",
 AND(K5420&gt;=58,K5420&lt;=62),"2개월",
 AND(K5420&gt;=28,K5420&lt;=32),"1개월",
 AND(K5420=0),"당월",
 TRUE,"그외"
)</f>
        <v>그외</v>
      </c>
    </row>
    <row r="5421" spans="1:12" x14ac:dyDescent="0.3">
      <c r="A5421" s="5">
        <v>45717</v>
      </c>
      <c r="B5421" s="6" t="s">
        <v>20</v>
      </c>
      <c r="C5421" s="6" t="s">
        <v>29</v>
      </c>
      <c r="D5421" s="5">
        <v>45505</v>
      </c>
      <c r="E5421" s="6" t="s">
        <v>15</v>
      </c>
      <c r="F5421" s="7">
        <v>154</v>
      </c>
      <c r="G5421" s="7">
        <v>133788.67532467531</v>
      </c>
      <c r="H5421" s="7">
        <v>20603456</v>
      </c>
      <c r="I5421" s="7">
        <v>2125342</v>
      </c>
      <c r="J5421" s="7">
        <v>0</v>
      </c>
      <c r="K5421">
        <f t="shared" si="84"/>
        <v>212</v>
      </c>
      <c r="L5421" s="8" t="str" cm="1">
        <f t="array" ref="L5421">_xlfn.IFS(
 AND(K5421&gt;=89,K5421&lt;=92),"3개월",
 AND(K5421&gt;=58,K5421&lt;=62),"2개월",
 AND(K5421&gt;=28,K5421&lt;=32),"1개월",
 AND(K5421=0),"당월",
 TRUE,"그외"
)</f>
        <v>그외</v>
      </c>
    </row>
    <row r="5422" spans="1:12" x14ac:dyDescent="0.3">
      <c r="A5422" s="5">
        <v>45717</v>
      </c>
      <c r="B5422" s="6" t="s">
        <v>20</v>
      </c>
      <c r="C5422" s="6" t="s">
        <v>29</v>
      </c>
      <c r="D5422" s="5">
        <v>45536</v>
      </c>
      <c r="E5422" s="6" t="s">
        <v>15</v>
      </c>
      <c r="F5422" s="7">
        <v>138</v>
      </c>
      <c r="G5422" s="7">
        <v>161771.71014492761</v>
      </c>
      <c r="H5422" s="7">
        <v>22324496</v>
      </c>
      <c r="I5422" s="7">
        <v>2028557</v>
      </c>
      <c r="J5422" s="7">
        <v>0</v>
      </c>
      <c r="K5422">
        <f t="shared" si="84"/>
        <v>181</v>
      </c>
      <c r="L5422" s="8" t="str" cm="1">
        <f t="array" ref="L5422">_xlfn.IFS(
 AND(K5422&gt;=89,K5422&lt;=92),"3개월",
 AND(K5422&gt;=58,K5422&lt;=62),"2개월",
 AND(K5422&gt;=28,K5422&lt;=32),"1개월",
 AND(K5422=0),"당월",
 TRUE,"그외"
)</f>
        <v>그외</v>
      </c>
    </row>
    <row r="5423" spans="1:12" x14ac:dyDescent="0.3">
      <c r="A5423" s="5">
        <v>45717</v>
      </c>
      <c r="B5423" s="6" t="s">
        <v>20</v>
      </c>
      <c r="C5423" s="6" t="s">
        <v>29</v>
      </c>
      <c r="D5423" s="5">
        <v>45566</v>
      </c>
      <c r="E5423" s="6" t="s">
        <v>15</v>
      </c>
      <c r="F5423" s="7">
        <v>376</v>
      </c>
      <c r="G5423" s="7">
        <v>177185.15159574471</v>
      </c>
      <c r="H5423" s="7">
        <v>66621617</v>
      </c>
      <c r="I5423" s="7">
        <v>4643943</v>
      </c>
      <c r="J5423" s="7">
        <v>0</v>
      </c>
      <c r="K5423">
        <f t="shared" si="84"/>
        <v>151</v>
      </c>
      <c r="L5423" s="8" t="str" cm="1">
        <f t="array" ref="L5423">_xlfn.IFS(
 AND(K5423&gt;=89,K5423&lt;=92),"3개월",
 AND(K5423&gt;=58,K5423&lt;=62),"2개월",
 AND(K5423&gt;=28,K5423&lt;=32),"1개월",
 AND(K5423=0),"당월",
 TRUE,"그외"
)</f>
        <v>그외</v>
      </c>
    </row>
    <row r="5424" spans="1:12" x14ac:dyDescent="0.3">
      <c r="A5424" s="5">
        <v>45717</v>
      </c>
      <c r="B5424" s="6" t="s">
        <v>20</v>
      </c>
      <c r="C5424" s="6" t="s">
        <v>29</v>
      </c>
      <c r="D5424" s="5">
        <v>45597</v>
      </c>
      <c r="E5424" s="6" t="s">
        <v>14</v>
      </c>
      <c r="F5424" s="7">
        <v>12</v>
      </c>
      <c r="G5424" s="7">
        <v>160300</v>
      </c>
      <c r="H5424" s="7">
        <v>1923600</v>
      </c>
      <c r="I5424" s="7">
        <v>111600</v>
      </c>
      <c r="J5424" s="7">
        <v>0</v>
      </c>
      <c r="K5424">
        <f t="shared" si="84"/>
        <v>120</v>
      </c>
      <c r="L5424" s="8" t="str" cm="1">
        <f t="array" ref="L5424">_xlfn.IFS(
 AND(K5424&gt;=89,K5424&lt;=92),"3개월",
 AND(K5424&gt;=58,K5424&lt;=62),"2개월",
 AND(K5424&gt;=28,K5424&lt;=32),"1개월",
 AND(K5424=0),"당월",
 TRUE,"그외"
)</f>
        <v>그외</v>
      </c>
    </row>
    <row r="5425" spans="1:12" x14ac:dyDescent="0.3">
      <c r="A5425" s="5">
        <v>45717</v>
      </c>
      <c r="B5425" s="6" t="s">
        <v>20</v>
      </c>
      <c r="C5425" s="6" t="s">
        <v>29</v>
      </c>
      <c r="D5425" s="5">
        <v>45597</v>
      </c>
      <c r="E5425" s="6" t="s">
        <v>15</v>
      </c>
      <c r="F5425" s="7">
        <v>711</v>
      </c>
      <c r="G5425" s="7">
        <v>157595.8284106892</v>
      </c>
      <c r="H5425" s="7">
        <v>112050634</v>
      </c>
      <c r="I5425" s="7">
        <v>7726005</v>
      </c>
      <c r="J5425" s="7">
        <v>0</v>
      </c>
      <c r="K5425">
        <f t="shared" si="84"/>
        <v>120</v>
      </c>
      <c r="L5425" s="8" t="str" cm="1">
        <f t="array" ref="L5425">_xlfn.IFS(
 AND(K5425&gt;=89,K5425&lt;=92),"3개월",
 AND(K5425&gt;=58,K5425&lt;=62),"2개월",
 AND(K5425&gt;=28,K5425&lt;=32),"1개월",
 AND(K5425=0),"당월",
 TRUE,"그외"
)</f>
        <v>그외</v>
      </c>
    </row>
    <row r="5426" spans="1:12" x14ac:dyDescent="0.3">
      <c r="A5426" s="5">
        <v>45717</v>
      </c>
      <c r="B5426" s="6" t="s">
        <v>20</v>
      </c>
      <c r="C5426" s="6" t="s">
        <v>29</v>
      </c>
      <c r="D5426" s="5">
        <v>45627</v>
      </c>
      <c r="E5426" s="6" t="s">
        <v>14</v>
      </c>
      <c r="F5426" s="7">
        <v>21</v>
      </c>
      <c r="G5426" s="7">
        <v>162100</v>
      </c>
      <c r="H5426" s="7">
        <v>3404100</v>
      </c>
      <c r="I5426" s="7">
        <v>233100</v>
      </c>
      <c r="J5426" s="7">
        <v>0</v>
      </c>
      <c r="K5426">
        <f t="shared" si="84"/>
        <v>90</v>
      </c>
      <c r="L5426" s="8" t="str" cm="1">
        <f t="array" ref="L5426">_xlfn.IFS(
 AND(K5426&gt;=89,K5426&lt;=92),"3개월",
 AND(K5426&gt;=58,K5426&lt;=62),"2개월",
 AND(K5426&gt;=28,K5426&lt;=32),"1개월",
 AND(K5426=0),"당월",
 TRUE,"그외"
)</f>
        <v>3개월</v>
      </c>
    </row>
    <row r="5427" spans="1:12" x14ac:dyDescent="0.3">
      <c r="A5427" s="5">
        <v>45717</v>
      </c>
      <c r="B5427" s="6" t="s">
        <v>20</v>
      </c>
      <c r="C5427" s="6" t="s">
        <v>29</v>
      </c>
      <c r="D5427" s="5">
        <v>45627</v>
      </c>
      <c r="E5427" s="6" t="s">
        <v>15</v>
      </c>
      <c r="F5427" s="7">
        <v>1333</v>
      </c>
      <c r="G5427" s="7">
        <v>166360.13278319579</v>
      </c>
      <c r="H5427" s="7">
        <v>221758057</v>
      </c>
      <c r="I5427" s="7">
        <v>15985490</v>
      </c>
      <c r="J5427" s="7">
        <v>0</v>
      </c>
      <c r="K5427">
        <f t="shared" si="84"/>
        <v>90</v>
      </c>
      <c r="L5427" s="8" t="str" cm="1">
        <f t="array" ref="L5427">_xlfn.IFS(
 AND(K5427&gt;=89,K5427&lt;=92),"3개월",
 AND(K5427&gt;=58,K5427&lt;=62),"2개월",
 AND(K5427&gt;=28,K5427&lt;=32),"1개월",
 AND(K5427=0),"당월",
 TRUE,"그외"
)</f>
        <v>3개월</v>
      </c>
    </row>
    <row r="5428" spans="1:12" x14ac:dyDescent="0.3">
      <c r="A5428" s="5">
        <v>45717</v>
      </c>
      <c r="B5428" s="6" t="s">
        <v>20</v>
      </c>
      <c r="C5428" s="6" t="s">
        <v>29</v>
      </c>
      <c r="D5428" s="5">
        <v>45658</v>
      </c>
      <c r="E5428" s="6" t="s">
        <v>14</v>
      </c>
      <c r="F5428" s="7">
        <v>289</v>
      </c>
      <c r="G5428" s="7">
        <v>219646.6470588235</v>
      </c>
      <c r="H5428" s="7">
        <v>63477881</v>
      </c>
      <c r="I5428" s="7">
        <v>3770357</v>
      </c>
      <c r="J5428" s="7">
        <v>0</v>
      </c>
      <c r="K5428">
        <f t="shared" si="84"/>
        <v>59</v>
      </c>
      <c r="L5428" s="8" t="str" cm="1">
        <f t="array" ref="L5428">_xlfn.IFS(
 AND(K5428&gt;=89,K5428&lt;=92),"3개월",
 AND(K5428&gt;=58,K5428&lt;=62),"2개월",
 AND(K5428&gt;=28,K5428&lt;=32),"1개월",
 AND(K5428=0),"당월",
 TRUE,"그외"
)</f>
        <v>2개월</v>
      </c>
    </row>
    <row r="5429" spans="1:12" x14ac:dyDescent="0.3">
      <c r="A5429" s="5">
        <v>45717</v>
      </c>
      <c r="B5429" s="6" t="s">
        <v>20</v>
      </c>
      <c r="C5429" s="6" t="s">
        <v>29</v>
      </c>
      <c r="D5429" s="5">
        <v>45658</v>
      </c>
      <c r="E5429" s="6" t="s">
        <v>15</v>
      </c>
      <c r="F5429" s="7">
        <v>3770</v>
      </c>
      <c r="G5429" s="7">
        <v>140839.56286472149</v>
      </c>
      <c r="H5429" s="7">
        <v>530965152</v>
      </c>
      <c r="I5429" s="7">
        <v>49277763</v>
      </c>
      <c r="J5429" s="7">
        <v>0</v>
      </c>
      <c r="K5429">
        <f t="shared" si="84"/>
        <v>59</v>
      </c>
      <c r="L5429" s="8" t="str" cm="1">
        <f t="array" ref="L5429">_xlfn.IFS(
 AND(K5429&gt;=89,K5429&lt;=92),"3개월",
 AND(K5429&gt;=58,K5429&lt;=62),"2개월",
 AND(K5429&gt;=28,K5429&lt;=32),"1개월",
 AND(K5429=0),"당월",
 TRUE,"그외"
)</f>
        <v>2개월</v>
      </c>
    </row>
    <row r="5430" spans="1:12" x14ac:dyDescent="0.3">
      <c r="A5430" s="5">
        <v>45717</v>
      </c>
      <c r="B5430" s="6" t="s">
        <v>20</v>
      </c>
      <c r="C5430" s="6" t="s">
        <v>29</v>
      </c>
      <c r="D5430" s="5">
        <v>45689</v>
      </c>
      <c r="E5430" s="6" t="s">
        <v>14</v>
      </c>
      <c r="F5430" s="7">
        <v>759</v>
      </c>
      <c r="G5430" s="7">
        <v>172996.28985507239</v>
      </c>
      <c r="H5430" s="7">
        <v>131304184</v>
      </c>
      <c r="I5430" s="7">
        <v>9534604</v>
      </c>
      <c r="J5430" s="7">
        <v>0</v>
      </c>
      <c r="K5430">
        <f t="shared" si="84"/>
        <v>28</v>
      </c>
      <c r="L5430" s="8" t="str" cm="1">
        <f t="array" ref="L5430">_xlfn.IFS(
 AND(K5430&gt;=89,K5430&lt;=92),"3개월",
 AND(K5430&gt;=58,K5430&lt;=62),"2개월",
 AND(K5430&gt;=28,K5430&lt;=32),"1개월",
 AND(K5430=0),"당월",
 TRUE,"그외"
)</f>
        <v>1개월</v>
      </c>
    </row>
    <row r="5431" spans="1:12" x14ac:dyDescent="0.3">
      <c r="A5431" s="5">
        <v>45717</v>
      </c>
      <c r="B5431" s="6" t="s">
        <v>20</v>
      </c>
      <c r="C5431" s="6" t="s">
        <v>29</v>
      </c>
      <c r="D5431" s="5">
        <v>45689</v>
      </c>
      <c r="E5431" s="6" t="s">
        <v>15</v>
      </c>
      <c r="F5431" s="7">
        <v>9817</v>
      </c>
      <c r="G5431" s="7">
        <v>130934.52724865029</v>
      </c>
      <c r="H5431" s="7">
        <v>1285384254</v>
      </c>
      <c r="I5431" s="7">
        <v>135457412</v>
      </c>
      <c r="J5431" s="7">
        <v>0</v>
      </c>
      <c r="K5431">
        <f t="shared" si="84"/>
        <v>28</v>
      </c>
      <c r="L5431" s="8" t="str" cm="1">
        <f t="array" ref="L5431">_xlfn.IFS(
 AND(K5431&gt;=89,K5431&lt;=92),"3개월",
 AND(K5431&gt;=58,K5431&lt;=62),"2개월",
 AND(K5431&gt;=28,K5431&lt;=32),"1개월",
 AND(K5431=0),"당월",
 TRUE,"그외"
)</f>
        <v>1개월</v>
      </c>
    </row>
    <row r="5432" spans="1:12" x14ac:dyDescent="0.3">
      <c r="A5432" s="5">
        <v>45717</v>
      </c>
      <c r="B5432" s="6" t="s">
        <v>20</v>
      </c>
      <c r="C5432" s="6" t="s">
        <v>29</v>
      </c>
      <c r="D5432" s="5">
        <v>45717</v>
      </c>
      <c r="E5432" s="6" t="s">
        <v>14</v>
      </c>
      <c r="F5432" s="7">
        <v>1381</v>
      </c>
      <c r="G5432" s="7">
        <v>175120.20275162929</v>
      </c>
      <c r="H5432" s="7">
        <v>241841000</v>
      </c>
      <c r="I5432" s="7">
        <v>17953000</v>
      </c>
      <c r="J5432" s="7">
        <v>0</v>
      </c>
      <c r="K5432">
        <f t="shared" si="84"/>
        <v>0</v>
      </c>
      <c r="L5432" s="8" t="str" cm="1">
        <f t="array" ref="L5432">_xlfn.IFS(
 AND(K5432&gt;=89,K5432&lt;=92),"3개월",
 AND(K5432&gt;=58,K5432&lt;=62),"2개월",
 AND(K5432&gt;=28,K5432&lt;=32),"1개월",
 AND(K5432=0),"당월",
 TRUE,"그외"
)</f>
        <v>당월</v>
      </c>
    </row>
    <row r="5433" spans="1:12" x14ac:dyDescent="0.3">
      <c r="A5433" s="5">
        <v>45717</v>
      </c>
      <c r="B5433" s="6" t="s">
        <v>20</v>
      </c>
      <c r="C5433" s="6" t="s">
        <v>29</v>
      </c>
      <c r="D5433" s="5">
        <v>45717</v>
      </c>
      <c r="E5433" s="6" t="s">
        <v>15</v>
      </c>
      <c r="F5433" s="7">
        <v>2988</v>
      </c>
      <c r="G5433" s="7">
        <v>171937.65863453821</v>
      </c>
      <c r="H5433" s="7">
        <v>513749724</v>
      </c>
      <c r="I5433" s="7">
        <v>52565365</v>
      </c>
      <c r="J5433" s="7">
        <v>0</v>
      </c>
      <c r="K5433">
        <f t="shared" si="84"/>
        <v>0</v>
      </c>
      <c r="L5433" s="8" t="str" cm="1">
        <f t="array" ref="L5433">_xlfn.IFS(
 AND(K5433&gt;=89,K5433&lt;=92),"3개월",
 AND(K5433&gt;=58,K5433&lt;=62),"2개월",
 AND(K5433&gt;=28,K5433&lt;=32),"1개월",
 AND(K5433=0),"당월",
 TRUE,"그외"
)</f>
        <v>당월</v>
      </c>
    </row>
    <row r="5434" spans="1:12" x14ac:dyDescent="0.3">
      <c r="A5434" s="5">
        <v>45717</v>
      </c>
      <c r="B5434" s="6" t="s">
        <v>20</v>
      </c>
      <c r="C5434" s="6" t="s">
        <v>30</v>
      </c>
      <c r="D5434" s="5">
        <v>45505</v>
      </c>
      <c r="E5434" s="6" t="s">
        <v>15</v>
      </c>
      <c r="F5434" s="7">
        <v>214</v>
      </c>
      <c r="G5434" s="7">
        <v>142833.17757009351</v>
      </c>
      <c r="H5434" s="7">
        <v>30566300</v>
      </c>
      <c r="I5434" s="7">
        <v>3106289</v>
      </c>
      <c r="J5434" s="7">
        <v>0</v>
      </c>
      <c r="K5434">
        <f t="shared" si="84"/>
        <v>212</v>
      </c>
      <c r="L5434" s="8" t="str" cm="1">
        <f t="array" ref="L5434">_xlfn.IFS(
 AND(K5434&gt;=89,K5434&lt;=92),"3개월",
 AND(K5434&gt;=58,K5434&lt;=62),"2개월",
 AND(K5434&gt;=28,K5434&lt;=32),"1개월",
 AND(K5434=0),"당월",
 TRUE,"그외"
)</f>
        <v>그외</v>
      </c>
    </row>
    <row r="5435" spans="1:12" x14ac:dyDescent="0.3">
      <c r="A5435" s="5">
        <v>45717</v>
      </c>
      <c r="B5435" s="6" t="s">
        <v>20</v>
      </c>
      <c r="C5435" s="6" t="s">
        <v>30</v>
      </c>
      <c r="D5435" s="5">
        <v>45536</v>
      </c>
      <c r="E5435" s="6" t="s">
        <v>15</v>
      </c>
      <c r="F5435" s="7">
        <v>88</v>
      </c>
      <c r="G5435" s="7">
        <v>156146.15909090909</v>
      </c>
      <c r="H5435" s="7">
        <v>13740862</v>
      </c>
      <c r="I5435" s="7">
        <v>1254086</v>
      </c>
      <c r="J5435" s="7">
        <v>0</v>
      </c>
      <c r="K5435">
        <f t="shared" si="84"/>
        <v>181</v>
      </c>
      <c r="L5435" s="8" t="str" cm="1">
        <f t="array" ref="L5435">_xlfn.IFS(
 AND(K5435&gt;=89,K5435&lt;=92),"3개월",
 AND(K5435&gt;=58,K5435&lt;=62),"2개월",
 AND(K5435&gt;=28,K5435&lt;=32),"1개월",
 AND(K5435=0),"당월",
 TRUE,"그외"
)</f>
        <v>그외</v>
      </c>
    </row>
    <row r="5436" spans="1:12" x14ac:dyDescent="0.3">
      <c r="A5436" s="5">
        <v>45717</v>
      </c>
      <c r="B5436" s="6" t="s">
        <v>20</v>
      </c>
      <c r="C5436" s="6" t="s">
        <v>30</v>
      </c>
      <c r="D5436" s="5">
        <v>45566</v>
      </c>
      <c r="E5436" s="6" t="s">
        <v>15</v>
      </c>
      <c r="F5436" s="7">
        <v>179</v>
      </c>
      <c r="G5436" s="7">
        <v>148257.43575418991</v>
      </c>
      <c r="H5436" s="7">
        <v>26538081</v>
      </c>
      <c r="I5436" s="7">
        <v>1925786</v>
      </c>
      <c r="J5436" s="7">
        <v>0</v>
      </c>
      <c r="K5436">
        <f t="shared" si="84"/>
        <v>151</v>
      </c>
      <c r="L5436" s="8" t="str" cm="1">
        <f t="array" ref="L5436">_xlfn.IFS(
 AND(K5436&gt;=89,K5436&lt;=92),"3개월",
 AND(K5436&gt;=58,K5436&lt;=62),"2개월",
 AND(K5436&gt;=28,K5436&lt;=32),"1개월",
 AND(K5436=0),"당월",
 TRUE,"그외"
)</f>
        <v>그외</v>
      </c>
    </row>
    <row r="5437" spans="1:12" x14ac:dyDescent="0.3">
      <c r="A5437" s="5">
        <v>45717</v>
      </c>
      <c r="B5437" s="6" t="s">
        <v>20</v>
      </c>
      <c r="C5437" s="6" t="s">
        <v>30</v>
      </c>
      <c r="D5437" s="5">
        <v>45597</v>
      </c>
      <c r="E5437" s="6" t="s">
        <v>15</v>
      </c>
      <c r="F5437" s="7">
        <v>123</v>
      </c>
      <c r="G5437" s="7">
        <v>151406.2357723577</v>
      </c>
      <c r="H5437" s="7">
        <v>18622967</v>
      </c>
      <c r="I5437" s="7">
        <v>1495240</v>
      </c>
      <c r="J5437" s="7">
        <v>0</v>
      </c>
      <c r="K5437">
        <f t="shared" si="84"/>
        <v>120</v>
      </c>
      <c r="L5437" s="8" t="str" cm="1">
        <f t="array" ref="L5437">_xlfn.IFS(
 AND(K5437&gt;=89,K5437&lt;=92),"3개월",
 AND(K5437&gt;=58,K5437&lt;=62),"2개월",
 AND(K5437&gt;=28,K5437&lt;=32),"1개월",
 AND(K5437=0),"당월",
 TRUE,"그외"
)</f>
        <v>그외</v>
      </c>
    </row>
    <row r="5438" spans="1:12" x14ac:dyDescent="0.3">
      <c r="A5438" s="5">
        <v>45717</v>
      </c>
      <c r="B5438" s="6" t="s">
        <v>20</v>
      </c>
      <c r="C5438" s="6" t="s">
        <v>30</v>
      </c>
      <c r="D5438" s="5">
        <v>45627</v>
      </c>
      <c r="E5438" s="6" t="s">
        <v>14</v>
      </c>
      <c r="F5438" s="7">
        <v>54</v>
      </c>
      <c r="G5438" s="7">
        <v>124322.2222222222</v>
      </c>
      <c r="H5438" s="7">
        <v>6713400</v>
      </c>
      <c r="I5438" s="7">
        <v>599400</v>
      </c>
      <c r="J5438" s="7">
        <v>0</v>
      </c>
      <c r="K5438">
        <f t="shared" si="84"/>
        <v>90</v>
      </c>
      <c r="L5438" s="8" t="str" cm="1">
        <f t="array" ref="L5438">_xlfn.IFS(
 AND(K5438&gt;=89,K5438&lt;=92),"3개월",
 AND(K5438&gt;=58,K5438&lt;=62),"2개월",
 AND(K5438&gt;=28,K5438&lt;=32),"1개월",
 AND(K5438=0),"당월",
 TRUE,"그외"
)</f>
        <v>3개월</v>
      </c>
    </row>
    <row r="5439" spans="1:12" x14ac:dyDescent="0.3">
      <c r="A5439" s="5">
        <v>45717</v>
      </c>
      <c r="B5439" s="6" t="s">
        <v>20</v>
      </c>
      <c r="C5439" s="6" t="s">
        <v>30</v>
      </c>
      <c r="D5439" s="5">
        <v>45627</v>
      </c>
      <c r="E5439" s="6" t="s">
        <v>15</v>
      </c>
      <c r="F5439" s="7">
        <v>415</v>
      </c>
      <c r="G5439" s="7">
        <v>156389.2265060241</v>
      </c>
      <c r="H5439" s="7">
        <v>64901529</v>
      </c>
      <c r="I5439" s="7">
        <v>5621654</v>
      </c>
      <c r="J5439" s="7">
        <v>0</v>
      </c>
      <c r="K5439">
        <f t="shared" si="84"/>
        <v>90</v>
      </c>
      <c r="L5439" s="8" t="str" cm="1">
        <f t="array" ref="L5439">_xlfn.IFS(
 AND(K5439&gt;=89,K5439&lt;=92),"3개월",
 AND(K5439&gt;=58,K5439&lt;=62),"2개월",
 AND(K5439&gt;=28,K5439&lt;=32),"1개월",
 AND(K5439=0),"당월",
 TRUE,"그외"
)</f>
        <v>3개월</v>
      </c>
    </row>
    <row r="5440" spans="1:12" x14ac:dyDescent="0.3">
      <c r="A5440" s="5">
        <v>45717</v>
      </c>
      <c r="B5440" s="6" t="s">
        <v>20</v>
      </c>
      <c r="C5440" s="6" t="s">
        <v>30</v>
      </c>
      <c r="D5440" s="5">
        <v>45658</v>
      </c>
      <c r="E5440" s="6" t="s">
        <v>14</v>
      </c>
      <c r="F5440" s="7">
        <v>509</v>
      </c>
      <c r="G5440" s="7">
        <v>133441.45383104129</v>
      </c>
      <c r="H5440" s="7">
        <v>67921700</v>
      </c>
      <c r="I5440" s="7">
        <v>5751700</v>
      </c>
      <c r="J5440" s="7">
        <v>0</v>
      </c>
      <c r="K5440">
        <f t="shared" si="84"/>
        <v>59</v>
      </c>
      <c r="L5440" s="8" t="str" cm="1">
        <f t="array" ref="L5440">_xlfn.IFS(
 AND(K5440&gt;=89,K5440&lt;=92),"3개월",
 AND(K5440&gt;=58,K5440&lt;=62),"2개월",
 AND(K5440&gt;=28,K5440&lt;=32),"1개월",
 AND(K5440=0),"당월",
 TRUE,"그외"
)</f>
        <v>2개월</v>
      </c>
    </row>
    <row r="5441" spans="1:12" x14ac:dyDescent="0.3">
      <c r="A5441" s="5">
        <v>45717</v>
      </c>
      <c r="B5441" s="6" t="s">
        <v>20</v>
      </c>
      <c r="C5441" s="6" t="s">
        <v>30</v>
      </c>
      <c r="D5441" s="5">
        <v>45658</v>
      </c>
      <c r="E5441" s="6" t="s">
        <v>15</v>
      </c>
      <c r="F5441" s="7">
        <v>505</v>
      </c>
      <c r="G5441" s="7">
        <v>171603.73861386141</v>
      </c>
      <c r="H5441" s="7">
        <v>86659888</v>
      </c>
      <c r="I5441" s="7">
        <v>8528750</v>
      </c>
      <c r="J5441" s="7">
        <v>0</v>
      </c>
      <c r="K5441">
        <f t="shared" si="84"/>
        <v>59</v>
      </c>
      <c r="L5441" s="8" t="str" cm="1">
        <f t="array" ref="L5441">_xlfn.IFS(
 AND(K5441&gt;=89,K5441&lt;=92),"3개월",
 AND(K5441&gt;=58,K5441&lt;=62),"2개월",
 AND(K5441&gt;=28,K5441&lt;=32),"1개월",
 AND(K5441=0),"당월",
 TRUE,"그외"
)</f>
        <v>2개월</v>
      </c>
    </row>
    <row r="5442" spans="1:12" x14ac:dyDescent="0.3">
      <c r="A5442" s="5">
        <v>45717</v>
      </c>
      <c r="B5442" s="6" t="s">
        <v>20</v>
      </c>
      <c r="C5442" s="6" t="s">
        <v>30</v>
      </c>
      <c r="D5442" s="5">
        <v>45689</v>
      </c>
      <c r="E5442" s="6" t="s">
        <v>14</v>
      </c>
      <c r="F5442" s="7">
        <v>1629</v>
      </c>
      <c r="G5442" s="7">
        <v>148703.8060159607</v>
      </c>
      <c r="H5442" s="7">
        <v>242238500</v>
      </c>
      <c r="I5442" s="7">
        <v>19058500</v>
      </c>
      <c r="J5442" s="7">
        <v>0</v>
      </c>
      <c r="K5442">
        <f t="shared" si="84"/>
        <v>28</v>
      </c>
      <c r="L5442" s="8" t="str" cm="1">
        <f t="array" ref="L5442">_xlfn.IFS(
 AND(K5442&gt;=89,K5442&lt;=92),"3개월",
 AND(K5442&gt;=58,K5442&lt;=62),"2개월",
 AND(K5442&gt;=28,K5442&lt;=32),"1개월",
 AND(K5442=0),"당월",
 TRUE,"그외"
)</f>
        <v>1개월</v>
      </c>
    </row>
    <row r="5443" spans="1:12" x14ac:dyDescent="0.3">
      <c r="A5443" s="5">
        <v>45717</v>
      </c>
      <c r="B5443" s="6" t="s">
        <v>20</v>
      </c>
      <c r="C5443" s="6" t="s">
        <v>30</v>
      </c>
      <c r="D5443" s="5">
        <v>45689</v>
      </c>
      <c r="E5443" s="6" t="s">
        <v>15</v>
      </c>
      <c r="F5443" s="7">
        <v>3385</v>
      </c>
      <c r="G5443" s="7">
        <v>130999.3669128508</v>
      </c>
      <c r="H5443" s="7">
        <v>443432857</v>
      </c>
      <c r="I5443" s="7">
        <v>48071332</v>
      </c>
      <c r="J5443" s="7">
        <v>0</v>
      </c>
      <c r="K5443">
        <f t="shared" si="84"/>
        <v>28</v>
      </c>
      <c r="L5443" s="8" t="str" cm="1">
        <f t="array" ref="L5443">_xlfn.IFS(
 AND(K5443&gt;=89,K5443&lt;=92),"3개월",
 AND(K5443&gt;=58,K5443&lt;=62),"2개월",
 AND(K5443&gt;=28,K5443&lt;=32),"1개월",
 AND(K5443=0),"당월",
 TRUE,"그외"
)</f>
        <v>1개월</v>
      </c>
    </row>
    <row r="5444" spans="1:12" x14ac:dyDescent="0.3">
      <c r="A5444" s="5">
        <v>45717</v>
      </c>
      <c r="B5444" s="6" t="s">
        <v>20</v>
      </c>
      <c r="C5444" s="6" t="s">
        <v>30</v>
      </c>
      <c r="D5444" s="5">
        <v>45717</v>
      </c>
      <c r="E5444" s="6" t="s">
        <v>14</v>
      </c>
      <c r="F5444" s="7">
        <v>1044</v>
      </c>
      <c r="G5444" s="7">
        <v>123258.4291187739</v>
      </c>
      <c r="H5444" s="7">
        <v>128681800</v>
      </c>
      <c r="I5444" s="7">
        <v>13561800</v>
      </c>
      <c r="J5444" s="7">
        <v>0</v>
      </c>
      <c r="K5444">
        <f t="shared" si="84"/>
        <v>0</v>
      </c>
      <c r="L5444" s="8" t="str" cm="1">
        <f t="array" ref="L5444">_xlfn.IFS(
 AND(K5444&gt;=89,K5444&lt;=92),"3개월",
 AND(K5444&gt;=58,K5444&lt;=62),"2개월",
 AND(K5444&gt;=28,K5444&lt;=32),"1개월",
 AND(K5444=0),"당월",
 TRUE,"그외"
)</f>
        <v>당월</v>
      </c>
    </row>
    <row r="5445" spans="1:12" x14ac:dyDescent="0.3">
      <c r="A5445" s="5">
        <v>45717</v>
      </c>
      <c r="B5445" s="6" t="s">
        <v>20</v>
      </c>
      <c r="C5445" s="6" t="s">
        <v>30</v>
      </c>
      <c r="D5445" s="5">
        <v>45717</v>
      </c>
      <c r="E5445" s="6" t="s">
        <v>15</v>
      </c>
      <c r="F5445" s="7">
        <v>2688</v>
      </c>
      <c r="G5445" s="7">
        <v>139780.0398065476</v>
      </c>
      <c r="H5445" s="7">
        <v>375728747</v>
      </c>
      <c r="I5445" s="7">
        <v>44854695</v>
      </c>
      <c r="J5445" s="7">
        <v>0</v>
      </c>
      <c r="K5445">
        <f t="shared" si="84"/>
        <v>0</v>
      </c>
      <c r="L5445" s="8" t="str" cm="1">
        <f t="array" ref="L5445">_xlfn.IFS(
 AND(K5445&gt;=89,K5445&lt;=92),"3개월",
 AND(K5445&gt;=58,K5445&lt;=62),"2개월",
 AND(K5445&gt;=28,K5445&lt;=32),"1개월",
 AND(K5445=0),"당월",
 TRUE,"그외"
)</f>
        <v>당월</v>
      </c>
    </row>
    <row r="5446" spans="1:12" x14ac:dyDescent="0.3">
      <c r="A5446" s="5">
        <v>45717</v>
      </c>
      <c r="B5446" s="6" t="s">
        <v>20</v>
      </c>
      <c r="C5446" s="6" t="s">
        <v>31</v>
      </c>
      <c r="D5446" s="5">
        <v>45474</v>
      </c>
      <c r="E5446" s="6" t="s">
        <v>15</v>
      </c>
      <c r="F5446" s="7">
        <v>2</v>
      </c>
      <c r="G5446" s="7">
        <v>112300</v>
      </c>
      <c r="H5446" s="7">
        <v>224600</v>
      </c>
      <c r="I5446" s="7">
        <v>24600</v>
      </c>
      <c r="J5446" s="7">
        <v>0</v>
      </c>
      <c r="K5446">
        <f t="shared" si="84"/>
        <v>243</v>
      </c>
      <c r="L5446" s="8" t="str" cm="1">
        <f t="array" ref="L5446">_xlfn.IFS(
 AND(K5446&gt;=89,K5446&lt;=92),"3개월",
 AND(K5446&gt;=58,K5446&lt;=62),"2개월",
 AND(K5446&gt;=28,K5446&lt;=32),"1개월",
 AND(K5446=0),"당월",
 TRUE,"그외"
)</f>
        <v>그외</v>
      </c>
    </row>
    <row r="5447" spans="1:12" x14ac:dyDescent="0.3">
      <c r="A5447" s="5">
        <v>45717</v>
      </c>
      <c r="B5447" s="6" t="s">
        <v>20</v>
      </c>
      <c r="C5447" s="6" t="s">
        <v>31</v>
      </c>
      <c r="D5447" s="5">
        <v>45505</v>
      </c>
      <c r="E5447" s="6" t="s">
        <v>15</v>
      </c>
      <c r="F5447" s="7">
        <v>57</v>
      </c>
      <c r="G5447" s="7">
        <v>114645.59649122811</v>
      </c>
      <c r="H5447" s="7">
        <v>6534799</v>
      </c>
      <c r="I5447" s="7">
        <v>1122295</v>
      </c>
      <c r="J5447" s="7">
        <v>0</v>
      </c>
      <c r="K5447">
        <f t="shared" si="84"/>
        <v>212</v>
      </c>
      <c r="L5447" s="8" t="str" cm="1">
        <f t="array" ref="L5447">_xlfn.IFS(
 AND(K5447&gt;=89,K5447&lt;=92),"3개월",
 AND(K5447&gt;=58,K5447&lt;=62),"2개월",
 AND(K5447&gt;=28,K5447&lt;=32),"1개월",
 AND(K5447=0),"당월",
 TRUE,"그외"
)</f>
        <v>그외</v>
      </c>
    </row>
    <row r="5448" spans="1:12" x14ac:dyDescent="0.3">
      <c r="A5448" s="5">
        <v>45717</v>
      </c>
      <c r="B5448" s="6" t="s">
        <v>20</v>
      </c>
      <c r="C5448" s="6" t="s">
        <v>31</v>
      </c>
      <c r="D5448" s="5">
        <v>45536</v>
      </c>
      <c r="E5448" s="6" t="s">
        <v>15</v>
      </c>
      <c r="F5448" s="7">
        <v>143</v>
      </c>
      <c r="G5448" s="7">
        <v>138001.7902097902</v>
      </c>
      <c r="H5448" s="7">
        <v>19734256</v>
      </c>
      <c r="I5448" s="7">
        <v>4136563</v>
      </c>
      <c r="J5448" s="7">
        <v>0</v>
      </c>
      <c r="K5448">
        <f t="shared" si="84"/>
        <v>181</v>
      </c>
      <c r="L5448" s="8" t="str" cm="1">
        <f t="array" ref="L5448">_xlfn.IFS(
 AND(K5448&gt;=89,K5448&lt;=92),"3개월",
 AND(K5448&gt;=58,K5448&lt;=62),"2개월",
 AND(K5448&gt;=28,K5448&lt;=32),"1개월",
 AND(K5448=0),"당월",
 TRUE,"그외"
)</f>
        <v>그외</v>
      </c>
    </row>
    <row r="5449" spans="1:12" x14ac:dyDescent="0.3">
      <c r="A5449" s="5">
        <v>45717</v>
      </c>
      <c r="B5449" s="6" t="s">
        <v>20</v>
      </c>
      <c r="C5449" s="6" t="s">
        <v>31</v>
      </c>
      <c r="D5449" s="5">
        <v>45566</v>
      </c>
      <c r="E5449" s="6" t="s">
        <v>15</v>
      </c>
      <c r="F5449" s="7">
        <v>290</v>
      </c>
      <c r="G5449" s="7">
        <v>134945.31034482759</v>
      </c>
      <c r="H5449" s="7">
        <v>39134140</v>
      </c>
      <c r="I5449" s="7">
        <v>7359734</v>
      </c>
      <c r="J5449" s="7">
        <v>0</v>
      </c>
      <c r="K5449">
        <f t="shared" si="84"/>
        <v>151</v>
      </c>
      <c r="L5449" s="8" t="str" cm="1">
        <f t="array" ref="L5449">_xlfn.IFS(
 AND(K5449&gt;=89,K5449&lt;=92),"3개월",
 AND(K5449&gt;=58,K5449&lt;=62),"2개월",
 AND(K5449&gt;=28,K5449&lt;=32),"1개월",
 AND(K5449=0),"당월",
 TRUE,"그외"
)</f>
        <v>그외</v>
      </c>
    </row>
    <row r="5450" spans="1:12" x14ac:dyDescent="0.3">
      <c r="A5450" s="5">
        <v>45717</v>
      </c>
      <c r="B5450" s="6" t="s">
        <v>20</v>
      </c>
      <c r="C5450" s="6" t="s">
        <v>31</v>
      </c>
      <c r="D5450" s="5">
        <v>45597</v>
      </c>
      <c r="E5450" s="6" t="s">
        <v>15</v>
      </c>
      <c r="F5450" s="7">
        <v>494</v>
      </c>
      <c r="G5450" s="7">
        <v>132452.0789473684</v>
      </c>
      <c r="H5450" s="7">
        <v>65431327</v>
      </c>
      <c r="I5450" s="7">
        <v>11771665</v>
      </c>
      <c r="J5450" s="7">
        <v>0</v>
      </c>
      <c r="K5450">
        <f t="shared" ref="K5450:K5513" si="85">A5450-D5450</f>
        <v>120</v>
      </c>
      <c r="L5450" s="8" t="str" cm="1">
        <f t="array" ref="L5450">_xlfn.IFS(
 AND(K5450&gt;=89,K5450&lt;=92),"3개월",
 AND(K5450&gt;=58,K5450&lt;=62),"2개월",
 AND(K5450&gt;=28,K5450&lt;=32),"1개월",
 AND(K5450=0),"당월",
 TRUE,"그외"
)</f>
        <v>그외</v>
      </c>
    </row>
    <row r="5451" spans="1:12" x14ac:dyDescent="0.3">
      <c r="A5451" s="5">
        <v>45717</v>
      </c>
      <c r="B5451" s="6" t="s">
        <v>20</v>
      </c>
      <c r="C5451" s="6" t="s">
        <v>31</v>
      </c>
      <c r="D5451" s="5">
        <v>45627</v>
      </c>
      <c r="E5451" s="6" t="s">
        <v>14</v>
      </c>
      <c r="F5451" s="7">
        <v>18</v>
      </c>
      <c r="G5451" s="7">
        <v>162100</v>
      </c>
      <c r="H5451" s="7">
        <v>2917800</v>
      </c>
      <c r="I5451" s="7">
        <v>199800</v>
      </c>
      <c r="J5451" s="7">
        <v>0</v>
      </c>
      <c r="K5451">
        <f t="shared" si="85"/>
        <v>90</v>
      </c>
      <c r="L5451" s="8" t="str" cm="1">
        <f t="array" ref="L5451">_xlfn.IFS(
 AND(K5451&gt;=89,K5451&lt;=92),"3개월",
 AND(K5451&gt;=58,K5451&lt;=62),"2개월",
 AND(K5451&gt;=28,K5451&lt;=32),"1개월",
 AND(K5451=0),"당월",
 TRUE,"그외"
)</f>
        <v>3개월</v>
      </c>
    </row>
    <row r="5452" spans="1:12" x14ac:dyDescent="0.3">
      <c r="A5452" s="5">
        <v>45717</v>
      </c>
      <c r="B5452" s="6" t="s">
        <v>20</v>
      </c>
      <c r="C5452" s="6" t="s">
        <v>31</v>
      </c>
      <c r="D5452" s="5">
        <v>45627</v>
      </c>
      <c r="E5452" s="6" t="s">
        <v>15</v>
      </c>
      <c r="F5452" s="7">
        <v>865</v>
      </c>
      <c r="G5452" s="7">
        <v>143664.26242774571</v>
      </c>
      <c r="H5452" s="7">
        <v>124269587</v>
      </c>
      <c r="I5452" s="7">
        <v>15703417</v>
      </c>
      <c r="J5452" s="7">
        <v>0</v>
      </c>
      <c r="K5452">
        <f t="shared" si="85"/>
        <v>90</v>
      </c>
      <c r="L5452" s="8" t="str" cm="1">
        <f t="array" ref="L5452">_xlfn.IFS(
 AND(K5452&gt;=89,K5452&lt;=92),"3개월",
 AND(K5452&gt;=58,K5452&lt;=62),"2개월",
 AND(K5452&gt;=28,K5452&lt;=32),"1개월",
 AND(K5452=0),"당월",
 TRUE,"그외"
)</f>
        <v>3개월</v>
      </c>
    </row>
    <row r="5453" spans="1:12" x14ac:dyDescent="0.3">
      <c r="A5453" s="5">
        <v>45717</v>
      </c>
      <c r="B5453" s="6" t="s">
        <v>20</v>
      </c>
      <c r="C5453" s="6" t="s">
        <v>31</v>
      </c>
      <c r="D5453" s="5">
        <v>45658</v>
      </c>
      <c r="E5453" s="6" t="s">
        <v>14</v>
      </c>
      <c r="F5453" s="7">
        <v>34</v>
      </c>
      <c r="G5453" s="7">
        <v>97146.411764705888</v>
      </c>
      <c r="H5453" s="7">
        <v>3302978</v>
      </c>
      <c r="I5453" s="7">
        <v>419020</v>
      </c>
      <c r="J5453" s="7">
        <v>0</v>
      </c>
      <c r="K5453">
        <f t="shared" si="85"/>
        <v>59</v>
      </c>
      <c r="L5453" s="8" t="str" cm="1">
        <f t="array" ref="L5453">_xlfn.IFS(
 AND(K5453&gt;=89,K5453&lt;=92),"3개월",
 AND(K5453&gt;=58,K5453&lt;=62),"2개월",
 AND(K5453&gt;=28,K5453&lt;=32),"1개월",
 AND(K5453=0),"당월",
 TRUE,"그외"
)</f>
        <v>2개월</v>
      </c>
    </row>
    <row r="5454" spans="1:12" x14ac:dyDescent="0.3">
      <c r="A5454" s="5">
        <v>45717</v>
      </c>
      <c r="B5454" s="6" t="s">
        <v>20</v>
      </c>
      <c r="C5454" s="6" t="s">
        <v>31</v>
      </c>
      <c r="D5454" s="5">
        <v>45658</v>
      </c>
      <c r="E5454" s="6" t="s">
        <v>15</v>
      </c>
      <c r="F5454" s="7">
        <v>2087</v>
      </c>
      <c r="G5454" s="7">
        <v>152544.4738859607</v>
      </c>
      <c r="H5454" s="7">
        <v>318360317</v>
      </c>
      <c r="I5454" s="7">
        <v>40994119</v>
      </c>
      <c r="J5454" s="7">
        <v>0</v>
      </c>
      <c r="K5454">
        <f t="shared" si="85"/>
        <v>59</v>
      </c>
      <c r="L5454" s="8" t="str" cm="1">
        <f t="array" ref="L5454">_xlfn.IFS(
 AND(K5454&gt;=89,K5454&lt;=92),"3개월",
 AND(K5454&gt;=58,K5454&lt;=62),"2개월",
 AND(K5454&gt;=28,K5454&lt;=32),"1개월",
 AND(K5454=0),"당월",
 TRUE,"그외"
)</f>
        <v>2개월</v>
      </c>
    </row>
    <row r="5455" spans="1:12" x14ac:dyDescent="0.3">
      <c r="A5455" s="5">
        <v>45717</v>
      </c>
      <c r="B5455" s="6" t="s">
        <v>20</v>
      </c>
      <c r="C5455" s="6" t="s">
        <v>31</v>
      </c>
      <c r="D5455" s="5">
        <v>45689</v>
      </c>
      <c r="E5455" s="6" t="s">
        <v>14</v>
      </c>
      <c r="F5455" s="7">
        <v>649</v>
      </c>
      <c r="G5455" s="7">
        <v>120529.5331278891</v>
      </c>
      <c r="H5455" s="7">
        <v>78223667</v>
      </c>
      <c r="I5455" s="7">
        <v>11687974</v>
      </c>
      <c r="J5455" s="7">
        <v>0</v>
      </c>
      <c r="K5455">
        <f t="shared" si="85"/>
        <v>28</v>
      </c>
      <c r="L5455" s="8" t="str" cm="1">
        <f t="array" ref="L5455">_xlfn.IFS(
 AND(K5455&gt;=89,K5455&lt;=92),"3개월",
 AND(K5455&gt;=58,K5455&lt;=62),"2개월",
 AND(K5455&gt;=28,K5455&lt;=32),"1개월",
 AND(K5455=0),"당월",
 TRUE,"그외"
)</f>
        <v>1개월</v>
      </c>
    </row>
    <row r="5456" spans="1:12" x14ac:dyDescent="0.3">
      <c r="A5456" s="5">
        <v>45717</v>
      </c>
      <c r="B5456" s="6" t="s">
        <v>20</v>
      </c>
      <c r="C5456" s="6" t="s">
        <v>31</v>
      </c>
      <c r="D5456" s="5">
        <v>45689</v>
      </c>
      <c r="E5456" s="6" t="s">
        <v>15</v>
      </c>
      <c r="F5456" s="7">
        <v>3964</v>
      </c>
      <c r="G5456" s="7">
        <v>145777.23990918271</v>
      </c>
      <c r="H5456" s="7">
        <v>577860979</v>
      </c>
      <c r="I5456" s="7">
        <v>77907318</v>
      </c>
      <c r="J5456" s="7">
        <v>0</v>
      </c>
      <c r="K5456">
        <f t="shared" si="85"/>
        <v>28</v>
      </c>
      <c r="L5456" s="8" t="str" cm="1">
        <f t="array" ref="L5456">_xlfn.IFS(
 AND(K5456&gt;=89,K5456&lt;=92),"3개월",
 AND(K5456&gt;=58,K5456&lt;=62),"2개월",
 AND(K5456&gt;=28,K5456&lt;=32),"1개월",
 AND(K5456=0),"당월",
 TRUE,"그외"
)</f>
        <v>1개월</v>
      </c>
    </row>
    <row r="5457" spans="1:12" x14ac:dyDescent="0.3">
      <c r="A5457" s="5">
        <v>45717</v>
      </c>
      <c r="B5457" s="6" t="s">
        <v>20</v>
      </c>
      <c r="C5457" s="6" t="s">
        <v>31</v>
      </c>
      <c r="D5457" s="5">
        <v>45717</v>
      </c>
      <c r="E5457" s="6" t="s">
        <v>14</v>
      </c>
      <c r="F5457" s="7">
        <v>290</v>
      </c>
      <c r="G5457" s="7">
        <v>116519.7103448276</v>
      </c>
      <c r="H5457" s="7">
        <v>33790716</v>
      </c>
      <c r="I5457" s="7">
        <v>5187983</v>
      </c>
      <c r="J5457" s="7">
        <v>0</v>
      </c>
      <c r="K5457">
        <f t="shared" si="85"/>
        <v>0</v>
      </c>
      <c r="L5457" s="8" t="str" cm="1">
        <f t="array" ref="L5457">_xlfn.IFS(
 AND(K5457&gt;=89,K5457&lt;=92),"3개월",
 AND(K5457&gt;=58,K5457&lt;=62),"2개월",
 AND(K5457&gt;=28,K5457&lt;=32),"1개월",
 AND(K5457=0),"당월",
 TRUE,"그외"
)</f>
        <v>당월</v>
      </c>
    </row>
    <row r="5458" spans="1:12" x14ac:dyDescent="0.3">
      <c r="A5458" s="5">
        <v>45717</v>
      </c>
      <c r="B5458" s="6" t="s">
        <v>20</v>
      </c>
      <c r="C5458" s="6" t="s">
        <v>31</v>
      </c>
      <c r="D5458" s="5">
        <v>45717</v>
      </c>
      <c r="E5458" s="6" t="s">
        <v>15</v>
      </c>
      <c r="F5458" s="7">
        <v>2027</v>
      </c>
      <c r="G5458" s="7">
        <v>158165.31080414401</v>
      </c>
      <c r="H5458" s="7">
        <v>320601085</v>
      </c>
      <c r="I5458" s="7">
        <v>44461987</v>
      </c>
      <c r="J5458" s="7">
        <v>0</v>
      </c>
      <c r="K5458">
        <f t="shared" si="85"/>
        <v>0</v>
      </c>
      <c r="L5458" s="8" t="str" cm="1">
        <f t="array" ref="L5458">_xlfn.IFS(
 AND(K5458&gt;=89,K5458&lt;=92),"3개월",
 AND(K5458&gt;=58,K5458&lt;=62),"2개월",
 AND(K5458&gt;=28,K5458&lt;=32),"1개월",
 AND(K5458=0),"당월",
 TRUE,"그외"
)</f>
        <v>당월</v>
      </c>
    </row>
    <row r="5459" spans="1:12" x14ac:dyDescent="0.3">
      <c r="A5459" s="5">
        <v>45717</v>
      </c>
      <c r="B5459" s="6" t="s">
        <v>20</v>
      </c>
      <c r="C5459" s="6" t="s">
        <v>32</v>
      </c>
      <c r="D5459" s="5">
        <v>45474</v>
      </c>
      <c r="E5459" s="6" t="s">
        <v>15</v>
      </c>
      <c r="F5459" s="7">
        <v>4</v>
      </c>
      <c r="G5459" s="7">
        <v>141900</v>
      </c>
      <c r="H5459" s="7">
        <v>567600</v>
      </c>
      <c r="I5459" s="7">
        <v>87600</v>
      </c>
      <c r="J5459" s="7">
        <v>0</v>
      </c>
      <c r="K5459">
        <f t="shared" si="85"/>
        <v>243</v>
      </c>
      <c r="L5459" s="8" t="str" cm="1">
        <f t="array" ref="L5459">_xlfn.IFS(
 AND(K5459&gt;=89,K5459&lt;=92),"3개월",
 AND(K5459&gt;=58,K5459&lt;=62),"2개월",
 AND(K5459&gt;=28,K5459&lt;=32),"1개월",
 AND(K5459=0),"당월",
 TRUE,"그외"
)</f>
        <v>그외</v>
      </c>
    </row>
    <row r="5460" spans="1:12" x14ac:dyDescent="0.3">
      <c r="A5460" s="5">
        <v>45717</v>
      </c>
      <c r="B5460" s="6" t="s">
        <v>20</v>
      </c>
      <c r="C5460" s="6" t="s">
        <v>32</v>
      </c>
      <c r="D5460" s="5">
        <v>45505</v>
      </c>
      <c r="E5460" s="6" t="s">
        <v>15</v>
      </c>
      <c r="F5460" s="7">
        <v>402</v>
      </c>
      <c r="G5460" s="7">
        <v>98498.093631840791</v>
      </c>
      <c r="H5460" s="7">
        <v>39596233.640000001</v>
      </c>
      <c r="I5460" s="7">
        <v>11177151.640000001</v>
      </c>
      <c r="J5460" s="7">
        <v>0</v>
      </c>
      <c r="K5460">
        <f t="shared" si="85"/>
        <v>212</v>
      </c>
      <c r="L5460" s="8" t="str" cm="1">
        <f t="array" ref="L5460">_xlfn.IFS(
 AND(K5460&gt;=89,K5460&lt;=92),"3개월",
 AND(K5460&gt;=58,K5460&lt;=62),"2개월",
 AND(K5460&gt;=28,K5460&lt;=32),"1개월",
 AND(K5460=0),"당월",
 TRUE,"그외"
)</f>
        <v>그외</v>
      </c>
    </row>
    <row r="5461" spans="1:12" x14ac:dyDescent="0.3">
      <c r="A5461" s="5">
        <v>45717</v>
      </c>
      <c r="B5461" s="6" t="s">
        <v>20</v>
      </c>
      <c r="C5461" s="6" t="s">
        <v>32</v>
      </c>
      <c r="D5461" s="5">
        <v>45536</v>
      </c>
      <c r="E5461" s="6" t="s">
        <v>15</v>
      </c>
      <c r="F5461" s="7">
        <v>352</v>
      </c>
      <c r="G5461" s="7">
        <v>128095.74147727271</v>
      </c>
      <c r="H5461" s="7">
        <v>45089701</v>
      </c>
      <c r="I5461" s="7">
        <v>10103709</v>
      </c>
      <c r="J5461" s="7">
        <v>0</v>
      </c>
      <c r="K5461">
        <f t="shared" si="85"/>
        <v>181</v>
      </c>
      <c r="L5461" s="8" t="str" cm="1">
        <f t="array" ref="L5461">_xlfn.IFS(
 AND(K5461&gt;=89,K5461&lt;=92),"3개월",
 AND(K5461&gt;=58,K5461&lt;=62),"2개월",
 AND(K5461&gt;=28,K5461&lt;=32),"1개월",
 AND(K5461=0),"당월",
 TRUE,"그외"
)</f>
        <v>그외</v>
      </c>
    </row>
    <row r="5462" spans="1:12" x14ac:dyDescent="0.3">
      <c r="A5462" s="5">
        <v>45717</v>
      </c>
      <c r="B5462" s="6" t="s">
        <v>20</v>
      </c>
      <c r="C5462" s="6" t="s">
        <v>32</v>
      </c>
      <c r="D5462" s="5">
        <v>45566</v>
      </c>
      <c r="E5462" s="6" t="s">
        <v>15</v>
      </c>
      <c r="F5462" s="7">
        <v>1519</v>
      </c>
      <c r="G5462" s="7">
        <v>121318.20473996051</v>
      </c>
      <c r="H5462" s="7">
        <v>184282353</v>
      </c>
      <c r="I5462" s="7">
        <v>32709689</v>
      </c>
      <c r="J5462" s="7">
        <v>0</v>
      </c>
      <c r="K5462">
        <f t="shared" si="85"/>
        <v>151</v>
      </c>
      <c r="L5462" s="8" t="str" cm="1">
        <f t="array" ref="L5462">_xlfn.IFS(
 AND(K5462&gt;=89,K5462&lt;=92),"3개월",
 AND(K5462&gt;=58,K5462&lt;=62),"2개월",
 AND(K5462&gt;=28,K5462&lt;=32),"1개월",
 AND(K5462=0),"당월",
 TRUE,"그외"
)</f>
        <v>그외</v>
      </c>
    </row>
    <row r="5463" spans="1:12" x14ac:dyDescent="0.3">
      <c r="A5463" s="5">
        <v>45717</v>
      </c>
      <c r="B5463" s="6" t="s">
        <v>20</v>
      </c>
      <c r="C5463" s="6" t="s">
        <v>32</v>
      </c>
      <c r="D5463" s="5">
        <v>45597</v>
      </c>
      <c r="E5463" s="6" t="s">
        <v>15</v>
      </c>
      <c r="F5463" s="7">
        <v>2411</v>
      </c>
      <c r="G5463" s="7">
        <v>124707.59684778099</v>
      </c>
      <c r="H5463" s="7">
        <v>300670016</v>
      </c>
      <c r="I5463" s="7">
        <v>57063381</v>
      </c>
      <c r="J5463" s="7">
        <v>0</v>
      </c>
      <c r="K5463">
        <f t="shared" si="85"/>
        <v>120</v>
      </c>
      <c r="L5463" s="8" t="str" cm="1">
        <f t="array" ref="L5463">_xlfn.IFS(
 AND(K5463&gt;=89,K5463&lt;=92),"3개월",
 AND(K5463&gt;=58,K5463&lt;=62),"2개월",
 AND(K5463&gt;=28,K5463&lt;=32),"1개월",
 AND(K5463=0),"당월",
 TRUE,"그외"
)</f>
        <v>그외</v>
      </c>
    </row>
    <row r="5464" spans="1:12" x14ac:dyDescent="0.3">
      <c r="A5464" s="5">
        <v>45717</v>
      </c>
      <c r="B5464" s="6" t="s">
        <v>20</v>
      </c>
      <c r="C5464" s="6" t="s">
        <v>32</v>
      </c>
      <c r="D5464" s="5">
        <v>45627</v>
      </c>
      <c r="E5464" s="6" t="s">
        <v>14</v>
      </c>
      <c r="F5464" s="7">
        <v>90</v>
      </c>
      <c r="G5464" s="7">
        <v>130288.88888888891</v>
      </c>
      <c r="H5464" s="7">
        <v>11726000</v>
      </c>
      <c r="I5464" s="7">
        <v>1746000</v>
      </c>
      <c r="J5464" s="7">
        <v>0</v>
      </c>
      <c r="K5464">
        <f t="shared" si="85"/>
        <v>90</v>
      </c>
      <c r="L5464" s="8" t="str" cm="1">
        <f t="array" ref="L5464">_xlfn.IFS(
 AND(K5464&gt;=89,K5464&lt;=92),"3개월",
 AND(K5464&gt;=58,K5464&lt;=62),"2개월",
 AND(K5464&gt;=28,K5464&lt;=32),"1개월",
 AND(K5464=0),"당월",
 TRUE,"그외"
)</f>
        <v>3개월</v>
      </c>
    </row>
    <row r="5465" spans="1:12" x14ac:dyDescent="0.3">
      <c r="A5465" s="5">
        <v>45717</v>
      </c>
      <c r="B5465" s="6" t="s">
        <v>20</v>
      </c>
      <c r="C5465" s="6" t="s">
        <v>32</v>
      </c>
      <c r="D5465" s="5">
        <v>45627</v>
      </c>
      <c r="E5465" s="6" t="s">
        <v>15</v>
      </c>
      <c r="F5465" s="7">
        <v>2334</v>
      </c>
      <c r="G5465" s="7">
        <v>125377.39117395029</v>
      </c>
      <c r="H5465" s="7">
        <v>292630831</v>
      </c>
      <c r="I5465" s="7">
        <v>52761341</v>
      </c>
      <c r="J5465" s="7">
        <v>0</v>
      </c>
      <c r="K5465">
        <f t="shared" si="85"/>
        <v>90</v>
      </c>
      <c r="L5465" s="8" t="str" cm="1">
        <f t="array" ref="L5465">_xlfn.IFS(
 AND(K5465&gt;=89,K5465&lt;=92),"3개월",
 AND(K5465&gt;=58,K5465&lt;=62),"2개월",
 AND(K5465&gt;=28,K5465&lt;=32),"1개월",
 AND(K5465=0),"당월",
 TRUE,"그외"
)</f>
        <v>3개월</v>
      </c>
    </row>
    <row r="5466" spans="1:12" x14ac:dyDescent="0.3">
      <c r="A5466" s="5">
        <v>45717</v>
      </c>
      <c r="B5466" s="6" t="s">
        <v>20</v>
      </c>
      <c r="C5466" s="6" t="s">
        <v>32</v>
      </c>
      <c r="D5466" s="5">
        <v>45658</v>
      </c>
      <c r="E5466" s="6" t="s">
        <v>14</v>
      </c>
      <c r="F5466" s="7">
        <v>521</v>
      </c>
      <c r="G5466" s="7">
        <v>120781.10940499041</v>
      </c>
      <c r="H5466" s="7">
        <v>62926958</v>
      </c>
      <c r="I5466" s="7">
        <v>10655121</v>
      </c>
      <c r="J5466" s="7">
        <v>0</v>
      </c>
      <c r="K5466">
        <f t="shared" si="85"/>
        <v>59</v>
      </c>
      <c r="L5466" s="8" t="str" cm="1">
        <f t="array" ref="L5466">_xlfn.IFS(
 AND(K5466&gt;=89,K5466&lt;=92),"3개월",
 AND(K5466&gt;=58,K5466&lt;=62),"2개월",
 AND(K5466&gt;=28,K5466&lt;=32),"1개월",
 AND(K5466=0),"당월",
 TRUE,"그외"
)</f>
        <v>2개월</v>
      </c>
    </row>
    <row r="5467" spans="1:12" x14ac:dyDescent="0.3">
      <c r="A5467" s="5">
        <v>45717</v>
      </c>
      <c r="B5467" s="6" t="s">
        <v>20</v>
      </c>
      <c r="C5467" s="6" t="s">
        <v>32</v>
      </c>
      <c r="D5467" s="5">
        <v>45658</v>
      </c>
      <c r="E5467" s="6" t="s">
        <v>15</v>
      </c>
      <c r="F5467" s="7">
        <v>10102</v>
      </c>
      <c r="G5467" s="7">
        <v>123892.7963769551</v>
      </c>
      <c r="H5467" s="7">
        <v>1251565029</v>
      </c>
      <c r="I5467" s="7">
        <v>234420488</v>
      </c>
      <c r="J5467" s="7">
        <v>0</v>
      </c>
      <c r="K5467">
        <f t="shared" si="85"/>
        <v>59</v>
      </c>
      <c r="L5467" s="8" t="str" cm="1">
        <f t="array" ref="L5467">_xlfn.IFS(
 AND(K5467&gt;=89,K5467&lt;=92),"3개월",
 AND(K5467&gt;=58,K5467&lt;=62),"2개월",
 AND(K5467&gt;=28,K5467&lt;=32),"1개월",
 AND(K5467=0),"당월",
 TRUE,"그외"
)</f>
        <v>2개월</v>
      </c>
    </row>
    <row r="5468" spans="1:12" x14ac:dyDescent="0.3">
      <c r="A5468" s="5">
        <v>45717</v>
      </c>
      <c r="B5468" s="6" t="s">
        <v>20</v>
      </c>
      <c r="C5468" s="6" t="s">
        <v>32</v>
      </c>
      <c r="D5468" s="5">
        <v>45689</v>
      </c>
      <c r="E5468" s="6" t="s">
        <v>14</v>
      </c>
      <c r="F5468" s="7">
        <v>1632</v>
      </c>
      <c r="G5468" s="7">
        <v>171544.6776960784</v>
      </c>
      <c r="H5468" s="7">
        <v>279960914</v>
      </c>
      <c r="I5468" s="7">
        <v>38257609</v>
      </c>
      <c r="J5468" s="7">
        <v>0</v>
      </c>
      <c r="K5468">
        <f t="shared" si="85"/>
        <v>28</v>
      </c>
      <c r="L5468" s="8" t="str" cm="1">
        <f t="array" ref="L5468">_xlfn.IFS(
 AND(K5468&gt;=89,K5468&lt;=92),"3개월",
 AND(K5468&gt;=58,K5468&lt;=62),"2개월",
 AND(K5468&gt;=28,K5468&lt;=32),"1개월",
 AND(K5468=0),"당월",
 TRUE,"그외"
)</f>
        <v>1개월</v>
      </c>
    </row>
    <row r="5469" spans="1:12" x14ac:dyDescent="0.3">
      <c r="A5469" s="5">
        <v>45717</v>
      </c>
      <c r="B5469" s="6" t="s">
        <v>20</v>
      </c>
      <c r="C5469" s="6" t="s">
        <v>32</v>
      </c>
      <c r="D5469" s="5">
        <v>45689</v>
      </c>
      <c r="E5469" s="6" t="s">
        <v>15</v>
      </c>
      <c r="F5469" s="7">
        <v>16171</v>
      </c>
      <c r="G5469" s="7">
        <v>165794.16974831489</v>
      </c>
      <c r="H5469" s="7">
        <v>2681057519</v>
      </c>
      <c r="I5469" s="7">
        <v>420968324</v>
      </c>
      <c r="J5469" s="7">
        <v>0</v>
      </c>
      <c r="K5469">
        <f t="shared" si="85"/>
        <v>28</v>
      </c>
      <c r="L5469" s="8" t="str" cm="1">
        <f t="array" ref="L5469">_xlfn.IFS(
 AND(K5469&gt;=89,K5469&lt;=92),"3개월",
 AND(K5469&gt;=58,K5469&lt;=62),"2개월",
 AND(K5469&gt;=28,K5469&lt;=32),"1개월",
 AND(K5469=0),"당월",
 TRUE,"그외"
)</f>
        <v>1개월</v>
      </c>
    </row>
    <row r="5470" spans="1:12" x14ac:dyDescent="0.3">
      <c r="A5470" s="5">
        <v>45717</v>
      </c>
      <c r="B5470" s="6" t="s">
        <v>20</v>
      </c>
      <c r="C5470" s="6" t="s">
        <v>32</v>
      </c>
      <c r="D5470" s="5">
        <v>45717</v>
      </c>
      <c r="E5470" s="6" t="s">
        <v>14</v>
      </c>
      <c r="F5470" s="7">
        <v>788</v>
      </c>
      <c r="G5470" s="7">
        <v>162682.54949238579</v>
      </c>
      <c r="H5470" s="7">
        <v>128193849</v>
      </c>
      <c r="I5470" s="7">
        <v>19278845</v>
      </c>
      <c r="J5470" s="7">
        <v>0</v>
      </c>
      <c r="K5470">
        <f t="shared" si="85"/>
        <v>0</v>
      </c>
      <c r="L5470" s="8" t="str" cm="1">
        <f t="array" ref="L5470">_xlfn.IFS(
 AND(K5470&gt;=89,K5470&lt;=92),"3개월",
 AND(K5470&gt;=58,K5470&lt;=62),"2개월",
 AND(K5470&gt;=28,K5470&lt;=32),"1개월",
 AND(K5470=0),"당월",
 TRUE,"그외"
)</f>
        <v>당월</v>
      </c>
    </row>
    <row r="5471" spans="1:12" x14ac:dyDescent="0.3">
      <c r="A5471" s="5">
        <v>45717</v>
      </c>
      <c r="B5471" s="6" t="s">
        <v>20</v>
      </c>
      <c r="C5471" s="6" t="s">
        <v>32</v>
      </c>
      <c r="D5471" s="5">
        <v>45717</v>
      </c>
      <c r="E5471" s="6" t="s">
        <v>15</v>
      </c>
      <c r="F5471" s="7">
        <v>5220</v>
      </c>
      <c r="G5471" s="7">
        <v>225053.00134099621</v>
      </c>
      <c r="H5471" s="7">
        <v>1174776667</v>
      </c>
      <c r="I5471" s="7">
        <v>152294291</v>
      </c>
      <c r="J5471" s="7">
        <v>0</v>
      </c>
      <c r="K5471">
        <f t="shared" si="85"/>
        <v>0</v>
      </c>
      <c r="L5471" s="8" t="str" cm="1">
        <f t="array" ref="L5471">_xlfn.IFS(
 AND(K5471&gt;=89,K5471&lt;=92),"3개월",
 AND(K5471&gt;=58,K5471&lt;=62),"2개월",
 AND(K5471&gt;=28,K5471&lt;=32),"1개월",
 AND(K5471=0),"당월",
 TRUE,"그외"
)</f>
        <v>당월</v>
      </c>
    </row>
    <row r="5472" spans="1:12" x14ac:dyDescent="0.3">
      <c r="A5472" s="5">
        <v>45717</v>
      </c>
      <c r="B5472" s="6" t="s">
        <v>20</v>
      </c>
      <c r="C5472" s="6" t="s">
        <v>33</v>
      </c>
      <c r="D5472" s="5">
        <v>45474</v>
      </c>
      <c r="E5472" s="6" t="s">
        <v>15</v>
      </c>
      <c r="F5472" s="7">
        <v>1</v>
      </c>
      <c r="G5472" s="7">
        <v>151050</v>
      </c>
      <c r="H5472" s="7">
        <v>151050</v>
      </c>
      <c r="I5472" s="7">
        <v>43157</v>
      </c>
      <c r="J5472" s="7">
        <v>0</v>
      </c>
      <c r="K5472">
        <f t="shared" si="85"/>
        <v>243</v>
      </c>
      <c r="L5472" s="8" t="str" cm="1">
        <f t="array" ref="L5472">_xlfn.IFS(
 AND(K5472&gt;=89,K5472&lt;=92),"3개월",
 AND(K5472&gt;=58,K5472&lt;=62),"2개월",
 AND(K5472&gt;=28,K5472&lt;=32),"1개월",
 AND(K5472=0),"당월",
 TRUE,"그외"
)</f>
        <v>그외</v>
      </c>
    </row>
    <row r="5473" spans="1:12" x14ac:dyDescent="0.3">
      <c r="A5473" s="5">
        <v>45717</v>
      </c>
      <c r="B5473" s="6" t="s">
        <v>20</v>
      </c>
      <c r="C5473" s="6" t="s">
        <v>33</v>
      </c>
      <c r="D5473" s="5">
        <v>45505</v>
      </c>
      <c r="E5473" s="6" t="s">
        <v>15</v>
      </c>
      <c r="F5473" s="7">
        <v>83</v>
      </c>
      <c r="G5473" s="7">
        <v>126319</v>
      </c>
      <c r="H5473" s="7">
        <v>10484477</v>
      </c>
      <c r="I5473" s="7">
        <v>2246155</v>
      </c>
      <c r="J5473" s="7">
        <v>0</v>
      </c>
      <c r="K5473">
        <f t="shared" si="85"/>
        <v>212</v>
      </c>
      <c r="L5473" s="8" t="str" cm="1">
        <f t="array" ref="L5473">_xlfn.IFS(
 AND(K5473&gt;=89,K5473&lt;=92),"3개월",
 AND(K5473&gt;=58,K5473&lt;=62),"2개월",
 AND(K5473&gt;=28,K5473&lt;=32),"1개월",
 AND(K5473=0),"당월",
 TRUE,"그외"
)</f>
        <v>그외</v>
      </c>
    </row>
    <row r="5474" spans="1:12" x14ac:dyDescent="0.3">
      <c r="A5474" s="5">
        <v>45717</v>
      </c>
      <c r="B5474" s="6" t="s">
        <v>20</v>
      </c>
      <c r="C5474" s="6" t="s">
        <v>33</v>
      </c>
      <c r="D5474" s="5">
        <v>45536</v>
      </c>
      <c r="E5474" s="6" t="s">
        <v>15</v>
      </c>
      <c r="F5474" s="7">
        <v>71</v>
      </c>
      <c r="G5474" s="7">
        <v>193933.01408450701</v>
      </c>
      <c r="H5474" s="7">
        <v>13769244</v>
      </c>
      <c r="I5474" s="7">
        <v>2123232</v>
      </c>
      <c r="J5474" s="7">
        <v>0</v>
      </c>
      <c r="K5474">
        <f t="shared" si="85"/>
        <v>181</v>
      </c>
      <c r="L5474" s="8" t="str" cm="1">
        <f t="array" ref="L5474">_xlfn.IFS(
 AND(K5474&gt;=89,K5474&lt;=92),"3개월",
 AND(K5474&gt;=58,K5474&lt;=62),"2개월",
 AND(K5474&gt;=28,K5474&lt;=32),"1개월",
 AND(K5474=0),"당월",
 TRUE,"그외"
)</f>
        <v>그외</v>
      </c>
    </row>
    <row r="5475" spans="1:12" x14ac:dyDescent="0.3">
      <c r="A5475" s="5">
        <v>45717</v>
      </c>
      <c r="B5475" s="6" t="s">
        <v>20</v>
      </c>
      <c r="C5475" s="6" t="s">
        <v>33</v>
      </c>
      <c r="D5475" s="5">
        <v>45566</v>
      </c>
      <c r="E5475" s="6" t="s">
        <v>15</v>
      </c>
      <c r="F5475" s="7">
        <v>198</v>
      </c>
      <c r="G5475" s="7">
        <v>167873.2828282828</v>
      </c>
      <c r="H5475" s="7">
        <v>33238910</v>
      </c>
      <c r="I5475" s="7">
        <v>3737572</v>
      </c>
      <c r="J5475" s="7">
        <v>0</v>
      </c>
      <c r="K5475">
        <f t="shared" si="85"/>
        <v>151</v>
      </c>
      <c r="L5475" s="8" t="str" cm="1">
        <f t="array" ref="L5475">_xlfn.IFS(
 AND(K5475&gt;=89,K5475&lt;=92),"3개월",
 AND(K5475&gt;=58,K5475&lt;=62),"2개월",
 AND(K5475&gt;=28,K5475&lt;=32),"1개월",
 AND(K5475=0),"당월",
 TRUE,"그외"
)</f>
        <v>그외</v>
      </c>
    </row>
    <row r="5476" spans="1:12" x14ac:dyDescent="0.3">
      <c r="A5476" s="5">
        <v>45717</v>
      </c>
      <c r="B5476" s="6" t="s">
        <v>20</v>
      </c>
      <c r="C5476" s="6" t="s">
        <v>33</v>
      </c>
      <c r="D5476" s="5">
        <v>45597</v>
      </c>
      <c r="E5476" s="6" t="s">
        <v>15</v>
      </c>
      <c r="F5476" s="7">
        <v>345</v>
      </c>
      <c r="G5476" s="7">
        <v>175254.04057971021</v>
      </c>
      <c r="H5476" s="7">
        <v>60462644</v>
      </c>
      <c r="I5476" s="7">
        <v>7073180</v>
      </c>
      <c r="J5476" s="7">
        <v>0</v>
      </c>
      <c r="K5476">
        <f t="shared" si="85"/>
        <v>120</v>
      </c>
      <c r="L5476" s="8" t="str" cm="1">
        <f t="array" ref="L5476">_xlfn.IFS(
 AND(K5476&gt;=89,K5476&lt;=92),"3개월",
 AND(K5476&gt;=58,K5476&lt;=62),"2개월",
 AND(K5476&gt;=28,K5476&lt;=32),"1개월",
 AND(K5476=0),"당월",
 TRUE,"그외"
)</f>
        <v>그외</v>
      </c>
    </row>
    <row r="5477" spans="1:12" x14ac:dyDescent="0.3">
      <c r="A5477" s="5">
        <v>45717</v>
      </c>
      <c r="B5477" s="6" t="s">
        <v>20</v>
      </c>
      <c r="C5477" s="6" t="s">
        <v>33</v>
      </c>
      <c r="D5477" s="5">
        <v>45627</v>
      </c>
      <c r="E5477" s="6" t="s">
        <v>15</v>
      </c>
      <c r="F5477" s="7">
        <v>703</v>
      </c>
      <c r="G5477" s="7">
        <v>171078.40540540541</v>
      </c>
      <c r="H5477" s="7">
        <v>120268119</v>
      </c>
      <c r="I5477" s="7">
        <v>14886139</v>
      </c>
      <c r="J5477" s="7">
        <v>0</v>
      </c>
      <c r="K5477">
        <f t="shared" si="85"/>
        <v>90</v>
      </c>
      <c r="L5477" s="8" t="str" cm="1">
        <f t="array" ref="L5477">_xlfn.IFS(
 AND(K5477&gt;=89,K5477&lt;=92),"3개월",
 AND(K5477&gt;=58,K5477&lt;=62),"2개월",
 AND(K5477&gt;=28,K5477&lt;=32),"1개월",
 AND(K5477=0),"당월",
 TRUE,"그외"
)</f>
        <v>3개월</v>
      </c>
    </row>
    <row r="5478" spans="1:12" x14ac:dyDescent="0.3">
      <c r="A5478" s="5">
        <v>45717</v>
      </c>
      <c r="B5478" s="6" t="s">
        <v>20</v>
      </c>
      <c r="C5478" s="6" t="s">
        <v>33</v>
      </c>
      <c r="D5478" s="5">
        <v>45658</v>
      </c>
      <c r="E5478" s="6" t="s">
        <v>14</v>
      </c>
      <c r="F5478" s="7">
        <v>239</v>
      </c>
      <c r="G5478" s="7">
        <v>203204.73640167361</v>
      </c>
      <c r="H5478" s="7">
        <v>48565932</v>
      </c>
      <c r="I5478" s="7">
        <v>4894489</v>
      </c>
      <c r="J5478" s="7">
        <v>0</v>
      </c>
      <c r="K5478">
        <f t="shared" si="85"/>
        <v>59</v>
      </c>
      <c r="L5478" s="8" t="str" cm="1">
        <f t="array" ref="L5478">_xlfn.IFS(
 AND(K5478&gt;=89,K5478&lt;=92),"3개월",
 AND(K5478&gt;=58,K5478&lt;=62),"2개월",
 AND(K5478&gt;=28,K5478&lt;=32),"1개월",
 AND(K5478=0),"당월",
 TRUE,"그외"
)</f>
        <v>2개월</v>
      </c>
    </row>
    <row r="5479" spans="1:12" x14ac:dyDescent="0.3">
      <c r="A5479" s="5">
        <v>45717</v>
      </c>
      <c r="B5479" s="6" t="s">
        <v>20</v>
      </c>
      <c r="C5479" s="6" t="s">
        <v>33</v>
      </c>
      <c r="D5479" s="5">
        <v>45658</v>
      </c>
      <c r="E5479" s="6" t="s">
        <v>15</v>
      </c>
      <c r="F5479" s="7">
        <v>2537</v>
      </c>
      <c r="G5479" s="7">
        <v>153566.94639337799</v>
      </c>
      <c r="H5479" s="7">
        <v>389599343</v>
      </c>
      <c r="I5479" s="7">
        <v>54601004</v>
      </c>
      <c r="J5479" s="7">
        <v>0</v>
      </c>
      <c r="K5479">
        <f t="shared" si="85"/>
        <v>59</v>
      </c>
      <c r="L5479" s="8" t="str" cm="1">
        <f t="array" ref="L5479">_xlfn.IFS(
 AND(K5479&gt;=89,K5479&lt;=92),"3개월",
 AND(K5479&gt;=58,K5479&lt;=62),"2개월",
 AND(K5479&gt;=28,K5479&lt;=32),"1개월",
 AND(K5479=0),"당월",
 TRUE,"그외"
)</f>
        <v>2개월</v>
      </c>
    </row>
    <row r="5480" spans="1:12" x14ac:dyDescent="0.3">
      <c r="A5480" s="5">
        <v>45717</v>
      </c>
      <c r="B5480" s="6" t="s">
        <v>20</v>
      </c>
      <c r="C5480" s="6" t="s">
        <v>33</v>
      </c>
      <c r="D5480" s="5">
        <v>45689</v>
      </c>
      <c r="E5480" s="6" t="s">
        <v>14</v>
      </c>
      <c r="F5480" s="7">
        <v>366</v>
      </c>
      <c r="G5480" s="7">
        <v>202160.10928961751</v>
      </c>
      <c r="H5480" s="7">
        <v>73990600</v>
      </c>
      <c r="I5480" s="7">
        <v>7463600</v>
      </c>
      <c r="J5480" s="7">
        <v>0</v>
      </c>
      <c r="K5480">
        <f t="shared" si="85"/>
        <v>28</v>
      </c>
      <c r="L5480" s="8" t="str" cm="1">
        <f t="array" ref="L5480">_xlfn.IFS(
 AND(K5480&gt;=89,K5480&lt;=92),"3개월",
 AND(K5480&gt;=58,K5480&lt;=62),"2개월",
 AND(K5480&gt;=28,K5480&lt;=32),"1개월",
 AND(K5480=0),"당월",
 TRUE,"그외"
)</f>
        <v>1개월</v>
      </c>
    </row>
    <row r="5481" spans="1:12" x14ac:dyDescent="0.3">
      <c r="A5481" s="5">
        <v>45717</v>
      </c>
      <c r="B5481" s="6" t="s">
        <v>20</v>
      </c>
      <c r="C5481" s="6" t="s">
        <v>33</v>
      </c>
      <c r="D5481" s="5">
        <v>45689</v>
      </c>
      <c r="E5481" s="6" t="s">
        <v>15</v>
      </c>
      <c r="F5481" s="7">
        <v>4787</v>
      </c>
      <c r="G5481" s="7">
        <v>173181.23166910381</v>
      </c>
      <c r="H5481" s="7">
        <v>829018556</v>
      </c>
      <c r="I5481" s="7">
        <v>109782711</v>
      </c>
      <c r="J5481" s="7">
        <v>0</v>
      </c>
      <c r="K5481">
        <f t="shared" si="85"/>
        <v>28</v>
      </c>
      <c r="L5481" s="8" t="str" cm="1">
        <f t="array" ref="L5481">_xlfn.IFS(
 AND(K5481&gt;=89,K5481&lt;=92),"3개월",
 AND(K5481&gt;=58,K5481&lt;=62),"2개월",
 AND(K5481&gt;=28,K5481&lt;=32),"1개월",
 AND(K5481=0),"당월",
 TRUE,"그외"
)</f>
        <v>1개월</v>
      </c>
    </row>
    <row r="5482" spans="1:12" x14ac:dyDescent="0.3">
      <c r="A5482" s="5">
        <v>45717</v>
      </c>
      <c r="B5482" s="6" t="s">
        <v>20</v>
      </c>
      <c r="C5482" s="6" t="s">
        <v>33</v>
      </c>
      <c r="D5482" s="5">
        <v>45717</v>
      </c>
      <c r="E5482" s="6" t="s">
        <v>14</v>
      </c>
      <c r="F5482" s="7">
        <v>282</v>
      </c>
      <c r="G5482" s="7">
        <v>207064.53900709219</v>
      </c>
      <c r="H5482" s="7">
        <v>58392200</v>
      </c>
      <c r="I5482" s="7">
        <v>6514200</v>
      </c>
      <c r="J5482" s="7">
        <v>0</v>
      </c>
      <c r="K5482">
        <f t="shared" si="85"/>
        <v>0</v>
      </c>
      <c r="L5482" s="8" t="str" cm="1">
        <f t="array" ref="L5482">_xlfn.IFS(
 AND(K5482&gt;=89,K5482&lt;=92),"3개월",
 AND(K5482&gt;=58,K5482&lt;=62),"2개월",
 AND(K5482&gt;=28,K5482&lt;=32),"1개월",
 AND(K5482=0),"당월",
 TRUE,"그외"
)</f>
        <v>당월</v>
      </c>
    </row>
    <row r="5483" spans="1:12" x14ac:dyDescent="0.3">
      <c r="A5483" s="5">
        <v>45717</v>
      </c>
      <c r="B5483" s="6" t="s">
        <v>20</v>
      </c>
      <c r="C5483" s="6" t="s">
        <v>33</v>
      </c>
      <c r="D5483" s="5">
        <v>45717</v>
      </c>
      <c r="E5483" s="6" t="s">
        <v>15</v>
      </c>
      <c r="F5483" s="7">
        <v>1547</v>
      </c>
      <c r="G5483" s="7">
        <v>253260.77634130581</v>
      </c>
      <c r="H5483" s="7">
        <v>391794421</v>
      </c>
      <c r="I5483" s="7">
        <v>41722701</v>
      </c>
      <c r="J5483" s="7">
        <v>0</v>
      </c>
      <c r="K5483">
        <f t="shared" si="85"/>
        <v>0</v>
      </c>
      <c r="L5483" s="8" t="str" cm="1">
        <f t="array" ref="L5483">_xlfn.IFS(
 AND(K5483&gt;=89,K5483&lt;=92),"3개월",
 AND(K5483&gt;=58,K5483&lt;=62),"2개월",
 AND(K5483&gt;=28,K5483&lt;=32),"1개월",
 AND(K5483=0),"당월",
 TRUE,"그외"
)</f>
        <v>당월</v>
      </c>
    </row>
    <row r="5484" spans="1:12" x14ac:dyDescent="0.3">
      <c r="A5484" s="5">
        <v>45717</v>
      </c>
      <c r="B5484" s="6" t="s">
        <v>20</v>
      </c>
      <c r="C5484" s="6" t="s">
        <v>35</v>
      </c>
      <c r="D5484" s="5">
        <v>45474</v>
      </c>
      <c r="E5484" s="6" t="s">
        <v>15</v>
      </c>
      <c r="F5484" s="7">
        <v>1</v>
      </c>
      <c r="G5484" s="7">
        <v>321881</v>
      </c>
      <c r="H5484" s="7">
        <v>321881</v>
      </c>
      <c r="I5484" s="7">
        <v>43157</v>
      </c>
      <c r="J5484" s="7">
        <v>0</v>
      </c>
      <c r="K5484">
        <f t="shared" si="85"/>
        <v>243</v>
      </c>
      <c r="L5484" s="8" t="str" cm="1">
        <f t="array" ref="L5484">_xlfn.IFS(
 AND(K5484&gt;=89,K5484&lt;=92),"3개월",
 AND(K5484&gt;=58,K5484&lt;=62),"2개월",
 AND(K5484&gt;=28,K5484&lt;=32),"1개월",
 AND(K5484=0),"당월",
 TRUE,"그외"
)</f>
        <v>그외</v>
      </c>
    </row>
    <row r="5485" spans="1:12" x14ac:dyDescent="0.3">
      <c r="A5485" s="5">
        <v>45717</v>
      </c>
      <c r="B5485" s="6" t="s">
        <v>20</v>
      </c>
      <c r="C5485" s="6" t="s">
        <v>35</v>
      </c>
      <c r="D5485" s="5">
        <v>45505</v>
      </c>
      <c r="E5485" s="6" t="s">
        <v>15</v>
      </c>
      <c r="F5485" s="7">
        <v>168</v>
      </c>
      <c r="G5485" s="7">
        <v>136799.35595238101</v>
      </c>
      <c r="H5485" s="7">
        <v>22982291.800000001</v>
      </c>
      <c r="I5485" s="7">
        <v>4630605.8</v>
      </c>
      <c r="J5485" s="7">
        <v>0</v>
      </c>
      <c r="K5485">
        <f t="shared" si="85"/>
        <v>212</v>
      </c>
      <c r="L5485" s="8" t="str" cm="1">
        <f t="array" ref="L5485">_xlfn.IFS(
 AND(K5485&gt;=89,K5485&lt;=92),"3개월",
 AND(K5485&gt;=58,K5485&lt;=62),"2개월",
 AND(K5485&gt;=28,K5485&lt;=32),"1개월",
 AND(K5485=0),"당월",
 TRUE,"그외"
)</f>
        <v>그외</v>
      </c>
    </row>
    <row r="5486" spans="1:12" x14ac:dyDescent="0.3">
      <c r="A5486" s="5">
        <v>45717</v>
      </c>
      <c r="B5486" s="6" t="s">
        <v>20</v>
      </c>
      <c r="C5486" s="6" t="s">
        <v>35</v>
      </c>
      <c r="D5486" s="5">
        <v>45536</v>
      </c>
      <c r="E5486" s="6" t="s">
        <v>15</v>
      </c>
      <c r="F5486" s="7">
        <v>182</v>
      </c>
      <c r="G5486" s="7">
        <v>127569.1978021978</v>
      </c>
      <c r="H5486" s="7">
        <v>23217594</v>
      </c>
      <c r="I5486" s="7">
        <v>4806418</v>
      </c>
      <c r="J5486" s="7">
        <v>0</v>
      </c>
      <c r="K5486">
        <f t="shared" si="85"/>
        <v>181</v>
      </c>
      <c r="L5486" s="8" t="str" cm="1">
        <f t="array" ref="L5486">_xlfn.IFS(
 AND(K5486&gt;=89,K5486&lt;=92),"3개월",
 AND(K5486&gt;=58,K5486&lt;=62),"2개월",
 AND(K5486&gt;=28,K5486&lt;=32),"1개월",
 AND(K5486=0),"당월",
 TRUE,"그외"
)</f>
        <v>그외</v>
      </c>
    </row>
    <row r="5487" spans="1:12" x14ac:dyDescent="0.3">
      <c r="A5487" s="5">
        <v>45717</v>
      </c>
      <c r="B5487" s="6" t="s">
        <v>20</v>
      </c>
      <c r="C5487" s="6" t="s">
        <v>35</v>
      </c>
      <c r="D5487" s="5">
        <v>45566</v>
      </c>
      <c r="E5487" s="6" t="s">
        <v>15</v>
      </c>
      <c r="F5487" s="7">
        <v>189</v>
      </c>
      <c r="G5487" s="7">
        <v>128430.3492063492</v>
      </c>
      <c r="H5487" s="7">
        <v>24273336</v>
      </c>
      <c r="I5487" s="7">
        <v>4333955</v>
      </c>
      <c r="J5487" s="7">
        <v>0</v>
      </c>
      <c r="K5487">
        <f t="shared" si="85"/>
        <v>151</v>
      </c>
      <c r="L5487" s="8" t="str" cm="1">
        <f t="array" ref="L5487">_xlfn.IFS(
 AND(K5487&gt;=89,K5487&lt;=92),"3개월",
 AND(K5487&gt;=58,K5487&lt;=62),"2개월",
 AND(K5487&gt;=28,K5487&lt;=32),"1개월",
 AND(K5487=0),"당월",
 TRUE,"그외"
)</f>
        <v>그외</v>
      </c>
    </row>
    <row r="5488" spans="1:12" x14ac:dyDescent="0.3">
      <c r="A5488" s="5">
        <v>45717</v>
      </c>
      <c r="B5488" s="6" t="s">
        <v>20</v>
      </c>
      <c r="C5488" s="6" t="s">
        <v>35</v>
      </c>
      <c r="D5488" s="5">
        <v>45597</v>
      </c>
      <c r="E5488" s="6" t="s">
        <v>15</v>
      </c>
      <c r="F5488" s="7">
        <v>471</v>
      </c>
      <c r="G5488" s="7">
        <v>149571.85350318471</v>
      </c>
      <c r="H5488" s="7">
        <v>70448343</v>
      </c>
      <c r="I5488" s="7">
        <v>11000262</v>
      </c>
      <c r="J5488" s="7">
        <v>0</v>
      </c>
      <c r="K5488">
        <f t="shared" si="85"/>
        <v>120</v>
      </c>
      <c r="L5488" s="8" t="str" cm="1">
        <f t="array" ref="L5488">_xlfn.IFS(
 AND(K5488&gt;=89,K5488&lt;=92),"3개월",
 AND(K5488&gt;=58,K5488&lt;=62),"2개월",
 AND(K5488&gt;=28,K5488&lt;=32),"1개월",
 AND(K5488=0),"당월",
 TRUE,"그외"
)</f>
        <v>그외</v>
      </c>
    </row>
    <row r="5489" spans="1:12" x14ac:dyDescent="0.3">
      <c r="A5489" s="5">
        <v>45717</v>
      </c>
      <c r="B5489" s="6" t="s">
        <v>20</v>
      </c>
      <c r="C5489" s="6" t="s">
        <v>35</v>
      </c>
      <c r="D5489" s="5">
        <v>45627</v>
      </c>
      <c r="E5489" s="6" t="s">
        <v>14</v>
      </c>
      <c r="F5489" s="7">
        <v>208</v>
      </c>
      <c r="G5489" s="7">
        <v>172861.5384615385</v>
      </c>
      <c r="H5489" s="7">
        <v>35955200</v>
      </c>
      <c r="I5489" s="7">
        <v>4035200</v>
      </c>
      <c r="J5489" s="7">
        <v>0</v>
      </c>
      <c r="K5489">
        <f t="shared" si="85"/>
        <v>90</v>
      </c>
      <c r="L5489" s="8" t="str" cm="1">
        <f t="array" ref="L5489">_xlfn.IFS(
 AND(K5489&gt;=89,K5489&lt;=92),"3개월",
 AND(K5489&gt;=58,K5489&lt;=62),"2개월",
 AND(K5489&gt;=28,K5489&lt;=32),"1개월",
 AND(K5489=0),"당월",
 TRUE,"그외"
)</f>
        <v>3개월</v>
      </c>
    </row>
    <row r="5490" spans="1:12" x14ac:dyDescent="0.3">
      <c r="A5490" s="5">
        <v>45717</v>
      </c>
      <c r="B5490" s="6" t="s">
        <v>20</v>
      </c>
      <c r="C5490" s="6" t="s">
        <v>35</v>
      </c>
      <c r="D5490" s="5">
        <v>45627</v>
      </c>
      <c r="E5490" s="6" t="s">
        <v>15</v>
      </c>
      <c r="F5490" s="7">
        <v>569</v>
      </c>
      <c r="G5490" s="7">
        <v>196314.39543058001</v>
      </c>
      <c r="H5490" s="7">
        <v>111702891</v>
      </c>
      <c r="I5490" s="7">
        <v>12845580</v>
      </c>
      <c r="J5490" s="7">
        <v>0</v>
      </c>
      <c r="K5490">
        <f t="shared" si="85"/>
        <v>90</v>
      </c>
      <c r="L5490" s="8" t="str" cm="1">
        <f t="array" ref="L5490">_xlfn.IFS(
 AND(K5490&gt;=89,K5490&lt;=92),"3개월",
 AND(K5490&gt;=58,K5490&lt;=62),"2개월",
 AND(K5490&gt;=28,K5490&lt;=32),"1개월",
 AND(K5490=0),"당월",
 TRUE,"그외"
)</f>
        <v>3개월</v>
      </c>
    </row>
    <row r="5491" spans="1:12" x14ac:dyDescent="0.3">
      <c r="A5491" s="5">
        <v>45717</v>
      </c>
      <c r="B5491" s="6" t="s">
        <v>20</v>
      </c>
      <c r="C5491" s="6" t="s">
        <v>35</v>
      </c>
      <c r="D5491" s="5">
        <v>45658</v>
      </c>
      <c r="E5491" s="6" t="s">
        <v>14</v>
      </c>
      <c r="F5491" s="7">
        <v>365</v>
      </c>
      <c r="G5491" s="7">
        <v>564917.80821917811</v>
      </c>
      <c r="H5491" s="7">
        <v>206195000</v>
      </c>
      <c r="I5491" s="7">
        <v>6895000</v>
      </c>
      <c r="J5491" s="7">
        <v>0</v>
      </c>
      <c r="K5491">
        <f t="shared" si="85"/>
        <v>59</v>
      </c>
      <c r="L5491" s="8" t="str" cm="1">
        <f t="array" ref="L5491">_xlfn.IFS(
 AND(K5491&gt;=89,K5491&lt;=92),"3개월",
 AND(K5491&gt;=58,K5491&lt;=62),"2개월",
 AND(K5491&gt;=28,K5491&lt;=32),"1개월",
 AND(K5491=0),"당월",
 TRUE,"그외"
)</f>
        <v>2개월</v>
      </c>
    </row>
    <row r="5492" spans="1:12" x14ac:dyDescent="0.3">
      <c r="A5492" s="5">
        <v>45717</v>
      </c>
      <c r="B5492" s="6" t="s">
        <v>20</v>
      </c>
      <c r="C5492" s="6" t="s">
        <v>35</v>
      </c>
      <c r="D5492" s="5">
        <v>45658</v>
      </c>
      <c r="E5492" s="6" t="s">
        <v>15</v>
      </c>
      <c r="F5492" s="7">
        <v>821</v>
      </c>
      <c r="G5492" s="7">
        <v>182696.49086479901</v>
      </c>
      <c r="H5492" s="7">
        <v>149993819</v>
      </c>
      <c r="I5492" s="7">
        <v>17950573</v>
      </c>
      <c r="J5492" s="7">
        <v>0</v>
      </c>
      <c r="K5492">
        <f t="shared" si="85"/>
        <v>59</v>
      </c>
      <c r="L5492" s="8" t="str" cm="1">
        <f t="array" ref="L5492">_xlfn.IFS(
 AND(K5492&gt;=89,K5492&lt;=92),"3개월",
 AND(K5492&gt;=58,K5492&lt;=62),"2개월",
 AND(K5492&gt;=28,K5492&lt;=32),"1개월",
 AND(K5492=0),"당월",
 TRUE,"그외"
)</f>
        <v>2개월</v>
      </c>
    </row>
    <row r="5493" spans="1:12" x14ac:dyDescent="0.3">
      <c r="A5493" s="5">
        <v>45717</v>
      </c>
      <c r="B5493" s="6" t="s">
        <v>20</v>
      </c>
      <c r="C5493" s="6" t="s">
        <v>35</v>
      </c>
      <c r="D5493" s="5">
        <v>45689</v>
      </c>
      <c r="E5493" s="6" t="s">
        <v>14</v>
      </c>
      <c r="F5493" s="7">
        <v>2072</v>
      </c>
      <c r="G5493" s="7">
        <v>131936.49517374521</v>
      </c>
      <c r="H5493" s="7">
        <v>273372418</v>
      </c>
      <c r="I5493" s="7">
        <v>29876734</v>
      </c>
      <c r="J5493" s="7">
        <v>0</v>
      </c>
      <c r="K5493">
        <f t="shared" si="85"/>
        <v>28</v>
      </c>
      <c r="L5493" s="8" t="str" cm="1">
        <f t="array" ref="L5493">_xlfn.IFS(
 AND(K5493&gt;=89,K5493&lt;=92),"3개월",
 AND(K5493&gt;=58,K5493&lt;=62),"2개월",
 AND(K5493&gt;=28,K5493&lt;=32),"1개월",
 AND(K5493=0),"당월",
 TRUE,"그외"
)</f>
        <v>1개월</v>
      </c>
    </row>
    <row r="5494" spans="1:12" x14ac:dyDescent="0.3">
      <c r="A5494" s="5">
        <v>45717</v>
      </c>
      <c r="B5494" s="6" t="s">
        <v>20</v>
      </c>
      <c r="C5494" s="6" t="s">
        <v>35</v>
      </c>
      <c r="D5494" s="5">
        <v>45689</v>
      </c>
      <c r="E5494" s="6" t="s">
        <v>15</v>
      </c>
      <c r="F5494" s="7">
        <v>2716</v>
      </c>
      <c r="G5494" s="7">
        <v>144659.59536082481</v>
      </c>
      <c r="H5494" s="7">
        <v>392895461</v>
      </c>
      <c r="I5494" s="7">
        <v>65567311</v>
      </c>
      <c r="J5494" s="7">
        <v>0</v>
      </c>
      <c r="K5494">
        <f t="shared" si="85"/>
        <v>28</v>
      </c>
      <c r="L5494" s="8" t="str" cm="1">
        <f t="array" ref="L5494">_xlfn.IFS(
 AND(K5494&gt;=89,K5494&lt;=92),"3개월",
 AND(K5494&gt;=58,K5494&lt;=62),"2개월",
 AND(K5494&gt;=28,K5494&lt;=32),"1개월",
 AND(K5494=0),"당월",
 TRUE,"그외"
)</f>
        <v>1개월</v>
      </c>
    </row>
    <row r="5495" spans="1:12" x14ac:dyDescent="0.3">
      <c r="A5495" s="5">
        <v>45717</v>
      </c>
      <c r="B5495" s="6" t="s">
        <v>20</v>
      </c>
      <c r="C5495" s="6" t="s">
        <v>35</v>
      </c>
      <c r="D5495" s="5">
        <v>45717</v>
      </c>
      <c r="E5495" s="6" t="s">
        <v>14</v>
      </c>
      <c r="F5495" s="7">
        <v>307</v>
      </c>
      <c r="G5495" s="7">
        <v>106427.6872964169</v>
      </c>
      <c r="H5495" s="7">
        <v>32673300</v>
      </c>
      <c r="I5495" s="7">
        <v>7063300</v>
      </c>
      <c r="J5495" s="7">
        <v>0</v>
      </c>
      <c r="K5495">
        <f t="shared" si="85"/>
        <v>0</v>
      </c>
      <c r="L5495" s="8" t="str" cm="1">
        <f t="array" ref="L5495">_xlfn.IFS(
 AND(K5495&gt;=89,K5495&lt;=92),"3개월",
 AND(K5495&gt;=58,K5495&lt;=62),"2개월",
 AND(K5495&gt;=28,K5495&lt;=32),"1개월",
 AND(K5495=0),"당월",
 TRUE,"그외"
)</f>
        <v>당월</v>
      </c>
    </row>
    <row r="5496" spans="1:12" x14ac:dyDescent="0.3">
      <c r="A5496" s="5">
        <v>45717</v>
      </c>
      <c r="B5496" s="6" t="s">
        <v>20</v>
      </c>
      <c r="C5496" s="6" t="s">
        <v>35</v>
      </c>
      <c r="D5496" s="5">
        <v>45717</v>
      </c>
      <c r="E5496" s="6" t="s">
        <v>15</v>
      </c>
      <c r="F5496" s="7">
        <v>2359</v>
      </c>
      <c r="G5496" s="7">
        <v>105371.2691818567</v>
      </c>
      <c r="H5496" s="7">
        <v>248570824</v>
      </c>
      <c r="I5496" s="7">
        <v>60509063</v>
      </c>
      <c r="J5496" s="7">
        <v>0</v>
      </c>
      <c r="K5496">
        <f t="shared" si="85"/>
        <v>0</v>
      </c>
      <c r="L5496" s="8" t="str" cm="1">
        <f t="array" ref="L5496">_xlfn.IFS(
 AND(K5496&gt;=89,K5496&lt;=92),"3개월",
 AND(K5496&gt;=58,K5496&lt;=62),"2개월",
 AND(K5496&gt;=28,K5496&lt;=32),"1개월",
 AND(K5496=0),"당월",
 TRUE,"그외"
)</f>
        <v>당월</v>
      </c>
    </row>
    <row r="5497" spans="1:12" x14ac:dyDescent="0.3">
      <c r="A5497" s="5">
        <v>45717</v>
      </c>
      <c r="B5497" s="6" t="s">
        <v>20</v>
      </c>
      <c r="C5497" s="6" t="s">
        <v>98</v>
      </c>
      <c r="D5497" s="5">
        <v>45627</v>
      </c>
      <c r="E5497" s="6" t="s">
        <v>14</v>
      </c>
      <c r="F5497" s="7">
        <v>8</v>
      </c>
      <c r="G5497" s="7">
        <v>11750000</v>
      </c>
      <c r="H5497" s="7">
        <v>94000000</v>
      </c>
      <c r="I5497" s="7">
        <v>0</v>
      </c>
      <c r="J5497" s="7">
        <v>0</v>
      </c>
      <c r="K5497">
        <f t="shared" si="85"/>
        <v>90</v>
      </c>
      <c r="L5497" s="8" t="str" cm="1">
        <f t="array" ref="L5497">_xlfn.IFS(
 AND(K5497&gt;=89,K5497&lt;=92),"3개월",
 AND(K5497&gt;=58,K5497&lt;=62),"2개월",
 AND(K5497&gt;=28,K5497&lt;=32),"1개월",
 AND(K5497=0),"당월",
 TRUE,"그외"
)</f>
        <v>3개월</v>
      </c>
    </row>
    <row r="5498" spans="1:12" x14ac:dyDescent="0.3">
      <c r="A5498" s="5">
        <v>45717</v>
      </c>
      <c r="B5498" s="6" t="s">
        <v>20</v>
      </c>
      <c r="C5498" s="6" t="s">
        <v>98</v>
      </c>
      <c r="D5498" s="5">
        <v>45689</v>
      </c>
      <c r="E5498" s="6" t="s">
        <v>14</v>
      </c>
      <c r="F5498" s="7">
        <v>337</v>
      </c>
      <c r="G5498" s="7">
        <v>0</v>
      </c>
      <c r="H5498" s="7">
        <v>0</v>
      </c>
      <c r="I5498" s="7">
        <v>0</v>
      </c>
      <c r="J5498" s="7">
        <v>0</v>
      </c>
      <c r="K5498">
        <f t="shared" si="85"/>
        <v>28</v>
      </c>
      <c r="L5498" s="8" t="str" cm="1">
        <f t="array" ref="L5498">_xlfn.IFS(
 AND(K5498&gt;=89,K5498&lt;=92),"3개월",
 AND(K5498&gt;=58,K5498&lt;=62),"2개월",
 AND(K5498&gt;=28,K5498&lt;=32),"1개월",
 AND(K5498=0),"당월",
 TRUE,"그외"
)</f>
        <v>1개월</v>
      </c>
    </row>
    <row r="5499" spans="1:12" x14ac:dyDescent="0.3">
      <c r="A5499" s="5">
        <v>45717</v>
      </c>
      <c r="B5499" s="6" t="s">
        <v>20</v>
      </c>
      <c r="C5499" s="6" t="s">
        <v>36</v>
      </c>
      <c r="D5499" s="5">
        <v>45505</v>
      </c>
      <c r="E5499" s="6" t="s">
        <v>15</v>
      </c>
      <c r="F5499" s="7">
        <v>86</v>
      </c>
      <c r="G5499" s="7">
        <v>120033.48837209299</v>
      </c>
      <c r="H5499" s="7">
        <v>10322880</v>
      </c>
      <c r="I5499" s="7">
        <v>2179910</v>
      </c>
      <c r="J5499" s="7">
        <v>0</v>
      </c>
      <c r="K5499">
        <f t="shared" si="85"/>
        <v>212</v>
      </c>
      <c r="L5499" s="8" t="str" cm="1">
        <f t="array" ref="L5499">_xlfn.IFS(
 AND(K5499&gt;=89,K5499&lt;=92),"3개월",
 AND(K5499&gt;=58,K5499&lt;=62),"2개월",
 AND(K5499&gt;=28,K5499&lt;=32),"1개월",
 AND(K5499=0),"당월",
 TRUE,"그외"
)</f>
        <v>그외</v>
      </c>
    </row>
    <row r="5500" spans="1:12" x14ac:dyDescent="0.3">
      <c r="A5500" s="5">
        <v>45717</v>
      </c>
      <c r="B5500" s="6" t="s">
        <v>20</v>
      </c>
      <c r="C5500" s="6" t="s">
        <v>36</v>
      </c>
      <c r="D5500" s="5">
        <v>45536</v>
      </c>
      <c r="E5500" s="6" t="s">
        <v>15</v>
      </c>
      <c r="F5500" s="7">
        <v>81</v>
      </c>
      <c r="G5500" s="7">
        <v>136690.27160493829</v>
      </c>
      <c r="H5500" s="7">
        <v>11071912</v>
      </c>
      <c r="I5500" s="7">
        <v>2285064</v>
      </c>
      <c r="J5500" s="7">
        <v>0</v>
      </c>
      <c r="K5500">
        <f t="shared" si="85"/>
        <v>181</v>
      </c>
      <c r="L5500" s="8" t="str" cm="1">
        <f t="array" ref="L5500">_xlfn.IFS(
 AND(K5500&gt;=89,K5500&lt;=92),"3개월",
 AND(K5500&gt;=58,K5500&lt;=62),"2개월",
 AND(K5500&gt;=28,K5500&lt;=32),"1개월",
 AND(K5500=0),"당월",
 TRUE,"그외"
)</f>
        <v>그외</v>
      </c>
    </row>
    <row r="5501" spans="1:12" x14ac:dyDescent="0.3">
      <c r="A5501" s="5">
        <v>45717</v>
      </c>
      <c r="B5501" s="6" t="s">
        <v>20</v>
      </c>
      <c r="C5501" s="6" t="s">
        <v>36</v>
      </c>
      <c r="D5501" s="5">
        <v>45566</v>
      </c>
      <c r="E5501" s="6" t="s">
        <v>15</v>
      </c>
      <c r="F5501" s="7">
        <v>132</v>
      </c>
      <c r="G5501" s="7">
        <v>132080.0075757576</v>
      </c>
      <c r="H5501" s="7">
        <v>17434561</v>
      </c>
      <c r="I5501" s="7">
        <v>2725671</v>
      </c>
      <c r="J5501" s="7">
        <v>0</v>
      </c>
      <c r="K5501">
        <f t="shared" si="85"/>
        <v>151</v>
      </c>
      <c r="L5501" s="8" t="str" cm="1">
        <f t="array" ref="L5501">_xlfn.IFS(
 AND(K5501&gt;=89,K5501&lt;=92),"3개월",
 AND(K5501&gt;=58,K5501&lt;=62),"2개월",
 AND(K5501&gt;=28,K5501&lt;=32),"1개월",
 AND(K5501=0),"당월",
 TRUE,"그외"
)</f>
        <v>그외</v>
      </c>
    </row>
    <row r="5502" spans="1:12" x14ac:dyDescent="0.3">
      <c r="A5502" s="5">
        <v>45717</v>
      </c>
      <c r="B5502" s="6" t="s">
        <v>20</v>
      </c>
      <c r="C5502" s="6" t="s">
        <v>36</v>
      </c>
      <c r="D5502" s="5">
        <v>45597</v>
      </c>
      <c r="E5502" s="6" t="s">
        <v>14</v>
      </c>
      <c r="F5502" s="7">
        <v>3</v>
      </c>
      <c r="G5502" s="7">
        <v>216000</v>
      </c>
      <c r="H5502" s="7">
        <v>648000</v>
      </c>
      <c r="I5502" s="7">
        <v>48000</v>
      </c>
      <c r="J5502" s="7">
        <v>0</v>
      </c>
      <c r="K5502">
        <f t="shared" si="85"/>
        <v>120</v>
      </c>
      <c r="L5502" s="8" t="str" cm="1">
        <f t="array" ref="L5502">_xlfn.IFS(
 AND(K5502&gt;=89,K5502&lt;=92),"3개월",
 AND(K5502&gt;=58,K5502&lt;=62),"2개월",
 AND(K5502&gt;=28,K5502&lt;=32),"1개월",
 AND(K5502=0),"당월",
 TRUE,"그외"
)</f>
        <v>그외</v>
      </c>
    </row>
    <row r="5503" spans="1:12" x14ac:dyDescent="0.3">
      <c r="A5503" s="5">
        <v>45717</v>
      </c>
      <c r="B5503" s="6" t="s">
        <v>20</v>
      </c>
      <c r="C5503" s="6" t="s">
        <v>36</v>
      </c>
      <c r="D5503" s="5">
        <v>45597</v>
      </c>
      <c r="E5503" s="6" t="s">
        <v>15</v>
      </c>
      <c r="F5503" s="7">
        <v>475</v>
      </c>
      <c r="G5503" s="7">
        <v>121485.3642105263</v>
      </c>
      <c r="H5503" s="7">
        <v>57705548</v>
      </c>
      <c r="I5503" s="7">
        <v>9424890</v>
      </c>
      <c r="J5503" s="7">
        <v>0</v>
      </c>
      <c r="K5503">
        <f t="shared" si="85"/>
        <v>120</v>
      </c>
      <c r="L5503" s="8" t="str" cm="1">
        <f t="array" ref="L5503">_xlfn.IFS(
 AND(K5503&gt;=89,K5503&lt;=92),"3개월",
 AND(K5503&gt;=58,K5503&lt;=62),"2개월",
 AND(K5503&gt;=28,K5503&lt;=32),"1개월",
 AND(K5503=0),"당월",
 TRUE,"그외"
)</f>
        <v>그외</v>
      </c>
    </row>
    <row r="5504" spans="1:12" x14ac:dyDescent="0.3">
      <c r="A5504" s="5">
        <v>45717</v>
      </c>
      <c r="B5504" s="6" t="s">
        <v>20</v>
      </c>
      <c r="C5504" s="6" t="s">
        <v>36</v>
      </c>
      <c r="D5504" s="5">
        <v>45627</v>
      </c>
      <c r="E5504" s="6" t="s">
        <v>14</v>
      </c>
      <c r="F5504" s="7">
        <v>160</v>
      </c>
      <c r="G5504" s="7">
        <v>89400</v>
      </c>
      <c r="H5504" s="7">
        <v>14304000</v>
      </c>
      <c r="I5504" s="7">
        <v>3104000</v>
      </c>
      <c r="J5504" s="7">
        <v>0</v>
      </c>
      <c r="K5504">
        <f t="shared" si="85"/>
        <v>90</v>
      </c>
      <c r="L5504" s="8" t="str" cm="1">
        <f t="array" ref="L5504">_xlfn.IFS(
 AND(K5504&gt;=89,K5504&lt;=92),"3개월",
 AND(K5504&gt;=58,K5504&lt;=62),"2개월",
 AND(K5504&gt;=28,K5504&lt;=32),"1개월",
 AND(K5504=0),"당월",
 TRUE,"그외"
)</f>
        <v>3개월</v>
      </c>
    </row>
    <row r="5505" spans="1:12" x14ac:dyDescent="0.3">
      <c r="A5505" s="5">
        <v>45717</v>
      </c>
      <c r="B5505" s="6" t="s">
        <v>20</v>
      </c>
      <c r="C5505" s="6" t="s">
        <v>36</v>
      </c>
      <c r="D5505" s="5">
        <v>45627</v>
      </c>
      <c r="E5505" s="6" t="s">
        <v>15</v>
      </c>
      <c r="F5505" s="7">
        <v>130</v>
      </c>
      <c r="G5505" s="7">
        <v>197251.0076923077</v>
      </c>
      <c r="H5505" s="7">
        <v>25642631</v>
      </c>
      <c r="I5505" s="7">
        <v>3270558</v>
      </c>
      <c r="J5505" s="7">
        <v>0</v>
      </c>
      <c r="K5505">
        <f t="shared" si="85"/>
        <v>90</v>
      </c>
      <c r="L5505" s="8" t="str" cm="1">
        <f t="array" ref="L5505">_xlfn.IFS(
 AND(K5505&gt;=89,K5505&lt;=92),"3개월",
 AND(K5505&gt;=58,K5505&lt;=62),"2개월",
 AND(K5505&gt;=28,K5505&lt;=32),"1개월",
 AND(K5505=0),"당월",
 TRUE,"그외"
)</f>
        <v>3개월</v>
      </c>
    </row>
    <row r="5506" spans="1:12" x14ac:dyDescent="0.3">
      <c r="A5506" s="5">
        <v>45717</v>
      </c>
      <c r="B5506" s="6" t="s">
        <v>20</v>
      </c>
      <c r="C5506" s="6" t="s">
        <v>36</v>
      </c>
      <c r="D5506" s="5">
        <v>45658</v>
      </c>
      <c r="E5506" s="6" t="s">
        <v>14</v>
      </c>
      <c r="F5506" s="7">
        <v>112</v>
      </c>
      <c r="G5506" s="7">
        <v>124707.3392857143</v>
      </c>
      <c r="H5506" s="7">
        <v>13967222</v>
      </c>
      <c r="I5506" s="7">
        <v>2215396</v>
      </c>
      <c r="J5506" s="7">
        <v>0</v>
      </c>
      <c r="K5506">
        <f t="shared" si="85"/>
        <v>59</v>
      </c>
      <c r="L5506" s="8" t="str" cm="1">
        <f t="array" ref="L5506">_xlfn.IFS(
 AND(K5506&gt;=89,K5506&lt;=92),"3개월",
 AND(K5506&gt;=58,K5506&lt;=62),"2개월",
 AND(K5506&gt;=28,K5506&lt;=32),"1개월",
 AND(K5506=0),"당월",
 TRUE,"그외"
)</f>
        <v>2개월</v>
      </c>
    </row>
    <row r="5507" spans="1:12" x14ac:dyDescent="0.3">
      <c r="A5507" s="5">
        <v>45717</v>
      </c>
      <c r="B5507" s="6" t="s">
        <v>20</v>
      </c>
      <c r="C5507" s="6" t="s">
        <v>36</v>
      </c>
      <c r="D5507" s="5">
        <v>45658</v>
      </c>
      <c r="E5507" s="6" t="s">
        <v>15</v>
      </c>
      <c r="F5507" s="7">
        <v>1899</v>
      </c>
      <c r="G5507" s="7">
        <v>120667.36861506059</v>
      </c>
      <c r="H5507" s="7">
        <v>229147333</v>
      </c>
      <c r="I5507" s="7">
        <v>41758876</v>
      </c>
      <c r="J5507" s="7">
        <v>0</v>
      </c>
      <c r="K5507">
        <f t="shared" si="85"/>
        <v>59</v>
      </c>
      <c r="L5507" s="8" t="str" cm="1">
        <f t="array" ref="L5507">_xlfn.IFS(
 AND(K5507&gt;=89,K5507&lt;=92),"3개월",
 AND(K5507&gt;=58,K5507&lt;=62),"2개월",
 AND(K5507&gt;=28,K5507&lt;=32),"1개월",
 AND(K5507=0),"당월",
 TRUE,"그외"
)</f>
        <v>2개월</v>
      </c>
    </row>
    <row r="5508" spans="1:12" x14ac:dyDescent="0.3">
      <c r="A5508" s="5">
        <v>45717</v>
      </c>
      <c r="B5508" s="6" t="s">
        <v>20</v>
      </c>
      <c r="C5508" s="6" t="s">
        <v>36</v>
      </c>
      <c r="D5508" s="5">
        <v>45689</v>
      </c>
      <c r="E5508" s="6" t="s">
        <v>14</v>
      </c>
      <c r="F5508" s="7">
        <v>1091</v>
      </c>
      <c r="G5508" s="7">
        <v>148217.73418881759</v>
      </c>
      <c r="H5508" s="7">
        <v>161705548</v>
      </c>
      <c r="I5508" s="7">
        <v>22572954</v>
      </c>
      <c r="J5508" s="7">
        <v>0</v>
      </c>
      <c r="K5508">
        <f t="shared" si="85"/>
        <v>28</v>
      </c>
      <c r="L5508" s="8" t="str" cm="1">
        <f t="array" ref="L5508">_xlfn.IFS(
 AND(K5508&gt;=89,K5508&lt;=92),"3개월",
 AND(K5508&gt;=58,K5508&lt;=62),"2개월",
 AND(K5508&gt;=28,K5508&lt;=32),"1개월",
 AND(K5508=0),"당월",
 TRUE,"그외"
)</f>
        <v>1개월</v>
      </c>
    </row>
    <row r="5509" spans="1:12" x14ac:dyDescent="0.3">
      <c r="A5509" s="5">
        <v>45717</v>
      </c>
      <c r="B5509" s="6" t="s">
        <v>20</v>
      </c>
      <c r="C5509" s="6" t="s">
        <v>36</v>
      </c>
      <c r="D5509" s="5">
        <v>45689</v>
      </c>
      <c r="E5509" s="6" t="s">
        <v>15</v>
      </c>
      <c r="F5509" s="7">
        <v>3668</v>
      </c>
      <c r="G5509" s="7">
        <v>111190.5092693566</v>
      </c>
      <c r="H5509" s="7">
        <v>407846788</v>
      </c>
      <c r="I5509" s="7">
        <v>82463196</v>
      </c>
      <c r="J5509" s="7">
        <v>0</v>
      </c>
      <c r="K5509">
        <f t="shared" si="85"/>
        <v>28</v>
      </c>
      <c r="L5509" s="8" t="str" cm="1">
        <f t="array" ref="L5509">_xlfn.IFS(
 AND(K5509&gt;=89,K5509&lt;=92),"3개월",
 AND(K5509&gt;=58,K5509&lt;=62),"2개월",
 AND(K5509&gt;=28,K5509&lt;=32),"1개월",
 AND(K5509=0),"당월",
 TRUE,"그외"
)</f>
        <v>1개월</v>
      </c>
    </row>
    <row r="5510" spans="1:12" x14ac:dyDescent="0.3">
      <c r="A5510" s="5">
        <v>45717</v>
      </c>
      <c r="B5510" s="6" t="s">
        <v>20</v>
      </c>
      <c r="C5510" s="6" t="s">
        <v>36</v>
      </c>
      <c r="D5510" s="5">
        <v>45717</v>
      </c>
      <c r="E5510" s="6" t="s">
        <v>14</v>
      </c>
      <c r="F5510" s="7">
        <v>1286</v>
      </c>
      <c r="G5510" s="7">
        <v>116849.3017107309</v>
      </c>
      <c r="H5510" s="7">
        <v>150268202</v>
      </c>
      <c r="I5510" s="7">
        <v>29716734</v>
      </c>
      <c r="J5510" s="7">
        <v>0</v>
      </c>
      <c r="K5510">
        <f t="shared" si="85"/>
        <v>0</v>
      </c>
      <c r="L5510" s="8" t="str" cm="1">
        <f t="array" ref="L5510">_xlfn.IFS(
 AND(K5510&gt;=89,K5510&lt;=92),"3개월",
 AND(K5510&gt;=58,K5510&lt;=62),"2개월",
 AND(K5510&gt;=28,K5510&lt;=32),"1개월",
 AND(K5510=0),"당월",
 TRUE,"그외"
)</f>
        <v>당월</v>
      </c>
    </row>
    <row r="5511" spans="1:12" x14ac:dyDescent="0.3">
      <c r="A5511" s="5">
        <v>45717</v>
      </c>
      <c r="B5511" s="6" t="s">
        <v>20</v>
      </c>
      <c r="C5511" s="6" t="s">
        <v>36</v>
      </c>
      <c r="D5511" s="5">
        <v>45717</v>
      </c>
      <c r="E5511" s="6" t="s">
        <v>15</v>
      </c>
      <c r="F5511" s="7">
        <v>1496</v>
      </c>
      <c r="G5511" s="7">
        <v>113705.5975935829</v>
      </c>
      <c r="H5511" s="7">
        <v>170103574</v>
      </c>
      <c r="I5511" s="7">
        <v>37479382</v>
      </c>
      <c r="J5511" s="7">
        <v>0</v>
      </c>
      <c r="K5511">
        <f t="shared" si="85"/>
        <v>0</v>
      </c>
      <c r="L5511" s="8" t="str" cm="1">
        <f t="array" ref="L5511">_xlfn.IFS(
 AND(K5511&gt;=89,K5511&lt;=92),"3개월",
 AND(K5511&gt;=58,K5511&lt;=62),"2개월",
 AND(K5511&gt;=28,K5511&lt;=32),"1개월",
 AND(K5511=0),"당월",
 TRUE,"그외"
)</f>
        <v>당월</v>
      </c>
    </row>
    <row r="5512" spans="1:12" x14ac:dyDescent="0.3">
      <c r="A5512" s="5">
        <v>45717</v>
      </c>
      <c r="B5512" s="6" t="s">
        <v>20</v>
      </c>
      <c r="C5512" s="6" t="s">
        <v>37</v>
      </c>
      <c r="D5512" s="5">
        <v>45474</v>
      </c>
      <c r="E5512" s="6" t="s">
        <v>15</v>
      </c>
      <c r="F5512" s="7">
        <v>4</v>
      </c>
      <c r="G5512" s="7">
        <v>237300</v>
      </c>
      <c r="H5512" s="7">
        <v>949200</v>
      </c>
      <c r="I5512" s="7">
        <v>49200</v>
      </c>
      <c r="J5512" s="7">
        <v>0</v>
      </c>
      <c r="K5512">
        <f t="shared" si="85"/>
        <v>243</v>
      </c>
      <c r="L5512" s="8" t="str" cm="1">
        <f t="array" ref="L5512">_xlfn.IFS(
 AND(K5512&gt;=89,K5512&lt;=92),"3개월",
 AND(K5512&gt;=58,K5512&lt;=62),"2개월",
 AND(K5512&gt;=28,K5512&lt;=32),"1개월",
 AND(K5512=0),"당월",
 TRUE,"그외"
)</f>
        <v>그외</v>
      </c>
    </row>
    <row r="5513" spans="1:12" x14ac:dyDescent="0.3">
      <c r="A5513" s="5">
        <v>45717</v>
      </c>
      <c r="B5513" s="6" t="s">
        <v>20</v>
      </c>
      <c r="C5513" s="6" t="s">
        <v>37</v>
      </c>
      <c r="D5513" s="5">
        <v>45505</v>
      </c>
      <c r="E5513" s="6" t="s">
        <v>15</v>
      </c>
      <c r="F5513" s="7">
        <v>34</v>
      </c>
      <c r="G5513" s="7">
        <v>105393.76470588231</v>
      </c>
      <c r="H5513" s="7">
        <v>3583388</v>
      </c>
      <c r="I5513" s="7">
        <v>681871</v>
      </c>
      <c r="J5513" s="7">
        <v>0</v>
      </c>
      <c r="K5513">
        <f t="shared" si="85"/>
        <v>212</v>
      </c>
      <c r="L5513" s="8" t="str" cm="1">
        <f t="array" ref="L5513">_xlfn.IFS(
 AND(K5513&gt;=89,K5513&lt;=92),"3개월",
 AND(K5513&gt;=58,K5513&lt;=62),"2개월",
 AND(K5513&gt;=28,K5513&lt;=32),"1개월",
 AND(K5513=0),"당월",
 TRUE,"그외"
)</f>
        <v>그외</v>
      </c>
    </row>
    <row r="5514" spans="1:12" x14ac:dyDescent="0.3">
      <c r="A5514" s="5">
        <v>45717</v>
      </c>
      <c r="B5514" s="6" t="s">
        <v>20</v>
      </c>
      <c r="C5514" s="6" t="s">
        <v>37</v>
      </c>
      <c r="D5514" s="5">
        <v>45536</v>
      </c>
      <c r="E5514" s="6" t="s">
        <v>15</v>
      </c>
      <c r="F5514" s="7">
        <v>59</v>
      </c>
      <c r="G5514" s="7">
        <v>135842.5254237288</v>
      </c>
      <c r="H5514" s="7">
        <v>8014709</v>
      </c>
      <c r="I5514" s="7">
        <v>1186798</v>
      </c>
      <c r="J5514" s="7">
        <v>0</v>
      </c>
      <c r="K5514">
        <f t="shared" ref="K5514:K5577" si="86">A5514-D5514</f>
        <v>181</v>
      </c>
      <c r="L5514" s="8" t="str" cm="1">
        <f t="array" ref="L5514">_xlfn.IFS(
 AND(K5514&gt;=89,K5514&lt;=92),"3개월",
 AND(K5514&gt;=58,K5514&lt;=62),"2개월",
 AND(K5514&gt;=28,K5514&lt;=32),"1개월",
 AND(K5514=0),"당월",
 TRUE,"그외"
)</f>
        <v>그외</v>
      </c>
    </row>
    <row r="5515" spans="1:12" x14ac:dyDescent="0.3">
      <c r="A5515" s="5">
        <v>45717</v>
      </c>
      <c r="B5515" s="6" t="s">
        <v>20</v>
      </c>
      <c r="C5515" s="6" t="s">
        <v>37</v>
      </c>
      <c r="D5515" s="5">
        <v>45566</v>
      </c>
      <c r="E5515" s="6" t="s">
        <v>15</v>
      </c>
      <c r="F5515" s="7">
        <v>107</v>
      </c>
      <c r="G5515" s="7">
        <v>140251.94392523359</v>
      </c>
      <c r="H5515" s="7">
        <v>15006958</v>
      </c>
      <c r="I5515" s="7">
        <v>2351896</v>
      </c>
      <c r="J5515" s="7">
        <v>0</v>
      </c>
      <c r="K5515">
        <f t="shared" si="86"/>
        <v>151</v>
      </c>
      <c r="L5515" s="8" t="str" cm="1">
        <f t="array" ref="L5515">_xlfn.IFS(
 AND(K5515&gt;=89,K5515&lt;=92),"3개월",
 AND(K5515&gt;=58,K5515&lt;=62),"2개월",
 AND(K5515&gt;=28,K5515&lt;=32),"1개월",
 AND(K5515=0),"당월",
 TRUE,"그외"
)</f>
        <v>그외</v>
      </c>
    </row>
    <row r="5516" spans="1:12" x14ac:dyDescent="0.3">
      <c r="A5516" s="5">
        <v>45717</v>
      </c>
      <c r="B5516" s="6" t="s">
        <v>20</v>
      </c>
      <c r="C5516" s="6" t="s">
        <v>37</v>
      </c>
      <c r="D5516" s="5">
        <v>45597</v>
      </c>
      <c r="E5516" s="6" t="s">
        <v>14</v>
      </c>
      <c r="F5516" s="7">
        <v>46</v>
      </c>
      <c r="G5516" s="7">
        <v>182343.4782608696</v>
      </c>
      <c r="H5516" s="7">
        <v>8387800</v>
      </c>
      <c r="I5516" s="7">
        <v>427800</v>
      </c>
      <c r="J5516" s="7">
        <v>0</v>
      </c>
      <c r="K5516">
        <f t="shared" si="86"/>
        <v>120</v>
      </c>
      <c r="L5516" s="8" t="str" cm="1">
        <f t="array" ref="L5516">_xlfn.IFS(
 AND(K5516&gt;=89,K5516&lt;=92),"3개월",
 AND(K5516&gt;=58,K5516&lt;=62),"2개월",
 AND(K5516&gt;=28,K5516&lt;=32),"1개월",
 AND(K5516=0),"당월",
 TRUE,"그외"
)</f>
        <v>그외</v>
      </c>
    </row>
    <row r="5517" spans="1:12" x14ac:dyDescent="0.3">
      <c r="A5517" s="5">
        <v>45717</v>
      </c>
      <c r="B5517" s="6" t="s">
        <v>20</v>
      </c>
      <c r="C5517" s="6" t="s">
        <v>37</v>
      </c>
      <c r="D5517" s="5">
        <v>45597</v>
      </c>
      <c r="E5517" s="6" t="s">
        <v>15</v>
      </c>
      <c r="F5517" s="7">
        <v>378</v>
      </c>
      <c r="G5517" s="7">
        <v>136869.0767195767</v>
      </c>
      <c r="H5517" s="7">
        <v>51736511</v>
      </c>
      <c r="I5517" s="7">
        <v>6787764</v>
      </c>
      <c r="J5517" s="7">
        <v>0</v>
      </c>
      <c r="K5517">
        <f t="shared" si="86"/>
        <v>120</v>
      </c>
      <c r="L5517" s="8" t="str" cm="1">
        <f t="array" ref="L5517">_xlfn.IFS(
 AND(K5517&gt;=89,K5517&lt;=92),"3개월",
 AND(K5517&gt;=58,K5517&lt;=62),"2개월",
 AND(K5517&gt;=28,K5517&lt;=32),"1개월",
 AND(K5517=0),"당월",
 TRUE,"그외"
)</f>
        <v>그외</v>
      </c>
    </row>
    <row r="5518" spans="1:12" x14ac:dyDescent="0.3">
      <c r="A5518" s="5">
        <v>45717</v>
      </c>
      <c r="B5518" s="6" t="s">
        <v>20</v>
      </c>
      <c r="C5518" s="6" t="s">
        <v>37</v>
      </c>
      <c r="D5518" s="5">
        <v>45627</v>
      </c>
      <c r="E5518" s="6" t="s">
        <v>15</v>
      </c>
      <c r="F5518" s="7">
        <v>518</v>
      </c>
      <c r="G5518" s="7">
        <v>135622.39382239379</v>
      </c>
      <c r="H5518" s="7">
        <v>70252400</v>
      </c>
      <c r="I5518" s="7">
        <v>7032910</v>
      </c>
      <c r="J5518" s="7">
        <v>0</v>
      </c>
      <c r="K5518">
        <f t="shared" si="86"/>
        <v>90</v>
      </c>
      <c r="L5518" s="8" t="str" cm="1">
        <f t="array" ref="L5518">_xlfn.IFS(
 AND(K5518&gt;=89,K5518&lt;=92),"3개월",
 AND(K5518&gt;=58,K5518&lt;=62),"2개월",
 AND(K5518&gt;=28,K5518&lt;=32),"1개월",
 AND(K5518=0),"당월",
 TRUE,"그외"
)</f>
        <v>3개월</v>
      </c>
    </row>
    <row r="5519" spans="1:12" x14ac:dyDescent="0.3">
      <c r="A5519" s="5">
        <v>45717</v>
      </c>
      <c r="B5519" s="6" t="s">
        <v>20</v>
      </c>
      <c r="C5519" s="6" t="s">
        <v>37</v>
      </c>
      <c r="D5519" s="5">
        <v>45658</v>
      </c>
      <c r="E5519" s="6" t="s">
        <v>14</v>
      </c>
      <c r="F5519" s="7">
        <v>75</v>
      </c>
      <c r="G5519" s="7">
        <v>118749.70666666669</v>
      </c>
      <c r="H5519" s="7">
        <v>8906228</v>
      </c>
      <c r="I5519" s="7">
        <v>948914</v>
      </c>
      <c r="J5519" s="7">
        <v>0</v>
      </c>
      <c r="K5519">
        <f t="shared" si="86"/>
        <v>59</v>
      </c>
      <c r="L5519" s="8" t="str" cm="1">
        <f t="array" ref="L5519">_xlfn.IFS(
 AND(K5519&gt;=89,K5519&lt;=92),"3개월",
 AND(K5519&gt;=58,K5519&lt;=62),"2개월",
 AND(K5519&gt;=28,K5519&lt;=32),"1개월",
 AND(K5519=0),"당월",
 TRUE,"그외"
)</f>
        <v>2개월</v>
      </c>
    </row>
    <row r="5520" spans="1:12" x14ac:dyDescent="0.3">
      <c r="A5520" s="5">
        <v>45717</v>
      </c>
      <c r="B5520" s="6" t="s">
        <v>20</v>
      </c>
      <c r="C5520" s="6" t="s">
        <v>37</v>
      </c>
      <c r="D5520" s="5">
        <v>45658</v>
      </c>
      <c r="E5520" s="6" t="s">
        <v>15</v>
      </c>
      <c r="F5520" s="7">
        <v>1338</v>
      </c>
      <c r="G5520" s="7">
        <v>123904.9118086697</v>
      </c>
      <c r="H5520" s="7">
        <v>165784772</v>
      </c>
      <c r="I5520" s="7">
        <v>22890967</v>
      </c>
      <c r="J5520" s="7">
        <v>0</v>
      </c>
      <c r="K5520">
        <f t="shared" si="86"/>
        <v>59</v>
      </c>
      <c r="L5520" s="8" t="str" cm="1">
        <f t="array" ref="L5520">_xlfn.IFS(
 AND(K5520&gt;=89,K5520&lt;=92),"3개월",
 AND(K5520&gt;=58,K5520&lt;=62),"2개월",
 AND(K5520&gt;=28,K5520&lt;=32),"1개월",
 AND(K5520=0),"당월",
 TRUE,"그외"
)</f>
        <v>2개월</v>
      </c>
    </row>
    <row r="5521" spans="1:12" x14ac:dyDescent="0.3">
      <c r="A5521" s="5">
        <v>45717</v>
      </c>
      <c r="B5521" s="6" t="s">
        <v>20</v>
      </c>
      <c r="C5521" s="6" t="s">
        <v>37</v>
      </c>
      <c r="D5521" s="5">
        <v>45689</v>
      </c>
      <c r="E5521" s="6" t="s">
        <v>14</v>
      </c>
      <c r="F5521" s="7">
        <v>1372</v>
      </c>
      <c r="G5521" s="7">
        <v>124098.53790087459</v>
      </c>
      <c r="H5521" s="7">
        <v>170263194</v>
      </c>
      <c r="I5521" s="7">
        <v>16052400</v>
      </c>
      <c r="J5521" s="7">
        <v>0</v>
      </c>
      <c r="K5521">
        <f t="shared" si="86"/>
        <v>28</v>
      </c>
      <c r="L5521" s="8" t="str" cm="1">
        <f t="array" ref="L5521">_xlfn.IFS(
 AND(K5521&gt;=89,K5521&lt;=92),"3개월",
 AND(K5521&gt;=58,K5521&lt;=62),"2개월",
 AND(K5521&gt;=28,K5521&lt;=32),"1개월",
 AND(K5521=0),"당월",
 TRUE,"그외"
)</f>
        <v>1개월</v>
      </c>
    </row>
    <row r="5522" spans="1:12" x14ac:dyDescent="0.3">
      <c r="A5522" s="5">
        <v>45717</v>
      </c>
      <c r="B5522" s="6" t="s">
        <v>20</v>
      </c>
      <c r="C5522" s="6" t="s">
        <v>37</v>
      </c>
      <c r="D5522" s="5">
        <v>45689</v>
      </c>
      <c r="E5522" s="6" t="s">
        <v>15</v>
      </c>
      <c r="F5522" s="7">
        <v>2715</v>
      </c>
      <c r="G5522" s="7">
        <v>125192.5388581952</v>
      </c>
      <c r="H5522" s="7">
        <v>339897743</v>
      </c>
      <c r="I5522" s="7">
        <v>48741619</v>
      </c>
      <c r="J5522" s="7">
        <v>0</v>
      </c>
      <c r="K5522">
        <f t="shared" si="86"/>
        <v>28</v>
      </c>
      <c r="L5522" s="8" t="str" cm="1">
        <f t="array" ref="L5522">_xlfn.IFS(
 AND(K5522&gt;=89,K5522&lt;=92),"3개월",
 AND(K5522&gt;=58,K5522&lt;=62),"2개월",
 AND(K5522&gt;=28,K5522&lt;=32),"1개월",
 AND(K5522=0),"당월",
 TRUE,"그외"
)</f>
        <v>1개월</v>
      </c>
    </row>
    <row r="5523" spans="1:12" x14ac:dyDescent="0.3">
      <c r="A5523" s="5">
        <v>45717</v>
      </c>
      <c r="B5523" s="6" t="s">
        <v>20</v>
      </c>
      <c r="C5523" s="6" t="s">
        <v>37</v>
      </c>
      <c r="D5523" s="5">
        <v>45717</v>
      </c>
      <c r="E5523" s="6" t="s">
        <v>14</v>
      </c>
      <c r="F5523" s="7">
        <v>2245</v>
      </c>
      <c r="G5523" s="7">
        <v>151779.43786191539</v>
      </c>
      <c r="H5523" s="7">
        <v>340744838</v>
      </c>
      <c r="I5523" s="7">
        <v>29270320</v>
      </c>
      <c r="J5523" s="7">
        <v>0</v>
      </c>
      <c r="K5523">
        <f t="shared" si="86"/>
        <v>0</v>
      </c>
      <c r="L5523" s="8" t="str" cm="1">
        <f t="array" ref="L5523">_xlfn.IFS(
 AND(K5523&gt;=89,K5523&lt;=92),"3개월",
 AND(K5523&gt;=58,K5523&lt;=62),"2개월",
 AND(K5523&gt;=28,K5523&lt;=32),"1개월",
 AND(K5523=0),"당월",
 TRUE,"그외"
)</f>
        <v>당월</v>
      </c>
    </row>
    <row r="5524" spans="1:12" x14ac:dyDescent="0.3">
      <c r="A5524" s="5">
        <v>45717</v>
      </c>
      <c r="B5524" s="6" t="s">
        <v>20</v>
      </c>
      <c r="C5524" s="6" t="s">
        <v>37</v>
      </c>
      <c r="D5524" s="5">
        <v>45717</v>
      </c>
      <c r="E5524" s="6" t="s">
        <v>15</v>
      </c>
      <c r="F5524" s="7">
        <v>980</v>
      </c>
      <c r="G5524" s="7">
        <v>152844.77040816331</v>
      </c>
      <c r="H5524" s="7">
        <v>149787875</v>
      </c>
      <c r="I5524" s="7">
        <v>22498179</v>
      </c>
      <c r="J5524" s="7">
        <v>0</v>
      </c>
      <c r="K5524">
        <f t="shared" si="86"/>
        <v>0</v>
      </c>
      <c r="L5524" s="8" t="str" cm="1">
        <f t="array" ref="L5524">_xlfn.IFS(
 AND(K5524&gt;=89,K5524&lt;=92),"3개월",
 AND(K5524&gt;=58,K5524&lt;=62),"2개월",
 AND(K5524&gt;=28,K5524&lt;=32),"1개월",
 AND(K5524=0),"당월",
 TRUE,"그외"
)</f>
        <v>당월</v>
      </c>
    </row>
    <row r="5525" spans="1:12" x14ac:dyDescent="0.3">
      <c r="A5525" s="5">
        <v>45717</v>
      </c>
      <c r="B5525" s="6" t="s">
        <v>20</v>
      </c>
      <c r="C5525" s="6" t="s">
        <v>38</v>
      </c>
      <c r="D5525" s="5">
        <v>45536</v>
      </c>
      <c r="E5525" s="6" t="s">
        <v>15</v>
      </c>
      <c r="F5525" s="7">
        <v>18</v>
      </c>
      <c r="G5525" s="7">
        <v>159004.44444444441</v>
      </c>
      <c r="H5525" s="7">
        <v>2862080</v>
      </c>
      <c r="I5525" s="7">
        <v>513968</v>
      </c>
      <c r="J5525" s="7">
        <v>0</v>
      </c>
      <c r="K5525">
        <f t="shared" si="86"/>
        <v>181</v>
      </c>
      <c r="L5525" s="8" t="str" cm="1">
        <f t="array" ref="L5525">_xlfn.IFS(
 AND(K5525&gt;=89,K5525&lt;=92),"3개월",
 AND(K5525&gt;=58,K5525&lt;=62),"2개월",
 AND(K5525&gt;=28,K5525&lt;=32),"1개월",
 AND(K5525=0),"당월",
 TRUE,"그외"
)</f>
        <v>그외</v>
      </c>
    </row>
    <row r="5526" spans="1:12" x14ac:dyDescent="0.3">
      <c r="A5526" s="5">
        <v>45717</v>
      </c>
      <c r="B5526" s="6" t="s">
        <v>20</v>
      </c>
      <c r="C5526" s="6" t="s">
        <v>38</v>
      </c>
      <c r="D5526" s="5">
        <v>45566</v>
      </c>
      <c r="E5526" s="6" t="s">
        <v>15</v>
      </c>
      <c r="F5526" s="7">
        <v>64</v>
      </c>
      <c r="G5526" s="7">
        <v>104019.578125</v>
      </c>
      <c r="H5526" s="7">
        <v>6657253</v>
      </c>
      <c r="I5526" s="7">
        <v>1611862</v>
      </c>
      <c r="J5526" s="7">
        <v>0</v>
      </c>
      <c r="K5526">
        <f t="shared" si="86"/>
        <v>151</v>
      </c>
      <c r="L5526" s="8" t="str" cm="1">
        <f t="array" ref="L5526">_xlfn.IFS(
 AND(K5526&gt;=89,K5526&lt;=92),"3개월",
 AND(K5526&gt;=58,K5526&lt;=62),"2개월",
 AND(K5526&gt;=28,K5526&lt;=32),"1개월",
 AND(K5526=0),"당월",
 TRUE,"그외"
)</f>
        <v>그외</v>
      </c>
    </row>
    <row r="5527" spans="1:12" x14ac:dyDescent="0.3">
      <c r="A5527" s="5">
        <v>45717</v>
      </c>
      <c r="B5527" s="6" t="s">
        <v>20</v>
      </c>
      <c r="C5527" s="6" t="s">
        <v>38</v>
      </c>
      <c r="D5527" s="5">
        <v>45597</v>
      </c>
      <c r="E5527" s="6" t="s">
        <v>15</v>
      </c>
      <c r="F5527" s="7">
        <v>91</v>
      </c>
      <c r="G5527" s="7">
        <v>102440.31868131871</v>
      </c>
      <c r="H5527" s="7">
        <v>9322069</v>
      </c>
      <c r="I5527" s="7">
        <v>2144450</v>
      </c>
      <c r="J5527" s="7">
        <v>0</v>
      </c>
      <c r="K5527">
        <f t="shared" si="86"/>
        <v>120</v>
      </c>
      <c r="L5527" s="8" t="str" cm="1">
        <f t="array" ref="L5527">_xlfn.IFS(
 AND(K5527&gt;=89,K5527&lt;=92),"3개월",
 AND(K5527&gt;=58,K5527&lt;=62),"2개월",
 AND(K5527&gt;=28,K5527&lt;=32),"1개월",
 AND(K5527=0),"당월",
 TRUE,"그외"
)</f>
        <v>그외</v>
      </c>
    </row>
    <row r="5528" spans="1:12" x14ac:dyDescent="0.3">
      <c r="A5528" s="5">
        <v>45717</v>
      </c>
      <c r="B5528" s="6" t="s">
        <v>20</v>
      </c>
      <c r="C5528" s="6" t="s">
        <v>38</v>
      </c>
      <c r="D5528" s="5">
        <v>45627</v>
      </c>
      <c r="E5528" s="6" t="s">
        <v>14</v>
      </c>
      <c r="F5528" s="7">
        <v>4</v>
      </c>
      <c r="G5528" s="7">
        <v>61100</v>
      </c>
      <c r="H5528" s="7">
        <v>244400</v>
      </c>
      <c r="I5528" s="7">
        <v>44400</v>
      </c>
      <c r="J5528" s="7">
        <v>0</v>
      </c>
      <c r="K5528">
        <f t="shared" si="86"/>
        <v>90</v>
      </c>
      <c r="L5528" s="8" t="str" cm="1">
        <f t="array" ref="L5528">_xlfn.IFS(
 AND(K5528&gt;=89,K5528&lt;=92),"3개월",
 AND(K5528&gt;=58,K5528&lt;=62),"2개월",
 AND(K5528&gt;=28,K5528&lt;=32),"1개월",
 AND(K5528=0),"당월",
 TRUE,"그외"
)</f>
        <v>3개월</v>
      </c>
    </row>
    <row r="5529" spans="1:12" x14ac:dyDescent="0.3">
      <c r="A5529" s="5">
        <v>45717</v>
      </c>
      <c r="B5529" s="6" t="s">
        <v>20</v>
      </c>
      <c r="C5529" s="6" t="s">
        <v>38</v>
      </c>
      <c r="D5529" s="5">
        <v>45627</v>
      </c>
      <c r="E5529" s="6" t="s">
        <v>15</v>
      </c>
      <c r="F5529" s="7">
        <v>304</v>
      </c>
      <c r="G5529" s="7">
        <v>95108.25328947368</v>
      </c>
      <c r="H5529" s="7">
        <v>28912909</v>
      </c>
      <c r="I5529" s="7">
        <v>5171367</v>
      </c>
      <c r="J5529" s="7">
        <v>0</v>
      </c>
      <c r="K5529">
        <f t="shared" si="86"/>
        <v>90</v>
      </c>
      <c r="L5529" s="8" t="str" cm="1">
        <f t="array" ref="L5529">_xlfn.IFS(
 AND(K5529&gt;=89,K5529&lt;=92),"3개월",
 AND(K5529&gt;=58,K5529&lt;=62),"2개월",
 AND(K5529&gt;=28,K5529&lt;=32),"1개월",
 AND(K5529=0),"당월",
 TRUE,"그외"
)</f>
        <v>3개월</v>
      </c>
    </row>
    <row r="5530" spans="1:12" x14ac:dyDescent="0.3">
      <c r="A5530" s="5">
        <v>45717</v>
      </c>
      <c r="B5530" s="6" t="s">
        <v>20</v>
      </c>
      <c r="C5530" s="6" t="s">
        <v>38</v>
      </c>
      <c r="D5530" s="5">
        <v>45658</v>
      </c>
      <c r="E5530" s="6" t="s">
        <v>14</v>
      </c>
      <c r="F5530" s="7">
        <v>10</v>
      </c>
      <c r="G5530" s="7">
        <v>73300</v>
      </c>
      <c r="H5530" s="7">
        <v>733000</v>
      </c>
      <c r="I5530" s="7">
        <v>113000</v>
      </c>
      <c r="J5530" s="7">
        <v>0</v>
      </c>
      <c r="K5530">
        <f t="shared" si="86"/>
        <v>59</v>
      </c>
      <c r="L5530" s="8" t="str" cm="1">
        <f t="array" ref="L5530">_xlfn.IFS(
 AND(K5530&gt;=89,K5530&lt;=92),"3개월",
 AND(K5530&gt;=58,K5530&lt;=62),"2개월",
 AND(K5530&gt;=28,K5530&lt;=32),"1개월",
 AND(K5530=0),"당월",
 TRUE,"그외"
)</f>
        <v>2개월</v>
      </c>
    </row>
    <row r="5531" spans="1:12" x14ac:dyDescent="0.3">
      <c r="A5531" s="5">
        <v>45717</v>
      </c>
      <c r="B5531" s="6" t="s">
        <v>20</v>
      </c>
      <c r="C5531" s="6" t="s">
        <v>38</v>
      </c>
      <c r="D5531" s="5">
        <v>45658</v>
      </c>
      <c r="E5531" s="6" t="s">
        <v>15</v>
      </c>
      <c r="F5531" s="7">
        <v>520</v>
      </c>
      <c r="G5531" s="7">
        <v>105092.12115384619</v>
      </c>
      <c r="H5531" s="7">
        <v>54647903</v>
      </c>
      <c r="I5531" s="7">
        <v>9569720</v>
      </c>
      <c r="J5531" s="7">
        <v>0</v>
      </c>
      <c r="K5531">
        <f t="shared" si="86"/>
        <v>59</v>
      </c>
      <c r="L5531" s="8" t="str" cm="1">
        <f t="array" ref="L5531">_xlfn.IFS(
 AND(K5531&gt;=89,K5531&lt;=92),"3개월",
 AND(K5531&gt;=58,K5531&lt;=62),"2개월",
 AND(K5531&gt;=28,K5531&lt;=32),"1개월",
 AND(K5531=0),"당월",
 TRUE,"그외"
)</f>
        <v>2개월</v>
      </c>
    </row>
    <row r="5532" spans="1:12" x14ac:dyDescent="0.3">
      <c r="A5532" s="5">
        <v>45717</v>
      </c>
      <c r="B5532" s="6" t="s">
        <v>20</v>
      </c>
      <c r="C5532" s="6" t="s">
        <v>38</v>
      </c>
      <c r="D5532" s="5">
        <v>45689</v>
      </c>
      <c r="E5532" s="6" t="s">
        <v>14</v>
      </c>
      <c r="F5532" s="7">
        <v>988</v>
      </c>
      <c r="G5532" s="7">
        <v>79310.532388663967</v>
      </c>
      <c r="H5532" s="7">
        <v>78358806</v>
      </c>
      <c r="I5532" s="7">
        <v>11559600</v>
      </c>
      <c r="J5532" s="7">
        <v>0</v>
      </c>
      <c r="K5532">
        <f t="shared" si="86"/>
        <v>28</v>
      </c>
      <c r="L5532" s="8" t="str" cm="1">
        <f t="array" ref="L5532">_xlfn.IFS(
 AND(K5532&gt;=89,K5532&lt;=92),"3개월",
 AND(K5532&gt;=58,K5532&lt;=62),"2개월",
 AND(K5532&gt;=28,K5532&lt;=32),"1개월",
 AND(K5532=0),"당월",
 TRUE,"그외"
)</f>
        <v>1개월</v>
      </c>
    </row>
    <row r="5533" spans="1:12" x14ac:dyDescent="0.3">
      <c r="A5533" s="5">
        <v>45717</v>
      </c>
      <c r="B5533" s="6" t="s">
        <v>20</v>
      </c>
      <c r="C5533" s="6" t="s">
        <v>38</v>
      </c>
      <c r="D5533" s="5">
        <v>45689</v>
      </c>
      <c r="E5533" s="6" t="s">
        <v>15</v>
      </c>
      <c r="F5533" s="7">
        <v>1511</v>
      </c>
      <c r="G5533" s="7">
        <v>109823.468563865</v>
      </c>
      <c r="H5533" s="7">
        <v>165943261</v>
      </c>
      <c r="I5533" s="7">
        <v>25748246</v>
      </c>
      <c r="J5533" s="7">
        <v>0</v>
      </c>
      <c r="K5533">
        <f t="shared" si="86"/>
        <v>28</v>
      </c>
      <c r="L5533" s="8" t="str" cm="1">
        <f t="array" ref="L5533">_xlfn.IFS(
 AND(K5533&gt;=89,K5533&lt;=92),"3개월",
 AND(K5533&gt;=58,K5533&lt;=62),"2개월",
 AND(K5533&gt;=28,K5533&lt;=32),"1개월",
 AND(K5533=0),"당월",
 TRUE,"그외"
)</f>
        <v>1개월</v>
      </c>
    </row>
    <row r="5534" spans="1:12" x14ac:dyDescent="0.3">
      <c r="A5534" s="5">
        <v>45717</v>
      </c>
      <c r="B5534" s="6" t="s">
        <v>20</v>
      </c>
      <c r="C5534" s="6" t="s">
        <v>38</v>
      </c>
      <c r="D5534" s="5">
        <v>45717</v>
      </c>
      <c r="E5534" s="6" t="s">
        <v>14</v>
      </c>
      <c r="F5534" s="7">
        <v>1204</v>
      </c>
      <c r="G5534" s="7">
        <v>89030.159468438535</v>
      </c>
      <c r="H5534" s="7">
        <v>107192312</v>
      </c>
      <c r="I5534" s="7">
        <v>15649400</v>
      </c>
      <c r="J5534" s="7">
        <v>0</v>
      </c>
      <c r="K5534">
        <f t="shared" si="86"/>
        <v>0</v>
      </c>
      <c r="L5534" s="8" t="str" cm="1">
        <f t="array" ref="L5534">_xlfn.IFS(
 AND(K5534&gt;=89,K5534&lt;=92),"3개월",
 AND(K5534&gt;=58,K5534&lt;=62),"2개월",
 AND(K5534&gt;=28,K5534&lt;=32),"1개월",
 AND(K5534=0),"당월",
 TRUE,"그외"
)</f>
        <v>당월</v>
      </c>
    </row>
    <row r="5535" spans="1:12" x14ac:dyDescent="0.3">
      <c r="A5535" s="5">
        <v>45717</v>
      </c>
      <c r="B5535" s="6" t="s">
        <v>20</v>
      </c>
      <c r="C5535" s="6" t="s">
        <v>38</v>
      </c>
      <c r="D5535" s="5">
        <v>45717</v>
      </c>
      <c r="E5535" s="6" t="s">
        <v>15</v>
      </c>
      <c r="F5535" s="7">
        <v>1002</v>
      </c>
      <c r="G5535" s="7">
        <v>95375.139720558887</v>
      </c>
      <c r="H5535" s="7">
        <v>95565890</v>
      </c>
      <c r="I5535" s="7">
        <v>17253238</v>
      </c>
      <c r="J5535" s="7">
        <v>0</v>
      </c>
      <c r="K5535">
        <f t="shared" si="86"/>
        <v>0</v>
      </c>
      <c r="L5535" s="8" t="str" cm="1">
        <f t="array" ref="L5535">_xlfn.IFS(
 AND(K5535&gt;=89,K5535&lt;=92),"3개월",
 AND(K5535&gt;=58,K5535&lt;=62),"2개월",
 AND(K5535&gt;=28,K5535&lt;=32),"1개월",
 AND(K5535=0),"당월",
 TRUE,"그외"
)</f>
        <v>당월</v>
      </c>
    </row>
    <row r="5536" spans="1:12" x14ac:dyDescent="0.3">
      <c r="A5536" s="5">
        <v>45717</v>
      </c>
      <c r="B5536" s="6" t="s">
        <v>40</v>
      </c>
      <c r="C5536" s="6" t="s">
        <v>99</v>
      </c>
      <c r="D5536" s="5">
        <v>45566</v>
      </c>
      <c r="E5536" s="6" t="s">
        <v>15</v>
      </c>
      <c r="F5536" s="7">
        <v>4</v>
      </c>
      <c r="G5536" s="7">
        <v>63988</v>
      </c>
      <c r="H5536" s="7">
        <v>255952</v>
      </c>
      <c r="I5536" s="7">
        <v>178391</v>
      </c>
      <c r="J5536" s="7">
        <v>0</v>
      </c>
      <c r="K5536">
        <f t="shared" si="86"/>
        <v>151</v>
      </c>
      <c r="L5536" s="8" t="str" cm="1">
        <f t="array" ref="L5536">_xlfn.IFS(
 AND(K5536&gt;=89,K5536&lt;=92),"3개월",
 AND(K5536&gt;=58,K5536&lt;=62),"2개월",
 AND(K5536&gt;=28,K5536&lt;=32),"1개월",
 AND(K5536=0),"당월",
 TRUE,"그외"
)</f>
        <v>그외</v>
      </c>
    </row>
    <row r="5537" spans="1:12" x14ac:dyDescent="0.3">
      <c r="A5537" s="5">
        <v>45717</v>
      </c>
      <c r="B5537" s="6" t="s">
        <v>40</v>
      </c>
      <c r="C5537" s="6" t="s">
        <v>99</v>
      </c>
      <c r="D5537" s="5">
        <v>45597</v>
      </c>
      <c r="E5537" s="6" t="s">
        <v>15</v>
      </c>
      <c r="F5537" s="7">
        <v>14</v>
      </c>
      <c r="G5537" s="7">
        <v>78964.857142857145</v>
      </c>
      <c r="H5537" s="7">
        <v>1105508</v>
      </c>
      <c r="I5537" s="7">
        <v>270540</v>
      </c>
      <c r="J5537" s="7">
        <v>0</v>
      </c>
      <c r="K5537">
        <f t="shared" si="86"/>
        <v>120</v>
      </c>
      <c r="L5537" s="8" t="str" cm="1">
        <f t="array" ref="L5537">_xlfn.IFS(
 AND(K5537&gt;=89,K5537&lt;=92),"3개월",
 AND(K5537&gt;=58,K5537&lt;=62),"2개월",
 AND(K5537&gt;=28,K5537&lt;=32),"1개월",
 AND(K5537=0),"당월",
 TRUE,"그외"
)</f>
        <v>그외</v>
      </c>
    </row>
    <row r="5538" spans="1:12" x14ac:dyDescent="0.3">
      <c r="A5538" s="5">
        <v>45717</v>
      </c>
      <c r="B5538" s="6" t="s">
        <v>40</v>
      </c>
      <c r="C5538" s="6" t="s">
        <v>99</v>
      </c>
      <c r="D5538" s="5">
        <v>45627</v>
      </c>
      <c r="E5538" s="6" t="s">
        <v>14</v>
      </c>
      <c r="F5538" s="7">
        <v>9</v>
      </c>
      <c r="G5538" s="7">
        <v>82100</v>
      </c>
      <c r="H5538" s="7">
        <v>738900</v>
      </c>
      <c r="I5538" s="7">
        <v>99900</v>
      </c>
      <c r="J5538" s="7">
        <v>0</v>
      </c>
      <c r="K5538">
        <f t="shared" si="86"/>
        <v>90</v>
      </c>
      <c r="L5538" s="8" t="str" cm="1">
        <f t="array" ref="L5538">_xlfn.IFS(
 AND(K5538&gt;=89,K5538&lt;=92),"3개월",
 AND(K5538&gt;=58,K5538&lt;=62),"2개월",
 AND(K5538&gt;=28,K5538&lt;=32),"1개월",
 AND(K5538=0),"당월",
 TRUE,"그외"
)</f>
        <v>3개월</v>
      </c>
    </row>
    <row r="5539" spans="1:12" x14ac:dyDescent="0.3">
      <c r="A5539" s="5">
        <v>45717</v>
      </c>
      <c r="B5539" s="6" t="s">
        <v>40</v>
      </c>
      <c r="C5539" s="6" t="s">
        <v>99</v>
      </c>
      <c r="D5539" s="5">
        <v>45627</v>
      </c>
      <c r="E5539" s="6" t="s">
        <v>15</v>
      </c>
      <c r="F5539" s="7">
        <v>23</v>
      </c>
      <c r="G5539" s="7">
        <v>75073.782608695648</v>
      </c>
      <c r="H5539" s="7">
        <v>1726697</v>
      </c>
      <c r="I5539" s="7">
        <v>427638</v>
      </c>
      <c r="J5539" s="7">
        <v>0</v>
      </c>
      <c r="K5539">
        <f t="shared" si="86"/>
        <v>90</v>
      </c>
      <c r="L5539" s="8" t="str" cm="1">
        <f t="array" ref="L5539">_xlfn.IFS(
 AND(K5539&gt;=89,K5539&lt;=92),"3개월",
 AND(K5539&gt;=58,K5539&lt;=62),"2개월",
 AND(K5539&gt;=28,K5539&lt;=32),"1개월",
 AND(K5539=0),"당월",
 TRUE,"그외"
)</f>
        <v>3개월</v>
      </c>
    </row>
    <row r="5540" spans="1:12" x14ac:dyDescent="0.3">
      <c r="A5540" s="5">
        <v>45717</v>
      </c>
      <c r="B5540" s="6" t="s">
        <v>40</v>
      </c>
      <c r="C5540" s="6" t="s">
        <v>99</v>
      </c>
      <c r="D5540" s="5">
        <v>45658</v>
      </c>
      <c r="E5540" s="6" t="s">
        <v>14</v>
      </c>
      <c r="F5540" s="7">
        <v>4</v>
      </c>
      <c r="G5540" s="7">
        <v>31300</v>
      </c>
      <c r="H5540" s="7">
        <v>125200</v>
      </c>
      <c r="I5540" s="7">
        <v>45200</v>
      </c>
      <c r="J5540" s="7">
        <v>0</v>
      </c>
      <c r="K5540">
        <f t="shared" si="86"/>
        <v>59</v>
      </c>
      <c r="L5540" s="8" t="str" cm="1">
        <f t="array" ref="L5540">_xlfn.IFS(
 AND(K5540&gt;=89,K5540&lt;=92),"3개월",
 AND(K5540&gt;=58,K5540&lt;=62),"2개월",
 AND(K5540&gt;=28,K5540&lt;=32),"1개월",
 AND(K5540=0),"당월",
 TRUE,"그외"
)</f>
        <v>2개월</v>
      </c>
    </row>
    <row r="5541" spans="1:12" x14ac:dyDescent="0.3">
      <c r="A5541" s="5">
        <v>45717</v>
      </c>
      <c r="B5541" s="6" t="s">
        <v>40</v>
      </c>
      <c r="C5541" s="6" t="s">
        <v>99</v>
      </c>
      <c r="D5541" s="5">
        <v>45658</v>
      </c>
      <c r="E5541" s="6" t="s">
        <v>15</v>
      </c>
      <c r="F5541" s="7">
        <v>29</v>
      </c>
      <c r="G5541" s="7">
        <v>98632.793103448275</v>
      </c>
      <c r="H5541" s="7">
        <v>2860351</v>
      </c>
      <c r="I5541" s="7">
        <v>1254139</v>
      </c>
      <c r="J5541" s="7">
        <v>0</v>
      </c>
      <c r="K5541">
        <f t="shared" si="86"/>
        <v>59</v>
      </c>
      <c r="L5541" s="8" t="str" cm="1">
        <f t="array" ref="L5541">_xlfn.IFS(
 AND(K5541&gt;=89,K5541&lt;=92),"3개월",
 AND(K5541&gt;=58,K5541&lt;=62),"2개월",
 AND(K5541&gt;=28,K5541&lt;=32),"1개월",
 AND(K5541=0),"당월",
 TRUE,"그외"
)</f>
        <v>2개월</v>
      </c>
    </row>
    <row r="5542" spans="1:12" x14ac:dyDescent="0.3">
      <c r="A5542" s="5">
        <v>45717</v>
      </c>
      <c r="B5542" s="6" t="s">
        <v>40</v>
      </c>
      <c r="C5542" s="6" t="s">
        <v>99</v>
      </c>
      <c r="D5542" s="5">
        <v>45689</v>
      </c>
      <c r="E5542" s="6" t="s">
        <v>14</v>
      </c>
      <c r="F5542" s="7">
        <v>217</v>
      </c>
      <c r="G5542" s="7">
        <v>44640.092165898619</v>
      </c>
      <c r="H5542" s="7">
        <v>9686900</v>
      </c>
      <c r="I5542" s="7">
        <v>2538900</v>
      </c>
      <c r="J5542" s="7">
        <v>0</v>
      </c>
      <c r="K5542">
        <f t="shared" si="86"/>
        <v>28</v>
      </c>
      <c r="L5542" s="8" t="str" cm="1">
        <f t="array" ref="L5542">_xlfn.IFS(
 AND(K5542&gt;=89,K5542&lt;=92),"3개월",
 AND(K5542&gt;=58,K5542&lt;=62),"2개월",
 AND(K5542&gt;=28,K5542&lt;=32),"1개월",
 AND(K5542=0),"당월",
 TRUE,"그외"
)</f>
        <v>1개월</v>
      </c>
    </row>
    <row r="5543" spans="1:12" x14ac:dyDescent="0.3">
      <c r="A5543" s="5">
        <v>45717</v>
      </c>
      <c r="B5543" s="6" t="s">
        <v>40</v>
      </c>
      <c r="C5543" s="6" t="s">
        <v>99</v>
      </c>
      <c r="D5543" s="5">
        <v>45689</v>
      </c>
      <c r="E5543" s="6" t="s">
        <v>15</v>
      </c>
      <c r="F5543" s="7">
        <v>224</v>
      </c>
      <c r="G5543" s="7">
        <v>96060.022321428565</v>
      </c>
      <c r="H5543" s="7">
        <v>21517445</v>
      </c>
      <c r="I5543" s="7">
        <v>8680323</v>
      </c>
      <c r="J5543" s="7">
        <v>0</v>
      </c>
      <c r="K5543">
        <f t="shared" si="86"/>
        <v>28</v>
      </c>
      <c r="L5543" s="8" t="str" cm="1">
        <f t="array" ref="L5543">_xlfn.IFS(
 AND(K5543&gt;=89,K5543&lt;=92),"3개월",
 AND(K5543&gt;=58,K5543&lt;=62),"2개월",
 AND(K5543&gt;=28,K5543&lt;=32),"1개월",
 AND(K5543=0),"당월",
 TRUE,"그외"
)</f>
        <v>1개월</v>
      </c>
    </row>
    <row r="5544" spans="1:12" x14ac:dyDescent="0.3">
      <c r="A5544" s="5">
        <v>45717</v>
      </c>
      <c r="B5544" s="6" t="s">
        <v>40</v>
      </c>
      <c r="C5544" s="6" t="s">
        <v>99</v>
      </c>
      <c r="D5544" s="5">
        <v>45717</v>
      </c>
      <c r="E5544" s="6" t="s">
        <v>14</v>
      </c>
      <c r="F5544" s="7">
        <v>20</v>
      </c>
      <c r="G5544" s="7">
        <v>23000</v>
      </c>
      <c r="H5544" s="7">
        <v>460000</v>
      </c>
      <c r="I5544" s="7">
        <v>260000</v>
      </c>
      <c r="J5544" s="7">
        <v>0</v>
      </c>
      <c r="K5544">
        <f t="shared" si="86"/>
        <v>0</v>
      </c>
      <c r="L5544" s="8" t="str" cm="1">
        <f t="array" ref="L5544">_xlfn.IFS(
 AND(K5544&gt;=89,K5544&lt;=92),"3개월",
 AND(K5544&gt;=58,K5544&lt;=62),"2개월",
 AND(K5544&gt;=28,K5544&lt;=32),"1개월",
 AND(K5544=0),"당월",
 TRUE,"그외"
)</f>
        <v>당월</v>
      </c>
    </row>
    <row r="5545" spans="1:12" x14ac:dyDescent="0.3">
      <c r="A5545" s="5">
        <v>45717</v>
      </c>
      <c r="B5545" s="6" t="s">
        <v>40</v>
      </c>
      <c r="C5545" s="6" t="s">
        <v>99</v>
      </c>
      <c r="D5545" s="5">
        <v>45717</v>
      </c>
      <c r="E5545" s="6" t="s">
        <v>15</v>
      </c>
      <c r="F5545" s="7">
        <v>23</v>
      </c>
      <c r="G5545" s="7">
        <v>98637.608695652176</v>
      </c>
      <c r="H5545" s="7">
        <v>2268665</v>
      </c>
      <c r="I5545" s="7">
        <v>721721</v>
      </c>
      <c r="J5545" s="7">
        <v>0</v>
      </c>
      <c r="K5545">
        <f t="shared" si="86"/>
        <v>0</v>
      </c>
      <c r="L5545" s="8" t="str" cm="1">
        <f t="array" ref="L5545">_xlfn.IFS(
 AND(K5545&gt;=89,K5545&lt;=92),"3개월",
 AND(K5545&gt;=58,K5545&lt;=62),"2개월",
 AND(K5545&gt;=28,K5545&lt;=32),"1개월",
 AND(K5545=0),"당월",
 TRUE,"그외"
)</f>
        <v>당월</v>
      </c>
    </row>
    <row r="5546" spans="1:12" x14ac:dyDescent="0.3">
      <c r="A5546" s="5">
        <v>45717</v>
      </c>
      <c r="B5546" s="6" t="s">
        <v>40</v>
      </c>
      <c r="C5546" s="6" t="s">
        <v>101</v>
      </c>
      <c r="D5546" s="5">
        <v>45658</v>
      </c>
      <c r="E5546" s="6" t="s">
        <v>14</v>
      </c>
      <c r="F5546" s="7">
        <v>26</v>
      </c>
      <c r="G5546" s="7">
        <v>6057692.307692308</v>
      </c>
      <c r="H5546" s="7">
        <v>157500000</v>
      </c>
      <c r="I5546" s="7">
        <v>0</v>
      </c>
      <c r="J5546" s="7">
        <v>0</v>
      </c>
      <c r="K5546">
        <f t="shared" si="86"/>
        <v>59</v>
      </c>
      <c r="L5546" s="8" t="str" cm="1">
        <f t="array" ref="L5546">_xlfn.IFS(
 AND(K5546&gt;=89,K5546&lt;=92),"3개월",
 AND(K5546&gt;=58,K5546&lt;=62),"2개월",
 AND(K5546&gt;=28,K5546&lt;=32),"1개월",
 AND(K5546=0),"당월",
 TRUE,"그외"
)</f>
        <v>2개월</v>
      </c>
    </row>
    <row r="5547" spans="1:12" x14ac:dyDescent="0.3">
      <c r="A5547" s="5">
        <v>45717</v>
      </c>
      <c r="B5547" s="6" t="s">
        <v>40</v>
      </c>
      <c r="C5547" s="6" t="s">
        <v>101</v>
      </c>
      <c r="D5547" s="5">
        <v>45658</v>
      </c>
      <c r="E5547" s="6" t="s">
        <v>15</v>
      </c>
      <c r="F5547" s="7">
        <v>5</v>
      </c>
      <c r="G5547" s="7">
        <v>505706.2</v>
      </c>
      <c r="H5547" s="7">
        <v>2528531</v>
      </c>
      <c r="I5547" s="7">
        <v>173333</v>
      </c>
      <c r="J5547" s="7">
        <v>0</v>
      </c>
      <c r="K5547">
        <f t="shared" si="86"/>
        <v>59</v>
      </c>
      <c r="L5547" s="8" t="str" cm="1">
        <f t="array" ref="L5547">_xlfn.IFS(
 AND(K5547&gt;=89,K5547&lt;=92),"3개월",
 AND(K5547&gt;=58,K5547&lt;=62),"2개월",
 AND(K5547&gt;=28,K5547&lt;=32),"1개월",
 AND(K5547=0),"당월",
 TRUE,"그외"
)</f>
        <v>2개월</v>
      </c>
    </row>
    <row r="5548" spans="1:12" x14ac:dyDescent="0.3">
      <c r="A5548" s="5">
        <v>45717</v>
      </c>
      <c r="B5548" s="6" t="s">
        <v>40</v>
      </c>
      <c r="C5548" s="6" t="s">
        <v>101</v>
      </c>
      <c r="D5548" s="5">
        <v>45689</v>
      </c>
      <c r="E5548" s="6" t="s">
        <v>14</v>
      </c>
      <c r="F5548" s="7">
        <v>818</v>
      </c>
      <c r="G5548" s="7">
        <v>162834.22982885089</v>
      </c>
      <c r="H5548" s="7">
        <v>133198400</v>
      </c>
      <c r="I5548" s="7">
        <v>198400</v>
      </c>
      <c r="J5548" s="7">
        <v>0</v>
      </c>
      <c r="K5548">
        <f t="shared" si="86"/>
        <v>28</v>
      </c>
      <c r="L5548" s="8" t="str" cm="1">
        <f t="array" ref="L5548">_xlfn.IFS(
 AND(K5548&gt;=89,K5548&lt;=92),"3개월",
 AND(K5548&gt;=58,K5548&lt;=62),"2개월",
 AND(K5548&gt;=28,K5548&lt;=32),"1개월",
 AND(K5548=0),"당월",
 TRUE,"그외"
)</f>
        <v>1개월</v>
      </c>
    </row>
    <row r="5549" spans="1:12" x14ac:dyDescent="0.3">
      <c r="A5549" s="5">
        <v>45717</v>
      </c>
      <c r="B5549" s="6" t="s">
        <v>40</v>
      </c>
      <c r="C5549" s="6" t="s">
        <v>101</v>
      </c>
      <c r="D5549" s="5">
        <v>45689</v>
      </c>
      <c r="E5549" s="6" t="s">
        <v>15</v>
      </c>
      <c r="F5549" s="7">
        <v>33</v>
      </c>
      <c r="G5549" s="7">
        <v>515633.15151515149</v>
      </c>
      <c r="H5549" s="7">
        <v>17015894</v>
      </c>
      <c r="I5549" s="7">
        <v>1396268</v>
      </c>
      <c r="J5549" s="7">
        <v>0</v>
      </c>
      <c r="K5549">
        <f t="shared" si="86"/>
        <v>28</v>
      </c>
      <c r="L5549" s="8" t="str" cm="1">
        <f t="array" ref="L5549">_xlfn.IFS(
 AND(K5549&gt;=89,K5549&lt;=92),"3개월",
 AND(K5549&gt;=58,K5549&lt;=62),"2개월",
 AND(K5549&gt;=28,K5549&lt;=32),"1개월",
 AND(K5549=0),"당월",
 TRUE,"그외"
)</f>
        <v>1개월</v>
      </c>
    </row>
    <row r="5550" spans="1:12" x14ac:dyDescent="0.3">
      <c r="A5550" s="5">
        <v>45717</v>
      </c>
      <c r="B5550" s="6" t="s">
        <v>40</v>
      </c>
      <c r="C5550" s="6" t="s">
        <v>101</v>
      </c>
      <c r="D5550" s="5">
        <v>45717</v>
      </c>
      <c r="E5550" s="6" t="s">
        <v>14</v>
      </c>
      <c r="F5550" s="7">
        <v>1337</v>
      </c>
      <c r="G5550" s="7">
        <v>62827.225130890052</v>
      </c>
      <c r="H5550" s="7">
        <v>84000000</v>
      </c>
      <c r="I5550" s="7">
        <v>0</v>
      </c>
      <c r="J5550" s="7">
        <v>0</v>
      </c>
      <c r="K5550">
        <f t="shared" si="86"/>
        <v>0</v>
      </c>
      <c r="L5550" s="8" t="str" cm="1">
        <f t="array" ref="L5550">_xlfn.IFS(
 AND(K5550&gt;=89,K5550&lt;=92),"3개월",
 AND(K5550&gt;=58,K5550&lt;=62),"2개월",
 AND(K5550&gt;=28,K5550&lt;=32),"1개월",
 AND(K5550=0),"당월",
 TRUE,"그외"
)</f>
        <v>당월</v>
      </c>
    </row>
    <row r="5551" spans="1:12" x14ac:dyDescent="0.3">
      <c r="A5551" s="5">
        <v>45717</v>
      </c>
      <c r="B5551" s="6" t="s">
        <v>40</v>
      </c>
      <c r="C5551" s="6" t="s">
        <v>101</v>
      </c>
      <c r="D5551" s="5">
        <v>45717</v>
      </c>
      <c r="E5551" s="6" t="s">
        <v>15</v>
      </c>
      <c r="F5551" s="7">
        <v>27</v>
      </c>
      <c r="G5551" s="7">
        <v>461144.62962962961</v>
      </c>
      <c r="H5551" s="7">
        <v>12450905</v>
      </c>
      <c r="I5551" s="7">
        <v>1270266</v>
      </c>
      <c r="J5551" s="7">
        <v>0</v>
      </c>
      <c r="K5551">
        <f t="shared" si="86"/>
        <v>0</v>
      </c>
      <c r="L5551" s="8" t="str" cm="1">
        <f t="array" ref="L5551">_xlfn.IFS(
 AND(K5551&gt;=89,K5551&lt;=92),"3개월",
 AND(K5551&gt;=58,K5551&lt;=62),"2개월",
 AND(K5551&gt;=28,K5551&lt;=32),"1개월",
 AND(K5551=0),"당월",
 TRUE,"그외"
)</f>
        <v>당월</v>
      </c>
    </row>
    <row r="5552" spans="1:12" x14ac:dyDescent="0.3">
      <c r="A5552" s="5">
        <v>45717</v>
      </c>
      <c r="B5552" s="6" t="s">
        <v>40</v>
      </c>
      <c r="C5552" s="6" t="s">
        <v>91</v>
      </c>
      <c r="D5552" s="5">
        <v>45536</v>
      </c>
      <c r="E5552" s="6" t="s">
        <v>15</v>
      </c>
      <c r="F5552" s="7">
        <v>5</v>
      </c>
      <c r="G5552" s="7">
        <v>69678</v>
      </c>
      <c r="H5552" s="7">
        <v>348390</v>
      </c>
      <c r="I5552" s="7">
        <v>140921</v>
      </c>
      <c r="J5552" s="7">
        <v>0</v>
      </c>
      <c r="K5552">
        <f t="shared" si="86"/>
        <v>181</v>
      </c>
      <c r="L5552" s="8" t="str" cm="1">
        <f t="array" ref="L5552">_xlfn.IFS(
 AND(K5552&gt;=89,K5552&lt;=92),"3개월",
 AND(K5552&gt;=58,K5552&lt;=62),"2개월",
 AND(K5552&gt;=28,K5552&lt;=32),"1개월",
 AND(K5552=0),"당월",
 TRUE,"그외"
)</f>
        <v>그외</v>
      </c>
    </row>
    <row r="5553" spans="1:12" x14ac:dyDescent="0.3">
      <c r="A5553" s="5">
        <v>45717</v>
      </c>
      <c r="B5553" s="6" t="s">
        <v>40</v>
      </c>
      <c r="C5553" s="6" t="s">
        <v>91</v>
      </c>
      <c r="D5553" s="5">
        <v>45566</v>
      </c>
      <c r="E5553" s="6" t="s">
        <v>15</v>
      </c>
      <c r="F5553" s="7">
        <v>10</v>
      </c>
      <c r="G5553" s="7">
        <v>77000.100000000006</v>
      </c>
      <c r="H5553" s="7">
        <v>770001</v>
      </c>
      <c r="I5553" s="7">
        <v>354844</v>
      </c>
      <c r="J5553" s="7">
        <v>0</v>
      </c>
      <c r="K5553">
        <f t="shared" si="86"/>
        <v>151</v>
      </c>
      <c r="L5553" s="8" t="str" cm="1">
        <f t="array" ref="L5553">_xlfn.IFS(
 AND(K5553&gt;=89,K5553&lt;=92),"3개월",
 AND(K5553&gt;=58,K5553&lt;=62),"2개월",
 AND(K5553&gt;=28,K5553&lt;=32),"1개월",
 AND(K5553=0),"당월",
 TRUE,"그외"
)</f>
        <v>그외</v>
      </c>
    </row>
    <row r="5554" spans="1:12" x14ac:dyDescent="0.3">
      <c r="A5554" s="5">
        <v>45717</v>
      </c>
      <c r="B5554" s="6" t="s">
        <v>40</v>
      </c>
      <c r="C5554" s="6" t="s">
        <v>91</v>
      </c>
      <c r="D5554" s="5">
        <v>45597</v>
      </c>
      <c r="E5554" s="6" t="s">
        <v>15</v>
      </c>
      <c r="F5554" s="7">
        <v>29</v>
      </c>
      <c r="G5554" s="7">
        <v>76073.724137931029</v>
      </c>
      <c r="H5554" s="7">
        <v>2206138</v>
      </c>
      <c r="I5554" s="7">
        <v>997186</v>
      </c>
      <c r="J5554" s="7">
        <v>0</v>
      </c>
      <c r="K5554">
        <f t="shared" si="86"/>
        <v>120</v>
      </c>
      <c r="L5554" s="8" t="str" cm="1">
        <f t="array" ref="L5554">_xlfn.IFS(
 AND(K5554&gt;=89,K5554&lt;=92),"3개월",
 AND(K5554&gt;=58,K5554&lt;=62),"2개월",
 AND(K5554&gt;=28,K5554&lt;=32),"1개월",
 AND(K5554=0),"당월",
 TRUE,"그외"
)</f>
        <v>그외</v>
      </c>
    </row>
    <row r="5555" spans="1:12" x14ac:dyDescent="0.3">
      <c r="A5555" s="5">
        <v>45717</v>
      </c>
      <c r="B5555" s="6" t="s">
        <v>40</v>
      </c>
      <c r="C5555" s="6" t="s">
        <v>91</v>
      </c>
      <c r="D5555" s="5">
        <v>45627</v>
      </c>
      <c r="E5555" s="6" t="s">
        <v>15</v>
      </c>
      <c r="F5555" s="7">
        <v>21</v>
      </c>
      <c r="G5555" s="7">
        <v>98780.571428571435</v>
      </c>
      <c r="H5555" s="7">
        <v>2074392</v>
      </c>
      <c r="I5555" s="7">
        <v>730598</v>
      </c>
      <c r="J5555" s="7">
        <v>0</v>
      </c>
      <c r="K5555">
        <f t="shared" si="86"/>
        <v>90</v>
      </c>
      <c r="L5555" s="8" t="str" cm="1">
        <f t="array" ref="L5555">_xlfn.IFS(
 AND(K5555&gt;=89,K5555&lt;=92),"3개월",
 AND(K5555&gt;=58,K5555&lt;=62),"2개월",
 AND(K5555&gt;=28,K5555&lt;=32),"1개월",
 AND(K5555=0),"당월",
 TRUE,"그외"
)</f>
        <v>3개월</v>
      </c>
    </row>
    <row r="5556" spans="1:12" x14ac:dyDescent="0.3">
      <c r="A5556" s="5">
        <v>45717</v>
      </c>
      <c r="B5556" s="6" t="s">
        <v>40</v>
      </c>
      <c r="C5556" s="6" t="s">
        <v>91</v>
      </c>
      <c r="D5556" s="5">
        <v>45658</v>
      </c>
      <c r="E5556" s="6" t="s">
        <v>14</v>
      </c>
      <c r="F5556" s="7">
        <v>2</v>
      </c>
      <c r="G5556" s="7">
        <v>61300</v>
      </c>
      <c r="H5556" s="7">
        <v>122600</v>
      </c>
      <c r="I5556" s="7">
        <v>22600</v>
      </c>
      <c r="J5556" s="7">
        <v>0</v>
      </c>
      <c r="K5556">
        <f t="shared" si="86"/>
        <v>59</v>
      </c>
      <c r="L5556" s="8" t="str" cm="1">
        <f t="array" ref="L5556">_xlfn.IFS(
 AND(K5556&gt;=89,K5556&lt;=92),"3개월",
 AND(K5556&gt;=58,K5556&lt;=62),"2개월",
 AND(K5556&gt;=28,K5556&lt;=32),"1개월",
 AND(K5556=0),"당월",
 TRUE,"그외"
)</f>
        <v>2개월</v>
      </c>
    </row>
    <row r="5557" spans="1:12" x14ac:dyDescent="0.3">
      <c r="A5557" s="5">
        <v>45717</v>
      </c>
      <c r="B5557" s="6" t="s">
        <v>40</v>
      </c>
      <c r="C5557" s="6" t="s">
        <v>91</v>
      </c>
      <c r="D5557" s="5">
        <v>45658</v>
      </c>
      <c r="E5557" s="6" t="s">
        <v>15</v>
      </c>
      <c r="F5557" s="7">
        <v>127</v>
      </c>
      <c r="G5557" s="7">
        <v>70375.291338582683</v>
      </c>
      <c r="H5557" s="7">
        <v>8937662</v>
      </c>
      <c r="I5557" s="7">
        <v>2929454</v>
      </c>
      <c r="J5557" s="7">
        <v>0</v>
      </c>
      <c r="K5557">
        <f t="shared" si="86"/>
        <v>59</v>
      </c>
      <c r="L5557" s="8" t="str" cm="1">
        <f t="array" ref="L5557">_xlfn.IFS(
 AND(K5557&gt;=89,K5557&lt;=92),"3개월",
 AND(K5557&gt;=58,K5557&lt;=62),"2개월",
 AND(K5557&gt;=28,K5557&lt;=32),"1개월",
 AND(K5557=0),"당월",
 TRUE,"그외"
)</f>
        <v>2개월</v>
      </c>
    </row>
    <row r="5558" spans="1:12" x14ac:dyDescent="0.3">
      <c r="A5558" s="5">
        <v>45717</v>
      </c>
      <c r="B5558" s="6" t="s">
        <v>40</v>
      </c>
      <c r="C5558" s="6" t="s">
        <v>91</v>
      </c>
      <c r="D5558" s="5">
        <v>45689</v>
      </c>
      <c r="E5558" s="6" t="s">
        <v>14</v>
      </c>
      <c r="F5558" s="7">
        <v>174</v>
      </c>
      <c r="G5558" s="7">
        <v>54975.862068965507</v>
      </c>
      <c r="H5558" s="7">
        <v>9565800</v>
      </c>
      <c r="I5558" s="7">
        <v>2035800</v>
      </c>
      <c r="J5558" s="7">
        <v>0</v>
      </c>
      <c r="K5558">
        <f t="shared" si="86"/>
        <v>28</v>
      </c>
      <c r="L5558" s="8" t="str" cm="1">
        <f t="array" ref="L5558">_xlfn.IFS(
 AND(K5558&gt;=89,K5558&lt;=92),"3개월",
 AND(K5558&gt;=58,K5558&lt;=62),"2개월",
 AND(K5558&gt;=28,K5558&lt;=32),"1개월",
 AND(K5558=0),"당월",
 TRUE,"그외"
)</f>
        <v>1개월</v>
      </c>
    </row>
    <row r="5559" spans="1:12" x14ac:dyDescent="0.3">
      <c r="A5559" s="5">
        <v>45717</v>
      </c>
      <c r="B5559" s="6" t="s">
        <v>40</v>
      </c>
      <c r="C5559" s="6" t="s">
        <v>91</v>
      </c>
      <c r="D5559" s="5">
        <v>45689</v>
      </c>
      <c r="E5559" s="6" t="s">
        <v>15</v>
      </c>
      <c r="F5559" s="7">
        <v>1899</v>
      </c>
      <c r="G5559" s="7">
        <v>95339.587677725125</v>
      </c>
      <c r="H5559" s="7">
        <v>181049877</v>
      </c>
      <c r="I5559" s="7">
        <v>98121673</v>
      </c>
      <c r="J5559" s="7">
        <v>0</v>
      </c>
      <c r="K5559">
        <f t="shared" si="86"/>
        <v>28</v>
      </c>
      <c r="L5559" s="8" t="str" cm="1">
        <f t="array" ref="L5559">_xlfn.IFS(
 AND(K5559&gt;=89,K5559&lt;=92),"3개월",
 AND(K5559&gt;=58,K5559&lt;=62),"2개월",
 AND(K5559&gt;=28,K5559&lt;=32),"1개월",
 AND(K5559=0),"당월",
 TRUE,"그외"
)</f>
        <v>1개월</v>
      </c>
    </row>
    <row r="5560" spans="1:12" x14ac:dyDescent="0.3">
      <c r="A5560" s="5">
        <v>45717</v>
      </c>
      <c r="B5560" s="6" t="s">
        <v>40</v>
      </c>
      <c r="C5560" s="6" t="s">
        <v>91</v>
      </c>
      <c r="D5560" s="5">
        <v>45717</v>
      </c>
      <c r="E5560" s="6" t="s">
        <v>14</v>
      </c>
      <c r="F5560" s="7">
        <v>537</v>
      </c>
      <c r="G5560" s="7">
        <v>65988.843575419</v>
      </c>
      <c r="H5560" s="7">
        <v>35436009</v>
      </c>
      <c r="I5560" s="7">
        <v>15520893</v>
      </c>
      <c r="J5560" s="7">
        <v>0</v>
      </c>
      <c r="K5560">
        <f t="shared" si="86"/>
        <v>0</v>
      </c>
      <c r="L5560" s="8" t="str" cm="1">
        <f t="array" ref="L5560">_xlfn.IFS(
 AND(K5560&gt;=89,K5560&lt;=92),"3개월",
 AND(K5560&gt;=58,K5560&lt;=62),"2개월",
 AND(K5560&gt;=28,K5560&lt;=32),"1개월",
 AND(K5560=0),"당월",
 TRUE,"그외"
)</f>
        <v>당월</v>
      </c>
    </row>
    <row r="5561" spans="1:12" x14ac:dyDescent="0.3">
      <c r="A5561" s="5">
        <v>45717</v>
      </c>
      <c r="B5561" s="6" t="s">
        <v>40</v>
      </c>
      <c r="C5561" s="6" t="s">
        <v>91</v>
      </c>
      <c r="D5561" s="5">
        <v>45717</v>
      </c>
      <c r="E5561" s="6" t="s">
        <v>15</v>
      </c>
      <c r="F5561" s="7">
        <v>3567</v>
      </c>
      <c r="G5561" s="7">
        <v>91066.160358844965</v>
      </c>
      <c r="H5561" s="7">
        <v>324832994</v>
      </c>
      <c r="I5561" s="7">
        <v>186714180</v>
      </c>
      <c r="J5561" s="7">
        <v>0</v>
      </c>
      <c r="K5561">
        <f t="shared" si="86"/>
        <v>0</v>
      </c>
      <c r="L5561" s="8" t="str" cm="1">
        <f t="array" ref="L5561">_xlfn.IFS(
 AND(K5561&gt;=89,K5561&lt;=92),"3개월",
 AND(K5561&gt;=58,K5561&lt;=62),"2개월",
 AND(K5561&gt;=28,K5561&lt;=32),"1개월",
 AND(K5561=0),"당월",
 TRUE,"그외"
)</f>
        <v>당월</v>
      </c>
    </row>
    <row r="5562" spans="1:12" x14ac:dyDescent="0.3">
      <c r="A5562" s="5">
        <v>45717</v>
      </c>
      <c r="B5562" s="6" t="s">
        <v>40</v>
      </c>
      <c r="C5562" s="6" t="s">
        <v>42</v>
      </c>
      <c r="D5562" s="5">
        <v>45597</v>
      </c>
      <c r="E5562" s="6" t="s">
        <v>14</v>
      </c>
      <c r="F5562" s="7">
        <v>9</v>
      </c>
      <c r="G5562" s="7">
        <v>131000</v>
      </c>
      <c r="H5562" s="7">
        <v>1179000</v>
      </c>
      <c r="I5562" s="7">
        <v>144000</v>
      </c>
      <c r="J5562" s="7">
        <v>0</v>
      </c>
      <c r="K5562">
        <f t="shared" si="86"/>
        <v>120</v>
      </c>
      <c r="L5562" s="8" t="str" cm="1">
        <f t="array" ref="L5562">_xlfn.IFS(
 AND(K5562&gt;=89,K5562&lt;=92),"3개월",
 AND(K5562&gt;=58,K5562&lt;=62),"2개월",
 AND(K5562&gt;=28,K5562&lt;=32),"1개월",
 AND(K5562=0),"당월",
 TRUE,"그외"
)</f>
        <v>그외</v>
      </c>
    </row>
    <row r="5563" spans="1:12" x14ac:dyDescent="0.3">
      <c r="A5563" s="5">
        <v>45717</v>
      </c>
      <c r="B5563" s="6" t="s">
        <v>40</v>
      </c>
      <c r="C5563" s="6" t="s">
        <v>42</v>
      </c>
      <c r="D5563" s="5">
        <v>45627</v>
      </c>
      <c r="E5563" s="6" t="s">
        <v>14</v>
      </c>
      <c r="F5563" s="7">
        <v>36</v>
      </c>
      <c r="G5563" s="7">
        <v>224400</v>
      </c>
      <c r="H5563" s="7">
        <v>8078400</v>
      </c>
      <c r="I5563" s="7">
        <v>698400</v>
      </c>
      <c r="J5563" s="7">
        <v>0</v>
      </c>
      <c r="K5563">
        <f t="shared" si="86"/>
        <v>90</v>
      </c>
      <c r="L5563" s="8" t="str" cm="1">
        <f t="array" ref="L5563">_xlfn.IFS(
 AND(K5563&gt;=89,K5563&lt;=92),"3개월",
 AND(K5563&gt;=58,K5563&lt;=62),"2개월",
 AND(K5563&gt;=28,K5563&lt;=32),"1개월",
 AND(K5563=0),"당월",
 TRUE,"그외"
)</f>
        <v>3개월</v>
      </c>
    </row>
    <row r="5564" spans="1:12" x14ac:dyDescent="0.3">
      <c r="A5564" s="5">
        <v>45717</v>
      </c>
      <c r="B5564" s="6" t="s">
        <v>40</v>
      </c>
      <c r="C5564" s="6" t="s">
        <v>42</v>
      </c>
      <c r="D5564" s="5">
        <v>45658</v>
      </c>
      <c r="E5564" s="6" t="s">
        <v>14</v>
      </c>
      <c r="F5564" s="7">
        <v>55</v>
      </c>
      <c r="G5564" s="7">
        <v>240561.81818181821</v>
      </c>
      <c r="H5564" s="7">
        <v>13230900</v>
      </c>
      <c r="I5564" s="7">
        <v>1082900</v>
      </c>
      <c r="J5564" s="7">
        <v>0</v>
      </c>
      <c r="K5564">
        <f t="shared" si="86"/>
        <v>59</v>
      </c>
      <c r="L5564" s="8" t="str" cm="1">
        <f t="array" ref="L5564">_xlfn.IFS(
 AND(K5564&gt;=89,K5564&lt;=92),"3개월",
 AND(K5564&gt;=58,K5564&lt;=62),"2개월",
 AND(K5564&gt;=28,K5564&lt;=32),"1개월",
 AND(K5564=0),"당월",
 TRUE,"그외"
)</f>
        <v>2개월</v>
      </c>
    </row>
    <row r="5565" spans="1:12" x14ac:dyDescent="0.3">
      <c r="A5565" s="5">
        <v>45717</v>
      </c>
      <c r="B5565" s="6" t="s">
        <v>40</v>
      </c>
      <c r="C5565" s="6" t="s">
        <v>42</v>
      </c>
      <c r="D5565" s="5">
        <v>45689</v>
      </c>
      <c r="E5565" s="6" t="s">
        <v>14</v>
      </c>
      <c r="F5565" s="7">
        <v>2667</v>
      </c>
      <c r="G5565" s="7">
        <v>236303.2620922385</v>
      </c>
      <c r="H5565" s="7">
        <v>630220800</v>
      </c>
      <c r="I5565" s="7">
        <v>54406800</v>
      </c>
      <c r="J5565" s="7">
        <v>0</v>
      </c>
      <c r="K5565">
        <f t="shared" si="86"/>
        <v>28</v>
      </c>
      <c r="L5565" s="8" t="str" cm="1">
        <f t="array" ref="L5565">_xlfn.IFS(
 AND(K5565&gt;=89,K5565&lt;=92),"3개월",
 AND(K5565&gt;=58,K5565&lt;=62),"2개월",
 AND(K5565&gt;=28,K5565&lt;=32),"1개월",
 AND(K5565=0),"당월",
 TRUE,"그외"
)</f>
        <v>1개월</v>
      </c>
    </row>
    <row r="5566" spans="1:12" x14ac:dyDescent="0.3">
      <c r="A5566" s="5">
        <v>45717</v>
      </c>
      <c r="B5566" s="6" t="s">
        <v>40</v>
      </c>
      <c r="C5566" s="6" t="s">
        <v>42</v>
      </c>
      <c r="D5566" s="5">
        <v>45717</v>
      </c>
      <c r="E5566" s="6" t="s">
        <v>14</v>
      </c>
      <c r="F5566" s="7">
        <v>2334</v>
      </c>
      <c r="G5566" s="7">
        <v>241380.07712082259</v>
      </c>
      <c r="H5566" s="7">
        <v>563381100</v>
      </c>
      <c r="I5566" s="7">
        <v>53864100</v>
      </c>
      <c r="J5566" s="7">
        <v>0</v>
      </c>
      <c r="K5566">
        <f t="shared" si="86"/>
        <v>0</v>
      </c>
      <c r="L5566" s="8" t="str" cm="1">
        <f t="array" ref="L5566">_xlfn.IFS(
 AND(K5566&gt;=89,K5566&lt;=92),"3개월",
 AND(K5566&gt;=58,K5566&lt;=62),"2개월",
 AND(K5566&gt;=28,K5566&lt;=32),"1개월",
 AND(K5566=0),"당월",
 TRUE,"그외"
)</f>
        <v>당월</v>
      </c>
    </row>
    <row r="5567" spans="1:12" x14ac:dyDescent="0.3">
      <c r="A5567" s="5">
        <v>45717</v>
      </c>
      <c r="B5567" s="6" t="s">
        <v>40</v>
      </c>
      <c r="C5567" s="6" t="s">
        <v>42</v>
      </c>
      <c r="D5567" s="5">
        <v>45717</v>
      </c>
      <c r="E5567" s="6" t="s">
        <v>15</v>
      </c>
      <c r="F5567" s="7">
        <v>6</v>
      </c>
      <c r="G5567" s="7">
        <v>418430.33333333331</v>
      </c>
      <c r="H5567" s="7">
        <v>2510582</v>
      </c>
      <c r="I5567" s="7">
        <v>179229</v>
      </c>
      <c r="J5567" s="7">
        <v>0</v>
      </c>
      <c r="K5567">
        <f t="shared" si="86"/>
        <v>0</v>
      </c>
      <c r="L5567" s="8" t="str" cm="1">
        <f t="array" ref="L5567">_xlfn.IFS(
 AND(K5567&gt;=89,K5567&lt;=92),"3개월",
 AND(K5567&gt;=58,K5567&lt;=62),"2개월",
 AND(K5567&gt;=28,K5567&lt;=32),"1개월",
 AND(K5567=0),"당월",
 TRUE,"그외"
)</f>
        <v>당월</v>
      </c>
    </row>
    <row r="5568" spans="1:12" x14ac:dyDescent="0.3">
      <c r="A5568" s="5">
        <v>45717</v>
      </c>
      <c r="B5568" s="6" t="s">
        <v>40</v>
      </c>
      <c r="C5568" s="6" t="s">
        <v>47</v>
      </c>
      <c r="D5568" s="5">
        <v>45505</v>
      </c>
      <c r="E5568" s="6" t="s">
        <v>15</v>
      </c>
      <c r="F5568" s="7">
        <v>12</v>
      </c>
      <c r="G5568" s="7">
        <v>80400</v>
      </c>
      <c r="H5568" s="7">
        <v>964800</v>
      </c>
      <c r="I5568" s="7">
        <v>364800</v>
      </c>
      <c r="J5568" s="7">
        <v>0</v>
      </c>
      <c r="K5568">
        <f t="shared" si="86"/>
        <v>212</v>
      </c>
      <c r="L5568" s="8" t="str" cm="1">
        <f t="array" ref="L5568">_xlfn.IFS(
 AND(K5568&gt;=89,K5568&lt;=92),"3개월",
 AND(K5568&gt;=58,K5568&lt;=62),"2개월",
 AND(K5568&gt;=28,K5568&lt;=32),"1개월",
 AND(K5568=0),"당월",
 TRUE,"그외"
)</f>
        <v>그외</v>
      </c>
    </row>
    <row r="5569" spans="1:12" x14ac:dyDescent="0.3">
      <c r="A5569" s="5">
        <v>45717</v>
      </c>
      <c r="B5569" s="6" t="s">
        <v>40</v>
      </c>
      <c r="C5569" s="6" t="s">
        <v>47</v>
      </c>
      <c r="D5569" s="5">
        <v>45536</v>
      </c>
      <c r="E5569" s="6" t="s">
        <v>15</v>
      </c>
      <c r="F5569" s="7">
        <v>37</v>
      </c>
      <c r="G5569" s="7">
        <v>105812.9459459459</v>
      </c>
      <c r="H5569" s="7">
        <v>3915079</v>
      </c>
      <c r="I5569" s="7">
        <v>1004629</v>
      </c>
      <c r="J5569" s="7">
        <v>0</v>
      </c>
      <c r="K5569">
        <f t="shared" si="86"/>
        <v>181</v>
      </c>
      <c r="L5569" s="8" t="str" cm="1">
        <f t="array" ref="L5569">_xlfn.IFS(
 AND(K5569&gt;=89,K5569&lt;=92),"3개월",
 AND(K5569&gt;=58,K5569&lt;=62),"2개월",
 AND(K5569&gt;=28,K5569&lt;=32),"1개월",
 AND(K5569=0),"당월",
 TRUE,"그외"
)</f>
        <v>그외</v>
      </c>
    </row>
    <row r="5570" spans="1:12" x14ac:dyDescent="0.3">
      <c r="A5570" s="5">
        <v>45717</v>
      </c>
      <c r="B5570" s="6" t="s">
        <v>40</v>
      </c>
      <c r="C5570" s="6" t="s">
        <v>47</v>
      </c>
      <c r="D5570" s="5">
        <v>45566</v>
      </c>
      <c r="E5570" s="6" t="s">
        <v>15</v>
      </c>
      <c r="F5570" s="7">
        <v>54</v>
      </c>
      <c r="G5570" s="7">
        <v>109630.62962962961</v>
      </c>
      <c r="H5570" s="7">
        <v>5920054</v>
      </c>
      <c r="I5570" s="7">
        <v>1358911</v>
      </c>
      <c r="J5570" s="7">
        <v>0</v>
      </c>
      <c r="K5570">
        <f t="shared" si="86"/>
        <v>151</v>
      </c>
      <c r="L5570" s="8" t="str" cm="1">
        <f t="array" ref="L5570">_xlfn.IFS(
 AND(K5570&gt;=89,K5570&lt;=92),"3개월",
 AND(K5570&gt;=58,K5570&lt;=62),"2개월",
 AND(K5570&gt;=28,K5570&lt;=32),"1개월",
 AND(K5570=0),"당월",
 TRUE,"그외"
)</f>
        <v>그외</v>
      </c>
    </row>
    <row r="5571" spans="1:12" x14ac:dyDescent="0.3">
      <c r="A5571" s="5">
        <v>45717</v>
      </c>
      <c r="B5571" s="6" t="s">
        <v>40</v>
      </c>
      <c r="C5571" s="6" t="s">
        <v>47</v>
      </c>
      <c r="D5571" s="5">
        <v>45597</v>
      </c>
      <c r="E5571" s="6" t="s">
        <v>15</v>
      </c>
      <c r="F5571" s="7">
        <v>96</v>
      </c>
      <c r="G5571" s="7">
        <v>104742.625</v>
      </c>
      <c r="H5571" s="7">
        <v>10055292</v>
      </c>
      <c r="I5571" s="7">
        <v>2738283</v>
      </c>
      <c r="J5571" s="7">
        <v>0</v>
      </c>
      <c r="K5571">
        <f t="shared" si="86"/>
        <v>120</v>
      </c>
      <c r="L5571" s="8" t="str" cm="1">
        <f t="array" ref="L5571">_xlfn.IFS(
 AND(K5571&gt;=89,K5571&lt;=92),"3개월",
 AND(K5571&gt;=58,K5571&lt;=62),"2개월",
 AND(K5571&gt;=28,K5571&lt;=32),"1개월",
 AND(K5571=0),"당월",
 TRUE,"그외"
)</f>
        <v>그외</v>
      </c>
    </row>
    <row r="5572" spans="1:12" x14ac:dyDescent="0.3">
      <c r="A5572" s="5">
        <v>45717</v>
      </c>
      <c r="B5572" s="6" t="s">
        <v>40</v>
      </c>
      <c r="C5572" s="6" t="s">
        <v>47</v>
      </c>
      <c r="D5572" s="5">
        <v>45627</v>
      </c>
      <c r="E5572" s="6" t="s">
        <v>15</v>
      </c>
      <c r="F5572" s="7">
        <v>75</v>
      </c>
      <c r="G5572" s="7">
        <v>122610.01333333331</v>
      </c>
      <c r="H5572" s="7">
        <v>9195751</v>
      </c>
      <c r="I5572" s="7">
        <v>1913815</v>
      </c>
      <c r="J5572" s="7">
        <v>0</v>
      </c>
      <c r="K5572">
        <f t="shared" si="86"/>
        <v>90</v>
      </c>
      <c r="L5572" s="8" t="str" cm="1">
        <f t="array" ref="L5572">_xlfn.IFS(
 AND(K5572&gt;=89,K5572&lt;=92),"3개월",
 AND(K5572&gt;=58,K5572&lt;=62),"2개월",
 AND(K5572&gt;=28,K5572&lt;=32),"1개월",
 AND(K5572=0),"당월",
 TRUE,"그외"
)</f>
        <v>3개월</v>
      </c>
    </row>
    <row r="5573" spans="1:12" x14ac:dyDescent="0.3">
      <c r="A5573" s="5">
        <v>45717</v>
      </c>
      <c r="B5573" s="6" t="s">
        <v>40</v>
      </c>
      <c r="C5573" s="6" t="s">
        <v>47</v>
      </c>
      <c r="D5573" s="5">
        <v>45658</v>
      </c>
      <c r="E5573" s="6" t="s">
        <v>14</v>
      </c>
      <c r="F5573" s="7">
        <v>377</v>
      </c>
      <c r="G5573" s="7">
        <v>63724.137931034493</v>
      </c>
      <c r="H5573" s="7">
        <v>24024000</v>
      </c>
      <c r="I5573" s="7">
        <v>9048000</v>
      </c>
      <c r="J5573" s="7">
        <v>0</v>
      </c>
      <c r="K5573">
        <f t="shared" si="86"/>
        <v>59</v>
      </c>
      <c r="L5573" s="8" t="str" cm="1">
        <f t="array" ref="L5573">_xlfn.IFS(
 AND(K5573&gt;=89,K5573&lt;=92),"3개월",
 AND(K5573&gt;=58,K5573&lt;=62),"2개월",
 AND(K5573&gt;=28,K5573&lt;=32),"1개월",
 AND(K5573=0),"당월",
 TRUE,"그외"
)</f>
        <v>2개월</v>
      </c>
    </row>
    <row r="5574" spans="1:12" x14ac:dyDescent="0.3">
      <c r="A5574" s="5">
        <v>45717</v>
      </c>
      <c r="B5574" s="6" t="s">
        <v>40</v>
      </c>
      <c r="C5574" s="6" t="s">
        <v>47</v>
      </c>
      <c r="D5574" s="5">
        <v>45658</v>
      </c>
      <c r="E5574" s="6" t="s">
        <v>15</v>
      </c>
      <c r="F5574" s="7">
        <v>1287</v>
      </c>
      <c r="G5574" s="7">
        <v>82972.663558663553</v>
      </c>
      <c r="H5574" s="7">
        <v>106785818</v>
      </c>
      <c r="I5574" s="7">
        <v>33758621</v>
      </c>
      <c r="J5574" s="7">
        <v>0</v>
      </c>
      <c r="K5574">
        <f t="shared" si="86"/>
        <v>59</v>
      </c>
      <c r="L5574" s="8" t="str" cm="1">
        <f t="array" ref="L5574">_xlfn.IFS(
 AND(K5574&gt;=89,K5574&lt;=92),"3개월",
 AND(K5574&gt;=58,K5574&lt;=62),"2개월",
 AND(K5574&gt;=28,K5574&lt;=32),"1개월",
 AND(K5574=0),"당월",
 TRUE,"그외"
)</f>
        <v>2개월</v>
      </c>
    </row>
    <row r="5575" spans="1:12" x14ac:dyDescent="0.3">
      <c r="A5575" s="5">
        <v>45717</v>
      </c>
      <c r="B5575" s="6" t="s">
        <v>40</v>
      </c>
      <c r="C5575" s="6" t="s">
        <v>47</v>
      </c>
      <c r="D5575" s="5">
        <v>45689</v>
      </c>
      <c r="E5575" s="6" t="s">
        <v>14</v>
      </c>
      <c r="F5575" s="7">
        <v>1070</v>
      </c>
      <c r="G5575" s="7">
        <v>97943.209345794399</v>
      </c>
      <c r="H5575" s="7">
        <v>104799234</v>
      </c>
      <c r="I5575" s="7">
        <v>27359601</v>
      </c>
      <c r="J5575" s="7">
        <v>0</v>
      </c>
      <c r="K5575">
        <f t="shared" si="86"/>
        <v>28</v>
      </c>
      <c r="L5575" s="8" t="str" cm="1">
        <f t="array" ref="L5575">_xlfn.IFS(
 AND(K5575&gt;=89,K5575&lt;=92),"3개월",
 AND(K5575&gt;=58,K5575&lt;=62),"2개월",
 AND(K5575&gt;=28,K5575&lt;=32),"1개월",
 AND(K5575=0),"당월",
 TRUE,"그외"
)</f>
        <v>1개월</v>
      </c>
    </row>
    <row r="5576" spans="1:12" x14ac:dyDescent="0.3">
      <c r="A5576" s="5">
        <v>45717</v>
      </c>
      <c r="B5576" s="6" t="s">
        <v>40</v>
      </c>
      <c r="C5576" s="6" t="s">
        <v>47</v>
      </c>
      <c r="D5576" s="5">
        <v>45689</v>
      </c>
      <c r="E5576" s="6" t="s">
        <v>15</v>
      </c>
      <c r="F5576" s="7">
        <v>2398</v>
      </c>
      <c r="G5576" s="7">
        <v>99048.384904086735</v>
      </c>
      <c r="H5576" s="7">
        <v>237518027</v>
      </c>
      <c r="I5576" s="7">
        <v>64283448</v>
      </c>
      <c r="J5576" s="7">
        <v>0</v>
      </c>
      <c r="K5576">
        <f t="shared" si="86"/>
        <v>28</v>
      </c>
      <c r="L5576" s="8" t="str" cm="1">
        <f t="array" ref="L5576">_xlfn.IFS(
 AND(K5576&gt;=89,K5576&lt;=92),"3개월",
 AND(K5576&gt;=58,K5576&lt;=62),"2개월",
 AND(K5576&gt;=28,K5576&lt;=32),"1개월",
 AND(K5576=0),"당월",
 TRUE,"그외"
)</f>
        <v>1개월</v>
      </c>
    </row>
    <row r="5577" spans="1:12" x14ac:dyDescent="0.3">
      <c r="A5577" s="5">
        <v>45717</v>
      </c>
      <c r="B5577" s="6" t="s">
        <v>40</v>
      </c>
      <c r="C5577" s="6" t="s">
        <v>47</v>
      </c>
      <c r="D5577" s="5">
        <v>45717</v>
      </c>
      <c r="E5577" s="6" t="s">
        <v>14</v>
      </c>
      <c r="F5577" s="7">
        <v>1764</v>
      </c>
      <c r="G5577" s="7">
        <v>87192.041383219956</v>
      </c>
      <c r="H5577" s="7">
        <v>153806761</v>
      </c>
      <c r="I5577" s="7">
        <v>51663016</v>
      </c>
      <c r="J5577" s="7">
        <v>0</v>
      </c>
      <c r="K5577">
        <f t="shared" si="86"/>
        <v>0</v>
      </c>
      <c r="L5577" s="8" t="str" cm="1">
        <f t="array" ref="L5577">_xlfn.IFS(
 AND(K5577&gt;=89,K5577&lt;=92),"3개월",
 AND(K5577&gt;=58,K5577&lt;=62),"2개월",
 AND(K5577&gt;=28,K5577&lt;=32),"1개월",
 AND(K5577=0),"당월",
 TRUE,"그외"
)</f>
        <v>당월</v>
      </c>
    </row>
    <row r="5578" spans="1:12" x14ac:dyDescent="0.3">
      <c r="A5578" s="5">
        <v>45717</v>
      </c>
      <c r="B5578" s="6" t="s">
        <v>40</v>
      </c>
      <c r="C5578" s="6" t="s">
        <v>47</v>
      </c>
      <c r="D5578" s="5">
        <v>45717</v>
      </c>
      <c r="E5578" s="6" t="s">
        <v>15</v>
      </c>
      <c r="F5578" s="7">
        <v>2449</v>
      </c>
      <c r="G5578" s="7">
        <v>104200.49367088611</v>
      </c>
      <c r="H5578" s="7">
        <v>255187009</v>
      </c>
      <c r="I5578" s="7">
        <v>71000048</v>
      </c>
      <c r="J5578" s="7">
        <v>0</v>
      </c>
      <c r="K5578">
        <f t="shared" ref="K5578:K5641" si="87">A5578-D5578</f>
        <v>0</v>
      </c>
      <c r="L5578" s="8" t="str" cm="1">
        <f t="array" ref="L5578">_xlfn.IFS(
 AND(K5578&gt;=89,K5578&lt;=92),"3개월",
 AND(K5578&gt;=58,K5578&lt;=62),"2개월",
 AND(K5578&gt;=28,K5578&lt;=32),"1개월",
 AND(K5578=0),"당월",
 TRUE,"그외"
)</f>
        <v>당월</v>
      </c>
    </row>
    <row r="5579" spans="1:12" x14ac:dyDescent="0.3">
      <c r="A5579" s="5">
        <v>45717</v>
      </c>
      <c r="B5579" s="6" t="s">
        <v>50</v>
      </c>
      <c r="C5579" s="6" t="s">
        <v>51</v>
      </c>
      <c r="D5579" s="5">
        <v>45505</v>
      </c>
      <c r="E5579" s="6" t="s">
        <v>15</v>
      </c>
      <c r="F5579" s="7">
        <v>25</v>
      </c>
      <c r="G5579" s="7">
        <v>179932.24</v>
      </c>
      <c r="H5579" s="7">
        <v>4498306</v>
      </c>
      <c r="I5579" s="7">
        <v>779730</v>
      </c>
      <c r="J5579" s="7">
        <v>0</v>
      </c>
      <c r="K5579">
        <f t="shared" si="87"/>
        <v>212</v>
      </c>
      <c r="L5579" s="8" t="str" cm="1">
        <f t="array" ref="L5579">_xlfn.IFS(
 AND(K5579&gt;=89,K5579&lt;=92),"3개월",
 AND(K5579&gt;=58,K5579&lt;=62),"2개월",
 AND(K5579&gt;=28,K5579&lt;=32),"1개월",
 AND(K5579=0),"당월",
 TRUE,"그외"
)</f>
        <v>그외</v>
      </c>
    </row>
    <row r="5580" spans="1:12" x14ac:dyDescent="0.3">
      <c r="A5580" s="5">
        <v>45717</v>
      </c>
      <c r="B5580" s="6" t="s">
        <v>50</v>
      </c>
      <c r="C5580" s="6" t="s">
        <v>51</v>
      </c>
      <c r="D5580" s="5">
        <v>45536</v>
      </c>
      <c r="E5580" s="6" t="s">
        <v>15</v>
      </c>
      <c r="F5580" s="7">
        <v>71</v>
      </c>
      <c r="G5580" s="7">
        <v>173548.36619718309</v>
      </c>
      <c r="H5580" s="7">
        <v>12321934</v>
      </c>
      <c r="I5580" s="7">
        <v>2229997</v>
      </c>
      <c r="J5580" s="7">
        <v>0</v>
      </c>
      <c r="K5580">
        <f t="shared" si="87"/>
        <v>181</v>
      </c>
      <c r="L5580" s="8" t="str" cm="1">
        <f t="array" ref="L5580">_xlfn.IFS(
 AND(K5580&gt;=89,K5580&lt;=92),"3개월",
 AND(K5580&gt;=58,K5580&lt;=62),"2개월",
 AND(K5580&gt;=28,K5580&lt;=32),"1개월",
 AND(K5580=0),"당월",
 TRUE,"그외"
)</f>
        <v>그외</v>
      </c>
    </row>
    <row r="5581" spans="1:12" x14ac:dyDescent="0.3">
      <c r="A5581" s="5">
        <v>45717</v>
      </c>
      <c r="B5581" s="6" t="s">
        <v>50</v>
      </c>
      <c r="C5581" s="6" t="s">
        <v>51</v>
      </c>
      <c r="D5581" s="5">
        <v>45566</v>
      </c>
      <c r="E5581" s="6" t="s">
        <v>15</v>
      </c>
      <c r="F5581" s="7">
        <v>122</v>
      </c>
      <c r="G5581" s="7">
        <v>176537.03278688519</v>
      </c>
      <c r="H5581" s="7">
        <v>21537518</v>
      </c>
      <c r="I5581" s="7">
        <v>3402374</v>
      </c>
      <c r="J5581" s="7">
        <v>0</v>
      </c>
      <c r="K5581">
        <f t="shared" si="87"/>
        <v>151</v>
      </c>
      <c r="L5581" s="8" t="str" cm="1">
        <f t="array" ref="L5581">_xlfn.IFS(
 AND(K5581&gt;=89,K5581&lt;=92),"3개월",
 AND(K5581&gt;=58,K5581&lt;=62),"2개월",
 AND(K5581&gt;=28,K5581&lt;=32),"1개월",
 AND(K5581=0),"당월",
 TRUE,"그외"
)</f>
        <v>그외</v>
      </c>
    </row>
    <row r="5582" spans="1:12" x14ac:dyDescent="0.3">
      <c r="A5582" s="5">
        <v>45717</v>
      </c>
      <c r="B5582" s="6" t="s">
        <v>50</v>
      </c>
      <c r="C5582" s="6" t="s">
        <v>51</v>
      </c>
      <c r="D5582" s="5">
        <v>45597</v>
      </c>
      <c r="E5582" s="6" t="s">
        <v>15</v>
      </c>
      <c r="F5582" s="7">
        <v>128</v>
      </c>
      <c r="G5582" s="7">
        <v>185322.5859375</v>
      </c>
      <c r="H5582" s="7">
        <v>23721291</v>
      </c>
      <c r="I5582" s="7">
        <v>3345230</v>
      </c>
      <c r="J5582" s="7">
        <v>0</v>
      </c>
      <c r="K5582">
        <f t="shared" si="87"/>
        <v>120</v>
      </c>
      <c r="L5582" s="8" t="str" cm="1">
        <f t="array" ref="L5582">_xlfn.IFS(
 AND(K5582&gt;=89,K5582&lt;=92),"3개월",
 AND(K5582&gt;=58,K5582&lt;=62),"2개월",
 AND(K5582&gt;=28,K5582&lt;=32),"1개월",
 AND(K5582=0),"당월",
 TRUE,"그외"
)</f>
        <v>그외</v>
      </c>
    </row>
    <row r="5583" spans="1:12" x14ac:dyDescent="0.3">
      <c r="A5583" s="5">
        <v>45717</v>
      </c>
      <c r="B5583" s="6" t="s">
        <v>50</v>
      </c>
      <c r="C5583" s="6" t="s">
        <v>51</v>
      </c>
      <c r="D5583" s="5">
        <v>45627</v>
      </c>
      <c r="E5583" s="6" t="s">
        <v>15</v>
      </c>
      <c r="F5583" s="7">
        <v>816</v>
      </c>
      <c r="G5583" s="7">
        <v>146773.79656862741</v>
      </c>
      <c r="H5583" s="7">
        <v>119767418</v>
      </c>
      <c r="I5583" s="7">
        <v>20519031</v>
      </c>
      <c r="J5583" s="7">
        <v>0</v>
      </c>
      <c r="K5583">
        <f t="shared" si="87"/>
        <v>90</v>
      </c>
      <c r="L5583" s="8" t="str" cm="1">
        <f t="array" ref="L5583">_xlfn.IFS(
 AND(K5583&gt;=89,K5583&lt;=92),"3개월",
 AND(K5583&gt;=58,K5583&lt;=62),"2개월",
 AND(K5583&gt;=28,K5583&lt;=32),"1개월",
 AND(K5583=0),"당월",
 TRUE,"그외"
)</f>
        <v>3개월</v>
      </c>
    </row>
    <row r="5584" spans="1:12" x14ac:dyDescent="0.3">
      <c r="A5584" s="5">
        <v>45717</v>
      </c>
      <c r="B5584" s="6" t="s">
        <v>50</v>
      </c>
      <c r="C5584" s="6" t="s">
        <v>51</v>
      </c>
      <c r="D5584" s="5">
        <v>45658</v>
      </c>
      <c r="E5584" s="6" t="s">
        <v>14</v>
      </c>
      <c r="F5584" s="7">
        <v>80</v>
      </c>
      <c r="G5584" s="7">
        <v>162100</v>
      </c>
      <c r="H5584" s="7">
        <v>12968000</v>
      </c>
      <c r="I5584" s="7">
        <v>1576000</v>
      </c>
      <c r="J5584" s="7">
        <v>0</v>
      </c>
      <c r="K5584">
        <f t="shared" si="87"/>
        <v>59</v>
      </c>
      <c r="L5584" s="8" t="str" cm="1">
        <f t="array" ref="L5584">_xlfn.IFS(
 AND(K5584&gt;=89,K5584&lt;=92),"3개월",
 AND(K5584&gt;=58,K5584&lt;=62),"2개월",
 AND(K5584&gt;=28,K5584&lt;=32),"1개월",
 AND(K5584=0),"당월",
 TRUE,"그외"
)</f>
        <v>2개월</v>
      </c>
    </row>
    <row r="5585" spans="1:12" x14ac:dyDescent="0.3">
      <c r="A5585" s="5">
        <v>45717</v>
      </c>
      <c r="B5585" s="6" t="s">
        <v>50</v>
      </c>
      <c r="C5585" s="6" t="s">
        <v>51</v>
      </c>
      <c r="D5585" s="5">
        <v>45658</v>
      </c>
      <c r="E5585" s="6" t="s">
        <v>15</v>
      </c>
      <c r="F5585" s="7">
        <v>1186</v>
      </c>
      <c r="G5585" s="7">
        <v>164319.7074198988</v>
      </c>
      <c r="H5585" s="7">
        <v>194883173</v>
      </c>
      <c r="I5585" s="7">
        <v>31790275</v>
      </c>
      <c r="J5585" s="7">
        <v>0</v>
      </c>
      <c r="K5585">
        <f t="shared" si="87"/>
        <v>59</v>
      </c>
      <c r="L5585" s="8" t="str" cm="1">
        <f t="array" ref="L5585">_xlfn.IFS(
 AND(K5585&gt;=89,K5585&lt;=92),"3개월",
 AND(K5585&gt;=58,K5585&lt;=62),"2개월",
 AND(K5585&gt;=28,K5585&lt;=32),"1개월",
 AND(K5585=0),"당월",
 TRUE,"그외"
)</f>
        <v>2개월</v>
      </c>
    </row>
    <row r="5586" spans="1:12" x14ac:dyDescent="0.3">
      <c r="A5586" s="5">
        <v>45717</v>
      </c>
      <c r="B5586" s="6" t="s">
        <v>50</v>
      </c>
      <c r="C5586" s="6" t="s">
        <v>51</v>
      </c>
      <c r="D5586" s="5">
        <v>45689</v>
      </c>
      <c r="E5586" s="6" t="s">
        <v>14</v>
      </c>
      <c r="F5586" s="7">
        <v>199</v>
      </c>
      <c r="G5586" s="7">
        <v>212892.46231155781</v>
      </c>
      <c r="H5586" s="7">
        <v>42365600</v>
      </c>
      <c r="I5586" s="7">
        <v>4059600</v>
      </c>
      <c r="J5586" s="7">
        <v>0</v>
      </c>
      <c r="K5586">
        <f t="shared" si="87"/>
        <v>28</v>
      </c>
      <c r="L5586" s="8" t="str" cm="1">
        <f t="array" ref="L5586">_xlfn.IFS(
 AND(K5586&gt;=89,K5586&lt;=92),"3개월",
 AND(K5586&gt;=58,K5586&lt;=62),"2개월",
 AND(K5586&gt;=28,K5586&lt;=32),"1개월",
 AND(K5586=0),"당월",
 TRUE,"그외"
)</f>
        <v>1개월</v>
      </c>
    </row>
    <row r="5587" spans="1:12" x14ac:dyDescent="0.3">
      <c r="A5587" s="5">
        <v>45717</v>
      </c>
      <c r="B5587" s="6" t="s">
        <v>50</v>
      </c>
      <c r="C5587" s="6" t="s">
        <v>51</v>
      </c>
      <c r="D5587" s="5">
        <v>45689</v>
      </c>
      <c r="E5587" s="6" t="s">
        <v>15</v>
      </c>
      <c r="F5587" s="7">
        <v>2442</v>
      </c>
      <c r="G5587" s="7">
        <v>174410.05036855041</v>
      </c>
      <c r="H5587" s="7">
        <v>425909343</v>
      </c>
      <c r="I5587" s="7">
        <v>68720134</v>
      </c>
      <c r="J5587" s="7">
        <v>0</v>
      </c>
      <c r="K5587">
        <f t="shared" si="87"/>
        <v>28</v>
      </c>
      <c r="L5587" s="8" t="str" cm="1">
        <f t="array" ref="L5587">_xlfn.IFS(
 AND(K5587&gt;=89,K5587&lt;=92),"3개월",
 AND(K5587&gt;=58,K5587&lt;=62),"2개월",
 AND(K5587&gt;=28,K5587&lt;=32),"1개월",
 AND(K5587=0),"당월",
 TRUE,"그외"
)</f>
        <v>1개월</v>
      </c>
    </row>
    <row r="5588" spans="1:12" x14ac:dyDescent="0.3">
      <c r="A5588" s="5">
        <v>45717</v>
      </c>
      <c r="B5588" s="6" t="s">
        <v>50</v>
      </c>
      <c r="C5588" s="6" t="s">
        <v>51</v>
      </c>
      <c r="D5588" s="5">
        <v>45717</v>
      </c>
      <c r="E5588" s="6" t="s">
        <v>14</v>
      </c>
      <c r="F5588" s="7">
        <v>78</v>
      </c>
      <c r="G5588" s="7">
        <v>186098.6153846154</v>
      </c>
      <c r="H5588" s="7">
        <v>14515692</v>
      </c>
      <c r="I5588" s="7">
        <v>1829472</v>
      </c>
      <c r="J5588" s="7">
        <v>0</v>
      </c>
      <c r="K5588">
        <f t="shared" si="87"/>
        <v>0</v>
      </c>
      <c r="L5588" s="8" t="str" cm="1">
        <f t="array" ref="L5588">_xlfn.IFS(
 AND(K5588&gt;=89,K5588&lt;=92),"3개월",
 AND(K5588&gt;=58,K5588&lt;=62),"2개월",
 AND(K5588&gt;=28,K5588&lt;=32),"1개월",
 AND(K5588=0),"당월",
 TRUE,"그외"
)</f>
        <v>당월</v>
      </c>
    </row>
    <row r="5589" spans="1:12" x14ac:dyDescent="0.3">
      <c r="A5589" s="5">
        <v>45717</v>
      </c>
      <c r="B5589" s="6" t="s">
        <v>50</v>
      </c>
      <c r="C5589" s="6" t="s">
        <v>51</v>
      </c>
      <c r="D5589" s="5">
        <v>45717</v>
      </c>
      <c r="E5589" s="6" t="s">
        <v>15</v>
      </c>
      <c r="F5589" s="7">
        <v>1233</v>
      </c>
      <c r="G5589" s="7">
        <v>196672.05677210059</v>
      </c>
      <c r="H5589" s="7">
        <v>242496646</v>
      </c>
      <c r="I5589" s="7">
        <v>36768816</v>
      </c>
      <c r="J5589" s="7">
        <v>0</v>
      </c>
      <c r="K5589">
        <f t="shared" si="87"/>
        <v>0</v>
      </c>
      <c r="L5589" s="8" t="str" cm="1">
        <f t="array" ref="L5589">_xlfn.IFS(
 AND(K5589&gt;=89,K5589&lt;=92),"3개월",
 AND(K5589&gt;=58,K5589&lt;=62),"2개월",
 AND(K5589&gt;=28,K5589&lt;=32),"1개월",
 AND(K5589=0),"당월",
 TRUE,"그외"
)</f>
        <v>당월</v>
      </c>
    </row>
    <row r="5590" spans="1:12" x14ac:dyDescent="0.3">
      <c r="A5590" s="5">
        <v>45717</v>
      </c>
      <c r="B5590" s="6" t="s">
        <v>50</v>
      </c>
      <c r="C5590" s="6" t="s">
        <v>52</v>
      </c>
      <c r="D5590" s="5">
        <v>45505</v>
      </c>
      <c r="E5590" s="6" t="s">
        <v>15</v>
      </c>
      <c r="F5590" s="7">
        <v>244</v>
      </c>
      <c r="G5590" s="7">
        <v>111205.6926229508</v>
      </c>
      <c r="H5590" s="7">
        <v>27134189</v>
      </c>
      <c r="I5590" s="7">
        <v>7135168</v>
      </c>
      <c r="J5590" s="7">
        <v>0</v>
      </c>
      <c r="K5590">
        <f t="shared" si="87"/>
        <v>212</v>
      </c>
      <c r="L5590" s="8" t="str" cm="1">
        <f t="array" ref="L5590">_xlfn.IFS(
 AND(K5590&gt;=89,K5590&lt;=92),"3개월",
 AND(K5590&gt;=58,K5590&lt;=62),"2개월",
 AND(K5590&gt;=28,K5590&lt;=32),"1개월",
 AND(K5590=0),"당월",
 TRUE,"그외"
)</f>
        <v>그외</v>
      </c>
    </row>
    <row r="5591" spans="1:12" x14ac:dyDescent="0.3">
      <c r="A5591" s="5">
        <v>45717</v>
      </c>
      <c r="B5591" s="6" t="s">
        <v>50</v>
      </c>
      <c r="C5591" s="6" t="s">
        <v>52</v>
      </c>
      <c r="D5591" s="5">
        <v>45536</v>
      </c>
      <c r="E5591" s="6" t="s">
        <v>15</v>
      </c>
      <c r="F5591" s="7">
        <v>191</v>
      </c>
      <c r="G5591" s="7">
        <v>123861.9685863874</v>
      </c>
      <c r="H5591" s="7">
        <v>23657636</v>
      </c>
      <c r="I5591" s="7">
        <v>6138390</v>
      </c>
      <c r="J5591" s="7">
        <v>0</v>
      </c>
      <c r="K5591">
        <f t="shared" si="87"/>
        <v>181</v>
      </c>
      <c r="L5591" s="8" t="str" cm="1">
        <f t="array" ref="L5591">_xlfn.IFS(
 AND(K5591&gt;=89,K5591&lt;=92),"3개월",
 AND(K5591&gt;=58,K5591&lt;=62),"2개월",
 AND(K5591&gt;=28,K5591&lt;=32),"1개월",
 AND(K5591=0),"당월",
 TRUE,"그외"
)</f>
        <v>그외</v>
      </c>
    </row>
    <row r="5592" spans="1:12" x14ac:dyDescent="0.3">
      <c r="A5592" s="5">
        <v>45717</v>
      </c>
      <c r="B5592" s="6" t="s">
        <v>50</v>
      </c>
      <c r="C5592" s="6" t="s">
        <v>52</v>
      </c>
      <c r="D5592" s="5">
        <v>45566</v>
      </c>
      <c r="E5592" s="6" t="s">
        <v>15</v>
      </c>
      <c r="F5592" s="7">
        <v>337</v>
      </c>
      <c r="G5592" s="7">
        <v>125796.89614243319</v>
      </c>
      <c r="H5592" s="7">
        <v>42393554</v>
      </c>
      <c r="I5592" s="7">
        <v>9693074</v>
      </c>
      <c r="J5592" s="7">
        <v>0</v>
      </c>
      <c r="K5592">
        <f t="shared" si="87"/>
        <v>151</v>
      </c>
      <c r="L5592" s="8" t="str" cm="1">
        <f t="array" ref="L5592">_xlfn.IFS(
 AND(K5592&gt;=89,K5592&lt;=92),"3개월",
 AND(K5592&gt;=58,K5592&lt;=62),"2개월",
 AND(K5592&gt;=28,K5592&lt;=32),"1개월",
 AND(K5592=0),"당월",
 TRUE,"그외"
)</f>
        <v>그외</v>
      </c>
    </row>
    <row r="5593" spans="1:12" x14ac:dyDescent="0.3">
      <c r="A5593" s="5">
        <v>45717</v>
      </c>
      <c r="B5593" s="6" t="s">
        <v>50</v>
      </c>
      <c r="C5593" s="6" t="s">
        <v>52</v>
      </c>
      <c r="D5593" s="5">
        <v>45597</v>
      </c>
      <c r="E5593" s="6" t="s">
        <v>14</v>
      </c>
      <c r="F5593" s="7">
        <v>67</v>
      </c>
      <c r="G5593" s="7">
        <v>206223.88059701491</v>
      </c>
      <c r="H5593" s="7">
        <v>13817000</v>
      </c>
      <c r="I5593" s="7">
        <v>1072000</v>
      </c>
      <c r="J5593" s="7">
        <v>0</v>
      </c>
      <c r="K5593">
        <f t="shared" si="87"/>
        <v>120</v>
      </c>
      <c r="L5593" s="8" t="str" cm="1">
        <f t="array" ref="L5593">_xlfn.IFS(
 AND(K5593&gt;=89,K5593&lt;=92),"3개월",
 AND(K5593&gt;=58,K5593&lt;=62),"2개월",
 AND(K5593&gt;=28,K5593&lt;=32),"1개월",
 AND(K5593=0),"당월",
 TRUE,"그외"
)</f>
        <v>그외</v>
      </c>
    </row>
    <row r="5594" spans="1:12" x14ac:dyDescent="0.3">
      <c r="A5594" s="5">
        <v>45717</v>
      </c>
      <c r="B5594" s="6" t="s">
        <v>50</v>
      </c>
      <c r="C5594" s="6" t="s">
        <v>52</v>
      </c>
      <c r="D5594" s="5">
        <v>45597</v>
      </c>
      <c r="E5594" s="6" t="s">
        <v>15</v>
      </c>
      <c r="F5594" s="7">
        <v>336</v>
      </c>
      <c r="G5594" s="7">
        <v>144000.7529761905</v>
      </c>
      <c r="H5594" s="7">
        <v>48384253</v>
      </c>
      <c r="I5594" s="7">
        <v>10030547</v>
      </c>
      <c r="J5594" s="7">
        <v>0</v>
      </c>
      <c r="K5594">
        <f t="shared" si="87"/>
        <v>120</v>
      </c>
      <c r="L5594" s="8" t="str" cm="1">
        <f t="array" ref="L5594">_xlfn.IFS(
 AND(K5594&gt;=89,K5594&lt;=92),"3개월",
 AND(K5594&gt;=58,K5594&lt;=62),"2개월",
 AND(K5594&gt;=28,K5594&lt;=32),"1개월",
 AND(K5594=0),"당월",
 TRUE,"그외"
)</f>
        <v>그외</v>
      </c>
    </row>
    <row r="5595" spans="1:12" x14ac:dyDescent="0.3">
      <c r="A5595" s="5">
        <v>45717</v>
      </c>
      <c r="B5595" s="6" t="s">
        <v>50</v>
      </c>
      <c r="C5595" s="6" t="s">
        <v>52</v>
      </c>
      <c r="D5595" s="5">
        <v>45627</v>
      </c>
      <c r="E5595" s="6" t="s">
        <v>14</v>
      </c>
      <c r="F5595" s="7">
        <v>1</v>
      </c>
      <c r="G5595" s="7">
        <v>206000</v>
      </c>
      <c r="H5595" s="7">
        <v>206000</v>
      </c>
      <c r="I5595" s="7">
        <v>16000</v>
      </c>
      <c r="J5595" s="7">
        <v>0</v>
      </c>
      <c r="K5595">
        <f t="shared" si="87"/>
        <v>90</v>
      </c>
      <c r="L5595" s="8" t="str" cm="1">
        <f t="array" ref="L5595">_xlfn.IFS(
 AND(K5595&gt;=89,K5595&lt;=92),"3개월",
 AND(K5595&gt;=58,K5595&lt;=62),"2개월",
 AND(K5595&gt;=28,K5595&lt;=32),"1개월",
 AND(K5595=0),"당월",
 TRUE,"그외"
)</f>
        <v>3개월</v>
      </c>
    </row>
    <row r="5596" spans="1:12" x14ac:dyDescent="0.3">
      <c r="A5596" s="5">
        <v>45717</v>
      </c>
      <c r="B5596" s="6" t="s">
        <v>50</v>
      </c>
      <c r="C5596" s="6" t="s">
        <v>52</v>
      </c>
      <c r="D5596" s="5">
        <v>45627</v>
      </c>
      <c r="E5596" s="6" t="s">
        <v>15</v>
      </c>
      <c r="F5596" s="7">
        <v>310</v>
      </c>
      <c r="G5596" s="7">
        <v>117332.1064516129</v>
      </c>
      <c r="H5596" s="7">
        <v>36372953</v>
      </c>
      <c r="I5596" s="7">
        <v>7598114</v>
      </c>
      <c r="J5596" s="7">
        <v>0</v>
      </c>
      <c r="K5596">
        <f t="shared" si="87"/>
        <v>90</v>
      </c>
      <c r="L5596" s="8" t="str" cm="1">
        <f t="array" ref="L5596">_xlfn.IFS(
 AND(K5596&gt;=89,K5596&lt;=92),"3개월",
 AND(K5596&gt;=58,K5596&lt;=62),"2개월",
 AND(K5596&gt;=28,K5596&lt;=32),"1개월",
 AND(K5596=0),"당월",
 TRUE,"그외"
)</f>
        <v>3개월</v>
      </c>
    </row>
    <row r="5597" spans="1:12" x14ac:dyDescent="0.3">
      <c r="A5597" s="5">
        <v>45717</v>
      </c>
      <c r="B5597" s="6" t="s">
        <v>50</v>
      </c>
      <c r="C5597" s="6" t="s">
        <v>52</v>
      </c>
      <c r="D5597" s="5">
        <v>45658</v>
      </c>
      <c r="E5597" s="6" t="s">
        <v>14</v>
      </c>
      <c r="F5597" s="7">
        <v>3</v>
      </c>
      <c r="G5597" s="7">
        <v>229700</v>
      </c>
      <c r="H5597" s="7">
        <v>689100</v>
      </c>
      <c r="I5597" s="7">
        <v>59100</v>
      </c>
      <c r="J5597" s="7">
        <v>0</v>
      </c>
      <c r="K5597">
        <f t="shared" si="87"/>
        <v>59</v>
      </c>
      <c r="L5597" s="8" t="str" cm="1">
        <f t="array" ref="L5597">_xlfn.IFS(
 AND(K5597&gt;=89,K5597&lt;=92),"3개월",
 AND(K5597&gt;=58,K5597&lt;=62),"2개월",
 AND(K5597&gt;=28,K5597&lt;=32),"1개월",
 AND(K5597=0),"당월",
 TRUE,"그외"
)</f>
        <v>2개월</v>
      </c>
    </row>
    <row r="5598" spans="1:12" x14ac:dyDescent="0.3">
      <c r="A5598" s="5">
        <v>45717</v>
      </c>
      <c r="B5598" s="6" t="s">
        <v>50</v>
      </c>
      <c r="C5598" s="6" t="s">
        <v>52</v>
      </c>
      <c r="D5598" s="5">
        <v>45658</v>
      </c>
      <c r="E5598" s="6" t="s">
        <v>15</v>
      </c>
      <c r="F5598" s="7">
        <v>574</v>
      </c>
      <c r="G5598" s="7">
        <v>140798.81707317071</v>
      </c>
      <c r="H5598" s="7">
        <v>80818521</v>
      </c>
      <c r="I5598" s="7">
        <v>14525588</v>
      </c>
      <c r="J5598" s="7">
        <v>0</v>
      </c>
      <c r="K5598">
        <f t="shared" si="87"/>
        <v>59</v>
      </c>
      <c r="L5598" s="8" t="str" cm="1">
        <f t="array" ref="L5598">_xlfn.IFS(
 AND(K5598&gt;=89,K5598&lt;=92),"3개월",
 AND(K5598&gt;=58,K5598&lt;=62),"2개월",
 AND(K5598&gt;=28,K5598&lt;=32),"1개월",
 AND(K5598=0),"당월",
 TRUE,"그외"
)</f>
        <v>2개월</v>
      </c>
    </row>
    <row r="5599" spans="1:12" x14ac:dyDescent="0.3">
      <c r="A5599" s="5">
        <v>45717</v>
      </c>
      <c r="B5599" s="6" t="s">
        <v>50</v>
      </c>
      <c r="C5599" s="6" t="s">
        <v>52</v>
      </c>
      <c r="D5599" s="5">
        <v>45689</v>
      </c>
      <c r="E5599" s="6" t="s">
        <v>14</v>
      </c>
      <c r="F5599" s="7">
        <v>738</v>
      </c>
      <c r="G5599" s="7">
        <v>129716.5311653117</v>
      </c>
      <c r="H5599" s="7">
        <v>95730800</v>
      </c>
      <c r="I5599" s="7">
        <v>15050800</v>
      </c>
      <c r="J5599" s="7">
        <v>0</v>
      </c>
      <c r="K5599">
        <f t="shared" si="87"/>
        <v>28</v>
      </c>
      <c r="L5599" s="8" t="str" cm="1">
        <f t="array" ref="L5599">_xlfn.IFS(
 AND(K5599&gt;=89,K5599&lt;=92),"3개월",
 AND(K5599&gt;=58,K5599&lt;=62),"2개월",
 AND(K5599&gt;=28,K5599&lt;=32),"1개월",
 AND(K5599=0),"당월",
 TRUE,"그외"
)</f>
        <v>1개월</v>
      </c>
    </row>
    <row r="5600" spans="1:12" x14ac:dyDescent="0.3">
      <c r="A5600" s="5">
        <v>45717</v>
      </c>
      <c r="B5600" s="6" t="s">
        <v>50</v>
      </c>
      <c r="C5600" s="6" t="s">
        <v>52</v>
      </c>
      <c r="D5600" s="5">
        <v>45689</v>
      </c>
      <c r="E5600" s="6" t="s">
        <v>15</v>
      </c>
      <c r="F5600" s="7">
        <v>2886</v>
      </c>
      <c r="G5600" s="7">
        <v>120017.246015246</v>
      </c>
      <c r="H5600" s="7">
        <v>346369772</v>
      </c>
      <c r="I5600" s="7">
        <v>97190853</v>
      </c>
      <c r="J5600" s="7">
        <v>0</v>
      </c>
      <c r="K5600">
        <f t="shared" si="87"/>
        <v>28</v>
      </c>
      <c r="L5600" s="8" t="str" cm="1">
        <f t="array" ref="L5600">_xlfn.IFS(
 AND(K5600&gt;=89,K5600&lt;=92),"3개월",
 AND(K5600&gt;=58,K5600&lt;=62),"2개월",
 AND(K5600&gt;=28,K5600&lt;=32),"1개월",
 AND(K5600=0),"당월",
 TRUE,"그외"
)</f>
        <v>1개월</v>
      </c>
    </row>
    <row r="5601" spans="1:12" x14ac:dyDescent="0.3">
      <c r="A5601" s="5">
        <v>45717</v>
      </c>
      <c r="B5601" s="6" t="s">
        <v>50</v>
      </c>
      <c r="C5601" s="6" t="s">
        <v>52</v>
      </c>
      <c r="D5601" s="5">
        <v>45717</v>
      </c>
      <c r="E5601" s="6" t="s">
        <v>14</v>
      </c>
      <c r="F5601" s="7">
        <v>475</v>
      </c>
      <c r="G5601" s="7">
        <v>128917.1789473684</v>
      </c>
      <c r="H5601" s="7">
        <v>61235660</v>
      </c>
      <c r="I5601" s="7">
        <v>13738740</v>
      </c>
      <c r="J5601" s="7">
        <v>0</v>
      </c>
      <c r="K5601">
        <f t="shared" si="87"/>
        <v>0</v>
      </c>
      <c r="L5601" s="8" t="str" cm="1">
        <f t="array" ref="L5601">_xlfn.IFS(
 AND(K5601&gt;=89,K5601&lt;=92),"3개월",
 AND(K5601&gt;=58,K5601&lt;=62),"2개월",
 AND(K5601&gt;=28,K5601&lt;=32),"1개월",
 AND(K5601=0),"당월",
 TRUE,"그외"
)</f>
        <v>당월</v>
      </c>
    </row>
    <row r="5602" spans="1:12" x14ac:dyDescent="0.3">
      <c r="A5602" s="5">
        <v>45717</v>
      </c>
      <c r="B5602" s="6" t="s">
        <v>50</v>
      </c>
      <c r="C5602" s="6" t="s">
        <v>52</v>
      </c>
      <c r="D5602" s="5">
        <v>45717</v>
      </c>
      <c r="E5602" s="6" t="s">
        <v>15</v>
      </c>
      <c r="F5602" s="7">
        <v>3032</v>
      </c>
      <c r="G5602" s="7">
        <v>119843.4591029024</v>
      </c>
      <c r="H5602" s="7">
        <v>363365368</v>
      </c>
      <c r="I5602" s="7">
        <v>107777943</v>
      </c>
      <c r="J5602" s="7">
        <v>0</v>
      </c>
      <c r="K5602">
        <f t="shared" si="87"/>
        <v>0</v>
      </c>
      <c r="L5602" s="8" t="str" cm="1">
        <f t="array" ref="L5602">_xlfn.IFS(
 AND(K5602&gt;=89,K5602&lt;=92),"3개월",
 AND(K5602&gt;=58,K5602&lt;=62),"2개월",
 AND(K5602&gt;=28,K5602&lt;=32),"1개월",
 AND(K5602=0),"당월",
 TRUE,"그외"
)</f>
        <v>당월</v>
      </c>
    </row>
    <row r="5603" spans="1:12" x14ac:dyDescent="0.3">
      <c r="A5603" s="5">
        <v>45717</v>
      </c>
      <c r="B5603" s="6" t="s">
        <v>50</v>
      </c>
      <c r="C5603" s="6" t="s">
        <v>53</v>
      </c>
      <c r="D5603" s="5">
        <v>45536</v>
      </c>
      <c r="E5603" s="6" t="s">
        <v>15</v>
      </c>
      <c r="F5603" s="7">
        <v>228</v>
      </c>
      <c r="G5603" s="7">
        <v>176805.4649122807</v>
      </c>
      <c r="H5603" s="7">
        <v>40311646</v>
      </c>
      <c r="I5603" s="7">
        <v>7041223</v>
      </c>
      <c r="J5603" s="7">
        <v>0</v>
      </c>
      <c r="K5603">
        <f t="shared" si="87"/>
        <v>181</v>
      </c>
      <c r="L5603" s="8" t="str" cm="1">
        <f t="array" ref="L5603">_xlfn.IFS(
 AND(K5603&gt;=89,K5603&lt;=92),"3개월",
 AND(K5603&gt;=58,K5603&lt;=62),"2개월",
 AND(K5603&gt;=28,K5603&lt;=32),"1개월",
 AND(K5603=0),"당월",
 TRUE,"그외"
)</f>
        <v>그외</v>
      </c>
    </row>
    <row r="5604" spans="1:12" x14ac:dyDescent="0.3">
      <c r="A5604" s="5">
        <v>45717</v>
      </c>
      <c r="B5604" s="6" t="s">
        <v>50</v>
      </c>
      <c r="C5604" s="6" t="s">
        <v>53</v>
      </c>
      <c r="D5604" s="5">
        <v>45566</v>
      </c>
      <c r="E5604" s="6" t="s">
        <v>15</v>
      </c>
      <c r="F5604" s="7">
        <v>493</v>
      </c>
      <c r="G5604" s="7">
        <v>173986.7099391481</v>
      </c>
      <c r="H5604" s="7">
        <v>85775448</v>
      </c>
      <c r="I5604" s="7">
        <v>15059829</v>
      </c>
      <c r="J5604" s="7">
        <v>0</v>
      </c>
      <c r="K5604">
        <f t="shared" si="87"/>
        <v>151</v>
      </c>
      <c r="L5604" s="8" t="str" cm="1">
        <f t="array" ref="L5604">_xlfn.IFS(
 AND(K5604&gt;=89,K5604&lt;=92),"3개월",
 AND(K5604&gt;=58,K5604&lt;=62),"2개월",
 AND(K5604&gt;=28,K5604&lt;=32),"1개월",
 AND(K5604=0),"당월",
 TRUE,"그외"
)</f>
        <v>그외</v>
      </c>
    </row>
    <row r="5605" spans="1:12" x14ac:dyDescent="0.3">
      <c r="A5605" s="5">
        <v>45717</v>
      </c>
      <c r="B5605" s="6" t="s">
        <v>50</v>
      </c>
      <c r="C5605" s="6" t="s">
        <v>53</v>
      </c>
      <c r="D5605" s="5">
        <v>45597</v>
      </c>
      <c r="E5605" s="6" t="s">
        <v>15</v>
      </c>
      <c r="F5605" s="7">
        <v>828</v>
      </c>
      <c r="G5605" s="7">
        <v>160791.88768115939</v>
      </c>
      <c r="H5605" s="7">
        <v>133135683</v>
      </c>
      <c r="I5605" s="7">
        <v>24921855</v>
      </c>
      <c r="J5605" s="7">
        <v>0</v>
      </c>
      <c r="K5605">
        <f t="shared" si="87"/>
        <v>120</v>
      </c>
      <c r="L5605" s="8" t="str" cm="1">
        <f t="array" ref="L5605">_xlfn.IFS(
 AND(K5605&gt;=89,K5605&lt;=92),"3개월",
 AND(K5605&gt;=58,K5605&lt;=62),"2개월",
 AND(K5605&gt;=28,K5605&lt;=32),"1개월",
 AND(K5605=0),"당월",
 TRUE,"그외"
)</f>
        <v>그외</v>
      </c>
    </row>
    <row r="5606" spans="1:12" x14ac:dyDescent="0.3">
      <c r="A5606" s="5">
        <v>45717</v>
      </c>
      <c r="B5606" s="6" t="s">
        <v>50</v>
      </c>
      <c r="C5606" s="6" t="s">
        <v>53</v>
      </c>
      <c r="D5606" s="5">
        <v>45627</v>
      </c>
      <c r="E5606" s="6" t="s">
        <v>14</v>
      </c>
      <c r="F5606" s="7">
        <v>41</v>
      </c>
      <c r="G5606" s="7">
        <v>153570.73170731711</v>
      </c>
      <c r="H5606" s="7">
        <v>6296400</v>
      </c>
      <c r="I5606" s="7">
        <v>795400</v>
      </c>
      <c r="J5606" s="7">
        <v>0</v>
      </c>
      <c r="K5606">
        <f t="shared" si="87"/>
        <v>90</v>
      </c>
      <c r="L5606" s="8" t="str" cm="1">
        <f t="array" ref="L5606">_xlfn.IFS(
 AND(K5606&gt;=89,K5606&lt;=92),"3개월",
 AND(K5606&gt;=58,K5606&lt;=62),"2개월",
 AND(K5606&gt;=28,K5606&lt;=32),"1개월",
 AND(K5606=0),"당월",
 TRUE,"그외"
)</f>
        <v>3개월</v>
      </c>
    </row>
    <row r="5607" spans="1:12" x14ac:dyDescent="0.3">
      <c r="A5607" s="5">
        <v>45717</v>
      </c>
      <c r="B5607" s="6" t="s">
        <v>50</v>
      </c>
      <c r="C5607" s="6" t="s">
        <v>53</v>
      </c>
      <c r="D5607" s="5">
        <v>45627</v>
      </c>
      <c r="E5607" s="6" t="s">
        <v>15</v>
      </c>
      <c r="F5607" s="7">
        <v>755</v>
      </c>
      <c r="G5607" s="7">
        <v>172771.60794701989</v>
      </c>
      <c r="H5607" s="7">
        <v>130442564</v>
      </c>
      <c r="I5607" s="7">
        <v>22307425</v>
      </c>
      <c r="J5607" s="7">
        <v>0</v>
      </c>
      <c r="K5607">
        <f t="shared" si="87"/>
        <v>90</v>
      </c>
      <c r="L5607" s="8" t="str" cm="1">
        <f t="array" ref="L5607">_xlfn.IFS(
 AND(K5607&gt;=89,K5607&lt;=92),"3개월",
 AND(K5607&gt;=58,K5607&lt;=62),"2개월",
 AND(K5607&gt;=28,K5607&lt;=32),"1개월",
 AND(K5607=0),"당월",
 TRUE,"그외"
)</f>
        <v>3개월</v>
      </c>
    </row>
    <row r="5608" spans="1:12" x14ac:dyDescent="0.3">
      <c r="A5608" s="5">
        <v>45717</v>
      </c>
      <c r="B5608" s="6" t="s">
        <v>50</v>
      </c>
      <c r="C5608" s="6" t="s">
        <v>53</v>
      </c>
      <c r="D5608" s="5">
        <v>45658</v>
      </c>
      <c r="E5608" s="6" t="s">
        <v>14</v>
      </c>
      <c r="F5608" s="7">
        <v>6</v>
      </c>
      <c r="G5608" s="7">
        <v>179700</v>
      </c>
      <c r="H5608" s="7">
        <v>1078200</v>
      </c>
      <c r="I5608" s="7">
        <v>118200</v>
      </c>
      <c r="J5608" s="7">
        <v>0</v>
      </c>
      <c r="K5608">
        <f t="shared" si="87"/>
        <v>59</v>
      </c>
      <c r="L5608" s="8" t="str" cm="1">
        <f t="array" ref="L5608">_xlfn.IFS(
 AND(K5608&gt;=89,K5608&lt;=92),"3개월",
 AND(K5608&gt;=58,K5608&lt;=62),"2개월",
 AND(K5608&gt;=28,K5608&lt;=32),"1개월",
 AND(K5608=0),"당월",
 TRUE,"그외"
)</f>
        <v>2개월</v>
      </c>
    </row>
    <row r="5609" spans="1:12" x14ac:dyDescent="0.3">
      <c r="A5609" s="5">
        <v>45717</v>
      </c>
      <c r="B5609" s="6" t="s">
        <v>50</v>
      </c>
      <c r="C5609" s="6" t="s">
        <v>53</v>
      </c>
      <c r="D5609" s="5">
        <v>45658</v>
      </c>
      <c r="E5609" s="6" t="s">
        <v>15</v>
      </c>
      <c r="F5609" s="7">
        <v>844</v>
      </c>
      <c r="G5609" s="7">
        <v>181204.394549763</v>
      </c>
      <c r="H5609" s="7">
        <v>152936509</v>
      </c>
      <c r="I5609" s="7">
        <v>24929799</v>
      </c>
      <c r="J5609" s="7">
        <v>0</v>
      </c>
      <c r="K5609">
        <f t="shared" si="87"/>
        <v>59</v>
      </c>
      <c r="L5609" s="8" t="str" cm="1">
        <f t="array" ref="L5609">_xlfn.IFS(
 AND(K5609&gt;=89,K5609&lt;=92),"3개월",
 AND(K5609&gt;=58,K5609&lt;=62),"2개월",
 AND(K5609&gt;=28,K5609&lt;=32),"1개월",
 AND(K5609=0),"당월",
 TRUE,"그외"
)</f>
        <v>2개월</v>
      </c>
    </row>
    <row r="5610" spans="1:12" x14ac:dyDescent="0.3">
      <c r="A5610" s="5">
        <v>45717</v>
      </c>
      <c r="B5610" s="6" t="s">
        <v>50</v>
      </c>
      <c r="C5610" s="6" t="s">
        <v>53</v>
      </c>
      <c r="D5610" s="5">
        <v>45689</v>
      </c>
      <c r="E5610" s="6" t="s">
        <v>14</v>
      </c>
      <c r="F5610" s="7">
        <v>577</v>
      </c>
      <c r="G5610" s="7">
        <v>157963.2582322357</v>
      </c>
      <c r="H5610" s="7">
        <v>91144800</v>
      </c>
      <c r="I5610" s="7">
        <v>11770800</v>
      </c>
      <c r="J5610" s="7">
        <v>0</v>
      </c>
      <c r="K5610">
        <f t="shared" si="87"/>
        <v>28</v>
      </c>
      <c r="L5610" s="8" t="str" cm="1">
        <f t="array" ref="L5610">_xlfn.IFS(
 AND(K5610&gt;=89,K5610&lt;=92),"3개월",
 AND(K5610&gt;=58,K5610&lt;=62),"2개월",
 AND(K5610&gt;=28,K5610&lt;=32),"1개월",
 AND(K5610=0),"당월",
 TRUE,"그외"
)</f>
        <v>1개월</v>
      </c>
    </row>
    <row r="5611" spans="1:12" x14ac:dyDescent="0.3">
      <c r="A5611" s="5">
        <v>45717</v>
      </c>
      <c r="B5611" s="6" t="s">
        <v>50</v>
      </c>
      <c r="C5611" s="6" t="s">
        <v>53</v>
      </c>
      <c r="D5611" s="5">
        <v>45689</v>
      </c>
      <c r="E5611" s="6" t="s">
        <v>15</v>
      </c>
      <c r="F5611" s="7">
        <v>3721</v>
      </c>
      <c r="G5611" s="7">
        <v>155217.86885245901</v>
      </c>
      <c r="H5611" s="7">
        <v>577565690</v>
      </c>
      <c r="I5611" s="7">
        <v>132254675</v>
      </c>
      <c r="J5611" s="7">
        <v>0</v>
      </c>
      <c r="K5611">
        <f t="shared" si="87"/>
        <v>28</v>
      </c>
      <c r="L5611" s="8" t="str" cm="1">
        <f t="array" ref="L5611">_xlfn.IFS(
 AND(K5611&gt;=89,K5611&lt;=92),"3개월",
 AND(K5611&gt;=58,K5611&lt;=62),"2개월",
 AND(K5611&gt;=28,K5611&lt;=32),"1개월",
 AND(K5611=0),"당월",
 TRUE,"그외"
)</f>
        <v>1개월</v>
      </c>
    </row>
    <row r="5612" spans="1:12" x14ac:dyDescent="0.3">
      <c r="A5612" s="5">
        <v>45717</v>
      </c>
      <c r="B5612" s="6" t="s">
        <v>50</v>
      </c>
      <c r="C5612" s="6" t="s">
        <v>53</v>
      </c>
      <c r="D5612" s="5">
        <v>45717</v>
      </c>
      <c r="E5612" s="6" t="s">
        <v>14</v>
      </c>
      <c r="F5612" s="7">
        <v>263</v>
      </c>
      <c r="G5612" s="7">
        <v>147010.10266159699</v>
      </c>
      <c r="H5612" s="7">
        <v>38663657</v>
      </c>
      <c r="I5612" s="7">
        <v>8360223</v>
      </c>
      <c r="J5612" s="7">
        <v>0</v>
      </c>
      <c r="K5612">
        <f t="shared" si="87"/>
        <v>0</v>
      </c>
      <c r="L5612" s="8" t="str" cm="1">
        <f t="array" ref="L5612">_xlfn.IFS(
 AND(K5612&gt;=89,K5612&lt;=92),"3개월",
 AND(K5612&gt;=58,K5612&lt;=62),"2개월",
 AND(K5612&gt;=28,K5612&lt;=32),"1개월",
 AND(K5612=0),"당월",
 TRUE,"그외"
)</f>
        <v>당월</v>
      </c>
    </row>
    <row r="5613" spans="1:12" x14ac:dyDescent="0.3">
      <c r="A5613" s="5">
        <v>45717</v>
      </c>
      <c r="B5613" s="6" t="s">
        <v>50</v>
      </c>
      <c r="C5613" s="6" t="s">
        <v>53</v>
      </c>
      <c r="D5613" s="5">
        <v>45717</v>
      </c>
      <c r="E5613" s="6" t="s">
        <v>15</v>
      </c>
      <c r="F5613" s="7">
        <v>2641</v>
      </c>
      <c r="G5613" s="7">
        <v>155267.27943960621</v>
      </c>
      <c r="H5613" s="7">
        <v>410060885</v>
      </c>
      <c r="I5613" s="7">
        <v>98110809</v>
      </c>
      <c r="J5613" s="7">
        <v>0</v>
      </c>
      <c r="K5613">
        <f t="shared" si="87"/>
        <v>0</v>
      </c>
      <c r="L5613" s="8" t="str" cm="1">
        <f t="array" ref="L5613">_xlfn.IFS(
 AND(K5613&gt;=89,K5613&lt;=92),"3개월",
 AND(K5613&gt;=58,K5613&lt;=62),"2개월",
 AND(K5613&gt;=28,K5613&lt;=32),"1개월",
 AND(K5613=0),"당월",
 TRUE,"그외"
)</f>
        <v>당월</v>
      </c>
    </row>
    <row r="5614" spans="1:12" x14ac:dyDescent="0.3">
      <c r="A5614" s="5">
        <v>45717</v>
      </c>
      <c r="B5614" s="6" t="s">
        <v>50</v>
      </c>
      <c r="C5614" s="6" t="s">
        <v>54</v>
      </c>
      <c r="D5614" s="5">
        <v>45505</v>
      </c>
      <c r="E5614" s="6" t="s">
        <v>15</v>
      </c>
      <c r="F5614" s="7">
        <v>104</v>
      </c>
      <c r="G5614" s="7">
        <v>130582.4615384615</v>
      </c>
      <c r="H5614" s="7">
        <v>13580576</v>
      </c>
      <c r="I5614" s="7">
        <v>3373896</v>
      </c>
      <c r="J5614" s="7">
        <v>0</v>
      </c>
      <c r="K5614">
        <f t="shared" si="87"/>
        <v>212</v>
      </c>
      <c r="L5614" s="8" t="str" cm="1">
        <f t="array" ref="L5614">_xlfn.IFS(
 AND(K5614&gt;=89,K5614&lt;=92),"3개월",
 AND(K5614&gt;=58,K5614&lt;=62),"2개월",
 AND(K5614&gt;=28,K5614&lt;=32),"1개월",
 AND(K5614=0),"당월",
 TRUE,"그외"
)</f>
        <v>그외</v>
      </c>
    </row>
    <row r="5615" spans="1:12" x14ac:dyDescent="0.3">
      <c r="A5615" s="5">
        <v>45717</v>
      </c>
      <c r="B5615" s="6" t="s">
        <v>50</v>
      </c>
      <c r="C5615" s="6" t="s">
        <v>54</v>
      </c>
      <c r="D5615" s="5">
        <v>45536</v>
      </c>
      <c r="E5615" s="6" t="s">
        <v>15</v>
      </c>
      <c r="F5615" s="7">
        <v>106</v>
      </c>
      <c r="G5615" s="7">
        <v>130955.0188679245</v>
      </c>
      <c r="H5615" s="7">
        <v>13881232</v>
      </c>
      <c r="I5615" s="7">
        <v>3581060</v>
      </c>
      <c r="J5615" s="7">
        <v>0</v>
      </c>
      <c r="K5615">
        <f t="shared" si="87"/>
        <v>181</v>
      </c>
      <c r="L5615" s="8" t="str" cm="1">
        <f t="array" ref="L5615">_xlfn.IFS(
 AND(K5615&gt;=89,K5615&lt;=92),"3개월",
 AND(K5615&gt;=58,K5615&lt;=62),"2개월",
 AND(K5615&gt;=28,K5615&lt;=32),"1개월",
 AND(K5615=0),"당월",
 TRUE,"그외"
)</f>
        <v>그외</v>
      </c>
    </row>
    <row r="5616" spans="1:12" x14ac:dyDescent="0.3">
      <c r="A5616" s="5">
        <v>45717</v>
      </c>
      <c r="B5616" s="6" t="s">
        <v>50</v>
      </c>
      <c r="C5616" s="6" t="s">
        <v>54</v>
      </c>
      <c r="D5616" s="5">
        <v>45566</v>
      </c>
      <c r="E5616" s="6" t="s">
        <v>15</v>
      </c>
      <c r="F5616" s="7">
        <v>115</v>
      </c>
      <c r="G5616" s="7">
        <v>123219.4695652174</v>
      </c>
      <c r="H5616" s="7">
        <v>14170239</v>
      </c>
      <c r="I5616" s="7">
        <v>3110997</v>
      </c>
      <c r="J5616" s="7">
        <v>0</v>
      </c>
      <c r="K5616">
        <f t="shared" si="87"/>
        <v>151</v>
      </c>
      <c r="L5616" s="8" t="str" cm="1">
        <f t="array" ref="L5616">_xlfn.IFS(
 AND(K5616&gt;=89,K5616&lt;=92),"3개월",
 AND(K5616&gt;=58,K5616&lt;=62),"2개월",
 AND(K5616&gt;=28,K5616&lt;=32),"1개월",
 AND(K5616=0),"당월",
 TRUE,"그외"
)</f>
        <v>그외</v>
      </c>
    </row>
    <row r="5617" spans="1:12" x14ac:dyDescent="0.3">
      <c r="A5617" s="5">
        <v>45717</v>
      </c>
      <c r="B5617" s="6" t="s">
        <v>50</v>
      </c>
      <c r="C5617" s="6" t="s">
        <v>54</v>
      </c>
      <c r="D5617" s="5">
        <v>45597</v>
      </c>
      <c r="E5617" s="6" t="s">
        <v>15</v>
      </c>
      <c r="F5617" s="7">
        <v>418</v>
      </c>
      <c r="G5617" s="7">
        <v>116496.9688995215</v>
      </c>
      <c r="H5617" s="7">
        <v>48695733</v>
      </c>
      <c r="I5617" s="7">
        <v>11562896</v>
      </c>
      <c r="J5617" s="7">
        <v>0</v>
      </c>
      <c r="K5617">
        <f t="shared" si="87"/>
        <v>120</v>
      </c>
      <c r="L5617" s="8" t="str" cm="1">
        <f t="array" ref="L5617">_xlfn.IFS(
 AND(K5617&gt;=89,K5617&lt;=92),"3개월",
 AND(K5617&gt;=58,K5617&lt;=62),"2개월",
 AND(K5617&gt;=28,K5617&lt;=32),"1개월",
 AND(K5617=0),"당월",
 TRUE,"그외"
)</f>
        <v>그외</v>
      </c>
    </row>
    <row r="5618" spans="1:12" x14ac:dyDescent="0.3">
      <c r="A5618" s="5">
        <v>45717</v>
      </c>
      <c r="B5618" s="6" t="s">
        <v>50</v>
      </c>
      <c r="C5618" s="6" t="s">
        <v>54</v>
      </c>
      <c r="D5618" s="5">
        <v>45627</v>
      </c>
      <c r="E5618" s="6" t="s">
        <v>14</v>
      </c>
      <c r="F5618" s="7">
        <v>49</v>
      </c>
      <c r="G5618" s="7">
        <v>107563.2653061225</v>
      </c>
      <c r="H5618" s="7">
        <v>5270600</v>
      </c>
      <c r="I5618" s="7">
        <v>950600</v>
      </c>
      <c r="J5618" s="7">
        <v>0</v>
      </c>
      <c r="K5618">
        <f t="shared" si="87"/>
        <v>90</v>
      </c>
      <c r="L5618" s="8" t="str" cm="1">
        <f t="array" ref="L5618">_xlfn.IFS(
 AND(K5618&gt;=89,K5618&lt;=92),"3개월",
 AND(K5618&gt;=58,K5618&lt;=62),"2개월",
 AND(K5618&gt;=28,K5618&lt;=32),"1개월",
 AND(K5618=0),"당월",
 TRUE,"그외"
)</f>
        <v>3개월</v>
      </c>
    </row>
    <row r="5619" spans="1:12" x14ac:dyDescent="0.3">
      <c r="A5619" s="5">
        <v>45717</v>
      </c>
      <c r="B5619" s="6" t="s">
        <v>50</v>
      </c>
      <c r="C5619" s="6" t="s">
        <v>54</v>
      </c>
      <c r="D5619" s="5">
        <v>45627</v>
      </c>
      <c r="E5619" s="6" t="s">
        <v>15</v>
      </c>
      <c r="F5619" s="7">
        <v>702</v>
      </c>
      <c r="G5619" s="7">
        <v>119375.72934472931</v>
      </c>
      <c r="H5619" s="7">
        <v>83801762</v>
      </c>
      <c r="I5619" s="7">
        <v>20955708</v>
      </c>
      <c r="J5619" s="7">
        <v>0</v>
      </c>
      <c r="K5619">
        <f t="shared" si="87"/>
        <v>90</v>
      </c>
      <c r="L5619" s="8" t="str" cm="1">
        <f t="array" ref="L5619">_xlfn.IFS(
 AND(K5619&gt;=89,K5619&lt;=92),"3개월",
 AND(K5619&gt;=58,K5619&lt;=62),"2개월",
 AND(K5619&gt;=28,K5619&lt;=32),"1개월",
 AND(K5619=0),"당월",
 TRUE,"그외"
)</f>
        <v>3개월</v>
      </c>
    </row>
    <row r="5620" spans="1:12" x14ac:dyDescent="0.3">
      <c r="A5620" s="5">
        <v>45717</v>
      </c>
      <c r="B5620" s="6" t="s">
        <v>50</v>
      </c>
      <c r="C5620" s="6" t="s">
        <v>54</v>
      </c>
      <c r="D5620" s="5">
        <v>45658</v>
      </c>
      <c r="E5620" s="6" t="s">
        <v>14</v>
      </c>
      <c r="F5620" s="7">
        <v>218</v>
      </c>
      <c r="G5620" s="7">
        <v>106204.58715596329</v>
      </c>
      <c r="H5620" s="7">
        <v>23152600</v>
      </c>
      <c r="I5620" s="7">
        <v>4294600</v>
      </c>
      <c r="J5620" s="7">
        <v>0</v>
      </c>
      <c r="K5620">
        <f t="shared" si="87"/>
        <v>59</v>
      </c>
      <c r="L5620" s="8" t="str" cm="1">
        <f t="array" ref="L5620">_xlfn.IFS(
 AND(K5620&gt;=89,K5620&lt;=92),"3개월",
 AND(K5620&gt;=58,K5620&lt;=62),"2개월",
 AND(K5620&gt;=28,K5620&lt;=32),"1개월",
 AND(K5620=0),"당월",
 TRUE,"그외"
)</f>
        <v>2개월</v>
      </c>
    </row>
    <row r="5621" spans="1:12" x14ac:dyDescent="0.3">
      <c r="A5621" s="5">
        <v>45717</v>
      </c>
      <c r="B5621" s="6" t="s">
        <v>50</v>
      </c>
      <c r="C5621" s="6" t="s">
        <v>54</v>
      </c>
      <c r="D5621" s="5">
        <v>45658</v>
      </c>
      <c r="E5621" s="6" t="s">
        <v>15</v>
      </c>
      <c r="F5621" s="7">
        <v>974</v>
      </c>
      <c r="G5621" s="7">
        <v>140220.80390143741</v>
      </c>
      <c r="H5621" s="7">
        <v>136575063</v>
      </c>
      <c r="I5621" s="7">
        <v>28000095</v>
      </c>
      <c r="J5621" s="7">
        <v>0</v>
      </c>
      <c r="K5621">
        <f t="shared" si="87"/>
        <v>59</v>
      </c>
      <c r="L5621" s="8" t="str" cm="1">
        <f t="array" ref="L5621">_xlfn.IFS(
 AND(K5621&gt;=89,K5621&lt;=92),"3개월",
 AND(K5621&gt;=58,K5621&lt;=62),"2개월",
 AND(K5621&gt;=28,K5621&lt;=32),"1개월",
 AND(K5621=0),"당월",
 TRUE,"그외"
)</f>
        <v>2개월</v>
      </c>
    </row>
    <row r="5622" spans="1:12" x14ac:dyDescent="0.3">
      <c r="A5622" s="5">
        <v>45717</v>
      </c>
      <c r="B5622" s="6" t="s">
        <v>50</v>
      </c>
      <c r="C5622" s="6" t="s">
        <v>54</v>
      </c>
      <c r="D5622" s="5">
        <v>45689</v>
      </c>
      <c r="E5622" s="6" t="s">
        <v>14</v>
      </c>
      <c r="F5622" s="7">
        <v>233</v>
      </c>
      <c r="G5622" s="7">
        <v>146103.8626609442</v>
      </c>
      <c r="H5622" s="7">
        <v>34042200</v>
      </c>
      <c r="I5622" s="7">
        <v>4753200</v>
      </c>
      <c r="J5622" s="7">
        <v>0</v>
      </c>
      <c r="K5622">
        <f t="shared" si="87"/>
        <v>28</v>
      </c>
      <c r="L5622" s="8" t="str" cm="1">
        <f t="array" ref="L5622">_xlfn.IFS(
 AND(K5622&gt;=89,K5622&lt;=92),"3개월",
 AND(K5622&gt;=58,K5622&lt;=62),"2개월",
 AND(K5622&gt;=28,K5622&lt;=32),"1개월",
 AND(K5622=0),"당월",
 TRUE,"그외"
)</f>
        <v>1개월</v>
      </c>
    </row>
    <row r="5623" spans="1:12" x14ac:dyDescent="0.3">
      <c r="A5623" s="5">
        <v>45717</v>
      </c>
      <c r="B5623" s="6" t="s">
        <v>50</v>
      </c>
      <c r="C5623" s="6" t="s">
        <v>54</v>
      </c>
      <c r="D5623" s="5">
        <v>45689</v>
      </c>
      <c r="E5623" s="6" t="s">
        <v>15</v>
      </c>
      <c r="F5623" s="7">
        <v>3936</v>
      </c>
      <c r="G5623" s="7">
        <v>129035.5464939024</v>
      </c>
      <c r="H5623" s="7">
        <v>507883911</v>
      </c>
      <c r="I5623" s="7">
        <v>127575575</v>
      </c>
      <c r="J5623" s="7">
        <v>0</v>
      </c>
      <c r="K5623">
        <f t="shared" si="87"/>
        <v>28</v>
      </c>
      <c r="L5623" s="8" t="str" cm="1">
        <f t="array" ref="L5623">_xlfn.IFS(
 AND(K5623&gt;=89,K5623&lt;=92),"3개월",
 AND(K5623&gt;=58,K5623&lt;=62),"2개월",
 AND(K5623&gt;=28,K5623&lt;=32),"1개월",
 AND(K5623=0),"당월",
 TRUE,"그외"
)</f>
        <v>1개월</v>
      </c>
    </row>
    <row r="5624" spans="1:12" x14ac:dyDescent="0.3">
      <c r="A5624" s="5">
        <v>45717</v>
      </c>
      <c r="B5624" s="6" t="s">
        <v>50</v>
      </c>
      <c r="C5624" s="6" t="s">
        <v>54</v>
      </c>
      <c r="D5624" s="5">
        <v>45717</v>
      </c>
      <c r="E5624" s="6" t="s">
        <v>14</v>
      </c>
      <c r="F5624" s="7">
        <v>208</v>
      </c>
      <c r="G5624" s="7">
        <v>104197.8846153846</v>
      </c>
      <c r="H5624" s="7">
        <v>21673160</v>
      </c>
      <c r="I5624" s="7">
        <v>6278340</v>
      </c>
      <c r="J5624" s="7">
        <v>0</v>
      </c>
      <c r="K5624">
        <f t="shared" si="87"/>
        <v>0</v>
      </c>
      <c r="L5624" s="8" t="str" cm="1">
        <f t="array" ref="L5624">_xlfn.IFS(
 AND(K5624&gt;=89,K5624&lt;=92),"3개월",
 AND(K5624&gt;=58,K5624&lt;=62),"2개월",
 AND(K5624&gt;=28,K5624&lt;=32),"1개월",
 AND(K5624=0),"당월",
 TRUE,"그외"
)</f>
        <v>당월</v>
      </c>
    </row>
    <row r="5625" spans="1:12" x14ac:dyDescent="0.3">
      <c r="A5625" s="5">
        <v>45717</v>
      </c>
      <c r="B5625" s="6" t="s">
        <v>50</v>
      </c>
      <c r="C5625" s="6" t="s">
        <v>54</v>
      </c>
      <c r="D5625" s="5">
        <v>45717</v>
      </c>
      <c r="E5625" s="6" t="s">
        <v>15</v>
      </c>
      <c r="F5625" s="7">
        <v>3108</v>
      </c>
      <c r="G5625" s="7">
        <v>120509.8236808237</v>
      </c>
      <c r="H5625" s="7">
        <v>374544532</v>
      </c>
      <c r="I5625" s="7">
        <v>104166216</v>
      </c>
      <c r="J5625" s="7">
        <v>0</v>
      </c>
      <c r="K5625">
        <f t="shared" si="87"/>
        <v>0</v>
      </c>
      <c r="L5625" s="8" t="str" cm="1">
        <f t="array" ref="L5625">_xlfn.IFS(
 AND(K5625&gt;=89,K5625&lt;=92),"3개월",
 AND(K5625&gt;=58,K5625&lt;=62),"2개월",
 AND(K5625&gt;=28,K5625&lt;=32),"1개월",
 AND(K5625=0),"당월",
 TRUE,"그외"
)</f>
        <v>당월</v>
      </c>
    </row>
    <row r="5626" spans="1:12" x14ac:dyDescent="0.3">
      <c r="A5626" s="5">
        <v>45717</v>
      </c>
      <c r="B5626" s="6" t="s">
        <v>50</v>
      </c>
      <c r="C5626" s="6" t="s">
        <v>56</v>
      </c>
      <c r="D5626" s="5">
        <v>45505</v>
      </c>
      <c r="E5626" s="6" t="s">
        <v>15</v>
      </c>
      <c r="F5626" s="7">
        <v>230</v>
      </c>
      <c r="G5626" s="7">
        <v>111519.3086956522</v>
      </c>
      <c r="H5626" s="7">
        <v>25649441</v>
      </c>
      <c r="I5626" s="7">
        <v>7343682</v>
      </c>
      <c r="J5626" s="7">
        <v>0</v>
      </c>
      <c r="K5626">
        <f t="shared" si="87"/>
        <v>212</v>
      </c>
      <c r="L5626" s="8" t="str" cm="1">
        <f t="array" ref="L5626">_xlfn.IFS(
 AND(K5626&gt;=89,K5626&lt;=92),"3개월",
 AND(K5626&gt;=58,K5626&lt;=62),"2개월",
 AND(K5626&gt;=28,K5626&lt;=32),"1개월",
 AND(K5626=0),"당월",
 TRUE,"그외"
)</f>
        <v>그외</v>
      </c>
    </row>
    <row r="5627" spans="1:12" x14ac:dyDescent="0.3">
      <c r="A5627" s="5">
        <v>45717</v>
      </c>
      <c r="B5627" s="6" t="s">
        <v>50</v>
      </c>
      <c r="C5627" s="6" t="s">
        <v>56</v>
      </c>
      <c r="D5627" s="5">
        <v>45536</v>
      </c>
      <c r="E5627" s="6" t="s">
        <v>15</v>
      </c>
      <c r="F5627" s="7">
        <v>250</v>
      </c>
      <c r="G5627" s="7">
        <v>117229.048</v>
      </c>
      <c r="H5627" s="7">
        <v>29307262</v>
      </c>
      <c r="I5627" s="7">
        <v>8266590</v>
      </c>
      <c r="J5627" s="7">
        <v>0</v>
      </c>
      <c r="K5627">
        <f t="shared" si="87"/>
        <v>181</v>
      </c>
      <c r="L5627" s="8" t="str" cm="1">
        <f t="array" ref="L5627">_xlfn.IFS(
 AND(K5627&gt;=89,K5627&lt;=92),"3개월",
 AND(K5627&gt;=58,K5627&lt;=62),"2개월",
 AND(K5627&gt;=28,K5627&lt;=32),"1개월",
 AND(K5627=0),"당월",
 TRUE,"그외"
)</f>
        <v>그외</v>
      </c>
    </row>
    <row r="5628" spans="1:12" x14ac:dyDescent="0.3">
      <c r="A5628" s="5">
        <v>45717</v>
      </c>
      <c r="B5628" s="6" t="s">
        <v>50</v>
      </c>
      <c r="C5628" s="6" t="s">
        <v>56</v>
      </c>
      <c r="D5628" s="5">
        <v>45566</v>
      </c>
      <c r="E5628" s="6" t="s">
        <v>15</v>
      </c>
      <c r="F5628" s="7">
        <v>222</v>
      </c>
      <c r="G5628" s="7">
        <v>126246.6171171171</v>
      </c>
      <c r="H5628" s="7">
        <v>28026749</v>
      </c>
      <c r="I5628" s="7">
        <v>5478054</v>
      </c>
      <c r="J5628" s="7">
        <v>0</v>
      </c>
      <c r="K5628">
        <f t="shared" si="87"/>
        <v>151</v>
      </c>
      <c r="L5628" s="8" t="str" cm="1">
        <f t="array" ref="L5628">_xlfn.IFS(
 AND(K5628&gt;=89,K5628&lt;=92),"3개월",
 AND(K5628&gt;=58,K5628&lt;=62),"2개월",
 AND(K5628&gt;=28,K5628&lt;=32),"1개월",
 AND(K5628=0),"당월",
 TRUE,"그외"
)</f>
        <v>그외</v>
      </c>
    </row>
    <row r="5629" spans="1:12" x14ac:dyDescent="0.3">
      <c r="A5629" s="5">
        <v>45717</v>
      </c>
      <c r="B5629" s="6" t="s">
        <v>50</v>
      </c>
      <c r="C5629" s="6" t="s">
        <v>56</v>
      </c>
      <c r="D5629" s="5">
        <v>45597</v>
      </c>
      <c r="E5629" s="6" t="s">
        <v>15</v>
      </c>
      <c r="F5629" s="7">
        <v>391</v>
      </c>
      <c r="G5629" s="7">
        <v>134400.094629156</v>
      </c>
      <c r="H5629" s="7">
        <v>52550437</v>
      </c>
      <c r="I5629" s="7">
        <v>10043972</v>
      </c>
      <c r="J5629" s="7">
        <v>0</v>
      </c>
      <c r="K5629">
        <f t="shared" si="87"/>
        <v>120</v>
      </c>
      <c r="L5629" s="8" t="str" cm="1">
        <f t="array" ref="L5629">_xlfn.IFS(
 AND(K5629&gt;=89,K5629&lt;=92),"3개월",
 AND(K5629&gt;=58,K5629&lt;=62),"2개월",
 AND(K5629&gt;=28,K5629&lt;=32),"1개월",
 AND(K5629=0),"당월",
 TRUE,"그외"
)</f>
        <v>그외</v>
      </c>
    </row>
    <row r="5630" spans="1:12" x14ac:dyDescent="0.3">
      <c r="A5630" s="5">
        <v>45717</v>
      </c>
      <c r="B5630" s="6" t="s">
        <v>50</v>
      </c>
      <c r="C5630" s="6" t="s">
        <v>56</v>
      </c>
      <c r="D5630" s="5">
        <v>45627</v>
      </c>
      <c r="E5630" s="6" t="s">
        <v>14</v>
      </c>
      <c r="F5630" s="7">
        <v>8</v>
      </c>
      <c r="G5630" s="7">
        <v>120400</v>
      </c>
      <c r="H5630" s="7">
        <v>963200</v>
      </c>
      <c r="I5630" s="7">
        <v>155200</v>
      </c>
      <c r="J5630" s="7">
        <v>0</v>
      </c>
      <c r="K5630">
        <f t="shared" si="87"/>
        <v>90</v>
      </c>
      <c r="L5630" s="8" t="str" cm="1">
        <f t="array" ref="L5630">_xlfn.IFS(
 AND(K5630&gt;=89,K5630&lt;=92),"3개월",
 AND(K5630&gt;=58,K5630&lt;=62),"2개월",
 AND(K5630&gt;=28,K5630&lt;=32),"1개월",
 AND(K5630=0),"당월",
 TRUE,"그외"
)</f>
        <v>3개월</v>
      </c>
    </row>
    <row r="5631" spans="1:12" x14ac:dyDescent="0.3">
      <c r="A5631" s="5">
        <v>45717</v>
      </c>
      <c r="B5631" s="6" t="s">
        <v>50</v>
      </c>
      <c r="C5631" s="6" t="s">
        <v>56</v>
      </c>
      <c r="D5631" s="5">
        <v>45627</v>
      </c>
      <c r="E5631" s="6" t="s">
        <v>15</v>
      </c>
      <c r="F5631" s="7">
        <v>794</v>
      </c>
      <c r="G5631" s="7">
        <v>137132.0856423174</v>
      </c>
      <c r="H5631" s="7">
        <v>108882876</v>
      </c>
      <c r="I5631" s="7">
        <v>22355902</v>
      </c>
      <c r="J5631" s="7">
        <v>0</v>
      </c>
      <c r="K5631">
        <f t="shared" si="87"/>
        <v>90</v>
      </c>
      <c r="L5631" s="8" t="str" cm="1">
        <f t="array" ref="L5631">_xlfn.IFS(
 AND(K5631&gt;=89,K5631&lt;=92),"3개월",
 AND(K5631&gt;=58,K5631&lt;=62),"2개월",
 AND(K5631&gt;=28,K5631&lt;=32),"1개월",
 AND(K5631=0),"당월",
 TRUE,"그외"
)</f>
        <v>3개월</v>
      </c>
    </row>
    <row r="5632" spans="1:12" x14ac:dyDescent="0.3">
      <c r="A5632" s="5">
        <v>45717</v>
      </c>
      <c r="B5632" s="6" t="s">
        <v>50</v>
      </c>
      <c r="C5632" s="6" t="s">
        <v>56</v>
      </c>
      <c r="D5632" s="5">
        <v>45658</v>
      </c>
      <c r="E5632" s="6" t="s">
        <v>14</v>
      </c>
      <c r="F5632" s="7">
        <v>94</v>
      </c>
      <c r="G5632" s="7">
        <v>119019.1489361702</v>
      </c>
      <c r="H5632" s="7">
        <v>11187800</v>
      </c>
      <c r="I5632" s="7">
        <v>1851800</v>
      </c>
      <c r="J5632" s="7">
        <v>0</v>
      </c>
      <c r="K5632">
        <f t="shared" si="87"/>
        <v>59</v>
      </c>
      <c r="L5632" s="8" t="str" cm="1">
        <f t="array" ref="L5632">_xlfn.IFS(
 AND(K5632&gt;=89,K5632&lt;=92),"3개월",
 AND(K5632&gt;=58,K5632&lt;=62),"2개월",
 AND(K5632&gt;=28,K5632&lt;=32),"1개월",
 AND(K5632=0),"당월",
 TRUE,"그외"
)</f>
        <v>2개월</v>
      </c>
    </row>
    <row r="5633" spans="1:12" x14ac:dyDescent="0.3">
      <c r="A5633" s="5">
        <v>45717</v>
      </c>
      <c r="B5633" s="6" t="s">
        <v>50</v>
      </c>
      <c r="C5633" s="6" t="s">
        <v>56</v>
      </c>
      <c r="D5633" s="5">
        <v>45658</v>
      </c>
      <c r="E5633" s="6" t="s">
        <v>15</v>
      </c>
      <c r="F5633" s="7">
        <v>1138</v>
      </c>
      <c r="G5633" s="7">
        <v>135327.85764499119</v>
      </c>
      <c r="H5633" s="7">
        <v>154003102</v>
      </c>
      <c r="I5633" s="7">
        <v>30850418</v>
      </c>
      <c r="J5633" s="7">
        <v>0</v>
      </c>
      <c r="K5633">
        <f t="shared" si="87"/>
        <v>59</v>
      </c>
      <c r="L5633" s="8" t="str" cm="1">
        <f t="array" ref="L5633">_xlfn.IFS(
 AND(K5633&gt;=89,K5633&lt;=92),"3개월",
 AND(K5633&gt;=58,K5633&lt;=62),"2개월",
 AND(K5633&gt;=28,K5633&lt;=32),"1개월",
 AND(K5633=0),"당월",
 TRUE,"그외"
)</f>
        <v>2개월</v>
      </c>
    </row>
    <row r="5634" spans="1:12" x14ac:dyDescent="0.3">
      <c r="A5634" s="5">
        <v>45717</v>
      </c>
      <c r="B5634" s="6" t="s">
        <v>50</v>
      </c>
      <c r="C5634" s="6" t="s">
        <v>56</v>
      </c>
      <c r="D5634" s="5">
        <v>45689</v>
      </c>
      <c r="E5634" s="6" t="s">
        <v>14</v>
      </c>
      <c r="F5634" s="7">
        <v>40</v>
      </c>
      <c r="G5634" s="7">
        <v>242400</v>
      </c>
      <c r="H5634" s="7">
        <v>9696000</v>
      </c>
      <c r="I5634" s="7">
        <v>816000</v>
      </c>
      <c r="J5634" s="7">
        <v>0</v>
      </c>
      <c r="K5634">
        <f t="shared" si="87"/>
        <v>28</v>
      </c>
      <c r="L5634" s="8" t="str" cm="1">
        <f t="array" ref="L5634">_xlfn.IFS(
 AND(K5634&gt;=89,K5634&lt;=92),"3개월",
 AND(K5634&gt;=58,K5634&lt;=62),"2개월",
 AND(K5634&gt;=28,K5634&lt;=32),"1개월",
 AND(K5634=0),"당월",
 TRUE,"그외"
)</f>
        <v>1개월</v>
      </c>
    </row>
    <row r="5635" spans="1:12" x14ac:dyDescent="0.3">
      <c r="A5635" s="5">
        <v>45717</v>
      </c>
      <c r="B5635" s="6" t="s">
        <v>50</v>
      </c>
      <c r="C5635" s="6" t="s">
        <v>56</v>
      </c>
      <c r="D5635" s="5">
        <v>45689</v>
      </c>
      <c r="E5635" s="6" t="s">
        <v>15</v>
      </c>
      <c r="F5635" s="7">
        <v>1696</v>
      </c>
      <c r="G5635" s="7">
        <v>147454.50176886789</v>
      </c>
      <c r="H5635" s="7">
        <v>250082835</v>
      </c>
      <c r="I5635" s="7">
        <v>50664562</v>
      </c>
      <c r="J5635" s="7">
        <v>0</v>
      </c>
      <c r="K5635">
        <f t="shared" si="87"/>
        <v>28</v>
      </c>
      <c r="L5635" s="8" t="str" cm="1">
        <f t="array" ref="L5635">_xlfn.IFS(
 AND(K5635&gt;=89,K5635&lt;=92),"3개월",
 AND(K5635&gt;=58,K5635&lt;=62),"2개월",
 AND(K5635&gt;=28,K5635&lt;=32),"1개월",
 AND(K5635=0),"당월",
 TRUE,"그외"
)</f>
        <v>1개월</v>
      </c>
    </row>
    <row r="5636" spans="1:12" x14ac:dyDescent="0.3">
      <c r="A5636" s="5">
        <v>45717</v>
      </c>
      <c r="B5636" s="6" t="s">
        <v>50</v>
      </c>
      <c r="C5636" s="6" t="s">
        <v>56</v>
      </c>
      <c r="D5636" s="5">
        <v>45717</v>
      </c>
      <c r="E5636" s="6" t="s">
        <v>14</v>
      </c>
      <c r="F5636" s="7">
        <v>61</v>
      </c>
      <c r="G5636" s="7">
        <v>151206.9180327869</v>
      </c>
      <c r="H5636" s="7">
        <v>9223622</v>
      </c>
      <c r="I5636" s="7">
        <v>1756572</v>
      </c>
      <c r="J5636" s="7">
        <v>0</v>
      </c>
      <c r="K5636">
        <f t="shared" si="87"/>
        <v>0</v>
      </c>
      <c r="L5636" s="8" t="str" cm="1">
        <f t="array" ref="L5636">_xlfn.IFS(
 AND(K5636&gt;=89,K5636&lt;=92),"3개월",
 AND(K5636&gt;=58,K5636&lt;=62),"2개월",
 AND(K5636&gt;=28,K5636&lt;=32),"1개월",
 AND(K5636=0),"당월",
 TRUE,"그외"
)</f>
        <v>당월</v>
      </c>
    </row>
    <row r="5637" spans="1:12" x14ac:dyDescent="0.3">
      <c r="A5637" s="5">
        <v>45717</v>
      </c>
      <c r="B5637" s="6" t="s">
        <v>50</v>
      </c>
      <c r="C5637" s="6" t="s">
        <v>56</v>
      </c>
      <c r="D5637" s="5">
        <v>45717</v>
      </c>
      <c r="E5637" s="6" t="s">
        <v>15</v>
      </c>
      <c r="F5637" s="7">
        <v>1172</v>
      </c>
      <c r="G5637" s="7">
        <v>133467.33873720141</v>
      </c>
      <c r="H5637" s="7">
        <v>156423721</v>
      </c>
      <c r="I5637" s="7">
        <v>38262171</v>
      </c>
      <c r="J5637" s="7">
        <v>0</v>
      </c>
      <c r="K5637">
        <f t="shared" si="87"/>
        <v>0</v>
      </c>
      <c r="L5637" s="8" t="str" cm="1">
        <f t="array" ref="L5637">_xlfn.IFS(
 AND(K5637&gt;=89,K5637&lt;=92),"3개월",
 AND(K5637&gt;=58,K5637&lt;=62),"2개월",
 AND(K5637&gt;=28,K5637&lt;=32),"1개월",
 AND(K5637=0),"당월",
 TRUE,"그외"
)</f>
        <v>당월</v>
      </c>
    </row>
    <row r="5638" spans="1:12" x14ac:dyDescent="0.3">
      <c r="A5638" s="5">
        <v>45717</v>
      </c>
      <c r="B5638" s="6" t="s">
        <v>50</v>
      </c>
      <c r="C5638" s="6" t="s">
        <v>57</v>
      </c>
      <c r="D5638" s="5">
        <v>45505</v>
      </c>
      <c r="E5638" s="6" t="s">
        <v>15</v>
      </c>
      <c r="F5638" s="7">
        <v>229</v>
      </c>
      <c r="G5638" s="7">
        <v>124133.2489082969</v>
      </c>
      <c r="H5638" s="7">
        <v>28426514</v>
      </c>
      <c r="I5638" s="7">
        <v>6577121</v>
      </c>
      <c r="J5638" s="7">
        <v>0</v>
      </c>
      <c r="K5638">
        <f t="shared" si="87"/>
        <v>212</v>
      </c>
      <c r="L5638" s="8" t="str" cm="1">
        <f t="array" ref="L5638">_xlfn.IFS(
 AND(K5638&gt;=89,K5638&lt;=92),"3개월",
 AND(K5638&gt;=58,K5638&lt;=62),"2개월",
 AND(K5638&gt;=28,K5638&lt;=32),"1개월",
 AND(K5638=0),"당월",
 TRUE,"그외"
)</f>
        <v>그외</v>
      </c>
    </row>
    <row r="5639" spans="1:12" x14ac:dyDescent="0.3">
      <c r="A5639" s="5">
        <v>45717</v>
      </c>
      <c r="B5639" s="6" t="s">
        <v>50</v>
      </c>
      <c r="C5639" s="6" t="s">
        <v>57</v>
      </c>
      <c r="D5639" s="5">
        <v>45536</v>
      </c>
      <c r="E5639" s="6" t="s">
        <v>15</v>
      </c>
      <c r="F5639" s="7">
        <v>213</v>
      </c>
      <c r="G5639" s="7">
        <v>129417.8028169014</v>
      </c>
      <c r="H5639" s="7">
        <v>27565992</v>
      </c>
      <c r="I5639" s="7">
        <v>6042124</v>
      </c>
      <c r="J5639" s="7">
        <v>0</v>
      </c>
      <c r="K5639">
        <f t="shared" si="87"/>
        <v>181</v>
      </c>
      <c r="L5639" s="8" t="str" cm="1">
        <f t="array" ref="L5639">_xlfn.IFS(
 AND(K5639&gt;=89,K5639&lt;=92),"3개월",
 AND(K5639&gt;=58,K5639&lt;=62),"2개월",
 AND(K5639&gt;=28,K5639&lt;=32),"1개월",
 AND(K5639=0),"당월",
 TRUE,"그외"
)</f>
        <v>그외</v>
      </c>
    </row>
    <row r="5640" spans="1:12" x14ac:dyDescent="0.3">
      <c r="A5640" s="5">
        <v>45717</v>
      </c>
      <c r="B5640" s="6" t="s">
        <v>50</v>
      </c>
      <c r="C5640" s="6" t="s">
        <v>57</v>
      </c>
      <c r="D5640" s="5">
        <v>45566</v>
      </c>
      <c r="E5640" s="6" t="s">
        <v>15</v>
      </c>
      <c r="F5640" s="7">
        <v>366</v>
      </c>
      <c r="G5640" s="7">
        <v>129717.75683060109</v>
      </c>
      <c r="H5640" s="7">
        <v>47476699</v>
      </c>
      <c r="I5640" s="7">
        <v>8092957</v>
      </c>
      <c r="J5640" s="7">
        <v>0</v>
      </c>
      <c r="K5640">
        <f t="shared" si="87"/>
        <v>151</v>
      </c>
      <c r="L5640" s="8" t="str" cm="1">
        <f t="array" ref="L5640">_xlfn.IFS(
 AND(K5640&gt;=89,K5640&lt;=92),"3개월",
 AND(K5640&gt;=58,K5640&lt;=62),"2개월",
 AND(K5640&gt;=28,K5640&lt;=32),"1개월",
 AND(K5640=0),"당월",
 TRUE,"그외"
)</f>
        <v>그외</v>
      </c>
    </row>
    <row r="5641" spans="1:12" x14ac:dyDescent="0.3">
      <c r="A5641" s="5">
        <v>45717</v>
      </c>
      <c r="B5641" s="6" t="s">
        <v>50</v>
      </c>
      <c r="C5641" s="6" t="s">
        <v>57</v>
      </c>
      <c r="D5641" s="5">
        <v>45597</v>
      </c>
      <c r="E5641" s="6" t="s">
        <v>14</v>
      </c>
      <c r="F5641" s="7">
        <v>6</v>
      </c>
      <c r="G5641" s="7">
        <v>167000</v>
      </c>
      <c r="H5641" s="7">
        <v>1002000</v>
      </c>
      <c r="I5641" s="7">
        <v>96000</v>
      </c>
      <c r="J5641" s="7">
        <v>0</v>
      </c>
      <c r="K5641">
        <f t="shared" si="87"/>
        <v>120</v>
      </c>
      <c r="L5641" s="8" t="str" cm="1">
        <f t="array" ref="L5641">_xlfn.IFS(
 AND(K5641&gt;=89,K5641&lt;=92),"3개월",
 AND(K5641&gt;=58,K5641&lt;=62),"2개월",
 AND(K5641&gt;=28,K5641&lt;=32),"1개월",
 AND(K5641=0),"당월",
 TRUE,"그외"
)</f>
        <v>그외</v>
      </c>
    </row>
    <row r="5642" spans="1:12" x14ac:dyDescent="0.3">
      <c r="A5642" s="5">
        <v>45717</v>
      </c>
      <c r="B5642" s="6" t="s">
        <v>50</v>
      </c>
      <c r="C5642" s="6" t="s">
        <v>57</v>
      </c>
      <c r="D5642" s="5">
        <v>45597</v>
      </c>
      <c r="E5642" s="6" t="s">
        <v>15</v>
      </c>
      <c r="F5642" s="7">
        <v>519</v>
      </c>
      <c r="G5642" s="7">
        <v>137268.6473988439</v>
      </c>
      <c r="H5642" s="7">
        <v>71242428</v>
      </c>
      <c r="I5642" s="7">
        <v>12069318</v>
      </c>
      <c r="J5642" s="7">
        <v>0</v>
      </c>
      <c r="K5642">
        <f t="shared" ref="K5642:K5705" si="88">A5642-D5642</f>
        <v>120</v>
      </c>
      <c r="L5642" s="8" t="str" cm="1">
        <f t="array" ref="L5642">_xlfn.IFS(
 AND(K5642&gt;=89,K5642&lt;=92),"3개월",
 AND(K5642&gt;=58,K5642&lt;=62),"2개월",
 AND(K5642&gt;=28,K5642&lt;=32),"1개월",
 AND(K5642=0),"당월",
 TRUE,"그외"
)</f>
        <v>그외</v>
      </c>
    </row>
    <row r="5643" spans="1:12" x14ac:dyDescent="0.3">
      <c r="A5643" s="5">
        <v>45717</v>
      </c>
      <c r="B5643" s="6" t="s">
        <v>50</v>
      </c>
      <c r="C5643" s="6" t="s">
        <v>57</v>
      </c>
      <c r="D5643" s="5">
        <v>45627</v>
      </c>
      <c r="E5643" s="6" t="s">
        <v>14</v>
      </c>
      <c r="F5643" s="7">
        <v>111</v>
      </c>
      <c r="G5643" s="7">
        <v>180553.15315315319</v>
      </c>
      <c r="H5643" s="7">
        <v>20041400</v>
      </c>
      <c r="I5643" s="7">
        <v>2153400</v>
      </c>
      <c r="J5643" s="7">
        <v>0</v>
      </c>
      <c r="K5643">
        <f t="shared" si="88"/>
        <v>90</v>
      </c>
      <c r="L5643" s="8" t="str" cm="1">
        <f t="array" ref="L5643">_xlfn.IFS(
 AND(K5643&gt;=89,K5643&lt;=92),"3개월",
 AND(K5643&gt;=58,K5643&lt;=62),"2개월",
 AND(K5643&gt;=28,K5643&lt;=32),"1개월",
 AND(K5643=0),"당월",
 TRUE,"그외"
)</f>
        <v>3개월</v>
      </c>
    </row>
    <row r="5644" spans="1:12" x14ac:dyDescent="0.3">
      <c r="A5644" s="5">
        <v>45717</v>
      </c>
      <c r="B5644" s="6" t="s">
        <v>50</v>
      </c>
      <c r="C5644" s="6" t="s">
        <v>57</v>
      </c>
      <c r="D5644" s="5">
        <v>45627</v>
      </c>
      <c r="E5644" s="6" t="s">
        <v>15</v>
      </c>
      <c r="F5644" s="7">
        <v>1206</v>
      </c>
      <c r="G5644" s="7">
        <v>128339.61525704811</v>
      </c>
      <c r="H5644" s="7">
        <v>154777576</v>
      </c>
      <c r="I5644" s="7">
        <v>31424880</v>
      </c>
      <c r="J5644" s="7">
        <v>0</v>
      </c>
      <c r="K5644">
        <f t="shared" si="88"/>
        <v>90</v>
      </c>
      <c r="L5644" s="8" t="str" cm="1">
        <f t="array" ref="L5644">_xlfn.IFS(
 AND(K5644&gt;=89,K5644&lt;=92),"3개월",
 AND(K5644&gt;=58,K5644&lt;=62),"2개월",
 AND(K5644&gt;=28,K5644&lt;=32),"1개월",
 AND(K5644=0),"당월",
 TRUE,"그외"
)</f>
        <v>3개월</v>
      </c>
    </row>
    <row r="5645" spans="1:12" x14ac:dyDescent="0.3">
      <c r="A5645" s="5">
        <v>45717</v>
      </c>
      <c r="B5645" s="6" t="s">
        <v>50</v>
      </c>
      <c r="C5645" s="6" t="s">
        <v>57</v>
      </c>
      <c r="D5645" s="5">
        <v>45658</v>
      </c>
      <c r="E5645" s="6" t="s">
        <v>14</v>
      </c>
      <c r="F5645" s="7">
        <v>514</v>
      </c>
      <c r="G5645" s="7">
        <v>121178.5992217899</v>
      </c>
      <c r="H5645" s="7">
        <v>62285800</v>
      </c>
      <c r="I5645" s="7">
        <v>10125800</v>
      </c>
      <c r="J5645" s="7">
        <v>0</v>
      </c>
      <c r="K5645">
        <f t="shared" si="88"/>
        <v>59</v>
      </c>
      <c r="L5645" s="8" t="str" cm="1">
        <f t="array" ref="L5645">_xlfn.IFS(
 AND(K5645&gt;=89,K5645&lt;=92),"3개월",
 AND(K5645&gt;=58,K5645&lt;=62),"2개월",
 AND(K5645&gt;=28,K5645&lt;=32),"1개월",
 AND(K5645=0),"당월",
 TRUE,"그외"
)</f>
        <v>2개월</v>
      </c>
    </row>
    <row r="5646" spans="1:12" x14ac:dyDescent="0.3">
      <c r="A5646" s="5">
        <v>45717</v>
      </c>
      <c r="B5646" s="6" t="s">
        <v>50</v>
      </c>
      <c r="C5646" s="6" t="s">
        <v>57</v>
      </c>
      <c r="D5646" s="5">
        <v>45658</v>
      </c>
      <c r="E5646" s="6" t="s">
        <v>15</v>
      </c>
      <c r="F5646" s="7">
        <v>1968</v>
      </c>
      <c r="G5646" s="7">
        <v>131906.48221544709</v>
      </c>
      <c r="H5646" s="7">
        <v>259591957</v>
      </c>
      <c r="I5646" s="7">
        <v>49552713</v>
      </c>
      <c r="J5646" s="7">
        <v>0</v>
      </c>
      <c r="K5646">
        <f t="shared" si="88"/>
        <v>59</v>
      </c>
      <c r="L5646" s="8" t="str" cm="1">
        <f t="array" ref="L5646">_xlfn.IFS(
 AND(K5646&gt;=89,K5646&lt;=92),"3개월",
 AND(K5646&gt;=58,K5646&lt;=62),"2개월",
 AND(K5646&gt;=28,K5646&lt;=32),"1개월",
 AND(K5646=0),"당월",
 TRUE,"그외"
)</f>
        <v>2개월</v>
      </c>
    </row>
    <row r="5647" spans="1:12" x14ac:dyDescent="0.3">
      <c r="A5647" s="5">
        <v>45717</v>
      </c>
      <c r="B5647" s="6" t="s">
        <v>50</v>
      </c>
      <c r="C5647" s="6" t="s">
        <v>57</v>
      </c>
      <c r="D5647" s="5">
        <v>45689</v>
      </c>
      <c r="E5647" s="6" t="s">
        <v>14</v>
      </c>
      <c r="F5647" s="7">
        <v>271</v>
      </c>
      <c r="G5647" s="7">
        <v>166090.03690036901</v>
      </c>
      <c r="H5647" s="7">
        <v>45010400</v>
      </c>
      <c r="I5647" s="7">
        <v>5528400</v>
      </c>
      <c r="J5647" s="7">
        <v>0</v>
      </c>
      <c r="K5647">
        <f t="shared" si="88"/>
        <v>28</v>
      </c>
      <c r="L5647" s="8" t="str" cm="1">
        <f t="array" ref="L5647">_xlfn.IFS(
 AND(K5647&gt;=89,K5647&lt;=92),"3개월",
 AND(K5647&gt;=58,K5647&lt;=62),"2개월",
 AND(K5647&gt;=28,K5647&lt;=32),"1개월",
 AND(K5647=0),"당월",
 TRUE,"그외"
)</f>
        <v>1개월</v>
      </c>
    </row>
    <row r="5648" spans="1:12" x14ac:dyDescent="0.3">
      <c r="A5648" s="5">
        <v>45717</v>
      </c>
      <c r="B5648" s="6" t="s">
        <v>50</v>
      </c>
      <c r="C5648" s="6" t="s">
        <v>57</v>
      </c>
      <c r="D5648" s="5">
        <v>45689</v>
      </c>
      <c r="E5648" s="6" t="s">
        <v>15</v>
      </c>
      <c r="F5648" s="7">
        <v>3036</v>
      </c>
      <c r="G5648" s="7">
        <v>136859.84321475631</v>
      </c>
      <c r="H5648" s="7">
        <v>415506484</v>
      </c>
      <c r="I5648" s="7">
        <v>89672563</v>
      </c>
      <c r="J5648" s="7">
        <v>0</v>
      </c>
      <c r="K5648">
        <f t="shared" si="88"/>
        <v>28</v>
      </c>
      <c r="L5648" s="8" t="str" cm="1">
        <f t="array" ref="L5648">_xlfn.IFS(
 AND(K5648&gt;=89,K5648&lt;=92),"3개월",
 AND(K5648&gt;=58,K5648&lt;=62),"2개월",
 AND(K5648&gt;=28,K5648&lt;=32),"1개월",
 AND(K5648=0),"당월",
 TRUE,"그외"
)</f>
        <v>1개월</v>
      </c>
    </row>
    <row r="5649" spans="1:12" x14ac:dyDescent="0.3">
      <c r="A5649" s="5">
        <v>45717</v>
      </c>
      <c r="B5649" s="6" t="s">
        <v>50</v>
      </c>
      <c r="C5649" s="6" t="s">
        <v>57</v>
      </c>
      <c r="D5649" s="5">
        <v>45717</v>
      </c>
      <c r="E5649" s="6" t="s">
        <v>14</v>
      </c>
      <c r="F5649" s="7">
        <v>48</v>
      </c>
      <c r="G5649" s="7">
        <v>134814.91666666669</v>
      </c>
      <c r="H5649" s="7">
        <v>6471116</v>
      </c>
      <c r="I5649" s="7">
        <v>1441856</v>
      </c>
      <c r="J5649" s="7">
        <v>0</v>
      </c>
      <c r="K5649">
        <f t="shared" si="88"/>
        <v>0</v>
      </c>
      <c r="L5649" s="8" t="str" cm="1">
        <f t="array" ref="L5649">_xlfn.IFS(
 AND(K5649&gt;=89,K5649&lt;=92),"3개월",
 AND(K5649&gt;=58,K5649&lt;=62),"2개월",
 AND(K5649&gt;=28,K5649&lt;=32),"1개월",
 AND(K5649=0),"당월",
 TRUE,"그외"
)</f>
        <v>당월</v>
      </c>
    </row>
    <row r="5650" spans="1:12" x14ac:dyDescent="0.3">
      <c r="A5650" s="5">
        <v>45717</v>
      </c>
      <c r="B5650" s="6" t="s">
        <v>50</v>
      </c>
      <c r="C5650" s="6" t="s">
        <v>57</v>
      </c>
      <c r="D5650" s="5">
        <v>45717</v>
      </c>
      <c r="E5650" s="6" t="s">
        <v>15</v>
      </c>
      <c r="F5650" s="7">
        <v>2068</v>
      </c>
      <c r="G5650" s="7">
        <v>131921.25386847189</v>
      </c>
      <c r="H5650" s="7">
        <v>272813153</v>
      </c>
      <c r="I5650" s="7">
        <v>66311334</v>
      </c>
      <c r="J5650" s="7">
        <v>0</v>
      </c>
      <c r="K5650">
        <f t="shared" si="88"/>
        <v>0</v>
      </c>
      <c r="L5650" s="8" t="str" cm="1">
        <f t="array" ref="L5650">_xlfn.IFS(
 AND(K5650&gt;=89,K5650&lt;=92),"3개월",
 AND(K5650&gt;=58,K5650&lt;=62),"2개월",
 AND(K5650&gt;=28,K5650&lt;=32),"1개월",
 AND(K5650=0),"당월",
 TRUE,"그외"
)</f>
        <v>당월</v>
      </c>
    </row>
    <row r="5651" spans="1:12" x14ac:dyDescent="0.3">
      <c r="A5651" s="5">
        <v>45717</v>
      </c>
      <c r="B5651" s="6" t="s">
        <v>60</v>
      </c>
      <c r="C5651" s="6" t="s">
        <v>61</v>
      </c>
      <c r="D5651" s="5">
        <v>45505</v>
      </c>
      <c r="E5651" s="6" t="s">
        <v>15</v>
      </c>
      <c r="F5651" s="7">
        <v>169</v>
      </c>
      <c r="G5651" s="7">
        <v>139453.55621301779</v>
      </c>
      <c r="H5651" s="7">
        <v>23567651</v>
      </c>
      <c r="I5651" s="7">
        <v>7545158</v>
      </c>
      <c r="J5651" s="7">
        <v>0</v>
      </c>
      <c r="K5651">
        <f t="shared" si="88"/>
        <v>212</v>
      </c>
      <c r="L5651" s="8" t="str" cm="1">
        <f t="array" ref="L5651">_xlfn.IFS(
 AND(K5651&gt;=89,K5651&lt;=92),"3개월",
 AND(K5651&gt;=58,K5651&lt;=62),"2개월",
 AND(K5651&gt;=28,K5651&lt;=32),"1개월",
 AND(K5651=0),"당월",
 TRUE,"그외"
)</f>
        <v>그외</v>
      </c>
    </row>
    <row r="5652" spans="1:12" x14ac:dyDescent="0.3">
      <c r="A5652" s="5">
        <v>45717</v>
      </c>
      <c r="B5652" s="6" t="s">
        <v>60</v>
      </c>
      <c r="C5652" s="6" t="s">
        <v>61</v>
      </c>
      <c r="D5652" s="5">
        <v>45536</v>
      </c>
      <c r="E5652" s="6" t="s">
        <v>15</v>
      </c>
      <c r="F5652" s="7">
        <v>77</v>
      </c>
      <c r="G5652" s="7">
        <v>166388.68831168831</v>
      </c>
      <c r="H5652" s="7">
        <v>12811929</v>
      </c>
      <c r="I5652" s="7">
        <v>3882250</v>
      </c>
      <c r="J5652" s="7">
        <v>0</v>
      </c>
      <c r="K5652">
        <f t="shared" si="88"/>
        <v>181</v>
      </c>
      <c r="L5652" s="8" t="str" cm="1">
        <f t="array" ref="L5652">_xlfn.IFS(
 AND(K5652&gt;=89,K5652&lt;=92),"3개월",
 AND(K5652&gt;=58,K5652&lt;=62),"2개월",
 AND(K5652&gt;=28,K5652&lt;=32),"1개월",
 AND(K5652=0),"당월",
 TRUE,"그외"
)</f>
        <v>그외</v>
      </c>
    </row>
    <row r="5653" spans="1:12" x14ac:dyDescent="0.3">
      <c r="A5653" s="5">
        <v>45717</v>
      </c>
      <c r="B5653" s="6" t="s">
        <v>60</v>
      </c>
      <c r="C5653" s="6" t="s">
        <v>61</v>
      </c>
      <c r="D5653" s="5">
        <v>45566</v>
      </c>
      <c r="E5653" s="6" t="s">
        <v>15</v>
      </c>
      <c r="F5653" s="7">
        <v>76</v>
      </c>
      <c r="G5653" s="7">
        <v>171599.88157894739</v>
      </c>
      <c r="H5653" s="7">
        <v>13041591</v>
      </c>
      <c r="I5653" s="7">
        <v>3206563</v>
      </c>
      <c r="J5653" s="7">
        <v>0</v>
      </c>
      <c r="K5653">
        <f t="shared" si="88"/>
        <v>151</v>
      </c>
      <c r="L5653" s="8" t="str" cm="1">
        <f t="array" ref="L5653">_xlfn.IFS(
 AND(K5653&gt;=89,K5653&lt;=92),"3개월",
 AND(K5653&gt;=58,K5653&lt;=62),"2개월",
 AND(K5653&gt;=28,K5653&lt;=32),"1개월",
 AND(K5653=0),"당월",
 TRUE,"그외"
)</f>
        <v>그외</v>
      </c>
    </row>
    <row r="5654" spans="1:12" x14ac:dyDescent="0.3">
      <c r="A5654" s="5">
        <v>45717</v>
      </c>
      <c r="B5654" s="6" t="s">
        <v>60</v>
      </c>
      <c r="C5654" s="6" t="s">
        <v>61</v>
      </c>
      <c r="D5654" s="5">
        <v>45597</v>
      </c>
      <c r="E5654" s="6" t="s">
        <v>14</v>
      </c>
      <c r="F5654" s="7">
        <v>46</v>
      </c>
      <c r="G5654" s="7">
        <v>195530.4347826087</v>
      </c>
      <c r="H5654" s="7">
        <v>8994400</v>
      </c>
      <c r="I5654" s="7">
        <v>1168400</v>
      </c>
      <c r="J5654" s="7">
        <v>0</v>
      </c>
      <c r="K5654">
        <f t="shared" si="88"/>
        <v>120</v>
      </c>
      <c r="L5654" s="8" t="str" cm="1">
        <f t="array" ref="L5654">_xlfn.IFS(
 AND(K5654&gt;=89,K5654&lt;=92),"3개월",
 AND(K5654&gt;=58,K5654&lt;=62),"2개월",
 AND(K5654&gt;=28,K5654&lt;=32),"1개월",
 AND(K5654=0),"당월",
 TRUE,"그외"
)</f>
        <v>그외</v>
      </c>
    </row>
    <row r="5655" spans="1:12" x14ac:dyDescent="0.3">
      <c r="A5655" s="5">
        <v>45717</v>
      </c>
      <c r="B5655" s="6" t="s">
        <v>60</v>
      </c>
      <c r="C5655" s="6" t="s">
        <v>61</v>
      </c>
      <c r="D5655" s="5">
        <v>45597</v>
      </c>
      <c r="E5655" s="6" t="s">
        <v>15</v>
      </c>
      <c r="F5655" s="7">
        <v>254</v>
      </c>
      <c r="G5655" s="7">
        <v>182176.06299212601</v>
      </c>
      <c r="H5655" s="7">
        <v>46272720</v>
      </c>
      <c r="I5655" s="7">
        <v>11399925</v>
      </c>
      <c r="J5655" s="7">
        <v>0</v>
      </c>
      <c r="K5655">
        <f t="shared" si="88"/>
        <v>120</v>
      </c>
      <c r="L5655" s="8" t="str" cm="1">
        <f t="array" ref="L5655">_xlfn.IFS(
 AND(K5655&gt;=89,K5655&lt;=92),"3개월",
 AND(K5655&gt;=58,K5655&lt;=62),"2개월",
 AND(K5655&gt;=28,K5655&lt;=32),"1개월",
 AND(K5655=0),"당월",
 TRUE,"그외"
)</f>
        <v>그외</v>
      </c>
    </row>
    <row r="5656" spans="1:12" x14ac:dyDescent="0.3">
      <c r="A5656" s="5">
        <v>45717</v>
      </c>
      <c r="B5656" s="6" t="s">
        <v>60</v>
      </c>
      <c r="C5656" s="6" t="s">
        <v>61</v>
      </c>
      <c r="D5656" s="5">
        <v>45627</v>
      </c>
      <c r="E5656" s="6" t="s">
        <v>14</v>
      </c>
      <c r="F5656" s="7">
        <v>94</v>
      </c>
      <c r="G5656" s="7">
        <v>154755.31914893619</v>
      </c>
      <c r="H5656" s="7">
        <v>14547000</v>
      </c>
      <c r="I5656" s="7">
        <v>2867000</v>
      </c>
      <c r="J5656" s="7">
        <v>0</v>
      </c>
      <c r="K5656">
        <f t="shared" si="88"/>
        <v>90</v>
      </c>
      <c r="L5656" s="8" t="str" cm="1">
        <f t="array" ref="L5656">_xlfn.IFS(
 AND(K5656&gt;=89,K5656&lt;=92),"3개월",
 AND(K5656&gt;=58,K5656&lt;=62),"2개월",
 AND(K5656&gt;=28,K5656&lt;=32),"1개월",
 AND(K5656=0),"당월",
 TRUE,"그외"
)</f>
        <v>3개월</v>
      </c>
    </row>
    <row r="5657" spans="1:12" x14ac:dyDescent="0.3">
      <c r="A5657" s="5">
        <v>45717</v>
      </c>
      <c r="B5657" s="6" t="s">
        <v>60</v>
      </c>
      <c r="C5657" s="6" t="s">
        <v>61</v>
      </c>
      <c r="D5657" s="5">
        <v>45627</v>
      </c>
      <c r="E5657" s="6" t="s">
        <v>15</v>
      </c>
      <c r="F5657" s="7">
        <v>276</v>
      </c>
      <c r="G5657" s="7">
        <v>190698.8152173913</v>
      </c>
      <c r="H5657" s="7">
        <v>52632873</v>
      </c>
      <c r="I5657" s="7">
        <v>13843319</v>
      </c>
      <c r="J5657" s="7">
        <v>0</v>
      </c>
      <c r="K5657">
        <f t="shared" si="88"/>
        <v>90</v>
      </c>
      <c r="L5657" s="8" t="str" cm="1">
        <f t="array" ref="L5657">_xlfn.IFS(
 AND(K5657&gt;=89,K5657&lt;=92),"3개월",
 AND(K5657&gt;=58,K5657&lt;=62),"2개월",
 AND(K5657&gt;=28,K5657&lt;=32),"1개월",
 AND(K5657=0),"당월",
 TRUE,"그외"
)</f>
        <v>3개월</v>
      </c>
    </row>
    <row r="5658" spans="1:12" x14ac:dyDescent="0.3">
      <c r="A5658" s="5">
        <v>45717</v>
      </c>
      <c r="B5658" s="6" t="s">
        <v>60</v>
      </c>
      <c r="C5658" s="6" t="s">
        <v>61</v>
      </c>
      <c r="D5658" s="5">
        <v>45658</v>
      </c>
      <c r="E5658" s="6" t="s">
        <v>14</v>
      </c>
      <c r="F5658" s="7">
        <v>200</v>
      </c>
      <c r="G5658" s="7">
        <v>321780</v>
      </c>
      <c r="H5658" s="7">
        <v>64356000</v>
      </c>
      <c r="I5658" s="7">
        <v>6076000</v>
      </c>
      <c r="J5658" s="7">
        <v>0</v>
      </c>
      <c r="K5658">
        <f t="shared" si="88"/>
        <v>59</v>
      </c>
      <c r="L5658" s="8" t="str" cm="1">
        <f t="array" ref="L5658">_xlfn.IFS(
 AND(K5658&gt;=89,K5658&lt;=92),"3개월",
 AND(K5658&gt;=58,K5658&lt;=62),"2개월",
 AND(K5658&gt;=28,K5658&lt;=32),"1개월",
 AND(K5658=0),"당월",
 TRUE,"그외"
)</f>
        <v>2개월</v>
      </c>
    </row>
    <row r="5659" spans="1:12" x14ac:dyDescent="0.3">
      <c r="A5659" s="5">
        <v>45717</v>
      </c>
      <c r="B5659" s="6" t="s">
        <v>60</v>
      </c>
      <c r="C5659" s="6" t="s">
        <v>61</v>
      </c>
      <c r="D5659" s="5">
        <v>45658</v>
      </c>
      <c r="E5659" s="6" t="s">
        <v>15</v>
      </c>
      <c r="F5659" s="7">
        <v>1213</v>
      </c>
      <c r="G5659" s="7">
        <v>187528.97526793071</v>
      </c>
      <c r="H5659" s="7">
        <v>227472647</v>
      </c>
      <c r="I5659" s="7">
        <v>51188149</v>
      </c>
      <c r="J5659" s="7">
        <v>0</v>
      </c>
      <c r="K5659">
        <f t="shared" si="88"/>
        <v>59</v>
      </c>
      <c r="L5659" s="8" t="str" cm="1">
        <f t="array" ref="L5659">_xlfn.IFS(
 AND(K5659&gt;=89,K5659&lt;=92),"3개월",
 AND(K5659&gt;=58,K5659&lt;=62),"2개월",
 AND(K5659&gt;=28,K5659&lt;=32),"1개월",
 AND(K5659=0),"당월",
 TRUE,"그외"
)</f>
        <v>2개월</v>
      </c>
    </row>
    <row r="5660" spans="1:12" x14ac:dyDescent="0.3">
      <c r="A5660" s="5">
        <v>45717</v>
      </c>
      <c r="B5660" s="6" t="s">
        <v>60</v>
      </c>
      <c r="C5660" s="6" t="s">
        <v>61</v>
      </c>
      <c r="D5660" s="5">
        <v>45689</v>
      </c>
      <c r="E5660" s="6" t="s">
        <v>14</v>
      </c>
      <c r="F5660" s="7">
        <v>2583</v>
      </c>
      <c r="G5660" s="7">
        <v>167598.22531939609</v>
      </c>
      <c r="H5660" s="7">
        <v>432906216</v>
      </c>
      <c r="I5660" s="7">
        <v>119943742</v>
      </c>
      <c r="J5660" s="7">
        <v>0</v>
      </c>
      <c r="K5660">
        <f t="shared" si="88"/>
        <v>28</v>
      </c>
      <c r="L5660" s="8" t="str" cm="1">
        <f t="array" ref="L5660">_xlfn.IFS(
 AND(K5660&gt;=89,K5660&lt;=92),"3개월",
 AND(K5660&gt;=58,K5660&lt;=62),"2개월",
 AND(K5660&gt;=28,K5660&lt;=32),"1개월",
 AND(K5660=0),"당월",
 TRUE,"그외"
)</f>
        <v>1개월</v>
      </c>
    </row>
    <row r="5661" spans="1:12" x14ac:dyDescent="0.3">
      <c r="A5661" s="5">
        <v>45717</v>
      </c>
      <c r="B5661" s="6" t="s">
        <v>60</v>
      </c>
      <c r="C5661" s="6" t="s">
        <v>61</v>
      </c>
      <c r="D5661" s="5">
        <v>45689</v>
      </c>
      <c r="E5661" s="6" t="s">
        <v>15</v>
      </c>
      <c r="F5661" s="7">
        <v>3894</v>
      </c>
      <c r="G5661" s="7">
        <v>187699.72573189519</v>
      </c>
      <c r="H5661" s="7">
        <v>730902732</v>
      </c>
      <c r="I5661" s="7">
        <v>167411643</v>
      </c>
      <c r="J5661" s="7">
        <v>0</v>
      </c>
      <c r="K5661">
        <f t="shared" si="88"/>
        <v>28</v>
      </c>
      <c r="L5661" s="8" t="str" cm="1">
        <f t="array" ref="L5661">_xlfn.IFS(
 AND(K5661&gt;=89,K5661&lt;=92),"3개월",
 AND(K5661&gt;=58,K5661&lt;=62),"2개월",
 AND(K5661&gt;=28,K5661&lt;=32),"1개월",
 AND(K5661=0),"당월",
 TRUE,"그외"
)</f>
        <v>1개월</v>
      </c>
    </row>
    <row r="5662" spans="1:12" x14ac:dyDescent="0.3">
      <c r="A5662" s="5">
        <v>45717</v>
      </c>
      <c r="B5662" s="6" t="s">
        <v>60</v>
      </c>
      <c r="C5662" s="6" t="s">
        <v>61</v>
      </c>
      <c r="D5662" s="5">
        <v>45717</v>
      </c>
      <c r="E5662" s="6" t="s">
        <v>14</v>
      </c>
      <c r="F5662" s="7">
        <v>533</v>
      </c>
      <c r="G5662" s="7">
        <v>230392.69981238281</v>
      </c>
      <c r="H5662" s="7">
        <v>122799309</v>
      </c>
      <c r="I5662" s="7">
        <v>37664269</v>
      </c>
      <c r="J5662" s="7">
        <v>0</v>
      </c>
      <c r="K5662">
        <f t="shared" si="88"/>
        <v>0</v>
      </c>
      <c r="L5662" s="8" t="str" cm="1">
        <f t="array" ref="L5662">_xlfn.IFS(
 AND(K5662&gt;=89,K5662&lt;=92),"3개월",
 AND(K5662&gt;=58,K5662&lt;=62),"2개월",
 AND(K5662&gt;=28,K5662&lt;=32),"1개월",
 AND(K5662=0),"당월",
 TRUE,"그외"
)</f>
        <v>당월</v>
      </c>
    </row>
    <row r="5663" spans="1:12" x14ac:dyDescent="0.3">
      <c r="A5663" s="5">
        <v>45717</v>
      </c>
      <c r="B5663" s="6" t="s">
        <v>60</v>
      </c>
      <c r="C5663" s="6" t="s">
        <v>61</v>
      </c>
      <c r="D5663" s="5">
        <v>45717</v>
      </c>
      <c r="E5663" s="6" t="s">
        <v>15</v>
      </c>
      <c r="F5663" s="7">
        <v>1724</v>
      </c>
      <c r="G5663" s="7">
        <v>199159.09570765661</v>
      </c>
      <c r="H5663" s="7">
        <v>343350281</v>
      </c>
      <c r="I5663" s="7">
        <v>79389660</v>
      </c>
      <c r="J5663" s="7">
        <v>0</v>
      </c>
      <c r="K5663">
        <f t="shared" si="88"/>
        <v>0</v>
      </c>
      <c r="L5663" s="8" t="str" cm="1">
        <f t="array" ref="L5663">_xlfn.IFS(
 AND(K5663&gt;=89,K5663&lt;=92),"3개월",
 AND(K5663&gt;=58,K5663&lt;=62),"2개월",
 AND(K5663&gt;=28,K5663&lt;=32),"1개월",
 AND(K5663=0),"당월",
 TRUE,"그외"
)</f>
        <v>당월</v>
      </c>
    </row>
    <row r="5664" spans="1:12" x14ac:dyDescent="0.3">
      <c r="A5664" s="5">
        <v>45717</v>
      </c>
      <c r="B5664" s="6" t="s">
        <v>60</v>
      </c>
      <c r="C5664" s="6" t="s">
        <v>104</v>
      </c>
      <c r="D5664" s="5">
        <v>45505</v>
      </c>
      <c r="E5664" s="6" t="s">
        <v>15</v>
      </c>
      <c r="F5664" s="7">
        <v>227</v>
      </c>
      <c r="G5664" s="7">
        <v>218259.4713656388</v>
      </c>
      <c r="H5664" s="7">
        <v>49544900</v>
      </c>
      <c r="I5664" s="7">
        <v>9102700</v>
      </c>
      <c r="J5664" s="7">
        <v>0</v>
      </c>
      <c r="K5664">
        <f t="shared" si="88"/>
        <v>212</v>
      </c>
      <c r="L5664" s="8" t="str" cm="1">
        <f t="array" ref="L5664">_xlfn.IFS(
 AND(K5664&gt;=89,K5664&lt;=92),"3개월",
 AND(K5664&gt;=58,K5664&lt;=62),"2개월",
 AND(K5664&gt;=28,K5664&lt;=32),"1개월",
 AND(K5664=0),"당월",
 TRUE,"그외"
)</f>
        <v>그외</v>
      </c>
    </row>
    <row r="5665" spans="1:12" x14ac:dyDescent="0.3">
      <c r="A5665" s="5">
        <v>45717</v>
      </c>
      <c r="B5665" s="6" t="s">
        <v>60</v>
      </c>
      <c r="C5665" s="6" t="s">
        <v>104</v>
      </c>
      <c r="D5665" s="5">
        <v>45536</v>
      </c>
      <c r="E5665" s="6" t="s">
        <v>15</v>
      </c>
      <c r="F5665" s="7">
        <v>129</v>
      </c>
      <c r="G5665" s="7">
        <v>249186.94573643411</v>
      </c>
      <c r="H5665" s="7">
        <v>32145116</v>
      </c>
      <c r="I5665" s="7">
        <v>4698866</v>
      </c>
      <c r="J5665" s="7">
        <v>0</v>
      </c>
      <c r="K5665">
        <f t="shared" si="88"/>
        <v>181</v>
      </c>
      <c r="L5665" s="8" t="str" cm="1">
        <f t="array" ref="L5665">_xlfn.IFS(
 AND(K5665&gt;=89,K5665&lt;=92),"3개월",
 AND(K5665&gt;=58,K5665&lt;=62),"2개월",
 AND(K5665&gt;=28,K5665&lt;=32),"1개월",
 AND(K5665=0),"당월",
 TRUE,"그외"
)</f>
        <v>그외</v>
      </c>
    </row>
    <row r="5666" spans="1:12" x14ac:dyDescent="0.3">
      <c r="A5666" s="5">
        <v>45717</v>
      </c>
      <c r="B5666" s="6" t="s">
        <v>60</v>
      </c>
      <c r="C5666" s="6" t="s">
        <v>104</v>
      </c>
      <c r="D5666" s="5">
        <v>45566</v>
      </c>
      <c r="E5666" s="6" t="s">
        <v>14</v>
      </c>
      <c r="F5666" s="7">
        <v>4</v>
      </c>
      <c r="G5666" s="7">
        <v>226400</v>
      </c>
      <c r="H5666" s="7">
        <v>905600</v>
      </c>
      <c r="I5666" s="7">
        <v>101600</v>
      </c>
      <c r="J5666" s="7">
        <v>0</v>
      </c>
      <c r="K5666">
        <f t="shared" si="88"/>
        <v>151</v>
      </c>
      <c r="L5666" s="8" t="str" cm="1">
        <f t="array" ref="L5666">_xlfn.IFS(
 AND(K5666&gt;=89,K5666&lt;=92),"3개월",
 AND(K5666&gt;=58,K5666&lt;=62),"2개월",
 AND(K5666&gt;=28,K5666&lt;=32),"1개월",
 AND(K5666=0),"당월",
 TRUE,"그외"
)</f>
        <v>그외</v>
      </c>
    </row>
    <row r="5667" spans="1:12" x14ac:dyDescent="0.3">
      <c r="A5667" s="5">
        <v>45717</v>
      </c>
      <c r="B5667" s="6" t="s">
        <v>60</v>
      </c>
      <c r="C5667" s="6" t="s">
        <v>104</v>
      </c>
      <c r="D5667" s="5">
        <v>45566</v>
      </c>
      <c r="E5667" s="6" t="s">
        <v>15</v>
      </c>
      <c r="F5667" s="7">
        <v>143</v>
      </c>
      <c r="G5667" s="7">
        <v>261258.2657342657</v>
      </c>
      <c r="H5667" s="7">
        <v>37359932</v>
      </c>
      <c r="I5667" s="7">
        <v>3790270</v>
      </c>
      <c r="J5667" s="7">
        <v>0</v>
      </c>
      <c r="K5667">
        <f t="shared" si="88"/>
        <v>151</v>
      </c>
      <c r="L5667" s="8" t="str" cm="1">
        <f t="array" ref="L5667">_xlfn.IFS(
 AND(K5667&gt;=89,K5667&lt;=92),"3개월",
 AND(K5667&gt;=58,K5667&lt;=62),"2개월",
 AND(K5667&gt;=28,K5667&lt;=32),"1개월",
 AND(K5667=0),"당월",
 TRUE,"그외"
)</f>
        <v>그외</v>
      </c>
    </row>
    <row r="5668" spans="1:12" x14ac:dyDescent="0.3">
      <c r="A5668" s="5">
        <v>45717</v>
      </c>
      <c r="B5668" s="6" t="s">
        <v>60</v>
      </c>
      <c r="C5668" s="6" t="s">
        <v>104</v>
      </c>
      <c r="D5668" s="5">
        <v>45597</v>
      </c>
      <c r="E5668" s="6" t="s">
        <v>14</v>
      </c>
      <c r="F5668" s="7">
        <v>49</v>
      </c>
      <c r="G5668" s="7">
        <v>305440.81632653059</v>
      </c>
      <c r="H5668" s="7">
        <v>14966600</v>
      </c>
      <c r="I5668" s="7">
        <v>1244600</v>
      </c>
      <c r="J5668" s="7">
        <v>0</v>
      </c>
      <c r="K5668">
        <f t="shared" si="88"/>
        <v>120</v>
      </c>
      <c r="L5668" s="8" t="str" cm="1">
        <f t="array" ref="L5668">_xlfn.IFS(
 AND(K5668&gt;=89,K5668&lt;=92),"3개월",
 AND(K5668&gt;=58,K5668&lt;=62),"2개월",
 AND(K5668&gt;=28,K5668&lt;=32),"1개월",
 AND(K5668=0),"당월",
 TRUE,"그외"
)</f>
        <v>그외</v>
      </c>
    </row>
    <row r="5669" spans="1:12" x14ac:dyDescent="0.3">
      <c r="A5669" s="5">
        <v>45717</v>
      </c>
      <c r="B5669" s="6" t="s">
        <v>60</v>
      </c>
      <c r="C5669" s="6" t="s">
        <v>104</v>
      </c>
      <c r="D5669" s="5">
        <v>45597</v>
      </c>
      <c r="E5669" s="6" t="s">
        <v>15</v>
      </c>
      <c r="F5669" s="7">
        <v>244</v>
      </c>
      <c r="G5669" s="7">
        <v>251561.5819672131</v>
      </c>
      <c r="H5669" s="7">
        <v>61381026</v>
      </c>
      <c r="I5669" s="7">
        <v>6749511</v>
      </c>
      <c r="J5669" s="7">
        <v>0</v>
      </c>
      <c r="K5669">
        <f t="shared" si="88"/>
        <v>120</v>
      </c>
      <c r="L5669" s="8" t="str" cm="1">
        <f t="array" ref="L5669">_xlfn.IFS(
 AND(K5669&gt;=89,K5669&lt;=92),"3개월",
 AND(K5669&gt;=58,K5669&lt;=62),"2개월",
 AND(K5669&gt;=28,K5669&lt;=32),"1개월",
 AND(K5669=0),"당월",
 TRUE,"그외"
)</f>
        <v>그외</v>
      </c>
    </row>
    <row r="5670" spans="1:12" x14ac:dyDescent="0.3">
      <c r="A5670" s="5">
        <v>45717</v>
      </c>
      <c r="B5670" s="6" t="s">
        <v>60</v>
      </c>
      <c r="C5670" s="6" t="s">
        <v>104</v>
      </c>
      <c r="D5670" s="5">
        <v>45627</v>
      </c>
      <c r="E5670" s="6" t="s">
        <v>14</v>
      </c>
      <c r="F5670" s="7">
        <v>60</v>
      </c>
      <c r="G5670" s="7">
        <v>208166.66666666669</v>
      </c>
      <c r="H5670" s="7">
        <v>12490000</v>
      </c>
      <c r="I5670" s="7">
        <v>1830000</v>
      </c>
      <c r="J5670" s="7">
        <v>0</v>
      </c>
      <c r="K5670">
        <f t="shared" si="88"/>
        <v>90</v>
      </c>
      <c r="L5670" s="8" t="str" cm="1">
        <f t="array" ref="L5670">_xlfn.IFS(
 AND(K5670&gt;=89,K5670&lt;=92),"3개월",
 AND(K5670&gt;=58,K5670&lt;=62),"2개월",
 AND(K5670&gt;=28,K5670&lt;=32),"1개월",
 AND(K5670=0),"당월",
 TRUE,"그외"
)</f>
        <v>3개월</v>
      </c>
    </row>
    <row r="5671" spans="1:12" x14ac:dyDescent="0.3">
      <c r="A5671" s="5">
        <v>45717</v>
      </c>
      <c r="B5671" s="6" t="s">
        <v>60</v>
      </c>
      <c r="C5671" s="6" t="s">
        <v>104</v>
      </c>
      <c r="D5671" s="5">
        <v>45627</v>
      </c>
      <c r="E5671" s="6" t="s">
        <v>15</v>
      </c>
      <c r="F5671" s="7">
        <v>387</v>
      </c>
      <c r="G5671" s="7">
        <v>253563.66149870801</v>
      </c>
      <c r="H5671" s="7">
        <v>98129137</v>
      </c>
      <c r="I5671" s="7">
        <v>12380155</v>
      </c>
      <c r="J5671" s="7">
        <v>0</v>
      </c>
      <c r="K5671">
        <f t="shared" si="88"/>
        <v>90</v>
      </c>
      <c r="L5671" s="8" t="str" cm="1">
        <f t="array" ref="L5671">_xlfn.IFS(
 AND(K5671&gt;=89,K5671&lt;=92),"3개월",
 AND(K5671&gt;=58,K5671&lt;=62),"2개월",
 AND(K5671&gt;=28,K5671&lt;=32),"1개월",
 AND(K5671=0),"당월",
 TRUE,"그외"
)</f>
        <v>3개월</v>
      </c>
    </row>
    <row r="5672" spans="1:12" x14ac:dyDescent="0.3">
      <c r="A5672" s="5">
        <v>45717</v>
      </c>
      <c r="B5672" s="6" t="s">
        <v>60</v>
      </c>
      <c r="C5672" s="6" t="s">
        <v>104</v>
      </c>
      <c r="D5672" s="5">
        <v>45658</v>
      </c>
      <c r="E5672" s="6" t="s">
        <v>14</v>
      </c>
      <c r="F5672" s="7">
        <v>257</v>
      </c>
      <c r="G5672" s="7">
        <v>195129.18287937739</v>
      </c>
      <c r="H5672" s="7">
        <v>50148200</v>
      </c>
      <c r="I5672" s="7">
        <v>7950200</v>
      </c>
      <c r="J5672" s="7">
        <v>0</v>
      </c>
      <c r="K5672">
        <f t="shared" si="88"/>
        <v>59</v>
      </c>
      <c r="L5672" s="8" t="str" cm="1">
        <f t="array" ref="L5672">_xlfn.IFS(
 AND(K5672&gt;=89,K5672&lt;=92),"3개월",
 AND(K5672&gt;=58,K5672&lt;=62),"2개월",
 AND(K5672&gt;=28,K5672&lt;=32),"1개월",
 AND(K5672=0),"당월",
 TRUE,"그외"
)</f>
        <v>2개월</v>
      </c>
    </row>
    <row r="5673" spans="1:12" x14ac:dyDescent="0.3">
      <c r="A5673" s="5">
        <v>45717</v>
      </c>
      <c r="B5673" s="6" t="s">
        <v>60</v>
      </c>
      <c r="C5673" s="6" t="s">
        <v>104</v>
      </c>
      <c r="D5673" s="5">
        <v>45658</v>
      </c>
      <c r="E5673" s="6" t="s">
        <v>15</v>
      </c>
      <c r="F5673" s="7">
        <v>947</v>
      </c>
      <c r="G5673" s="7">
        <v>198618.6304118268</v>
      </c>
      <c r="H5673" s="7">
        <v>188091843</v>
      </c>
      <c r="I5673" s="7">
        <v>32259878</v>
      </c>
      <c r="J5673" s="7">
        <v>0</v>
      </c>
      <c r="K5673">
        <f t="shared" si="88"/>
        <v>59</v>
      </c>
      <c r="L5673" s="8" t="str" cm="1">
        <f t="array" ref="L5673">_xlfn.IFS(
 AND(K5673&gt;=89,K5673&lt;=92),"3개월",
 AND(K5673&gt;=58,K5673&lt;=62),"2개월",
 AND(K5673&gt;=28,K5673&lt;=32),"1개월",
 AND(K5673=0),"당월",
 TRUE,"그외"
)</f>
        <v>2개월</v>
      </c>
    </row>
    <row r="5674" spans="1:12" x14ac:dyDescent="0.3">
      <c r="A5674" s="5">
        <v>45717</v>
      </c>
      <c r="B5674" s="6" t="s">
        <v>60</v>
      </c>
      <c r="C5674" s="6" t="s">
        <v>104</v>
      </c>
      <c r="D5674" s="5">
        <v>45689</v>
      </c>
      <c r="E5674" s="6" t="s">
        <v>14</v>
      </c>
      <c r="F5674" s="7">
        <v>1736</v>
      </c>
      <c r="G5674" s="7">
        <v>181981.27880184329</v>
      </c>
      <c r="H5674" s="7">
        <v>315919500</v>
      </c>
      <c r="I5674" s="7">
        <v>55705500</v>
      </c>
      <c r="J5674" s="7">
        <v>0</v>
      </c>
      <c r="K5674">
        <f t="shared" si="88"/>
        <v>28</v>
      </c>
      <c r="L5674" s="8" t="str" cm="1">
        <f t="array" ref="L5674">_xlfn.IFS(
 AND(K5674&gt;=89,K5674&lt;=92),"3개월",
 AND(K5674&gt;=58,K5674&lt;=62),"2개월",
 AND(K5674&gt;=28,K5674&lt;=32),"1개월",
 AND(K5674=0),"당월",
 TRUE,"그외"
)</f>
        <v>1개월</v>
      </c>
    </row>
    <row r="5675" spans="1:12" x14ac:dyDescent="0.3">
      <c r="A5675" s="5">
        <v>45717</v>
      </c>
      <c r="B5675" s="6" t="s">
        <v>60</v>
      </c>
      <c r="C5675" s="6" t="s">
        <v>104</v>
      </c>
      <c r="D5675" s="5">
        <v>45689</v>
      </c>
      <c r="E5675" s="6" t="s">
        <v>15</v>
      </c>
      <c r="F5675" s="7">
        <v>2674</v>
      </c>
      <c r="G5675" s="7">
        <v>170941.37658937919</v>
      </c>
      <c r="H5675" s="7">
        <v>457097241</v>
      </c>
      <c r="I5675" s="7">
        <v>96774206</v>
      </c>
      <c r="J5675" s="7">
        <v>0</v>
      </c>
      <c r="K5675">
        <f t="shared" si="88"/>
        <v>28</v>
      </c>
      <c r="L5675" s="8" t="str" cm="1">
        <f t="array" ref="L5675">_xlfn.IFS(
 AND(K5675&gt;=89,K5675&lt;=92),"3개월",
 AND(K5675&gt;=58,K5675&lt;=62),"2개월",
 AND(K5675&gt;=28,K5675&lt;=32),"1개월",
 AND(K5675=0),"당월",
 TRUE,"그외"
)</f>
        <v>1개월</v>
      </c>
    </row>
    <row r="5676" spans="1:12" x14ac:dyDescent="0.3">
      <c r="A5676" s="5">
        <v>45717</v>
      </c>
      <c r="B5676" s="6" t="s">
        <v>60</v>
      </c>
      <c r="C5676" s="6" t="s">
        <v>104</v>
      </c>
      <c r="D5676" s="5">
        <v>45717</v>
      </c>
      <c r="E5676" s="6" t="s">
        <v>14</v>
      </c>
      <c r="F5676" s="7">
        <v>496</v>
      </c>
      <c r="G5676" s="7">
        <v>139187.70161290321</v>
      </c>
      <c r="H5676" s="7">
        <v>69037100</v>
      </c>
      <c r="I5676" s="7">
        <v>18578100</v>
      </c>
      <c r="J5676" s="7">
        <v>0</v>
      </c>
      <c r="K5676">
        <f t="shared" si="88"/>
        <v>0</v>
      </c>
      <c r="L5676" s="8" t="str" cm="1">
        <f t="array" ref="L5676">_xlfn.IFS(
 AND(K5676&gt;=89,K5676&lt;=92),"3개월",
 AND(K5676&gt;=58,K5676&lt;=62),"2개월",
 AND(K5676&gt;=28,K5676&lt;=32),"1개월",
 AND(K5676=0),"당월",
 TRUE,"그외"
)</f>
        <v>당월</v>
      </c>
    </row>
    <row r="5677" spans="1:12" x14ac:dyDescent="0.3">
      <c r="A5677" s="5">
        <v>45717</v>
      </c>
      <c r="B5677" s="6" t="s">
        <v>60</v>
      </c>
      <c r="C5677" s="6" t="s">
        <v>104</v>
      </c>
      <c r="D5677" s="5">
        <v>45717</v>
      </c>
      <c r="E5677" s="6" t="s">
        <v>15</v>
      </c>
      <c r="F5677" s="7">
        <v>2137</v>
      </c>
      <c r="G5677" s="7">
        <v>168626.1815629387</v>
      </c>
      <c r="H5677" s="7">
        <v>360354150</v>
      </c>
      <c r="I5677" s="7">
        <v>101860522</v>
      </c>
      <c r="J5677" s="7">
        <v>0</v>
      </c>
      <c r="K5677">
        <f t="shared" si="88"/>
        <v>0</v>
      </c>
      <c r="L5677" s="8" t="str" cm="1">
        <f t="array" ref="L5677">_xlfn.IFS(
 AND(K5677&gt;=89,K5677&lt;=92),"3개월",
 AND(K5677&gt;=58,K5677&lt;=62),"2개월",
 AND(K5677&gt;=28,K5677&lt;=32),"1개월",
 AND(K5677=0),"당월",
 TRUE,"그외"
)</f>
        <v>당월</v>
      </c>
    </row>
    <row r="5678" spans="1:12" x14ac:dyDescent="0.3">
      <c r="A5678" s="5">
        <v>45717</v>
      </c>
      <c r="B5678" s="6" t="s">
        <v>60</v>
      </c>
      <c r="C5678" s="6" t="s">
        <v>62</v>
      </c>
      <c r="D5678" s="5">
        <v>45474</v>
      </c>
      <c r="E5678" s="6" t="s">
        <v>15</v>
      </c>
      <c r="F5678" s="7">
        <v>1</v>
      </c>
      <c r="G5678" s="7">
        <v>257913</v>
      </c>
      <c r="H5678" s="7">
        <v>257913</v>
      </c>
      <c r="I5678" s="7">
        <v>51583</v>
      </c>
      <c r="J5678" s="7">
        <v>0</v>
      </c>
      <c r="K5678">
        <f t="shared" si="88"/>
        <v>243</v>
      </c>
      <c r="L5678" s="8" t="str" cm="1">
        <f t="array" ref="L5678">_xlfn.IFS(
 AND(K5678&gt;=89,K5678&lt;=92),"3개월",
 AND(K5678&gt;=58,K5678&lt;=62),"2개월",
 AND(K5678&gt;=28,K5678&lt;=32),"1개월",
 AND(K5678=0),"당월",
 TRUE,"그외"
)</f>
        <v>그외</v>
      </c>
    </row>
    <row r="5679" spans="1:12" x14ac:dyDescent="0.3">
      <c r="A5679" s="5">
        <v>45717</v>
      </c>
      <c r="B5679" s="6" t="s">
        <v>60</v>
      </c>
      <c r="C5679" s="6" t="s">
        <v>62</v>
      </c>
      <c r="D5679" s="5">
        <v>45505</v>
      </c>
      <c r="E5679" s="6" t="s">
        <v>15</v>
      </c>
      <c r="F5679" s="7">
        <v>280</v>
      </c>
      <c r="G5679" s="7">
        <v>204679.62142857141</v>
      </c>
      <c r="H5679" s="7">
        <v>57310294</v>
      </c>
      <c r="I5679" s="7">
        <v>13328091</v>
      </c>
      <c r="J5679" s="7">
        <v>0</v>
      </c>
      <c r="K5679">
        <f t="shared" si="88"/>
        <v>212</v>
      </c>
      <c r="L5679" s="8" t="str" cm="1">
        <f t="array" ref="L5679">_xlfn.IFS(
 AND(K5679&gt;=89,K5679&lt;=92),"3개월",
 AND(K5679&gt;=58,K5679&lt;=62),"2개월",
 AND(K5679&gt;=28,K5679&lt;=32),"1개월",
 AND(K5679=0),"당월",
 TRUE,"그외"
)</f>
        <v>그외</v>
      </c>
    </row>
    <row r="5680" spans="1:12" x14ac:dyDescent="0.3">
      <c r="A5680" s="5">
        <v>45717</v>
      </c>
      <c r="B5680" s="6" t="s">
        <v>60</v>
      </c>
      <c r="C5680" s="6" t="s">
        <v>62</v>
      </c>
      <c r="D5680" s="5">
        <v>45536</v>
      </c>
      <c r="E5680" s="6" t="s">
        <v>15</v>
      </c>
      <c r="F5680" s="7">
        <v>454</v>
      </c>
      <c r="G5680" s="7">
        <v>195584.13215859031</v>
      </c>
      <c r="H5680" s="7">
        <v>88795196</v>
      </c>
      <c r="I5680" s="7">
        <v>20070103</v>
      </c>
      <c r="J5680" s="7">
        <v>0</v>
      </c>
      <c r="K5680">
        <f t="shared" si="88"/>
        <v>181</v>
      </c>
      <c r="L5680" s="8" t="str" cm="1">
        <f t="array" ref="L5680">_xlfn.IFS(
 AND(K5680&gt;=89,K5680&lt;=92),"3개월",
 AND(K5680&gt;=58,K5680&lt;=62),"2개월",
 AND(K5680&gt;=28,K5680&lt;=32),"1개월",
 AND(K5680=0),"당월",
 TRUE,"그외"
)</f>
        <v>그외</v>
      </c>
    </row>
    <row r="5681" spans="1:12" x14ac:dyDescent="0.3">
      <c r="A5681" s="5">
        <v>45717</v>
      </c>
      <c r="B5681" s="6" t="s">
        <v>60</v>
      </c>
      <c r="C5681" s="6" t="s">
        <v>62</v>
      </c>
      <c r="D5681" s="5">
        <v>45566</v>
      </c>
      <c r="E5681" s="6" t="s">
        <v>14</v>
      </c>
      <c r="F5681" s="7">
        <v>10</v>
      </c>
      <c r="G5681" s="7">
        <v>206700</v>
      </c>
      <c r="H5681" s="7">
        <v>2067000</v>
      </c>
      <c r="I5681" s="7">
        <v>267000</v>
      </c>
      <c r="J5681" s="7">
        <v>0</v>
      </c>
      <c r="K5681">
        <f t="shared" si="88"/>
        <v>151</v>
      </c>
      <c r="L5681" s="8" t="str" cm="1">
        <f t="array" ref="L5681">_xlfn.IFS(
 AND(K5681&gt;=89,K5681&lt;=92),"3개월",
 AND(K5681&gt;=58,K5681&lt;=62),"2개월",
 AND(K5681&gt;=28,K5681&lt;=32),"1개월",
 AND(K5681=0),"당월",
 TRUE,"그외"
)</f>
        <v>그외</v>
      </c>
    </row>
    <row r="5682" spans="1:12" x14ac:dyDescent="0.3">
      <c r="A5682" s="5">
        <v>45717</v>
      </c>
      <c r="B5682" s="6" t="s">
        <v>60</v>
      </c>
      <c r="C5682" s="6" t="s">
        <v>62</v>
      </c>
      <c r="D5682" s="5">
        <v>45566</v>
      </c>
      <c r="E5682" s="6" t="s">
        <v>15</v>
      </c>
      <c r="F5682" s="7">
        <v>662</v>
      </c>
      <c r="G5682" s="7">
        <v>239562.55891238671</v>
      </c>
      <c r="H5682" s="7">
        <v>158590414</v>
      </c>
      <c r="I5682" s="7">
        <v>30692108</v>
      </c>
      <c r="J5682" s="7">
        <v>0</v>
      </c>
      <c r="K5682">
        <f t="shared" si="88"/>
        <v>151</v>
      </c>
      <c r="L5682" s="8" t="str" cm="1">
        <f t="array" ref="L5682">_xlfn.IFS(
 AND(K5682&gt;=89,K5682&lt;=92),"3개월",
 AND(K5682&gt;=58,K5682&lt;=62),"2개월",
 AND(K5682&gt;=28,K5682&lt;=32),"1개월",
 AND(K5682=0),"당월",
 TRUE,"그외"
)</f>
        <v>그외</v>
      </c>
    </row>
    <row r="5683" spans="1:12" x14ac:dyDescent="0.3">
      <c r="A5683" s="5">
        <v>45717</v>
      </c>
      <c r="B5683" s="6" t="s">
        <v>60</v>
      </c>
      <c r="C5683" s="6" t="s">
        <v>62</v>
      </c>
      <c r="D5683" s="5">
        <v>45597</v>
      </c>
      <c r="E5683" s="6" t="s">
        <v>14</v>
      </c>
      <c r="F5683" s="7">
        <v>102</v>
      </c>
      <c r="G5683" s="7">
        <v>175405.8823529412</v>
      </c>
      <c r="H5683" s="7">
        <v>17891400</v>
      </c>
      <c r="I5683" s="7">
        <v>2723400</v>
      </c>
      <c r="J5683" s="7">
        <v>0</v>
      </c>
      <c r="K5683">
        <f t="shared" si="88"/>
        <v>120</v>
      </c>
      <c r="L5683" s="8" t="str" cm="1">
        <f t="array" ref="L5683">_xlfn.IFS(
 AND(K5683&gt;=89,K5683&lt;=92),"3개월",
 AND(K5683&gt;=58,K5683&lt;=62),"2개월",
 AND(K5683&gt;=28,K5683&lt;=32),"1개월",
 AND(K5683=0),"당월",
 TRUE,"그외"
)</f>
        <v>그외</v>
      </c>
    </row>
    <row r="5684" spans="1:12" x14ac:dyDescent="0.3">
      <c r="A5684" s="5">
        <v>45717</v>
      </c>
      <c r="B5684" s="6" t="s">
        <v>60</v>
      </c>
      <c r="C5684" s="6" t="s">
        <v>62</v>
      </c>
      <c r="D5684" s="5">
        <v>45597</v>
      </c>
      <c r="E5684" s="6" t="s">
        <v>15</v>
      </c>
      <c r="F5684" s="7">
        <v>1077</v>
      </c>
      <c r="G5684" s="7">
        <v>242931.43639740019</v>
      </c>
      <c r="H5684" s="7">
        <v>261637157</v>
      </c>
      <c r="I5684" s="7">
        <v>47650004</v>
      </c>
      <c r="J5684" s="7">
        <v>0</v>
      </c>
      <c r="K5684">
        <f t="shared" si="88"/>
        <v>120</v>
      </c>
      <c r="L5684" s="8" t="str" cm="1">
        <f t="array" ref="L5684">_xlfn.IFS(
 AND(K5684&gt;=89,K5684&lt;=92),"3개월",
 AND(K5684&gt;=58,K5684&lt;=62),"2개월",
 AND(K5684&gt;=28,K5684&lt;=32),"1개월",
 AND(K5684=0),"당월",
 TRUE,"그외"
)</f>
        <v>그외</v>
      </c>
    </row>
    <row r="5685" spans="1:12" x14ac:dyDescent="0.3">
      <c r="A5685" s="5">
        <v>45717</v>
      </c>
      <c r="B5685" s="6" t="s">
        <v>60</v>
      </c>
      <c r="C5685" s="6" t="s">
        <v>62</v>
      </c>
      <c r="D5685" s="5">
        <v>45627</v>
      </c>
      <c r="E5685" s="6" t="s">
        <v>14</v>
      </c>
      <c r="F5685" s="7">
        <v>50</v>
      </c>
      <c r="G5685" s="7">
        <v>150140</v>
      </c>
      <c r="H5685" s="7">
        <v>7507000</v>
      </c>
      <c r="I5685" s="7">
        <v>1660000</v>
      </c>
      <c r="J5685" s="7">
        <v>0</v>
      </c>
      <c r="K5685">
        <f t="shared" si="88"/>
        <v>90</v>
      </c>
      <c r="L5685" s="8" t="str" cm="1">
        <f t="array" ref="L5685">_xlfn.IFS(
 AND(K5685&gt;=89,K5685&lt;=92),"3개월",
 AND(K5685&gt;=58,K5685&lt;=62),"2개월",
 AND(K5685&gt;=28,K5685&lt;=32),"1개월",
 AND(K5685=0),"당월",
 TRUE,"그외"
)</f>
        <v>3개월</v>
      </c>
    </row>
    <row r="5686" spans="1:12" x14ac:dyDescent="0.3">
      <c r="A5686" s="5">
        <v>45717</v>
      </c>
      <c r="B5686" s="6" t="s">
        <v>60</v>
      </c>
      <c r="C5686" s="6" t="s">
        <v>62</v>
      </c>
      <c r="D5686" s="5">
        <v>45627</v>
      </c>
      <c r="E5686" s="6" t="s">
        <v>15</v>
      </c>
      <c r="F5686" s="7">
        <v>1098</v>
      </c>
      <c r="G5686" s="7">
        <v>250416.98360655739</v>
      </c>
      <c r="H5686" s="7">
        <v>274957848</v>
      </c>
      <c r="I5686" s="7">
        <v>49800409</v>
      </c>
      <c r="J5686" s="7">
        <v>0</v>
      </c>
      <c r="K5686">
        <f t="shared" si="88"/>
        <v>90</v>
      </c>
      <c r="L5686" s="8" t="str" cm="1">
        <f t="array" ref="L5686">_xlfn.IFS(
 AND(K5686&gt;=89,K5686&lt;=92),"3개월",
 AND(K5686&gt;=58,K5686&lt;=62),"2개월",
 AND(K5686&gt;=28,K5686&lt;=32),"1개월",
 AND(K5686=0),"당월",
 TRUE,"그외"
)</f>
        <v>3개월</v>
      </c>
    </row>
    <row r="5687" spans="1:12" x14ac:dyDescent="0.3">
      <c r="A5687" s="5">
        <v>45717</v>
      </c>
      <c r="B5687" s="6" t="s">
        <v>60</v>
      </c>
      <c r="C5687" s="6" t="s">
        <v>62</v>
      </c>
      <c r="D5687" s="5">
        <v>45658</v>
      </c>
      <c r="E5687" s="6" t="s">
        <v>14</v>
      </c>
      <c r="F5687" s="7">
        <v>51</v>
      </c>
      <c r="G5687" s="7">
        <v>154711.60784313729</v>
      </c>
      <c r="H5687" s="7">
        <v>7890292</v>
      </c>
      <c r="I5687" s="7">
        <v>2307092</v>
      </c>
      <c r="J5687" s="7">
        <v>0</v>
      </c>
      <c r="K5687">
        <f t="shared" si="88"/>
        <v>59</v>
      </c>
      <c r="L5687" s="8" t="str" cm="1">
        <f t="array" ref="L5687">_xlfn.IFS(
 AND(K5687&gt;=89,K5687&lt;=92),"3개월",
 AND(K5687&gt;=58,K5687&lt;=62),"2개월",
 AND(K5687&gt;=28,K5687&lt;=32),"1개월",
 AND(K5687=0),"당월",
 TRUE,"그외"
)</f>
        <v>2개월</v>
      </c>
    </row>
    <row r="5688" spans="1:12" x14ac:dyDescent="0.3">
      <c r="A5688" s="5">
        <v>45717</v>
      </c>
      <c r="B5688" s="6" t="s">
        <v>60</v>
      </c>
      <c r="C5688" s="6" t="s">
        <v>62</v>
      </c>
      <c r="D5688" s="5">
        <v>45658</v>
      </c>
      <c r="E5688" s="6" t="s">
        <v>15</v>
      </c>
      <c r="F5688" s="7">
        <v>4263</v>
      </c>
      <c r="G5688" s="7">
        <v>192183.29204785361</v>
      </c>
      <c r="H5688" s="7">
        <v>819277374</v>
      </c>
      <c r="I5688" s="7">
        <v>184528858</v>
      </c>
      <c r="J5688" s="7">
        <v>0</v>
      </c>
      <c r="K5688">
        <f t="shared" si="88"/>
        <v>59</v>
      </c>
      <c r="L5688" s="8" t="str" cm="1">
        <f t="array" ref="L5688">_xlfn.IFS(
 AND(K5688&gt;=89,K5688&lt;=92),"3개월",
 AND(K5688&gt;=58,K5688&lt;=62),"2개월",
 AND(K5688&gt;=28,K5688&lt;=32),"1개월",
 AND(K5688=0),"당월",
 TRUE,"그외"
)</f>
        <v>2개월</v>
      </c>
    </row>
    <row r="5689" spans="1:12" x14ac:dyDescent="0.3">
      <c r="A5689" s="5">
        <v>45717</v>
      </c>
      <c r="B5689" s="6" t="s">
        <v>60</v>
      </c>
      <c r="C5689" s="6" t="s">
        <v>62</v>
      </c>
      <c r="D5689" s="5">
        <v>45689</v>
      </c>
      <c r="E5689" s="6" t="s">
        <v>14</v>
      </c>
      <c r="F5689" s="7">
        <v>2822</v>
      </c>
      <c r="G5689" s="7">
        <v>361923.76399716508</v>
      </c>
      <c r="H5689" s="7">
        <v>1021348862</v>
      </c>
      <c r="I5689" s="7">
        <v>96123384</v>
      </c>
      <c r="J5689" s="7">
        <v>0</v>
      </c>
      <c r="K5689">
        <f t="shared" si="88"/>
        <v>28</v>
      </c>
      <c r="L5689" s="8" t="str" cm="1">
        <f t="array" ref="L5689">_xlfn.IFS(
 AND(K5689&gt;=89,K5689&lt;=92),"3개월",
 AND(K5689&gt;=58,K5689&lt;=62),"2개월",
 AND(K5689&gt;=28,K5689&lt;=32),"1개월",
 AND(K5689=0),"당월",
 TRUE,"그외"
)</f>
        <v>1개월</v>
      </c>
    </row>
    <row r="5690" spans="1:12" x14ac:dyDescent="0.3">
      <c r="A5690" s="5">
        <v>45717</v>
      </c>
      <c r="B5690" s="6" t="s">
        <v>60</v>
      </c>
      <c r="C5690" s="6" t="s">
        <v>62</v>
      </c>
      <c r="D5690" s="5">
        <v>45689</v>
      </c>
      <c r="E5690" s="6" t="s">
        <v>15</v>
      </c>
      <c r="F5690" s="7">
        <v>9597</v>
      </c>
      <c r="G5690" s="7">
        <v>175273.4884859852</v>
      </c>
      <c r="H5690" s="7">
        <v>1682099669</v>
      </c>
      <c r="I5690" s="7">
        <v>419451199</v>
      </c>
      <c r="J5690" s="7">
        <v>0</v>
      </c>
      <c r="K5690">
        <f t="shared" si="88"/>
        <v>28</v>
      </c>
      <c r="L5690" s="8" t="str" cm="1">
        <f t="array" ref="L5690">_xlfn.IFS(
 AND(K5690&gt;=89,K5690&lt;=92),"3개월",
 AND(K5690&gt;=58,K5690&lt;=62),"2개월",
 AND(K5690&gt;=28,K5690&lt;=32),"1개월",
 AND(K5690=0),"당월",
 TRUE,"그외"
)</f>
        <v>1개월</v>
      </c>
    </row>
    <row r="5691" spans="1:12" x14ac:dyDescent="0.3">
      <c r="A5691" s="5">
        <v>45717</v>
      </c>
      <c r="B5691" s="6" t="s">
        <v>60</v>
      </c>
      <c r="C5691" s="6" t="s">
        <v>62</v>
      </c>
      <c r="D5691" s="5">
        <v>45717</v>
      </c>
      <c r="E5691" s="6" t="s">
        <v>14</v>
      </c>
      <c r="F5691" s="7">
        <v>2981</v>
      </c>
      <c r="G5691" s="7">
        <v>69364.109694733314</v>
      </c>
      <c r="H5691" s="7">
        <v>206774411</v>
      </c>
      <c r="I5691" s="7">
        <v>122168712</v>
      </c>
      <c r="J5691" s="7">
        <v>0</v>
      </c>
      <c r="K5691">
        <f t="shared" si="88"/>
        <v>0</v>
      </c>
      <c r="L5691" s="8" t="str" cm="1">
        <f t="array" ref="L5691">_xlfn.IFS(
 AND(K5691&gt;=89,K5691&lt;=92),"3개월",
 AND(K5691&gt;=58,K5691&lt;=62),"2개월",
 AND(K5691&gt;=28,K5691&lt;=32),"1개월",
 AND(K5691=0),"당월",
 TRUE,"그외"
)</f>
        <v>당월</v>
      </c>
    </row>
    <row r="5692" spans="1:12" x14ac:dyDescent="0.3">
      <c r="A5692" s="5">
        <v>45717</v>
      </c>
      <c r="B5692" s="6" t="s">
        <v>60</v>
      </c>
      <c r="C5692" s="6" t="s">
        <v>62</v>
      </c>
      <c r="D5692" s="5">
        <v>45717</v>
      </c>
      <c r="E5692" s="6" t="s">
        <v>15</v>
      </c>
      <c r="F5692" s="7">
        <v>7313</v>
      </c>
      <c r="G5692" s="7">
        <v>210952.09968549159</v>
      </c>
      <c r="H5692" s="7">
        <v>1542692705</v>
      </c>
      <c r="I5692" s="7">
        <v>349679231</v>
      </c>
      <c r="J5692" s="7">
        <v>0</v>
      </c>
      <c r="K5692">
        <f t="shared" si="88"/>
        <v>0</v>
      </c>
      <c r="L5692" s="8" t="str" cm="1">
        <f t="array" ref="L5692">_xlfn.IFS(
 AND(K5692&gt;=89,K5692&lt;=92),"3개월",
 AND(K5692&gt;=58,K5692&lt;=62),"2개월",
 AND(K5692&gt;=28,K5692&lt;=32),"1개월",
 AND(K5692=0),"당월",
 TRUE,"그외"
)</f>
        <v>당월</v>
      </c>
    </row>
    <row r="5693" spans="1:12" x14ac:dyDescent="0.3">
      <c r="A5693" s="5">
        <v>45717</v>
      </c>
      <c r="B5693" s="6" t="s">
        <v>60</v>
      </c>
      <c r="C5693" s="6" t="s">
        <v>62</v>
      </c>
      <c r="D5693" s="5">
        <v>45748</v>
      </c>
      <c r="E5693" s="6" t="s">
        <v>15</v>
      </c>
      <c r="F5693" s="7">
        <v>2</v>
      </c>
      <c r="G5693" s="7">
        <v>284727</v>
      </c>
      <c r="H5693" s="7">
        <v>569454</v>
      </c>
      <c r="I5693" s="7">
        <v>109232</v>
      </c>
      <c r="J5693" s="7">
        <v>0</v>
      </c>
      <c r="K5693">
        <f t="shared" si="88"/>
        <v>-31</v>
      </c>
      <c r="L5693" s="8" t="str" cm="1">
        <f t="array" ref="L5693">_xlfn.IFS(
 AND(K5693&gt;=89,K5693&lt;=92),"3개월",
 AND(K5693&gt;=58,K5693&lt;=62),"2개월",
 AND(K5693&gt;=28,K5693&lt;=32),"1개월",
 AND(K5693=0),"당월",
 TRUE,"그외"
)</f>
        <v>그외</v>
      </c>
    </row>
    <row r="5694" spans="1:12" x14ac:dyDescent="0.3">
      <c r="A5694" s="5">
        <v>45717</v>
      </c>
      <c r="B5694" s="6" t="s">
        <v>60</v>
      </c>
      <c r="C5694" s="6" t="s">
        <v>123</v>
      </c>
      <c r="D5694" s="5">
        <v>45505</v>
      </c>
      <c r="E5694" s="6" t="s">
        <v>15</v>
      </c>
      <c r="F5694" s="7">
        <v>26</v>
      </c>
      <c r="G5694" s="7">
        <v>116824.6153846154</v>
      </c>
      <c r="H5694" s="7">
        <v>3037440</v>
      </c>
      <c r="I5694" s="7">
        <v>1048135</v>
      </c>
      <c r="J5694" s="7">
        <v>0</v>
      </c>
      <c r="K5694">
        <f t="shared" si="88"/>
        <v>212</v>
      </c>
      <c r="L5694" s="8" t="str" cm="1">
        <f t="array" ref="L5694">_xlfn.IFS(
 AND(K5694&gt;=89,K5694&lt;=92),"3개월",
 AND(K5694&gt;=58,K5694&lt;=62),"2개월",
 AND(K5694&gt;=28,K5694&lt;=32),"1개월",
 AND(K5694=0),"당월",
 TRUE,"그외"
)</f>
        <v>그외</v>
      </c>
    </row>
    <row r="5695" spans="1:12" x14ac:dyDescent="0.3">
      <c r="A5695" s="5">
        <v>45717</v>
      </c>
      <c r="B5695" s="6" t="s">
        <v>60</v>
      </c>
      <c r="C5695" s="6" t="s">
        <v>123</v>
      </c>
      <c r="D5695" s="5">
        <v>45536</v>
      </c>
      <c r="E5695" s="6" t="s">
        <v>15</v>
      </c>
      <c r="F5695" s="7">
        <v>14</v>
      </c>
      <c r="G5695" s="7">
        <v>107370.2857142857</v>
      </c>
      <c r="H5695" s="7">
        <v>1503184</v>
      </c>
      <c r="I5695" s="7">
        <v>487385</v>
      </c>
      <c r="J5695" s="7">
        <v>0</v>
      </c>
      <c r="K5695">
        <f t="shared" si="88"/>
        <v>181</v>
      </c>
      <c r="L5695" s="8" t="str" cm="1">
        <f t="array" ref="L5695">_xlfn.IFS(
 AND(K5695&gt;=89,K5695&lt;=92),"3개월",
 AND(K5695&gt;=58,K5695&lt;=62),"2개월",
 AND(K5695&gt;=28,K5695&lt;=32),"1개월",
 AND(K5695=0),"당월",
 TRUE,"그외"
)</f>
        <v>그외</v>
      </c>
    </row>
    <row r="5696" spans="1:12" x14ac:dyDescent="0.3">
      <c r="A5696" s="5">
        <v>45717</v>
      </c>
      <c r="B5696" s="6" t="s">
        <v>60</v>
      </c>
      <c r="C5696" s="6" t="s">
        <v>123</v>
      </c>
      <c r="D5696" s="5">
        <v>45566</v>
      </c>
      <c r="E5696" s="6" t="s">
        <v>15</v>
      </c>
      <c r="F5696" s="7">
        <v>37</v>
      </c>
      <c r="G5696" s="7">
        <v>139627.8108108108</v>
      </c>
      <c r="H5696" s="7">
        <v>5166229</v>
      </c>
      <c r="I5696" s="7">
        <v>1298495</v>
      </c>
      <c r="J5696" s="7">
        <v>0</v>
      </c>
      <c r="K5696">
        <f t="shared" si="88"/>
        <v>151</v>
      </c>
      <c r="L5696" s="8" t="str" cm="1">
        <f t="array" ref="L5696">_xlfn.IFS(
 AND(K5696&gt;=89,K5696&lt;=92),"3개월",
 AND(K5696&gt;=58,K5696&lt;=62),"2개월",
 AND(K5696&gt;=28,K5696&lt;=32),"1개월",
 AND(K5696=0),"당월",
 TRUE,"그외"
)</f>
        <v>그외</v>
      </c>
    </row>
    <row r="5697" spans="1:12" x14ac:dyDescent="0.3">
      <c r="A5697" s="5">
        <v>45717</v>
      </c>
      <c r="B5697" s="6" t="s">
        <v>60</v>
      </c>
      <c r="C5697" s="6" t="s">
        <v>123</v>
      </c>
      <c r="D5697" s="5">
        <v>45597</v>
      </c>
      <c r="E5697" s="6" t="s">
        <v>14</v>
      </c>
      <c r="F5697" s="7">
        <v>96</v>
      </c>
      <c r="G5697" s="7">
        <v>86275</v>
      </c>
      <c r="H5697" s="7">
        <v>8282400</v>
      </c>
      <c r="I5697" s="7">
        <v>2438400</v>
      </c>
      <c r="J5697" s="7">
        <v>0</v>
      </c>
      <c r="K5697">
        <f t="shared" si="88"/>
        <v>120</v>
      </c>
      <c r="L5697" s="8" t="str" cm="1">
        <f t="array" ref="L5697">_xlfn.IFS(
 AND(K5697&gt;=89,K5697&lt;=92),"3개월",
 AND(K5697&gt;=58,K5697&lt;=62),"2개월",
 AND(K5697&gt;=28,K5697&lt;=32),"1개월",
 AND(K5697=0),"당월",
 TRUE,"그외"
)</f>
        <v>그외</v>
      </c>
    </row>
    <row r="5698" spans="1:12" x14ac:dyDescent="0.3">
      <c r="A5698" s="5">
        <v>45717</v>
      </c>
      <c r="B5698" s="6" t="s">
        <v>60</v>
      </c>
      <c r="C5698" s="6" t="s">
        <v>123</v>
      </c>
      <c r="D5698" s="5">
        <v>45597</v>
      </c>
      <c r="E5698" s="6" t="s">
        <v>15</v>
      </c>
      <c r="F5698" s="7">
        <v>149</v>
      </c>
      <c r="G5698" s="7">
        <v>131166.82550335571</v>
      </c>
      <c r="H5698" s="7">
        <v>19543857</v>
      </c>
      <c r="I5698" s="7">
        <v>4834333</v>
      </c>
      <c r="J5698" s="7">
        <v>0</v>
      </c>
      <c r="K5698">
        <f t="shared" si="88"/>
        <v>120</v>
      </c>
      <c r="L5698" s="8" t="str" cm="1">
        <f t="array" ref="L5698">_xlfn.IFS(
 AND(K5698&gt;=89,K5698&lt;=92),"3개월",
 AND(K5698&gt;=58,K5698&lt;=62),"2개월",
 AND(K5698&gt;=28,K5698&lt;=32),"1개월",
 AND(K5698=0),"당월",
 TRUE,"그외"
)</f>
        <v>그외</v>
      </c>
    </row>
    <row r="5699" spans="1:12" x14ac:dyDescent="0.3">
      <c r="A5699" s="5">
        <v>45717</v>
      </c>
      <c r="B5699" s="6" t="s">
        <v>60</v>
      </c>
      <c r="C5699" s="6" t="s">
        <v>123</v>
      </c>
      <c r="D5699" s="5">
        <v>45627</v>
      </c>
      <c r="E5699" s="6" t="s">
        <v>14</v>
      </c>
      <c r="F5699" s="7">
        <v>144</v>
      </c>
      <c r="G5699" s="7">
        <v>103708.3333333333</v>
      </c>
      <c r="H5699" s="7">
        <v>14934000</v>
      </c>
      <c r="I5699" s="7">
        <v>4392000</v>
      </c>
      <c r="J5699" s="7">
        <v>0</v>
      </c>
      <c r="K5699">
        <f t="shared" si="88"/>
        <v>90</v>
      </c>
      <c r="L5699" s="8" t="str" cm="1">
        <f t="array" ref="L5699">_xlfn.IFS(
 AND(K5699&gt;=89,K5699&lt;=92),"3개월",
 AND(K5699&gt;=58,K5699&lt;=62),"2개월",
 AND(K5699&gt;=28,K5699&lt;=32),"1개월",
 AND(K5699=0),"당월",
 TRUE,"그외"
)</f>
        <v>3개월</v>
      </c>
    </row>
    <row r="5700" spans="1:12" x14ac:dyDescent="0.3">
      <c r="A5700" s="5">
        <v>45717</v>
      </c>
      <c r="B5700" s="6" t="s">
        <v>60</v>
      </c>
      <c r="C5700" s="6" t="s">
        <v>123</v>
      </c>
      <c r="D5700" s="5">
        <v>45627</v>
      </c>
      <c r="E5700" s="6" t="s">
        <v>15</v>
      </c>
      <c r="F5700" s="7">
        <v>688</v>
      </c>
      <c r="G5700" s="7">
        <v>166729.27325581401</v>
      </c>
      <c r="H5700" s="7">
        <v>114709740</v>
      </c>
      <c r="I5700" s="7">
        <v>25067566</v>
      </c>
      <c r="J5700" s="7">
        <v>0</v>
      </c>
      <c r="K5700">
        <f t="shared" si="88"/>
        <v>90</v>
      </c>
      <c r="L5700" s="8" t="str" cm="1">
        <f t="array" ref="L5700">_xlfn.IFS(
 AND(K5700&gt;=89,K5700&lt;=92),"3개월",
 AND(K5700&gt;=58,K5700&lt;=62),"2개월",
 AND(K5700&gt;=28,K5700&lt;=32),"1개월",
 AND(K5700=0),"당월",
 TRUE,"그외"
)</f>
        <v>3개월</v>
      </c>
    </row>
    <row r="5701" spans="1:12" x14ac:dyDescent="0.3">
      <c r="A5701" s="5">
        <v>45717</v>
      </c>
      <c r="B5701" s="6" t="s">
        <v>60</v>
      </c>
      <c r="C5701" s="6" t="s">
        <v>123</v>
      </c>
      <c r="D5701" s="5">
        <v>45658</v>
      </c>
      <c r="E5701" s="6" t="s">
        <v>14</v>
      </c>
      <c r="F5701" s="7">
        <v>290</v>
      </c>
      <c r="G5701" s="7">
        <v>102694.4827586207</v>
      </c>
      <c r="H5701" s="7">
        <v>29781400</v>
      </c>
      <c r="I5701" s="7">
        <v>8543400</v>
      </c>
      <c r="J5701" s="7">
        <v>0</v>
      </c>
      <c r="K5701">
        <f t="shared" si="88"/>
        <v>59</v>
      </c>
      <c r="L5701" s="8" t="str" cm="1">
        <f t="array" ref="L5701">_xlfn.IFS(
 AND(K5701&gt;=89,K5701&lt;=92),"3개월",
 AND(K5701&gt;=58,K5701&lt;=62),"2개월",
 AND(K5701&gt;=28,K5701&lt;=32),"1개월",
 AND(K5701=0),"당월",
 TRUE,"그외"
)</f>
        <v>2개월</v>
      </c>
    </row>
    <row r="5702" spans="1:12" x14ac:dyDescent="0.3">
      <c r="A5702" s="5">
        <v>45717</v>
      </c>
      <c r="B5702" s="6" t="s">
        <v>60</v>
      </c>
      <c r="C5702" s="6" t="s">
        <v>123</v>
      </c>
      <c r="D5702" s="5">
        <v>45658</v>
      </c>
      <c r="E5702" s="6" t="s">
        <v>15</v>
      </c>
      <c r="F5702" s="7">
        <v>521</v>
      </c>
      <c r="G5702" s="7">
        <v>205901.85412667939</v>
      </c>
      <c r="H5702" s="7">
        <v>107274866</v>
      </c>
      <c r="I5702" s="7">
        <v>18810486</v>
      </c>
      <c r="J5702" s="7">
        <v>0</v>
      </c>
      <c r="K5702">
        <f t="shared" si="88"/>
        <v>59</v>
      </c>
      <c r="L5702" s="8" t="str" cm="1">
        <f t="array" ref="L5702">_xlfn.IFS(
 AND(K5702&gt;=89,K5702&lt;=92),"3개월",
 AND(K5702&gt;=58,K5702&lt;=62),"2개월",
 AND(K5702&gt;=28,K5702&lt;=32),"1개월",
 AND(K5702=0),"당월",
 TRUE,"그외"
)</f>
        <v>2개월</v>
      </c>
    </row>
    <row r="5703" spans="1:12" x14ac:dyDescent="0.3">
      <c r="A5703" s="5">
        <v>45717</v>
      </c>
      <c r="B5703" s="6" t="s">
        <v>60</v>
      </c>
      <c r="C5703" s="6" t="s">
        <v>123</v>
      </c>
      <c r="D5703" s="5">
        <v>45689</v>
      </c>
      <c r="E5703" s="6" t="s">
        <v>14</v>
      </c>
      <c r="F5703" s="7">
        <v>688</v>
      </c>
      <c r="G5703" s="7">
        <v>142038.6904069767</v>
      </c>
      <c r="H5703" s="7">
        <v>97722619</v>
      </c>
      <c r="I5703" s="7">
        <v>27851875</v>
      </c>
      <c r="J5703" s="7">
        <v>0</v>
      </c>
      <c r="K5703">
        <f t="shared" si="88"/>
        <v>28</v>
      </c>
      <c r="L5703" s="8" t="str" cm="1">
        <f t="array" ref="L5703">_xlfn.IFS(
 AND(K5703&gt;=89,K5703&lt;=92),"3개월",
 AND(K5703&gt;=58,K5703&lt;=62),"2개월",
 AND(K5703&gt;=28,K5703&lt;=32),"1개월",
 AND(K5703=0),"당월",
 TRUE,"그외"
)</f>
        <v>1개월</v>
      </c>
    </row>
    <row r="5704" spans="1:12" x14ac:dyDescent="0.3">
      <c r="A5704" s="5">
        <v>45717</v>
      </c>
      <c r="B5704" s="6" t="s">
        <v>60</v>
      </c>
      <c r="C5704" s="6" t="s">
        <v>123</v>
      </c>
      <c r="D5704" s="5">
        <v>45689</v>
      </c>
      <c r="E5704" s="6" t="s">
        <v>15</v>
      </c>
      <c r="F5704" s="7">
        <v>1690</v>
      </c>
      <c r="G5704" s="7">
        <v>207480.27337278111</v>
      </c>
      <c r="H5704" s="7">
        <v>350641662</v>
      </c>
      <c r="I5704" s="7">
        <v>58993533</v>
      </c>
      <c r="J5704" s="7">
        <v>0</v>
      </c>
      <c r="K5704">
        <f t="shared" si="88"/>
        <v>28</v>
      </c>
      <c r="L5704" s="8" t="str" cm="1">
        <f t="array" ref="L5704">_xlfn.IFS(
 AND(K5704&gt;=89,K5704&lt;=92),"3개월",
 AND(K5704&gt;=58,K5704&lt;=62),"2개월",
 AND(K5704&gt;=28,K5704&lt;=32),"1개월",
 AND(K5704=0),"당월",
 TRUE,"그외"
)</f>
        <v>1개월</v>
      </c>
    </row>
    <row r="5705" spans="1:12" x14ac:dyDescent="0.3">
      <c r="A5705" s="5">
        <v>45717</v>
      </c>
      <c r="B5705" s="6" t="s">
        <v>60</v>
      </c>
      <c r="C5705" s="6" t="s">
        <v>123</v>
      </c>
      <c r="D5705" s="5">
        <v>45717</v>
      </c>
      <c r="E5705" s="6" t="s">
        <v>14</v>
      </c>
      <c r="F5705" s="7">
        <v>583</v>
      </c>
      <c r="G5705" s="7">
        <v>143176.33962264151</v>
      </c>
      <c r="H5705" s="7">
        <v>83471806</v>
      </c>
      <c r="I5705" s="7">
        <v>25118338</v>
      </c>
      <c r="J5705" s="7">
        <v>0</v>
      </c>
      <c r="K5705">
        <f t="shared" si="88"/>
        <v>0</v>
      </c>
      <c r="L5705" s="8" t="str" cm="1">
        <f t="array" ref="L5705">_xlfn.IFS(
 AND(K5705&gt;=89,K5705&lt;=92),"3개월",
 AND(K5705&gt;=58,K5705&lt;=62),"2개월",
 AND(K5705&gt;=28,K5705&lt;=32),"1개월",
 AND(K5705=0),"당월",
 TRUE,"그외"
)</f>
        <v>당월</v>
      </c>
    </row>
    <row r="5706" spans="1:12" x14ac:dyDescent="0.3">
      <c r="A5706" s="5">
        <v>45717</v>
      </c>
      <c r="B5706" s="6" t="s">
        <v>60</v>
      </c>
      <c r="C5706" s="6" t="s">
        <v>123</v>
      </c>
      <c r="D5706" s="5">
        <v>45717</v>
      </c>
      <c r="E5706" s="6" t="s">
        <v>15</v>
      </c>
      <c r="F5706" s="7">
        <v>1306</v>
      </c>
      <c r="G5706" s="7">
        <v>218568.11715160799</v>
      </c>
      <c r="H5706" s="7">
        <v>285449961</v>
      </c>
      <c r="I5706" s="7">
        <v>50836691</v>
      </c>
      <c r="J5706" s="7">
        <v>0</v>
      </c>
      <c r="K5706">
        <f t="shared" ref="K5706:K5769" si="89">A5706-D5706</f>
        <v>0</v>
      </c>
      <c r="L5706" s="8" t="str" cm="1">
        <f t="array" ref="L5706">_xlfn.IFS(
 AND(K5706&gt;=89,K5706&lt;=92),"3개월",
 AND(K5706&gt;=58,K5706&lt;=62),"2개월",
 AND(K5706&gt;=28,K5706&lt;=32),"1개월",
 AND(K5706=0),"당월",
 TRUE,"그외"
)</f>
        <v>당월</v>
      </c>
    </row>
    <row r="5707" spans="1:12" x14ac:dyDescent="0.3">
      <c r="A5707" s="5">
        <v>45717</v>
      </c>
      <c r="B5707" s="6" t="s">
        <v>60</v>
      </c>
      <c r="C5707" s="6" t="s">
        <v>64</v>
      </c>
      <c r="D5707" s="5">
        <v>45505</v>
      </c>
      <c r="E5707" s="6" t="s">
        <v>15</v>
      </c>
      <c r="F5707" s="7">
        <v>557</v>
      </c>
      <c r="G5707" s="7">
        <v>163838.58348294429</v>
      </c>
      <c r="H5707" s="7">
        <v>91258091</v>
      </c>
      <c r="I5707" s="7">
        <v>22365688</v>
      </c>
      <c r="J5707" s="7">
        <v>0</v>
      </c>
      <c r="K5707">
        <f t="shared" si="89"/>
        <v>212</v>
      </c>
      <c r="L5707" s="8" t="str" cm="1">
        <f t="array" ref="L5707">_xlfn.IFS(
 AND(K5707&gt;=89,K5707&lt;=92),"3개월",
 AND(K5707&gt;=58,K5707&lt;=62),"2개월",
 AND(K5707&gt;=28,K5707&lt;=32),"1개월",
 AND(K5707=0),"당월",
 TRUE,"그외"
)</f>
        <v>그외</v>
      </c>
    </row>
    <row r="5708" spans="1:12" x14ac:dyDescent="0.3">
      <c r="A5708" s="5">
        <v>45717</v>
      </c>
      <c r="B5708" s="6" t="s">
        <v>60</v>
      </c>
      <c r="C5708" s="6" t="s">
        <v>64</v>
      </c>
      <c r="D5708" s="5">
        <v>45536</v>
      </c>
      <c r="E5708" s="6" t="s">
        <v>15</v>
      </c>
      <c r="F5708" s="7">
        <v>408</v>
      </c>
      <c r="G5708" s="7">
        <v>190211.73284313729</v>
      </c>
      <c r="H5708" s="7">
        <v>77606387</v>
      </c>
      <c r="I5708" s="7">
        <v>14714134</v>
      </c>
      <c r="J5708" s="7">
        <v>0</v>
      </c>
      <c r="K5708">
        <f t="shared" si="89"/>
        <v>181</v>
      </c>
      <c r="L5708" s="8" t="str" cm="1">
        <f t="array" ref="L5708">_xlfn.IFS(
 AND(K5708&gt;=89,K5708&lt;=92),"3개월",
 AND(K5708&gt;=58,K5708&lt;=62),"2개월",
 AND(K5708&gt;=28,K5708&lt;=32),"1개월",
 AND(K5708=0),"당월",
 TRUE,"그외"
)</f>
        <v>그외</v>
      </c>
    </row>
    <row r="5709" spans="1:12" x14ac:dyDescent="0.3">
      <c r="A5709" s="5">
        <v>45717</v>
      </c>
      <c r="B5709" s="6" t="s">
        <v>60</v>
      </c>
      <c r="C5709" s="6" t="s">
        <v>64</v>
      </c>
      <c r="D5709" s="5">
        <v>45566</v>
      </c>
      <c r="E5709" s="6" t="s">
        <v>15</v>
      </c>
      <c r="F5709" s="7">
        <v>1461</v>
      </c>
      <c r="G5709" s="7">
        <v>158177.7289527721</v>
      </c>
      <c r="H5709" s="7">
        <v>231097662</v>
      </c>
      <c r="I5709" s="7">
        <v>38679631</v>
      </c>
      <c r="J5709" s="7">
        <v>0</v>
      </c>
      <c r="K5709">
        <f t="shared" si="89"/>
        <v>151</v>
      </c>
      <c r="L5709" s="8" t="str" cm="1">
        <f t="array" ref="L5709">_xlfn.IFS(
 AND(K5709&gt;=89,K5709&lt;=92),"3개월",
 AND(K5709&gt;=58,K5709&lt;=62),"2개월",
 AND(K5709&gt;=28,K5709&lt;=32),"1개월",
 AND(K5709=0),"당월",
 TRUE,"그외"
)</f>
        <v>그외</v>
      </c>
    </row>
    <row r="5710" spans="1:12" x14ac:dyDescent="0.3">
      <c r="A5710" s="5">
        <v>45717</v>
      </c>
      <c r="B5710" s="6" t="s">
        <v>60</v>
      </c>
      <c r="C5710" s="6" t="s">
        <v>64</v>
      </c>
      <c r="D5710" s="5">
        <v>45597</v>
      </c>
      <c r="E5710" s="6" t="s">
        <v>14</v>
      </c>
      <c r="F5710" s="7">
        <v>731</v>
      </c>
      <c r="G5710" s="7">
        <v>145317.92065663479</v>
      </c>
      <c r="H5710" s="7">
        <v>106227400</v>
      </c>
      <c r="I5710" s="7">
        <v>18567400</v>
      </c>
      <c r="J5710" s="7">
        <v>0</v>
      </c>
      <c r="K5710">
        <f t="shared" si="89"/>
        <v>120</v>
      </c>
      <c r="L5710" s="8" t="str" cm="1">
        <f t="array" ref="L5710">_xlfn.IFS(
 AND(K5710&gt;=89,K5710&lt;=92),"3개월",
 AND(K5710&gt;=58,K5710&lt;=62),"2개월",
 AND(K5710&gt;=28,K5710&lt;=32),"1개월",
 AND(K5710=0),"당월",
 TRUE,"그외"
)</f>
        <v>그외</v>
      </c>
    </row>
    <row r="5711" spans="1:12" x14ac:dyDescent="0.3">
      <c r="A5711" s="5">
        <v>45717</v>
      </c>
      <c r="B5711" s="6" t="s">
        <v>60</v>
      </c>
      <c r="C5711" s="6" t="s">
        <v>64</v>
      </c>
      <c r="D5711" s="5">
        <v>45597</v>
      </c>
      <c r="E5711" s="6" t="s">
        <v>15</v>
      </c>
      <c r="F5711" s="7">
        <v>2482</v>
      </c>
      <c r="G5711" s="7">
        <v>148811.41740531829</v>
      </c>
      <c r="H5711" s="7">
        <v>369349938</v>
      </c>
      <c r="I5711" s="7">
        <v>65715625</v>
      </c>
      <c r="J5711" s="7">
        <v>0</v>
      </c>
      <c r="K5711">
        <f t="shared" si="89"/>
        <v>120</v>
      </c>
      <c r="L5711" s="8" t="str" cm="1">
        <f t="array" ref="L5711">_xlfn.IFS(
 AND(K5711&gt;=89,K5711&lt;=92),"3개월",
 AND(K5711&gt;=58,K5711&lt;=62),"2개월",
 AND(K5711&gt;=28,K5711&lt;=32),"1개월",
 AND(K5711=0),"당월",
 TRUE,"그외"
)</f>
        <v>그외</v>
      </c>
    </row>
    <row r="5712" spans="1:12" x14ac:dyDescent="0.3">
      <c r="A5712" s="5">
        <v>45717</v>
      </c>
      <c r="B5712" s="6" t="s">
        <v>60</v>
      </c>
      <c r="C5712" s="6" t="s">
        <v>64</v>
      </c>
      <c r="D5712" s="5">
        <v>45627</v>
      </c>
      <c r="E5712" s="6" t="s">
        <v>14</v>
      </c>
      <c r="F5712" s="7">
        <v>2864</v>
      </c>
      <c r="G5712" s="7">
        <v>146758.37988826819</v>
      </c>
      <c r="H5712" s="7">
        <v>420316000</v>
      </c>
      <c r="I5712" s="7">
        <v>87352000</v>
      </c>
      <c r="J5712" s="7">
        <v>0</v>
      </c>
      <c r="K5712">
        <f t="shared" si="89"/>
        <v>90</v>
      </c>
      <c r="L5712" s="8" t="str" cm="1">
        <f t="array" ref="L5712">_xlfn.IFS(
 AND(K5712&gt;=89,K5712&lt;=92),"3개월",
 AND(K5712&gt;=58,K5712&lt;=62),"2개월",
 AND(K5712&gt;=28,K5712&lt;=32),"1개월",
 AND(K5712=0),"당월",
 TRUE,"그외"
)</f>
        <v>3개월</v>
      </c>
    </row>
    <row r="5713" spans="1:12" x14ac:dyDescent="0.3">
      <c r="A5713" s="5">
        <v>45717</v>
      </c>
      <c r="B5713" s="6" t="s">
        <v>60</v>
      </c>
      <c r="C5713" s="6" t="s">
        <v>64</v>
      </c>
      <c r="D5713" s="5">
        <v>45627</v>
      </c>
      <c r="E5713" s="6" t="s">
        <v>15</v>
      </c>
      <c r="F5713" s="7">
        <v>2680</v>
      </c>
      <c r="G5713" s="7">
        <v>175818.51380597011</v>
      </c>
      <c r="H5713" s="7">
        <v>471193617</v>
      </c>
      <c r="I5713" s="7">
        <v>82525359</v>
      </c>
      <c r="J5713" s="7">
        <v>0</v>
      </c>
      <c r="K5713">
        <f t="shared" si="89"/>
        <v>90</v>
      </c>
      <c r="L5713" s="8" t="str" cm="1">
        <f t="array" ref="L5713">_xlfn.IFS(
 AND(K5713&gt;=89,K5713&lt;=92),"3개월",
 AND(K5713&gt;=58,K5713&lt;=62),"2개월",
 AND(K5713&gt;=28,K5713&lt;=32),"1개월",
 AND(K5713=0),"당월",
 TRUE,"그외"
)</f>
        <v>3개월</v>
      </c>
    </row>
    <row r="5714" spans="1:12" x14ac:dyDescent="0.3">
      <c r="A5714" s="5">
        <v>45717</v>
      </c>
      <c r="B5714" s="6" t="s">
        <v>60</v>
      </c>
      <c r="C5714" s="6" t="s">
        <v>64</v>
      </c>
      <c r="D5714" s="5">
        <v>45658</v>
      </c>
      <c r="E5714" s="6" t="s">
        <v>14</v>
      </c>
      <c r="F5714" s="7">
        <v>761</v>
      </c>
      <c r="G5714" s="7">
        <v>270060.44678055192</v>
      </c>
      <c r="H5714" s="7">
        <v>205516000</v>
      </c>
      <c r="I5714" s="7">
        <v>23463000</v>
      </c>
      <c r="J5714" s="7">
        <v>0</v>
      </c>
      <c r="K5714">
        <f t="shared" si="89"/>
        <v>59</v>
      </c>
      <c r="L5714" s="8" t="str" cm="1">
        <f t="array" ref="L5714">_xlfn.IFS(
 AND(K5714&gt;=89,K5714&lt;=92),"3개월",
 AND(K5714&gt;=58,K5714&lt;=62),"2개월",
 AND(K5714&gt;=28,K5714&lt;=32),"1개월",
 AND(K5714=0),"당월",
 TRUE,"그외"
)</f>
        <v>2개월</v>
      </c>
    </row>
    <row r="5715" spans="1:12" x14ac:dyDescent="0.3">
      <c r="A5715" s="5">
        <v>45717</v>
      </c>
      <c r="B5715" s="6" t="s">
        <v>60</v>
      </c>
      <c r="C5715" s="6" t="s">
        <v>64</v>
      </c>
      <c r="D5715" s="5">
        <v>45658</v>
      </c>
      <c r="E5715" s="6" t="s">
        <v>15</v>
      </c>
      <c r="F5715" s="7">
        <v>3413</v>
      </c>
      <c r="G5715" s="7">
        <v>195854.51391737469</v>
      </c>
      <c r="H5715" s="7">
        <v>668451456</v>
      </c>
      <c r="I5715" s="7">
        <v>109433039</v>
      </c>
      <c r="J5715" s="7">
        <v>0</v>
      </c>
      <c r="K5715">
        <f t="shared" si="89"/>
        <v>59</v>
      </c>
      <c r="L5715" s="8" t="str" cm="1">
        <f t="array" ref="L5715">_xlfn.IFS(
 AND(K5715&gt;=89,K5715&lt;=92),"3개월",
 AND(K5715&gt;=58,K5715&lt;=62),"2개월",
 AND(K5715&gt;=28,K5715&lt;=32),"1개월",
 AND(K5715=0),"당월",
 TRUE,"그외"
)</f>
        <v>2개월</v>
      </c>
    </row>
    <row r="5716" spans="1:12" x14ac:dyDescent="0.3">
      <c r="A5716" s="5">
        <v>45717</v>
      </c>
      <c r="B5716" s="6" t="s">
        <v>60</v>
      </c>
      <c r="C5716" s="6" t="s">
        <v>64</v>
      </c>
      <c r="D5716" s="5">
        <v>45689</v>
      </c>
      <c r="E5716" s="6" t="s">
        <v>14</v>
      </c>
      <c r="F5716" s="7">
        <v>3602</v>
      </c>
      <c r="G5716" s="7">
        <v>166868.9705719045</v>
      </c>
      <c r="H5716" s="7">
        <v>601062032</v>
      </c>
      <c r="I5716" s="7">
        <v>115724086</v>
      </c>
      <c r="J5716" s="7">
        <v>0</v>
      </c>
      <c r="K5716">
        <f t="shared" si="89"/>
        <v>28</v>
      </c>
      <c r="L5716" s="8" t="str" cm="1">
        <f t="array" ref="L5716">_xlfn.IFS(
 AND(K5716&gt;=89,K5716&lt;=92),"3개월",
 AND(K5716&gt;=58,K5716&lt;=62),"2개월",
 AND(K5716&gt;=28,K5716&lt;=32),"1개월",
 AND(K5716=0),"당월",
 TRUE,"그외"
)</f>
        <v>1개월</v>
      </c>
    </row>
    <row r="5717" spans="1:12" x14ac:dyDescent="0.3">
      <c r="A5717" s="5">
        <v>45717</v>
      </c>
      <c r="B5717" s="6" t="s">
        <v>60</v>
      </c>
      <c r="C5717" s="6" t="s">
        <v>64</v>
      </c>
      <c r="D5717" s="5">
        <v>45689</v>
      </c>
      <c r="E5717" s="6" t="s">
        <v>15</v>
      </c>
      <c r="F5717" s="7">
        <v>6224</v>
      </c>
      <c r="G5717" s="7">
        <v>180054.0597686375</v>
      </c>
      <c r="H5717" s="7">
        <v>1120656468</v>
      </c>
      <c r="I5717" s="7">
        <v>205628071</v>
      </c>
      <c r="J5717" s="7">
        <v>0</v>
      </c>
      <c r="K5717">
        <f t="shared" si="89"/>
        <v>28</v>
      </c>
      <c r="L5717" s="8" t="str" cm="1">
        <f t="array" ref="L5717">_xlfn.IFS(
 AND(K5717&gt;=89,K5717&lt;=92),"3개월",
 AND(K5717&gt;=58,K5717&lt;=62),"2개월",
 AND(K5717&gt;=28,K5717&lt;=32),"1개월",
 AND(K5717=0),"당월",
 TRUE,"그외"
)</f>
        <v>1개월</v>
      </c>
    </row>
    <row r="5718" spans="1:12" x14ac:dyDescent="0.3">
      <c r="A5718" s="5">
        <v>45717</v>
      </c>
      <c r="B5718" s="6" t="s">
        <v>60</v>
      </c>
      <c r="C5718" s="6" t="s">
        <v>64</v>
      </c>
      <c r="D5718" s="5">
        <v>45717</v>
      </c>
      <c r="E5718" s="6" t="s">
        <v>14</v>
      </c>
      <c r="F5718" s="7">
        <v>1157</v>
      </c>
      <c r="G5718" s="7">
        <v>154097.59636992219</v>
      </c>
      <c r="H5718" s="7">
        <v>178290919</v>
      </c>
      <c r="I5718" s="7">
        <v>43522728</v>
      </c>
      <c r="J5718" s="7">
        <v>0</v>
      </c>
      <c r="K5718">
        <f t="shared" si="89"/>
        <v>0</v>
      </c>
      <c r="L5718" s="8" t="str" cm="1">
        <f t="array" ref="L5718">_xlfn.IFS(
 AND(K5718&gt;=89,K5718&lt;=92),"3개월",
 AND(K5718&gt;=58,K5718&lt;=62),"2개월",
 AND(K5718&gt;=28,K5718&lt;=32),"1개월",
 AND(K5718=0),"당월",
 TRUE,"그외"
)</f>
        <v>당월</v>
      </c>
    </row>
    <row r="5719" spans="1:12" x14ac:dyDescent="0.3">
      <c r="A5719" s="5">
        <v>45717</v>
      </c>
      <c r="B5719" s="6" t="s">
        <v>60</v>
      </c>
      <c r="C5719" s="6" t="s">
        <v>64</v>
      </c>
      <c r="D5719" s="5">
        <v>45717</v>
      </c>
      <c r="E5719" s="6" t="s">
        <v>15</v>
      </c>
      <c r="F5719" s="7">
        <v>3527</v>
      </c>
      <c r="G5719" s="7">
        <v>162840.06010774031</v>
      </c>
      <c r="H5719" s="7">
        <v>574336892</v>
      </c>
      <c r="I5719" s="7">
        <v>131867971</v>
      </c>
      <c r="J5719" s="7">
        <v>0</v>
      </c>
      <c r="K5719">
        <f t="shared" si="89"/>
        <v>0</v>
      </c>
      <c r="L5719" s="8" t="str" cm="1">
        <f t="array" ref="L5719">_xlfn.IFS(
 AND(K5719&gt;=89,K5719&lt;=92),"3개월",
 AND(K5719&gt;=58,K5719&lt;=62),"2개월",
 AND(K5719&gt;=28,K5719&lt;=32),"1개월",
 AND(K5719=0),"당월",
 TRUE,"그외"
)</f>
        <v>당월</v>
      </c>
    </row>
    <row r="5720" spans="1:12" x14ac:dyDescent="0.3">
      <c r="A5720" s="5">
        <v>45717</v>
      </c>
      <c r="B5720" s="6" t="s">
        <v>60</v>
      </c>
      <c r="C5720" s="6" t="s">
        <v>65</v>
      </c>
      <c r="D5720" s="5">
        <v>45505</v>
      </c>
      <c r="E5720" s="6" t="s">
        <v>15</v>
      </c>
      <c r="F5720" s="7">
        <v>119</v>
      </c>
      <c r="G5720" s="7">
        <v>180683.2773109244</v>
      </c>
      <c r="H5720" s="7">
        <v>21501310</v>
      </c>
      <c r="I5720" s="7">
        <v>4777792</v>
      </c>
      <c r="J5720" s="7">
        <v>0</v>
      </c>
      <c r="K5720">
        <f t="shared" si="89"/>
        <v>212</v>
      </c>
      <c r="L5720" s="8" t="str" cm="1">
        <f t="array" ref="L5720">_xlfn.IFS(
 AND(K5720&gt;=89,K5720&lt;=92),"3개월",
 AND(K5720&gt;=58,K5720&lt;=62),"2개월",
 AND(K5720&gt;=28,K5720&lt;=32),"1개월",
 AND(K5720=0),"당월",
 TRUE,"그외"
)</f>
        <v>그외</v>
      </c>
    </row>
    <row r="5721" spans="1:12" x14ac:dyDescent="0.3">
      <c r="A5721" s="5">
        <v>45717</v>
      </c>
      <c r="B5721" s="6" t="s">
        <v>60</v>
      </c>
      <c r="C5721" s="6" t="s">
        <v>65</v>
      </c>
      <c r="D5721" s="5">
        <v>45536</v>
      </c>
      <c r="E5721" s="6" t="s">
        <v>15</v>
      </c>
      <c r="F5721" s="7">
        <v>59</v>
      </c>
      <c r="G5721" s="7">
        <v>196823.72881355931</v>
      </c>
      <c r="H5721" s="7">
        <v>11612600</v>
      </c>
      <c r="I5721" s="7">
        <v>2112200</v>
      </c>
      <c r="J5721" s="7">
        <v>0</v>
      </c>
      <c r="K5721">
        <f t="shared" si="89"/>
        <v>181</v>
      </c>
      <c r="L5721" s="8" t="str" cm="1">
        <f t="array" ref="L5721">_xlfn.IFS(
 AND(K5721&gt;=89,K5721&lt;=92),"3개월",
 AND(K5721&gt;=58,K5721&lt;=62),"2개월",
 AND(K5721&gt;=28,K5721&lt;=32),"1개월",
 AND(K5721=0),"당월",
 TRUE,"그외"
)</f>
        <v>그외</v>
      </c>
    </row>
    <row r="5722" spans="1:12" x14ac:dyDescent="0.3">
      <c r="A5722" s="5">
        <v>45717</v>
      </c>
      <c r="B5722" s="6" t="s">
        <v>60</v>
      </c>
      <c r="C5722" s="6" t="s">
        <v>65</v>
      </c>
      <c r="D5722" s="5">
        <v>45566</v>
      </c>
      <c r="E5722" s="6" t="s">
        <v>15</v>
      </c>
      <c r="F5722" s="7">
        <v>245</v>
      </c>
      <c r="G5722" s="7">
        <v>177370.31836734689</v>
      </c>
      <c r="H5722" s="7">
        <v>43455728</v>
      </c>
      <c r="I5722" s="7">
        <v>6432932</v>
      </c>
      <c r="J5722" s="7">
        <v>0</v>
      </c>
      <c r="K5722">
        <f t="shared" si="89"/>
        <v>151</v>
      </c>
      <c r="L5722" s="8" t="str" cm="1">
        <f t="array" ref="L5722">_xlfn.IFS(
 AND(K5722&gt;=89,K5722&lt;=92),"3개월",
 AND(K5722&gt;=58,K5722&lt;=62),"2개월",
 AND(K5722&gt;=28,K5722&lt;=32),"1개월",
 AND(K5722=0),"당월",
 TRUE,"그외"
)</f>
        <v>그외</v>
      </c>
    </row>
    <row r="5723" spans="1:12" x14ac:dyDescent="0.3">
      <c r="A5723" s="5">
        <v>45717</v>
      </c>
      <c r="B5723" s="6" t="s">
        <v>60</v>
      </c>
      <c r="C5723" s="6" t="s">
        <v>65</v>
      </c>
      <c r="D5723" s="5">
        <v>45597</v>
      </c>
      <c r="E5723" s="6" t="s">
        <v>14</v>
      </c>
      <c r="F5723" s="7">
        <v>156</v>
      </c>
      <c r="G5723" s="7">
        <v>174130.76923076919</v>
      </c>
      <c r="H5723" s="7">
        <v>27164400</v>
      </c>
      <c r="I5723" s="7">
        <v>3962400</v>
      </c>
      <c r="J5723" s="7">
        <v>0</v>
      </c>
      <c r="K5723">
        <f t="shared" si="89"/>
        <v>120</v>
      </c>
      <c r="L5723" s="8" t="str" cm="1">
        <f t="array" ref="L5723">_xlfn.IFS(
 AND(K5723&gt;=89,K5723&lt;=92),"3개월",
 AND(K5723&gt;=58,K5723&lt;=62),"2개월",
 AND(K5723&gt;=28,K5723&lt;=32),"1개월",
 AND(K5723=0),"당월",
 TRUE,"그외"
)</f>
        <v>그외</v>
      </c>
    </row>
    <row r="5724" spans="1:12" x14ac:dyDescent="0.3">
      <c r="A5724" s="5">
        <v>45717</v>
      </c>
      <c r="B5724" s="6" t="s">
        <v>60</v>
      </c>
      <c r="C5724" s="6" t="s">
        <v>65</v>
      </c>
      <c r="D5724" s="5">
        <v>45597</v>
      </c>
      <c r="E5724" s="6" t="s">
        <v>15</v>
      </c>
      <c r="F5724" s="7">
        <v>314</v>
      </c>
      <c r="G5724" s="7">
        <v>190407.64331210189</v>
      </c>
      <c r="H5724" s="7">
        <v>59788000</v>
      </c>
      <c r="I5724" s="7">
        <v>7975600</v>
      </c>
      <c r="J5724" s="7">
        <v>0</v>
      </c>
      <c r="K5724">
        <f t="shared" si="89"/>
        <v>120</v>
      </c>
      <c r="L5724" s="8" t="str" cm="1">
        <f t="array" ref="L5724">_xlfn.IFS(
 AND(K5724&gt;=89,K5724&lt;=92),"3개월",
 AND(K5724&gt;=58,K5724&lt;=62),"2개월",
 AND(K5724&gt;=28,K5724&lt;=32),"1개월",
 AND(K5724=0),"당월",
 TRUE,"그외"
)</f>
        <v>그외</v>
      </c>
    </row>
    <row r="5725" spans="1:12" x14ac:dyDescent="0.3">
      <c r="A5725" s="5">
        <v>45717</v>
      </c>
      <c r="B5725" s="6" t="s">
        <v>60</v>
      </c>
      <c r="C5725" s="6" t="s">
        <v>65</v>
      </c>
      <c r="D5725" s="5">
        <v>45627</v>
      </c>
      <c r="E5725" s="6" t="s">
        <v>14</v>
      </c>
      <c r="F5725" s="7">
        <v>499</v>
      </c>
      <c r="G5725" s="7">
        <v>178263.52705410821</v>
      </c>
      <c r="H5725" s="7">
        <v>88953500</v>
      </c>
      <c r="I5725" s="7">
        <v>15219500</v>
      </c>
      <c r="J5725" s="7">
        <v>0</v>
      </c>
      <c r="K5725">
        <f t="shared" si="89"/>
        <v>90</v>
      </c>
      <c r="L5725" s="8" t="str" cm="1">
        <f t="array" ref="L5725">_xlfn.IFS(
 AND(K5725&gt;=89,K5725&lt;=92),"3개월",
 AND(K5725&gt;=58,K5725&lt;=62),"2개월",
 AND(K5725&gt;=28,K5725&lt;=32),"1개월",
 AND(K5725=0),"당월",
 TRUE,"그외"
)</f>
        <v>3개월</v>
      </c>
    </row>
    <row r="5726" spans="1:12" x14ac:dyDescent="0.3">
      <c r="A5726" s="5">
        <v>45717</v>
      </c>
      <c r="B5726" s="6" t="s">
        <v>60</v>
      </c>
      <c r="C5726" s="6" t="s">
        <v>65</v>
      </c>
      <c r="D5726" s="5">
        <v>45627</v>
      </c>
      <c r="E5726" s="6" t="s">
        <v>15</v>
      </c>
      <c r="F5726" s="7">
        <v>389</v>
      </c>
      <c r="G5726" s="7">
        <v>248151.15681233929</v>
      </c>
      <c r="H5726" s="7">
        <v>96530800</v>
      </c>
      <c r="I5726" s="7">
        <v>11864500</v>
      </c>
      <c r="J5726" s="7">
        <v>0</v>
      </c>
      <c r="K5726">
        <f t="shared" si="89"/>
        <v>90</v>
      </c>
      <c r="L5726" s="8" t="str" cm="1">
        <f t="array" ref="L5726">_xlfn.IFS(
 AND(K5726&gt;=89,K5726&lt;=92),"3개월",
 AND(K5726&gt;=58,K5726&lt;=62),"2개월",
 AND(K5726&gt;=28,K5726&lt;=32),"1개월",
 AND(K5726=0),"당월",
 TRUE,"그외"
)</f>
        <v>3개월</v>
      </c>
    </row>
    <row r="5727" spans="1:12" x14ac:dyDescent="0.3">
      <c r="A5727" s="5">
        <v>45717</v>
      </c>
      <c r="B5727" s="6" t="s">
        <v>60</v>
      </c>
      <c r="C5727" s="6" t="s">
        <v>65</v>
      </c>
      <c r="D5727" s="5">
        <v>45658</v>
      </c>
      <c r="E5727" s="6" t="s">
        <v>14</v>
      </c>
      <c r="F5727" s="7">
        <v>606</v>
      </c>
      <c r="G5727" s="7">
        <v>188123.7623762376</v>
      </c>
      <c r="H5727" s="7">
        <v>114003000</v>
      </c>
      <c r="I5727" s="7">
        <v>18785000</v>
      </c>
      <c r="J5727" s="7">
        <v>0</v>
      </c>
      <c r="K5727">
        <f t="shared" si="89"/>
        <v>59</v>
      </c>
      <c r="L5727" s="8" t="str" cm="1">
        <f t="array" ref="L5727">_xlfn.IFS(
 AND(K5727&gt;=89,K5727&lt;=92),"3개월",
 AND(K5727&gt;=58,K5727&lt;=62),"2개월",
 AND(K5727&gt;=28,K5727&lt;=32),"1개월",
 AND(K5727=0),"당월",
 TRUE,"그외"
)</f>
        <v>2개월</v>
      </c>
    </row>
    <row r="5728" spans="1:12" x14ac:dyDescent="0.3">
      <c r="A5728" s="5">
        <v>45717</v>
      </c>
      <c r="B5728" s="6" t="s">
        <v>60</v>
      </c>
      <c r="C5728" s="6" t="s">
        <v>65</v>
      </c>
      <c r="D5728" s="5">
        <v>45658</v>
      </c>
      <c r="E5728" s="6" t="s">
        <v>15</v>
      </c>
      <c r="F5728" s="7">
        <v>696</v>
      </c>
      <c r="G5728" s="7">
        <v>216394.30459770109</v>
      </c>
      <c r="H5728" s="7">
        <v>150610436</v>
      </c>
      <c r="I5728" s="7">
        <v>21827904</v>
      </c>
      <c r="J5728" s="7">
        <v>0</v>
      </c>
      <c r="K5728">
        <f t="shared" si="89"/>
        <v>59</v>
      </c>
      <c r="L5728" s="8" t="str" cm="1">
        <f t="array" ref="L5728">_xlfn.IFS(
 AND(K5728&gt;=89,K5728&lt;=92),"3개월",
 AND(K5728&gt;=58,K5728&lt;=62),"2개월",
 AND(K5728&gt;=28,K5728&lt;=32),"1개월",
 AND(K5728=0),"당월",
 TRUE,"그외"
)</f>
        <v>2개월</v>
      </c>
    </row>
    <row r="5729" spans="1:12" x14ac:dyDescent="0.3">
      <c r="A5729" s="5">
        <v>45717</v>
      </c>
      <c r="B5729" s="6" t="s">
        <v>60</v>
      </c>
      <c r="C5729" s="6" t="s">
        <v>65</v>
      </c>
      <c r="D5729" s="5">
        <v>45689</v>
      </c>
      <c r="E5729" s="6" t="s">
        <v>14</v>
      </c>
      <c r="F5729" s="7">
        <v>745</v>
      </c>
      <c r="G5729" s="7">
        <v>179251.40939597311</v>
      </c>
      <c r="H5729" s="7">
        <v>133542300</v>
      </c>
      <c r="I5729" s="7">
        <v>23911300</v>
      </c>
      <c r="J5729" s="7">
        <v>0</v>
      </c>
      <c r="K5729">
        <f t="shared" si="89"/>
        <v>28</v>
      </c>
      <c r="L5729" s="8" t="str" cm="1">
        <f t="array" ref="L5729">_xlfn.IFS(
 AND(K5729&gt;=89,K5729&lt;=92),"3개월",
 AND(K5729&gt;=58,K5729&lt;=62),"2개월",
 AND(K5729&gt;=28,K5729&lt;=32),"1개월",
 AND(K5729=0),"당월",
 TRUE,"그외"
)</f>
        <v>1개월</v>
      </c>
    </row>
    <row r="5730" spans="1:12" x14ac:dyDescent="0.3">
      <c r="A5730" s="5">
        <v>45717</v>
      </c>
      <c r="B5730" s="6" t="s">
        <v>60</v>
      </c>
      <c r="C5730" s="6" t="s">
        <v>65</v>
      </c>
      <c r="D5730" s="5">
        <v>45689</v>
      </c>
      <c r="E5730" s="6" t="s">
        <v>15</v>
      </c>
      <c r="F5730" s="7">
        <v>1168</v>
      </c>
      <c r="G5730" s="7">
        <v>178753.80136986301</v>
      </c>
      <c r="H5730" s="7">
        <v>208784440</v>
      </c>
      <c r="I5730" s="7">
        <v>37394500</v>
      </c>
      <c r="J5730" s="7">
        <v>0</v>
      </c>
      <c r="K5730">
        <f t="shared" si="89"/>
        <v>28</v>
      </c>
      <c r="L5730" s="8" t="str" cm="1">
        <f t="array" ref="L5730">_xlfn.IFS(
 AND(K5730&gt;=89,K5730&lt;=92),"3개월",
 AND(K5730&gt;=58,K5730&lt;=62),"2개월",
 AND(K5730&gt;=28,K5730&lt;=32),"1개월",
 AND(K5730=0),"당월",
 TRUE,"그외"
)</f>
        <v>1개월</v>
      </c>
    </row>
    <row r="5731" spans="1:12" x14ac:dyDescent="0.3">
      <c r="A5731" s="5">
        <v>45717</v>
      </c>
      <c r="B5731" s="6" t="s">
        <v>60</v>
      </c>
      <c r="C5731" s="6" t="s">
        <v>65</v>
      </c>
      <c r="D5731" s="5">
        <v>45717</v>
      </c>
      <c r="E5731" s="6" t="s">
        <v>14</v>
      </c>
      <c r="F5731" s="7">
        <v>160</v>
      </c>
      <c r="G5731" s="7">
        <v>155128.125</v>
      </c>
      <c r="H5731" s="7">
        <v>24820500</v>
      </c>
      <c r="I5731" s="7">
        <v>6010500</v>
      </c>
      <c r="J5731" s="7">
        <v>0</v>
      </c>
      <c r="K5731">
        <f t="shared" si="89"/>
        <v>0</v>
      </c>
      <c r="L5731" s="8" t="str" cm="1">
        <f t="array" ref="L5731">_xlfn.IFS(
 AND(K5731&gt;=89,K5731&lt;=92),"3개월",
 AND(K5731&gt;=58,K5731&lt;=62),"2개월",
 AND(K5731&gt;=28,K5731&lt;=32),"1개월",
 AND(K5731=0),"당월",
 TRUE,"그외"
)</f>
        <v>당월</v>
      </c>
    </row>
    <row r="5732" spans="1:12" x14ac:dyDescent="0.3">
      <c r="A5732" s="5">
        <v>45717</v>
      </c>
      <c r="B5732" s="6" t="s">
        <v>60</v>
      </c>
      <c r="C5732" s="6" t="s">
        <v>65</v>
      </c>
      <c r="D5732" s="5">
        <v>45717</v>
      </c>
      <c r="E5732" s="6" t="s">
        <v>15</v>
      </c>
      <c r="F5732" s="7">
        <v>747</v>
      </c>
      <c r="G5732" s="7">
        <v>146111.35609103079</v>
      </c>
      <c r="H5732" s="7">
        <v>109145183</v>
      </c>
      <c r="I5732" s="7">
        <v>27698535</v>
      </c>
      <c r="J5732" s="7">
        <v>0</v>
      </c>
      <c r="K5732">
        <f t="shared" si="89"/>
        <v>0</v>
      </c>
      <c r="L5732" s="8" t="str" cm="1">
        <f t="array" ref="L5732">_xlfn.IFS(
 AND(K5732&gt;=89,K5732&lt;=92),"3개월",
 AND(K5732&gt;=58,K5732&lt;=62),"2개월",
 AND(K5732&gt;=28,K5732&lt;=32),"1개월",
 AND(K5732=0),"당월",
 TRUE,"그외"
)</f>
        <v>당월</v>
      </c>
    </row>
    <row r="5733" spans="1:12" x14ac:dyDescent="0.3">
      <c r="A5733" s="5">
        <v>45717</v>
      </c>
      <c r="B5733" s="6" t="s">
        <v>60</v>
      </c>
      <c r="C5733" s="6" t="s">
        <v>66</v>
      </c>
      <c r="D5733" s="5">
        <v>45505</v>
      </c>
      <c r="E5733" s="6" t="s">
        <v>15</v>
      </c>
      <c r="F5733" s="7">
        <v>85</v>
      </c>
      <c r="G5733" s="7">
        <v>163805.16470588229</v>
      </c>
      <c r="H5733" s="7">
        <v>13923439</v>
      </c>
      <c r="I5733" s="7">
        <v>3408720</v>
      </c>
      <c r="J5733" s="7">
        <v>0</v>
      </c>
      <c r="K5733">
        <f t="shared" si="89"/>
        <v>212</v>
      </c>
      <c r="L5733" s="8" t="str" cm="1">
        <f t="array" ref="L5733">_xlfn.IFS(
 AND(K5733&gt;=89,K5733&lt;=92),"3개월",
 AND(K5733&gt;=58,K5733&lt;=62),"2개월",
 AND(K5733&gt;=28,K5733&lt;=32),"1개월",
 AND(K5733=0),"당월",
 TRUE,"그외"
)</f>
        <v>그외</v>
      </c>
    </row>
    <row r="5734" spans="1:12" x14ac:dyDescent="0.3">
      <c r="A5734" s="5">
        <v>45717</v>
      </c>
      <c r="B5734" s="6" t="s">
        <v>60</v>
      </c>
      <c r="C5734" s="6" t="s">
        <v>66</v>
      </c>
      <c r="D5734" s="5">
        <v>45536</v>
      </c>
      <c r="E5734" s="6" t="s">
        <v>15</v>
      </c>
      <c r="F5734" s="7">
        <v>125</v>
      </c>
      <c r="G5734" s="7">
        <v>248680.78400000001</v>
      </c>
      <c r="H5734" s="7">
        <v>31085098</v>
      </c>
      <c r="I5734" s="7">
        <v>4503230</v>
      </c>
      <c r="J5734" s="7">
        <v>0</v>
      </c>
      <c r="K5734">
        <f t="shared" si="89"/>
        <v>181</v>
      </c>
      <c r="L5734" s="8" t="str" cm="1">
        <f t="array" ref="L5734">_xlfn.IFS(
 AND(K5734&gt;=89,K5734&lt;=92),"3개월",
 AND(K5734&gt;=58,K5734&lt;=62),"2개월",
 AND(K5734&gt;=28,K5734&lt;=32),"1개월",
 AND(K5734=0),"당월",
 TRUE,"그외"
)</f>
        <v>그외</v>
      </c>
    </row>
    <row r="5735" spans="1:12" x14ac:dyDescent="0.3">
      <c r="A5735" s="5">
        <v>45717</v>
      </c>
      <c r="B5735" s="6" t="s">
        <v>60</v>
      </c>
      <c r="C5735" s="6" t="s">
        <v>66</v>
      </c>
      <c r="D5735" s="5">
        <v>45566</v>
      </c>
      <c r="E5735" s="6" t="s">
        <v>15</v>
      </c>
      <c r="F5735" s="7">
        <v>165</v>
      </c>
      <c r="G5735" s="7">
        <v>224152.06666666671</v>
      </c>
      <c r="H5735" s="7">
        <v>36985091</v>
      </c>
      <c r="I5735" s="7">
        <v>4455141</v>
      </c>
      <c r="J5735" s="7">
        <v>0</v>
      </c>
      <c r="K5735">
        <f t="shared" si="89"/>
        <v>151</v>
      </c>
      <c r="L5735" s="8" t="str" cm="1">
        <f t="array" ref="L5735">_xlfn.IFS(
 AND(K5735&gt;=89,K5735&lt;=92),"3개월",
 AND(K5735&gt;=58,K5735&lt;=62),"2개월",
 AND(K5735&gt;=28,K5735&lt;=32),"1개월",
 AND(K5735=0),"당월",
 TRUE,"그외"
)</f>
        <v>그외</v>
      </c>
    </row>
    <row r="5736" spans="1:12" x14ac:dyDescent="0.3">
      <c r="A5736" s="5">
        <v>45717</v>
      </c>
      <c r="B5736" s="6" t="s">
        <v>60</v>
      </c>
      <c r="C5736" s="6" t="s">
        <v>66</v>
      </c>
      <c r="D5736" s="5">
        <v>45597</v>
      </c>
      <c r="E5736" s="6" t="s">
        <v>14</v>
      </c>
      <c r="F5736" s="7">
        <v>212</v>
      </c>
      <c r="G5736" s="7">
        <v>205371.69811320759</v>
      </c>
      <c r="H5736" s="7">
        <v>43538800</v>
      </c>
      <c r="I5736" s="7">
        <v>5384800</v>
      </c>
      <c r="J5736" s="7">
        <v>0</v>
      </c>
      <c r="K5736">
        <f t="shared" si="89"/>
        <v>120</v>
      </c>
      <c r="L5736" s="8" t="str" cm="1">
        <f t="array" ref="L5736">_xlfn.IFS(
 AND(K5736&gt;=89,K5736&lt;=92),"3개월",
 AND(K5736&gt;=58,K5736&lt;=62),"2개월",
 AND(K5736&gt;=28,K5736&lt;=32),"1개월",
 AND(K5736=0),"당월",
 TRUE,"그외"
)</f>
        <v>그외</v>
      </c>
    </row>
    <row r="5737" spans="1:12" x14ac:dyDescent="0.3">
      <c r="A5737" s="5">
        <v>45717</v>
      </c>
      <c r="B5737" s="6" t="s">
        <v>60</v>
      </c>
      <c r="C5737" s="6" t="s">
        <v>66</v>
      </c>
      <c r="D5737" s="5">
        <v>45597</v>
      </c>
      <c r="E5737" s="6" t="s">
        <v>15</v>
      </c>
      <c r="F5737" s="7">
        <v>247</v>
      </c>
      <c r="G5737" s="7">
        <v>227049.41700404859</v>
      </c>
      <c r="H5737" s="7">
        <v>56081206</v>
      </c>
      <c r="I5737" s="7">
        <v>6373713</v>
      </c>
      <c r="J5737" s="7">
        <v>0</v>
      </c>
      <c r="K5737">
        <f t="shared" si="89"/>
        <v>120</v>
      </c>
      <c r="L5737" s="8" t="str" cm="1">
        <f t="array" ref="L5737">_xlfn.IFS(
 AND(K5737&gt;=89,K5737&lt;=92),"3개월",
 AND(K5737&gt;=58,K5737&lt;=62),"2개월",
 AND(K5737&gt;=28,K5737&lt;=32),"1개월",
 AND(K5737=0),"당월",
 TRUE,"그외"
)</f>
        <v>그외</v>
      </c>
    </row>
    <row r="5738" spans="1:12" x14ac:dyDescent="0.3">
      <c r="A5738" s="5">
        <v>45717</v>
      </c>
      <c r="B5738" s="6" t="s">
        <v>60</v>
      </c>
      <c r="C5738" s="6" t="s">
        <v>66</v>
      </c>
      <c r="D5738" s="5">
        <v>45627</v>
      </c>
      <c r="E5738" s="6" t="s">
        <v>14</v>
      </c>
      <c r="F5738" s="7">
        <v>156</v>
      </c>
      <c r="G5738" s="7">
        <v>191884.6153846154</v>
      </c>
      <c r="H5738" s="7">
        <v>29934000</v>
      </c>
      <c r="I5738" s="7">
        <v>4758000</v>
      </c>
      <c r="J5738" s="7">
        <v>0</v>
      </c>
      <c r="K5738">
        <f t="shared" si="89"/>
        <v>90</v>
      </c>
      <c r="L5738" s="8" t="str" cm="1">
        <f t="array" ref="L5738">_xlfn.IFS(
 AND(K5738&gt;=89,K5738&lt;=92),"3개월",
 AND(K5738&gt;=58,K5738&lt;=62),"2개월",
 AND(K5738&gt;=28,K5738&lt;=32),"1개월",
 AND(K5738=0),"당월",
 TRUE,"그외"
)</f>
        <v>3개월</v>
      </c>
    </row>
    <row r="5739" spans="1:12" x14ac:dyDescent="0.3">
      <c r="A5739" s="5">
        <v>45717</v>
      </c>
      <c r="B5739" s="6" t="s">
        <v>60</v>
      </c>
      <c r="C5739" s="6" t="s">
        <v>66</v>
      </c>
      <c r="D5739" s="5">
        <v>45627</v>
      </c>
      <c r="E5739" s="6" t="s">
        <v>15</v>
      </c>
      <c r="F5739" s="7">
        <v>391</v>
      </c>
      <c r="G5739" s="7">
        <v>245163.8772378517</v>
      </c>
      <c r="H5739" s="7">
        <v>95859076</v>
      </c>
      <c r="I5739" s="7">
        <v>11865037</v>
      </c>
      <c r="J5739" s="7">
        <v>0</v>
      </c>
      <c r="K5739">
        <f t="shared" si="89"/>
        <v>90</v>
      </c>
      <c r="L5739" s="8" t="str" cm="1">
        <f t="array" ref="L5739">_xlfn.IFS(
 AND(K5739&gt;=89,K5739&lt;=92),"3개월",
 AND(K5739&gt;=58,K5739&lt;=62),"2개월",
 AND(K5739&gt;=28,K5739&lt;=32),"1개월",
 AND(K5739=0),"당월",
 TRUE,"그외"
)</f>
        <v>3개월</v>
      </c>
    </row>
    <row r="5740" spans="1:12" x14ac:dyDescent="0.3">
      <c r="A5740" s="5">
        <v>45717</v>
      </c>
      <c r="B5740" s="6" t="s">
        <v>60</v>
      </c>
      <c r="C5740" s="6" t="s">
        <v>66</v>
      </c>
      <c r="D5740" s="5">
        <v>45658</v>
      </c>
      <c r="E5740" s="6" t="s">
        <v>14</v>
      </c>
      <c r="F5740" s="7">
        <v>755</v>
      </c>
      <c r="G5740" s="7">
        <v>213423.84105960271</v>
      </c>
      <c r="H5740" s="7">
        <v>161135000</v>
      </c>
      <c r="I5740" s="7">
        <v>23405000</v>
      </c>
      <c r="J5740" s="7">
        <v>0</v>
      </c>
      <c r="K5740">
        <f t="shared" si="89"/>
        <v>59</v>
      </c>
      <c r="L5740" s="8" t="str" cm="1">
        <f t="array" ref="L5740">_xlfn.IFS(
 AND(K5740&gt;=89,K5740&lt;=92),"3개월",
 AND(K5740&gt;=58,K5740&lt;=62),"2개월",
 AND(K5740&gt;=28,K5740&lt;=32),"1개월",
 AND(K5740=0),"당월",
 TRUE,"그외"
)</f>
        <v>2개월</v>
      </c>
    </row>
    <row r="5741" spans="1:12" x14ac:dyDescent="0.3">
      <c r="A5741" s="5">
        <v>45717</v>
      </c>
      <c r="B5741" s="6" t="s">
        <v>60</v>
      </c>
      <c r="C5741" s="6" t="s">
        <v>66</v>
      </c>
      <c r="D5741" s="5">
        <v>45658</v>
      </c>
      <c r="E5741" s="6" t="s">
        <v>15</v>
      </c>
      <c r="F5741" s="7">
        <v>1250</v>
      </c>
      <c r="G5741" s="7">
        <v>198599.48</v>
      </c>
      <c r="H5741" s="7">
        <v>248249350</v>
      </c>
      <c r="I5741" s="7">
        <v>39514080</v>
      </c>
      <c r="J5741" s="7">
        <v>0</v>
      </c>
      <c r="K5741">
        <f t="shared" si="89"/>
        <v>59</v>
      </c>
      <c r="L5741" s="8" t="str" cm="1">
        <f t="array" ref="L5741">_xlfn.IFS(
 AND(K5741&gt;=89,K5741&lt;=92),"3개월",
 AND(K5741&gt;=58,K5741&lt;=62),"2개월",
 AND(K5741&gt;=28,K5741&lt;=32),"1개월",
 AND(K5741=0),"당월",
 TRUE,"그외"
)</f>
        <v>2개월</v>
      </c>
    </row>
    <row r="5742" spans="1:12" x14ac:dyDescent="0.3">
      <c r="A5742" s="5">
        <v>45717</v>
      </c>
      <c r="B5742" s="6" t="s">
        <v>60</v>
      </c>
      <c r="C5742" s="6" t="s">
        <v>66</v>
      </c>
      <c r="D5742" s="5">
        <v>45689</v>
      </c>
      <c r="E5742" s="6" t="s">
        <v>14</v>
      </c>
      <c r="F5742" s="7">
        <v>2589</v>
      </c>
      <c r="G5742" s="7">
        <v>183048.24256469679</v>
      </c>
      <c r="H5742" s="7">
        <v>473911900</v>
      </c>
      <c r="I5742" s="7">
        <v>83093900</v>
      </c>
      <c r="J5742" s="7">
        <v>0</v>
      </c>
      <c r="K5742">
        <f t="shared" si="89"/>
        <v>28</v>
      </c>
      <c r="L5742" s="8" t="str" cm="1">
        <f t="array" ref="L5742">_xlfn.IFS(
 AND(K5742&gt;=89,K5742&lt;=92),"3개월",
 AND(K5742&gt;=58,K5742&lt;=62),"2개월",
 AND(K5742&gt;=28,K5742&lt;=32),"1개월",
 AND(K5742=0),"당월",
 TRUE,"그외"
)</f>
        <v>1개월</v>
      </c>
    </row>
    <row r="5743" spans="1:12" x14ac:dyDescent="0.3">
      <c r="A5743" s="5">
        <v>45717</v>
      </c>
      <c r="B5743" s="6" t="s">
        <v>60</v>
      </c>
      <c r="C5743" s="6" t="s">
        <v>66</v>
      </c>
      <c r="D5743" s="5">
        <v>45689</v>
      </c>
      <c r="E5743" s="6" t="s">
        <v>15</v>
      </c>
      <c r="F5743" s="7">
        <v>1716</v>
      </c>
      <c r="G5743" s="7">
        <v>190864.59906759911</v>
      </c>
      <c r="H5743" s="7">
        <v>327523652</v>
      </c>
      <c r="I5743" s="7">
        <v>56522033</v>
      </c>
      <c r="J5743" s="7">
        <v>0</v>
      </c>
      <c r="K5743">
        <f t="shared" si="89"/>
        <v>28</v>
      </c>
      <c r="L5743" s="8" t="str" cm="1">
        <f t="array" ref="L5743">_xlfn.IFS(
 AND(K5743&gt;=89,K5743&lt;=92),"3개월",
 AND(K5743&gt;=58,K5743&lt;=62),"2개월",
 AND(K5743&gt;=28,K5743&lt;=32),"1개월",
 AND(K5743=0),"당월",
 TRUE,"그외"
)</f>
        <v>1개월</v>
      </c>
    </row>
    <row r="5744" spans="1:12" x14ac:dyDescent="0.3">
      <c r="A5744" s="5">
        <v>45717</v>
      </c>
      <c r="B5744" s="6" t="s">
        <v>60</v>
      </c>
      <c r="C5744" s="6" t="s">
        <v>66</v>
      </c>
      <c r="D5744" s="5">
        <v>45717</v>
      </c>
      <c r="E5744" s="6" t="s">
        <v>14</v>
      </c>
      <c r="F5744" s="7">
        <v>816</v>
      </c>
      <c r="G5744" s="7">
        <v>182685.90686274509</v>
      </c>
      <c r="H5744" s="7">
        <v>149071700</v>
      </c>
      <c r="I5744" s="7">
        <v>28763700</v>
      </c>
      <c r="J5744" s="7">
        <v>0</v>
      </c>
      <c r="K5744">
        <f t="shared" si="89"/>
        <v>0</v>
      </c>
      <c r="L5744" s="8" t="str" cm="1">
        <f t="array" ref="L5744">_xlfn.IFS(
 AND(K5744&gt;=89,K5744&lt;=92),"3개월",
 AND(K5744&gt;=58,K5744&lt;=62),"2개월",
 AND(K5744&gt;=28,K5744&lt;=32),"1개월",
 AND(K5744=0),"당월",
 TRUE,"그외"
)</f>
        <v>당월</v>
      </c>
    </row>
    <row r="5745" spans="1:12" x14ac:dyDescent="0.3">
      <c r="A5745" s="5">
        <v>45717</v>
      </c>
      <c r="B5745" s="6" t="s">
        <v>60</v>
      </c>
      <c r="C5745" s="6" t="s">
        <v>66</v>
      </c>
      <c r="D5745" s="5">
        <v>45717</v>
      </c>
      <c r="E5745" s="6" t="s">
        <v>15</v>
      </c>
      <c r="F5745" s="7">
        <v>1309</v>
      </c>
      <c r="G5745" s="7">
        <v>186166.23376623381</v>
      </c>
      <c r="H5745" s="7">
        <v>243691600</v>
      </c>
      <c r="I5745" s="7">
        <v>48038190</v>
      </c>
      <c r="J5745" s="7">
        <v>0</v>
      </c>
      <c r="K5745">
        <f t="shared" si="89"/>
        <v>0</v>
      </c>
      <c r="L5745" s="8" t="str" cm="1">
        <f t="array" ref="L5745">_xlfn.IFS(
 AND(K5745&gt;=89,K5745&lt;=92),"3개월",
 AND(K5745&gt;=58,K5745&lt;=62),"2개월",
 AND(K5745&gt;=28,K5745&lt;=32),"1개월",
 AND(K5745=0),"당월",
 TRUE,"그외"
)</f>
        <v>당월</v>
      </c>
    </row>
    <row r="5746" spans="1:12" x14ac:dyDescent="0.3">
      <c r="A5746" s="5">
        <v>45717</v>
      </c>
      <c r="B5746" s="6" t="s">
        <v>60</v>
      </c>
      <c r="C5746" s="6" t="s">
        <v>67</v>
      </c>
      <c r="D5746" s="5">
        <v>45536</v>
      </c>
      <c r="E5746" s="6" t="s">
        <v>15</v>
      </c>
      <c r="F5746" s="7">
        <v>114</v>
      </c>
      <c r="G5746" s="7">
        <v>213847.4298245614</v>
      </c>
      <c r="H5746" s="7">
        <v>24378607</v>
      </c>
      <c r="I5746" s="7">
        <v>4183668</v>
      </c>
      <c r="J5746" s="7">
        <v>0</v>
      </c>
      <c r="K5746">
        <f t="shared" si="89"/>
        <v>181</v>
      </c>
      <c r="L5746" s="8" t="str" cm="1">
        <f t="array" ref="L5746">_xlfn.IFS(
 AND(K5746&gt;=89,K5746&lt;=92),"3개월",
 AND(K5746&gt;=58,K5746&lt;=62),"2개월",
 AND(K5746&gt;=28,K5746&lt;=32),"1개월",
 AND(K5746=0),"당월",
 TRUE,"그외"
)</f>
        <v>그외</v>
      </c>
    </row>
    <row r="5747" spans="1:12" x14ac:dyDescent="0.3">
      <c r="A5747" s="5">
        <v>45717</v>
      </c>
      <c r="B5747" s="6" t="s">
        <v>60</v>
      </c>
      <c r="C5747" s="6" t="s">
        <v>67</v>
      </c>
      <c r="D5747" s="5">
        <v>45566</v>
      </c>
      <c r="E5747" s="6" t="s">
        <v>15</v>
      </c>
      <c r="F5747" s="7">
        <v>78</v>
      </c>
      <c r="G5747" s="7">
        <v>203180</v>
      </c>
      <c r="H5747" s="7">
        <v>15848040</v>
      </c>
      <c r="I5747" s="7">
        <v>2123924</v>
      </c>
      <c r="J5747" s="7">
        <v>0</v>
      </c>
      <c r="K5747">
        <f t="shared" si="89"/>
        <v>151</v>
      </c>
      <c r="L5747" s="8" t="str" cm="1">
        <f t="array" ref="L5747">_xlfn.IFS(
 AND(K5747&gt;=89,K5747&lt;=92),"3개월",
 AND(K5747&gt;=58,K5747&lt;=62),"2개월",
 AND(K5747&gt;=28,K5747&lt;=32),"1개월",
 AND(K5747=0),"당월",
 TRUE,"그외"
)</f>
        <v>그외</v>
      </c>
    </row>
    <row r="5748" spans="1:12" x14ac:dyDescent="0.3">
      <c r="A5748" s="5">
        <v>45717</v>
      </c>
      <c r="B5748" s="6" t="s">
        <v>60</v>
      </c>
      <c r="C5748" s="6" t="s">
        <v>67</v>
      </c>
      <c r="D5748" s="5">
        <v>45597</v>
      </c>
      <c r="E5748" s="6" t="s">
        <v>14</v>
      </c>
      <c r="F5748" s="7">
        <v>564</v>
      </c>
      <c r="G5748" s="7">
        <v>134626.9503546099</v>
      </c>
      <c r="H5748" s="7">
        <v>75929600</v>
      </c>
      <c r="I5748" s="7">
        <v>14325600</v>
      </c>
      <c r="J5748" s="7">
        <v>0</v>
      </c>
      <c r="K5748">
        <f t="shared" si="89"/>
        <v>120</v>
      </c>
      <c r="L5748" s="8" t="str" cm="1">
        <f t="array" ref="L5748">_xlfn.IFS(
 AND(K5748&gt;=89,K5748&lt;=92),"3개월",
 AND(K5748&gt;=58,K5748&lt;=62),"2개월",
 AND(K5748&gt;=28,K5748&lt;=32),"1개월",
 AND(K5748=0),"당월",
 TRUE,"그외"
)</f>
        <v>그외</v>
      </c>
    </row>
    <row r="5749" spans="1:12" x14ac:dyDescent="0.3">
      <c r="A5749" s="5">
        <v>45717</v>
      </c>
      <c r="B5749" s="6" t="s">
        <v>60</v>
      </c>
      <c r="C5749" s="6" t="s">
        <v>67</v>
      </c>
      <c r="D5749" s="5">
        <v>45597</v>
      </c>
      <c r="E5749" s="6" t="s">
        <v>15</v>
      </c>
      <c r="F5749" s="7">
        <v>342</v>
      </c>
      <c r="G5749" s="7">
        <v>181570.9210526316</v>
      </c>
      <c r="H5749" s="7">
        <v>62097255</v>
      </c>
      <c r="I5749" s="7">
        <v>8999942</v>
      </c>
      <c r="J5749" s="7">
        <v>0</v>
      </c>
      <c r="K5749">
        <f t="shared" si="89"/>
        <v>120</v>
      </c>
      <c r="L5749" s="8" t="str" cm="1">
        <f t="array" ref="L5749">_xlfn.IFS(
 AND(K5749&gt;=89,K5749&lt;=92),"3개월",
 AND(K5749&gt;=58,K5749&lt;=62),"2개월",
 AND(K5749&gt;=28,K5749&lt;=32),"1개월",
 AND(K5749=0),"당월",
 TRUE,"그외"
)</f>
        <v>그외</v>
      </c>
    </row>
    <row r="5750" spans="1:12" x14ac:dyDescent="0.3">
      <c r="A5750" s="5">
        <v>45717</v>
      </c>
      <c r="B5750" s="6" t="s">
        <v>60</v>
      </c>
      <c r="C5750" s="6" t="s">
        <v>67</v>
      </c>
      <c r="D5750" s="5">
        <v>45627</v>
      </c>
      <c r="E5750" s="6" t="s">
        <v>14</v>
      </c>
      <c r="F5750" s="7">
        <v>1016</v>
      </c>
      <c r="G5750" s="7">
        <v>149779.13385826771</v>
      </c>
      <c r="H5750" s="7">
        <v>152175600</v>
      </c>
      <c r="I5750" s="7">
        <v>30967600</v>
      </c>
      <c r="J5750" s="7">
        <v>0</v>
      </c>
      <c r="K5750">
        <f t="shared" si="89"/>
        <v>90</v>
      </c>
      <c r="L5750" s="8" t="str" cm="1">
        <f t="array" ref="L5750">_xlfn.IFS(
 AND(K5750&gt;=89,K5750&lt;=92),"3개월",
 AND(K5750&gt;=58,K5750&lt;=62),"2개월",
 AND(K5750&gt;=28,K5750&lt;=32),"1개월",
 AND(K5750=0),"당월",
 TRUE,"그외"
)</f>
        <v>3개월</v>
      </c>
    </row>
    <row r="5751" spans="1:12" x14ac:dyDescent="0.3">
      <c r="A5751" s="5">
        <v>45717</v>
      </c>
      <c r="B5751" s="6" t="s">
        <v>60</v>
      </c>
      <c r="C5751" s="6" t="s">
        <v>67</v>
      </c>
      <c r="D5751" s="5">
        <v>45627</v>
      </c>
      <c r="E5751" s="6" t="s">
        <v>15</v>
      </c>
      <c r="F5751" s="7">
        <v>523</v>
      </c>
      <c r="G5751" s="7">
        <v>204448.24091778201</v>
      </c>
      <c r="H5751" s="7">
        <v>106926430</v>
      </c>
      <c r="I5751" s="7">
        <v>15966748</v>
      </c>
      <c r="J5751" s="7">
        <v>0</v>
      </c>
      <c r="K5751">
        <f t="shared" si="89"/>
        <v>90</v>
      </c>
      <c r="L5751" s="8" t="str" cm="1">
        <f t="array" ref="L5751">_xlfn.IFS(
 AND(K5751&gt;=89,K5751&lt;=92),"3개월",
 AND(K5751&gt;=58,K5751&lt;=62),"2개월",
 AND(K5751&gt;=28,K5751&lt;=32),"1개월",
 AND(K5751=0),"당월",
 TRUE,"그외"
)</f>
        <v>3개월</v>
      </c>
    </row>
    <row r="5752" spans="1:12" x14ac:dyDescent="0.3">
      <c r="A5752" s="5">
        <v>45717</v>
      </c>
      <c r="B5752" s="6" t="s">
        <v>60</v>
      </c>
      <c r="C5752" s="6" t="s">
        <v>67</v>
      </c>
      <c r="D5752" s="5">
        <v>45658</v>
      </c>
      <c r="E5752" s="6" t="s">
        <v>14</v>
      </c>
      <c r="F5752" s="7">
        <v>603</v>
      </c>
      <c r="G5752" s="7">
        <v>216477.28026534</v>
      </c>
      <c r="H5752" s="7">
        <v>130535800</v>
      </c>
      <c r="I5752" s="7">
        <v>18557800</v>
      </c>
      <c r="J5752" s="7">
        <v>0</v>
      </c>
      <c r="K5752">
        <f t="shared" si="89"/>
        <v>59</v>
      </c>
      <c r="L5752" s="8" t="str" cm="1">
        <f t="array" ref="L5752">_xlfn.IFS(
 AND(K5752&gt;=89,K5752&lt;=92),"3개월",
 AND(K5752&gt;=58,K5752&lt;=62),"2개월",
 AND(K5752&gt;=28,K5752&lt;=32),"1개월",
 AND(K5752=0),"당월",
 TRUE,"그외"
)</f>
        <v>2개월</v>
      </c>
    </row>
    <row r="5753" spans="1:12" x14ac:dyDescent="0.3">
      <c r="A5753" s="5">
        <v>45717</v>
      </c>
      <c r="B5753" s="6" t="s">
        <v>60</v>
      </c>
      <c r="C5753" s="6" t="s">
        <v>67</v>
      </c>
      <c r="D5753" s="5">
        <v>45658</v>
      </c>
      <c r="E5753" s="6" t="s">
        <v>15</v>
      </c>
      <c r="F5753" s="7">
        <v>937</v>
      </c>
      <c r="G5753" s="7">
        <v>175776.58697972249</v>
      </c>
      <c r="H5753" s="7">
        <v>164702662</v>
      </c>
      <c r="I5753" s="7">
        <v>29108104</v>
      </c>
      <c r="J5753" s="7">
        <v>0</v>
      </c>
      <c r="K5753">
        <f t="shared" si="89"/>
        <v>59</v>
      </c>
      <c r="L5753" s="8" t="str" cm="1">
        <f t="array" ref="L5753">_xlfn.IFS(
 AND(K5753&gt;=89,K5753&lt;=92),"3개월",
 AND(K5753&gt;=58,K5753&lt;=62),"2개월",
 AND(K5753&gt;=28,K5753&lt;=32),"1개월",
 AND(K5753=0),"당월",
 TRUE,"그외"
)</f>
        <v>2개월</v>
      </c>
    </row>
    <row r="5754" spans="1:12" x14ac:dyDescent="0.3">
      <c r="A5754" s="5">
        <v>45717</v>
      </c>
      <c r="B5754" s="6" t="s">
        <v>60</v>
      </c>
      <c r="C5754" s="6" t="s">
        <v>67</v>
      </c>
      <c r="D5754" s="5">
        <v>45689</v>
      </c>
      <c r="E5754" s="6" t="s">
        <v>14</v>
      </c>
      <c r="F5754" s="7">
        <v>2930</v>
      </c>
      <c r="G5754" s="7">
        <v>141603.72013651879</v>
      </c>
      <c r="H5754" s="7">
        <v>414898900</v>
      </c>
      <c r="I5754" s="7">
        <v>94017900</v>
      </c>
      <c r="J5754" s="7">
        <v>0</v>
      </c>
      <c r="K5754">
        <f t="shared" si="89"/>
        <v>28</v>
      </c>
      <c r="L5754" s="8" t="str" cm="1">
        <f t="array" ref="L5754">_xlfn.IFS(
 AND(K5754&gt;=89,K5754&lt;=92),"3개월",
 AND(K5754&gt;=58,K5754&lt;=62),"2개월",
 AND(K5754&gt;=28,K5754&lt;=32),"1개월",
 AND(K5754=0),"당월",
 TRUE,"그외"
)</f>
        <v>1개월</v>
      </c>
    </row>
    <row r="5755" spans="1:12" x14ac:dyDescent="0.3">
      <c r="A5755" s="5">
        <v>45717</v>
      </c>
      <c r="B5755" s="6" t="s">
        <v>60</v>
      </c>
      <c r="C5755" s="6" t="s">
        <v>67</v>
      </c>
      <c r="D5755" s="5">
        <v>45689</v>
      </c>
      <c r="E5755" s="6" t="s">
        <v>15</v>
      </c>
      <c r="F5755" s="7">
        <v>2199</v>
      </c>
      <c r="G5755" s="7">
        <v>174442.82401091399</v>
      </c>
      <c r="H5755" s="7">
        <v>383599770</v>
      </c>
      <c r="I5755" s="7">
        <v>70228454</v>
      </c>
      <c r="J5755" s="7">
        <v>0</v>
      </c>
      <c r="K5755">
        <f t="shared" si="89"/>
        <v>28</v>
      </c>
      <c r="L5755" s="8" t="str" cm="1">
        <f t="array" ref="L5755">_xlfn.IFS(
 AND(K5755&gt;=89,K5755&lt;=92),"3개월",
 AND(K5755&gt;=58,K5755&lt;=62),"2개월",
 AND(K5755&gt;=28,K5755&lt;=32),"1개월",
 AND(K5755=0),"당월",
 TRUE,"그외"
)</f>
        <v>1개월</v>
      </c>
    </row>
    <row r="5756" spans="1:12" x14ac:dyDescent="0.3">
      <c r="A5756" s="5">
        <v>45717</v>
      </c>
      <c r="B5756" s="6" t="s">
        <v>60</v>
      </c>
      <c r="C5756" s="6" t="s">
        <v>67</v>
      </c>
      <c r="D5756" s="5">
        <v>45717</v>
      </c>
      <c r="E5756" s="6" t="s">
        <v>14</v>
      </c>
      <c r="F5756" s="7">
        <v>288</v>
      </c>
      <c r="G5756" s="7">
        <v>126240.625</v>
      </c>
      <c r="H5756" s="7">
        <v>36357300</v>
      </c>
      <c r="I5756" s="7">
        <v>10665300</v>
      </c>
      <c r="J5756" s="7">
        <v>0</v>
      </c>
      <c r="K5756">
        <f t="shared" si="89"/>
        <v>0</v>
      </c>
      <c r="L5756" s="8" t="str" cm="1">
        <f t="array" ref="L5756">_xlfn.IFS(
 AND(K5756&gt;=89,K5756&lt;=92),"3개월",
 AND(K5756&gt;=58,K5756&lt;=62),"2개월",
 AND(K5756&gt;=28,K5756&lt;=32),"1개월",
 AND(K5756=0),"당월",
 TRUE,"그외"
)</f>
        <v>당월</v>
      </c>
    </row>
    <row r="5757" spans="1:12" x14ac:dyDescent="0.3">
      <c r="A5757" s="5">
        <v>45717</v>
      </c>
      <c r="B5757" s="6" t="s">
        <v>60</v>
      </c>
      <c r="C5757" s="6" t="s">
        <v>67</v>
      </c>
      <c r="D5757" s="5">
        <v>45717</v>
      </c>
      <c r="E5757" s="6" t="s">
        <v>15</v>
      </c>
      <c r="F5757" s="7">
        <v>774</v>
      </c>
      <c r="G5757" s="7">
        <v>134501.97674418599</v>
      </c>
      <c r="H5757" s="7">
        <v>104104530</v>
      </c>
      <c r="I5757" s="7">
        <v>25845034</v>
      </c>
      <c r="J5757" s="7">
        <v>0</v>
      </c>
      <c r="K5757">
        <f t="shared" si="89"/>
        <v>0</v>
      </c>
      <c r="L5757" s="8" t="str" cm="1">
        <f t="array" ref="L5757">_xlfn.IFS(
 AND(K5757&gt;=89,K5757&lt;=92),"3개월",
 AND(K5757&gt;=58,K5757&lt;=62),"2개월",
 AND(K5757&gt;=28,K5757&lt;=32),"1개월",
 AND(K5757=0),"당월",
 TRUE,"그외"
)</f>
        <v>당월</v>
      </c>
    </row>
    <row r="5758" spans="1:12" x14ac:dyDescent="0.3">
      <c r="A5758" s="5">
        <v>45717</v>
      </c>
      <c r="B5758" s="6" t="s">
        <v>60</v>
      </c>
      <c r="C5758" s="6" t="s">
        <v>67</v>
      </c>
      <c r="D5758" s="5">
        <v>45748</v>
      </c>
      <c r="E5758" s="6" t="s">
        <v>15</v>
      </c>
      <c r="F5758" s="7">
        <v>2</v>
      </c>
      <c r="G5758" s="7">
        <v>205310</v>
      </c>
      <c r="H5758" s="7">
        <v>410620</v>
      </c>
      <c r="I5758" s="7">
        <v>0</v>
      </c>
      <c r="J5758" s="7">
        <v>0</v>
      </c>
      <c r="K5758">
        <f t="shared" si="89"/>
        <v>-31</v>
      </c>
      <c r="L5758" s="8" t="str" cm="1">
        <f t="array" ref="L5758">_xlfn.IFS(
 AND(K5758&gt;=89,K5758&lt;=92),"3개월",
 AND(K5758&gt;=58,K5758&lt;=62),"2개월",
 AND(K5758&gt;=28,K5758&lt;=32),"1개월",
 AND(K5758=0),"당월",
 TRUE,"그외"
)</f>
        <v>그외</v>
      </c>
    </row>
    <row r="5759" spans="1:12" x14ac:dyDescent="0.3">
      <c r="A5759" s="5">
        <v>45717</v>
      </c>
      <c r="B5759" s="6" t="s">
        <v>60</v>
      </c>
      <c r="C5759" s="6" t="s">
        <v>68</v>
      </c>
      <c r="D5759" s="5">
        <v>45505</v>
      </c>
      <c r="E5759" s="6" t="s">
        <v>15</v>
      </c>
      <c r="F5759" s="7">
        <v>158</v>
      </c>
      <c r="G5759" s="7">
        <v>190432.91139240511</v>
      </c>
      <c r="H5759" s="7">
        <v>30088400</v>
      </c>
      <c r="I5759" s="7">
        <v>6335800</v>
      </c>
      <c r="J5759" s="7">
        <v>0</v>
      </c>
      <c r="K5759">
        <f t="shared" si="89"/>
        <v>212</v>
      </c>
      <c r="L5759" s="8" t="str" cm="1">
        <f t="array" ref="L5759">_xlfn.IFS(
 AND(K5759&gt;=89,K5759&lt;=92),"3개월",
 AND(K5759&gt;=58,K5759&lt;=62),"2개월",
 AND(K5759&gt;=28,K5759&lt;=32),"1개월",
 AND(K5759=0),"당월",
 TRUE,"그외"
)</f>
        <v>그외</v>
      </c>
    </row>
    <row r="5760" spans="1:12" x14ac:dyDescent="0.3">
      <c r="A5760" s="5">
        <v>45717</v>
      </c>
      <c r="B5760" s="6" t="s">
        <v>60</v>
      </c>
      <c r="C5760" s="6" t="s">
        <v>68</v>
      </c>
      <c r="D5760" s="5">
        <v>45536</v>
      </c>
      <c r="E5760" s="6" t="s">
        <v>14</v>
      </c>
      <c r="F5760" s="7">
        <v>8</v>
      </c>
      <c r="G5760" s="7">
        <v>170800</v>
      </c>
      <c r="H5760" s="7">
        <v>1366400</v>
      </c>
      <c r="I5760" s="7">
        <v>286400</v>
      </c>
      <c r="J5760" s="7">
        <v>0</v>
      </c>
      <c r="K5760">
        <f t="shared" si="89"/>
        <v>181</v>
      </c>
      <c r="L5760" s="8" t="str" cm="1">
        <f t="array" ref="L5760">_xlfn.IFS(
 AND(K5760&gt;=89,K5760&lt;=92),"3개월",
 AND(K5760&gt;=58,K5760&lt;=62),"2개월",
 AND(K5760&gt;=28,K5760&lt;=32),"1개월",
 AND(K5760=0),"당월",
 TRUE,"그외"
)</f>
        <v>그외</v>
      </c>
    </row>
    <row r="5761" spans="1:12" x14ac:dyDescent="0.3">
      <c r="A5761" s="5">
        <v>45717</v>
      </c>
      <c r="B5761" s="6" t="s">
        <v>60</v>
      </c>
      <c r="C5761" s="6" t="s">
        <v>68</v>
      </c>
      <c r="D5761" s="5">
        <v>45536</v>
      </c>
      <c r="E5761" s="6" t="s">
        <v>15</v>
      </c>
      <c r="F5761" s="7">
        <v>75</v>
      </c>
      <c r="G5761" s="7">
        <v>230060</v>
      </c>
      <c r="H5761" s="7">
        <v>17254500</v>
      </c>
      <c r="I5761" s="7">
        <v>2685000</v>
      </c>
      <c r="J5761" s="7">
        <v>0</v>
      </c>
      <c r="K5761">
        <f t="shared" si="89"/>
        <v>181</v>
      </c>
      <c r="L5761" s="8" t="str" cm="1">
        <f t="array" ref="L5761">_xlfn.IFS(
 AND(K5761&gt;=89,K5761&lt;=92),"3개월",
 AND(K5761&gt;=58,K5761&lt;=62),"2개월",
 AND(K5761&gt;=28,K5761&lt;=32),"1개월",
 AND(K5761=0),"당월",
 TRUE,"그외"
)</f>
        <v>그외</v>
      </c>
    </row>
    <row r="5762" spans="1:12" x14ac:dyDescent="0.3">
      <c r="A5762" s="5">
        <v>45717</v>
      </c>
      <c r="B5762" s="6" t="s">
        <v>60</v>
      </c>
      <c r="C5762" s="6" t="s">
        <v>68</v>
      </c>
      <c r="D5762" s="5">
        <v>45566</v>
      </c>
      <c r="E5762" s="6" t="s">
        <v>14</v>
      </c>
      <c r="F5762" s="7">
        <v>22</v>
      </c>
      <c r="G5762" s="7">
        <v>157218.18181818179</v>
      </c>
      <c r="H5762" s="7">
        <v>3458800</v>
      </c>
      <c r="I5762" s="7">
        <v>558800</v>
      </c>
      <c r="J5762" s="7">
        <v>0</v>
      </c>
      <c r="K5762">
        <f t="shared" si="89"/>
        <v>151</v>
      </c>
      <c r="L5762" s="8" t="str" cm="1">
        <f t="array" ref="L5762">_xlfn.IFS(
 AND(K5762&gt;=89,K5762&lt;=92),"3개월",
 AND(K5762&gt;=58,K5762&lt;=62),"2개월",
 AND(K5762&gt;=28,K5762&lt;=32),"1개월",
 AND(K5762=0),"당월",
 TRUE,"그외"
)</f>
        <v>그외</v>
      </c>
    </row>
    <row r="5763" spans="1:12" x14ac:dyDescent="0.3">
      <c r="A5763" s="5">
        <v>45717</v>
      </c>
      <c r="B5763" s="6" t="s">
        <v>60</v>
      </c>
      <c r="C5763" s="6" t="s">
        <v>68</v>
      </c>
      <c r="D5763" s="5">
        <v>45566</v>
      </c>
      <c r="E5763" s="6" t="s">
        <v>15</v>
      </c>
      <c r="F5763" s="7">
        <v>288</v>
      </c>
      <c r="G5763" s="7">
        <v>186450.69444444441</v>
      </c>
      <c r="H5763" s="7">
        <v>53697800</v>
      </c>
      <c r="I5763" s="7">
        <v>7315200</v>
      </c>
      <c r="J5763" s="7">
        <v>0</v>
      </c>
      <c r="K5763">
        <f t="shared" si="89"/>
        <v>151</v>
      </c>
      <c r="L5763" s="8" t="str" cm="1">
        <f t="array" ref="L5763">_xlfn.IFS(
 AND(K5763&gt;=89,K5763&lt;=92),"3개월",
 AND(K5763&gt;=58,K5763&lt;=62),"2개월",
 AND(K5763&gt;=28,K5763&lt;=32),"1개월",
 AND(K5763=0),"당월",
 TRUE,"그외"
)</f>
        <v>그외</v>
      </c>
    </row>
    <row r="5764" spans="1:12" x14ac:dyDescent="0.3">
      <c r="A5764" s="5">
        <v>45717</v>
      </c>
      <c r="B5764" s="6" t="s">
        <v>60</v>
      </c>
      <c r="C5764" s="6" t="s">
        <v>68</v>
      </c>
      <c r="D5764" s="5">
        <v>45597</v>
      </c>
      <c r="E5764" s="6" t="s">
        <v>14</v>
      </c>
      <c r="F5764" s="7">
        <v>420</v>
      </c>
      <c r="G5764" s="7">
        <v>178302.38095238089</v>
      </c>
      <c r="H5764" s="7">
        <v>74887000</v>
      </c>
      <c r="I5764" s="7">
        <v>10668000</v>
      </c>
      <c r="J5764" s="7">
        <v>0</v>
      </c>
      <c r="K5764">
        <f t="shared" si="89"/>
        <v>120</v>
      </c>
      <c r="L5764" s="8" t="str" cm="1">
        <f t="array" ref="L5764">_xlfn.IFS(
 AND(K5764&gt;=89,K5764&lt;=92),"3개월",
 AND(K5764&gt;=58,K5764&lt;=62),"2개월",
 AND(K5764&gt;=28,K5764&lt;=32),"1개월",
 AND(K5764=0),"당월",
 TRUE,"그외"
)</f>
        <v>그외</v>
      </c>
    </row>
    <row r="5765" spans="1:12" x14ac:dyDescent="0.3">
      <c r="A5765" s="5">
        <v>45717</v>
      </c>
      <c r="B5765" s="6" t="s">
        <v>60</v>
      </c>
      <c r="C5765" s="6" t="s">
        <v>68</v>
      </c>
      <c r="D5765" s="5">
        <v>45597</v>
      </c>
      <c r="E5765" s="6" t="s">
        <v>15</v>
      </c>
      <c r="F5765" s="7">
        <v>377</v>
      </c>
      <c r="G5765" s="7">
        <v>213642.17506631301</v>
      </c>
      <c r="H5765" s="7">
        <v>80543100</v>
      </c>
      <c r="I5765" s="7">
        <v>9596600</v>
      </c>
      <c r="J5765" s="7">
        <v>0</v>
      </c>
      <c r="K5765">
        <f t="shared" si="89"/>
        <v>120</v>
      </c>
      <c r="L5765" s="8" t="str" cm="1">
        <f t="array" ref="L5765">_xlfn.IFS(
 AND(K5765&gt;=89,K5765&lt;=92),"3개월",
 AND(K5765&gt;=58,K5765&lt;=62),"2개월",
 AND(K5765&gt;=28,K5765&lt;=32),"1개월",
 AND(K5765=0),"당월",
 TRUE,"그외"
)</f>
        <v>그외</v>
      </c>
    </row>
    <row r="5766" spans="1:12" x14ac:dyDescent="0.3">
      <c r="A5766" s="5">
        <v>45717</v>
      </c>
      <c r="B5766" s="6" t="s">
        <v>60</v>
      </c>
      <c r="C5766" s="6" t="s">
        <v>68</v>
      </c>
      <c r="D5766" s="5">
        <v>45627</v>
      </c>
      <c r="E5766" s="6" t="s">
        <v>14</v>
      </c>
      <c r="F5766" s="7">
        <v>462</v>
      </c>
      <c r="G5766" s="7">
        <v>205429.87012987011</v>
      </c>
      <c r="H5766" s="7">
        <v>94908600</v>
      </c>
      <c r="I5766" s="7">
        <v>14070600</v>
      </c>
      <c r="J5766" s="7">
        <v>0</v>
      </c>
      <c r="K5766">
        <f t="shared" si="89"/>
        <v>90</v>
      </c>
      <c r="L5766" s="8" t="str" cm="1">
        <f t="array" ref="L5766">_xlfn.IFS(
 AND(K5766&gt;=89,K5766&lt;=92),"3개월",
 AND(K5766&gt;=58,K5766&lt;=62),"2개월",
 AND(K5766&gt;=28,K5766&lt;=32),"1개월",
 AND(K5766=0),"당월",
 TRUE,"그외"
)</f>
        <v>3개월</v>
      </c>
    </row>
    <row r="5767" spans="1:12" x14ac:dyDescent="0.3">
      <c r="A5767" s="5">
        <v>45717</v>
      </c>
      <c r="B5767" s="6" t="s">
        <v>60</v>
      </c>
      <c r="C5767" s="6" t="s">
        <v>68</v>
      </c>
      <c r="D5767" s="5">
        <v>45627</v>
      </c>
      <c r="E5767" s="6" t="s">
        <v>15</v>
      </c>
      <c r="F5767" s="7">
        <v>378</v>
      </c>
      <c r="G5767" s="7">
        <v>274997.08994709002</v>
      </c>
      <c r="H5767" s="7">
        <v>103948900</v>
      </c>
      <c r="I5767" s="7">
        <v>11529000</v>
      </c>
      <c r="J5767" s="7">
        <v>0</v>
      </c>
      <c r="K5767">
        <f t="shared" si="89"/>
        <v>90</v>
      </c>
      <c r="L5767" s="8" t="str" cm="1">
        <f t="array" ref="L5767">_xlfn.IFS(
 AND(K5767&gt;=89,K5767&lt;=92),"3개월",
 AND(K5767&gt;=58,K5767&lt;=62),"2개월",
 AND(K5767&gt;=28,K5767&lt;=32),"1개월",
 AND(K5767=0),"당월",
 TRUE,"그외"
)</f>
        <v>3개월</v>
      </c>
    </row>
    <row r="5768" spans="1:12" x14ac:dyDescent="0.3">
      <c r="A5768" s="5">
        <v>45717</v>
      </c>
      <c r="B5768" s="6" t="s">
        <v>60</v>
      </c>
      <c r="C5768" s="6" t="s">
        <v>68</v>
      </c>
      <c r="D5768" s="5">
        <v>45658</v>
      </c>
      <c r="E5768" s="6" t="s">
        <v>14</v>
      </c>
      <c r="F5768" s="7">
        <v>561</v>
      </c>
      <c r="G5768" s="7">
        <v>197613.19073083781</v>
      </c>
      <c r="H5768" s="7">
        <v>110861000</v>
      </c>
      <c r="I5768" s="7">
        <v>17390000</v>
      </c>
      <c r="J5768" s="7">
        <v>0</v>
      </c>
      <c r="K5768">
        <f t="shared" si="89"/>
        <v>59</v>
      </c>
      <c r="L5768" s="8" t="str" cm="1">
        <f t="array" ref="L5768">_xlfn.IFS(
 AND(K5768&gt;=89,K5768&lt;=92),"3개월",
 AND(K5768&gt;=58,K5768&lt;=62),"2개월",
 AND(K5768&gt;=28,K5768&lt;=32),"1개월",
 AND(K5768=0),"당월",
 TRUE,"그외"
)</f>
        <v>2개월</v>
      </c>
    </row>
    <row r="5769" spans="1:12" x14ac:dyDescent="0.3">
      <c r="A5769" s="5">
        <v>45717</v>
      </c>
      <c r="B5769" s="6" t="s">
        <v>60</v>
      </c>
      <c r="C5769" s="6" t="s">
        <v>68</v>
      </c>
      <c r="D5769" s="5">
        <v>45658</v>
      </c>
      <c r="E5769" s="6" t="s">
        <v>15</v>
      </c>
      <c r="F5769" s="7">
        <v>745</v>
      </c>
      <c r="G5769" s="7">
        <v>234993.40536912749</v>
      </c>
      <c r="H5769" s="7">
        <v>175070087</v>
      </c>
      <c r="I5769" s="7">
        <v>23134267</v>
      </c>
      <c r="J5769" s="7">
        <v>0</v>
      </c>
      <c r="K5769">
        <f t="shared" si="89"/>
        <v>59</v>
      </c>
      <c r="L5769" s="8" t="str" cm="1">
        <f t="array" ref="L5769">_xlfn.IFS(
 AND(K5769&gt;=89,K5769&lt;=92),"3개월",
 AND(K5769&gt;=58,K5769&lt;=62),"2개월",
 AND(K5769&gt;=28,K5769&lt;=32),"1개월",
 AND(K5769=0),"당월",
 TRUE,"그외"
)</f>
        <v>2개월</v>
      </c>
    </row>
    <row r="5770" spans="1:12" x14ac:dyDescent="0.3">
      <c r="A5770" s="5">
        <v>45717</v>
      </c>
      <c r="B5770" s="6" t="s">
        <v>60</v>
      </c>
      <c r="C5770" s="6" t="s">
        <v>68</v>
      </c>
      <c r="D5770" s="5">
        <v>45689</v>
      </c>
      <c r="E5770" s="6" t="s">
        <v>14</v>
      </c>
      <c r="F5770" s="7">
        <v>1938</v>
      </c>
      <c r="G5770" s="7">
        <v>189375.4901960784</v>
      </c>
      <c r="H5770" s="7">
        <v>367009700</v>
      </c>
      <c r="I5770" s="7">
        <v>62163700</v>
      </c>
      <c r="J5770" s="7">
        <v>0</v>
      </c>
      <c r="K5770">
        <f t="shared" ref="K5770:K5833" si="90">A5770-D5770</f>
        <v>28</v>
      </c>
      <c r="L5770" s="8" t="str" cm="1">
        <f t="array" ref="L5770">_xlfn.IFS(
 AND(K5770&gt;=89,K5770&lt;=92),"3개월",
 AND(K5770&gt;=58,K5770&lt;=62),"2개월",
 AND(K5770&gt;=28,K5770&lt;=32),"1개월",
 AND(K5770=0),"당월",
 TRUE,"그외"
)</f>
        <v>1개월</v>
      </c>
    </row>
    <row r="5771" spans="1:12" x14ac:dyDescent="0.3">
      <c r="A5771" s="5">
        <v>45717</v>
      </c>
      <c r="B5771" s="6" t="s">
        <v>60</v>
      </c>
      <c r="C5771" s="6" t="s">
        <v>68</v>
      </c>
      <c r="D5771" s="5">
        <v>45689</v>
      </c>
      <c r="E5771" s="6" t="s">
        <v>15</v>
      </c>
      <c r="F5771" s="7">
        <v>2165</v>
      </c>
      <c r="G5771" s="7">
        <v>187788.53672055429</v>
      </c>
      <c r="H5771" s="7">
        <v>406562182</v>
      </c>
      <c r="I5771" s="7">
        <v>69758867</v>
      </c>
      <c r="J5771" s="7">
        <v>0</v>
      </c>
      <c r="K5771">
        <f t="shared" si="90"/>
        <v>28</v>
      </c>
      <c r="L5771" s="8" t="str" cm="1">
        <f t="array" ref="L5771">_xlfn.IFS(
 AND(K5771&gt;=89,K5771&lt;=92),"3개월",
 AND(K5771&gt;=58,K5771&lt;=62),"2개월",
 AND(K5771&gt;=28,K5771&lt;=32),"1개월",
 AND(K5771=0),"당월",
 TRUE,"그외"
)</f>
        <v>1개월</v>
      </c>
    </row>
    <row r="5772" spans="1:12" x14ac:dyDescent="0.3">
      <c r="A5772" s="5">
        <v>45717</v>
      </c>
      <c r="B5772" s="6" t="s">
        <v>60</v>
      </c>
      <c r="C5772" s="6" t="s">
        <v>68</v>
      </c>
      <c r="D5772" s="5">
        <v>45717</v>
      </c>
      <c r="E5772" s="6" t="s">
        <v>14</v>
      </c>
      <c r="F5772" s="7">
        <v>509</v>
      </c>
      <c r="G5772" s="7">
        <v>167486.6404715128</v>
      </c>
      <c r="H5772" s="7">
        <v>85250700</v>
      </c>
      <c r="I5772" s="7">
        <v>18262700</v>
      </c>
      <c r="J5772" s="7">
        <v>0</v>
      </c>
      <c r="K5772">
        <f t="shared" si="90"/>
        <v>0</v>
      </c>
      <c r="L5772" s="8" t="str" cm="1">
        <f t="array" ref="L5772">_xlfn.IFS(
 AND(K5772&gt;=89,K5772&lt;=92),"3개월",
 AND(K5772&gt;=58,K5772&lt;=62),"2개월",
 AND(K5772&gt;=28,K5772&lt;=32),"1개월",
 AND(K5772=0),"당월",
 TRUE,"그외"
)</f>
        <v>당월</v>
      </c>
    </row>
    <row r="5773" spans="1:12" x14ac:dyDescent="0.3">
      <c r="A5773" s="5">
        <v>45717</v>
      </c>
      <c r="B5773" s="6" t="s">
        <v>60</v>
      </c>
      <c r="C5773" s="6" t="s">
        <v>68</v>
      </c>
      <c r="D5773" s="5">
        <v>45717</v>
      </c>
      <c r="E5773" s="6" t="s">
        <v>15</v>
      </c>
      <c r="F5773" s="7">
        <v>1343</v>
      </c>
      <c r="G5773" s="7">
        <v>164621.11094564409</v>
      </c>
      <c r="H5773" s="7">
        <v>221086152</v>
      </c>
      <c r="I5773" s="7">
        <v>48199782</v>
      </c>
      <c r="J5773" s="7">
        <v>0</v>
      </c>
      <c r="K5773">
        <f t="shared" si="90"/>
        <v>0</v>
      </c>
      <c r="L5773" s="8" t="str" cm="1">
        <f t="array" ref="L5773">_xlfn.IFS(
 AND(K5773&gt;=89,K5773&lt;=92),"3개월",
 AND(K5773&gt;=58,K5773&lt;=62),"2개월",
 AND(K5773&gt;=28,K5773&lt;=32),"1개월",
 AND(K5773=0),"당월",
 TRUE,"그외"
)</f>
        <v>당월</v>
      </c>
    </row>
    <row r="5774" spans="1:12" x14ac:dyDescent="0.3">
      <c r="A5774" s="5">
        <v>45717</v>
      </c>
      <c r="B5774" s="6" t="s">
        <v>60</v>
      </c>
      <c r="C5774" s="6" t="s">
        <v>69</v>
      </c>
      <c r="D5774" s="5">
        <v>45505</v>
      </c>
      <c r="E5774" s="6" t="s">
        <v>15</v>
      </c>
      <c r="F5774" s="7">
        <v>103</v>
      </c>
      <c r="G5774" s="7">
        <v>206049.51456310679</v>
      </c>
      <c r="H5774" s="7">
        <v>21223100</v>
      </c>
      <c r="I5774" s="7">
        <v>4130300</v>
      </c>
      <c r="J5774" s="7">
        <v>0</v>
      </c>
      <c r="K5774">
        <f t="shared" si="90"/>
        <v>212</v>
      </c>
      <c r="L5774" s="8" t="str" cm="1">
        <f t="array" ref="L5774">_xlfn.IFS(
 AND(K5774&gt;=89,K5774&lt;=92),"3개월",
 AND(K5774&gt;=58,K5774&lt;=62),"2개월",
 AND(K5774&gt;=28,K5774&lt;=32),"1개월",
 AND(K5774=0),"당월",
 TRUE,"그외"
)</f>
        <v>그외</v>
      </c>
    </row>
    <row r="5775" spans="1:12" x14ac:dyDescent="0.3">
      <c r="A5775" s="5">
        <v>45717</v>
      </c>
      <c r="B5775" s="6" t="s">
        <v>60</v>
      </c>
      <c r="C5775" s="6" t="s">
        <v>69</v>
      </c>
      <c r="D5775" s="5">
        <v>45536</v>
      </c>
      <c r="E5775" s="6" t="s">
        <v>15</v>
      </c>
      <c r="F5775" s="7">
        <v>33</v>
      </c>
      <c r="G5775" s="7">
        <v>263263.63636363641</v>
      </c>
      <c r="H5775" s="7">
        <v>8687700</v>
      </c>
      <c r="I5775" s="7">
        <v>1185700</v>
      </c>
      <c r="J5775" s="7">
        <v>0</v>
      </c>
      <c r="K5775">
        <f t="shared" si="90"/>
        <v>181</v>
      </c>
      <c r="L5775" s="8" t="str" cm="1">
        <f t="array" ref="L5775">_xlfn.IFS(
 AND(K5775&gt;=89,K5775&lt;=92),"3개월",
 AND(K5775&gt;=58,K5775&lt;=62),"2개월",
 AND(K5775&gt;=28,K5775&lt;=32),"1개월",
 AND(K5775=0),"당월",
 TRUE,"그외"
)</f>
        <v>그외</v>
      </c>
    </row>
    <row r="5776" spans="1:12" x14ac:dyDescent="0.3">
      <c r="A5776" s="5">
        <v>45717</v>
      </c>
      <c r="B5776" s="6" t="s">
        <v>60</v>
      </c>
      <c r="C5776" s="6" t="s">
        <v>69</v>
      </c>
      <c r="D5776" s="5">
        <v>45566</v>
      </c>
      <c r="E5776" s="6" t="s">
        <v>15</v>
      </c>
      <c r="F5776" s="7">
        <v>11</v>
      </c>
      <c r="G5776" s="7">
        <v>226114.18181818179</v>
      </c>
      <c r="H5776" s="7">
        <v>2487256</v>
      </c>
      <c r="I5776" s="7">
        <v>322162</v>
      </c>
      <c r="J5776" s="7">
        <v>0</v>
      </c>
      <c r="K5776">
        <f t="shared" si="90"/>
        <v>151</v>
      </c>
      <c r="L5776" s="8" t="str" cm="1">
        <f t="array" ref="L5776">_xlfn.IFS(
 AND(K5776&gt;=89,K5776&lt;=92),"3개월",
 AND(K5776&gt;=58,K5776&lt;=62),"2개월",
 AND(K5776&gt;=28,K5776&lt;=32),"1개월",
 AND(K5776=0),"당월",
 TRUE,"그외"
)</f>
        <v>그외</v>
      </c>
    </row>
    <row r="5777" spans="1:12" x14ac:dyDescent="0.3">
      <c r="A5777" s="5">
        <v>45717</v>
      </c>
      <c r="B5777" s="6" t="s">
        <v>60</v>
      </c>
      <c r="C5777" s="6" t="s">
        <v>69</v>
      </c>
      <c r="D5777" s="5">
        <v>45597</v>
      </c>
      <c r="E5777" s="6" t="s">
        <v>14</v>
      </c>
      <c r="F5777" s="7">
        <v>131</v>
      </c>
      <c r="G5777" s="7">
        <v>207438.16793893129</v>
      </c>
      <c r="H5777" s="7">
        <v>27174400</v>
      </c>
      <c r="I5777" s="7">
        <v>3327400</v>
      </c>
      <c r="J5777" s="7">
        <v>0</v>
      </c>
      <c r="K5777">
        <f t="shared" si="90"/>
        <v>120</v>
      </c>
      <c r="L5777" s="8" t="str" cm="1">
        <f t="array" ref="L5777">_xlfn.IFS(
 AND(K5777&gt;=89,K5777&lt;=92),"3개월",
 AND(K5777&gt;=58,K5777&lt;=62),"2개월",
 AND(K5777&gt;=28,K5777&lt;=32),"1개월",
 AND(K5777=0),"당월",
 TRUE,"그외"
)</f>
        <v>그외</v>
      </c>
    </row>
    <row r="5778" spans="1:12" x14ac:dyDescent="0.3">
      <c r="A5778" s="5">
        <v>45717</v>
      </c>
      <c r="B5778" s="6" t="s">
        <v>60</v>
      </c>
      <c r="C5778" s="6" t="s">
        <v>69</v>
      </c>
      <c r="D5778" s="5">
        <v>45597</v>
      </c>
      <c r="E5778" s="6" t="s">
        <v>15</v>
      </c>
      <c r="F5778" s="7">
        <v>79</v>
      </c>
      <c r="G5778" s="7">
        <v>264979.74683544302</v>
      </c>
      <c r="H5778" s="7">
        <v>20933400</v>
      </c>
      <c r="I5778" s="7">
        <v>2006600</v>
      </c>
      <c r="J5778" s="7">
        <v>0</v>
      </c>
      <c r="K5778">
        <f t="shared" si="90"/>
        <v>120</v>
      </c>
      <c r="L5778" s="8" t="str" cm="1">
        <f t="array" ref="L5778">_xlfn.IFS(
 AND(K5778&gt;=89,K5778&lt;=92),"3개월",
 AND(K5778&gt;=58,K5778&lt;=62),"2개월",
 AND(K5778&gt;=28,K5778&lt;=32),"1개월",
 AND(K5778=0),"당월",
 TRUE,"그외"
)</f>
        <v>그외</v>
      </c>
    </row>
    <row r="5779" spans="1:12" x14ac:dyDescent="0.3">
      <c r="A5779" s="5">
        <v>45717</v>
      </c>
      <c r="B5779" s="6" t="s">
        <v>60</v>
      </c>
      <c r="C5779" s="6" t="s">
        <v>69</v>
      </c>
      <c r="D5779" s="5">
        <v>45627</v>
      </c>
      <c r="E5779" s="6" t="s">
        <v>14</v>
      </c>
      <c r="F5779" s="7">
        <v>397</v>
      </c>
      <c r="G5779" s="7">
        <v>222283.37531486139</v>
      </c>
      <c r="H5779" s="7">
        <v>88246500</v>
      </c>
      <c r="I5779" s="7">
        <v>12108500</v>
      </c>
      <c r="J5779" s="7">
        <v>0</v>
      </c>
      <c r="K5779">
        <f t="shared" si="90"/>
        <v>90</v>
      </c>
      <c r="L5779" s="8" t="str" cm="1">
        <f t="array" ref="L5779">_xlfn.IFS(
 AND(K5779&gt;=89,K5779&lt;=92),"3개월",
 AND(K5779&gt;=58,K5779&lt;=62),"2개월",
 AND(K5779&gt;=28,K5779&lt;=32),"1개월",
 AND(K5779=0),"당월",
 TRUE,"그외"
)</f>
        <v>3개월</v>
      </c>
    </row>
    <row r="5780" spans="1:12" x14ac:dyDescent="0.3">
      <c r="A5780" s="5">
        <v>45717</v>
      </c>
      <c r="B5780" s="6" t="s">
        <v>60</v>
      </c>
      <c r="C5780" s="6" t="s">
        <v>69</v>
      </c>
      <c r="D5780" s="5">
        <v>45627</v>
      </c>
      <c r="E5780" s="6" t="s">
        <v>15</v>
      </c>
      <c r="F5780" s="7">
        <v>425</v>
      </c>
      <c r="G5780" s="7">
        <v>193845.20941176469</v>
      </c>
      <c r="H5780" s="7">
        <v>82384214</v>
      </c>
      <c r="I5780" s="7">
        <v>13034489</v>
      </c>
      <c r="J5780" s="7">
        <v>0</v>
      </c>
      <c r="K5780">
        <f t="shared" si="90"/>
        <v>90</v>
      </c>
      <c r="L5780" s="8" t="str" cm="1">
        <f t="array" ref="L5780">_xlfn.IFS(
 AND(K5780&gt;=89,K5780&lt;=92),"3개월",
 AND(K5780&gt;=58,K5780&lt;=62),"2개월",
 AND(K5780&gt;=28,K5780&lt;=32),"1개월",
 AND(K5780=0),"당월",
 TRUE,"그외"
)</f>
        <v>3개월</v>
      </c>
    </row>
    <row r="5781" spans="1:12" x14ac:dyDescent="0.3">
      <c r="A5781" s="5">
        <v>45717</v>
      </c>
      <c r="B5781" s="6" t="s">
        <v>60</v>
      </c>
      <c r="C5781" s="6" t="s">
        <v>69</v>
      </c>
      <c r="D5781" s="5">
        <v>45658</v>
      </c>
      <c r="E5781" s="6" t="s">
        <v>14</v>
      </c>
      <c r="F5781" s="7">
        <v>455</v>
      </c>
      <c r="G5781" s="7">
        <v>169881.31868131869</v>
      </c>
      <c r="H5781" s="7">
        <v>77296000</v>
      </c>
      <c r="I5781" s="7">
        <v>14105000</v>
      </c>
      <c r="J5781" s="7">
        <v>0</v>
      </c>
      <c r="K5781">
        <f t="shared" si="90"/>
        <v>59</v>
      </c>
      <c r="L5781" s="8" t="str" cm="1">
        <f t="array" ref="L5781">_xlfn.IFS(
 AND(K5781&gt;=89,K5781&lt;=92),"3개월",
 AND(K5781&gt;=58,K5781&lt;=62),"2개월",
 AND(K5781&gt;=28,K5781&lt;=32),"1개월",
 AND(K5781=0),"당월",
 TRUE,"그외"
)</f>
        <v>2개월</v>
      </c>
    </row>
    <row r="5782" spans="1:12" x14ac:dyDescent="0.3">
      <c r="A5782" s="5">
        <v>45717</v>
      </c>
      <c r="B5782" s="6" t="s">
        <v>60</v>
      </c>
      <c r="C5782" s="6" t="s">
        <v>69</v>
      </c>
      <c r="D5782" s="5">
        <v>45658</v>
      </c>
      <c r="E5782" s="6" t="s">
        <v>15</v>
      </c>
      <c r="F5782" s="7">
        <v>1664</v>
      </c>
      <c r="G5782" s="7">
        <v>172754.99519230769</v>
      </c>
      <c r="H5782" s="7">
        <v>287464312</v>
      </c>
      <c r="I5782" s="7">
        <v>51994059</v>
      </c>
      <c r="J5782" s="7">
        <v>0</v>
      </c>
      <c r="K5782">
        <f t="shared" si="90"/>
        <v>59</v>
      </c>
      <c r="L5782" s="8" t="str" cm="1">
        <f t="array" ref="L5782">_xlfn.IFS(
 AND(K5782&gt;=89,K5782&lt;=92),"3개월",
 AND(K5782&gt;=58,K5782&lt;=62),"2개월",
 AND(K5782&gt;=28,K5782&lt;=32),"1개월",
 AND(K5782=0),"당월",
 TRUE,"그외"
)</f>
        <v>2개월</v>
      </c>
    </row>
    <row r="5783" spans="1:12" x14ac:dyDescent="0.3">
      <c r="A5783" s="5">
        <v>45717</v>
      </c>
      <c r="B5783" s="6" t="s">
        <v>60</v>
      </c>
      <c r="C5783" s="6" t="s">
        <v>69</v>
      </c>
      <c r="D5783" s="5">
        <v>45689</v>
      </c>
      <c r="E5783" s="6" t="s">
        <v>14</v>
      </c>
      <c r="F5783" s="7">
        <v>3377</v>
      </c>
      <c r="G5783" s="7">
        <v>148318.4779389991</v>
      </c>
      <c r="H5783" s="7">
        <v>500871500</v>
      </c>
      <c r="I5783" s="7">
        <v>108393500</v>
      </c>
      <c r="J5783" s="7">
        <v>0</v>
      </c>
      <c r="K5783">
        <f t="shared" si="90"/>
        <v>28</v>
      </c>
      <c r="L5783" s="8" t="str" cm="1">
        <f t="array" ref="L5783">_xlfn.IFS(
 AND(K5783&gt;=89,K5783&lt;=92),"3개월",
 AND(K5783&gt;=58,K5783&lt;=62),"2개월",
 AND(K5783&gt;=28,K5783&lt;=32),"1개월",
 AND(K5783=0),"당월",
 TRUE,"그외"
)</f>
        <v>1개월</v>
      </c>
    </row>
    <row r="5784" spans="1:12" x14ac:dyDescent="0.3">
      <c r="A5784" s="5">
        <v>45717</v>
      </c>
      <c r="B5784" s="6" t="s">
        <v>60</v>
      </c>
      <c r="C5784" s="6" t="s">
        <v>69</v>
      </c>
      <c r="D5784" s="5">
        <v>45689</v>
      </c>
      <c r="E5784" s="6" t="s">
        <v>15</v>
      </c>
      <c r="F5784" s="7">
        <v>1359</v>
      </c>
      <c r="G5784" s="7">
        <v>183743.37748344371</v>
      </c>
      <c r="H5784" s="7">
        <v>249707250</v>
      </c>
      <c r="I5784" s="7">
        <v>43860873</v>
      </c>
      <c r="J5784" s="7">
        <v>0</v>
      </c>
      <c r="K5784">
        <f t="shared" si="90"/>
        <v>28</v>
      </c>
      <c r="L5784" s="8" t="str" cm="1">
        <f t="array" ref="L5784">_xlfn.IFS(
 AND(K5784&gt;=89,K5784&lt;=92),"3개월",
 AND(K5784&gt;=58,K5784&lt;=62),"2개월",
 AND(K5784&gt;=28,K5784&lt;=32),"1개월",
 AND(K5784=0),"당월",
 TRUE,"그외"
)</f>
        <v>1개월</v>
      </c>
    </row>
    <row r="5785" spans="1:12" x14ac:dyDescent="0.3">
      <c r="A5785" s="5">
        <v>45717</v>
      </c>
      <c r="B5785" s="6" t="s">
        <v>60</v>
      </c>
      <c r="C5785" s="6" t="s">
        <v>69</v>
      </c>
      <c r="D5785" s="5">
        <v>45717</v>
      </c>
      <c r="E5785" s="6" t="s">
        <v>14</v>
      </c>
      <c r="F5785" s="7">
        <v>757</v>
      </c>
      <c r="G5785" s="7">
        <v>148780.97754293261</v>
      </c>
      <c r="H5785" s="7">
        <v>112627200</v>
      </c>
      <c r="I5785" s="7">
        <v>26978200</v>
      </c>
      <c r="J5785" s="7">
        <v>0</v>
      </c>
      <c r="K5785">
        <f t="shared" si="90"/>
        <v>0</v>
      </c>
      <c r="L5785" s="8" t="str" cm="1">
        <f t="array" ref="L5785">_xlfn.IFS(
 AND(K5785&gt;=89,K5785&lt;=92),"3개월",
 AND(K5785&gt;=58,K5785&lt;=62),"2개월",
 AND(K5785&gt;=28,K5785&lt;=32),"1개월",
 AND(K5785=0),"당월",
 TRUE,"그외"
)</f>
        <v>당월</v>
      </c>
    </row>
    <row r="5786" spans="1:12" x14ac:dyDescent="0.3">
      <c r="A5786" s="5">
        <v>45717</v>
      </c>
      <c r="B5786" s="6" t="s">
        <v>60</v>
      </c>
      <c r="C5786" s="6" t="s">
        <v>69</v>
      </c>
      <c r="D5786" s="5">
        <v>45717</v>
      </c>
      <c r="E5786" s="6" t="s">
        <v>15</v>
      </c>
      <c r="F5786" s="7">
        <v>716</v>
      </c>
      <c r="G5786" s="7">
        <v>157894.561452514</v>
      </c>
      <c r="H5786" s="7">
        <v>113052506</v>
      </c>
      <c r="I5786" s="7">
        <v>24799308</v>
      </c>
      <c r="J5786" s="7">
        <v>0</v>
      </c>
      <c r="K5786">
        <f t="shared" si="90"/>
        <v>0</v>
      </c>
      <c r="L5786" s="8" t="str" cm="1">
        <f t="array" ref="L5786">_xlfn.IFS(
 AND(K5786&gt;=89,K5786&lt;=92),"3개월",
 AND(K5786&gt;=58,K5786&lt;=62),"2개월",
 AND(K5786&gt;=28,K5786&lt;=32),"1개월",
 AND(K5786=0),"당월",
 TRUE,"그외"
)</f>
        <v>당월</v>
      </c>
    </row>
    <row r="5787" spans="1:12" x14ac:dyDescent="0.3">
      <c r="A5787" s="5">
        <v>45717</v>
      </c>
      <c r="B5787" s="6" t="s">
        <v>60</v>
      </c>
      <c r="C5787" s="6" t="s">
        <v>70</v>
      </c>
      <c r="D5787" s="5">
        <v>45505</v>
      </c>
      <c r="E5787" s="6" t="s">
        <v>15</v>
      </c>
      <c r="F5787" s="7">
        <v>37</v>
      </c>
      <c r="G5787" s="7">
        <v>166618.91891891891</v>
      </c>
      <c r="H5787" s="7">
        <v>6164900</v>
      </c>
      <c r="I5787" s="7">
        <v>1483700</v>
      </c>
      <c r="J5787" s="7">
        <v>0</v>
      </c>
      <c r="K5787">
        <f t="shared" si="90"/>
        <v>212</v>
      </c>
      <c r="L5787" s="8" t="str" cm="1">
        <f t="array" ref="L5787">_xlfn.IFS(
 AND(K5787&gt;=89,K5787&lt;=92),"3개월",
 AND(K5787&gt;=58,K5787&lt;=62),"2개월",
 AND(K5787&gt;=28,K5787&lt;=32),"1개월",
 AND(K5787=0),"당월",
 TRUE,"그외"
)</f>
        <v>그외</v>
      </c>
    </row>
    <row r="5788" spans="1:12" x14ac:dyDescent="0.3">
      <c r="A5788" s="5">
        <v>45717</v>
      </c>
      <c r="B5788" s="6" t="s">
        <v>60</v>
      </c>
      <c r="C5788" s="6" t="s">
        <v>70</v>
      </c>
      <c r="D5788" s="5">
        <v>45536</v>
      </c>
      <c r="E5788" s="6" t="s">
        <v>15</v>
      </c>
      <c r="F5788" s="7">
        <v>64</v>
      </c>
      <c r="G5788" s="7">
        <v>159993.75</v>
      </c>
      <c r="H5788" s="7">
        <v>10239600</v>
      </c>
      <c r="I5788" s="7">
        <v>2291200</v>
      </c>
      <c r="J5788" s="7">
        <v>0</v>
      </c>
      <c r="K5788">
        <f t="shared" si="90"/>
        <v>181</v>
      </c>
      <c r="L5788" s="8" t="str" cm="1">
        <f t="array" ref="L5788">_xlfn.IFS(
 AND(K5788&gt;=89,K5788&lt;=92),"3개월",
 AND(K5788&gt;=58,K5788&lt;=62),"2개월",
 AND(K5788&gt;=28,K5788&lt;=32),"1개월",
 AND(K5788=0),"당월",
 TRUE,"그외"
)</f>
        <v>그외</v>
      </c>
    </row>
    <row r="5789" spans="1:12" x14ac:dyDescent="0.3">
      <c r="A5789" s="5">
        <v>45717</v>
      </c>
      <c r="B5789" s="6" t="s">
        <v>60</v>
      </c>
      <c r="C5789" s="6" t="s">
        <v>70</v>
      </c>
      <c r="D5789" s="5">
        <v>45566</v>
      </c>
      <c r="E5789" s="6" t="s">
        <v>15</v>
      </c>
      <c r="F5789" s="7">
        <v>88</v>
      </c>
      <c r="G5789" s="7">
        <v>119023.2954545455</v>
      </c>
      <c r="H5789" s="7">
        <v>10474050</v>
      </c>
      <c r="I5789" s="7">
        <v>2264398</v>
      </c>
      <c r="J5789" s="7">
        <v>0</v>
      </c>
      <c r="K5789">
        <f t="shared" si="90"/>
        <v>151</v>
      </c>
      <c r="L5789" s="8" t="str" cm="1">
        <f t="array" ref="L5789">_xlfn.IFS(
 AND(K5789&gt;=89,K5789&lt;=92),"3개월",
 AND(K5789&gt;=58,K5789&lt;=62),"2개월",
 AND(K5789&gt;=28,K5789&lt;=32),"1개월",
 AND(K5789=0),"당월",
 TRUE,"그외"
)</f>
        <v>그외</v>
      </c>
    </row>
    <row r="5790" spans="1:12" x14ac:dyDescent="0.3">
      <c r="A5790" s="5">
        <v>45717</v>
      </c>
      <c r="B5790" s="6" t="s">
        <v>60</v>
      </c>
      <c r="C5790" s="6" t="s">
        <v>70</v>
      </c>
      <c r="D5790" s="5">
        <v>45597</v>
      </c>
      <c r="E5790" s="6" t="s">
        <v>14</v>
      </c>
      <c r="F5790" s="7">
        <v>536</v>
      </c>
      <c r="G5790" s="7">
        <v>155534.32835820899</v>
      </c>
      <c r="H5790" s="7">
        <v>83366400</v>
      </c>
      <c r="I5790" s="7">
        <v>13614400</v>
      </c>
      <c r="J5790" s="7">
        <v>0</v>
      </c>
      <c r="K5790">
        <f t="shared" si="90"/>
        <v>120</v>
      </c>
      <c r="L5790" s="8" t="str" cm="1">
        <f t="array" ref="L5790">_xlfn.IFS(
 AND(K5790&gt;=89,K5790&lt;=92),"3개월",
 AND(K5790&gt;=58,K5790&lt;=62),"2개월",
 AND(K5790&gt;=28,K5790&lt;=32),"1개월",
 AND(K5790=0),"당월",
 TRUE,"그외"
)</f>
        <v>그외</v>
      </c>
    </row>
    <row r="5791" spans="1:12" x14ac:dyDescent="0.3">
      <c r="A5791" s="5">
        <v>45717</v>
      </c>
      <c r="B5791" s="6" t="s">
        <v>60</v>
      </c>
      <c r="C5791" s="6" t="s">
        <v>70</v>
      </c>
      <c r="D5791" s="5">
        <v>45597</v>
      </c>
      <c r="E5791" s="6" t="s">
        <v>15</v>
      </c>
      <c r="F5791" s="7">
        <v>122</v>
      </c>
      <c r="G5791" s="7">
        <v>196989.34426229511</v>
      </c>
      <c r="H5791" s="7">
        <v>24032700</v>
      </c>
      <c r="I5791" s="7">
        <v>3115484</v>
      </c>
      <c r="J5791" s="7">
        <v>0</v>
      </c>
      <c r="K5791">
        <f t="shared" si="90"/>
        <v>120</v>
      </c>
      <c r="L5791" s="8" t="str" cm="1">
        <f t="array" ref="L5791">_xlfn.IFS(
 AND(K5791&gt;=89,K5791&lt;=92),"3개월",
 AND(K5791&gt;=58,K5791&lt;=62),"2개월",
 AND(K5791&gt;=28,K5791&lt;=32),"1개월",
 AND(K5791=0),"당월",
 TRUE,"그외"
)</f>
        <v>그외</v>
      </c>
    </row>
    <row r="5792" spans="1:12" x14ac:dyDescent="0.3">
      <c r="A5792" s="5">
        <v>45717</v>
      </c>
      <c r="B5792" s="6" t="s">
        <v>60</v>
      </c>
      <c r="C5792" s="6" t="s">
        <v>70</v>
      </c>
      <c r="D5792" s="5">
        <v>45627</v>
      </c>
      <c r="E5792" s="6" t="s">
        <v>14</v>
      </c>
      <c r="F5792" s="7">
        <v>731</v>
      </c>
      <c r="G5792" s="7">
        <v>147482.21614227089</v>
      </c>
      <c r="H5792" s="7">
        <v>107809500</v>
      </c>
      <c r="I5792" s="7">
        <v>22295500</v>
      </c>
      <c r="J5792" s="7">
        <v>0</v>
      </c>
      <c r="K5792">
        <f t="shared" si="90"/>
        <v>90</v>
      </c>
      <c r="L5792" s="8" t="str" cm="1">
        <f t="array" ref="L5792">_xlfn.IFS(
 AND(K5792&gt;=89,K5792&lt;=92),"3개월",
 AND(K5792&gt;=58,K5792&lt;=62),"2개월",
 AND(K5792&gt;=28,K5792&lt;=32),"1개월",
 AND(K5792=0),"당월",
 TRUE,"그외"
)</f>
        <v>3개월</v>
      </c>
    </row>
    <row r="5793" spans="1:12" x14ac:dyDescent="0.3">
      <c r="A5793" s="5">
        <v>45717</v>
      </c>
      <c r="B5793" s="6" t="s">
        <v>60</v>
      </c>
      <c r="C5793" s="6" t="s">
        <v>70</v>
      </c>
      <c r="D5793" s="5">
        <v>45627</v>
      </c>
      <c r="E5793" s="6" t="s">
        <v>15</v>
      </c>
      <c r="F5793" s="7">
        <v>290</v>
      </c>
      <c r="G5793" s="7">
        <v>226035.79655172411</v>
      </c>
      <c r="H5793" s="7">
        <v>65550381</v>
      </c>
      <c r="I5793" s="7">
        <v>9001874</v>
      </c>
      <c r="J5793" s="7">
        <v>0</v>
      </c>
      <c r="K5793">
        <f t="shared" si="90"/>
        <v>90</v>
      </c>
      <c r="L5793" s="8" t="str" cm="1">
        <f t="array" ref="L5793">_xlfn.IFS(
 AND(K5793&gt;=89,K5793&lt;=92),"3개월",
 AND(K5793&gt;=58,K5793&lt;=62),"2개월",
 AND(K5793&gt;=28,K5793&lt;=32),"1개월",
 AND(K5793=0),"당월",
 TRUE,"그외"
)</f>
        <v>3개월</v>
      </c>
    </row>
    <row r="5794" spans="1:12" x14ac:dyDescent="0.3">
      <c r="A5794" s="5">
        <v>45717</v>
      </c>
      <c r="B5794" s="6" t="s">
        <v>60</v>
      </c>
      <c r="C5794" s="6" t="s">
        <v>70</v>
      </c>
      <c r="D5794" s="5">
        <v>45658</v>
      </c>
      <c r="E5794" s="6" t="s">
        <v>14</v>
      </c>
      <c r="F5794" s="7">
        <v>170</v>
      </c>
      <c r="G5794" s="7">
        <v>190058.82352941181</v>
      </c>
      <c r="H5794" s="7">
        <v>32310000</v>
      </c>
      <c r="I5794" s="7">
        <v>5270000</v>
      </c>
      <c r="J5794" s="7">
        <v>0</v>
      </c>
      <c r="K5794">
        <f t="shared" si="90"/>
        <v>59</v>
      </c>
      <c r="L5794" s="8" t="str" cm="1">
        <f t="array" ref="L5794">_xlfn.IFS(
 AND(K5794&gt;=89,K5794&lt;=92),"3개월",
 AND(K5794&gt;=58,K5794&lt;=62),"2개월",
 AND(K5794&gt;=28,K5794&lt;=32),"1개월",
 AND(K5794=0),"당월",
 TRUE,"그외"
)</f>
        <v>2개월</v>
      </c>
    </row>
    <row r="5795" spans="1:12" x14ac:dyDescent="0.3">
      <c r="A5795" s="5">
        <v>45717</v>
      </c>
      <c r="B5795" s="6" t="s">
        <v>60</v>
      </c>
      <c r="C5795" s="6" t="s">
        <v>70</v>
      </c>
      <c r="D5795" s="5">
        <v>45658</v>
      </c>
      <c r="E5795" s="6" t="s">
        <v>15</v>
      </c>
      <c r="F5795" s="7">
        <v>867</v>
      </c>
      <c r="G5795" s="7">
        <v>197455.9803921569</v>
      </c>
      <c r="H5795" s="7">
        <v>171194335</v>
      </c>
      <c r="I5795" s="7">
        <v>26919590</v>
      </c>
      <c r="J5795" s="7">
        <v>0</v>
      </c>
      <c r="K5795">
        <f t="shared" si="90"/>
        <v>59</v>
      </c>
      <c r="L5795" s="8" t="str" cm="1">
        <f t="array" ref="L5795">_xlfn.IFS(
 AND(K5795&gt;=89,K5795&lt;=92),"3개월",
 AND(K5795&gt;=58,K5795&lt;=62),"2개월",
 AND(K5795&gt;=28,K5795&lt;=32),"1개월",
 AND(K5795=0),"당월",
 TRUE,"그외"
)</f>
        <v>2개월</v>
      </c>
    </row>
    <row r="5796" spans="1:12" x14ac:dyDescent="0.3">
      <c r="A5796" s="5">
        <v>45717</v>
      </c>
      <c r="B5796" s="6" t="s">
        <v>60</v>
      </c>
      <c r="C5796" s="6" t="s">
        <v>70</v>
      </c>
      <c r="D5796" s="5">
        <v>45689</v>
      </c>
      <c r="E5796" s="6" t="s">
        <v>14</v>
      </c>
      <c r="F5796" s="7">
        <v>1606</v>
      </c>
      <c r="G5796" s="7">
        <v>154127.08592777091</v>
      </c>
      <c r="H5796" s="7">
        <v>247528100</v>
      </c>
      <c r="I5796" s="7">
        <v>51515100</v>
      </c>
      <c r="J5796" s="7">
        <v>0</v>
      </c>
      <c r="K5796">
        <f t="shared" si="90"/>
        <v>28</v>
      </c>
      <c r="L5796" s="8" t="str" cm="1">
        <f t="array" ref="L5796">_xlfn.IFS(
 AND(K5796&gt;=89,K5796&lt;=92),"3개월",
 AND(K5796&gt;=58,K5796&lt;=62),"2개월",
 AND(K5796&gt;=28,K5796&lt;=32),"1개월",
 AND(K5796=0),"당월",
 TRUE,"그외"
)</f>
        <v>1개월</v>
      </c>
    </row>
    <row r="5797" spans="1:12" x14ac:dyDescent="0.3">
      <c r="A5797" s="5">
        <v>45717</v>
      </c>
      <c r="B5797" s="6" t="s">
        <v>60</v>
      </c>
      <c r="C5797" s="6" t="s">
        <v>70</v>
      </c>
      <c r="D5797" s="5">
        <v>45689</v>
      </c>
      <c r="E5797" s="6" t="s">
        <v>15</v>
      </c>
      <c r="F5797" s="7">
        <v>1602</v>
      </c>
      <c r="G5797" s="7">
        <v>169344.58052434461</v>
      </c>
      <c r="H5797" s="7">
        <v>271290018</v>
      </c>
      <c r="I5797" s="7">
        <v>51102985</v>
      </c>
      <c r="J5797" s="7">
        <v>0</v>
      </c>
      <c r="K5797">
        <f t="shared" si="90"/>
        <v>28</v>
      </c>
      <c r="L5797" s="8" t="str" cm="1">
        <f t="array" ref="L5797">_xlfn.IFS(
 AND(K5797&gt;=89,K5797&lt;=92),"3개월",
 AND(K5797&gt;=58,K5797&lt;=62),"2개월",
 AND(K5797&gt;=28,K5797&lt;=32),"1개월",
 AND(K5797=0),"당월",
 TRUE,"그외"
)</f>
        <v>1개월</v>
      </c>
    </row>
    <row r="5798" spans="1:12" x14ac:dyDescent="0.3">
      <c r="A5798" s="5">
        <v>45717</v>
      </c>
      <c r="B5798" s="6" t="s">
        <v>60</v>
      </c>
      <c r="C5798" s="6" t="s">
        <v>70</v>
      </c>
      <c r="D5798" s="5">
        <v>45717</v>
      </c>
      <c r="E5798" s="6" t="s">
        <v>14</v>
      </c>
      <c r="F5798" s="7">
        <v>603</v>
      </c>
      <c r="G5798" s="7">
        <v>124795.8540630182</v>
      </c>
      <c r="H5798" s="7">
        <v>75251900</v>
      </c>
      <c r="I5798" s="7">
        <v>21274900</v>
      </c>
      <c r="J5798" s="7">
        <v>0</v>
      </c>
      <c r="K5798">
        <f t="shared" si="90"/>
        <v>0</v>
      </c>
      <c r="L5798" s="8" t="str" cm="1">
        <f t="array" ref="L5798">_xlfn.IFS(
 AND(K5798&gt;=89,K5798&lt;=92),"3개월",
 AND(K5798&gt;=58,K5798&lt;=62),"2개월",
 AND(K5798&gt;=28,K5798&lt;=32),"1개월",
 AND(K5798=0),"당월",
 TRUE,"그외"
)</f>
        <v>당월</v>
      </c>
    </row>
    <row r="5799" spans="1:12" x14ac:dyDescent="0.3">
      <c r="A5799" s="5">
        <v>45717</v>
      </c>
      <c r="B5799" s="6" t="s">
        <v>60</v>
      </c>
      <c r="C5799" s="6" t="s">
        <v>70</v>
      </c>
      <c r="D5799" s="5">
        <v>45717</v>
      </c>
      <c r="E5799" s="6" t="s">
        <v>15</v>
      </c>
      <c r="F5799" s="7">
        <v>1106</v>
      </c>
      <c r="G5799" s="7">
        <v>106538.71790235081</v>
      </c>
      <c r="H5799" s="7">
        <v>117831822</v>
      </c>
      <c r="I5799" s="7">
        <v>39356142</v>
      </c>
      <c r="J5799" s="7">
        <v>0</v>
      </c>
      <c r="K5799">
        <f t="shared" si="90"/>
        <v>0</v>
      </c>
      <c r="L5799" s="8" t="str" cm="1">
        <f t="array" ref="L5799">_xlfn.IFS(
 AND(K5799&gt;=89,K5799&lt;=92),"3개월",
 AND(K5799&gt;=58,K5799&lt;=62),"2개월",
 AND(K5799&gt;=28,K5799&lt;=32),"1개월",
 AND(K5799=0),"당월",
 TRUE,"그외"
)</f>
        <v>당월</v>
      </c>
    </row>
    <row r="5800" spans="1:12" x14ac:dyDescent="0.3">
      <c r="A5800" s="5">
        <v>45717</v>
      </c>
      <c r="B5800" s="6" t="s">
        <v>60</v>
      </c>
      <c r="C5800" s="6" t="s">
        <v>112</v>
      </c>
      <c r="D5800" s="5">
        <v>45505</v>
      </c>
      <c r="E5800" s="6" t="s">
        <v>15</v>
      </c>
      <c r="F5800" s="7">
        <v>85</v>
      </c>
      <c r="G5800" s="7">
        <v>150816.15294117649</v>
      </c>
      <c r="H5800" s="7">
        <v>12819373</v>
      </c>
      <c r="I5800" s="7">
        <v>4142105</v>
      </c>
      <c r="J5800" s="7">
        <v>0</v>
      </c>
      <c r="K5800">
        <f t="shared" si="90"/>
        <v>212</v>
      </c>
      <c r="L5800" s="8" t="str" cm="1">
        <f t="array" ref="L5800">_xlfn.IFS(
 AND(K5800&gt;=89,K5800&lt;=92),"3개월",
 AND(K5800&gt;=58,K5800&lt;=62),"2개월",
 AND(K5800&gt;=28,K5800&lt;=32),"1개월",
 AND(K5800=0),"당월",
 TRUE,"그외"
)</f>
        <v>그외</v>
      </c>
    </row>
    <row r="5801" spans="1:12" x14ac:dyDescent="0.3">
      <c r="A5801" s="5">
        <v>45717</v>
      </c>
      <c r="B5801" s="6" t="s">
        <v>60</v>
      </c>
      <c r="C5801" s="6" t="s">
        <v>112</v>
      </c>
      <c r="D5801" s="5">
        <v>45536</v>
      </c>
      <c r="E5801" s="6" t="s">
        <v>15</v>
      </c>
      <c r="F5801" s="7">
        <v>192</v>
      </c>
      <c r="G5801" s="7">
        <v>145590.99479166669</v>
      </c>
      <c r="H5801" s="7">
        <v>27953471</v>
      </c>
      <c r="I5801" s="7">
        <v>9169720</v>
      </c>
      <c r="J5801" s="7">
        <v>0</v>
      </c>
      <c r="K5801">
        <f t="shared" si="90"/>
        <v>181</v>
      </c>
      <c r="L5801" s="8" t="str" cm="1">
        <f t="array" ref="L5801">_xlfn.IFS(
 AND(K5801&gt;=89,K5801&lt;=92),"3개월",
 AND(K5801&gt;=58,K5801&lt;=62),"2개월",
 AND(K5801&gt;=28,K5801&lt;=32),"1개월",
 AND(K5801=0),"당월",
 TRUE,"그외"
)</f>
        <v>그외</v>
      </c>
    </row>
    <row r="5802" spans="1:12" x14ac:dyDescent="0.3">
      <c r="A5802" s="5">
        <v>45717</v>
      </c>
      <c r="B5802" s="6" t="s">
        <v>60</v>
      </c>
      <c r="C5802" s="6" t="s">
        <v>112</v>
      </c>
      <c r="D5802" s="5">
        <v>45566</v>
      </c>
      <c r="E5802" s="6" t="s">
        <v>14</v>
      </c>
      <c r="F5802" s="7">
        <v>14</v>
      </c>
      <c r="G5802" s="7">
        <v>125400</v>
      </c>
      <c r="H5802" s="7">
        <v>1755600</v>
      </c>
      <c r="I5802" s="7">
        <v>355600</v>
      </c>
      <c r="J5802" s="7">
        <v>0</v>
      </c>
      <c r="K5802">
        <f t="shared" si="90"/>
        <v>151</v>
      </c>
      <c r="L5802" s="8" t="str" cm="1">
        <f t="array" ref="L5802">_xlfn.IFS(
 AND(K5802&gt;=89,K5802&lt;=92),"3개월",
 AND(K5802&gt;=58,K5802&lt;=62),"2개월",
 AND(K5802&gt;=28,K5802&lt;=32),"1개월",
 AND(K5802=0),"당월",
 TRUE,"그외"
)</f>
        <v>그외</v>
      </c>
    </row>
    <row r="5803" spans="1:12" x14ac:dyDescent="0.3">
      <c r="A5803" s="5">
        <v>45717</v>
      </c>
      <c r="B5803" s="6" t="s">
        <v>60</v>
      </c>
      <c r="C5803" s="6" t="s">
        <v>112</v>
      </c>
      <c r="D5803" s="5">
        <v>45566</v>
      </c>
      <c r="E5803" s="6" t="s">
        <v>15</v>
      </c>
      <c r="F5803" s="7">
        <v>499</v>
      </c>
      <c r="G5803" s="7">
        <v>142774.1983967936</v>
      </c>
      <c r="H5803" s="7">
        <v>71244325</v>
      </c>
      <c r="I5803" s="7">
        <v>17895630</v>
      </c>
      <c r="J5803" s="7">
        <v>0</v>
      </c>
      <c r="K5803">
        <f t="shared" si="90"/>
        <v>151</v>
      </c>
      <c r="L5803" s="8" t="str" cm="1">
        <f t="array" ref="L5803">_xlfn.IFS(
 AND(K5803&gt;=89,K5803&lt;=92),"3개월",
 AND(K5803&gt;=58,K5803&lt;=62),"2개월",
 AND(K5803&gt;=28,K5803&lt;=32),"1개월",
 AND(K5803=0),"당월",
 TRUE,"그외"
)</f>
        <v>그외</v>
      </c>
    </row>
    <row r="5804" spans="1:12" x14ac:dyDescent="0.3">
      <c r="A5804" s="5">
        <v>45717</v>
      </c>
      <c r="B5804" s="6" t="s">
        <v>60</v>
      </c>
      <c r="C5804" s="6" t="s">
        <v>112</v>
      </c>
      <c r="D5804" s="5">
        <v>45597</v>
      </c>
      <c r="E5804" s="6" t="s">
        <v>14</v>
      </c>
      <c r="F5804" s="7">
        <v>202</v>
      </c>
      <c r="G5804" s="7">
        <v>158033.66336633661</v>
      </c>
      <c r="H5804" s="7">
        <v>31922800</v>
      </c>
      <c r="I5804" s="7">
        <v>5130800</v>
      </c>
      <c r="J5804" s="7">
        <v>0</v>
      </c>
      <c r="K5804">
        <f t="shared" si="90"/>
        <v>120</v>
      </c>
      <c r="L5804" s="8" t="str" cm="1">
        <f t="array" ref="L5804">_xlfn.IFS(
 AND(K5804&gt;=89,K5804&lt;=92),"3개월",
 AND(K5804&gt;=58,K5804&lt;=62),"2개월",
 AND(K5804&gt;=28,K5804&lt;=32),"1개월",
 AND(K5804=0),"당월",
 TRUE,"그외"
)</f>
        <v>그외</v>
      </c>
    </row>
    <row r="5805" spans="1:12" x14ac:dyDescent="0.3">
      <c r="A5805" s="5">
        <v>45717</v>
      </c>
      <c r="B5805" s="6" t="s">
        <v>60</v>
      </c>
      <c r="C5805" s="6" t="s">
        <v>112</v>
      </c>
      <c r="D5805" s="5">
        <v>45597</v>
      </c>
      <c r="E5805" s="6" t="s">
        <v>15</v>
      </c>
      <c r="F5805" s="7">
        <v>672</v>
      </c>
      <c r="G5805" s="7">
        <v>142647.89880952379</v>
      </c>
      <c r="H5805" s="7">
        <v>95859388</v>
      </c>
      <c r="I5805" s="7">
        <v>22188170</v>
      </c>
      <c r="J5805" s="7">
        <v>0</v>
      </c>
      <c r="K5805">
        <f t="shared" si="90"/>
        <v>120</v>
      </c>
      <c r="L5805" s="8" t="str" cm="1">
        <f t="array" ref="L5805">_xlfn.IFS(
 AND(K5805&gt;=89,K5805&lt;=92),"3개월",
 AND(K5805&gt;=58,K5805&lt;=62),"2개월",
 AND(K5805&gt;=28,K5805&lt;=32),"1개월",
 AND(K5805=0),"당월",
 TRUE,"그외"
)</f>
        <v>그외</v>
      </c>
    </row>
    <row r="5806" spans="1:12" x14ac:dyDescent="0.3">
      <c r="A5806" s="5">
        <v>45717</v>
      </c>
      <c r="B5806" s="6" t="s">
        <v>60</v>
      </c>
      <c r="C5806" s="6" t="s">
        <v>112</v>
      </c>
      <c r="D5806" s="5">
        <v>45627</v>
      </c>
      <c r="E5806" s="6" t="s">
        <v>14</v>
      </c>
      <c r="F5806" s="7">
        <v>447</v>
      </c>
      <c r="G5806" s="7">
        <v>123240.49217002239</v>
      </c>
      <c r="H5806" s="7">
        <v>55088500</v>
      </c>
      <c r="I5806" s="7">
        <v>13633500</v>
      </c>
      <c r="J5806" s="7">
        <v>0</v>
      </c>
      <c r="K5806">
        <f t="shared" si="90"/>
        <v>90</v>
      </c>
      <c r="L5806" s="8" t="str" cm="1">
        <f t="array" ref="L5806">_xlfn.IFS(
 AND(K5806&gt;=89,K5806&lt;=92),"3개월",
 AND(K5806&gt;=58,K5806&lt;=62),"2개월",
 AND(K5806&gt;=28,K5806&lt;=32),"1개월",
 AND(K5806=0),"당월",
 TRUE,"그외"
)</f>
        <v>3개월</v>
      </c>
    </row>
    <row r="5807" spans="1:12" x14ac:dyDescent="0.3">
      <c r="A5807" s="5">
        <v>45717</v>
      </c>
      <c r="B5807" s="6" t="s">
        <v>60</v>
      </c>
      <c r="C5807" s="6" t="s">
        <v>112</v>
      </c>
      <c r="D5807" s="5">
        <v>45627</v>
      </c>
      <c r="E5807" s="6" t="s">
        <v>15</v>
      </c>
      <c r="F5807" s="7">
        <v>567</v>
      </c>
      <c r="G5807" s="7">
        <v>162227.8324514991</v>
      </c>
      <c r="H5807" s="7">
        <v>91983181</v>
      </c>
      <c r="I5807" s="7">
        <v>21201511</v>
      </c>
      <c r="J5807" s="7">
        <v>0</v>
      </c>
      <c r="K5807">
        <f t="shared" si="90"/>
        <v>90</v>
      </c>
      <c r="L5807" s="8" t="str" cm="1">
        <f t="array" ref="L5807">_xlfn.IFS(
 AND(K5807&gt;=89,K5807&lt;=92),"3개월",
 AND(K5807&gt;=58,K5807&lt;=62),"2개월",
 AND(K5807&gt;=28,K5807&lt;=32),"1개월",
 AND(K5807=0),"당월",
 TRUE,"그외"
)</f>
        <v>3개월</v>
      </c>
    </row>
    <row r="5808" spans="1:12" x14ac:dyDescent="0.3">
      <c r="A5808" s="5">
        <v>45717</v>
      </c>
      <c r="B5808" s="6" t="s">
        <v>60</v>
      </c>
      <c r="C5808" s="6" t="s">
        <v>112</v>
      </c>
      <c r="D5808" s="5">
        <v>45658</v>
      </c>
      <c r="E5808" s="6" t="s">
        <v>14</v>
      </c>
      <c r="F5808" s="7">
        <v>794</v>
      </c>
      <c r="G5808" s="7">
        <v>152837.53148614609</v>
      </c>
      <c r="H5808" s="7">
        <v>121353000</v>
      </c>
      <c r="I5808" s="7">
        <v>24490000</v>
      </c>
      <c r="J5808" s="7">
        <v>0</v>
      </c>
      <c r="K5808">
        <f t="shared" si="90"/>
        <v>59</v>
      </c>
      <c r="L5808" s="8" t="str" cm="1">
        <f t="array" ref="L5808">_xlfn.IFS(
 AND(K5808&gt;=89,K5808&lt;=92),"3개월",
 AND(K5808&gt;=58,K5808&lt;=62),"2개월",
 AND(K5808&gt;=28,K5808&lt;=32),"1개월",
 AND(K5808=0),"당월",
 TRUE,"그외"
)</f>
        <v>2개월</v>
      </c>
    </row>
    <row r="5809" spans="1:12" x14ac:dyDescent="0.3">
      <c r="A5809" s="5">
        <v>45717</v>
      </c>
      <c r="B5809" s="6" t="s">
        <v>60</v>
      </c>
      <c r="C5809" s="6" t="s">
        <v>112</v>
      </c>
      <c r="D5809" s="5">
        <v>45658</v>
      </c>
      <c r="E5809" s="6" t="s">
        <v>15</v>
      </c>
      <c r="F5809" s="7">
        <v>1200</v>
      </c>
      <c r="G5809" s="7">
        <v>159999.61583333329</v>
      </c>
      <c r="H5809" s="7">
        <v>191999539</v>
      </c>
      <c r="I5809" s="7">
        <v>43911241</v>
      </c>
      <c r="J5809" s="7">
        <v>0</v>
      </c>
      <c r="K5809">
        <f t="shared" si="90"/>
        <v>59</v>
      </c>
      <c r="L5809" s="8" t="str" cm="1">
        <f t="array" ref="L5809">_xlfn.IFS(
 AND(K5809&gt;=89,K5809&lt;=92),"3개월",
 AND(K5809&gt;=58,K5809&lt;=62),"2개월",
 AND(K5809&gt;=28,K5809&lt;=32),"1개월",
 AND(K5809=0),"당월",
 TRUE,"그외"
)</f>
        <v>2개월</v>
      </c>
    </row>
    <row r="5810" spans="1:12" x14ac:dyDescent="0.3">
      <c r="A5810" s="5">
        <v>45717</v>
      </c>
      <c r="B5810" s="6" t="s">
        <v>60</v>
      </c>
      <c r="C5810" s="6" t="s">
        <v>112</v>
      </c>
      <c r="D5810" s="5">
        <v>45689</v>
      </c>
      <c r="E5810" s="6" t="s">
        <v>14</v>
      </c>
      <c r="F5810" s="7">
        <v>2032</v>
      </c>
      <c r="G5810" s="7">
        <v>179592.81496062991</v>
      </c>
      <c r="H5810" s="7">
        <v>364932600</v>
      </c>
      <c r="I5810" s="7">
        <v>63553600</v>
      </c>
      <c r="J5810" s="7">
        <v>0</v>
      </c>
      <c r="K5810">
        <f t="shared" si="90"/>
        <v>28</v>
      </c>
      <c r="L5810" s="8" t="str" cm="1">
        <f t="array" ref="L5810">_xlfn.IFS(
 AND(K5810&gt;=89,K5810&lt;=92),"3개월",
 AND(K5810&gt;=58,K5810&lt;=62),"2개월",
 AND(K5810&gt;=28,K5810&lt;=32),"1개월",
 AND(K5810=0),"당월",
 TRUE,"그외"
)</f>
        <v>1개월</v>
      </c>
    </row>
    <row r="5811" spans="1:12" x14ac:dyDescent="0.3">
      <c r="A5811" s="5">
        <v>45717</v>
      </c>
      <c r="B5811" s="6" t="s">
        <v>60</v>
      </c>
      <c r="C5811" s="6" t="s">
        <v>112</v>
      </c>
      <c r="D5811" s="5">
        <v>45689</v>
      </c>
      <c r="E5811" s="6" t="s">
        <v>15</v>
      </c>
      <c r="F5811" s="7">
        <v>1385</v>
      </c>
      <c r="G5811" s="7">
        <v>170427.99350180509</v>
      </c>
      <c r="H5811" s="7">
        <v>236042771</v>
      </c>
      <c r="I5811" s="7">
        <v>52271049</v>
      </c>
      <c r="J5811" s="7">
        <v>0</v>
      </c>
      <c r="K5811">
        <f t="shared" si="90"/>
        <v>28</v>
      </c>
      <c r="L5811" s="8" t="str" cm="1">
        <f t="array" ref="L5811">_xlfn.IFS(
 AND(K5811&gt;=89,K5811&lt;=92),"3개월",
 AND(K5811&gt;=58,K5811&lt;=62),"2개월",
 AND(K5811&gt;=28,K5811&lt;=32),"1개월",
 AND(K5811=0),"당월",
 TRUE,"그외"
)</f>
        <v>1개월</v>
      </c>
    </row>
    <row r="5812" spans="1:12" x14ac:dyDescent="0.3">
      <c r="A5812" s="5">
        <v>45717</v>
      </c>
      <c r="B5812" s="6" t="s">
        <v>60</v>
      </c>
      <c r="C5812" s="6" t="s">
        <v>112</v>
      </c>
      <c r="D5812" s="5">
        <v>45717</v>
      </c>
      <c r="E5812" s="6" t="s">
        <v>14</v>
      </c>
      <c r="F5812" s="7">
        <v>684</v>
      </c>
      <c r="G5812" s="7">
        <v>39379.53216374269</v>
      </c>
      <c r="H5812" s="7">
        <v>26935600</v>
      </c>
      <c r="I5812" s="7">
        <v>25653600</v>
      </c>
      <c r="J5812" s="7">
        <v>0</v>
      </c>
      <c r="K5812">
        <f t="shared" si="90"/>
        <v>0</v>
      </c>
      <c r="L5812" s="8" t="str" cm="1">
        <f t="array" ref="L5812">_xlfn.IFS(
 AND(K5812&gt;=89,K5812&lt;=92),"3개월",
 AND(K5812&gt;=58,K5812&lt;=62),"2개월",
 AND(K5812&gt;=28,K5812&lt;=32),"1개월",
 AND(K5812=0),"당월",
 TRUE,"그외"
)</f>
        <v>당월</v>
      </c>
    </row>
    <row r="5813" spans="1:12" x14ac:dyDescent="0.3">
      <c r="A5813" s="5">
        <v>45717</v>
      </c>
      <c r="B5813" s="6" t="s">
        <v>60</v>
      </c>
      <c r="C5813" s="6" t="s">
        <v>112</v>
      </c>
      <c r="D5813" s="5">
        <v>45717</v>
      </c>
      <c r="E5813" s="6" t="s">
        <v>15</v>
      </c>
      <c r="F5813" s="7">
        <v>432</v>
      </c>
      <c r="G5813" s="7">
        <v>163791.22222222219</v>
      </c>
      <c r="H5813" s="7">
        <v>70757808</v>
      </c>
      <c r="I5813" s="7">
        <v>19902399</v>
      </c>
      <c r="J5813" s="7">
        <v>0</v>
      </c>
      <c r="K5813">
        <f t="shared" si="90"/>
        <v>0</v>
      </c>
      <c r="L5813" s="8" t="str" cm="1">
        <f t="array" ref="L5813">_xlfn.IFS(
 AND(K5813&gt;=89,K5813&lt;=92),"3개월",
 AND(K5813&gt;=58,K5813&lt;=62),"2개월",
 AND(K5813&gt;=28,K5813&lt;=32),"1개월",
 AND(K5813=0),"당월",
 TRUE,"그외"
)</f>
        <v>당월</v>
      </c>
    </row>
    <row r="5814" spans="1:12" x14ac:dyDescent="0.3">
      <c r="A5814" s="5">
        <v>45717</v>
      </c>
      <c r="B5814" s="6" t="s">
        <v>60</v>
      </c>
      <c r="C5814" s="6" t="s">
        <v>114</v>
      </c>
      <c r="D5814" s="5">
        <v>45536</v>
      </c>
      <c r="E5814" s="6" t="s">
        <v>15</v>
      </c>
      <c r="F5814" s="7">
        <v>366</v>
      </c>
      <c r="G5814" s="7">
        <v>148556.15027322399</v>
      </c>
      <c r="H5814" s="7">
        <v>54371551</v>
      </c>
      <c r="I5814" s="7">
        <v>12658572</v>
      </c>
      <c r="J5814" s="7">
        <v>0</v>
      </c>
      <c r="K5814">
        <f t="shared" si="90"/>
        <v>181</v>
      </c>
      <c r="L5814" s="8" t="str" cm="1">
        <f t="array" ref="L5814">_xlfn.IFS(
 AND(K5814&gt;=89,K5814&lt;=92),"3개월",
 AND(K5814&gt;=58,K5814&lt;=62),"2개월",
 AND(K5814&gt;=28,K5814&lt;=32),"1개월",
 AND(K5814=0),"당월",
 TRUE,"그외"
)</f>
        <v>그외</v>
      </c>
    </row>
    <row r="5815" spans="1:12" x14ac:dyDescent="0.3">
      <c r="A5815" s="5">
        <v>45717</v>
      </c>
      <c r="B5815" s="6" t="s">
        <v>60</v>
      </c>
      <c r="C5815" s="6" t="s">
        <v>114</v>
      </c>
      <c r="D5815" s="5">
        <v>45566</v>
      </c>
      <c r="E5815" s="6" t="s">
        <v>14</v>
      </c>
      <c r="F5815" s="7">
        <v>10</v>
      </c>
      <c r="G5815" s="7">
        <v>125400</v>
      </c>
      <c r="H5815" s="7">
        <v>1254000</v>
      </c>
      <c r="I5815" s="7">
        <v>254000</v>
      </c>
      <c r="J5815" s="7">
        <v>0</v>
      </c>
      <c r="K5815">
        <f t="shared" si="90"/>
        <v>151</v>
      </c>
      <c r="L5815" s="8" t="str" cm="1">
        <f t="array" ref="L5815">_xlfn.IFS(
 AND(K5815&gt;=89,K5815&lt;=92),"3개월",
 AND(K5815&gt;=58,K5815&lt;=62),"2개월",
 AND(K5815&gt;=28,K5815&lt;=32),"1개월",
 AND(K5815=0),"당월",
 TRUE,"그외"
)</f>
        <v>그외</v>
      </c>
    </row>
    <row r="5816" spans="1:12" x14ac:dyDescent="0.3">
      <c r="A5816" s="5">
        <v>45717</v>
      </c>
      <c r="B5816" s="6" t="s">
        <v>60</v>
      </c>
      <c r="C5816" s="6" t="s">
        <v>114</v>
      </c>
      <c r="D5816" s="5">
        <v>45566</v>
      </c>
      <c r="E5816" s="6" t="s">
        <v>15</v>
      </c>
      <c r="F5816" s="7">
        <v>746</v>
      </c>
      <c r="G5816" s="7">
        <v>158853.90080428959</v>
      </c>
      <c r="H5816" s="7">
        <v>118505010</v>
      </c>
      <c r="I5816" s="7">
        <v>18598987</v>
      </c>
      <c r="J5816" s="7">
        <v>0</v>
      </c>
      <c r="K5816">
        <f t="shared" si="90"/>
        <v>151</v>
      </c>
      <c r="L5816" s="8" t="str" cm="1">
        <f t="array" ref="L5816">_xlfn.IFS(
 AND(K5816&gt;=89,K5816&lt;=92),"3개월",
 AND(K5816&gt;=58,K5816&lt;=62),"2개월",
 AND(K5816&gt;=28,K5816&lt;=32),"1개월",
 AND(K5816=0),"당월",
 TRUE,"그외"
)</f>
        <v>그외</v>
      </c>
    </row>
    <row r="5817" spans="1:12" x14ac:dyDescent="0.3">
      <c r="A5817" s="5">
        <v>45717</v>
      </c>
      <c r="B5817" s="6" t="s">
        <v>60</v>
      </c>
      <c r="C5817" s="6" t="s">
        <v>114</v>
      </c>
      <c r="D5817" s="5">
        <v>45597</v>
      </c>
      <c r="E5817" s="6" t="s">
        <v>14</v>
      </c>
      <c r="F5817" s="7">
        <v>134</v>
      </c>
      <c r="G5817" s="7">
        <v>129997.01492537311</v>
      </c>
      <c r="H5817" s="7">
        <v>17419600</v>
      </c>
      <c r="I5817" s="7">
        <v>3403600</v>
      </c>
      <c r="J5817" s="7">
        <v>0</v>
      </c>
      <c r="K5817">
        <f t="shared" si="90"/>
        <v>120</v>
      </c>
      <c r="L5817" s="8" t="str" cm="1">
        <f t="array" ref="L5817">_xlfn.IFS(
 AND(K5817&gt;=89,K5817&lt;=92),"3개월",
 AND(K5817&gt;=58,K5817&lt;=62),"2개월",
 AND(K5817&gt;=28,K5817&lt;=32),"1개월",
 AND(K5817=0),"당월",
 TRUE,"그외"
)</f>
        <v>그외</v>
      </c>
    </row>
    <row r="5818" spans="1:12" x14ac:dyDescent="0.3">
      <c r="A5818" s="5">
        <v>45717</v>
      </c>
      <c r="B5818" s="6" t="s">
        <v>60</v>
      </c>
      <c r="C5818" s="6" t="s">
        <v>114</v>
      </c>
      <c r="D5818" s="5">
        <v>45597</v>
      </c>
      <c r="E5818" s="6" t="s">
        <v>15</v>
      </c>
      <c r="F5818" s="7">
        <v>766</v>
      </c>
      <c r="G5818" s="7">
        <v>174947.409921671</v>
      </c>
      <c r="H5818" s="7">
        <v>134009716</v>
      </c>
      <c r="I5818" s="7">
        <v>18995670</v>
      </c>
      <c r="J5818" s="7">
        <v>0</v>
      </c>
      <c r="K5818">
        <f t="shared" si="90"/>
        <v>120</v>
      </c>
      <c r="L5818" s="8" t="str" cm="1">
        <f t="array" ref="L5818">_xlfn.IFS(
 AND(K5818&gt;=89,K5818&lt;=92),"3개월",
 AND(K5818&gt;=58,K5818&lt;=62),"2개월",
 AND(K5818&gt;=28,K5818&lt;=32),"1개월",
 AND(K5818=0),"당월",
 TRUE,"그외"
)</f>
        <v>그외</v>
      </c>
    </row>
    <row r="5819" spans="1:12" x14ac:dyDescent="0.3">
      <c r="A5819" s="5">
        <v>45717</v>
      </c>
      <c r="B5819" s="6" t="s">
        <v>60</v>
      </c>
      <c r="C5819" s="6" t="s">
        <v>114</v>
      </c>
      <c r="D5819" s="5">
        <v>45627</v>
      </c>
      <c r="E5819" s="6" t="s">
        <v>14</v>
      </c>
      <c r="F5819" s="7">
        <v>132</v>
      </c>
      <c r="G5819" s="7">
        <v>140590.90909090909</v>
      </c>
      <c r="H5819" s="7">
        <v>18558000</v>
      </c>
      <c r="I5819" s="7">
        <v>4026000</v>
      </c>
      <c r="J5819" s="7">
        <v>0</v>
      </c>
      <c r="K5819">
        <f t="shared" si="90"/>
        <v>90</v>
      </c>
      <c r="L5819" s="8" t="str" cm="1">
        <f t="array" ref="L5819">_xlfn.IFS(
 AND(K5819&gt;=89,K5819&lt;=92),"3개월",
 AND(K5819&gt;=58,K5819&lt;=62),"2개월",
 AND(K5819&gt;=28,K5819&lt;=32),"1개월",
 AND(K5819=0),"당월",
 TRUE,"그외"
)</f>
        <v>3개월</v>
      </c>
    </row>
    <row r="5820" spans="1:12" x14ac:dyDescent="0.3">
      <c r="A5820" s="5">
        <v>45717</v>
      </c>
      <c r="B5820" s="6" t="s">
        <v>60</v>
      </c>
      <c r="C5820" s="6" t="s">
        <v>114</v>
      </c>
      <c r="D5820" s="5">
        <v>45627</v>
      </c>
      <c r="E5820" s="6" t="s">
        <v>15</v>
      </c>
      <c r="F5820" s="7">
        <v>726</v>
      </c>
      <c r="G5820" s="7">
        <v>189268.8512396694</v>
      </c>
      <c r="H5820" s="7">
        <v>137409186</v>
      </c>
      <c r="I5820" s="7">
        <v>20952599</v>
      </c>
      <c r="J5820" s="7">
        <v>0</v>
      </c>
      <c r="K5820">
        <f t="shared" si="90"/>
        <v>90</v>
      </c>
      <c r="L5820" s="8" t="str" cm="1">
        <f t="array" ref="L5820">_xlfn.IFS(
 AND(K5820&gt;=89,K5820&lt;=92),"3개월",
 AND(K5820&gt;=58,K5820&lt;=62),"2개월",
 AND(K5820&gt;=28,K5820&lt;=32),"1개월",
 AND(K5820=0),"당월",
 TRUE,"그외"
)</f>
        <v>3개월</v>
      </c>
    </row>
    <row r="5821" spans="1:12" x14ac:dyDescent="0.3">
      <c r="A5821" s="5">
        <v>45717</v>
      </c>
      <c r="B5821" s="6" t="s">
        <v>60</v>
      </c>
      <c r="C5821" s="6" t="s">
        <v>114</v>
      </c>
      <c r="D5821" s="5">
        <v>45658</v>
      </c>
      <c r="E5821" s="6" t="s">
        <v>14</v>
      </c>
      <c r="F5821" s="7">
        <v>185</v>
      </c>
      <c r="G5821" s="7">
        <v>139124.32432432429</v>
      </c>
      <c r="H5821" s="7">
        <v>25738000</v>
      </c>
      <c r="I5821" s="7">
        <v>5735000</v>
      </c>
      <c r="J5821" s="7">
        <v>0</v>
      </c>
      <c r="K5821">
        <f t="shared" si="90"/>
        <v>59</v>
      </c>
      <c r="L5821" s="8" t="str" cm="1">
        <f t="array" ref="L5821">_xlfn.IFS(
 AND(K5821&gt;=89,K5821&lt;=92),"3개월",
 AND(K5821&gt;=58,K5821&lt;=62),"2개월",
 AND(K5821&gt;=28,K5821&lt;=32),"1개월",
 AND(K5821=0),"당월",
 TRUE,"그외"
)</f>
        <v>2개월</v>
      </c>
    </row>
    <row r="5822" spans="1:12" x14ac:dyDescent="0.3">
      <c r="A5822" s="5">
        <v>45717</v>
      </c>
      <c r="B5822" s="6" t="s">
        <v>60</v>
      </c>
      <c r="C5822" s="6" t="s">
        <v>114</v>
      </c>
      <c r="D5822" s="5">
        <v>45658</v>
      </c>
      <c r="E5822" s="6" t="s">
        <v>15</v>
      </c>
      <c r="F5822" s="7">
        <v>893</v>
      </c>
      <c r="G5822" s="7">
        <v>209770.53863381859</v>
      </c>
      <c r="H5822" s="7">
        <v>187325091</v>
      </c>
      <c r="I5822" s="7">
        <v>25851375</v>
      </c>
      <c r="J5822" s="7">
        <v>0</v>
      </c>
      <c r="K5822">
        <f t="shared" si="90"/>
        <v>59</v>
      </c>
      <c r="L5822" s="8" t="str" cm="1">
        <f t="array" ref="L5822">_xlfn.IFS(
 AND(K5822&gt;=89,K5822&lt;=92),"3개월",
 AND(K5822&gt;=58,K5822&lt;=62),"2개월",
 AND(K5822&gt;=28,K5822&lt;=32),"1개월",
 AND(K5822=0),"당월",
 TRUE,"그외"
)</f>
        <v>2개월</v>
      </c>
    </row>
    <row r="5823" spans="1:12" x14ac:dyDescent="0.3">
      <c r="A5823" s="5">
        <v>45717</v>
      </c>
      <c r="B5823" s="6" t="s">
        <v>60</v>
      </c>
      <c r="C5823" s="6" t="s">
        <v>114</v>
      </c>
      <c r="D5823" s="5">
        <v>45689</v>
      </c>
      <c r="E5823" s="6" t="s">
        <v>14</v>
      </c>
      <c r="F5823" s="7">
        <v>2165</v>
      </c>
      <c r="G5823" s="7">
        <v>129938.2448036952</v>
      </c>
      <c r="H5823" s="7">
        <v>281316300</v>
      </c>
      <c r="I5823" s="7">
        <v>69494300</v>
      </c>
      <c r="J5823" s="7">
        <v>0</v>
      </c>
      <c r="K5823">
        <f t="shared" si="90"/>
        <v>28</v>
      </c>
      <c r="L5823" s="8" t="str" cm="1">
        <f t="array" ref="L5823">_xlfn.IFS(
 AND(K5823&gt;=89,K5823&lt;=92),"3개월",
 AND(K5823&gt;=58,K5823&lt;=62),"2개월",
 AND(K5823&gt;=28,K5823&lt;=32),"1개월",
 AND(K5823=0),"당월",
 TRUE,"그외"
)</f>
        <v>1개월</v>
      </c>
    </row>
    <row r="5824" spans="1:12" x14ac:dyDescent="0.3">
      <c r="A5824" s="5">
        <v>45717</v>
      </c>
      <c r="B5824" s="6" t="s">
        <v>60</v>
      </c>
      <c r="C5824" s="6" t="s">
        <v>114</v>
      </c>
      <c r="D5824" s="5">
        <v>45689</v>
      </c>
      <c r="E5824" s="6" t="s">
        <v>15</v>
      </c>
      <c r="F5824" s="7">
        <v>2251</v>
      </c>
      <c r="G5824" s="7">
        <v>192570.92803198579</v>
      </c>
      <c r="H5824" s="7">
        <v>433477159</v>
      </c>
      <c r="I5824" s="7">
        <v>67546986</v>
      </c>
      <c r="J5824" s="7">
        <v>0</v>
      </c>
      <c r="K5824">
        <f t="shared" si="90"/>
        <v>28</v>
      </c>
      <c r="L5824" s="8" t="str" cm="1">
        <f t="array" ref="L5824">_xlfn.IFS(
 AND(K5824&gt;=89,K5824&lt;=92),"3개월",
 AND(K5824&gt;=58,K5824&lt;=62),"2개월",
 AND(K5824&gt;=28,K5824&lt;=32),"1개월",
 AND(K5824=0),"당월",
 TRUE,"그외"
)</f>
        <v>1개월</v>
      </c>
    </row>
    <row r="5825" spans="1:12" x14ac:dyDescent="0.3">
      <c r="A5825" s="5">
        <v>45717</v>
      </c>
      <c r="B5825" s="6" t="s">
        <v>60</v>
      </c>
      <c r="C5825" s="6" t="s">
        <v>114</v>
      </c>
      <c r="D5825" s="5">
        <v>45717</v>
      </c>
      <c r="E5825" s="6" t="s">
        <v>14</v>
      </c>
      <c r="F5825" s="7">
        <v>278</v>
      </c>
      <c r="G5825" s="7">
        <v>133752.51798561151</v>
      </c>
      <c r="H5825" s="7">
        <v>37183200</v>
      </c>
      <c r="I5825" s="7">
        <v>10369200</v>
      </c>
      <c r="J5825" s="7">
        <v>0</v>
      </c>
      <c r="K5825">
        <f t="shared" si="90"/>
        <v>0</v>
      </c>
      <c r="L5825" s="8" t="str" cm="1">
        <f t="array" ref="L5825">_xlfn.IFS(
 AND(K5825&gt;=89,K5825&lt;=92),"3개월",
 AND(K5825&gt;=58,K5825&lt;=62),"2개월",
 AND(K5825&gt;=28,K5825&lt;=32),"1개월",
 AND(K5825=0),"당월",
 TRUE,"그외"
)</f>
        <v>당월</v>
      </c>
    </row>
    <row r="5826" spans="1:12" x14ac:dyDescent="0.3">
      <c r="A5826" s="5">
        <v>45717</v>
      </c>
      <c r="B5826" s="6" t="s">
        <v>60</v>
      </c>
      <c r="C5826" s="6" t="s">
        <v>114</v>
      </c>
      <c r="D5826" s="5">
        <v>45717</v>
      </c>
      <c r="E5826" s="6" t="s">
        <v>15</v>
      </c>
      <c r="F5826" s="7">
        <v>1296</v>
      </c>
      <c r="G5826" s="7">
        <v>174086.37114197531</v>
      </c>
      <c r="H5826" s="7">
        <v>225615937</v>
      </c>
      <c r="I5826" s="7">
        <v>42873718</v>
      </c>
      <c r="J5826" s="7">
        <v>0</v>
      </c>
      <c r="K5826">
        <f t="shared" si="90"/>
        <v>0</v>
      </c>
      <c r="L5826" s="8" t="str" cm="1">
        <f t="array" ref="L5826">_xlfn.IFS(
 AND(K5826&gt;=89,K5826&lt;=92),"3개월",
 AND(K5826&gt;=58,K5826&lt;=62),"2개월",
 AND(K5826&gt;=28,K5826&lt;=32),"1개월",
 AND(K5826=0),"당월",
 TRUE,"그외"
)</f>
        <v>당월</v>
      </c>
    </row>
    <row r="5827" spans="1:12" x14ac:dyDescent="0.3">
      <c r="A5827" s="5">
        <v>45717</v>
      </c>
      <c r="B5827" s="6" t="s">
        <v>60</v>
      </c>
      <c r="C5827" s="6" t="s">
        <v>72</v>
      </c>
      <c r="D5827" s="5">
        <v>45505</v>
      </c>
      <c r="E5827" s="6" t="s">
        <v>15</v>
      </c>
      <c r="F5827" s="7">
        <v>200</v>
      </c>
      <c r="G5827" s="7">
        <v>162411.54999999999</v>
      </c>
      <c r="H5827" s="7">
        <v>32482310</v>
      </c>
      <c r="I5827" s="7">
        <v>6062724</v>
      </c>
      <c r="J5827" s="7">
        <v>0</v>
      </c>
      <c r="K5827">
        <f t="shared" si="90"/>
        <v>212</v>
      </c>
      <c r="L5827" s="8" t="str" cm="1">
        <f t="array" ref="L5827">_xlfn.IFS(
 AND(K5827&gt;=89,K5827&lt;=92),"3개월",
 AND(K5827&gt;=58,K5827&lt;=62),"2개월",
 AND(K5827&gt;=28,K5827&lt;=32),"1개월",
 AND(K5827=0),"당월",
 TRUE,"그외"
)</f>
        <v>그외</v>
      </c>
    </row>
    <row r="5828" spans="1:12" x14ac:dyDescent="0.3">
      <c r="A5828" s="5">
        <v>45717</v>
      </c>
      <c r="B5828" s="6" t="s">
        <v>60</v>
      </c>
      <c r="C5828" s="6" t="s">
        <v>72</v>
      </c>
      <c r="D5828" s="5">
        <v>45536</v>
      </c>
      <c r="E5828" s="6" t="s">
        <v>14</v>
      </c>
      <c r="F5828" s="7">
        <v>18</v>
      </c>
      <c r="G5828" s="7">
        <v>187500</v>
      </c>
      <c r="H5828" s="7">
        <v>3375000</v>
      </c>
      <c r="I5828" s="7">
        <v>495000</v>
      </c>
      <c r="J5828" s="7">
        <v>0</v>
      </c>
      <c r="K5828">
        <f t="shared" si="90"/>
        <v>181</v>
      </c>
      <c r="L5828" s="8" t="str" cm="1">
        <f t="array" ref="L5828">_xlfn.IFS(
 AND(K5828&gt;=89,K5828&lt;=92),"3개월",
 AND(K5828&gt;=58,K5828&lt;=62),"2개월",
 AND(K5828&gt;=28,K5828&lt;=32),"1개월",
 AND(K5828=0),"당월",
 TRUE,"그외"
)</f>
        <v>그외</v>
      </c>
    </row>
    <row r="5829" spans="1:12" x14ac:dyDescent="0.3">
      <c r="A5829" s="5">
        <v>45717</v>
      </c>
      <c r="B5829" s="6" t="s">
        <v>60</v>
      </c>
      <c r="C5829" s="6" t="s">
        <v>72</v>
      </c>
      <c r="D5829" s="5">
        <v>45536</v>
      </c>
      <c r="E5829" s="6" t="s">
        <v>15</v>
      </c>
      <c r="F5829" s="7">
        <v>281</v>
      </c>
      <c r="G5829" s="7">
        <v>200985.76512455521</v>
      </c>
      <c r="H5829" s="7">
        <v>56477000</v>
      </c>
      <c r="I5829" s="7">
        <v>7742000</v>
      </c>
      <c r="J5829" s="7">
        <v>0</v>
      </c>
      <c r="K5829">
        <f t="shared" si="90"/>
        <v>181</v>
      </c>
      <c r="L5829" s="8" t="str" cm="1">
        <f t="array" ref="L5829">_xlfn.IFS(
 AND(K5829&gt;=89,K5829&lt;=92),"3개월",
 AND(K5829&gt;=58,K5829&lt;=62),"2개월",
 AND(K5829&gt;=28,K5829&lt;=32),"1개월",
 AND(K5829=0),"당월",
 TRUE,"그외"
)</f>
        <v>그외</v>
      </c>
    </row>
    <row r="5830" spans="1:12" x14ac:dyDescent="0.3">
      <c r="A5830" s="5">
        <v>45717</v>
      </c>
      <c r="B5830" s="6" t="s">
        <v>60</v>
      </c>
      <c r="C5830" s="6" t="s">
        <v>72</v>
      </c>
      <c r="D5830" s="5">
        <v>45566</v>
      </c>
      <c r="E5830" s="6" t="s">
        <v>14</v>
      </c>
      <c r="F5830" s="7">
        <v>72</v>
      </c>
      <c r="G5830" s="7">
        <v>183044.44444444441</v>
      </c>
      <c r="H5830" s="7">
        <v>13179200</v>
      </c>
      <c r="I5830" s="7">
        <v>1447200</v>
      </c>
      <c r="J5830" s="7">
        <v>0</v>
      </c>
      <c r="K5830">
        <f t="shared" si="90"/>
        <v>151</v>
      </c>
      <c r="L5830" s="8" t="str" cm="1">
        <f t="array" ref="L5830">_xlfn.IFS(
 AND(K5830&gt;=89,K5830&lt;=92),"3개월",
 AND(K5830&gt;=58,K5830&lt;=62),"2개월",
 AND(K5830&gt;=28,K5830&lt;=32),"1개월",
 AND(K5830=0),"당월",
 TRUE,"그외"
)</f>
        <v>그외</v>
      </c>
    </row>
    <row r="5831" spans="1:12" x14ac:dyDescent="0.3">
      <c r="A5831" s="5">
        <v>45717</v>
      </c>
      <c r="B5831" s="6" t="s">
        <v>60</v>
      </c>
      <c r="C5831" s="6" t="s">
        <v>72</v>
      </c>
      <c r="D5831" s="5">
        <v>45566</v>
      </c>
      <c r="E5831" s="6" t="s">
        <v>15</v>
      </c>
      <c r="F5831" s="7">
        <v>326</v>
      </c>
      <c r="G5831" s="7">
        <v>193785.6380368098</v>
      </c>
      <c r="H5831" s="7">
        <v>63174118</v>
      </c>
      <c r="I5831" s="7">
        <v>6526144</v>
      </c>
      <c r="J5831" s="7">
        <v>0</v>
      </c>
      <c r="K5831">
        <f t="shared" si="90"/>
        <v>151</v>
      </c>
      <c r="L5831" s="8" t="str" cm="1">
        <f t="array" ref="L5831">_xlfn.IFS(
 AND(K5831&gt;=89,K5831&lt;=92),"3개월",
 AND(K5831&gt;=58,K5831&lt;=62),"2개월",
 AND(K5831&gt;=28,K5831&lt;=32),"1개월",
 AND(K5831=0),"당월",
 TRUE,"그외"
)</f>
        <v>그외</v>
      </c>
    </row>
    <row r="5832" spans="1:12" x14ac:dyDescent="0.3">
      <c r="A5832" s="5">
        <v>45717</v>
      </c>
      <c r="B5832" s="6" t="s">
        <v>60</v>
      </c>
      <c r="C5832" s="6" t="s">
        <v>72</v>
      </c>
      <c r="D5832" s="5">
        <v>45597</v>
      </c>
      <c r="E5832" s="6" t="s">
        <v>14</v>
      </c>
      <c r="F5832" s="7">
        <v>171</v>
      </c>
      <c r="G5832" s="7">
        <v>189666.66666666669</v>
      </c>
      <c r="H5832" s="7">
        <v>32433000</v>
      </c>
      <c r="I5832" s="7">
        <v>3420000</v>
      </c>
      <c r="J5832" s="7">
        <v>0</v>
      </c>
      <c r="K5832">
        <f t="shared" si="90"/>
        <v>120</v>
      </c>
      <c r="L5832" s="8" t="str" cm="1">
        <f t="array" ref="L5832">_xlfn.IFS(
 AND(K5832&gt;=89,K5832&lt;=92),"3개월",
 AND(K5832&gt;=58,K5832&lt;=62),"2개월",
 AND(K5832&gt;=28,K5832&lt;=32),"1개월",
 AND(K5832=0),"당월",
 TRUE,"그외"
)</f>
        <v>그외</v>
      </c>
    </row>
    <row r="5833" spans="1:12" x14ac:dyDescent="0.3">
      <c r="A5833" s="5">
        <v>45717</v>
      </c>
      <c r="B5833" s="6" t="s">
        <v>60</v>
      </c>
      <c r="C5833" s="6" t="s">
        <v>72</v>
      </c>
      <c r="D5833" s="5">
        <v>45597</v>
      </c>
      <c r="E5833" s="6" t="s">
        <v>15</v>
      </c>
      <c r="F5833" s="7">
        <v>550</v>
      </c>
      <c r="G5833" s="7">
        <v>189284.30909090911</v>
      </c>
      <c r="H5833" s="7">
        <v>104106370</v>
      </c>
      <c r="I5833" s="7">
        <v>10963774</v>
      </c>
      <c r="J5833" s="7">
        <v>0</v>
      </c>
      <c r="K5833">
        <f t="shared" si="90"/>
        <v>120</v>
      </c>
      <c r="L5833" s="8" t="str" cm="1">
        <f t="array" ref="L5833">_xlfn.IFS(
 AND(K5833&gt;=89,K5833&lt;=92),"3개월",
 AND(K5833&gt;=58,K5833&lt;=62),"2개월",
 AND(K5833&gt;=28,K5833&lt;=32),"1개월",
 AND(K5833=0),"당월",
 TRUE,"그외"
)</f>
        <v>그외</v>
      </c>
    </row>
    <row r="5834" spans="1:12" x14ac:dyDescent="0.3">
      <c r="A5834" s="5">
        <v>45717</v>
      </c>
      <c r="B5834" s="6" t="s">
        <v>60</v>
      </c>
      <c r="C5834" s="6" t="s">
        <v>72</v>
      </c>
      <c r="D5834" s="5">
        <v>45627</v>
      </c>
      <c r="E5834" s="6" t="s">
        <v>14</v>
      </c>
      <c r="F5834" s="7">
        <v>266</v>
      </c>
      <c r="G5834" s="7">
        <v>191785.71428571429</v>
      </c>
      <c r="H5834" s="7">
        <v>51015000</v>
      </c>
      <c r="I5834" s="7">
        <v>6251000</v>
      </c>
      <c r="J5834" s="7">
        <v>0</v>
      </c>
      <c r="K5834">
        <f t="shared" ref="K5834:K5897" si="91">A5834-D5834</f>
        <v>90</v>
      </c>
      <c r="L5834" s="8" t="str" cm="1">
        <f t="array" ref="L5834">_xlfn.IFS(
 AND(K5834&gt;=89,K5834&lt;=92),"3개월",
 AND(K5834&gt;=58,K5834&lt;=62),"2개월",
 AND(K5834&gt;=28,K5834&lt;=32),"1개월",
 AND(K5834=0),"당월",
 TRUE,"그외"
)</f>
        <v>3개월</v>
      </c>
    </row>
    <row r="5835" spans="1:12" x14ac:dyDescent="0.3">
      <c r="A5835" s="5">
        <v>45717</v>
      </c>
      <c r="B5835" s="6" t="s">
        <v>60</v>
      </c>
      <c r="C5835" s="6" t="s">
        <v>72</v>
      </c>
      <c r="D5835" s="5">
        <v>45627</v>
      </c>
      <c r="E5835" s="6" t="s">
        <v>15</v>
      </c>
      <c r="F5835" s="7">
        <v>1007</v>
      </c>
      <c r="G5835" s="7">
        <v>207764.04568023831</v>
      </c>
      <c r="H5835" s="7">
        <v>209218394</v>
      </c>
      <c r="I5835" s="7">
        <v>23322556</v>
      </c>
      <c r="J5835" s="7">
        <v>0</v>
      </c>
      <c r="K5835">
        <f t="shared" si="91"/>
        <v>90</v>
      </c>
      <c r="L5835" s="8" t="str" cm="1">
        <f t="array" ref="L5835">_xlfn.IFS(
 AND(K5835&gt;=89,K5835&lt;=92),"3개월",
 AND(K5835&gt;=58,K5835&lt;=62),"2개월",
 AND(K5835&gt;=28,K5835&lt;=32),"1개월",
 AND(K5835=0),"당월",
 TRUE,"그외"
)</f>
        <v>3개월</v>
      </c>
    </row>
    <row r="5836" spans="1:12" x14ac:dyDescent="0.3">
      <c r="A5836" s="5">
        <v>45717</v>
      </c>
      <c r="B5836" s="6" t="s">
        <v>60</v>
      </c>
      <c r="C5836" s="6" t="s">
        <v>72</v>
      </c>
      <c r="D5836" s="5">
        <v>45658</v>
      </c>
      <c r="E5836" s="6" t="s">
        <v>14</v>
      </c>
      <c r="F5836" s="7">
        <v>1217</v>
      </c>
      <c r="G5836" s="7">
        <v>199248.97288414129</v>
      </c>
      <c r="H5836" s="7">
        <v>242486000</v>
      </c>
      <c r="I5836" s="7">
        <v>29064000</v>
      </c>
      <c r="J5836" s="7">
        <v>0</v>
      </c>
      <c r="K5836">
        <f t="shared" si="91"/>
        <v>59</v>
      </c>
      <c r="L5836" s="8" t="str" cm="1">
        <f t="array" ref="L5836">_xlfn.IFS(
 AND(K5836&gt;=89,K5836&lt;=92),"3개월",
 AND(K5836&gt;=58,K5836&lt;=62),"2개월",
 AND(K5836&gt;=28,K5836&lt;=32),"1개월",
 AND(K5836=0),"당월",
 TRUE,"그외"
)</f>
        <v>2개월</v>
      </c>
    </row>
    <row r="5837" spans="1:12" x14ac:dyDescent="0.3">
      <c r="A5837" s="5">
        <v>45717</v>
      </c>
      <c r="B5837" s="6" t="s">
        <v>60</v>
      </c>
      <c r="C5837" s="6" t="s">
        <v>72</v>
      </c>
      <c r="D5837" s="5">
        <v>45658</v>
      </c>
      <c r="E5837" s="6" t="s">
        <v>15</v>
      </c>
      <c r="F5837" s="7">
        <v>1790</v>
      </c>
      <c r="G5837" s="7">
        <v>224703.8558659218</v>
      </c>
      <c r="H5837" s="7">
        <v>402219902</v>
      </c>
      <c r="I5837" s="7">
        <v>42811763</v>
      </c>
      <c r="J5837" s="7">
        <v>0</v>
      </c>
      <c r="K5837">
        <f t="shared" si="91"/>
        <v>59</v>
      </c>
      <c r="L5837" s="8" t="str" cm="1">
        <f t="array" ref="L5837">_xlfn.IFS(
 AND(K5837&gt;=89,K5837&lt;=92),"3개월",
 AND(K5837&gt;=58,K5837&lt;=62),"2개월",
 AND(K5837&gt;=28,K5837&lt;=32),"1개월",
 AND(K5837=0),"당월",
 TRUE,"그외"
)</f>
        <v>2개월</v>
      </c>
    </row>
    <row r="5838" spans="1:12" x14ac:dyDescent="0.3">
      <c r="A5838" s="5">
        <v>45717</v>
      </c>
      <c r="B5838" s="6" t="s">
        <v>60</v>
      </c>
      <c r="C5838" s="6" t="s">
        <v>72</v>
      </c>
      <c r="D5838" s="5">
        <v>45689</v>
      </c>
      <c r="E5838" s="6" t="s">
        <v>14</v>
      </c>
      <c r="F5838" s="7">
        <v>2565</v>
      </c>
      <c r="G5838" s="7">
        <v>161643.11890838211</v>
      </c>
      <c r="H5838" s="7">
        <v>414614600</v>
      </c>
      <c r="I5838" s="7">
        <v>62317600</v>
      </c>
      <c r="J5838" s="7">
        <v>0</v>
      </c>
      <c r="K5838">
        <f t="shared" si="91"/>
        <v>28</v>
      </c>
      <c r="L5838" s="8" t="str" cm="1">
        <f t="array" ref="L5838">_xlfn.IFS(
 AND(K5838&gt;=89,K5838&lt;=92),"3개월",
 AND(K5838&gt;=58,K5838&lt;=62),"2개월",
 AND(K5838&gt;=28,K5838&lt;=32),"1개월",
 AND(K5838=0),"당월",
 TRUE,"그외"
)</f>
        <v>1개월</v>
      </c>
    </row>
    <row r="5839" spans="1:12" x14ac:dyDescent="0.3">
      <c r="A5839" s="5">
        <v>45717</v>
      </c>
      <c r="B5839" s="6" t="s">
        <v>60</v>
      </c>
      <c r="C5839" s="6" t="s">
        <v>72</v>
      </c>
      <c r="D5839" s="5">
        <v>45689</v>
      </c>
      <c r="E5839" s="6" t="s">
        <v>15</v>
      </c>
      <c r="F5839" s="7">
        <v>2645</v>
      </c>
      <c r="G5839" s="7">
        <v>228525.429489603</v>
      </c>
      <c r="H5839" s="7">
        <v>604449761</v>
      </c>
      <c r="I5839" s="7">
        <v>64857407</v>
      </c>
      <c r="J5839" s="7">
        <v>0</v>
      </c>
      <c r="K5839">
        <f t="shared" si="91"/>
        <v>28</v>
      </c>
      <c r="L5839" s="8" t="str" cm="1">
        <f t="array" ref="L5839">_xlfn.IFS(
 AND(K5839&gt;=89,K5839&lt;=92),"3개월",
 AND(K5839&gt;=58,K5839&lt;=62),"2개월",
 AND(K5839&gt;=28,K5839&lt;=32),"1개월",
 AND(K5839=0),"당월",
 TRUE,"그외"
)</f>
        <v>1개월</v>
      </c>
    </row>
    <row r="5840" spans="1:12" x14ac:dyDescent="0.3">
      <c r="A5840" s="5">
        <v>45717</v>
      </c>
      <c r="B5840" s="6" t="s">
        <v>60</v>
      </c>
      <c r="C5840" s="6" t="s">
        <v>72</v>
      </c>
      <c r="D5840" s="5">
        <v>45717</v>
      </c>
      <c r="E5840" s="6" t="s">
        <v>14</v>
      </c>
      <c r="F5840" s="7">
        <v>222</v>
      </c>
      <c r="G5840" s="7">
        <v>131673.4234234234</v>
      </c>
      <c r="H5840" s="7">
        <v>29231500</v>
      </c>
      <c r="I5840" s="7">
        <v>6261500</v>
      </c>
      <c r="J5840" s="7">
        <v>0</v>
      </c>
      <c r="K5840">
        <f t="shared" si="91"/>
        <v>0</v>
      </c>
      <c r="L5840" s="8" t="str" cm="1">
        <f t="array" ref="L5840">_xlfn.IFS(
 AND(K5840&gt;=89,K5840&lt;=92),"3개월",
 AND(K5840&gt;=58,K5840&lt;=62),"2개월",
 AND(K5840&gt;=28,K5840&lt;=32),"1개월",
 AND(K5840=0),"당월",
 TRUE,"그외"
)</f>
        <v>당월</v>
      </c>
    </row>
    <row r="5841" spans="1:12" x14ac:dyDescent="0.3">
      <c r="A5841" s="5">
        <v>45717</v>
      </c>
      <c r="B5841" s="6" t="s">
        <v>60</v>
      </c>
      <c r="C5841" s="6" t="s">
        <v>72</v>
      </c>
      <c r="D5841" s="5">
        <v>45717</v>
      </c>
      <c r="E5841" s="6" t="s">
        <v>15</v>
      </c>
      <c r="F5841" s="7">
        <v>610</v>
      </c>
      <c r="G5841" s="7">
        <v>238584.36885245901</v>
      </c>
      <c r="H5841" s="7">
        <v>145536465</v>
      </c>
      <c r="I5841" s="7">
        <v>17044050</v>
      </c>
      <c r="J5841" s="7">
        <v>0</v>
      </c>
      <c r="K5841">
        <f t="shared" si="91"/>
        <v>0</v>
      </c>
      <c r="L5841" s="8" t="str" cm="1">
        <f t="array" ref="L5841">_xlfn.IFS(
 AND(K5841&gt;=89,K5841&lt;=92),"3개월",
 AND(K5841&gt;=58,K5841&lt;=62),"2개월",
 AND(K5841&gt;=28,K5841&lt;=32),"1개월",
 AND(K5841=0),"당월",
 TRUE,"그외"
)</f>
        <v>당월</v>
      </c>
    </row>
    <row r="5842" spans="1:12" x14ac:dyDescent="0.3">
      <c r="A5842" s="5">
        <v>45717</v>
      </c>
      <c r="B5842" s="6" t="s">
        <v>60</v>
      </c>
      <c r="C5842" s="6" t="s">
        <v>115</v>
      </c>
      <c r="D5842" s="5">
        <v>45536</v>
      </c>
      <c r="E5842" s="6" t="s">
        <v>15</v>
      </c>
      <c r="F5842" s="7">
        <v>32</v>
      </c>
      <c r="G5842" s="7">
        <v>238894.4375</v>
      </c>
      <c r="H5842" s="7">
        <v>7644622</v>
      </c>
      <c r="I5842" s="7">
        <v>1145600</v>
      </c>
      <c r="J5842" s="7">
        <v>0</v>
      </c>
      <c r="K5842">
        <f t="shared" si="91"/>
        <v>181</v>
      </c>
      <c r="L5842" s="8" t="str" cm="1">
        <f t="array" ref="L5842">_xlfn.IFS(
 AND(K5842&gt;=89,K5842&lt;=92),"3개월",
 AND(K5842&gt;=58,K5842&lt;=62),"2개월",
 AND(K5842&gt;=28,K5842&lt;=32),"1개월",
 AND(K5842=0),"당월",
 TRUE,"그외"
)</f>
        <v>그외</v>
      </c>
    </row>
    <row r="5843" spans="1:12" x14ac:dyDescent="0.3">
      <c r="A5843" s="5">
        <v>45717</v>
      </c>
      <c r="B5843" s="6" t="s">
        <v>60</v>
      </c>
      <c r="C5843" s="6" t="s">
        <v>115</v>
      </c>
      <c r="D5843" s="5">
        <v>45566</v>
      </c>
      <c r="E5843" s="6" t="s">
        <v>14</v>
      </c>
      <c r="F5843" s="7">
        <v>26</v>
      </c>
      <c r="G5843" s="7">
        <v>165400</v>
      </c>
      <c r="H5843" s="7">
        <v>4300400</v>
      </c>
      <c r="I5843" s="7">
        <v>660400</v>
      </c>
      <c r="J5843" s="7">
        <v>0</v>
      </c>
      <c r="K5843">
        <f t="shared" si="91"/>
        <v>151</v>
      </c>
      <c r="L5843" s="8" t="str" cm="1">
        <f t="array" ref="L5843">_xlfn.IFS(
 AND(K5843&gt;=89,K5843&lt;=92),"3개월",
 AND(K5843&gt;=58,K5843&lt;=62),"2개월",
 AND(K5843&gt;=28,K5843&lt;=32),"1개월",
 AND(K5843=0),"당월",
 TRUE,"그외"
)</f>
        <v>그외</v>
      </c>
    </row>
    <row r="5844" spans="1:12" x14ac:dyDescent="0.3">
      <c r="A5844" s="5">
        <v>45717</v>
      </c>
      <c r="B5844" s="6" t="s">
        <v>60</v>
      </c>
      <c r="C5844" s="6" t="s">
        <v>115</v>
      </c>
      <c r="D5844" s="5">
        <v>45566</v>
      </c>
      <c r="E5844" s="6" t="s">
        <v>15</v>
      </c>
      <c r="F5844" s="7">
        <v>378</v>
      </c>
      <c r="G5844" s="7">
        <v>192546.87037037039</v>
      </c>
      <c r="H5844" s="7">
        <v>72782717</v>
      </c>
      <c r="I5844" s="7">
        <v>10116697</v>
      </c>
      <c r="J5844" s="7">
        <v>0</v>
      </c>
      <c r="K5844">
        <f t="shared" si="91"/>
        <v>151</v>
      </c>
      <c r="L5844" s="8" t="str" cm="1">
        <f t="array" ref="L5844">_xlfn.IFS(
 AND(K5844&gt;=89,K5844&lt;=92),"3개월",
 AND(K5844&gt;=58,K5844&lt;=62),"2개월",
 AND(K5844&gt;=28,K5844&lt;=32),"1개월",
 AND(K5844=0),"당월",
 TRUE,"그외"
)</f>
        <v>그외</v>
      </c>
    </row>
    <row r="5845" spans="1:12" x14ac:dyDescent="0.3">
      <c r="A5845" s="5">
        <v>45717</v>
      </c>
      <c r="B5845" s="6" t="s">
        <v>60</v>
      </c>
      <c r="C5845" s="6" t="s">
        <v>115</v>
      </c>
      <c r="D5845" s="5">
        <v>45597</v>
      </c>
      <c r="E5845" s="6" t="s">
        <v>14</v>
      </c>
      <c r="F5845" s="7">
        <v>246</v>
      </c>
      <c r="G5845" s="7">
        <v>165863.41463414629</v>
      </c>
      <c r="H5845" s="7">
        <v>40802400</v>
      </c>
      <c r="I5845" s="7">
        <v>6248400</v>
      </c>
      <c r="J5845" s="7">
        <v>0</v>
      </c>
      <c r="K5845">
        <f t="shared" si="91"/>
        <v>120</v>
      </c>
      <c r="L5845" s="8" t="str" cm="1">
        <f t="array" ref="L5845">_xlfn.IFS(
 AND(K5845&gt;=89,K5845&lt;=92),"3개월",
 AND(K5845&gt;=58,K5845&lt;=62),"2개월",
 AND(K5845&gt;=28,K5845&lt;=32),"1개월",
 AND(K5845=0),"당월",
 TRUE,"그외"
)</f>
        <v>그외</v>
      </c>
    </row>
    <row r="5846" spans="1:12" x14ac:dyDescent="0.3">
      <c r="A5846" s="5">
        <v>45717</v>
      </c>
      <c r="B5846" s="6" t="s">
        <v>60</v>
      </c>
      <c r="C5846" s="6" t="s">
        <v>115</v>
      </c>
      <c r="D5846" s="5">
        <v>45597</v>
      </c>
      <c r="E5846" s="6" t="s">
        <v>15</v>
      </c>
      <c r="F5846" s="7">
        <v>404</v>
      </c>
      <c r="G5846" s="7">
        <v>202593.7623762376</v>
      </c>
      <c r="H5846" s="7">
        <v>81847880</v>
      </c>
      <c r="I5846" s="7">
        <v>10744844</v>
      </c>
      <c r="J5846" s="7">
        <v>0</v>
      </c>
      <c r="K5846">
        <f t="shared" si="91"/>
        <v>120</v>
      </c>
      <c r="L5846" s="8" t="str" cm="1">
        <f t="array" ref="L5846">_xlfn.IFS(
 AND(K5846&gt;=89,K5846&lt;=92),"3개월",
 AND(K5846&gt;=58,K5846&lt;=62),"2개월",
 AND(K5846&gt;=28,K5846&lt;=32),"1개월",
 AND(K5846=0),"당월",
 TRUE,"그외"
)</f>
        <v>그외</v>
      </c>
    </row>
    <row r="5847" spans="1:12" x14ac:dyDescent="0.3">
      <c r="A5847" s="5">
        <v>45717</v>
      </c>
      <c r="B5847" s="6" t="s">
        <v>60</v>
      </c>
      <c r="C5847" s="6" t="s">
        <v>115</v>
      </c>
      <c r="D5847" s="5">
        <v>45627</v>
      </c>
      <c r="E5847" s="6" t="s">
        <v>14</v>
      </c>
      <c r="F5847" s="7">
        <v>791</v>
      </c>
      <c r="G5847" s="7">
        <v>153196.58659924151</v>
      </c>
      <c r="H5847" s="7">
        <v>121178500</v>
      </c>
      <c r="I5847" s="7">
        <v>24125500</v>
      </c>
      <c r="J5847" s="7">
        <v>0</v>
      </c>
      <c r="K5847">
        <f t="shared" si="91"/>
        <v>90</v>
      </c>
      <c r="L5847" s="8" t="str" cm="1">
        <f t="array" ref="L5847">_xlfn.IFS(
 AND(K5847&gt;=89,K5847&lt;=92),"3개월",
 AND(K5847&gt;=58,K5847&lt;=62),"2개월",
 AND(K5847&gt;=28,K5847&lt;=32),"1개월",
 AND(K5847=0),"당월",
 TRUE,"그외"
)</f>
        <v>3개월</v>
      </c>
    </row>
    <row r="5848" spans="1:12" x14ac:dyDescent="0.3">
      <c r="A5848" s="5">
        <v>45717</v>
      </c>
      <c r="B5848" s="6" t="s">
        <v>60</v>
      </c>
      <c r="C5848" s="6" t="s">
        <v>115</v>
      </c>
      <c r="D5848" s="5">
        <v>45627</v>
      </c>
      <c r="E5848" s="6" t="s">
        <v>15</v>
      </c>
      <c r="F5848" s="7">
        <v>357</v>
      </c>
      <c r="G5848" s="7">
        <v>233447.71708683469</v>
      </c>
      <c r="H5848" s="7">
        <v>83340835</v>
      </c>
      <c r="I5848" s="7">
        <v>11608171</v>
      </c>
      <c r="J5848" s="7">
        <v>0</v>
      </c>
      <c r="K5848">
        <f t="shared" si="91"/>
        <v>90</v>
      </c>
      <c r="L5848" s="8" t="str" cm="1">
        <f t="array" ref="L5848">_xlfn.IFS(
 AND(K5848&gt;=89,K5848&lt;=92),"3개월",
 AND(K5848&gt;=58,K5848&lt;=62),"2개월",
 AND(K5848&gt;=28,K5848&lt;=32),"1개월",
 AND(K5848=0),"당월",
 TRUE,"그외"
)</f>
        <v>3개월</v>
      </c>
    </row>
    <row r="5849" spans="1:12" x14ac:dyDescent="0.3">
      <c r="A5849" s="5">
        <v>45717</v>
      </c>
      <c r="B5849" s="6" t="s">
        <v>60</v>
      </c>
      <c r="C5849" s="6" t="s">
        <v>115</v>
      </c>
      <c r="D5849" s="5">
        <v>45658</v>
      </c>
      <c r="E5849" s="6" t="s">
        <v>14</v>
      </c>
      <c r="F5849" s="7">
        <v>522</v>
      </c>
      <c r="G5849" s="7">
        <v>275568.96551724139</v>
      </c>
      <c r="H5849" s="7">
        <v>143847000</v>
      </c>
      <c r="I5849" s="7">
        <v>15933000</v>
      </c>
      <c r="J5849" s="7">
        <v>0</v>
      </c>
      <c r="K5849">
        <f t="shared" si="91"/>
        <v>59</v>
      </c>
      <c r="L5849" s="8" t="str" cm="1">
        <f t="array" ref="L5849">_xlfn.IFS(
 AND(K5849&gt;=89,K5849&lt;=92),"3개월",
 AND(K5849&gt;=58,K5849&lt;=62),"2개월",
 AND(K5849&gt;=28,K5849&lt;=32),"1개월",
 AND(K5849=0),"당월",
 TRUE,"그외"
)</f>
        <v>2개월</v>
      </c>
    </row>
    <row r="5850" spans="1:12" x14ac:dyDescent="0.3">
      <c r="A5850" s="5">
        <v>45717</v>
      </c>
      <c r="B5850" s="6" t="s">
        <v>60</v>
      </c>
      <c r="C5850" s="6" t="s">
        <v>115</v>
      </c>
      <c r="D5850" s="5">
        <v>45658</v>
      </c>
      <c r="E5850" s="6" t="s">
        <v>15</v>
      </c>
      <c r="F5850" s="7">
        <v>789</v>
      </c>
      <c r="G5850" s="7">
        <v>207265.793409379</v>
      </c>
      <c r="H5850" s="7">
        <v>163532711</v>
      </c>
      <c r="I5850" s="7">
        <v>26862211</v>
      </c>
      <c r="J5850" s="7">
        <v>0</v>
      </c>
      <c r="K5850">
        <f t="shared" si="91"/>
        <v>59</v>
      </c>
      <c r="L5850" s="8" t="str" cm="1">
        <f t="array" ref="L5850">_xlfn.IFS(
 AND(K5850&gt;=89,K5850&lt;=92),"3개월",
 AND(K5850&gt;=58,K5850&lt;=62),"2개월",
 AND(K5850&gt;=28,K5850&lt;=32),"1개월",
 AND(K5850=0),"당월",
 TRUE,"그외"
)</f>
        <v>2개월</v>
      </c>
    </row>
    <row r="5851" spans="1:12" x14ac:dyDescent="0.3">
      <c r="A5851" s="5">
        <v>45717</v>
      </c>
      <c r="B5851" s="6" t="s">
        <v>60</v>
      </c>
      <c r="C5851" s="6" t="s">
        <v>115</v>
      </c>
      <c r="D5851" s="5">
        <v>45689</v>
      </c>
      <c r="E5851" s="6" t="s">
        <v>14</v>
      </c>
      <c r="F5851" s="7">
        <v>1547</v>
      </c>
      <c r="G5851" s="7">
        <v>159851.03038138329</v>
      </c>
      <c r="H5851" s="7">
        <v>247289544</v>
      </c>
      <c r="I5851" s="7">
        <v>50515476</v>
      </c>
      <c r="J5851" s="7">
        <v>0</v>
      </c>
      <c r="K5851">
        <f t="shared" si="91"/>
        <v>28</v>
      </c>
      <c r="L5851" s="8" t="str" cm="1">
        <f t="array" ref="L5851">_xlfn.IFS(
 AND(K5851&gt;=89,K5851&lt;=92),"3개월",
 AND(K5851&gt;=58,K5851&lt;=62),"2개월",
 AND(K5851&gt;=28,K5851&lt;=32),"1개월",
 AND(K5851=0),"당월",
 TRUE,"그외"
)</f>
        <v>1개월</v>
      </c>
    </row>
    <row r="5852" spans="1:12" x14ac:dyDescent="0.3">
      <c r="A5852" s="5">
        <v>45717</v>
      </c>
      <c r="B5852" s="6" t="s">
        <v>60</v>
      </c>
      <c r="C5852" s="6" t="s">
        <v>115</v>
      </c>
      <c r="D5852" s="5">
        <v>45689</v>
      </c>
      <c r="E5852" s="6" t="s">
        <v>15</v>
      </c>
      <c r="F5852" s="7">
        <v>2602</v>
      </c>
      <c r="G5852" s="7">
        <v>210113.92275172941</v>
      </c>
      <c r="H5852" s="7">
        <v>546716427</v>
      </c>
      <c r="I5852" s="7">
        <v>92091558</v>
      </c>
      <c r="J5852" s="7">
        <v>0</v>
      </c>
      <c r="K5852">
        <f t="shared" si="91"/>
        <v>28</v>
      </c>
      <c r="L5852" s="8" t="str" cm="1">
        <f t="array" ref="L5852">_xlfn.IFS(
 AND(K5852&gt;=89,K5852&lt;=92),"3개월",
 AND(K5852&gt;=58,K5852&lt;=62),"2개월",
 AND(K5852&gt;=28,K5852&lt;=32),"1개월",
 AND(K5852=0),"당월",
 TRUE,"그외"
)</f>
        <v>1개월</v>
      </c>
    </row>
    <row r="5853" spans="1:12" x14ac:dyDescent="0.3">
      <c r="A5853" s="5">
        <v>45717</v>
      </c>
      <c r="B5853" s="6" t="s">
        <v>60</v>
      </c>
      <c r="C5853" s="6" t="s">
        <v>115</v>
      </c>
      <c r="D5853" s="5">
        <v>45717</v>
      </c>
      <c r="E5853" s="6" t="s">
        <v>14</v>
      </c>
      <c r="F5853" s="7">
        <v>885</v>
      </c>
      <c r="G5853" s="7">
        <v>184043.9209039548</v>
      </c>
      <c r="H5853" s="7">
        <v>162878870</v>
      </c>
      <c r="I5853" s="7">
        <v>34699832</v>
      </c>
      <c r="J5853" s="7">
        <v>0</v>
      </c>
      <c r="K5853">
        <f t="shared" si="91"/>
        <v>0</v>
      </c>
      <c r="L5853" s="8" t="str" cm="1">
        <f t="array" ref="L5853">_xlfn.IFS(
 AND(K5853&gt;=89,K5853&lt;=92),"3개월",
 AND(K5853&gt;=58,K5853&lt;=62),"2개월",
 AND(K5853&gt;=28,K5853&lt;=32),"1개월",
 AND(K5853=0),"당월",
 TRUE,"그외"
)</f>
        <v>당월</v>
      </c>
    </row>
    <row r="5854" spans="1:12" x14ac:dyDescent="0.3">
      <c r="A5854" s="5">
        <v>45717</v>
      </c>
      <c r="B5854" s="6" t="s">
        <v>60</v>
      </c>
      <c r="C5854" s="6" t="s">
        <v>115</v>
      </c>
      <c r="D5854" s="5">
        <v>45717</v>
      </c>
      <c r="E5854" s="6" t="s">
        <v>15</v>
      </c>
      <c r="F5854" s="7">
        <v>1422</v>
      </c>
      <c r="G5854" s="7">
        <v>195593.99859353021</v>
      </c>
      <c r="H5854" s="7">
        <v>278134666</v>
      </c>
      <c r="I5854" s="7">
        <v>58232600</v>
      </c>
      <c r="J5854" s="7">
        <v>0</v>
      </c>
      <c r="K5854">
        <f t="shared" si="91"/>
        <v>0</v>
      </c>
      <c r="L5854" s="8" t="str" cm="1">
        <f t="array" ref="L5854">_xlfn.IFS(
 AND(K5854&gt;=89,K5854&lt;=92),"3개월",
 AND(K5854&gt;=58,K5854&lt;=62),"2개월",
 AND(K5854&gt;=28,K5854&lt;=32),"1개월",
 AND(K5854=0),"당월",
 TRUE,"그외"
)</f>
        <v>당월</v>
      </c>
    </row>
    <row r="5855" spans="1:12" x14ac:dyDescent="0.3">
      <c r="A5855" s="5">
        <v>45717</v>
      </c>
      <c r="B5855" s="6" t="s">
        <v>75</v>
      </c>
      <c r="C5855" s="6" t="s">
        <v>124</v>
      </c>
      <c r="D5855" s="5">
        <v>45474</v>
      </c>
      <c r="E5855" s="6" t="s">
        <v>15</v>
      </c>
      <c r="F5855" s="7">
        <v>4</v>
      </c>
      <c r="G5855" s="7">
        <v>157475</v>
      </c>
      <c r="H5855" s="7">
        <v>629900</v>
      </c>
      <c r="I5855" s="7">
        <v>142400</v>
      </c>
      <c r="J5855" s="7">
        <v>0</v>
      </c>
      <c r="K5855">
        <f t="shared" si="91"/>
        <v>243</v>
      </c>
      <c r="L5855" s="8" t="str" cm="1">
        <f t="array" ref="L5855">_xlfn.IFS(
 AND(K5855&gt;=89,K5855&lt;=92),"3개월",
 AND(K5855&gt;=58,K5855&lt;=62),"2개월",
 AND(K5855&gt;=28,K5855&lt;=32),"1개월",
 AND(K5855=0),"당월",
 TRUE,"그외"
)</f>
        <v>그외</v>
      </c>
    </row>
    <row r="5856" spans="1:12" x14ac:dyDescent="0.3">
      <c r="A5856" s="5">
        <v>45717</v>
      </c>
      <c r="B5856" s="6" t="s">
        <v>75</v>
      </c>
      <c r="C5856" s="6" t="s">
        <v>124</v>
      </c>
      <c r="D5856" s="5">
        <v>45505</v>
      </c>
      <c r="E5856" s="6" t="s">
        <v>15</v>
      </c>
      <c r="F5856" s="7">
        <v>258</v>
      </c>
      <c r="G5856" s="7">
        <v>172933.95348837209</v>
      </c>
      <c r="H5856" s="7">
        <v>44616960</v>
      </c>
      <c r="I5856" s="7">
        <v>10345800</v>
      </c>
      <c r="J5856" s="7">
        <v>0</v>
      </c>
      <c r="K5856">
        <f t="shared" si="91"/>
        <v>212</v>
      </c>
      <c r="L5856" s="8" t="str" cm="1">
        <f t="array" ref="L5856">_xlfn.IFS(
 AND(K5856&gt;=89,K5856&lt;=92),"3개월",
 AND(K5856&gt;=58,K5856&lt;=62),"2개월",
 AND(K5856&gt;=28,K5856&lt;=32),"1개월",
 AND(K5856=0),"당월",
 TRUE,"그외"
)</f>
        <v>그외</v>
      </c>
    </row>
    <row r="5857" spans="1:12" x14ac:dyDescent="0.3">
      <c r="A5857" s="5">
        <v>45717</v>
      </c>
      <c r="B5857" s="6" t="s">
        <v>75</v>
      </c>
      <c r="C5857" s="6" t="s">
        <v>124</v>
      </c>
      <c r="D5857" s="5">
        <v>45536</v>
      </c>
      <c r="E5857" s="6" t="s">
        <v>15</v>
      </c>
      <c r="F5857" s="7">
        <v>98</v>
      </c>
      <c r="G5857" s="7">
        <v>156813.38775510201</v>
      </c>
      <c r="H5857" s="7">
        <v>15367712</v>
      </c>
      <c r="I5857" s="7">
        <v>3508400</v>
      </c>
      <c r="J5857" s="7">
        <v>0</v>
      </c>
      <c r="K5857">
        <f t="shared" si="91"/>
        <v>181</v>
      </c>
      <c r="L5857" s="8" t="str" cm="1">
        <f t="array" ref="L5857">_xlfn.IFS(
 AND(K5857&gt;=89,K5857&lt;=92),"3개월",
 AND(K5857&gt;=58,K5857&lt;=62),"2개월",
 AND(K5857&gt;=28,K5857&lt;=32),"1개월",
 AND(K5857=0),"당월",
 TRUE,"그외"
)</f>
        <v>그외</v>
      </c>
    </row>
    <row r="5858" spans="1:12" x14ac:dyDescent="0.3">
      <c r="A5858" s="5">
        <v>45717</v>
      </c>
      <c r="B5858" s="6" t="s">
        <v>75</v>
      </c>
      <c r="C5858" s="6" t="s">
        <v>124</v>
      </c>
      <c r="D5858" s="5">
        <v>45566</v>
      </c>
      <c r="E5858" s="6" t="s">
        <v>14</v>
      </c>
      <c r="F5858" s="7">
        <v>26</v>
      </c>
      <c r="G5858" s="7">
        <v>183323.07692307691</v>
      </c>
      <c r="H5858" s="7">
        <v>4766400</v>
      </c>
      <c r="I5858" s="7">
        <v>660400</v>
      </c>
      <c r="J5858" s="7">
        <v>0</v>
      </c>
      <c r="K5858">
        <f t="shared" si="91"/>
        <v>151</v>
      </c>
      <c r="L5858" s="8" t="str" cm="1">
        <f t="array" ref="L5858">_xlfn.IFS(
 AND(K5858&gt;=89,K5858&lt;=92),"3개월",
 AND(K5858&gt;=58,K5858&lt;=62),"2개월",
 AND(K5858&gt;=28,K5858&lt;=32),"1개월",
 AND(K5858=0),"당월",
 TRUE,"그외"
)</f>
        <v>그외</v>
      </c>
    </row>
    <row r="5859" spans="1:12" x14ac:dyDescent="0.3">
      <c r="A5859" s="5">
        <v>45717</v>
      </c>
      <c r="B5859" s="6" t="s">
        <v>75</v>
      </c>
      <c r="C5859" s="6" t="s">
        <v>124</v>
      </c>
      <c r="D5859" s="5">
        <v>45566</v>
      </c>
      <c r="E5859" s="6" t="s">
        <v>15</v>
      </c>
      <c r="F5859" s="7">
        <v>393</v>
      </c>
      <c r="G5859" s="7">
        <v>138875.93893129769</v>
      </c>
      <c r="H5859" s="7">
        <v>54578244</v>
      </c>
      <c r="I5859" s="7">
        <v>10083684</v>
      </c>
      <c r="J5859" s="7">
        <v>0</v>
      </c>
      <c r="K5859">
        <f t="shared" si="91"/>
        <v>151</v>
      </c>
      <c r="L5859" s="8" t="str" cm="1">
        <f t="array" ref="L5859">_xlfn.IFS(
 AND(K5859&gt;=89,K5859&lt;=92),"3개월",
 AND(K5859&gt;=58,K5859&lt;=62),"2개월",
 AND(K5859&gt;=28,K5859&lt;=32),"1개월",
 AND(K5859=0),"당월",
 TRUE,"그외"
)</f>
        <v>그외</v>
      </c>
    </row>
    <row r="5860" spans="1:12" x14ac:dyDescent="0.3">
      <c r="A5860" s="5">
        <v>45717</v>
      </c>
      <c r="B5860" s="6" t="s">
        <v>75</v>
      </c>
      <c r="C5860" s="6" t="s">
        <v>124</v>
      </c>
      <c r="D5860" s="5">
        <v>45597</v>
      </c>
      <c r="E5860" s="6" t="s">
        <v>14</v>
      </c>
      <c r="F5860" s="7">
        <v>144</v>
      </c>
      <c r="G5860" s="7">
        <v>181705.55555555559</v>
      </c>
      <c r="H5860" s="7">
        <v>26165600</v>
      </c>
      <c r="I5860" s="7">
        <v>3657600</v>
      </c>
      <c r="J5860" s="7">
        <v>0</v>
      </c>
      <c r="K5860">
        <f t="shared" si="91"/>
        <v>120</v>
      </c>
      <c r="L5860" s="8" t="str" cm="1">
        <f t="array" ref="L5860">_xlfn.IFS(
 AND(K5860&gt;=89,K5860&lt;=92),"3개월",
 AND(K5860&gt;=58,K5860&lt;=62),"2개월",
 AND(K5860&gt;=28,K5860&lt;=32),"1개월",
 AND(K5860=0),"당월",
 TRUE,"그외"
)</f>
        <v>그외</v>
      </c>
    </row>
    <row r="5861" spans="1:12" x14ac:dyDescent="0.3">
      <c r="A5861" s="5">
        <v>45717</v>
      </c>
      <c r="B5861" s="6" t="s">
        <v>75</v>
      </c>
      <c r="C5861" s="6" t="s">
        <v>124</v>
      </c>
      <c r="D5861" s="5">
        <v>45597</v>
      </c>
      <c r="E5861" s="6" t="s">
        <v>15</v>
      </c>
      <c r="F5861" s="7">
        <v>358</v>
      </c>
      <c r="G5861" s="7">
        <v>163045.98324022349</v>
      </c>
      <c r="H5861" s="7">
        <v>58370462</v>
      </c>
      <c r="I5861" s="7">
        <v>9093200</v>
      </c>
      <c r="J5861" s="7">
        <v>0</v>
      </c>
      <c r="K5861">
        <f t="shared" si="91"/>
        <v>120</v>
      </c>
      <c r="L5861" s="8" t="str" cm="1">
        <f t="array" ref="L5861">_xlfn.IFS(
 AND(K5861&gt;=89,K5861&lt;=92),"3개월",
 AND(K5861&gt;=58,K5861&lt;=62),"2개월",
 AND(K5861&gt;=28,K5861&lt;=32),"1개월",
 AND(K5861=0),"당월",
 TRUE,"그외"
)</f>
        <v>그외</v>
      </c>
    </row>
    <row r="5862" spans="1:12" x14ac:dyDescent="0.3">
      <c r="A5862" s="5">
        <v>45717</v>
      </c>
      <c r="B5862" s="6" t="s">
        <v>75</v>
      </c>
      <c r="C5862" s="6" t="s">
        <v>124</v>
      </c>
      <c r="D5862" s="5">
        <v>45627</v>
      </c>
      <c r="E5862" s="6" t="s">
        <v>14</v>
      </c>
      <c r="F5862" s="7">
        <v>141</v>
      </c>
      <c r="G5862" s="7">
        <v>143195.03546099289</v>
      </c>
      <c r="H5862" s="7">
        <v>20190500</v>
      </c>
      <c r="I5862" s="7">
        <v>4300500</v>
      </c>
      <c r="J5862" s="7">
        <v>0</v>
      </c>
      <c r="K5862">
        <f t="shared" si="91"/>
        <v>90</v>
      </c>
      <c r="L5862" s="8" t="str" cm="1">
        <f t="array" ref="L5862">_xlfn.IFS(
 AND(K5862&gt;=89,K5862&lt;=92),"3개월",
 AND(K5862&gt;=58,K5862&lt;=62),"2개월",
 AND(K5862&gt;=28,K5862&lt;=32),"1개월",
 AND(K5862=0),"당월",
 TRUE,"그외"
)</f>
        <v>3개월</v>
      </c>
    </row>
    <row r="5863" spans="1:12" x14ac:dyDescent="0.3">
      <c r="A5863" s="5">
        <v>45717</v>
      </c>
      <c r="B5863" s="6" t="s">
        <v>75</v>
      </c>
      <c r="C5863" s="6" t="s">
        <v>124</v>
      </c>
      <c r="D5863" s="5">
        <v>45627</v>
      </c>
      <c r="E5863" s="6" t="s">
        <v>15</v>
      </c>
      <c r="F5863" s="7">
        <v>269</v>
      </c>
      <c r="G5863" s="7">
        <v>163485.95167286249</v>
      </c>
      <c r="H5863" s="7">
        <v>43977721</v>
      </c>
      <c r="I5863" s="7">
        <v>9255459</v>
      </c>
      <c r="J5863" s="7">
        <v>0</v>
      </c>
      <c r="K5863">
        <f t="shared" si="91"/>
        <v>90</v>
      </c>
      <c r="L5863" s="8" t="str" cm="1">
        <f t="array" ref="L5863">_xlfn.IFS(
 AND(K5863&gt;=89,K5863&lt;=92),"3개월",
 AND(K5863&gt;=58,K5863&lt;=62),"2개월",
 AND(K5863&gt;=28,K5863&lt;=32),"1개월",
 AND(K5863=0),"당월",
 TRUE,"그외"
)</f>
        <v>3개월</v>
      </c>
    </row>
    <row r="5864" spans="1:12" x14ac:dyDescent="0.3">
      <c r="A5864" s="5">
        <v>45717</v>
      </c>
      <c r="B5864" s="6" t="s">
        <v>75</v>
      </c>
      <c r="C5864" s="6" t="s">
        <v>124</v>
      </c>
      <c r="D5864" s="5">
        <v>45658</v>
      </c>
      <c r="E5864" s="6" t="s">
        <v>14</v>
      </c>
      <c r="F5864" s="7">
        <v>471</v>
      </c>
      <c r="G5864" s="7">
        <v>180208.06794055199</v>
      </c>
      <c r="H5864" s="7">
        <v>84878000</v>
      </c>
      <c r="I5864" s="7">
        <v>14508000</v>
      </c>
      <c r="J5864" s="7">
        <v>0</v>
      </c>
      <c r="K5864">
        <f t="shared" si="91"/>
        <v>59</v>
      </c>
      <c r="L5864" s="8" t="str" cm="1">
        <f t="array" ref="L5864">_xlfn.IFS(
 AND(K5864&gt;=89,K5864&lt;=92),"3개월",
 AND(K5864&gt;=58,K5864&lt;=62),"2개월",
 AND(K5864&gt;=28,K5864&lt;=32),"1개월",
 AND(K5864=0),"당월",
 TRUE,"그외"
)</f>
        <v>2개월</v>
      </c>
    </row>
    <row r="5865" spans="1:12" x14ac:dyDescent="0.3">
      <c r="A5865" s="5">
        <v>45717</v>
      </c>
      <c r="B5865" s="6" t="s">
        <v>75</v>
      </c>
      <c r="C5865" s="6" t="s">
        <v>124</v>
      </c>
      <c r="D5865" s="5">
        <v>45658</v>
      </c>
      <c r="E5865" s="6" t="s">
        <v>15</v>
      </c>
      <c r="F5865" s="7">
        <v>1329</v>
      </c>
      <c r="G5865" s="7">
        <v>148721.27689992479</v>
      </c>
      <c r="H5865" s="7">
        <v>197650577</v>
      </c>
      <c r="I5865" s="7">
        <v>43785723</v>
      </c>
      <c r="J5865" s="7">
        <v>0</v>
      </c>
      <c r="K5865">
        <f t="shared" si="91"/>
        <v>59</v>
      </c>
      <c r="L5865" s="8" t="str" cm="1">
        <f t="array" ref="L5865">_xlfn.IFS(
 AND(K5865&gt;=89,K5865&lt;=92),"3개월",
 AND(K5865&gt;=58,K5865&lt;=62),"2개월",
 AND(K5865&gt;=28,K5865&lt;=32),"1개월",
 AND(K5865=0),"당월",
 TRUE,"그외"
)</f>
        <v>2개월</v>
      </c>
    </row>
    <row r="5866" spans="1:12" x14ac:dyDescent="0.3">
      <c r="A5866" s="5">
        <v>45717</v>
      </c>
      <c r="B5866" s="6" t="s">
        <v>75</v>
      </c>
      <c r="C5866" s="6" t="s">
        <v>124</v>
      </c>
      <c r="D5866" s="5">
        <v>45689</v>
      </c>
      <c r="E5866" s="6" t="s">
        <v>14</v>
      </c>
      <c r="F5866" s="7">
        <v>1782</v>
      </c>
      <c r="G5866" s="7">
        <v>123446.63299663299</v>
      </c>
      <c r="H5866" s="7">
        <v>219981900</v>
      </c>
      <c r="I5866" s="7">
        <v>57198400</v>
      </c>
      <c r="J5866" s="7">
        <v>0</v>
      </c>
      <c r="K5866">
        <f t="shared" si="91"/>
        <v>28</v>
      </c>
      <c r="L5866" s="8" t="str" cm="1">
        <f t="array" ref="L5866">_xlfn.IFS(
 AND(K5866&gt;=89,K5866&lt;=92),"3개월",
 AND(K5866&gt;=58,K5866&lt;=62),"2개월",
 AND(K5866&gt;=28,K5866&lt;=32),"1개월",
 AND(K5866=0),"당월",
 TRUE,"그외"
)</f>
        <v>1개월</v>
      </c>
    </row>
    <row r="5867" spans="1:12" x14ac:dyDescent="0.3">
      <c r="A5867" s="5">
        <v>45717</v>
      </c>
      <c r="B5867" s="6" t="s">
        <v>75</v>
      </c>
      <c r="C5867" s="6" t="s">
        <v>124</v>
      </c>
      <c r="D5867" s="5">
        <v>45689</v>
      </c>
      <c r="E5867" s="6" t="s">
        <v>15</v>
      </c>
      <c r="F5867" s="7">
        <v>2761</v>
      </c>
      <c r="G5867" s="7">
        <v>125026.2883013401</v>
      </c>
      <c r="H5867" s="7">
        <v>345197582</v>
      </c>
      <c r="I5867" s="7">
        <v>93462907</v>
      </c>
      <c r="J5867" s="7">
        <v>0</v>
      </c>
      <c r="K5867">
        <f t="shared" si="91"/>
        <v>28</v>
      </c>
      <c r="L5867" s="8" t="str" cm="1">
        <f t="array" ref="L5867">_xlfn.IFS(
 AND(K5867&gt;=89,K5867&lt;=92),"3개월",
 AND(K5867&gt;=58,K5867&lt;=62),"2개월",
 AND(K5867&gt;=28,K5867&lt;=32),"1개월",
 AND(K5867=0),"당월",
 TRUE,"그외"
)</f>
        <v>1개월</v>
      </c>
    </row>
    <row r="5868" spans="1:12" x14ac:dyDescent="0.3">
      <c r="A5868" s="5">
        <v>45717</v>
      </c>
      <c r="B5868" s="6" t="s">
        <v>75</v>
      </c>
      <c r="C5868" s="6" t="s">
        <v>124</v>
      </c>
      <c r="D5868" s="5">
        <v>45717</v>
      </c>
      <c r="E5868" s="6" t="s">
        <v>14</v>
      </c>
      <c r="F5868" s="7">
        <v>459</v>
      </c>
      <c r="G5868" s="7">
        <v>141524.84313725491</v>
      </c>
      <c r="H5868" s="7">
        <v>64959903</v>
      </c>
      <c r="I5868" s="7">
        <v>17237823</v>
      </c>
      <c r="J5868" s="7">
        <v>0</v>
      </c>
      <c r="K5868">
        <f t="shared" si="91"/>
        <v>0</v>
      </c>
      <c r="L5868" s="8" t="str" cm="1">
        <f t="array" ref="L5868">_xlfn.IFS(
 AND(K5868&gt;=89,K5868&lt;=92),"3개월",
 AND(K5868&gt;=58,K5868&lt;=62),"2개월",
 AND(K5868&gt;=28,K5868&lt;=32),"1개월",
 AND(K5868=0),"당월",
 TRUE,"그외"
)</f>
        <v>당월</v>
      </c>
    </row>
    <row r="5869" spans="1:12" x14ac:dyDescent="0.3">
      <c r="A5869" s="5">
        <v>45717</v>
      </c>
      <c r="B5869" s="6" t="s">
        <v>75</v>
      </c>
      <c r="C5869" s="6" t="s">
        <v>124</v>
      </c>
      <c r="D5869" s="5">
        <v>45717</v>
      </c>
      <c r="E5869" s="6" t="s">
        <v>15</v>
      </c>
      <c r="F5869" s="7">
        <v>1435</v>
      </c>
      <c r="G5869" s="7">
        <v>136219.74912891991</v>
      </c>
      <c r="H5869" s="7">
        <v>195475340</v>
      </c>
      <c r="I5869" s="7">
        <v>59047089</v>
      </c>
      <c r="J5869" s="7">
        <v>0</v>
      </c>
      <c r="K5869">
        <f t="shared" si="91"/>
        <v>0</v>
      </c>
      <c r="L5869" s="8" t="str" cm="1">
        <f t="array" ref="L5869">_xlfn.IFS(
 AND(K5869&gt;=89,K5869&lt;=92),"3개월",
 AND(K5869&gt;=58,K5869&lt;=62),"2개월",
 AND(K5869&gt;=28,K5869&lt;=32),"1개월",
 AND(K5869=0),"당월",
 TRUE,"그외"
)</f>
        <v>당월</v>
      </c>
    </row>
    <row r="5870" spans="1:12" x14ac:dyDescent="0.3">
      <c r="A5870" s="5">
        <v>45717</v>
      </c>
      <c r="B5870" s="6" t="s">
        <v>75</v>
      </c>
      <c r="C5870" s="6" t="s">
        <v>79</v>
      </c>
      <c r="D5870" s="5">
        <v>45474</v>
      </c>
      <c r="E5870" s="6" t="s">
        <v>15</v>
      </c>
      <c r="F5870" s="7">
        <v>12</v>
      </c>
      <c r="G5870" s="7">
        <v>147266.66666666669</v>
      </c>
      <c r="H5870" s="7">
        <v>1767200</v>
      </c>
      <c r="I5870" s="7">
        <v>427200</v>
      </c>
      <c r="J5870" s="7">
        <v>0</v>
      </c>
      <c r="K5870">
        <f t="shared" si="91"/>
        <v>243</v>
      </c>
      <c r="L5870" s="8" t="str" cm="1">
        <f t="array" ref="L5870">_xlfn.IFS(
 AND(K5870&gt;=89,K5870&lt;=92),"3개월",
 AND(K5870&gt;=58,K5870&lt;=62),"2개월",
 AND(K5870&gt;=28,K5870&lt;=32),"1개월",
 AND(K5870=0),"당월",
 TRUE,"그외"
)</f>
        <v>그외</v>
      </c>
    </row>
    <row r="5871" spans="1:12" x14ac:dyDescent="0.3">
      <c r="A5871" s="5">
        <v>45717</v>
      </c>
      <c r="B5871" s="6" t="s">
        <v>75</v>
      </c>
      <c r="C5871" s="6" t="s">
        <v>79</v>
      </c>
      <c r="D5871" s="5">
        <v>45505</v>
      </c>
      <c r="E5871" s="6" t="s">
        <v>15</v>
      </c>
      <c r="F5871" s="7">
        <v>181</v>
      </c>
      <c r="G5871" s="7">
        <v>121375.9668508287</v>
      </c>
      <c r="H5871" s="7">
        <v>21969050</v>
      </c>
      <c r="I5871" s="7">
        <v>7258100</v>
      </c>
      <c r="J5871" s="7">
        <v>0</v>
      </c>
      <c r="K5871">
        <f t="shared" si="91"/>
        <v>212</v>
      </c>
      <c r="L5871" s="8" t="str" cm="1">
        <f t="array" ref="L5871">_xlfn.IFS(
 AND(K5871&gt;=89,K5871&lt;=92),"3개월",
 AND(K5871&gt;=58,K5871&lt;=62),"2개월",
 AND(K5871&gt;=28,K5871&lt;=32),"1개월",
 AND(K5871=0),"당월",
 TRUE,"그외"
)</f>
        <v>그외</v>
      </c>
    </row>
    <row r="5872" spans="1:12" x14ac:dyDescent="0.3">
      <c r="A5872" s="5">
        <v>45717</v>
      </c>
      <c r="B5872" s="6" t="s">
        <v>75</v>
      </c>
      <c r="C5872" s="6" t="s">
        <v>79</v>
      </c>
      <c r="D5872" s="5">
        <v>45536</v>
      </c>
      <c r="E5872" s="6" t="s">
        <v>15</v>
      </c>
      <c r="F5872" s="7">
        <v>125</v>
      </c>
      <c r="G5872" s="7">
        <v>141960.448</v>
      </c>
      <c r="H5872" s="7">
        <v>17745056</v>
      </c>
      <c r="I5872" s="7">
        <v>4702268</v>
      </c>
      <c r="J5872" s="7">
        <v>0</v>
      </c>
      <c r="K5872">
        <f t="shared" si="91"/>
        <v>181</v>
      </c>
      <c r="L5872" s="8" t="str" cm="1">
        <f t="array" ref="L5872">_xlfn.IFS(
 AND(K5872&gt;=89,K5872&lt;=92),"3개월",
 AND(K5872&gt;=58,K5872&lt;=62),"2개월",
 AND(K5872&gt;=28,K5872&lt;=32),"1개월",
 AND(K5872=0),"당월",
 TRUE,"그외"
)</f>
        <v>그외</v>
      </c>
    </row>
    <row r="5873" spans="1:12" x14ac:dyDescent="0.3">
      <c r="A5873" s="5">
        <v>45717</v>
      </c>
      <c r="B5873" s="6" t="s">
        <v>75</v>
      </c>
      <c r="C5873" s="6" t="s">
        <v>79</v>
      </c>
      <c r="D5873" s="5">
        <v>45566</v>
      </c>
      <c r="E5873" s="6" t="s">
        <v>14</v>
      </c>
      <c r="F5873" s="7">
        <v>8</v>
      </c>
      <c r="G5873" s="7">
        <v>250900</v>
      </c>
      <c r="H5873" s="7">
        <v>2007200</v>
      </c>
      <c r="I5873" s="7">
        <v>203200</v>
      </c>
      <c r="J5873" s="7">
        <v>0</v>
      </c>
      <c r="K5873">
        <f t="shared" si="91"/>
        <v>151</v>
      </c>
      <c r="L5873" s="8" t="str" cm="1">
        <f t="array" ref="L5873">_xlfn.IFS(
 AND(K5873&gt;=89,K5873&lt;=92),"3개월",
 AND(K5873&gt;=58,K5873&lt;=62),"2개월",
 AND(K5873&gt;=28,K5873&lt;=32),"1개월",
 AND(K5873=0),"당월",
 TRUE,"그외"
)</f>
        <v>그외</v>
      </c>
    </row>
    <row r="5874" spans="1:12" x14ac:dyDescent="0.3">
      <c r="A5874" s="5">
        <v>45717</v>
      </c>
      <c r="B5874" s="6" t="s">
        <v>75</v>
      </c>
      <c r="C5874" s="6" t="s">
        <v>79</v>
      </c>
      <c r="D5874" s="5">
        <v>45566</v>
      </c>
      <c r="E5874" s="6" t="s">
        <v>15</v>
      </c>
      <c r="F5874" s="7">
        <v>169</v>
      </c>
      <c r="G5874" s="7">
        <v>148902.1301775148</v>
      </c>
      <c r="H5874" s="7">
        <v>25164460</v>
      </c>
      <c r="I5874" s="7">
        <v>4495784</v>
      </c>
      <c r="J5874" s="7">
        <v>0</v>
      </c>
      <c r="K5874">
        <f t="shared" si="91"/>
        <v>151</v>
      </c>
      <c r="L5874" s="8" t="str" cm="1">
        <f t="array" ref="L5874">_xlfn.IFS(
 AND(K5874&gt;=89,K5874&lt;=92),"3개월",
 AND(K5874&gt;=58,K5874&lt;=62),"2개월",
 AND(K5874&gt;=28,K5874&lt;=32),"1개월",
 AND(K5874=0),"당월",
 TRUE,"그외"
)</f>
        <v>그외</v>
      </c>
    </row>
    <row r="5875" spans="1:12" x14ac:dyDescent="0.3">
      <c r="A5875" s="5">
        <v>45717</v>
      </c>
      <c r="B5875" s="6" t="s">
        <v>75</v>
      </c>
      <c r="C5875" s="6" t="s">
        <v>79</v>
      </c>
      <c r="D5875" s="5">
        <v>45597</v>
      </c>
      <c r="E5875" s="6" t="s">
        <v>14</v>
      </c>
      <c r="F5875" s="7">
        <v>473</v>
      </c>
      <c r="G5875" s="7">
        <v>143579.70401691331</v>
      </c>
      <c r="H5875" s="7">
        <v>67913200</v>
      </c>
      <c r="I5875" s="7">
        <v>12014200</v>
      </c>
      <c r="J5875" s="7">
        <v>0</v>
      </c>
      <c r="K5875">
        <f t="shared" si="91"/>
        <v>120</v>
      </c>
      <c r="L5875" s="8" t="str" cm="1">
        <f t="array" ref="L5875">_xlfn.IFS(
 AND(K5875&gt;=89,K5875&lt;=92),"3개월",
 AND(K5875&gt;=58,K5875&lt;=62),"2개월",
 AND(K5875&gt;=28,K5875&lt;=32),"1개월",
 AND(K5875=0),"당월",
 TRUE,"그외"
)</f>
        <v>그외</v>
      </c>
    </row>
    <row r="5876" spans="1:12" x14ac:dyDescent="0.3">
      <c r="A5876" s="5">
        <v>45717</v>
      </c>
      <c r="B5876" s="6" t="s">
        <v>75</v>
      </c>
      <c r="C5876" s="6" t="s">
        <v>79</v>
      </c>
      <c r="D5876" s="5">
        <v>45597</v>
      </c>
      <c r="E5876" s="6" t="s">
        <v>15</v>
      </c>
      <c r="F5876" s="7">
        <v>337</v>
      </c>
      <c r="G5876" s="7">
        <v>137643.66765578641</v>
      </c>
      <c r="H5876" s="7">
        <v>46385916</v>
      </c>
      <c r="I5876" s="7">
        <v>8660570</v>
      </c>
      <c r="J5876" s="7">
        <v>0</v>
      </c>
      <c r="K5876">
        <f t="shared" si="91"/>
        <v>120</v>
      </c>
      <c r="L5876" s="8" t="str" cm="1">
        <f t="array" ref="L5876">_xlfn.IFS(
 AND(K5876&gt;=89,K5876&lt;=92),"3개월",
 AND(K5876&gt;=58,K5876&lt;=62),"2개월",
 AND(K5876&gt;=28,K5876&lt;=32),"1개월",
 AND(K5876=0),"당월",
 TRUE,"그외"
)</f>
        <v>그외</v>
      </c>
    </row>
    <row r="5877" spans="1:12" x14ac:dyDescent="0.3">
      <c r="A5877" s="5">
        <v>45717</v>
      </c>
      <c r="B5877" s="6" t="s">
        <v>75</v>
      </c>
      <c r="C5877" s="6" t="s">
        <v>79</v>
      </c>
      <c r="D5877" s="5">
        <v>45627</v>
      </c>
      <c r="E5877" s="6" t="s">
        <v>14</v>
      </c>
      <c r="F5877" s="7">
        <v>168</v>
      </c>
      <c r="G5877" s="7">
        <v>134476.1904761905</v>
      </c>
      <c r="H5877" s="7">
        <v>22592000</v>
      </c>
      <c r="I5877" s="7">
        <v>5124000</v>
      </c>
      <c r="J5877" s="7">
        <v>0</v>
      </c>
      <c r="K5877">
        <f t="shared" si="91"/>
        <v>90</v>
      </c>
      <c r="L5877" s="8" t="str" cm="1">
        <f t="array" ref="L5877">_xlfn.IFS(
 AND(K5877&gt;=89,K5877&lt;=92),"3개월",
 AND(K5877&gt;=58,K5877&lt;=62),"2개월",
 AND(K5877&gt;=28,K5877&lt;=32),"1개월",
 AND(K5877=0),"당월",
 TRUE,"그외"
)</f>
        <v>3개월</v>
      </c>
    </row>
    <row r="5878" spans="1:12" x14ac:dyDescent="0.3">
      <c r="A5878" s="5">
        <v>45717</v>
      </c>
      <c r="B5878" s="6" t="s">
        <v>75</v>
      </c>
      <c r="C5878" s="6" t="s">
        <v>79</v>
      </c>
      <c r="D5878" s="5">
        <v>45627</v>
      </c>
      <c r="E5878" s="6" t="s">
        <v>15</v>
      </c>
      <c r="F5878" s="7">
        <v>245</v>
      </c>
      <c r="G5878" s="7">
        <v>156858</v>
      </c>
      <c r="H5878" s="7">
        <v>38430210</v>
      </c>
      <c r="I5878" s="7">
        <v>7660344</v>
      </c>
      <c r="J5878" s="7">
        <v>0</v>
      </c>
      <c r="K5878">
        <f t="shared" si="91"/>
        <v>90</v>
      </c>
      <c r="L5878" s="8" t="str" cm="1">
        <f t="array" ref="L5878">_xlfn.IFS(
 AND(K5878&gt;=89,K5878&lt;=92),"3개월",
 AND(K5878&gt;=58,K5878&lt;=62),"2개월",
 AND(K5878&gt;=28,K5878&lt;=32),"1개월",
 AND(K5878=0),"당월",
 TRUE,"그외"
)</f>
        <v>3개월</v>
      </c>
    </row>
    <row r="5879" spans="1:12" x14ac:dyDescent="0.3">
      <c r="A5879" s="5">
        <v>45717</v>
      </c>
      <c r="B5879" s="6" t="s">
        <v>75</v>
      </c>
      <c r="C5879" s="6" t="s">
        <v>79</v>
      </c>
      <c r="D5879" s="5">
        <v>45658</v>
      </c>
      <c r="E5879" s="6" t="s">
        <v>14</v>
      </c>
      <c r="F5879" s="7">
        <v>781</v>
      </c>
      <c r="G5879" s="7">
        <v>168006.14596670939</v>
      </c>
      <c r="H5879" s="7">
        <v>131212800</v>
      </c>
      <c r="I5879" s="7">
        <v>24075800</v>
      </c>
      <c r="J5879" s="7">
        <v>0</v>
      </c>
      <c r="K5879">
        <f t="shared" si="91"/>
        <v>59</v>
      </c>
      <c r="L5879" s="8" t="str" cm="1">
        <f t="array" ref="L5879">_xlfn.IFS(
 AND(K5879&gt;=89,K5879&lt;=92),"3개월",
 AND(K5879&gt;=58,K5879&lt;=62),"2개월",
 AND(K5879&gt;=28,K5879&lt;=32),"1개월",
 AND(K5879=0),"당월",
 TRUE,"그외"
)</f>
        <v>2개월</v>
      </c>
    </row>
    <row r="5880" spans="1:12" x14ac:dyDescent="0.3">
      <c r="A5880" s="5">
        <v>45717</v>
      </c>
      <c r="B5880" s="6" t="s">
        <v>75</v>
      </c>
      <c r="C5880" s="6" t="s">
        <v>79</v>
      </c>
      <c r="D5880" s="5">
        <v>45658</v>
      </c>
      <c r="E5880" s="6" t="s">
        <v>15</v>
      </c>
      <c r="F5880" s="7">
        <v>661</v>
      </c>
      <c r="G5880" s="7">
        <v>140544.05597579421</v>
      </c>
      <c r="H5880" s="7">
        <v>92899621</v>
      </c>
      <c r="I5880" s="7">
        <v>21359457</v>
      </c>
      <c r="J5880" s="7">
        <v>0</v>
      </c>
      <c r="K5880">
        <f t="shared" si="91"/>
        <v>59</v>
      </c>
      <c r="L5880" s="8" t="str" cm="1">
        <f t="array" ref="L5880">_xlfn.IFS(
 AND(K5880&gt;=89,K5880&lt;=92),"3개월",
 AND(K5880&gt;=58,K5880&lt;=62),"2개월",
 AND(K5880&gt;=28,K5880&lt;=32),"1개월",
 AND(K5880=0),"당월",
 TRUE,"그외"
)</f>
        <v>2개월</v>
      </c>
    </row>
    <row r="5881" spans="1:12" x14ac:dyDescent="0.3">
      <c r="A5881" s="5">
        <v>45717</v>
      </c>
      <c r="B5881" s="6" t="s">
        <v>75</v>
      </c>
      <c r="C5881" s="6" t="s">
        <v>79</v>
      </c>
      <c r="D5881" s="5">
        <v>45689</v>
      </c>
      <c r="E5881" s="6" t="s">
        <v>14</v>
      </c>
      <c r="F5881" s="7">
        <v>2397</v>
      </c>
      <c r="G5881" s="7">
        <v>110656.9253233208</v>
      </c>
      <c r="H5881" s="7">
        <v>265244650</v>
      </c>
      <c r="I5881" s="7">
        <v>76930400</v>
      </c>
      <c r="J5881" s="7">
        <v>0</v>
      </c>
      <c r="K5881">
        <f t="shared" si="91"/>
        <v>28</v>
      </c>
      <c r="L5881" s="8" t="str" cm="1">
        <f t="array" ref="L5881">_xlfn.IFS(
 AND(K5881&gt;=89,K5881&lt;=92),"3개월",
 AND(K5881&gt;=58,K5881&lt;=62),"2개월",
 AND(K5881&gt;=28,K5881&lt;=32),"1개월",
 AND(K5881=0),"당월",
 TRUE,"그외"
)</f>
        <v>1개월</v>
      </c>
    </row>
    <row r="5882" spans="1:12" x14ac:dyDescent="0.3">
      <c r="A5882" s="5">
        <v>45717</v>
      </c>
      <c r="B5882" s="6" t="s">
        <v>75</v>
      </c>
      <c r="C5882" s="6" t="s">
        <v>79</v>
      </c>
      <c r="D5882" s="5">
        <v>45689</v>
      </c>
      <c r="E5882" s="6" t="s">
        <v>15</v>
      </c>
      <c r="F5882" s="7">
        <v>1473</v>
      </c>
      <c r="G5882" s="7">
        <v>118130.4874405974</v>
      </c>
      <c r="H5882" s="7">
        <v>174006208</v>
      </c>
      <c r="I5882" s="7">
        <v>52570262</v>
      </c>
      <c r="J5882" s="7">
        <v>0</v>
      </c>
      <c r="K5882">
        <f t="shared" si="91"/>
        <v>28</v>
      </c>
      <c r="L5882" s="8" t="str" cm="1">
        <f t="array" ref="L5882">_xlfn.IFS(
 AND(K5882&gt;=89,K5882&lt;=92),"3개월",
 AND(K5882&gt;=58,K5882&lt;=62),"2개월",
 AND(K5882&gt;=28,K5882&lt;=32),"1개월",
 AND(K5882=0),"당월",
 TRUE,"그외"
)</f>
        <v>1개월</v>
      </c>
    </row>
    <row r="5883" spans="1:12" x14ac:dyDescent="0.3">
      <c r="A5883" s="5">
        <v>45717</v>
      </c>
      <c r="B5883" s="6" t="s">
        <v>75</v>
      </c>
      <c r="C5883" s="6" t="s">
        <v>79</v>
      </c>
      <c r="D5883" s="5">
        <v>45717</v>
      </c>
      <c r="E5883" s="6" t="s">
        <v>14</v>
      </c>
      <c r="F5883" s="7">
        <v>686</v>
      </c>
      <c r="G5883" s="7">
        <v>98994.752186588928</v>
      </c>
      <c r="H5883" s="7">
        <v>67910400</v>
      </c>
      <c r="I5883" s="7">
        <v>25654400</v>
      </c>
      <c r="J5883" s="7">
        <v>0</v>
      </c>
      <c r="K5883">
        <f t="shared" si="91"/>
        <v>0</v>
      </c>
      <c r="L5883" s="8" t="str" cm="1">
        <f t="array" ref="L5883">_xlfn.IFS(
 AND(K5883&gt;=89,K5883&lt;=92),"3개월",
 AND(K5883&gt;=58,K5883&lt;=62),"2개월",
 AND(K5883&gt;=28,K5883&lt;=32),"1개월",
 AND(K5883=0),"당월",
 TRUE,"그외"
)</f>
        <v>당월</v>
      </c>
    </row>
    <row r="5884" spans="1:12" x14ac:dyDescent="0.3">
      <c r="A5884" s="5">
        <v>45717</v>
      </c>
      <c r="B5884" s="6" t="s">
        <v>75</v>
      </c>
      <c r="C5884" s="6" t="s">
        <v>79</v>
      </c>
      <c r="D5884" s="5">
        <v>45717</v>
      </c>
      <c r="E5884" s="6" t="s">
        <v>15</v>
      </c>
      <c r="F5884" s="7">
        <v>1211</v>
      </c>
      <c r="G5884" s="7">
        <v>112065.4112303881</v>
      </c>
      <c r="H5884" s="7">
        <v>135711213</v>
      </c>
      <c r="I5884" s="7">
        <v>53407349</v>
      </c>
      <c r="J5884" s="7">
        <v>0</v>
      </c>
      <c r="K5884">
        <f t="shared" si="91"/>
        <v>0</v>
      </c>
      <c r="L5884" s="8" t="str" cm="1">
        <f t="array" ref="L5884">_xlfn.IFS(
 AND(K5884&gt;=89,K5884&lt;=92),"3개월",
 AND(K5884&gt;=58,K5884&lt;=62),"2개월",
 AND(K5884&gt;=28,K5884&lt;=32),"1개월",
 AND(K5884=0),"당월",
 TRUE,"그외"
)</f>
        <v>당월</v>
      </c>
    </row>
    <row r="5885" spans="1:12" x14ac:dyDescent="0.3">
      <c r="A5885" s="5">
        <v>45717</v>
      </c>
      <c r="B5885" s="6" t="s">
        <v>75</v>
      </c>
      <c r="C5885" s="6" t="s">
        <v>80</v>
      </c>
      <c r="D5885" s="5">
        <v>45474</v>
      </c>
      <c r="E5885" s="6" t="s">
        <v>15</v>
      </c>
      <c r="F5885" s="7">
        <v>10</v>
      </c>
      <c r="G5885" s="7">
        <v>388430.2</v>
      </c>
      <c r="H5885" s="7">
        <v>3884302</v>
      </c>
      <c r="I5885" s="7">
        <v>339798</v>
      </c>
      <c r="J5885" s="7">
        <v>0</v>
      </c>
      <c r="K5885">
        <f t="shared" si="91"/>
        <v>243</v>
      </c>
      <c r="L5885" s="8" t="str" cm="1">
        <f t="array" ref="L5885">_xlfn.IFS(
 AND(K5885&gt;=89,K5885&lt;=92),"3개월",
 AND(K5885&gt;=58,K5885&lt;=62),"2개월",
 AND(K5885&gt;=28,K5885&lt;=32),"1개월",
 AND(K5885=0),"당월",
 TRUE,"그외"
)</f>
        <v>그외</v>
      </c>
    </row>
    <row r="5886" spans="1:12" x14ac:dyDescent="0.3">
      <c r="A5886" s="5">
        <v>45717</v>
      </c>
      <c r="B5886" s="6" t="s">
        <v>75</v>
      </c>
      <c r="C5886" s="6" t="s">
        <v>80</v>
      </c>
      <c r="D5886" s="5">
        <v>45505</v>
      </c>
      <c r="E5886" s="6" t="s">
        <v>15</v>
      </c>
      <c r="F5886" s="7">
        <v>147</v>
      </c>
      <c r="G5886" s="7">
        <v>361502.98639455781</v>
      </c>
      <c r="H5886" s="7">
        <v>53140939</v>
      </c>
      <c r="I5886" s="7">
        <v>10409200</v>
      </c>
      <c r="J5886" s="7">
        <v>0</v>
      </c>
      <c r="K5886">
        <f t="shared" si="91"/>
        <v>212</v>
      </c>
      <c r="L5886" s="8" t="str" cm="1">
        <f t="array" ref="L5886">_xlfn.IFS(
 AND(K5886&gt;=89,K5886&lt;=92),"3개월",
 AND(K5886&gt;=58,K5886&lt;=62),"2개월",
 AND(K5886&gt;=28,K5886&lt;=32),"1개월",
 AND(K5886=0),"당월",
 TRUE,"그외"
)</f>
        <v>그외</v>
      </c>
    </row>
    <row r="5887" spans="1:12" x14ac:dyDescent="0.3">
      <c r="A5887" s="5">
        <v>45717</v>
      </c>
      <c r="B5887" s="6" t="s">
        <v>75</v>
      </c>
      <c r="C5887" s="6" t="s">
        <v>80</v>
      </c>
      <c r="D5887" s="5">
        <v>45536</v>
      </c>
      <c r="E5887" s="6" t="s">
        <v>15</v>
      </c>
      <c r="F5887" s="7">
        <v>94</v>
      </c>
      <c r="G5887" s="7">
        <v>395789.52127659583</v>
      </c>
      <c r="H5887" s="7">
        <v>37204215</v>
      </c>
      <c r="I5887" s="7">
        <v>3321585</v>
      </c>
      <c r="J5887" s="7">
        <v>0</v>
      </c>
      <c r="K5887">
        <f t="shared" si="91"/>
        <v>181</v>
      </c>
      <c r="L5887" s="8" t="str" cm="1">
        <f t="array" ref="L5887">_xlfn.IFS(
 AND(K5887&gt;=89,K5887&lt;=92),"3개월",
 AND(K5887&gt;=58,K5887&lt;=62),"2개월",
 AND(K5887&gt;=28,K5887&lt;=32),"1개월",
 AND(K5887=0),"당월",
 TRUE,"그외"
)</f>
        <v>그외</v>
      </c>
    </row>
    <row r="5888" spans="1:12" x14ac:dyDescent="0.3">
      <c r="A5888" s="5">
        <v>45717</v>
      </c>
      <c r="B5888" s="6" t="s">
        <v>75</v>
      </c>
      <c r="C5888" s="6" t="s">
        <v>80</v>
      </c>
      <c r="D5888" s="5">
        <v>45566</v>
      </c>
      <c r="E5888" s="6" t="s">
        <v>14</v>
      </c>
      <c r="F5888" s="7">
        <v>8</v>
      </c>
      <c r="G5888" s="7">
        <v>446500</v>
      </c>
      <c r="H5888" s="7">
        <v>3572000</v>
      </c>
      <c r="I5888" s="7">
        <v>492000</v>
      </c>
      <c r="J5888" s="7">
        <v>0</v>
      </c>
      <c r="K5888">
        <f t="shared" si="91"/>
        <v>151</v>
      </c>
      <c r="L5888" s="8" t="str" cm="1">
        <f t="array" ref="L5888">_xlfn.IFS(
 AND(K5888&gt;=89,K5888&lt;=92),"3개월",
 AND(K5888&gt;=58,K5888&lt;=62),"2개월",
 AND(K5888&gt;=28,K5888&lt;=32),"1개월",
 AND(K5888=0),"당월",
 TRUE,"그외"
)</f>
        <v>그외</v>
      </c>
    </row>
    <row r="5889" spans="1:12" x14ac:dyDescent="0.3">
      <c r="A5889" s="5">
        <v>45717</v>
      </c>
      <c r="B5889" s="6" t="s">
        <v>75</v>
      </c>
      <c r="C5889" s="6" t="s">
        <v>80</v>
      </c>
      <c r="D5889" s="5">
        <v>45566</v>
      </c>
      <c r="E5889" s="6" t="s">
        <v>15</v>
      </c>
      <c r="F5889" s="7">
        <v>143</v>
      </c>
      <c r="G5889" s="7">
        <v>368332.41258741257</v>
      </c>
      <c r="H5889" s="7">
        <v>52671535</v>
      </c>
      <c r="I5889" s="7">
        <v>4501906</v>
      </c>
      <c r="J5889" s="7">
        <v>0</v>
      </c>
      <c r="K5889">
        <f t="shared" si="91"/>
        <v>151</v>
      </c>
      <c r="L5889" s="8" t="str" cm="1">
        <f t="array" ref="L5889">_xlfn.IFS(
 AND(K5889&gt;=89,K5889&lt;=92),"3개월",
 AND(K5889&gt;=58,K5889&lt;=62),"2개월",
 AND(K5889&gt;=28,K5889&lt;=32),"1개월",
 AND(K5889=0),"당월",
 TRUE,"그외"
)</f>
        <v>그외</v>
      </c>
    </row>
    <row r="5890" spans="1:12" x14ac:dyDescent="0.3">
      <c r="A5890" s="5">
        <v>45717</v>
      </c>
      <c r="B5890" s="6" t="s">
        <v>75</v>
      </c>
      <c r="C5890" s="6" t="s">
        <v>80</v>
      </c>
      <c r="D5890" s="5">
        <v>45597</v>
      </c>
      <c r="E5890" s="6" t="s">
        <v>14</v>
      </c>
      <c r="F5890" s="7">
        <v>39</v>
      </c>
      <c r="G5890" s="7">
        <v>327400</v>
      </c>
      <c r="H5890" s="7">
        <v>12768600</v>
      </c>
      <c r="I5890" s="7">
        <v>2394600</v>
      </c>
      <c r="J5890" s="7">
        <v>0</v>
      </c>
      <c r="K5890">
        <f t="shared" si="91"/>
        <v>120</v>
      </c>
      <c r="L5890" s="8" t="str" cm="1">
        <f t="array" ref="L5890">_xlfn.IFS(
 AND(K5890&gt;=89,K5890&lt;=92),"3개월",
 AND(K5890&gt;=58,K5890&lt;=62),"2개월",
 AND(K5890&gt;=28,K5890&lt;=32),"1개월",
 AND(K5890=0),"당월",
 TRUE,"그외"
)</f>
        <v>그외</v>
      </c>
    </row>
    <row r="5891" spans="1:12" x14ac:dyDescent="0.3">
      <c r="A5891" s="5">
        <v>45717</v>
      </c>
      <c r="B5891" s="6" t="s">
        <v>75</v>
      </c>
      <c r="C5891" s="6" t="s">
        <v>80</v>
      </c>
      <c r="D5891" s="5">
        <v>45597</v>
      </c>
      <c r="E5891" s="6" t="s">
        <v>15</v>
      </c>
      <c r="F5891" s="7">
        <v>400</v>
      </c>
      <c r="G5891" s="7">
        <v>357681.13</v>
      </c>
      <c r="H5891" s="7">
        <v>143072452</v>
      </c>
      <c r="I5891" s="7">
        <v>9840474</v>
      </c>
      <c r="J5891" s="7">
        <v>0</v>
      </c>
      <c r="K5891">
        <f t="shared" si="91"/>
        <v>120</v>
      </c>
      <c r="L5891" s="8" t="str" cm="1">
        <f t="array" ref="L5891">_xlfn.IFS(
 AND(K5891&gt;=89,K5891&lt;=92),"3개월",
 AND(K5891&gt;=58,K5891&lt;=62),"2개월",
 AND(K5891&gt;=28,K5891&lt;=32),"1개월",
 AND(K5891=0),"당월",
 TRUE,"그외"
)</f>
        <v>그외</v>
      </c>
    </row>
    <row r="5892" spans="1:12" x14ac:dyDescent="0.3">
      <c r="A5892" s="5">
        <v>45717</v>
      </c>
      <c r="B5892" s="6" t="s">
        <v>75</v>
      </c>
      <c r="C5892" s="6" t="s">
        <v>80</v>
      </c>
      <c r="D5892" s="5">
        <v>45627</v>
      </c>
      <c r="E5892" s="6" t="s">
        <v>14</v>
      </c>
      <c r="F5892" s="7">
        <v>3</v>
      </c>
      <c r="G5892" s="7">
        <v>340800</v>
      </c>
      <c r="H5892" s="7">
        <v>1022400</v>
      </c>
      <c r="I5892" s="7">
        <v>224400</v>
      </c>
      <c r="J5892" s="7">
        <v>0</v>
      </c>
      <c r="K5892">
        <f t="shared" si="91"/>
        <v>90</v>
      </c>
      <c r="L5892" s="8" t="str" cm="1">
        <f t="array" ref="L5892">_xlfn.IFS(
 AND(K5892&gt;=89,K5892&lt;=92),"3개월",
 AND(K5892&gt;=58,K5892&lt;=62),"2개월",
 AND(K5892&gt;=28,K5892&lt;=32),"1개월",
 AND(K5892=0),"당월",
 TRUE,"그외"
)</f>
        <v>3개월</v>
      </c>
    </row>
    <row r="5893" spans="1:12" x14ac:dyDescent="0.3">
      <c r="A5893" s="5">
        <v>45717</v>
      </c>
      <c r="B5893" s="6" t="s">
        <v>75</v>
      </c>
      <c r="C5893" s="6" t="s">
        <v>80</v>
      </c>
      <c r="D5893" s="5">
        <v>45627</v>
      </c>
      <c r="E5893" s="6" t="s">
        <v>15</v>
      </c>
      <c r="F5893" s="7">
        <v>610</v>
      </c>
      <c r="G5893" s="7">
        <v>337328.19180327869</v>
      </c>
      <c r="H5893" s="7">
        <v>205770197</v>
      </c>
      <c r="I5893" s="7">
        <v>21699482</v>
      </c>
      <c r="J5893" s="7">
        <v>0</v>
      </c>
      <c r="K5893">
        <f t="shared" si="91"/>
        <v>90</v>
      </c>
      <c r="L5893" s="8" t="str" cm="1">
        <f t="array" ref="L5893">_xlfn.IFS(
 AND(K5893&gt;=89,K5893&lt;=92),"3개월",
 AND(K5893&gt;=58,K5893&lt;=62),"2개월",
 AND(K5893&gt;=28,K5893&lt;=32),"1개월",
 AND(K5893=0),"당월",
 TRUE,"그외"
)</f>
        <v>3개월</v>
      </c>
    </row>
    <row r="5894" spans="1:12" x14ac:dyDescent="0.3">
      <c r="A5894" s="5">
        <v>45717</v>
      </c>
      <c r="B5894" s="6" t="s">
        <v>75</v>
      </c>
      <c r="C5894" s="6" t="s">
        <v>80</v>
      </c>
      <c r="D5894" s="5">
        <v>45658</v>
      </c>
      <c r="E5894" s="6" t="s">
        <v>14</v>
      </c>
      <c r="F5894" s="7">
        <v>134</v>
      </c>
      <c r="G5894" s="7">
        <v>729543.28358208959</v>
      </c>
      <c r="H5894" s="7">
        <v>97758800</v>
      </c>
      <c r="I5894" s="7">
        <v>9740800</v>
      </c>
      <c r="J5894" s="7">
        <v>0</v>
      </c>
      <c r="K5894">
        <f t="shared" si="91"/>
        <v>59</v>
      </c>
      <c r="L5894" s="8" t="str" cm="1">
        <f t="array" ref="L5894">_xlfn.IFS(
 AND(K5894&gt;=89,K5894&lt;=92),"3개월",
 AND(K5894&gt;=58,K5894&lt;=62),"2개월",
 AND(K5894&gt;=28,K5894&lt;=32),"1개월",
 AND(K5894=0),"당월",
 TRUE,"그외"
)</f>
        <v>2개월</v>
      </c>
    </row>
    <row r="5895" spans="1:12" x14ac:dyDescent="0.3">
      <c r="A5895" s="5">
        <v>45717</v>
      </c>
      <c r="B5895" s="6" t="s">
        <v>75</v>
      </c>
      <c r="C5895" s="6" t="s">
        <v>80</v>
      </c>
      <c r="D5895" s="5">
        <v>45658</v>
      </c>
      <c r="E5895" s="6" t="s">
        <v>15</v>
      </c>
      <c r="F5895" s="7">
        <v>1730</v>
      </c>
      <c r="G5895" s="7">
        <v>280556.249132948</v>
      </c>
      <c r="H5895" s="7">
        <v>485362311</v>
      </c>
      <c r="I5895" s="7">
        <v>54393432</v>
      </c>
      <c r="J5895" s="7">
        <v>0</v>
      </c>
      <c r="K5895">
        <f t="shared" si="91"/>
        <v>59</v>
      </c>
      <c r="L5895" s="8" t="str" cm="1">
        <f t="array" ref="L5895">_xlfn.IFS(
 AND(K5895&gt;=89,K5895&lt;=92),"3개월",
 AND(K5895&gt;=58,K5895&lt;=62),"2개월",
 AND(K5895&gt;=28,K5895&lt;=32),"1개월",
 AND(K5895=0),"당월",
 TRUE,"그외"
)</f>
        <v>2개월</v>
      </c>
    </row>
    <row r="5896" spans="1:12" x14ac:dyDescent="0.3">
      <c r="A5896" s="5">
        <v>45717</v>
      </c>
      <c r="B5896" s="6" t="s">
        <v>75</v>
      </c>
      <c r="C5896" s="6" t="s">
        <v>80</v>
      </c>
      <c r="D5896" s="5">
        <v>45689</v>
      </c>
      <c r="E5896" s="6" t="s">
        <v>14</v>
      </c>
      <c r="F5896" s="7">
        <v>968</v>
      </c>
      <c r="G5896" s="7">
        <v>410160.76033057849</v>
      </c>
      <c r="H5896" s="7">
        <v>397035616</v>
      </c>
      <c r="I5896" s="7">
        <v>71167800</v>
      </c>
      <c r="J5896" s="7">
        <v>0</v>
      </c>
      <c r="K5896">
        <f t="shared" si="91"/>
        <v>28</v>
      </c>
      <c r="L5896" s="8" t="str" cm="1">
        <f t="array" ref="L5896">_xlfn.IFS(
 AND(K5896&gt;=89,K5896&lt;=92),"3개월",
 AND(K5896&gt;=58,K5896&lt;=62),"2개월",
 AND(K5896&gt;=28,K5896&lt;=32),"1개월",
 AND(K5896=0),"당월",
 TRUE,"그외"
)</f>
        <v>1개월</v>
      </c>
    </row>
    <row r="5897" spans="1:12" x14ac:dyDescent="0.3">
      <c r="A5897" s="5">
        <v>45717</v>
      </c>
      <c r="B5897" s="6" t="s">
        <v>75</v>
      </c>
      <c r="C5897" s="6" t="s">
        <v>80</v>
      </c>
      <c r="D5897" s="5">
        <v>45689</v>
      </c>
      <c r="E5897" s="6" t="s">
        <v>15</v>
      </c>
      <c r="F5897" s="7">
        <v>4349</v>
      </c>
      <c r="G5897" s="7">
        <v>242778.3055874914</v>
      </c>
      <c r="H5897" s="7">
        <v>1055842851</v>
      </c>
      <c r="I5897" s="7">
        <v>159740774</v>
      </c>
      <c r="J5897" s="7">
        <v>0</v>
      </c>
      <c r="K5897">
        <f t="shared" si="91"/>
        <v>28</v>
      </c>
      <c r="L5897" s="8" t="str" cm="1">
        <f t="array" ref="L5897">_xlfn.IFS(
 AND(K5897&gt;=89,K5897&lt;=92),"3개월",
 AND(K5897&gt;=58,K5897&lt;=62),"2개월",
 AND(K5897&gt;=28,K5897&lt;=32),"1개월",
 AND(K5897=0),"당월",
 TRUE,"그외"
)</f>
        <v>1개월</v>
      </c>
    </row>
    <row r="5898" spans="1:12" x14ac:dyDescent="0.3">
      <c r="A5898" s="5">
        <v>45717</v>
      </c>
      <c r="B5898" s="6" t="s">
        <v>75</v>
      </c>
      <c r="C5898" s="6" t="s">
        <v>80</v>
      </c>
      <c r="D5898" s="5">
        <v>45717</v>
      </c>
      <c r="E5898" s="6" t="s">
        <v>14</v>
      </c>
      <c r="F5898" s="7">
        <v>879</v>
      </c>
      <c r="G5898" s="7">
        <v>156055.97269624571</v>
      </c>
      <c r="H5898" s="7">
        <v>137173200</v>
      </c>
      <c r="I5898" s="7">
        <v>78131200</v>
      </c>
      <c r="J5898" s="7">
        <v>0</v>
      </c>
      <c r="K5898">
        <f t="shared" ref="K5898:K5961" si="92">A5898-D5898</f>
        <v>0</v>
      </c>
      <c r="L5898" s="8" t="str" cm="1">
        <f t="array" ref="L5898">_xlfn.IFS(
 AND(K5898&gt;=89,K5898&lt;=92),"3개월",
 AND(K5898&gt;=58,K5898&lt;=62),"2개월",
 AND(K5898&gt;=28,K5898&lt;=32),"1개월",
 AND(K5898=0),"당월",
 TRUE,"그외"
)</f>
        <v>당월</v>
      </c>
    </row>
    <row r="5899" spans="1:12" x14ac:dyDescent="0.3">
      <c r="A5899" s="5">
        <v>45717</v>
      </c>
      <c r="B5899" s="6" t="s">
        <v>75</v>
      </c>
      <c r="C5899" s="6" t="s">
        <v>80</v>
      </c>
      <c r="D5899" s="5">
        <v>45717</v>
      </c>
      <c r="E5899" s="6" t="s">
        <v>15</v>
      </c>
      <c r="F5899" s="7">
        <v>2948</v>
      </c>
      <c r="G5899" s="7">
        <v>256721.4308005427</v>
      </c>
      <c r="H5899" s="7">
        <v>756814778</v>
      </c>
      <c r="I5899" s="7">
        <v>104977031</v>
      </c>
      <c r="J5899" s="7">
        <v>0</v>
      </c>
      <c r="K5899">
        <f t="shared" si="92"/>
        <v>0</v>
      </c>
      <c r="L5899" s="8" t="str" cm="1">
        <f t="array" ref="L5899">_xlfn.IFS(
 AND(K5899&gt;=89,K5899&lt;=92),"3개월",
 AND(K5899&gt;=58,K5899&lt;=62),"2개월",
 AND(K5899&gt;=28,K5899&lt;=32),"1개월",
 AND(K5899=0),"당월",
 TRUE,"그외"
)</f>
        <v>당월</v>
      </c>
    </row>
    <row r="5900" spans="1:12" x14ac:dyDescent="0.3">
      <c r="A5900" s="5">
        <v>45717</v>
      </c>
      <c r="B5900" s="6" t="s">
        <v>81</v>
      </c>
      <c r="C5900" s="6" t="s">
        <v>125</v>
      </c>
      <c r="D5900" s="5">
        <v>45505</v>
      </c>
      <c r="E5900" s="6" t="s">
        <v>15</v>
      </c>
      <c r="F5900" s="7">
        <v>1</v>
      </c>
      <c r="G5900" s="7">
        <v>261275</v>
      </c>
      <c r="H5900" s="7">
        <v>261275</v>
      </c>
      <c r="I5900" s="7">
        <v>44200</v>
      </c>
      <c r="J5900" s="7">
        <v>0</v>
      </c>
      <c r="K5900">
        <f t="shared" si="92"/>
        <v>212</v>
      </c>
      <c r="L5900" s="8" t="str" cm="1">
        <f t="array" ref="L5900">_xlfn.IFS(
 AND(K5900&gt;=89,K5900&lt;=92),"3개월",
 AND(K5900&gt;=58,K5900&lt;=62),"2개월",
 AND(K5900&gt;=28,K5900&lt;=32),"1개월",
 AND(K5900=0),"당월",
 TRUE,"그외"
)</f>
        <v>그외</v>
      </c>
    </row>
    <row r="5901" spans="1:12" x14ac:dyDescent="0.3">
      <c r="A5901" s="5">
        <v>45717</v>
      </c>
      <c r="B5901" s="6" t="s">
        <v>81</v>
      </c>
      <c r="C5901" s="6" t="s">
        <v>125</v>
      </c>
      <c r="D5901" s="5">
        <v>45536</v>
      </c>
      <c r="E5901" s="6" t="s">
        <v>15</v>
      </c>
      <c r="F5901" s="7">
        <v>2</v>
      </c>
      <c r="G5901" s="7">
        <v>375656</v>
      </c>
      <c r="H5901" s="7">
        <v>751312</v>
      </c>
      <c r="I5901" s="7">
        <v>104995</v>
      </c>
      <c r="J5901" s="7">
        <v>0</v>
      </c>
      <c r="K5901">
        <f t="shared" si="92"/>
        <v>181</v>
      </c>
      <c r="L5901" s="8" t="str" cm="1">
        <f t="array" ref="L5901">_xlfn.IFS(
 AND(K5901&gt;=89,K5901&lt;=92),"3개월",
 AND(K5901&gt;=58,K5901&lt;=62),"2개월",
 AND(K5901&gt;=28,K5901&lt;=32),"1개월",
 AND(K5901=0),"당월",
 TRUE,"그외"
)</f>
        <v>그외</v>
      </c>
    </row>
    <row r="5902" spans="1:12" x14ac:dyDescent="0.3">
      <c r="A5902" s="5">
        <v>45717</v>
      </c>
      <c r="B5902" s="6" t="s">
        <v>81</v>
      </c>
      <c r="C5902" s="6" t="s">
        <v>125</v>
      </c>
      <c r="D5902" s="5">
        <v>45566</v>
      </c>
      <c r="E5902" s="6" t="s">
        <v>15</v>
      </c>
      <c r="F5902" s="7">
        <v>6</v>
      </c>
      <c r="G5902" s="7">
        <v>340495.66666666669</v>
      </c>
      <c r="H5902" s="7">
        <v>2042974</v>
      </c>
      <c r="I5902" s="7">
        <v>269016</v>
      </c>
      <c r="J5902" s="7">
        <v>0</v>
      </c>
      <c r="K5902">
        <f t="shared" si="92"/>
        <v>151</v>
      </c>
      <c r="L5902" s="8" t="str" cm="1">
        <f t="array" ref="L5902">_xlfn.IFS(
 AND(K5902&gt;=89,K5902&lt;=92),"3개월",
 AND(K5902&gt;=58,K5902&lt;=62),"2개월",
 AND(K5902&gt;=28,K5902&lt;=32),"1개월",
 AND(K5902=0),"당월",
 TRUE,"그외"
)</f>
        <v>그외</v>
      </c>
    </row>
    <row r="5903" spans="1:12" x14ac:dyDescent="0.3">
      <c r="A5903" s="5">
        <v>45717</v>
      </c>
      <c r="B5903" s="6" t="s">
        <v>81</v>
      </c>
      <c r="C5903" s="6" t="s">
        <v>125</v>
      </c>
      <c r="D5903" s="5">
        <v>45597</v>
      </c>
      <c r="E5903" s="6" t="s">
        <v>14</v>
      </c>
      <c r="F5903" s="7">
        <v>3</v>
      </c>
      <c r="G5903" s="7">
        <v>366700</v>
      </c>
      <c r="H5903" s="7">
        <v>1100100</v>
      </c>
      <c r="I5903" s="7">
        <v>80100</v>
      </c>
      <c r="J5903" s="7">
        <v>0</v>
      </c>
      <c r="K5903">
        <f t="shared" si="92"/>
        <v>120</v>
      </c>
      <c r="L5903" s="8" t="str" cm="1">
        <f t="array" ref="L5903">_xlfn.IFS(
 AND(K5903&gt;=89,K5903&lt;=92),"3개월",
 AND(K5903&gt;=58,K5903&lt;=62),"2개월",
 AND(K5903&gt;=28,K5903&lt;=32),"1개월",
 AND(K5903=0),"당월",
 TRUE,"그외"
)</f>
        <v>그외</v>
      </c>
    </row>
    <row r="5904" spans="1:12" x14ac:dyDescent="0.3">
      <c r="A5904" s="5">
        <v>45717</v>
      </c>
      <c r="B5904" s="6" t="s">
        <v>81</v>
      </c>
      <c r="C5904" s="6" t="s">
        <v>125</v>
      </c>
      <c r="D5904" s="5">
        <v>45597</v>
      </c>
      <c r="E5904" s="6" t="s">
        <v>15</v>
      </c>
      <c r="F5904" s="7">
        <v>33</v>
      </c>
      <c r="G5904" s="7">
        <v>372161.66666666669</v>
      </c>
      <c r="H5904" s="7">
        <v>12281335</v>
      </c>
      <c r="I5904" s="7">
        <v>1644730</v>
      </c>
      <c r="J5904" s="7">
        <v>0</v>
      </c>
      <c r="K5904">
        <f t="shared" si="92"/>
        <v>120</v>
      </c>
      <c r="L5904" s="8" t="str" cm="1">
        <f t="array" ref="L5904">_xlfn.IFS(
 AND(K5904&gt;=89,K5904&lt;=92),"3개월",
 AND(K5904&gt;=58,K5904&lt;=62),"2개월",
 AND(K5904&gt;=28,K5904&lt;=32),"1개월",
 AND(K5904=0),"당월",
 TRUE,"그외"
)</f>
        <v>그외</v>
      </c>
    </row>
    <row r="5905" spans="1:12" x14ac:dyDescent="0.3">
      <c r="A5905" s="5">
        <v>45717</v>
      </c>
      <c r="B5905" s="6" t="s">
        <v>81</v>
      </c>
      <c r="C5905" s="6" t="s">
        <v>125</v>
      </c>
      <c r="D5905" s="5">
        <v>45627</v>
      </c>
      <c r="E5905" s="6" t="s">
        <v>14</v>
      </c>
      <c r="F5905" s="7">
        <v>17</v>
      </c>
      <c r="G5905" s="7">
        <v>427766.8823529412</v>
      </c>
      <c r="H5905" s="7">
        <v>7272037</v>
      </c>
      <c r="I5905" s="7">
        <v>1064935</v>
      </c>
      <c r="J5905" s="7">
        <v>0</v>
      </c>
      <c r="K5905">
        <f t="shared" si="92"/>
        <v>90</v>
      </c>
      <c r="L5905" s="8" t="str" cm="1">
        <f t="array" ref="L5905">_xlfn.IFS(
 AND(K5905&gt;=89,K5905&lt;=92),"3개월",
 AND(K5905&gt;=58,K5905&lt;=62),"2개월",
 AND(K5905&gt;=28,K5905&lt;=32),"1개월",
 AND(K5905=0),"당월",
 TRUE,"그외"
)</f>
        <v>3개월</v>
      </c>
    </row>
    <row r="5906" spans="1:12" x14ac:dyDescent="0.3">
      <c r="A5906" s="5">
        <v>45717</v>
      </c>
      <c r="B5906" s="6" t="s">
        <v>81</v>
      </c>
      <c r="C5906" s="6" t="s">
        <v>125</v>
      </c>
      <c r="D5906" s="5">
        <v>45627</v>
      </c>
      <c r="E5906" s="6" t="s">
        <v>15</v>
      </c>
      <c r="F5906" s="7">
        <v>80</v>
      </c>
      <c r="G5906" s="7">
        <v>368792.5</v>
      </c>
      <c r="H5906" s="7">
        <v>29503400</v>
      </c>
      <c r="I5906" s="7">
        <v>3181349</v>
      </c>
      <c r="J5906" s="7">
        <v>0</v>
      </c>
      <c r="K5906">
        <f t="shared" si="92"/>
        <v>90</v>
      </c>
      <c r="L5906" s="8" t="str" cm="1">
        <f t="array" ref="L5906">_xlfn.IFS(
 AND(K5906&gt;=89,K5906&lt;=92),"3개월",
 AND(K5906&gt;=58,K5906&lt;=62),"2개월",
 AND(K5906&gt;=28,K5906&lt;=32),"1개월",
 AND(K5906=0),"당월",
 TRUE,"그외"
)</f>
        <v>3개월</v>
      </c>
    </row>
    <row r="5907" spans="1:12" x14ac:dyDescent="0.3">
      <c r="A5907" s="5">
        <v>45717</v>
      </c>
      <c r="B5907" s="6" t="s">
        <v>81</v>
      </c>
      <c r="C5907" s="6" t="s">
        <v>125</v>
      </c>
      <c r="D5907" s="5">
        <v>45658</v>
      </c>
      <c r="E5907" s="6" t="s">
        <v>14</v>
      </c>
      <c r="F5907" s="7">
        <v>9</v>
      </c>
      <c r="G5907" s="7">
        <v>430691.55555555562</v>
      </c>
      <c r="H5907" s="7">
        <v>3876224</v>
      </c>
      <c r="I5907" s="7">
        <v>500985</v>
      </c>
      <c r="J5907" s="7">
        <v>0</v>
      </c>
      <c r="K5907">
        <f t="shared" si="92"/>
        <v>59</v>
      </c>
      <c r="L5907" s="8" t="str" cm="1">
        <f t="array" ref="L5907">_xlfn.IFS(
 AND(K5907&gt;=89,K5907&lt;=92),"3개월",
 AND(K5907&gt;=58,K5907&lt;=62),"2개월",
 AND(K5907&gt;=28,K5907&lt;=32),"1개월",
 AND(K5907=0),"당월",
 TRUE,"그외"
)</f>
        <v>2개월</v>
      </c>
    </row>
    <row r="5908" spans="1:12" x14ac:dyDescent="0.3">
      <c r="A5908" s="5">
        <v>45717</v>
      </c>
      <c r="B5908" s="6" t="s">
        <v>81</v>
      </c>
      <c r="C5908" s="6" t="s">
        <v>125</v>
      </c>
      <c r="D5908" s="5">
        <v>45658</v>
      </c>
      <c r="E5908" s="6" t="s">
        <v>15</v>
      </c>
      <c r="F5908" s="7">
        <v>198</v>
      </c>
      <c r="G5908" s="7">
        <v>380905.31818181818</v>
      </c>
      <c r="H5908" s="7">
        <v>75419253</v>
      </c>
      <c r="I5908" s="7">
        <v>9416491</v>
      </c>
      <c r="J5908" s="7">
        <v>0</v>
      </c>
      <c r="K5908">
        <f t="shared" si="92"/>
        <v>59</v>
      </c>
      <c r="L5908" s="8" t="str" cm="1">
        <f t="array" ref="L5908">_xlfn.IFS(
 AND(K5908&gt;=89,K5908&lt;=92),"3개월",
 AND(K5908&gt;=58,K5908&lt;=62),"2개월",
 AND(K5908&gt;=28,K5908&lt;=32),"1개월",
 AND(K5908=0),"당월",
 TRUE,"그외"
)</f>
        <v>2개월</v>
      </c>
    </row>
    <row r="5909" spans="1:12" x14ac:dyDescent="0.3">
      <c r="A5909" s="5">
        <v>45717</v>
      </c>
      <c r="B5909" s="6" t="s">
        <v>81</v>
      </c>
      <c r="C5909" s="6" t="s">
        <v>125</v>
      </c>
      <c r="D5909" s="5">
        <v>45689</v>
      </c>
      <c r="E5909" s="6" t="s">
        <v>14</v>
      </c>
      <c r="F5909" s="7">
        <v>79</v>
      </c>
      <c r="G5909" s="7">
        <v>431049.86075949372</v>
      </c>
      <c r="H5909" s="7">
        <v>34052939</v>
      </c>
      <c r="I5909" s="7">
        <v>4616390</v>
      </c>
      <c r="J5909" s="7">
        <v>0</v>
      </c>
      <c r="K5909">
        <f t="shared" si="92"/>
        <v>28</v>
      </c>
      <c r="L5909" s="8" t="str" cm="1">
        <f t="array" ref="L5909">_xlfn.IFS(
 AND(K5909&gt;=89,K5909&lt;=92),"3개월",
 AND(K5909&gt;=58,K5909&lt;=62),"2개월",
 AND(K5909&gt;=28,K5909&lt;=32),"1개월",
 AND(K5909=0),"당월",
 TRUE,"그외"
)</f>
        <v>1개월</v>
      </c>
    </row>
    <row r="5910" spans="1:12" x14ac:dyDescent="0.3">
      <c r="A5910" s="5">
        <v>45717</v>
      </c>
      <c r="B5910" s="6" t="s">
        <v>81</v>
      </c>
      <c r="C5910" s="6" t="s">
        <v>125</v>
      </c>
      <c r="D5910" s="5">
        <v>45689</v>
      </c>
      <c r="E5910" s="6" t="s">
        <v>15</v>
      </c>
      <c r="F5910" s="7">
        <v>369</v>
      </c>
      <c r="G5910" s="7">
        <v>413245.27913279127</v>
      </c>
      <c r="H5910" s="7">
        <v>152487508</v>
      </c>
      <c r="I5910" s="7">
        <v>17722860</v>
      </c>
      <c r="J5910" s="7">
        <v>0</v>
      </c>
      <c r="K5910">
        <f t="shared" si="92"/>
        <v>28</v>
      </c>
      <c r="L5910" s="8" t="str" cm="1">
        <f t="array" ref="L5910">_xlfn.IFS(
 AND(K5910&gt;=89,K5910&lt;=92),"3개월",
 AND(K5910&gt;=58,K5910&lt;=62),"2개월",
 AND(K5910&gt;=28,K5910&lt;=32),"1개월",
 AND(K5910=0),"당월",
 TRUE,"그외"
)</f>
        <v>1개월</v>
      </c>
    </row>
    <row r="5911" spans="1:12" x14ac:dyDescent="0.3">
      <c r="A5911" s="5">
        <v>45717</v>
      </c>
      <c r="B5911" s="6" t="s">
        <v>81</v>
      </c>
      <c r="C5911" s="6" t="s">
        <v>125</v>
      </c>
      <c r="D5911" s="5">
        <v>45717</v>
      </c>
      <c r="E5911" s="6" t="s">
        <v>14</v>
      </c>
      <c r="F5911" s="7">
        <v>387</v>
      </c>
      <c r="G5911" s="7">
        <v>420626.54780361749</v>
      </c>
      <c r="H5911" s="7">
        <v>162782474</v>
      </c>
      <c r="I5911" s="7">
        <v>23510710</v>
      </c>
      <c r="J5911" s="7">
        <v>0</v>
      </c>
      <c r="K5911">
        <f t="shared" si="92"/>
        <v>0</v>
      </c>
      <c r="L5911" s="8" t="str" cm="1">
        <f t="array" ref="L5911">_xlfn.IFS(
 AND(K5911&gt;=89,K5911&lt;=92),"3개월",
 AND(K5911&gt;=58,K5911&lt;=62),"2개월",
 AND(K5911&gt;=28,K5911&lt;=32),"1개월",
 AND(K5911=0),"당월",
 TRUE,"그외"
)</f>
        <v>당월</v>
      </c>
    </row>
    <row r="5912" spans="1:12" x14ac:dyDescent="0.3">
      <c r="A5912" s="5">
        <v>45717</v>
      </c>
      <c r="B5912" s="6" t="s">
        <v>81</v>
      </c>
      <c r="C5912" s="6" t="s">
        <v>125</v>
      </c>
      <c r="D5912" s="5">
        <v>45717</v>
      </c>
      <c r="E5912" s="6" t="s">
        <v>15</v>
      </c>
      <c r="F5912" s="7">
        <v>390</v>
      </c>
      <c r="G5912" s="7">
        <v>412849.53333333333</v>
      </c>
      <c r="H5912" s="7">
        <v>161011318</v>
      </c>
      <c r="I5912" s="7">
        <v>19437563</v>
      </c>
      <c r="J5912" s="7">
        <v>0</v>
      </c>
      <c r="K5912">
        <f t="shared" si="92"/>
        <v>0</v>
      </c>
      <c r="L5912" s="8" t="str" cm="1">
        <f t="array" ref="L5912">_xlfn.IFS(
 AND(K5912&gt;=89,K5912&lt;=92),"3개월",
 AND(K5912&gt;=58,K5912&lt;=62),"2개월",
 AND(K5912&gt;=28,K5912&lt;=32),"1개월",
 AND(K5912=0),"당월",
 TRUE,"그외"
)</f>
        <v>당월</v>
      </c>
    </row>
    <row r="5913" spans="1:12" x14ac:dyDescent="0.3">
      <c r="A5913" s="5">
        <v>45717</v>
      </c>
      <c r="B5913" s="6" t="s">
        <v>84</v>
      </c>
      <c r="C5913" s="6" t="s">
        <v>85</v>
      </c>
      <c r="D5913" s="5">
        <v>45505</v>
      </c>
      <c r="E5913" s="6" t="s">
        <v>15</v>
      </c>
      <c r="F5913" s="7">
        <v>74</v>
      </c>
      <c r="G5913" s="7">
        <v>745784.20810810814</v>
      </c>
      <c r="H5913" s="7">
        <v>55188031.399999999</v>
      </c>
      <c r="I5913" s="7">
        <v>8332145.4000000004</v>
      </c>
      <c r="J5913" s="7">
        <v>0</v>
      </c>
      <c r="K5913">
        <f t="shared" si="92"/>
        <v>212</v>
      </c>
      <c r="L5913" s="8" t="str" cm="1">
        <f t="array" ref="L5913">_xlfn.IFS(
 AND(K5913&gt;=89,K5913&lt;=92),"3개월",
 AND(K5913&gt;=58,K5913&lt;=62),"2개월",
 AND(K5913&gt;=28,K5913&lt;=32),"1개월",
 AND(K5913=0),"당월",
 TRUE,"그외"
)</f>
        <v>그외</v>
      </c>
    </row>
    <row r="5914" spans="1:12" x14ac:dyDescent="0.3">
      <c r="A5914" s="5">
        <v>45717</v>
      </c>
      <c r="B5914" s="6" t="s">
        <v>84</v>
      </c>
      <c r="C5914" s="6" t="s">
        <v>85</v>
      </c>
      <c r="D5914" s="5">
        <v>45536</v>
      </c>
      <c r="E5914" s="6" t="s">
        <v>15</v>
      </c>
      <c r="F5914" s="7">
        <v>59</v>
      </c>
      <c r="G5914" s="7">
        <v>701372.52542372886</v>
      </c>
      <c r="H5914" s="7">
        <v>41380979</v>
      </c>
      <c r="I5914" s="7">
        <v>6252869</v>
      </c>
      <c r="J5914" s="7">
        <v>0</v>
      </c>
      <c r="K5914">
        <f t="shared" si="92"/>
        <v>181</v>
      </c>
      <c r="L5914" s="8" t="str" cm="1">
        <f t="array" ref="L5914">_xlfn.IFS(
 AND(K5914&gt;=89,K5914&lt;=92),"3개월",
 AND(K5914&gt;=58,K5914&lt;=62),"2개월",
 AND(K5914&gt;=28,K5914&lt;=32),"1개월",
 AND(K5914=0),"당월",
 TRUE,"그외"
)</f>
        <v>그외</v>
      </c>
    </row>
    <row r="5915" spans="1:12" x14ac:dyDescent="0.3">
      <c r="A5915" s="5">
        <v>45717</v>
      </c>
      <c r="B5915" s="6" t="s">
        <v>84</v>
      </c>
      <c r="C5915" s="6" t="s">
        <v>85</v>
      </c>
      <c r="D5915" s="5">
        <v>45566</v>
      </c>
      <c r="E5915" s="6" t="s">
        <v>15</v>
      </c>
      <c r="F5915" s="7">
        <v>258</v>
      </c>
      <c r="G5915" s="7">
        <v>662529.10465116275</v>
      </c>
      <c r="H5915" s="7">
        <v>170932509</v>
      </c>
      <c r="I5915" s="7">
        <v>24278901</v>
      </c>
      <c r="J5915" s="7">
        <v>0</v>
      </c>
      <c r="K5915">
        <f t="shared" si="92"/>
        <v>151</v>
      </c>
      <c r="L5915" s="8" t="str" cm="1">
        <f t="array" ref="L5915">_xlfn.IFS(
 AND(K5915&gt;=89,K5915&lt;=92),"3개월",
 AND(K5915&gt;=58,K5915&lt;=62),"2개월",
 AND(K5915&gt;=28,K5915&lt;=32),"1개월",
 AND(K5915=0),"당월",
 TRUE,"그외"
)</f>
        <v>그외</v>
      </c>
    </row>
    <row r="5916" spans="1:12" x14ac:dyDescent="0.3">
      <c r="A5916" s="5">
        <v>45717</v>
      </c>
      <c r="B5916" s="6" t="s">
        <v>84</v>
      </c>
      <c r="C5916" s="6" t="s">
        <v>85</v>
      </c>
      <c r="D5916" s="5">
        <v>45597</v>
      </c>
      <c r="E5916" s="6" t="s">
        <v>15</v>
      </c>
      <c r="F5916" s="7">
        <v>625</v>
      </c>
      <c r="G5916" s="7">
        <v>601101.3088</v>
      </c>
      <c r="H5916" s="7">
        <v>375688318</v>
      </c>
      <c r="I5916" s="7">
        <v>52648420</v>
      </c>
      <c r="J5916" s="7">
        <v>0</v>
      </c>
      <c r="K5916">
        <f t="shared" si="92"/>
        <v>120</v>
      </c>
      <c r="L5916" s="8" t="str" cm="1">
        <f t="array" ref="L5916">_xlfn.IFS(
 AND(K5916&gt;=89,K5916&lt;=92),"3개월",
 AND(K5916&gt;=58,K5916&lt;=62),"2개월",
 AND(K5916&gt;=28,K5916&lt;=32),"1개월",
 AND(K5916=0),"당월",
 TRUE,"그외"
)</f>
        <v>그외</v>
      </c>
    </row>
    <row r="5917" spans="1:12" x14ac:dyDescent="0.3">
      <c r="A5917" s="5">
        <v>45717</v>
      </c>
      <c r="B5917" s="6" t="s">
        <v>84</v>
      </c>
      <c r="C5917" s="6" t="s">
        <v>85</v>
      </c>
      <c r="D5917" s="5">
        <v>45627</v>
      </c>
      <c r="E5917" s="6" t="s">
        <v>15</v>
      </c>
      <c r="F5917" s="7">
        <v>537</v>
      </c>
      <c r="G5917" s="7">
        <v>614042.37243947864</v>
      </c>
      <c r="H5917" s="7">
        <v>329740754</v>
      </c>
      <c r="I5917" s="7">
        <v>50393288</v>
      </c>
      <c r="J5917" s="7">
        <v>0</v>
      </c>
      <c r="K5917">
        <f t="shared" si="92"/>
        <v>90</v>
      </c>
      <c r="L5917" s="8" t="str" cm="1">
        <f t="array" ref="L5917">_xlfn.IFS(
 AND(K5917&gt;=89,K5917&lt;=92),"3개월",
 AND(K5917&gt;=58,K5917&lt;=62),"2개월",
 AND(K5917&gt;=28,K5917&lt;=32),"1개월",
 AND(K5917=0),"당월",
 TRUE,"그외"
)</f>
        <v>3개월</v>
      </c>
    </row>
    <row r="5918" spans="1:12" x14ac:dyDescent="0.3">
      <c r="A5918" s="5">
        <v>45717</v>
      </c>
      <c r="B5918" s="6" t="s">
        <v>84</v>
      </c>
      <c r="C5918" s="6" t="s">
        <v>85</v>
      </c>
      <c r="D5918" s="5">
        <v>45658</v>
      </c>
      <c r="E5918" s="6" t="s">
        <v>15</v>
      </c>
      <c r="F5918" s="7">
        <v>859</v>
      </c>
      <c r="G5918" s="7">
        <v>691685.9708963912</v>
      </c>
      <c r="H5918" s="7">
        <v>594158249</v>
      </c>
      <c r="I5918" s="7">
        <v>77296908</v>
      </c>
      <c r="J5918" s="7">
        <v>0</v>
      </c>
      <c r="K5918">
        <f t="shared" si="92"/>
        <v>59</v>
      </c>
      <c r="L5918" s="8" t="str" cm="1">
        <f t="array" ref="L5918">_xlfn.IFS(
 AND(K5918&gt;=89,K5918&lt;=92),"3개월",
 AND(K5918&gt;=58,K5918&lt;=62),"2개월",
 AND(K5918&gt;=28,K5918&lt;=32),"1개월",
 AND(K5918=0),"당월",
 TRUE,"그외"
)</f>
        <v>2개월</v>
      </c>
    </row>
    <row r="5919" spans="1:12" x14ac:dyDescent="0.3">
      <c r="A5919" s="5">
        <v>45717</v>
      </c>
      <c r="B5919" s="6" t="s">
        <v>84</v>
      </c>
      <c r="C5919" s="6" t="s">
        <v>85</v>
      </c>
      <c r="D5919" s="5">
        <v>45689</v>
      </c>
      <c r="E5919" s="6" t="s">
        <v>14</v>
      </c>
      <c r="F5919" s="7">
        <v>787</v>
      </c>
      <c r="G5919" s="7">
        <v>622013.97712833551</v>
      </c>
      <c r="H5919" s="7">
        <v>489525000</v>
      </c>
      <c r="I5919" s="7">
        <v>0</v>
      </c>
      <c r="J5919" s="7">
        <v>0</v>
      </c>
      <c r="K5919">
        <f t="shared" si="92"/>
        <v>28</v>
      </c>
      <c r="L5919" s="8" t="str" cm="1">
        <f t="array" ref="L5919">_xlfn.IFS(
 AND(K5919&gt;=89,K5919&lt;=92),"3개월",
 AND(K5919&gt;=58,K5919&lt;=62),"2개월",
 AND(K5919&gt;=28,K5919&lt;=32),"1개월",
 AND(K5919=0),"당월",
 TRUE,"그외"
)</f>
        <v>1개월</v>
      </c>
    </row>
    <row r="5920" spans="1:12" x14ac:dyDescent="0.3">
      <c r="A5920" s="5">
        <v>45717</v>
      </c>
      <c r="B5920" s="6" t="s">
        <v>84</v>
      </c>
      <c r="C5920" s="6" t="s">
        <v>85</v>
      </c>
      <c r="D5920" s="5">
        <v>45689</v>
      </c>
      <c r="E5920" s="6" t="s">
        <v>15</v>
      </c>
      <c r="F5920" s="7">
        <v>1233</v>
      </c>
      <c r="G5920" s="7">
        <v>697677.38848337391</v>
      </c>
      <c r="H5920" s="7">
        <v>860236220</v>
      </c>
      <c r="I5920" s="7">
        <v>107615901</v>
      </c>
      <c r="J5920" s="7">
        <v>0</v>
      </c>
      <c r="K5920">
        <f t="shared" si="92"/>
        <v>28</v>
      </c>
      <c r="L5920" s="8" t="str" cm="1">
        <f t="array" ref="L5920">_xlfn.IFS(
 AND(K5920&gt;=89,K5920&lt;=92),"3개월",
 AND(K5920&gt;=58,K5920&lt;=62),"2개월",
 AND(K5920&gt;=28,K5920&lt;=32),"1개월",
 AND(K5920=0),"당월",
 TRUE,"그외"
)</f>
        <v>1개월</v>
      </c>
    </row>
    <row r="5921" spans="1:12" x14ac:dyDescent="0.3">
      <c r="A5921" s="5">
        <v>45717</v>
      </c>
      <c r="B5921" s="6" t="s">
        <v>84</v>
      </c>
      <c r="C5921" s="6" t="s">
        <v>85</v>
      </c>
      <c r="D5921" s="5">
        <v>45717</v>
      </c>
      <c r="E5921" s="6" t="s">
        <v>14</v>
      </c>
      <c r="F5921" s="7">
        <v>2168</v>
      </c>
      <c r="G5921" s="7">
        <v>609663.28413284128</v>
      </c>
      <c r="H5921" s="7">
        <v>1321750000</v>
      </c>
      <c r="I5921" s="7">
        <v>0</v>
      </c>
      <c r="J5921" s="7">
        <v>0</v>
      </c>
      <c r="K5921">
        <f t="shared" si="92"/>
        <v>0</v>
      </c>
      <c r="L5921" s="8" t="str" cm="1">
        <f t="array" ref="L5921">_xlfn.IFS(
 AND(K5921&gt;=89,K5921&lt;=92),"3개월",
 AND(K5921&gt;=58,K5921&lt;=62),"2개월",
 AND(K5921&gt;=28,K5921&lt;=32),"1개월",
 AND(K5921=0),"당월",
 TRUE,"그외"
)</f>
        <v>당월</v>
      </c>
    </row>
    <row r="5922" spans="1:12" x14ac:dyDescent="0.3">
      <c r="A5922" s="5">
        <v>45717</v>
      </c>
      <c r="B5922" s="6" t="s">
        <v>84</v>
      </c>
      <c r="C5922" s="6" t="s">
        <v>85</v>
      </c>
      <c r="D5922" s="5">
        <v>45717</v>
      </c>
      <c r="E5922" s="6" t="s">
        <v>15</v>
      </c>
      <c r="F5922" s="7">
        <v>778</v>
      </c>
      <c r="G5922" s="7">
        <v>583685.78406169661</v>
      </c>
      <c r="H5922" s="7">
        <v>454107540</v>
      </c>
      <c r="I5922" s="7">
        <v>72158506</v>
      </c>
      <c r="J5922" s="7">
        <v>0</v>
      </c>
      <c r="K5922">
        <f t="shared" si="92"/>
        <v>0</v>
      </c>
      <c r="L5922" s="8" t="str" cm="1">
        <f t="array" ref="L5922">_xlfn.IFS(
 AND(K5922&gt;=89,K5922&lt;=92),"3개월",
 AND(K5922&gt;=58,K5922&lt;=62),"2개월",
 AND(K5922&gt;=28,K5922&lt;=32),"1개월",
 AND(K5922=0),"당월",
 TRUE,"그외"
)</f>
        <v>당월</v>
      </c>
    </row>
    <row r="5923" spans="1:12" x14ac:dyDescent="0.3">
      <c r="A5923" s="5">
        <v>45717</v>
      </c>
      <c r="B5923" s="6" t="s">
        <v>84</v>
      </c>
      <c r="C5923" s="6" t="s">
        <v>86</v>
      </c>
      <c r="D5923" s="5">
        <v>45505</v>
      </c>
      <c r="E5923" s="6" t="s">
        <v>15</v>
      </c>
      <c r="F5923" s="7">
        <v>190</v>
      </c>
      <c r="G5923" s="7">
        <v>408042.1157894737</v>
      </c>
      <c r="H5923" s="7">
        <v>77528002</v>
      </c>
      <c r="I5923" s="7">
        <v>19466647</v>
      </c>
      <c r="J5923" s="7">
        <v>0</v>
      </c>
      <c r="K5923">
        <f t="shared" si="92"/>
        <v>212</v>
      </c>
      <c r="L5923" s="8" t="str" cm="1">
        <f t="array" ref="L5923">_xlfn.IFS(
 AND(K5923&gt;=89,K5923&lt;=92),"3개월",
 AND(K5923&gt;=58,K5923&lt;=62),"2개월",
 AND(K5923&gt;=28,K5923&lt;=32),"1개월",
 AND(K5923=0),"당월",
 TRUE,"그외"
)</f>
        <v>그외</v>
      </c>
    </row>
    <row r="5924" spans="1:12" x14ac:dyDescent="0.3">
      <c r="A5924" s="5">
        <v>45717</v>
      </c>
      <c r="B5924" s="6" t="s">
        <v>84</v>
      </c>
      <c r="C5924" s="6" t="s">
        <v>86</v>
      </c>
      <c r="D5924" s="5">
        <v>45536</v>
      </c>
      <c r="E5924" s="6" t="s">
        <v>15</v>
      </c>
      <c r="F5924" s="7">
        <v>204</v>
      </c>
      <c r="G5924" s="7">
        <v>520908.73039215693</v>
      </c>
      <c r="H5924" s="7">
        <v>106265381</v>
      </c>
      <c r="I5924" s="7">
        <v>21192686</v>
      </c>
      <c r="J5924" s="7">
        <v>0</v>
      </c>
      <c r="K5924">
        <f t="shared" si="92"/>
        <v>181</v>
      </c>
      <c r="L5924" s="8" t="str" cm="1">
        <f t="array" ref="L5924">_xlfn.IFS(
 AND(K5924&gt;=89,K5924&lt;=92),"3개월",
 AND(K5924&gt;=58,K5924&lt;=62),"2개월",
 AND(K5924&gt;=28,K5924&lt;=32),"1개월",
 AND(K5924=0),"당월",
 TRUE,"그외"
)</f>
        <v>그외</v>
      </c>
    </row>
    <row r="5925" spans="1:12" x14ac:dyDescent="0.3">
      <c r="A5925" s="5">
        <v>45717</v>
      </c>
      <c r="B5925" s="6" t="s">
        <v>84</v>
      </c>
      <c r="C5925" s="6" t="s">
        <v>86</v>
      </c>
      <c r="D5925" s="5">
        <v>45566</v>
      </c>
      <c r="E5925" s="6" t="s">
        <v>15</v>
      </c>
      <c r="F5925" s="7">
        <v>340</v>
      </c>
      <c r="G5925" s="7">
        <v>486293.35294117639</v>
      </c>
      <c r="H5925" s="7">
        <v>165339740</v>
      </c>
      <c r="I5925" s="7">
        <v>27492716</v>
      </c>
      <c r="J5925" s="7">
        <v>0</v>
      </c>
      <c r="K5925">
        <f t="shared" si="92"/>
        <v>151</v>
      </c>
      <c r="L5925" s="8" t="str" cm="1">
        <f t="array" ref="L5925">_xlfn.IFS(
 AND(K5925&gt;=89,K5925&lt;=92),"3개월",
 AND(K5925&gt;=58,K5925&lt;=62),"2개월",
 AND(K5925&gt;=28,K5925&lt;=32),"1개월",
 AND(K5925=0),"당월",
 TRUE,"그외"
)</f>
        <v>그외</v>
      </c>
    </row>
    <row r="5926" spans="1:12" x14ac:dyDescent="0.3">
      <c r="A5926" s="5">
        <v>45717</v>
      </c>
      <c r="B5926" s="6" t="s">
        <v>84</v>
      </c>
      <c r="C5926" s="6" t="s">
        <v>86</v>
      </c>
      <c r="D5926" s="5">
        <v>45597</v>
      </c>
      <c r="E5926" s="6" t="s">
        <v>15</v>
      </c>
      <c r="F5926" s="7">
        <v>476</v>
      </c>
      <c r="G5926" s="7">
        <v>474187.39915966388</v>
      </c>
      <c r="H5926" s="7">
        <v>225713202</v>
      </c>
      <c r="I5926" s="7">
        <v>37611016</v>
      </c>
      <c r="J5926" s="7">
        <v>0</v>
      </c>
      <c r="K5926">
        <f t="shared" si="92"/>
        <v>120</v>
      </c>
      <c r="L5926" s="8" t="str" cm="1">
        <f t="array" ref="L5926">_xlfn.IFS(
 AND(K5926&gt;=89,K5926&lt;=92),"3개월",
 AND(K5926&gt;=58,K5926&lt;=62),"2개월",
 AND(K5926&gt;=28,K5926&lt;=32),"1개월",
 AND(K5926=0),"당월",
 TRUE,"그외"
)</f>
        <v>그외</v>
      </c>
    </row>
    <row r="5927" spans="1:12" x14ac:dyDescent="0.3">
      <c r="A5927" s="5">
        <v>45717</v>
      </c>
      <c r="B5927" s="6" t="s">
        <v>84</v>
      </c>
      <c r="C5927" s="6" t="s">
        <v>86</v>
      </c>
      <c r="D5927" s="5">
        <v>45627</v>
      </c>
      <c r="E5927" s="6" t="s">
        <v>14</v>
      </c>
      <c r="F5927" s="7">
        <v>2</v>
      </c>
      <c r="G5927" s="7">
        <v>415841</v>
      </c>
      <c r="H5927" s="7">
        <v>831682</v>
      </c>
      <c r="I5927" s="7">
        <v>149600</v>
      </c>
      <c r="J5927" s="7">
        <v>0</v>
      </c>
      <c r="K5927">
        <f t="shared" si="92"/>
        <v>90</v>
      </c>
      <c r="L5927" s="8" t="str" cm="1">
        <f t="array" ref="L5927">_xlfn.IFS(
 AND(K5927&gt;=89,K5927&lt;=92),"3개월",
 AND(K5927&gt;=58,K5927&lt;=62),"2개월",
 AND(K5927&gt;=28,K5927&lt;=32),"1개월",
 AND(K5927=0),"당월",
 TRUE,"그외"
)</f>
        <v>3개월</v>
      </c>
    </row>
    <row r="5928" spans="1:12" x14ac:dyDescent="0.3">
      <c r="A5928" s="5">
        <v>45717</v>
      </c>
      <c r="B5928" s="6" t="s">
        <v>84</v>
      </c>
      <c r="C5928" s="6" t="s">
        <v>86</v>
      </c>
      <c r="D5928" s="5">
        <v>45627</v>
      </c>
      <c r="E5928" s="6" t="s">
        <v>15</v>
      </c>
      <c r="F5928" s="7">
        <v>362</v>
      </c>
      <c r="G5928" s="7">
        <v>515839.09944751381</v>
      </c>
      <c r="H5928" s="7">
        <v>186733754</v>
      </c>
      <c r="I5928" s="7">
        <v>36253354</v>
      </c>
      <c r="J5928" s="7">
        <v>0</v>
      </c>
      <c r="K5928">
        <f t="shared" si="92"/>
        <v>90</v>
      </c>
      <c r="L5928" s="8" t="str" cm="1">
        <f t="array" ref="L5928">_xlfn.IFS(
 AND(K5928&gt;=89,K5928&lt;=92),"3개월",
 AND(K5928&gt;=58,K5928&lt;=62),"2개월",
 AND(K5928&gt;=28,K5928&lt;=32),"1개월",
 AND(K5928=0),"당월",
 TRUE,"그외"
)</f>
        <v>3개월</v>
      </c>
    </row>
    <row r="5929" spans="1:12" x14ac:dyDescent="0.3">
      <c r="A5929" s="5">
        <v>45717</v>
      </c>
      <c r="B5929" s="6" t="s">
        <v>84</v>
      </c>
      <c r="C5929" s="6" t="s">
        <v>86</v>
      </c>
      <c r="D5929" s="5">
        <v>45658</v>
      </c>
      <c r="E5929" s="6" t="s">
        <v>15</v>
      </c>
      <c r="F5929" s="7">
        <v>509</v>
      </c>
      <c r="G5929" s="7">
        <v>522446.97838899802</v>
      </c>
      <c r="H5929" s="7">
        <v>265925512</v>
      </c>
      <c r="I5929" s="7">
        <v>49090431</v>
      </c>
      <c r="J5929" s="7">
        <v>0</v>
      </c>
      <c r="K5929">
        <f t="shared" si="92"/>
        <v>59</v>
      </c>
      <c r="L5929" s="8" t="str" cm="1">
        <f t="array" ref="L5929">_xlfn.IFS(
 AND(K5929&gt;=89,K5929&lt;=92),"3개월",
 AND(K5929&gt;=58,K5929&lt;=62),"2개월",
 AND(K5929&gt;=28,K5929&lt;=32),"1개월",
 AND(K5929=0),"당월",
 TRUE,"그외"
)</f>
        <v>2개월</v>
      </c>
    </row>
    <row r="5930" spans="1:12" x14ac:dyDescent="0.3">
      <c r="A5930" s="5">
        <v>45717</v>
      </c>
      <c r="B5930" s="6" t="s">
        <v>84</v>
      </c>
      <c r="C5930" s="6" t="s">
        <v>86</v>
      </c>
      <c r="D5930" s="5">
        <v>45689</v>
      </c>
      <c r="E5930" s="6" t="s">
        <v>14</v>
      </c>
      <c r="F5930" s="7">
        <v>981</v>
      </c>
      <c r="G5930" s="7">
        <v>425809.0234454638</v>
      </c>
      <c r="H5930" s="7">
        <v>417718652</v>
      </c>
      <c r="I5930" s="7">
        <v>77400900</v>
      </c>
      <c r="J5930" s="7">
        <v>0</v>
      </c>
      <c r="K5930">
        <f t="shared" si="92"/>
        <v>28</v>
      </c>
      <c r="L5930" s="8" t="str" cm="1">
        <f t="array" ref="L5930">_xlfn.IFS(
 AND(K5930&gt;=89,K5930&lt;=92),"3개월",
 AND(K5930&gt;=58,K5930&lt;=62),"2개월",
 AND(K5930&gt;=28,K5930&lt;=32),"1개월",
 AND(K5930=0),"당월",
 TRUE,"그외"
)</f>
        <v>1개월</v>
      </c>
    </row>
    <row r="5931" spans="1:12" x14ac:dyDescent="0.3">
      <c r="A5931" s="5">
        <v>45717</v>
      </c>
      <c r="B5931" s="6" t="s">
        <v>84</v>
      </c>
      <c r="C5931" s="6" t="s">
        <v>86</v>
      </c>
      <c r="D5931" s="5">
        <v>45689</v>
      </c>
      <c r="E5931" s="6" t="s">
        <v>15</v>
      </c>
      <c r="F5931" s="7">
        <v>1152</v>
      </c>
      <c r="G5931" s="7">
        <v>453970.26302083331</v>
      </c>
      <c r="H5931" s="7">
        <v>522973743</v>
      </c>
      <c r="I5931" s="7">
        <v>104773701</v>
      </c>
      <c r="J5931" s="7">
        <v>0</v>
      </c>
      <c r="K5931">
        <f t="shared" si="92"/>
        <v>28</v>
      </c>
      <c r="L5931" s="8" t="str" cm="1">
        <f t="array" ref="L5931">_xlfn.IFS(
 AND(K5931&gt;=89,K5931&lt;=92),"3개월",
 AND(K5931&gt;=58,K5931&lt;=62),"2개월",
 AND(K5931&gt;=28,K5931&lt;=32),"1개월",
 AND(K5931=0),"당월",
 TRUE,"그외"
)</f>
        <v>1개월</v>
      </c>
    </row>
    <row r="5932" spans="1:12" x14ac:dyDescent="0.3">
      <c r="A5932" s="5">
        <v>45717</v>
      </c>
      <c r="B5932" s="6" t="s">
        <v>84</v>
      </c>
      <c r="C5932" s="6" t="s">
        <v>86</v>
      </c>
      <c r="D5932" s="5">
        <v>45717</v>
      </c>
      <c r="E5932" s="6" t="s">
        <v>14</v>
      </c>
      <c r="F5932" s="7">
        <v>1008</v>
      </c>
      <c r="G5932" s="7">
        <v>427345.74900793651</v>
      </c>
      <c r="H5932" s="7">
        <v>430764515</v>
      </c>
      <c r="I5932" s="7">
        <v>90316800</v>
      </c>
      <c r="J5932" s="7">
        <v>0</v>
      </c>
      <c r="K5932">
        <f t="shared" si="92"/>
        <v>0</v>
      </c>
      <c r="L5932" s="8" t="str" cm="1">
        <f t="array" ref="L5932">_xlfn.IFS(
 AND(K5932&gt;=89,K5932&lt;=92),"3개월",
 AND(K5932&gt;=58,K5932&lt;=62),"2개월",
 AND(K5932&gt;=28,K5932&lt;=32),"1개월",
 AND(K5932=0),"당월",
 TRUE,"그외"
)</f>
        <v>당월</v>
      </c>
    </row>
    <row r="5933" spans="1:12" x14ac:dyDescent="0.3">
      <c r="A5933" s="5">
        <v>45717</v>
      </c>
      <c r="B5933" s="6" t="s">
        <v>84</v>
      </c>
      <c r="C5933" s="6" t="s">
        <v>86</v>
      </c>
      <c r="D5933" s="5">
        <v>45717</v>
      </c>
      <c r="E5933" s="6" t="s">
        <v>15</v>
      </c>
      <c r="F5933" s="7">
        <v>998</v>
      </c>
      <c r="G5933" s="7">
        <v>420093.94689378759</v>
      </c>
      <c r="H5933" s="7">
        <v>419253759</v>
      </c>
      <c r="I5933" s="7">
        <v>97954568</v>
      </c>
      <c r="J5933" s="7">
        <v>0</v>
      </c>
      <c r="K5933">
        <f t="shared" si="92"/>
        <v>0</v>
      </c>
      <c r="L5933" s="8" t="str" cm="1">
        <f t="array" ref="L5933">_xlfn.IFS(
 AND(K5933&gt;=89,K5933&lt;=92),"3개월",
 AND(K5933&gt;=58,K5933&lt;=62),"2개월",
 AND(K5933&gt;=28,K5933&lt;=32),"1개월",
 AND(K5933=0),"당월",
 TRUE,"그외"
)</f>
        <v>당월</v>
      </c>
    </row>
    <row r="5934" spans="1:12" x14ac:dyDescent="0.3">
      <c r="A5934" s="5">
        <v>45717</v>
      </c>
      <c r="B5934" s="6" t="s">
        <v>84</v>
      </c>
      <c r="C5934" s="6" t="s">
        <v>87</v>
      </c>
      <c r="D5934" s="5">
        <v>45505</v>
      </c>
      <c r="E5934" s="6" t="s">
        <v>15</v>
      </c>
      <c r="F5934" s="7">
        <v>9</v>
      </c>
      <c r="G5934" s="7">
        <v>427079.33333333331</v>
      </c>
      <c r="H5934" s="7">
        <v>3843714</v>
      </c>
      <c r="I5934" s="7">
        <v>1140743</v>
      </c>
      <c r="J5934" s="7">
        <v>0</v>
      </c>
      <c r="K5934">
        <f t="shared" si="92"/>
        <v>212</v>
      </c>
      <c r="L5934" s="8" t="str" cm="1">
        <f t="array" ref="L5934">_xlfn.IFS(
 AND(K5934&gt;=89,K5934&lt;=92),"3개월",
 AND(K5934&gt;=58,K5934&lt;=62),"2개월",
 AND(K5934&gt;=28,K5934&lt;=32),"1개월",
 AND(K5934=0),"당월",
 TRUE,"그외"
)</f>
        <v>그외</v>
      </c>
    </row>
    <row r="5935" spans="1:12" x14ac:dyDescent="0.3">
      <c r="A5935" s="5">
        <v>45717</v>
      </c>
      <c r="B5935" s="6" t="s">
        <v>84</v>
      </c>
      <c r="C5935" s="6" t="s">
        <v>87</v>
      </c>
      <c r="D5935" s="5">
        <v>45536</v>
      </c>
      <c r="E5935" s="6" t="s">
        <v>15</v>
      </c>
      <c r="F5935" s="7">
        <v>60</v>
      </c>
      <c r="G5935" s="7">
        <v>355748.58333333331</v>
      </c>
      <c r="H5935" s="7">
        <v>21344915</v>
      </c>
      <c r="I5935" s="7">
        <v>6082693</v>
      </c>
      <c r="J5935" s="7">
        <v>0</v>
      </c>
      <c r="K5935">
        <f t="shared" si="92"/>
        <v>181</v>
      </c>
      <c r="L5935" s="8" t="str" cm="1">
        <f t="array" ref="L5935">_xlfn.IFS(
 AND(K5935&gt;=89,K5935&lt;=92),"3개월",
 AND(K5935&gt;=58,K5935&lt;=62),"2개월",
 AND(K5935&gt;=28,K5935&lt;=32),"1개월",
 AND(K5935=0),"당월",
 TRUE,"그외"
)</f>
        <v>그외</v>
      </c>
    </row>
    <row r="5936" spans="1:12" x14ac:dyDescent="0.3">
      <c r="A5936" s="5">
        <v>45717</v>
      </c>
      <c r="B5936" s="6" t="s">
        <v>84</v>
      </c>
      <c r="C5936" s="6" t="s">
        <v>87</v>
      </c>
      <c r="D5936" s="5">
        <v>45566</v>
      </c>
      <c r="E5936" s="6" t="s">
        <v>15</v>
      </c>
      <c r="F5936" s="7">
        <v>332</v>
      </c>
      <c r="G5936" s="7">
        <v>345925.86144578311</v>
      </c>
      <c r="H5936" s="7">
        <v>114847386</v>
      </c>
      <c r="I5936" s="7">
        <v>30774438</v>
      </c>
      <c r="J5936" s="7">
        <v>0</v>
      </c>
      <c r="K5936">
        <f t="shared" si="92"/>
        <v>151</v>
      </c>
      <c r="L5936" s="8" t="str" cm="1">
        <f t="array" ref="L5936">_xlfn.IFS(
 AND(K5936&gt;=89,K5936&lt;=92),"3개월",
 AND(K5936&gt;=58,K5936&lt;=62),"2개월",
 AND(K5936&gt;=28,K5936&lt;=32),"1개월",
 AND(K5936=0),"당월",
 TRUE,"그외"
)</f>
        <v>그외</v>
      </c>
    </row>
    <row r="5937" spans="1:12" x14ac:dyDescent="0.3">
      <c r="A5937" s="5">
        <v>45717</v>
      </c>
      <c r="B5937" s="6" t="s">
        <v>84</v>
      </c>
      <c r="C5937" s="6" t="s">
        <v>87</v>
      </c>
      <c r="D5937" s="5">
        <v>45597</v>
      </c>
      <c r="E5937" s="6" t="s">
        <v>15</v>
      </c>
      <c r="F5937" s="7">
        <v>549</v>
      </c>
      <c r="G5937" s="7">
        <v>327594.86885245901</v>
      </c>
      <c r="H5937" s="7">
        <v>179849583</v>
      </c>
      <c r="I5937" s="7">
        <v>49292501</v>
      </c>
      <c r="J5937" s="7">
        <v>0</v>
      </c>
      <c r="K5937">
        <f t="shared" si="92"/>
        <v>120</v>
      </c>
      <c r="L5937" s="8" t="str" cm="1">
        <f t="array" ref="L5937">_xlfn.IFS(
 AND(K5937&gt;=89,K5937&lt;=92),"3개월",
 AND(K5937&gt;=58,K5937&lt;=62),"2개월",
 AND(K5937&gt;=28,K5937&lt;=32),"1개월",
 AND(K5937=0),"당월",
 TRUE,"그외"
)</f>
        <v>그외</v>
      </c>
    </row>
    <row r="5938" spans="1:12" x14ac:dyDescent="0.3">
      <c r="A5938" s="5">
        <v>45717</v>
      </c>
      <c r="B5938" s="6" t="s">
        <v>84</v>
      </c>
      <c r="C5938" s="6" t="s">
        <v>87</v>
      </c>
      <c r="D5938" s="5">
        <v>45627</v>
      </c>
      <c r="E5938" s="6" t="s">
        <v>14</v>
      </c>
      <c r="F5938" s="7">
        <v>55</v>
      </c>
      <c r="G5938" s="7">
        <v>287072.72727272729</v>
      </c>
      <c r="H5938" s="7">
        <v>15789000</v>
      </c>
      <c r="I5938" s="7">
        <v>4114000</v>
      </c>
      <c r="J5938" s="7">
        <v>0</v>
      </c>
      <c r="K5938">
        <f t="shared" si="92"/>
        <v>90</v>
      </c>
      <c r="L5938" s="8" t="str" cm="1">
        <f t="array" ref="L5938">_xlfn.IFS(
 AND(K5938&gt;=89,K5938&lt;=92),"3개월",
 AND(K5938&gt;=58,K5938&lt;=62),"2개월",
 AND(K5938&gt;=28,K5938&lt;=32),"1개월",
 AND(K5938=0),"당월",
 TRUE,"그외"
)</f>
        <v>3개월</v>
      </c>
    </row>
    <row r="5939" spans="1:12" x14ac:dyDescent="0.3">
      <c r="A5939" s="5">
        <v>45717</v>
      </c>
      <c r="B5939" s="6" t="s">
        <v>84</v>
      </c>
      <c r="C5939" s="6" t="s">
        <v>87</v>
      </c>
      <c r="D5939" s="5">
        <v>45627</v>
      </c>
      <c r="E5939" s="6" t="s">
        <v>15</v>
      </c>
      <c r="F5939" s="7">
        <v>659</v>
      </c>
      <c r="G5939" s="7">
        <v>358009.38543247338</v>
      </c>
      <c r="H5939" s="7">
        <v>235928185</v>
      </c>
      <c r="I5939" s="7">
        <v>67426957</v>
      </c>
      <c r="J5939" s="7">
        <v>0</v>
      </c>
      <c r="K5939">
        <f t="shared" si="92"/>
        <v>90</v>
      </c>
      <c r="L5939" s="8" t="str" cm="1">
        <f t="array" ref="L5939">_xlfn.IFS(
 AND(K5939&gt;=89,K5939&lt;=92),"3개월",
 AND(K5939&gt;=58,K5939&lt;=62),"2개월",
 AND(K5939&gt;=28,K5939&lt;=32),"1개월",
 AND(K5939=0),"당월",
 TRUE,"그외"
)</f>
        <v>3개월</v>
      </c>
    </row>
    <row r="5940" spans="1:12" x14ac:dyDescent="0.3">
      <c r="A5940" s="5">
        <v>45717</v>
      </c>
      <c r="B5940" s="6" t="s">
        <v>84</v>
      </c>
      <c r="C5940" s="6" t="s">
        <v>87</v>
      </c>
      <c r="D5940" s="5">
        <v>45658</v>
      </c>
      <c r="E5940" s="6" t="s">
        <v>15</v>
      </c>
      <c r="F5940" s="7">
        <v>789</v>
      </c>
      <c r="G5940" s="7">
        <v>409177.74651457538</v>
      </c>
      <c r="H5940" s="7">
        <v>322841242</v>
      </c>
      <c r="I5940" s="7">
        <v>82416817</v>
      </c>
      <c r="J5940" s="7">
        <v>0</v>
      </c>
      <c r="K5940">
        <f t="shared" si="92"/>
        <v>59</v>
      </c>
      <c r="L5940" s="8" t="str" cm="1">
        <f t="array" ref="L5940">_xlfn.IFS(
 AND(K5940&gt;=89,K5940&lt;=92),"3개월",
 AND(K5940&gt;=58,K5940&lt;=62),"2개월",
 AND(K5940&gt;=28,K5940&lt;=32),"1개월",
 AND(K5940=0),"당월",
 TRUE,"그외"
)</f>
        <v>2개월</v>
      </c>
    </row>
    <row r="5941" spans="1:12" x14ac:dyDescent="0.3">
      <c r="A5941" s="5">
        <v>45717</v>
      </c>
      <c r="B5941" s="6" t="s">
        <v>84</v>
      </c>
      <c r="C5941" s="6" t="s">
        <v>87</v>
      </c>
      <c r="D5941" s="5">
        <v>45689</v>
      </c>
      <c r="E5941" s="6" t="s">
        <v>14</v>
      </c>
      <c r="F5941" s="7">
        <v>703</v>
      </c>
      <c r="G5941" s="7">
        <v>300094.87908961589</v>
      </c>
      <c r="H5941" s="7">
        <v>210966700</v>
      </c>
      <c r="I5941" s="7">
        <v>55466700</v>
      </c>
      <c r="J5941" s="7">
        <v>0</v>
      </c>
      <c r="K5941">
        <f t="shared" si="92"/>
        <v>28</v>
      </c>
      <c r="L5941" s="8" t="str" cm="1">
        <f t="array" ref="L5941">_xlfn.IFS(
 AND(K5941&gt;=89,K5941&lt;=92),"3개월",
 AND(K5941&gt;=58,K5941&lt;=62),"2개월",
 AND(K5941&gt;=28,K5941&lt;=32),"1개월",
 AND(K5941=0),"당월",
 TRUE,"그외"
)</f>
        <v>1개월</v>
      </c>
    </row>
    <row r="5942" spans="1:12" x14ac:dyDescent="0.3">
      <c r="A5942" s="5">
        <v>45717</v>
      </c>
      <c r="B5942" s="6" t="s">
        <v>84</v>
      </c>
      <c r="C5942" s="6" t="s">
        <v>87</v>
      </c>
      <c r="D5942" s="5">
        <v>45689</v>
      </c>
      <c r="E5942" s="6" t="s">
        <v>15</v>
      </c>
      <c r="F5942" s="7">
        <v>1245</v>
      </c>
      <c r="G5942" s="7">
        <v>436889.19759036152</v>
      </c>
      <c r="H5942" s="7">
        <v>543927051</v>
      </c>
      <c r="I5942" s="7">
        <v>129029220</v>
      </c>
      <c r="J5942" s="7">
        <v>0</v>
      </c>
      <c r="K5942">
        <f t="shared" si="92"/>
        <v>28</v>
      </c>
      <c r="L5942" s="8" t="str" cm="1">
        <f t="array" ref="L5942">_xlfn.IFS(
 AND(K5942&gt;=89,K5942&lt;=92),"3개월",
 AND(K5942&gt;=58,K5942&lt;=62),"2개월",
 AND(K5942&gt;=28,K5942&lt;=32),"1개월",
 AND(K5942=0),"당월",
 TRUE,"그외"
)</f>
        <v>1개월</v>
      </c>
    </row>
    <row r="5943" spans="1:12" x14ac:dyDescent="0.3">
      <c r="A5943" s="5">
        <v>45717</v>
      </c>
      <c r="B5943" s="6" t="s">
        <v>84</v>
      </c>
      <c r="C5943" s="6" t="s">
        <v>87</v>
      </c>
      <c r="D5943" s="5">
        <v>45717</v>
      </c>
      <c r="E5943" s="6" t="s">
        <v>14</v>
      </c>
      <c r="F5943" s="7">
        <v>814</v>
      </c>
      <c r="G5943" s="7">
        <v>316148.414004914</v>
      </c>
      <c r="H5943" s="7">
        <v>257344809</v>
      </c>
      <c r="I5943" s="7">
        <v>72934400</v>
      </c>
      <c r="J5943" s="7">
        <v>0</v>
      </c>
      <c r="K5943">
        <f t="shared" si="92"/>
        <v>0</v>
      </c>
      <c r="L5943" s="8" t="str" cm="1">
        <f t="array" ref="L5943">_xlfn.IFS(
 AND(K5943&gt;=89,K5943&lt;=92),"3개월",
 AND(K5943&gt;=58,K5943&lt;=62),"2개월",
 AND(K5943&gt;=28,K5943&lt;=32),"1개월",
 AND(K5943=0),"당월",
 TRUE,"그외"
)</f>
        <v>당월</v>
      </c>
    </row>
    <row r="5944" spans="1:12" x14ac:dyDescent="0.3">
      <c r="A5944" s="5">
        <v>45717</v>
      </c>
      <c r="B5944" s="6" t="s">
        <v>84</v>
      </c>
      <c r="C5944" s="6" t="s">
        <v>87</v>
      </c>
      <c r="D5944" s="5">
        <v>45717</v>
      </c>
      <c r="E5944" s="6" t="s">
        <v>15</v>
      </c>
      <c r="F5944" s="7">
        <v>1055</v>
      </c>
      <c r="G5944" s="7">
        <v>481870.8805687204</v>
      </c>
      <c r="H5944" s="7">
        <v>508373779</v>
      </c>
      <c r="I5944" s="7">
        <v>114920469</v>
      </c>
      <c r="J5944" s="7">
        <v>0</v>
      </c>
      <c r="K5944">
        <f t="shared" si="92"/>
        <v>0</v>
      </c>
      <c r="L5944" s="8" t="str" cm="1">
        <f t="array" ref="L5944">_xlfn.IFS(
 AND(K5944&gt;=89,K5944&lt;=92),"3개월",
 AND(K5944&gt;=58,K5944&lt;=62),"2개월",
 AND(K5944&gt;=28,K5944&lt;=32),"1개월",
 AND(K5944=0),"당월",
 TRUE,"그외"
)</f>
        <v>당월</v>
      </c>
    </row>
    <row r="5945" spans="1:12" x14ac:dyDescent="0.3">
      <c r="A5945" s="5">
        <v>45717</v>
      </c>
      <c r="B5945" s="6" t="s">
        <v>84</v>
      </c>
      <c r="C5945" s="6" t="s">
        <v>88</v>
      </c>
      <c r="D5945" s="5">
        <v>45505</v>
      </c>
      <c r="E5945" s="6" t="s">
        <v>15</v>
      </c>
      <c r="F5945" s="7">
        <v>196</v>
      </c>
      <c r="G5945" s="7">
        <v>394922.85204081627</v>
      </c>
      <c r="H5945" s="7">
        <v>77404879</v>
      </c>
      <c r="I5945" s="7">
        <v>20458680</v>
      </c>
      <c r="J5945" s="7">
        <v>0</v>
      </c>
      <c r="K5945">
        <f t="shared" si="92"/>
        <v>212</v>
      </c>
      <c r="L5945" s="8" t="str" cm="1">
        <f t="array" ref="L5945">_xlfn.IFS(
 AND(K5945&gt;=89,K5945&lt;=92),"3개월",
 AND(K5945&gt;=58,K5945&lt;=62),"2개월",
 AND(K5945&gt;=28,K5945&lt;=32),"1개월",
 AND(K5945=0),"당월",
 TRUE,"그외"
)</f>
        <v>그외</v>
      </c>
    </row>
    <row r="5946" spans="1:12" x14ac:dyDescent="0.3">
      <c r="A5946" s="5">
        <v>45717</v>
      </c>
      <c r="B5946" s="6" t="s">
        <v>84</v>
      </c>
      <c r="C5946" s="6" t="s">
        <v>88</v>
      </c>
      <c r="D5946" s="5">
        <v>45536</v>
      </c>
      <c r="E5946" s="6" t="s">
        <v>15</v>
      </c>
      <c r="F5946" s="7">
        <v>247</v>
      </c>
      <c r="G5946" s="7">
        <v>454231.96761133597</v>
      </c>
      <c r="H5946" s="7">
        <v>112195296</v>
      </c>
      <c r="I5946" s="7">
        <v>25029648</v>
      </c>
      <c r="J5946" s="7">
        <v>0</v>
      </c>
      <c r="K5946">
        <f t="shared" si="92"/>
        <v>181</v>
      </c>
      <c r="L5946" s="8" t="str" cm="1">
        <f t="array" ref="L5946">_xlfn.IFS(
 AND(K5946&gt;=89,K5946&lt;=92),"3개월",
 AND(K5946&gt;=58,K5946&lt;=62),"2개월",
 AND(K5946&gt;=28,K5946&lt;=32),"1개월",
 AND(K5946=0),"당월",
 TRUE,"그외"
)</f>
        <v>그외</v>
      </c>
    </row>
    <row r="5947" spans="1:12" x14ac:dyDescent="0.3">
      <c r="A5947" s="5">
        <v>45717</v>
      </c>
      <c r="B5947" s="6" t="s">
        <v>84</v>
      </c>
      <c r="C5947" s="6" t="s">
        <v>88</v>
      </c>
      <c r="D5947" s="5">
        <v>45566</v>
      </c>
      <c r="E5947" s="6" t="s">
        <v>15</v>
      </c>
      <c r="F5947" s="7">
        <v>541</v>
      </c>
      <c r="G5947" s="7">
        <v>422119.41774491681</v>
      </c>
      <c r="H5947" s="7">
        <v>228366605</v>
      </c>
      <c r="I5947" s="7">
        <v>43588885</v>
      </c>
      <c r="J5947" s="7">
        <v>0</v>
      </c>
      <c r="K5947">
        <f t="shared" si="92"/>
        <v>151</v>
      </c>
      <c r="L5947" s="8" t="str" cm="1">
        <f t="array" ref="L5947">_xlfn.IFS(
 AND(K5947&gt;=89,K5947&lt;=92),"3개월",
 AND(K5947&gt;=58,K5947&lt;=62),"2개월",
 AND(K5947&gt;=28,K5947&lt;=32),"1개월",
 AND(K5947=0),"당월",
 TRUE,"그외"
)</f>
        <v>그외</v>
      </c>
    </row>
    <row r="5948" spans="1:12" x14ac:dyDescent="0.3">
      <c r="A5948" s="5">
        <v>45717</v>
      </c>
      <c r="B5948" s="6" t="s">
        <v>84</v>
      </c>
      <c r="C5948" s="6" t="s">
        <v>88</v>
      </c>
      <c r="D5948" s="5">
        <v>45597</v>
      </c>
      <c r="E5948" s="6" t="s">
        <v>15</v>
      </c>
      <c r="F5948" s="7">
        <v>746</v>
      </c>
      <c r="G5948" s="7">
        <v>434311.02815013402</v>
      </c>
      <c r="H5948" s="7">
        <v>323996027</v>
      </c>
      <c r="I5948" s="7">
        <v>59210225</v>
      </c>
      <c r="J5948" s="7">
        <v>0</v>
      </c>
      <c r="K5948">
        <f t="shared" si="92"/>
        <v>120</v>
      </c>
      <c r="L5948" s="8" t="str" cm="1">
        <f t="array" ref="L5948">_xlfn.IFS(
 AND(K5948&gt;=89,K5948&lt;=92),"3개월",
 AND(K5948&gt;=58,K5948&lt;=62),"2개월",
 AND(K5948&gt;=28,K5948&lt;=32),"1개월",
 AND(K5948=0),"당월",
 TRUE,"그외"
)</f>
        <v>그외</v>
      </c>
    </row>
    <row r="5949" spans="1:12" x14ac:dyDescent="0.3">
      <c r="A5949" s="5">
        <v>45717</v>
      </c>
      <c r="B5949" s="6" t="s">
        <v>84</v>
      </c>
      <c r="C5949" s="6" t="s">
        <v>88</v>
      </c>
      <c r="D5949" s="5">
        <v>45627</v>
      </c>
      <c r="E5949" s="6" t="s">
        <v>14</v>
      </c>
      <c r="F5949" s="7">
        <v>2</v>
      </c>
      <c r="G5949" s="7">
        <v>433759</v>
      </c>
      <c r="H5949" s="7">
        <v>867518</v>
      </c>
      <c r="I5949" s="7">
        <v>149600</v>
      </c>
      <c r="J5949" s="7">
        <v>0</v>
      </c>
      <c r="K5949">
        <f t="shared" si="92"/>
        <v>90</v>
      </c>
      <c r="L5949" s="8" t="str" cm="1">
        <f t="array" ref="L5949">_xlfn.IFS(
 AND(K5949&gt;=89,K5949&lt;=92),"3개월",
 AND(K5949&gt;=58,K5949&lt;=62),"2개월",
 AND(K5949&gt;=28,K5949&lt;=32),"1개월",
 AND(K5949=0),"당월",
 TRUE,"그외"
)</f>
        <v>3개월</v>
      </c>
    </row>
    <row r="5950" spans="1:12" x14ac:dyDescent="0.3">
      <c r="A5950" s="5">
        <v>45717</v>
      </c>
      <c r="B5950" s="6" t="s">
        <v>84</v>
      </c>
      <c r="C5950" s="6" t="s">
        <v>88</v>
      </c>
      <c r="D5950" s="5">
        <v>45627</v>
      </c>
      <c r="E5950" s="6" t="s">
        <v>15</v>
      </c>
      <c r="F5950" s="7">
        <v>707</v>
      </c>
      <c r="G5950" s="7">
        <v>435747.8727015559</v>
      </c>
      <c r="H5950" s="7">
        <v>308073746</v>
      </c>
      <c r="I5950" s="7">
        <v>64890821</v>
      </c>
      <c r="J5950" s="7">
        <v>0</v>
      </c>
      <c r="K5950">
        <f t="shared" si="92"/>
        <v>90</v>
      </c>
      <c r="L5950" s="8" t="str" cm="1">
        <f t="array" ref="L5950">_xlfn.IFS(
 AND(K5950&gt;=89,K5950&lt;=92),"3개월",
 AND(K5950&gt;=58,K5950&lt;=62),"2개월",
 AND(K5950&gt;=28,K5950&lt;=32),"1개월",
 AND(K5950=0),"당월",
 TRUE,"그외"
)</f>
        <v>3개월</v>
      </c>
    </row>
    <row r="5951" spans="1:12" x14ac:dyDescent="0.3">
      <c r="A5951" s="5">
        <v>45717</v>
      </c>
      <c r="B5951" s="6" t="s">
        <v>84</v>
      </c>
      <c r="C5951" s="6" t="s">
        <v>88</v>
      </c>
      <c r="D5951" s="5">
        <v>45658</v>
      </c>
      <c r="E5951" s="6" t="s">
        <v>15</v>
      </c>
      <c r="F5951" s="7">
        <v>825</v>
      </c>
      <c r="G5951" s="7">
        <v>468455.90909090912</v>
      </c>
      <c r="H5951" s="7">
        <v>386476125</v>
      </c>
      <c r="I5951" s="7">
        <v>80514124</v>
      </c>
      <c r="J5951" s="7">
        <v>0</v>
      </c>
      <c r="K5951">
        <f t="shared" si="92"/>
        <v>59</v>
      </c>
      <c r="L5951" s="8" t="str" cm="1">
        <f t="array" ref="L5951">_xlfn.IFS(
 AND(K5951&gt;=89,K5951&lt;=92),"3개월",
 AND(K5951&gt;=58,K5951&lt;=62),"2개월",
 AND(K5951&gt;=28,K5951&lt;=32),"1개월",
 AND(K5951=0),"당월",
 TRUE,"그외"
)</f>
        <v>2개월</v>
      </c>
    </row>
    <row r="5952" spans="1:12" x14ac:dyDescent="0.3">
      <c r="A5952" s="5">
        <v>45717</v>
      </c>
      <c r="B5952" s="6" t="s">
        <v>84</v>
      </c>
      <c r="C5952" s="6" t="s">
        <v>88</v>
      </c>
      <c r="D5952" s="5">
        <v>45689</v>
      </c>
      <c r="E5952" s="6" t="s">
        <v>14</v>
      </c>
      <c r="F5952" s="7">
        <v>339</v>
      </c>
      <c r="G5952" s="7">
        <v>424676.75221238937</v>
      </c>
      <c r="H5952" s="7">
        <v>143965419</v>
      </c>
      <c r="I5952" s="7">
        <v>26747100</v>
      </c>
      <c r="J5952" s="7">
        <v>0</v>
      </c>
      <c r="K5952">
        <f t="shared" si="92"/>
        <v>28</v>
      </c>
      <c r="L5952" s="8" t="str" cm="1">
        <f t="array" ref="L5952">_xlfn.IFS(
 AND(K5952&gt;=89,K5952&lt;=92),"3개월",
 AND(K5952&gt;=58,K5952&lt;=62),"2개월",
 AND(K5952&gt;=28,K5952&lt;=32),"1개월",
 AND(K5952=0),"당월",
 TRUE,"그외"
)</f>
        <v>1개월</v>
      </c>
    </row>
    <row r="5953" spans="1:12" x14ac:dyDescent="0.3">
      <c r="A5953" s="5">
        <v>45717</v>
      </c>
      <c r="B5953" s="6" t="s">
        <v>84</v>
      </c>
      <c r="C5953" s="6" t="s">
        <v>88</v>
      </c>
      <c r="D5953" s="5">
        <v>45689</v>
      </c>
      <c r="E5953" s="6" t="s">
        <v>15</v>
      </c>
      <c r="F5953" s="7">
        <v>2011</v>
      </c>
      <c r="G5953" s="7">
        <v>455841.66832421679</v>
      </c>
      <c r="H5953" s="7">
        <v>916697595</v>
      </c>
      <c r="I5953" s="7">
        <v>190098991</v>
      </c>
      <c r="J5953" s="7">
        <v>0</v>
      </c>
      <c r="K5953">
        <f t="shared" si="92"/>
        <v>28</v>
      </c>
      <c r="L5953" s="8" t="str" cm="1">
        <f t="array" ref="L5953">_xlfn.IFS(
 AND(K5953&gt;=89,K5953&lt;=92),"3개월",
 AND(K5953&gt;=58,K5953&lt;=62),"2개월",
 AND(K5953&gt;=28,K5953&lt;=32),"1개월",
 AND(K5953=0),"당월",
 TRUE,"그외"
)</f>
        <v>1개월</v>
      </c>
    </row>
    <row r="5954" spans="1:12" x14ac:dyDescent="0.3">
      <c r="A5954" s="5">
        <v>45717</v>
      </c>
      <c r="B5954" s="6" t="s">
        <v>84</v>
      </c>
      <c r="C5954" s="6" t="s">
        <v>88</v>
      </c>
      <c r="D5954" s="5">
        <v>45717</v>
      </c>
      <c r="E5954" s="6" t="s">
        <v>14</v>
      </c>
      <c r="F5954" s="7">
        <v>232</v>
      </c>
      <c r="G5954" s="7">
        <v>418912.31896551722</v>
      </c>
      <c r="H5954" s="7">
        <v>97187658</v>
      </c>
      <c r="I5954" s="7">
        <v>20787200</v>
      </c>
      <c r="J5954" s="7">
        <v>0</v>
      </c>
      <c r="K5954">
        <f t="shared" si="92"/>
        <v>0</v>
      </c>
      <c r="L5954" s="8" t="str" cm="1">
        <f t="array" ref="L5954">_xlfn.IFS(
 AND(K5954&gt;=89,K5954&lt;=92),"3개월",
 AND(K5954&gt;=58,K5954&lt;=62),"2개월",
 AND(K5954&gt;=28,K5954&lt;=32),"1개월",
 AND(K5954=0),"당월",
 TRUE,"그외"
)</f>
        <v>당월</v>
      </c>
    </row>
    <row r="5955" spans="1:12" x14ac:dyDescent="0.3">
      <c r="A5955" s="5">
        <v>45717</v>
      </c>
      <c r="B5955" s="6" t="s">
        <v>84</v>
      </c>
      <c r="C5955" s="6" t="s">
        <v>88</v>
      </c>
      <c r="D5955" s="5">
        <v>45717</v>
      </c>
      <c r="E5955" s="6" t="s">
        <v>15</v>
      </c>
      <c r="F5955" s="7">
        <v>2250</v>
      </c>
      <c r="G5955" s="7">
        <v>421119.7111111111</v>
      </c>
      <c r="H5955" s="7">
        <v>947519350</v>
      </c>
      <c r="I5955" s="7">
        <v>245902883</v>
      </c>
      <c r="J5955" s="7">
        <v>0</v>
      </c>
      <c r="K5955">
        <f t="shared" si="92"/>
        <v>0</v>
      </c>
      <c r="L5955" s="8" t="str" cm="1">
        <f t="array" ref="L5955">_xlfn.IFS(
 AND(K5955&gt;=89,K5955&lt;=92),"3개월",
 AND(K5955&gt;=58,K5955&lt;=62),"2개월",
 AND(K5955&gt;=28,K5955&lt;=32),"1개월",
 AND(K5955=0),"당월",
 TRUE,"그외"
)</f>
        <v>당월</v>
      </c>
    </row>
    <row r="5956" spans="1:12" x14ac:dyDescent="0.3">
      <c r="A5956" s="5">
        <v>45717</v>
      </c>
      <c r="B5956" s="6" t="s">
        <v>84</v>
      </c>
      <c r="C5956" s="6" t="s">
        <v>88</v>
      </c>
      <c r="D5956" s="5">
        <v>45748</v>
      </c>
      <c r="E5956" s="6" t="s">
        <v>15</v>
      </c>
      <c r="F5956" s="7">
        <v>2</v>
      </c>
      <c r="G5956" s="7">
        <v>174664</v>
      </c>
      <c r="H5956" s="7">
        <v>349328</v>
      </c>
      <c r="I5956" s="7">
        <v>0</v>
      </c>
      <c r="J5956" s="7">
        <v>0</v>
      </c>
      <c r="K5956">
        <f t="shared" si="92"/>
        <v>-31</v>
      </c>
      <c r="L5956" s="8" t="str" cm="1">
        <f t="array" ref="L5956">_xlfn.IFS(
 AND(K5956&gt;=89,K5956&lt;=92),"3개월",
 AND(K5956&gt;=58,K5956&lt;=62),"2개월",
 AND(K5956&gt;=28,K5956&lt;=32),"1개월",
 AND(K5956=0),"당월",
 TRUE,"그외"
)</f>
        <v>그외</v>
      </c>
    </row>
    <row r="5957" spans="1:12" x14ac:dyDescent="0.3">
      <c r="A5957" s="5">
        <v>45748</v>
      </c>
      <c r="B5957" s="6" t="s">
        <v>12</v>
      </c>
      <c r="C5957" s="6" t="s">
        <v>13</v>
      </c>
      <c r="D5957" s="5">
        <v>45658</v>
      </c>
      <c r="E5957" s="6" t="s">
        <v>14</v>
      </c>
      <c r="F5957" s="7">
        <v>104</v>
      </c>
      <c r="G5957" s="7">
        <v>104101.7884615385</v>
      </c>
      <c r="H5957" s="7">
        <v>10826586</v>
      </c>
      <c r="I5957" s="7">
        <v>915200</v>
      </c>
      <c r="J5957" s="7">
        <v>83200</v>
      </c>
      <c r="K5957">
        <f t="shared" si="92"/>
        <v>90</v>
      </c>
      <c r="L5957" s="8" t="str" cm="1">
        <f t="array" ref="L5957">_xlfn.IFS(
 AND(K5957&gt;=89,K5957&lt;=92),"3개월",
 AND(K5957&gt;=58,K5957&lt;=62),"2개월",
 AND(K5957&gt;=28,K5957&lt;=32),"1개월",
 AND(K5957=0),"당월",
 TRUE,"그외"
)</f>
        <v>3개월</v>
      </c>
    </row>
    <row r="5958" spans="1:12" x14ac:dyDescent="0.3">
      <c r="A5958" s="5">
        <v>45748</v>
      </c>
      <c r="B5958" s="6" t="s">
        <v>12</v>
      </c>
      <c r="C5958" s="6" t="s">
        <v>13</v>
      </c>
      <c r="D5958" s="5">
        <v>45658</v>
      </c>
      <c r="E5958" s="6" t="s">
        <v>15</v>
      </c>
      <c r="F5958" s="7">
        <v>11890</v>
      </c>
      <c r="G5958" s="7">
        <v>56011.096467619849</v>
      </c>
      <c r="H5958" s="7">
        <v>665971937</v>
      </c>
      <c r="I5958" s="7">
        <v>104447200</v>
      </c>
      <c r="J5958" s="7">
        <v>9495200</v>
      </c>
      <c r="K5958">
        <f t="shared" si="92"/>
        <v>90</v>
      </c>
      <c r="L5958" s="8" t="str" cm="1">
        <f t="array" ref="L5958">_xlfn.IFS(
 AND(K5958&gt;=89,K5958&lt;=92),"3개월",
 AND(K5958&gt;=58,K5958&lt;=62),"2개월",
 AND(K5958&gt;=28,K5958&lt;=32),"1개월",
 AND(K5958=0),"당월",
 TRUE,"그외"
)</f>
        <v>3개월</v>
      </c>
    </row>
    <row r="5959" spans="1:12" x14ac:dyDescent="0.3">
      <c r="A5959" s="5">
        <v>45748</v>
      </c>
      <c r="B5959" s="6" t="s">
        <v>12</v>
      </c>
      <c r="C5959" s="6" t="s">
        <v>13</v>
      </c>
      <c r="D5959" s="5">
        <v>45689</v>
      </c>
      <c r="E5959" s="6" t="s">
        <v>14</v>
      </c>
      <c r="F5959" s="7">
        <v>1154</v>
      </c>
      <c r="G5959" s="7">
        <v>75978.214904679378</v>
      </c>
      <c r="H5959" s="7">
        <v>87678860</v>
      </c>
      <c r="I5959" s="7">
        <v>10155200</v>
      </c>
      <c r="J5959" s="7">
        <v>923200</v>
      </c>
      <c r="K5959">
        <f t="shared" si="92"/>
        <v>59</v>
      </c>
      <c r="L5959" s="8" t="str" cm="1">
        <f t="array" ref="L5959">_xlfn.IFS(
 AND(K5959&gt;=89,K5959&lt;=92),"3개월",
 AND(K5959&gt;=58,K5959&lt;=62),"2개월",
 AND(K5959&gt;=28,K5959&lt;=32),"1개월",
 AND(K5959=0),"당월",
 TRUE,"그외"
)</f>
        <v>2개월</v>
      </c>
    </row>
    <row r="5960" spans="1:12" x14ac:dyDescent="0.3">
      <c r="A5960" s="5">
        <v>45748</v>
      </c>
      <c r="B5960" s="6" t="s">
        <v>12</v>
      </c>
      <c r="C5960" s="6" t="s">
        <v>13</v>
      </c>
      <c r="D5960" s="5">
        <v>45689</v>
      </c>
      <c r="E5960" s="6" t="s">
        <v>15</v>
      </c>
      <c r="F5960" s="7">
        <v>18262</v>
      </c>
      <c r="G5960" s="7">
        <v>64470.654638046217</v>
      </c>
      <c r="H5960" s="7">
        <v>1177363095</v>
      </c>
      <c r="I5960" s="7">
        <v>159474700</v>
      </c>
      <c r="J5960" s="7">
        <v>14497700</v>
      </c>
      <c r="K5960">
        <f t="shared" si="92"/>
        <v>59</v>
      </c>
      <c r="L5960" s="8" t="str" cm="1">
        <f t="array" ref="L5960">_xlfn.IFS(
 AND(K5960&gt;=89,K5960&lt;=92),"3개월",
 AND(K5960&gt;=58,K5960&lt;=62),"2개월",
 AND(K5960&gt;=28,K5960&lt;=32),"1개월",
 AND(K5960=0),"당월",
 TRUE,"그외"
)</f>
        <v>2개월</v>
      </c>
    </row>
    <row r="5961" spans="1:12" x14ac:dyDescent="0.3">
      <c r="A5961" s="5">
        <v>45748</v>
      </c>
      <c r="B5961" s="6" t="s">
        <v>12</v>
      </c>
      <c r="C5961" s="6" t="s">
        <v>13</v>
      </c>
      <c r="D5961" s="5">
        <v>45717</v>
      </c>
      <c r="E5961" s="6" t="s">
        <v>14</v>
      </c>
      <c r="F5961" s="7">
        <v>4516</v>
      </c>
      <c r="G5961" s="7">
        <v>74122.313994685566</v>
      </c>
      <c r="H5961" s="7">
        <v>334736370</v>
      </c>
      <c r="I5961" s="7">
        <v>49649600</v>
      </c>
      <c r="J5961" s="7">
        <v>4513600</v>
      </c>
      <c r="K5961">
        <f t="shared" si="92"/>
        <v>31</v>
      </c>
      <c r="L5961" s="8" t="str" cm="1">
        <f t="array" ref="L5961">_xlfn.IFS(
 AND(K5961&gt;=89,K5961&lt;=92),"3개월",
 AND(K5961&gt;=58,K5961&lt;=62),"2개월",
 AND(K5961&gt;=28,K5961&lt;=32),"1개월",
 AND(K5961=0),"당월",
 TRUE,"그외"
)</f>
        <v>1개월</v>
      </c>
    </row>
    <row r="5962" spans="1:12" x14ac:dyDescent="0.3">
      <c r="A5962" s="5">
        <v>45748</v>
      </c>
      <c r="B5962" s="6" t="s">
        <v>12</v>
      </c>
      <c r="C5962" s="6" t="s">
        <v>13</v>
      </c>
      <c r="D5962" s="5">
        <v>45717</v>
      </c>
      <c r="E5962" s="6" t="s">
        <v>15</v>
      </c>
      <c r="F5962" s="7">
        <v>44327</v>
      </c>
      <c r="G5962" s="7">
        <v>56992.964085094864</v>
      </c>
      <c r="H5962" s="7">
        <v>2526327119</v>
      </c>
      <c r="I5962" s="7">
        <v>482192200</v>
      </c>
      <c r="J5962" s="7">
        <v>43835653</v>
      </c>
      <c r="K5962">
        <f t="shared" ref="K5962:K6025" si="93">A5962-D5962</f>
        <v>31</v>
      </c>
      <c r="L5962" s="8" t="str" cm="1">
        <f t="array" ref="L5962">_xlfn.IFS(
 AND(K5962&gt;=89,K5962&lt;=92),"3개월",
 AND(K5962&gt;=58,K5962&lt;=62),"2개월",
 AND(K5962&gt;=28,K5962&lt;=32),"1개월",
 AND(K5962=0),"당월",
 TRUE,"그외"
)</f>
        <v>1개월</v>
      </c>
    </row>
    <row r="5963" spans="1:12" x14ac:dyDescent="0.3">
      <c r="A5963" s="5">
        <v>45748</v>
      </c>
      <c r="B5963" s="6" t="s">
        <v>12</v>
      </c>
      <c r="C5963" s="6" t="s">
        <v>13</v>
      </c>
      <c r="D5963" s="5">
        <v>45748</v>
      </c>
      <c r="E5963" s="6" t="s">
        <v>14</v>
      </c>
      <c r="F5963" s="7">
        <v>1736</v>
      </c>
      <c r="G5963" s="7">
        <v>67576.191820276494</v>
      </c>
      <c r="H5963" s="7">
        <v>117312269</v>
      </c>
      <c r="I5963" s="7">
        <v>15312000</v>
      </c>
      <c r="J5963" s="7">
        <v>1392000</v>
      </c>
      <c r="K5963">
        <f t="shared" si="93"/>
        <v>0</v>
      </c>
      <c r="L5963" s="8" t="str" cm="1">
        <f t="array" ref="L5963">_xlfn.IFS(
 AND(K5963&gt;=89,K5963&lt;=92),"3개월",
 AND(K5963&gt;=58,K5963&lt;=62),"2개월",
 AND(K5963&gt;=28,K5963&lt;=32),"1개월",
 AND(K5963=0),"당월",
 TRUE,"그외"
)</f>
        <v>당월</v>
      </c>
    </row>
    <row r="5964" spans="1:12" x14ac:dyDescent="0.3">
      <c r="A5964" s="5">
        <v>45748</v>
      </c>
      <c r="B5964" s="6" t="s">
        <v>12</v>
      </c>
      <c r="C5964" s="6" t="s">
        <v>13</v>
      </c>
      <c r="D5964" s="5">
        <v>45748</v>
      </c>
      <c r="E5964" s="6" t="s">
        <v>15</v>
      </c>
      <c r="F5964" s="7">
        <v>71837</v>
      </c>
      <c r="G5964" s="7">
        <v>43467.570833971353</v>
      </c>
      <c r="H5964" s="7">
        <v>3122579886</v>
      </c>
      <c r="I5964" s="7">
        <v>627244700</v>
      </c>
      <c r="J5964" s="7">
        <v>57022245</v>
      </c>
      <c r="K5964">
        <f t="shared" si="93"/>
        <v>0</v>
      </c>
      <c r="L5964" s="8" t="str" cm="1">
        <f t="array" ref="L5964">_xlfn.IFS(
 AND(K5964&gt;=89,K5964&lt;=92),"3개월",
 AND(K5964&gt;=58,K5964&lt;=62),"2개월",
 AND(K5964&gt;=28,K5964&lt;=32),"1개월",
 AND(K5964=0),"당월",
 TRUE,"그외"
)</f>
        <v>당월</v>
      </c>
    </row>
    <row r="5965" spans="1:12" x14ac:dyDescent="0.3">
      <c r="A5965" s="5">
        <v>45748</v>
      </c>
      <c r="B5965" s="6" t="s">
        <v>12</v>
      </c>
      <c r="C5965" s="6" t="s">
        <v>16</v>
      </c>
      <c r="D5965" s="5">
        <v>45658</v>
      </c>
      <c r="E5965" s="6" t="s">
        <v>14</v>
      </c>
      <c r="F5965" s="7">
        <v>214</v>
      </c>
      <c r="G5965" s="7">
        <v>80528.331775700935</v>
      </c>
      <c r="H5965" s="7">
        <v>17233063</v>
      </c>
      <c r="I5965" s="7">
        <v>1883200</v>
      </c>
      <c r="J5965" s="7">
        <v>171200</v>
      </c>
      <c r="K5965">
        <f t="shared" si="93"/>
        <v>90</v>
      </c>
      <c r="L5965" s="8" t="str" cm="1">
        <f t="array" ref="L5965">_xlfn.IFS(
 AND(K5965&gt;=89,K5965&lt;=92),"3개월",
 AND(K5965&gt;=58,K5965&lt;=62),"2개월",
 AND(K5965&gt;=28,K5965&lt;=32),"1개월",
 AND(K5965=0),"당월",
 TRUE,"그외"
)</f>
        <v>3개월</v>
      </c>
    </row>
    <row r="5966" spans="1:12" x14ac:dyDescent="0.3">
      <c r="A5966" s="5">
        <v>45748</v>
      </c>
      <c r="B5966" s="6" t="s">
        <v>12</v>
      </c>
      <c r="C5966" s="6" t="s">
        <v>16</v>
      </c>
      <c r="D5966" s="5">
        <v>45658</v>
      </c>
      <c r="E5966" s="6" t="s">
        <v>15</v>
      </c>
      <c r="F5966" s="7">
        <v>2893</v>
      </c>
      <c r="G5966" s="7">
        <v>78269.974766678191</v>
      </c>
      <c r="H5966" s="7">
        <v>226435037</v>
      </c>
      <c r="I5966" s="7">
        <v>25422436</v>
      </c>
      <c r="J5966" s="7">
        <v>2304000</v>
      </c>
      <c r="K5966">
        <f t="shared" si="93"/>
        <v>90</v>
      </c>
      <c r="L5966" s="8" t="str" cm="1">
        <f t="array" ref="L5966">_xlfn.IFS(
 AND(K5966&gt;=89,K5966&lt;=92),"3개월",
 AND(K5966&gt;=58,K5966&lt;=62),"2개월",
 AND(K5966&gt;=28,K5966&lt;=32),"1개월",
 AND(K5966=0),"당월",
 TRUE,"그외"
)</f>
        <v>3개월</v>
      </c>
    </row>
    <row r="5967" spans="1:12" x14ac:dyDescent="0.3">
      <c r="A5967" s="5">
        <v>45748</v>
      </c>
      <c r="B5967" s="6" t="s">
        <v>12</v>
      </c>
      <c r="C5967" s="6" t="s">
        <v>16</v>
      </c>
      <c r="D5967" s="5">
        <v>45689</v>
      </c>
      <c r="E5967" s="6" t="s">
        <v>14</v>
      </c>
      <c r="F5967" s="7">
        <v>844</v>
      </c>
      <c r="G5967" s="7">
        <v>81043.659952606642</v>
      </c>
      <c r="H5967" s="7">
        <v>68400849</v>
      </c>
      <c r="I5967" s="7">
        <v>7427200</v>
      </c>
      <c r="J5967" s="7">
        <v>675200</v>
      </c>
      <c r="K5967">
        <f t="shared" si="93"/>
        <v>59</v>
      </c>
      <c r="L5967" s="8" t="str" cm="1">
        <f t="array" ref="L5967">_xlfn.IFS(
 AND(K5967&gt;=89,K5967&lt;=92),"3개월",
 AND(K5967&gt;=58,K5967&lt;=62),"2개월",
 AND(K5967&gt;=28,K5967&lt;=32),"1개월",
 AND(K5967=0),"당월",
 TRUE,"그외"
)</f>
        <v>2개월</v>
      </c>
    </row>
    <row r="5968" spans="1:12" x14ac:dyDescent="0.3">
      <c r="A5968" s="5">
        <v>45748</v>
      </c>
      <c r="B5968" s="6" t="s">
        <v>12</v>
      </c>
      <c r="C5968" s="6" t="s">
        <v>16</v>
      </c>
      <c r="D5968" s="5">
        <v>45689</v>
      </c>
      <c r="E5968" s="6" t="s">
        <v>15</v>
      </c>
      <c r="F5968" s="7">
        <v>6450</v>
      </c>
      <c r="G5968" s="7">
        <v>69870.65379844961</v>
      </c>
      <c r="H5968" s="7">
        <v>450665717</v>
      </c>
      <c r="I5968" s="7">
        <v>56663200</v>
      </c>
      <c r="J5968" s="7">
        <v>5151200</v>
      </c>
      <c r="K5968">
        <f t="shared" si="93"/>
        <v>59</v>
      </c>
      <c r="L5968" s="8" t="str" cm="1">
        <f t="array" ref="L5968">_xlfn.IFS(
 AND(K5968&gt;=89,K5968&lt;=92),"3개월",
 AND(K5968&gt;=58,K5968&lt;=62),"2개월",
 AND(K5968&gt;=28,K5968&lt;=32),"1개월",
 AND(K5968=0),"당월",
 TRUE,"그외"
)</f>
        <v>2개월</v>
      </c>
    </row>
    <row r="5969" spans="1:12" x14ac:dyDescent="0.3">
      <c r="A5969" s="5">
        <v>45748</v>
      </c>
      <c r="B5969" s="6" t="s">
        <v>12</v>
      </c>
      <c r="C5969" s="6" t="s">
        <v>16</v>
      </c>
      <c r="D5969" s="5">
        <v>45717</v>
      </c>
      <c r="E5969" s="6" t="s">
        <v>14</v>
      </c>
      <c r="F5969" s="7">
        <v>1177</v>
      </c>
      <c r="G5969" s="7">
        <v>77166.451996601536</v>
      </c>
      <c r="H5969" s="7">
        <v>90824914</v>
      </c>
      <c r="I5969" s="7">
        <v>12808400</v>
      </c>
      <c r="J5969" s="7">
        <v>1164400</v>
      </c>
      <c r="K5969">
        <f t="shared" si="93"/>
        <v>31</v>
      </c>
      <c r="L5969" s="8" t="str" cm="1">
        <f t="array" ref="L5969">_xlfn.IFS(
 AND(K5969&gt;=89,K5969&lt;=92),"3개월",
 AND(K5969&gt;=58,K5969&lt;=62),"2개월",
 AND(K5969&gt;=28,K5969&lt;=32),"1개월",
 AND(K5969=0),"당월",
 TRUE,"그외"
)</f>
        <v>1개월</v>
      </c>
    </row>
    <row r="5970" spans="1:12" x14ac:dyDescent="0.3">
      <c r="A5970" s="5">
        <v>45748</v>
      </c>
      <c r="B5970" s="6" t="s">
        <v>12</v>
      </c>
      <c r="C5970" s="6" t="s">
        <v>16</v>
      </c>
      <c r="D5970" s="5">
        <v>45717</v>
      </c>
      <c r="E5970" s="6" t="s">
        <v>15</v>
      </c>
      <c r="F5970" s="7">
        <v>25020</v>
      </c>
      <c r="G5970" s="7">
        <v>46519.391446842528</v>
      </c>
      <c r="H5970" s="7">
        <v>1163915174</v>
      </c>
      <c r="I5970" s="7">
        <v>273453400</v>
      </c>
      <c r="J5970" s="7">
        <v>24859400</v>
      </c>
      <c r="K5970">
        <f t="shared" si="93"/>
        <v>31</v>
      </c>
      <c r="L5970" s="8" t="str" cm="1">
        <f t="array" ref="L5970">_xlfn.IFS(
 AND(K5970&gt;=89,K5970&lt;=92),"3개월",
 AND(K5970&gt;=58,K5970&lt;=62),"2개월",
 AND(K5970&gt;=28,K5970&lt;=32),"1개월",
 AND(K5970=0),"당월",
 TRUE,"그외"
)</f>
        <v>1개월</v>
      </c>
    </row>
    <row r="5971" spans="1:12" x14ac:dyDescent="0.3">
      <c r="A5971" s="5">
        <v>45748</v>
      </c>
      <c r="B5971" s="6" t="s">
        <v>12</v>
      </c>
      <c r="C5971" s="6" t="s">
        <v>16</v>
      </c>
      <c r="D5971" s="5">
        <v>45748</v>
      </c>
      <c r="E5971" s="6" t="s">
        <v>14</v>
      </c>
      <c r="F5971" s="7">
        <v>569</v>
      </c>
      <c r="G5971" s="7">
        <v>56636.115992970117</v>
      </c>
      <c r="H5971" s="7">
        <v>32225950</v>
      </c>
      <c r="I5971" s="7">
        <v>5018200</v>
      </c>
      <c r="J5971" s="7">
        <v>456200</v>
      </c>
      <c r="K5971">
        <f t="shared" si="93"/>
        <v>0</v>
      </c>
      <c r="L5971" s="8" t="str" cm="1">
        <f t="array" ref="L5971">_xlfn.IFS(
 AND(K5971&gt;=89,K5971&lt;=92),"3개월",
 AND(K5971&gt;=58,K5971&lt;=62),"2개월",
 AND(K5971&gt;=28,K5971&lt;=32),"1개월",
 AND(K5971=0),"당월",
 TRUE,"그외"
)</f>
        <v>당월</v>
      </c>
    </row>
    <row r="5972" spans="1:12" x14ac:dyDescent="0.3">
      <c r="A5972" s="5">
        <v>45748</v>
      </c>
      <c r="B5972" s="6" t="s">
        <v>12</v>
      </c>
      <c r="C5972" s="6" t="s">
        <v>16</v>
      </c>
      <c r="D5972" s="5">
        <v>45748</v>
      </c>
      <c r="E5972" s="6" t="s">
        <v>15</v>
      </c>
      <c r="F5972" s="7">
        <v>33124</v>
      </c>
      <c r="G5972" s="7">
        <v>33888.723252022697</v>
      </c>
      <c r="H5972" s="7">
        <v>1122530069</v>
      </c>
      <c r="I5972" s="7">
        <v>292349536</v>
      </c>
      <c r="J5972" s="7">
        <v>26572900</v>
      </c>
      <c r="K5972">
        <f t="shared" si="93"/>
        <v>0</v>
      </c>
      <c r="L5972" s="8" t="str" cm="1">
        <f t="array" ref="L5972">_xlfn.IFS(
 AND(K5972&gt;=89,K5972&lt;=92),"3개월",
 AND(K5972&gt;=58,K5972&lt;=62),"2개월",
 AND(K5972&gt;=28,K5972&lt;=32),"1개월",
 AND(K5972=0),"당월",
 TRUE,"그외"
)</f>
        <v>당월</v>
      </c>
    </row>
    <row r="5973" spans="1:12" x14ac:dyDescent="0.3">
      <c r="A5973" s="5">
        <v>45748</v>
      </c>
      <c r="B5973" s="6" t="s">
        <v>12</v>
      </c>
      <c r="C5973" s="6" t="s">
        <v>17</v>
      </c>
      <c r="D5973" s="5">
        <v>45658</v>
      </c>
      <c r="E5973" s="6" t="s">
        <v>14</v>
      </c>
      <c r="F5973" s="7">
        <v>32</v>
      </c>
      <c r="G5973" s="7">
        <v>60670.8125</v>
      </c>
      <c r="H5973" s="7">
        <v>1941466</v>
      </c>
      <c r="I5973" s="7">
        <v>281600</v>
      </c>
      <c r="J5973" s="7">
        <v>25600</v>
      </c>
      <c r="K5973">
        <f t="shared" si="93"/>
        <v>90</v>
      </c>
      <c r="L5973" s="8" t="str" cm="1">
        <f t="array" ref="L5973">_xlfn.IFS(
 AND(K5973&gt;=89,K5973&lt;=92),"3개월",
 AND(K5973&gt;=58,K5973&lt;=62),"2개월",
 AND(K5973&gt;=28,K5973&lt;=32),"1개월",
 AND(K5973=0),"당월",
 TRUE,"그외"
)</f>
        <v>3개월</v>
      </c>
    </row>
    <row r="5974" spans="1:12" x14ac:dyDescent="0.3">
      <c r="A5974" s="5">
        <v>45748</v>
      </c>
      <c r="B5974" s="6" t="s">
        <v>12</v>
      </c>
      <c r="C5974" s="6" t="s">
        <v>17</v>
      </c>
      <c r="D5974" s="5">
        <v>45658</v>
      </c>
      <c r="E5974" s="6" t="s">
        <v>15</v>
      </c>
      <c r="F5974" s="7">
        <v>1211</v>
      </c>
      <c r="G5974" s="7">
        <v>64740.361684558207</v>
      </c>
      <c r="H5974" s="7">
        <v>78400578</v>
      </c>
      <c r="I5974" s="7">
        <v>10656800</v>
      </c>
      <c r="J5974" s="7">
        <v>968800</v>
      </c>
      <c r="K5974">
        <f t="shared" si="93"/>
        <v>90</v>
      </c>
      <c r="L5974" s="8" t="str" cm="1">
        <f t="array" ref="L5974">_xlfn.IFS(
 AND(K5974&gt;=89,K5974&lt;=92),"3개월",
 AND(K5974&gt;=58,K5974&lt;=62),"2개월",
 AND(K5974&gt;=28,K5974&lt;=32),"1개월",
 AND(K5974=0),"당월",
 TRUE,"그외"
)</f>
        <v>3개월</v>
      </c>
    </row>
    <row r="5975" spans="1:12" x14ac:dyDescent="0.3">
      <c r="A5975" s="5">
        <v>45748</v>
      </c>
      <c r="B5975" s="6" t="s">
        <v>12</v>
      </c>
      <c r="C5975" s="6" t="s">
        <v>17</v>
      </c>
      <c r="D5975" s="5">
        <v>45689</v>
      </c>
      <c r="E5975" s="6" t="s">
        <v>14</v>
      </c>
      <c r="F5975" s="7">
        <v>666</v>
      </c>
      <c r="G5975" s="7">
        <v>60533.849849849852</v>
      </c>
      <c r="H5975" s="7">
        <v>40315544</v>
      </c>
      <c r="I5975" s="7">
        <v>5860800</v>
      </c>
      <c r="J5975" s="7">
        <v>532800</v>
      </c>
      <c r="K5975">
        <f t="shared" si="93"/>
        <v>59</v>
      </c>
      <c r="L5975" s="8" t="str" cm="1">
        <f t="array" ref="L5975">_xlfn.IFS(
 AND(K5975&gt;=89,K5975&lt;=92),"3개월",
 AND(K5975&gt;=58,K5975&lt;=62),"2개월",
 AND(K5975&gt;=28,K5975&lt;=32),"1개월",
 AND(K5975=0),"당월",
 TRUE,"그외"
)</f>
        <v>2개월</v>
      </c>
    </row>
    <row r="5976" spans="1:12" x14ac:dyDescent="0.3">
      <c r="A5976" s="5">
        <v>45748</v>
      </c>
      <c r="B5976" s="6" t="s">
        <v>12</v>
      </c>
      <c r="C5976" s="6" t="s">
        <v>17</v>
      </c>
      <c r="D5976" s="5">
        <v>45689</v>
      </c>
      <c r="E5976" s="6" t="s">
        <v>15</v>
      </c>
      <c r="F5976" s="7">
        <v>4343</v>
      </c>
      <c r="G5976" s="7">
        <v>58525.33110752936</v>
      </c>
      <c r="H5976" s="7">
        <v>254175513</v>
      </c>
      <c r="I5976" s="7">
        <v>38104000</v>
      </c>
      <c r="J5976" s="7">
        <v>3464000</v>
      </c>
      <c r="K5976">
        <f t="shared" si="93"/>
        <v>59</v>
      </c>
      <c r="L5976" s="8" t="str" cm="1">
        <f t="array" ref="L5976">_xlfn.IFS(
 AND(K5976&gt;=89,K5976&lt;=92),"3개월",
 AND(K5976&gt;=58,K5976&lt;=62),"2개월",
 AND(K5976&gt;=28,K5976&lt;=32),"1개월",
 AND(K5976=0),"당월",
 TRUE,"그외"
)</f>
        <v>2개월</v>
      </c>
    </row>
    <row r="5977" spans="1:12" x14ac:dyDescent="0.3">
      <c r="A5977" s="5">
        <v>45748</v>
      </c>
      <c r="B5977" s="6" t="s">
        <v>12</v>
      </c>
      <c r="C5977" s="6" t="s">
        <v>17</v>
      </c>
      <c r="D5977" s="5">
        <v>45717</v>
      </c>
      <c r="E5977" s="6" t="s">
        <v>14</v>
      </c>
      <c r="F5977" s="7">
        <v>710</v>
      </c>
      <c r="G5977" s="7">
        <v>60545.070422535209</v>
      </c>
      <c r="H5977" s="7">
        <v>42987000</v>
      </c>
      <c r="I5977" s="7">
        <v>7803400</v>
      </c>
      <c r="J5977" s="7">
        <v>709400</v>
      </c>
      <c r="K5977">
        <f t="shared" si="93"/>
        <v>31</v>
      </c>
      <c r="L5977" s="8" t="str" cm="1">
        <f t="array" ref="L5977">_xlfn.IFS(
 AND(K5977&gt;=89,K5977&lt;=92),"3개월",
 AND(K5977&gt;=58,K5977&lt;=62),"2개월",
 AND(K5977&gt;=28,K5977&lt;=32),"1개월",
 AND(K5977=0),"당월",
 TRUE,"그외"
)</f>
        <v>1개월</v>
      </c>
    </row>
    <row r="5978" spans="1:12" x14ac:dyDescent="0.3">
      <c r="A5978" s="5">
        <v>45748</v>
      </c>
      <c r="B5978" s="6" t="s">
        <v>12</v>
      </c>
      <c r="C5978" s="6" t="s">
        <v>17</v>
      </c>
      <c r="D5978" s="5">
        <v>45717</v>
      </c>
      <c r="E5978" s="6" t="s">
        <v>15</v>
      </c>
      <c r="F5978" s="7">
        <v>16003</v>
      </c>
      <c r="G5978" s="7">
        <v>40294.693432481406</v>
      </c>
      <c r="H5978" s="7">
        <v>644835979</v>
      </c>
      <c r="I5978" s="7">
        <v>175627900</v>
      </c>
      <c r="J5978" s="7">
        <v>15966172</v>
      </c>
      <c r="K5978">
        <f t="shared" si="93"/>
        <v>31</v>
      </c>
      <c r="L5978" s="8" t="str" cm="1">
        <f t="array" ref="L5978">_xlfn.IFS(
 AND(K5978&gt;=89,K5978&lt;=92),"3개월",
 AND(K5978&gt;=58,K5978&lt;=62),"2개월",
 AND(K5978&gt;=28,K5978&lt;=32),"1개월",
 AND(K5978=0),"당월",
 TRUE,"그외"
)</f>
        <v>1개월</v>
      </c>
    </row>
    <row r="5979" spans="1:12" x14ac:dyDescent="0.3">
      <c r="A5979" s="5">
        <v>45748</v>
      </c>
      <c r="B5979" s="6" t="s">
        <v>12</v>
      </c>
      <c r="C5979" s="6" t="s">
        <v>17</v>
      </c>
      <c r="D5979" s="5">
        <v>45748</v>
      </c>
      <c r="E5979" s="6" t="s">
        <v>14</v>
      </c>
      <c r="F5979" s="7">
        <v>105</v>
      </c>
      <c r="G5979" s="7">
        <v>52064.314285714288</v>
      </c>
      <c r="H5979" s="7">
        <v>5466753</v>
      </c>
      <c r="I5979" s="7">
        <v>943800</v>
      </c>
      <c r="J5979" s="7">
        <v>85800</v>
      </c>
      <c r="K5979">
        <f t="shared" si="93"/>
        <v>0</v>
      </c>
      <c r="L5979" s="8" t="str" cm="1">
        <f t="array" ref="L5979">_xlfn.IFS(
 AND(K5979&gt;=89,K5979&lt;=92),"3개월",
 AND(K5979&gt;=58,K5979&lt;=62),"2개월",
 AND(K5979&gt;=28,K5979&lt;=32),"1개월",
 AND(K5979=0),"당월",
 TRUE,"그외"
)</f>
        <v>당월</v>
      </c>
    </row>
    <row r="5980" spans="1:12" x14ac:dyDescent="0.3">
      <c r="A5980" s="5">
        <v>45748</v>
      </c>
      <c r="B5980" s="6" t="s">
        <v>12</v>
      </c>
      <c r="C5980" s="6" t="s">
        <v>17</v>
      </c>
      <c r="D5980" s="5">
        <v>45748</v>
      </c>
      <c r="E5980" s="6" t="s">
        <v>15</v>
      </c>
      <c r="F5980" s="7">
        <v>17379</v>
      </c>
      <c r="G5980" s="7">
        <v>31332.57724840325</v>
      </c>
      <c r="H5980" s="7">
        <v>544528860</v>
      </c>
      <c r="I5980" s="7">
        <v>153367100</v>
      </c>
      <c r="J5980" s="7">
        <v>13942463</v>
      </c>
      <c r="K5980">
        <f t="shared" si="93"/>
        <v>0</v>
      </c>
      <c r="L5980" s="8" t="str" cm="1">
        <f t="array" ref="L5980">_xlfn.IFS(
 AND(K5980&gt;=89,K5980&lt;=92),"3개월",
 AND(K5980&gt;=58,K5980&lt;=62),"2개월",
 AND(K5980&gt;=28,K5980&lt;=32),"1개월",
 AND(K5980=0),"당월",
 TRUE,"그외"
)</f>
        <v>당월</v>
      </c>
    </row>
    <row r="5981" spans="1:12" x14ac:dyDescent="0.3">
      <c r="A5981" s="5">
        <v>45748</v>
      </c>
      <c r="B5981" s="6" t="s">
        <v>12</v>
      </c>
      <c r="C5981" s="6" t="s">
        <v>18</v>
      </c>
      <c r="D5981" s="5">
        <v>45658</v>
      </c>
      <c r="E5981" s="6" t="s">
        <v>14</v>
      </c>
      <c r="F5981" s="7">
        <v>56</v>
      </c>
      <c r="G5981" s="7">
        <v>84445.178571428565</v>
      </c>
      <c r="H5981" s="7">
        <v>4728930</v>
      </c>
      <c r="I5981" s="7">
        <v>492800</v>
      </c>
      <c r="J5981" s="7">
        <v>44800</v>
      </c>
      <c r="K5981">
        <f t="shared" si="93"/>
        <v>90</v>
      </c>
      <c r="L5981" s="8" t="str" cm="1">
        <f t="array" ref="L5981">_xlfn.IFS(
 AND(K5981&gt;=89,K5981&lt;=92),"3개월",
 AND(K5981&gt;=58,K5981&lt;=62),"2개월",
 AND(K5981&gt;=28,K5981&lt;=32),"1개월",
 AND(K5981=0),"당월",
 TRUE,"그외"
)</f>
        <v>3개월</v>
      </c>
    </row>
    <row r="5982" spans="1:12" x14ac:dyDescent="0.3">
      <c r="A5982" s="5">
        <v>45748</v>
      </c>
      <c r="B5982" s="6" t="s">
        <v>12</v>
      </c>
      <c r="C5982" s="6" t="s">
        <v>18</v>
      </c>
      <c r="D5982" s="5">
        <v>45658</v>
      </c>
      <c r="E5982" s="6" t="s">
        <v>15</v>
      </c>
      <c r="F5982" s="7">
        <v>1147</v>
      </c>
      <c r="G5982" s="7">
        <v>77428.393199651269</v>
      </c>
      <c r="H5982" s="7">
        <v>88810367</v>
      </c>
      <c r="I5982" s="7">
        <v>10093600</v>
      </c>
      <c r="J5982" s="7">
        <v>917600</v>
      </c>
      <c r="K5982">
        <f t="shared" si="93"/>
        <v>90</v>
      </c>
      <c r="L5982" s="8" t="str" cm="1">
        <f t="array" ref="L5982">_xlfn.IFS(
 AND(K5982&gt;=89,K5982&lt;=92),"3개월",
 AND(K5982&gt;=58,K5982&lt;=62),"2개월",
 AND(K5982&gt;=28,K5982&lt;=32),"1개월",
 AND(K5982=0),"당월",
 TRUE,"그외"
)</f>
        <v>3개월</v>
      </c>
    </row>
    <row r="5983" spans="1:12" x14ac:dyDescent="0.3">
      <c r="A5983" s="5">
        <v>45748</v>
      </c>
      <c r="B5983" s="6" t="s">
        <v>12</v>
      </c>
      <c r="C5983" s="6" t="s">
        <v>18</v>
      </c>
      <c r="D5983" s="5">
        <v>45689</v>
      </c>
      <c r="E5983" s="6" t="s">
        <v>14</v>
      </c>
      <c r="F5983" s="7">
        <v>241</v>
      </c>
      <c r="G5983" s="7">
        <v>69776.900414937758</v>
      </c>
      <c r="H5983" s="7">
        <v>16816233</v>
      </c>
      <c r="I5983" s="7">
        <v>2120800</v>
      </c>
      <c r="J5983" s="7">
        <v>192800</v>
      </c>
      <c r="K5983">
        <f t="shared" si="93"/>
        <v>59</v>
      </c>
      <c r="L5983" s="8" t="str" cm="1">
        <f t="array" ref="L5983">_xlfn.IFS(
 AND(K5983&gt;=89,K5983&lt;=92),"3개월",
 AND(K5983&gt;=58,K5983&lt;=62),"2개월",
 AND(K5983&gt;=28,K5983&lt;=32),"1개월",
 AND(K5983=0),"당월",
 TRUE,"그외"
)</f>
        <v>2개월</v>
      </c>
    </row>
    <row r="5984" spans="1:12" x14ac:dyDescent="0.3">
      <c r="A5984" s="5">
        <v>45748</v>
      </c>
      <c r="B5984" s="6" t="s">
        <v>12</v>
      </c>
      <c r="C5984" s="6" t="s">
        <v>18</v>
      </c>
      <c r="D5984" s="5">
        <v>45689</v>
      </c>
      <c r="E5984" s="6" t="s">
        <v>15</v>
      </c>
      <c r="F5984" s="7">
        <v>6604</v>
      </c>
      <c r="G5984" s="7">
        <v>74892.874924288306</v>
      </c>
      <c r="H5984" s="7">
        <v>494592546</v>
      </c>
      <c r="I5984" s="7">
        <v>57992000</v>
      </c>
      <c r="J5984" s="7">
        <v>5272000</v>
      </c>
      <c r="K5984">
        <f t="shared" si="93"/>
        <v>59</v>
      </c>
      <c r="L5984" s="8" t="str" cm="1">
        <f t="array" ref="L5984">_xlfn.IFS(
 AND(K5984&gt;=89,K5984&lt;=92),"3개월",
 AND(K5984&gt;=58,K5984&lt;=62),"2개월",
 AND(K5984&gt;=28,K5984&lt;=32),"1개월",
 AND(K5984=0),"당월",
 TRUE,"그외"
)</f>
        <v>2개월</v>
      </c>
    </row>
    <row r="5985" spans="1:12" x14ac:dyDescent="0.3">
      <c r="A5985" s="5">
        <v>45748</v>
      </c>
      <c r="B5985" s="6" t="s">
        <v>12</v>
      </c>
      <c r="C5985" s="6" t="s">
        <v>18</v>
      </c>
      <c r="D5985" s="5">
        <v>45717</v>
      </c>
      <c r="E5985" s="6" t="s">
        <v>14</v>
      </c>
      <c r="F5985" s="7">
        <v>988</v>
      </c>
      <c r="G5985" s="7">
        <v>73708.338056680164</v>
      </c>
      <c r="H5985" s="7">
        <v>72823838</v>
      </c>
      <c r="I5985" s="7">
        <v>10865800</v>
      </c>
      <c r="J5985" s="7">
        <v>987800</v>
      </c>
      <c r="K5985">
        <f t="shared" si="93"/>
        <v>31</v>
      </c>
      <c r="L5985" s="8" t="str" cm="1">
        <f t="array" ref="L5985">_xlfn.IFS(
 AND(K5985&gt;=89,K5985&lt;=92),"3개월",
 AND(K5985&gt;=58,K5985&lt;=62),"2개월",
 AND(K5985&gt;=28,K5985&lt;=32),"1개월",
 AND(K5985=0),"당월",
 TRUE,"그외"
)</f>
        <v>1개월</v>
      </c>
    </row>
    <row r="5986" spans="1:12" x14ac:dyDescent="0.3">
      <c r="A5986" s="5">
        <v>45748</v>
      </c>
      <c r="B5986" s="6" t="s">
        <v>12</v>
      </c>
      <c r="C5986" s="6" t="s">
        <v>18</v>
      </c>
      <c r="D5986" s="5">
        <v>45717</v>
      </c>
      <c r="E5986" s="6" t="s">
        <v>15</v>
      </c>
      <c r="F5986" s="7">
        <v>15466</v>
      </c>
      <c r="G5986" s="7">
        <v>54711.780486227857</v>
      </c>
      <c r="H5986" s="7">
        <v>846172397</v>
      </c>
      <c r="I5986" s="7">
        <v>169822400</v>
      </c>
      <c r="J5986" s="7">
        <v>15438400</v>
      </c>
      <c r="K5986">
        <f t="shared" si="93"/>
        <v>31</v>
      </c>
      <c r="L5986" s="8" t="str" cm="1">
        <f t="array" ref="L5986">_xlfn.IFS(
 AND(K5986&gt;=89,K5986&lt;=92),"3개월",
 AND(K5986&gt;=58,K5986&lt;=62),"2개월",
 AND(K5986&gt;=28,K5986&lt;=32),"1개월",
 AND(K5986=0),"당월",
 TRUE,"그외"
)</f>
        <v>1개월</v>
      </c>
    </row>
    <row r="5987" spans="1:12" x14ac:dyDescent="0.3">
      <c r="A5987" s="5">
        <v>45748</v>
      </c>
      <c r="B5987" s="6" t="s">
        <v>12</v>
      </c>
      <c r="C5987" s="6" t="s">
        <v>18</v>
      </c>
      <c r="D5987" s="5">
        <v>45748</v>
      </c>
      <c r="E5987" s="6" t="s">
        <v>14</v>
      </c>
      <c r="F5987" s="7">
        <v>199</v>
      </c>
      <c r="G5987" s="7">
        <v>68424.095477386931</v>
      </c>
      <c r="H5987" s="7">
        <v>13616395</v>
      </c>
      <c r="I5987" s="7">
        <v>1760000</v>
      </c>
      <c r="J5987" s="7">
        <v>160000</v>
      </c>
      <c r="K5987">
        <f t="shared" si="93"/>
        <v>0</v>
      </c>
      <c r="L5987" s="8" t="str" cm="1">
        <f t="array" ref="L5987">_xlfn.IFS(
 AND(K5987&gt;=89,K5987&lt;=92),"3개월",
 AND(K5987&gt;=58,K5987&lt;=62),"2개월",
 AND(K5987&gt;=28,K5987&lt;=32),"1개월",
 AND(K5987=0),"당월",
 TRUE,"그외"
)</f>
        <v>당월</v>
      </c>
    </row>
    <row r="5988" spans="1:12" x14ac:dyDescent="0.3">
      <c r="A5988" s="5">
        <v>45748</v>
      </c>
      <c r="B5988" s="6" t="s">
        <v>12</v>
      </c>
      <c r="C5988" s="6" t="s">
        <v>18</v>
      </c>
      <c r="D5988" s="5">
        <v>45748</v>
      </c>
      <c r="E5988" s="6" t="s">
        <v>15</v>
      </c>
      <c r="F5988" s="7">
        <v>12616</v>
      </c>
      <c r="G5988" s="7">
        <v>50299.334099556123</v>
      </c>
      <c r="H5988" s="7">
        <v>634576399</v>
      </c>
      <c r="I5988" s="7">
        <v>111388200</v>
      </c>
      <c r="J5988" s="7">
        <v>10126200</v>
      </c>
      <c r="K5988">
        <f t="shared" si="93"/>
        <v>0</v>
      </c>
      <c r="L5988" s="8" t="str" cm="1">
        <f t="array" ref="L5988">_xlfn.IFS(
 AND(K5988&gt;=89,K5988&lt;=92),"3개월",
 AND(K5988&gt;=58,K5988&lt;=62),"2개월",
 AND(K5988&gt;=28,K5988&lt;=32),"1개월",
 AND(K5988=0),"당월",
 TRUE,"그외"
)</f>
        <v>당월</v>
      </c>
    </row>
    <row r="5989" spans="1:12" x14ac:dyDescent="0.3">
      <c r="A5989" s="5">
        <v>45748</v>
      </c>
      <c r="B5989" s="6" t="s">
        <v>12</v>
      </c>
      <c r="C5989" s="6" t="s">
        <v>19</v>
      </c>
      <c r="D5989" s="5">
        <v>45658</v>
      </c>
      <c r="E5989" s="6" t="s">
        <v>15</v>
      </c>
      <c r="F5989" s="7">
        <v>15</v>
      </c>
      <c r="G5989" s="7">
        <v>68666.866666666669</v>
      </c>
      <c r="H5989" s="7">
        <v>1030003</v>
      </c>
      <c r="I5989" s="7">
        <v>132000</v>
      </c>
      <c r="J5989" s="7">
        <v>12000</v>
      </c>
      <c r="K5989">
        <f t="shared" si="93"/>
        <v>90</v>
      </c>
      <c r="L5989" s="8" t="str" cm="1">
        <f t="array" ref="L5989">_xlfn.IFS(
 AND(K5989&gt;=89,K5989&lt;=92),"3개월",
 AND(K5989&gt;=58,K5989&lt;=62),"2개월",
 AND(K5989&gt;=28,K5989&lt;=32),"1개월",
 AND(K5989=0),"당월",
 TRUE,"그외"
)</f>
        <v>3개월</v>
      </c>
    </row>
    <row r="5990" spans="1:12" x14ac:dyDescent="0.3">
      <c r="A5990" s="5">
        <v>45748</v>
      </c>
      <c r="B5990" s="6" t="s">
        <v>12</v>
      </c>
      <c r="C5990" s="6" t="s">
        <v>19</v>
      </c>
      <c r="D5990" s="5">
        <v>45689</v>
      </c>
      <c r="E5990" s="6" t="s">
        <v>15</v>
      </c>
      <c r="F5990" s="7">
        <v>241</v>
      </c>
      <c r="G5990" s="7">
        <v>59837.50622406639</v>
      </c>
      <c r="H5990" s="7">
        <v>14420839</v>
      </c>
      <c r="I5990" s="7">
        <v>2068000</v>
      </c>
      <c r="J5990" s="7">
        <v>188000</v>
      </c>
      <c r="K5990">
        <f t="shared" si="93"/>
        <v>59</v>
      </c>
      <c r="L5990" s="8" t="str" cm="1">
        <f t="array" ref="L5990">_xlfn.IFS(
 AND(K5990&gt;=89,K5990&lt;=92),"3개월",
 AND(K5990&gt;=58,K5990&lt;=62),"2개월",
 AND(K5990&gt;=28,K5990&lt;=32),"1개월",
 AND(K5990=0),"당월",
 TRUE,"그외"
)</f>
        <v>2개월</v>
      </c>
    </row>
    <row r="5991" spans="1:12" x14ac:dyDescent="0.3">
      <c r="A5991" s="5">
        <v>45748</v>
      </c>
      <c r="B5991" s="6" t="s">
        <v>12</v>
      </c>
      <c r="C5991" s="6" t="s">
        <v>19</v>
      </c>
      <c r="D5991" s="5">
        <v>45717</v>
      </c>
      <c r="E5991" s="6" t="s">
        <v>15</v>
      </c>
      <c r="F5991" s="7">
        <v>10581</v>
      </c>
      <c r="G5991" s="7">
        <v>41898.226160098289</v>
      </c>
      <c r="H5991" s="7">
        <v>443325131</v>
      </c>
      <c r="I5991" s="7">
        <v>114411000</v>
      </c>
      <c r="J5991" s="7">
        <v>10401000</v>
      </c>
      <c r="K5991">
        <f t="shared" si="93"/>
        <v>31</v>
      </c>
      <c r="L5991" s="8" t="str" cm="1">
        <f t="array" ref="L5991">_xlfn.IFS(
 AND(K5991&gt;=89,K5991&lt;=92),"3개월",
 AND(K5991&gt;=58,K5991&lt;=62),"2개월",
 AND(K5991&gt;=28,K5991&lt;=32),"1개월",
 AND(K5991=0),"당월",
 TRUE,"그외"
)</f>
        <v>1개월</v>
      </c>
    </row>
    <row r="5992" spans="1:12" x14ac:dyDescent="0.3">
      <c r="A5992" s="5">
        <v>45748</v>
      </c>
      <c r="B5992" s="6" t="s">
        <v>12</v>
      </c>
      <c r="C5992" s="6" t="s">
        <v>19</v>
      </c>
      <c r="D5992" s="5">
        <v>45748</v>
      </c>
      <c r="E5992" s="6" t="s">
        <v>15</v>
      </c>
      <c r="F5992" s="7">
        <v>23487</v>
      </c>
      <c r="G5992" s="7">
        <v>56725.709924639159</v>
      </c>
      <c r="H5992" s="7">
        <v>1332316749</v>
      </c>
      <c r="I5992" s="7">
        <v>203348200</v>
      </c>
      <c r="J5992" s="7">
        <v>18486200</v>
      </c>
      <c r="K5992">
        <f t="shared" si="93"/>
        <v>0</v>
      </c>
      <c r="L5992" s="8" t="str" cm="1">
        <f t="array" ref="L5992">_xlfn.IFS(
 AND(K5992&gt;=89,K5992&lt;=92),"3개월",
 AND(K5992&gt;=58,K5992&lt;=62),"2개월",
 AND(K5992&gt;=28,K5992&lt;=32),"1개월",
 AND(K5992=0),"당월",
 TRUE,"그외"
)</f>
        <v>당월</v>
      </c>
    </row>
    <row r="5993" spans="1:12" x14ac:dyDescent="0.3">
      <c r="A5993" s="5">
        <v>45748</v>
      </c>
      <c r="B5993" s="6" t="s">
        <v>20</v>
      </c>
      <c r="C5993" s="6" t="s">
        <v>22</v>
      </c>
      <c r="D5993" s="5">
        <v>45627</v>
      </c>
      <c r="E5993" s="6" t="s">
        <v>15</v>
      </c>
      <c r="F5993" s="7">
        <v>203</v>
      </c>
      <c r="G5993" s="7">
        <v>107731.42857142859</v>
      </c>
      <c r="H5993" s="7">
        <v>21869480</v>
      </c>
      <c r="I5993" s="7">
        <v>3247359</v>
      </c>
      <c r="J5993" s="7">
        <v>0</v>
      </c>
      <c r="K5993">
        <f t="shared" si="93"/>
        <v>121</v>
      </c>
      <c r="L5993" s="8" t="str" cm="1">
        <f t="array" ref="L5993">_xlfn.IFS(
 AND(K5993&gt;=89,K5993&lt;=92),"3개월",
 AND(K5993&gt;=58,K5993&lt;=62),"2개월",
 AND(K5993&gt;=28,K5993&lt;=32),"1개월",
 AND(K5993=0),"당월",
 TRUE,"그외"
)</f>
        <v>그외</v>
      </c>
    </row>
    <row r="5994" spans="1:12" x14ac:dyDescent="0.3">
      <c r="A5994" s="5">
        <v>45748</v>
      </c>
      <c r="B5994" s="6" t="s">
        <v>20</v>
      </c>
      <c r="C5994" s="6" t="s">
        <v>22</v>
      </c>
      <c r="D5994" s="5">
        <v>45658</v>
      </c>
      <c r="E5994" s="6" t="s">
        <v>14</v>
      </c>
      <c r="F5994" s="7">
        <v>116</v>
      </c>
      <c r="G5994" s="7">
        <v>92927.836206896551</v>
      </c>
      <c r="H5994" s="7">
        <v>10779629</v>
      </c>
      <c r="I5994" s="7">
        <v>3229846</v>
      </c>
      <c r="J5994" s="7">
        <v>0</v>
      </c>
      <c r="K5994">
        <f t="shared" si="93"/>
        <v>90</v>
      </c>
      <c r="L5994" s="8" t="str" cm="1">
        <f t="array" ref="L5994">_xlfn.IFS(
 AND(K5994&gt;=89,K5994&lt;=92),"3개월",
 AND(K5994&gt;=58,K5994&lt;=62),"2개월",
 AND(K5994&gt;=28,K5994&lt;=32),"1개월",
 AND(K5994=0),"당월",
 TRUE,"그외"
)</f>
        <v>3개월</v>
      </c>
    </row>
    <row r="5995" spans="1:12" x14ac:dyDescent="0.3">
      <c r="A5995" s="5">
        <v>45748</v>
      </c>
      <c r="B5995" s="6" t="s">
        <v>20</v>
      </c>
      <c r="C5995" s="6" t="s">
        <v>22</v>
      </c>
      <c r="D5995" s="5">
        <v>45658</v>
      </c>
      <c r="E5995" s="6" t="s">
        <v>15</v>
      </c>
      <c r="F5995" s="7">
        <v>2575</v>
      </c>
      <c r="G5995" s="7">
        <v>111969.53669902909</v>
      </c>
      <c r="H5995" s="7">
        <v>288321557</v>
      </c>
      <c r="I5995" s="7">
        <v>40001720</v>
      </c>
      <c r="J5995" s="7">
        <v>0</v>
      </c>
      <c r="K5995">
        <f t="shared" si="93"/>
        <v>90</v>
      </c>
      <c r="L5995" s="8" t="str" cm="1">
        <f t="array" ref="L5995">_xlfn.IFS(
 AND(K5995&gt;=89,K5995&lt;=92),"3개월",
 AND(K5995&gt;=58,K5995&lt;=62),"2개월",
 AND(K5995&gt;=28,K5995&lt;=32),"1개월",
 AND(K5995=0),"당월",
 TRUE,"그외"
)</f>
        <v>3개월</v>
      </c>
    </row>
    <row r="5996" spans="1:12" x14ac:dyDescent="0.3">
      <c r="A5996" s="5">
        <v>45748</v>
      </c>
      <c r="B5996" s="6" t="s">
        <v>20</v>
      </c>
      <c r="C5996" s="6" t="s">
        <v>22</v>
      </c>
      <c r="D5996" s="5">
        <v>45689</v>
      </c>
      <c r="E5996" s="6" t="s">
        <v>14</v>
      </c>
      <c r="F5996" s="7">
        <v>722</v>
      </c>
      <c r="G5996" s="7">
        <v>114903.1108033241</v>
      </c>
      <c r="H5996" s="7">
        <v>82960046</v>
      </c>
      <c r="I5996" s="7">
        <v>11114793</v>
      </c>
      <c r="J5996" s="7">
        <v>0</v>
      </c>
      <c r="K5996">
        <f t="shared" si="93"/>
        <v>59</v>
      </c>
      <c r="L5996" s="8" t="str" cm="1">
        <f t="array" ref="L5996">_xlfn.IFS(
 AND(K5996&gt;=89,K5996&lt;=92),"3개월",
 AND(K5996&gt;=58,K5996&lt;=62),"2개월",
 AND(K5996&gt;=28,K5996&lt;=32),"1개월",
 AND(K5996=0),"당월",
 TRUE,"그외"
)</f>
        <v>2개월</v>
      </c>
    </row>
    <row r="5997" spans="1:12" x14ac:dyDescent="0.3">
      <c r="A5997" s="5">
        <v>45748</v>
      </c>
      <c r="B5997" s="6" t="s">
        <v>20</v>
      </c>
      <c r="C5997" s="6" t="s">
        <v>22</v>
      </c>
      <c r="D5997" s="5">
        <v>45689</v>
      </c>
      <c r="E5997" s="6" t="s">
        <v>15</v>
      </c>
      <c r="F5997" s="7">
        <v>5803</v>
      </c>
      <c r="G5997" s="7">
        <v>124652.0386007238</v>
      </c>
      <c r="H5997" s="7">
        <v>723355780</v>
      </c>
      <c r="I5997" s="7">
        <v>91287605</v>
      </c>
      <c r="J5997" s="7">
        <v>0</v>
      </c>
      <c r="K5997">
        <f t="shared" si="93"/>
        <v>59</v>
      </c>
      <c r="L5997" s="8" t="str" cm="1">
        <f t="array" ref="L5997">_xlfn.IFS(
 AND(K5997&gt;=89,K5997&lt;=92),"3개월",
 AND(K5997&gt;=58,K5997&lt;=62),"2개월",
 AND(K5997&gt;=28,K5997&lt;=32),"1개월",
 AND(K5997=0),"당월",
 TRUE,"그외"
)</f>
        <v>2개월</v>
      </c>
    </row>
    <row r="5998" spans="1:12" x14ac:dyDescent="0.3">
      <c r="A5998" s="5">
        <v>45748</v>
      </c>
      <c r="B5998" s="6" t="s">
        <v>20</v>
      </c>
      <c r="C5998" s="6" t="s">
        <v>22</v>
      </c>
      <c r="D5998" s="5">
        <v>45717</v>
      </c>
      <c r="E5998" s="6" t="s">
        <v>14</v>
      </c>
      <c r="F5998" s="7">
        <v>4723</v>
      </c>
      <c r="G5998" s="7">
        <v>102690.5507092949</v>
      </c>
      <c r="H5998" s="7">
        <v>485007471</v>
      </c>
      <c r="I5998" s="7">
        <v>65674225</v>
      </c>
      <c r="J5998" s="7">
        <v>0</v>
      </c>
      <c r="K5998">
        <f t="shared" si="93"/>
        <v>31</v>
      </c>
      <c r="L5998" s="8" t="str" cm="1">
        <f t="array" ref="L5998">_xlfn.IFS(
 AND(K5998&gt;=89,K5998&lt;=92),"3개월",
 AND(K5998&gt;=58,K5998&lt;=62),"2개월",
 AND(K5998&gt;=28,K5998&lt;=32),"1개월",
 AND(K5998=0),"당월",
 TRUE,"그외"
)</f>
        <v>1개월</v>
      </c>
    </row>
    <row r="5999" spans="1:12" x14ac:dyDescent="0.3">
      <c r="A5999" s="5">
        <v>45748</v>
      </c>
      <c r="B5999" s="6" t="s">
        <v>20</v>
      </c>
      <c r="C5999" s="6" t="s">
        <v>22</v>
      </c>
      <c r="D5999" s="5">
        <v>45717</v>
      </c>
      <c r="E5999" s="6" t="s">
        <v>15</v>
      </c>
      <c r="F5999" s="7">
        <v>19666</v>
      </c>
      <c r="G5999" s="7">
        <v>98828.516373436389</v>
      </c>
      <c r="H5999" s="7">
        <v>1943561603</v>
      </c>
      <c r="I5999" s="7">
        <v>324533815</v>
      </c>
      <c r="J5999" s="7">
        <v>0</v>
      </c>
      <c r="K5999">
        <f t="shared" si="93"/>
        <v>31</v>
      </c>
      <c r="L5999" s="8" t="str" cm="1">
        <f t="array" ref="L5999">_xlfn.IFS(
 AND(K5999&gt;=89,K5999&lt;=92),"3개월",
 AND(K5999&gt;=58,K5999&lt;=62),"2개월",
 AND(K5999&gt;=28,K5999&lt;=32),"1개월",
 AND(K5999=0),"당월",
 TRUE,"그외"
)</f>
        <v>1개월</v>
      </c>
    </row>
    <row r="6000" spans="1:12" x14ac:dyDescent="0.3">
      <c r="A6000" s="5">
        <v>45748</v>
      </c>
      <c r="B6000" s="6" t="s">
        <v>20</v>
      </c>
      <c r="C6000" s="6" t="s">
        <v>22</v>
      </c>
      <c r="D6000" s="5">
        <v>45748</v>
      </c>
      <c r="E6000" s="6" t="s">
        <v>14</v>
      </c>
      <c r="F6000" s="7">
        <v>2887</v>
      </c>
      <c r="G6000" s="7">
        <v>87504.671977831662</v>
      </c>
      <c r="H6000" s="7">
        <v>252625988</v>
      </c>
      <c r="I6000" s="7">
        <v>30503678</v>
      </c>
      <c r="J6000" s="7">
        <v>0</v>
      </c>
      <c r="K6000">
        <f t="shared" si="93"/>
        <v>0</v>
      </c>
      <c r="L6000" s="8" t="str" cm="1">
        <f t="array" ref="L6000">_xlfn.IFS(
 AND(K6000&gt;=89,K6000&lt;=92),"3개월",
 AND(K6000&gt;=58,K6000&lt;=62),"2개월",
 AND(K6000&gt;=28,K6000&lt;=32),"1개월",
 AND(K6000=0),"당월",
 TRUE,"그외"
)</f>
        <v>당월</v>
      </c>
    </row>
    <row r="6001" spans="1:12" x14ac:dyDescent="0.3">
      <c r="A6001" s="5">
        <v>45748</v>
      </c>
      <c r="B6001" s="6" t="s">
        <v>20</v>
      </c>
      <c r="C6001" s="6" t="s">
        <v>22</v>
      </c>
      <c r="D6001" s="5">
        <v>45748</v>
      </c>
      <c r="E6001" s="6" t="s">
        <v>15</v>
      </c>
      <c r="F6001" s="7">
        <v>11333</v>
      </c>
      <c r="G6001" s="7">
        <v>91488.606811965059</v>
      </c>
      <c r="H6001" s="7">
        <v>1036840381</v>
      </c>
      <c r="I6001" s="7">
        <v>177584137</v>
      </c>
      <c r="J6001" s="7">
        <v>0</v>
      </c>
      <c r="K6001">
        <f t="shared" si="93"/>
        <v>0</v>
      </c>
      <c r="L6001" s="8" t="str" cm="1">
        <f t="array" ref="L6001">_xlfn.IFS(
 AND(K6001&gt;=89,K6001&lt;=92),"3개월",
 AND(K6001&gt;=58,K6001&lt;=62),"2개월",
 AND(K6001&gt;=28,K6001&lt;=32),"1개월",
 AND(K6001=0),"당월",
 TRUE,"그외"
)</f>
        <v>당월</v>
      </c>
    </row>
    <row r="6002" spans="1:12" x14ac:dyDescent="0.3">
      <c r="A6002" s="5">
        <v>45748</v>
      </c>
      <c r="B6002" s="6" t="s">
        <v>20</v>
      </c>
      <c r="C6002" s="6" t="s">
        <v>23</v>
      </c>
      <c r="D6002" s="5">
        <v>45627</v>
      </c>
      <c r="E6002" s="6" t="s">
        <v>15</v>
      </c>
      <c r="F6002" s="7">
        <v>8</v>
      </c>
      <c r="G6002" s="7">
        <v>123600</v>
      </c>
      <c r="H6002" s="7">
        <v>988800</v>
      </c>
      <c r="I6002" s="7">
        <v>88800</v>
      </c>
      <c r="J6002" s="7">
        <v>0</v>
      </c>
      <c r="K6002">
        <f t="shared" si="93"/>
        <v>121</v>
      </c>
      <c r="L6002" s="8" t="str" cm="1">
        <f t="array" ref="L6002">_xlfn.IFS(
 AND(K6002&gt;=89,K6002&lt;=92),"3개월",
 AND(K6002&gt;=58,K6002&lt;=62),"2개월",
 AND(K6002&gt;=28,K6002&lt;=32),"1개월",
 AND(K6002=0),"당월",
 TRUE,"그외"
)</f>
        <v>그외</v>
      </c>
    </row>
    <row r="6003" spans="1:12" x14ac:dyDescent="0.3">
      <c r="A6003" s="5">
        <v>45748</v>
      </c>
      <c r="B6003" s="6" t="s">
        <v>20</v>
      </c>
      <c r="C6003" s="6" t="s">
        <v>23</v>
      </c>
      <c r="D6003" s="5">
        <v>45658</v>
      </c>
      <c r="E6003" s="6" t="s">
        <v>15</v>
      </c>
      <c r="F6003" s="7">
        <v>594</v>
      </c>
      <c r="G6003" s="7">
        <v>111433.53535353531</v>
      </c>
      <c r="H6003" s="7">
        <v>66191520</v>
      </c>
      <c r="I6003" s="7">
        <v>7078900</v>
      </c>
      <c r="J6003" s="7">
        <v>0</v>
      </c>
      <c r="K6003">
        <f t="shared" si="93"/>
        <v>90</v>
      </c>
      <c r="L6003" s="8" t="str" cm="1">
        <f t="array" ref="L6003">_xlfn.IFS(
 AND(K6003&gt;=89,K6003&lt;=92),"3개월",
 AND(K6003&gt;=58,K6003&lt;=62),"2개월",
 AND(K6003&gt;=28,K6003&lt;=32),"1개월",
 AND(K6003=0),"당월",
 TRUE,"그외"
)</f>
        <v>3개월</v>
      </c>
    </row>
    <row r="6004" spans="1:12" x14ac:dyDescent="0.3">
      <c r="A6004" s="5">
        <v>45748</v>
      </c>
      <c r="B6004" s="6" t="s">
        <v>20</v>
      </c>
      <c r="C6004" s="6" t="s">
        <v>23</v>
      </c>
      <c r="D6004" s="5">
        <v>45689</v>
      </c>
      <c r="E6004" s="6" t="s">
        <v>14</v>
      </c>
      <c r="F6004" s="7">
        <v>77</v>
      </c>
      <c r="G6004" s="7">
        <v>95076.623376623378</v>
      </c>
      <c r="H6004" s="7">
        <v>7320900</v>
      </c>
      <c r="I6004" s="7">
        <v>900900</v>
      </c>
      <c r="J6004" s="7">
        <v>0</v>
      </c>
      <c r="K6004">
        <f t="shared" si="93"/>
        <v>59</v>
      </c>
      <c r="L6004" s="8" t="str" cm="1">
        <f t="array" ref="L6004">_xlfn.IFS(
 AND(K6004&gt;=89,K6004&lt;=92),"3개월",
 AND(K6004&gt;=58,K6004&lt;=62),"2개월",
 AND(K6004&gt;=28,K6004&lt;=32),"1개월",
 AND(K6004=0),"당월",
 TRUE,"그외"
)</f>
        <v>2개월</v>
      </c>
    </row>
    <row r="6005" spans="1:12" x14ac:dyDescent="0.3">
      <c r="A6005" s="5">
        <v>45748</v>
      </c>
      <c r="B6005" s="6" t="s">
        <v>20</v>
      </c>
      <c r="C6005" s="6" t="s">
        <v>23</v>
      </c>
      <c r="D6005" s="5">
        <v>45689</v>
      </c>
      <c r="E6005" s="6" t="s">
        <v>15</v>
      </c>
      <c r="F6005" s="7">
        <v>2430</v>
      </c>
      <c r="G6005" s="7">
        <v>98995.963786008229</v>
      </c>
      <c r="H6005" s="7">
        <v>240560192</v>
      </c>
      <c r="I6005" s="7">
        <v>31196122</v>
      </c>
      <c r="J6005" s="7">
        <v>0</v>
      </c>
      <c r="K6005">
        <f t="shared" si="93"/>
        <v>59</v>
      </c>
      <c r="L6005" s="8" t="str" cm="1">
        <f t="array" ref="L6005">_xlfn.IFS(
 AND(K6005&gt;=89,K6005&lt;=92),"3개월",
 AND(K6005&gt;=58,K6005&lt;=62),"2개월",
 AND(K6005&gt;=28,K6005&lt;=32),"1개월",
 AND(K6005=0),"당월",
 TRUE,"그외"
)</f>
        <v>2개월</v>
      </c>
    </row>
    <row r="6006" spans="1:12" x14ac:dyDescent="0.3">
      <c r="A6006" s="5">
        <v>45748</v>
      </c>
      <c r="B6006" s="6" t="s">
        <v>20</v>
      </c>
      <c r="C6006" s="6" t="s">
        <v>23</v>
      </c>
      <c r="D6006" s="5">
        <v>45717</v>
      </c>
      <c r="E6006" s="6" t="s">
        <v>14</v>
      </c>
      <c r="F6006" s="7">
        <v>577</v>
      </c>
      <c r="G6006" s="7">
        <v>102059.6187175043</v>
      </c>
      <c r="H6006" s="7">
        <v>58888400</v>
      </c>
      <c r="I6006" s="7">
        <v>7498400</v>
      </c>
      <c r="J6006" s="7">
        <v>0</v>
      </c>
      <c r="K6006">
        <f t="shared" si="93"/>
        <v>31</v>
      </c>
      <c r="L6006" s="8" t="str" cm="1">
        <f t="array" ref="L6006">_xlfn.IFS(
 AND(K6006&gt;=89,K6006&lt;=92),"3개월",
 AND(K6006&gt;=58,K6006&lt;=62),"2개월",
 AND(K6006&gt;=28,K6006&lt;=32),"1개월",
 AND(K6006=0),"당월",
 TRUE,"그외"
)</f>
        <v>1개월</v>
      </c>
    </row>
    <row r="6007" spans="1:12" x14ac:dyDescent="0.3">
      <c r="A6007" s="5">
        <v>45748</v>
      </c>
      <c r="B6007" s="6" t="s">
        <v>20</v>
      </c>
      <c r="C6007" s="6" t="s">
        <v>23</v>
      </c>
      <c r="D6007" s="5">
        <v>45717</v>
      </c>
      <c r="E6007" s="6" t="s">
        <v>15</v>
      </c>
      <c r="F6007" s="7">
        <v>4827</v>
      </c>
      <c r="G6007" s="7">
        <v>97394.420136730885</v>
      </c>
      <c r="H6007" s="7">
        <v>470122866</v>
      </c>
      <c r="I6007" s="7">
        <v>68939199</v>
      </c>
      <c r="J6007" s="7">
        <v>0</v>
      </c>
      <c r="K6007">
        <f t="shared" si="93"/>
        <v>31</v>
      </c>
      <c r="L6007" s="8" t="str" cm="1">
        <f t="array" ref="L6007">_xlfn.IFS(
 AND(K6007&gt;=89,K6007&lt;=92),"3개월",
 AND(K6007&gt;=58,K6007&lt;=62),"2개월",
 AND(K6007&gt;=28,K6007&lt;=32),"1개월",
 AND(K6007=0),"당월",
 TRUE,"그외"
)</f>
        <v>1개월</v>
      </c>
    </row>
    <row r="6008" spans="1:12" x14ac:dyDescent="0.3">
      <c r="A6008" s="5">
        <v>45748</v>
      </c>
      <c r="B6008" s="6" t="s">
        <v>20</v>
      </c>
      <c r="C6008" s="6" t="s">
        <v>23</v>
      </c>
      <c r="D6008" s="5">
        <v>45748</v>
      </c>
      <c r="E6008" s="6" t="s">
        <v>14</v>
      </c>
      <c r="F6008" s="7">
        <v>275</v>
      </c>
      <c r="G6008" s="7">
        <v>108996</v>
      </c>
      <c r="H6008" s="7">
        <v>29973900</v>
      </c>
      <c r="I6008" s="7">
        <v>2783900</v>
      </c>
      <c r="J6008" s="7">
        <v>0</v>
      </c>
      <c r="K6008">
        <f t="shared" si="93"/>
        <v>0</v>
      </c>
      <c r="L6008" s="8" t="str" cm="1">
        <f t="array" ref="L6008">_xlfn.IFS(
 AND(K6008&gt;=89,K6008&lt;=92),"3개월",
 AND(K6008&gt;=58,K6008&lt;=62),"2개월",
 AND(K6008&gt;=28,K6008&lt;=32),"1개월",
 AND(K6008=0),"당월",
 TRUE,"그외"
)</f>
        <v>당월</v>
      </c>
    </row>
    <row r="6009" spans="1:12" x14ac:dyDescent="0.3">
      <c r="A6009" s="5">
        <v>45748</v>
      </c>
      <c r="B6009" s="6" t="s">
        <v>20</v>
      </c>
      <c r="C6009" s="6" t="s">
        <v>23</v>
      </c>
      <c r="D6009" s="5">
        <v>45748</v>
      </c>
      <c r="E6009" s="6" t="s">
        <v>15</v>
      </c>
      <c r="F6009" s="7">
        <v>1891</v>
      </c>
      <c r="G6009" s="7">
        <v>90931.370174510841</v>
      </c>
      <c r="H6009" s="7">
        <v>171951221</v>
      </c>
      <c r="I6009" s="7">
        <v>23642534</v>
      </c>
      <c r="J6009" s="7">
        <v>0</v>
      </c>
      <c r="K6009">
        <f t="shared" si="93"/>
        <v>0</v>
      </c>
      <c r="L6009" s="8" t="str" cm="1">
        <f t="array" ref="L6009">_xlfn.IFS(
 AND(K6009&gt;=89,K6009&lt;=92),"3개월",
 AND(K6009&gt;=58,K6009&lt;=62),"2개월",
 AND(K6009&gt;=28,K6009&lt;=32),"1개월",
 AND(K6009=0),"당월",
 TRUE,"그외"
)</f>
        <v>당월</v>
      </c>
    </row>
    <row r="6010" spans="1:12" x14ac:dyDescent="0.3">
      <c r="A6010" s="5">
        <v>45748</v>
      </c>
      <c r="B6010" s="6" t="s">
        <v>20</v>
      </c>
      <c r="C6010" s="6" t="s">
        <v>24</v>
      </c>
      <c r="D6010" s="5">
        <v>45627</v>
      </c>
      <c r="E6010" s="6" t="s">
        <v>15</v>
      </c>
      <c r="F6010" s="7">
        <v>381</v>
      </c>
      <c r="G6010" s="7">
        <v>112872.10761154861</v>
      </c>
      <c r="H6010" s="7">
        <v>43004273</v>
      </c>
      <c r="I6010" s="7">
        <v>4672466</v>
      </c>
      <c r="J6010" s="7">
        <v>0</v>
      </c>
      <c r="K6010">
        <f t="shared" si="93"/>
        <v>121</v>
      </c>
      <c r="L6010" s="8" t="str" cm="1">
        <f t="array" ref="L6010">_xlfn.IFS(
 AND(K6010&gt;=89,K6010&lt;=92),"3개월",
 AND(K6010&gt;=58,K6010&lt;=62),"2개월",
 AND(K6010&gt;=28,K6010&lt;=32),"1개월",
 AND(K6010=0),"당월",
 TRUE,"그외"
)</f>
        <v>그외</v>
      </c>
    </row>
    <row r="6011" spans="1:12" x14ac:dyDescent="0.3">
      <c r="A6011" s="5">
        <v>45748</v>
      </c>
      <c r="B6011" s="6" t="s">
        <v>20</v>
      </c>
      <c r="C6011" s="6" t="s">
        <v>24</v>
      </c>
      <c r="D6011" s="5">
        <v>45658</v>
      </c>
      <c r="E6011" s="6" t="s">
        <v>15</v>
      </c>
      <c r="F6011" s="7">
        <v>1644</v>
      </c>
      <c r="G6011" s="7">
        <v>111223.6666666667</v>
      </c>
      <c r="H6011" s="7">
        <v>182851708</v>
      </c>
      <c r="I6011" s="7">
        <v>20552238</v>
      </c>
      <c r="J6011" s="7">
        <v>0</v>
      </c>
      <c r="K6011">
        <f t="shared" si="93"/>
        <v>90</v>
      </c>
      <c r="L6011" s="8" t="str" cm="1">
        <f t="array" ref="L6011">_xlfn.IFS(
 AND(K6011&gt;=89,K6011&lt;=92),"3개월",
 AND(K6011&gt;=58,K6011&lt;=62),"2개월",
 AND(K6011&gt;=28,K6011&lt;=32),"1개월",
 AND(K6011=0),"당월",
 TRUE,"그외"
)</f>
        <v>3개월</v>
      </c>
    </row>
    <row r="6012" spans="1:12" x14ac:dyDescent="0.3">
      <c r="A6012" s="5">
        <v>45748</v>
      </c>
      <c r="B6012" s="6" t="s">
        <v>20</v>
      </c>
      <c r="C6012" s="6" t="s">
        <v>24</v>
      </c>
      <c r="D6012" s="5">
        <v>45689</v>
      </c>
      <c r="E6012" s="6" t="s">
        <v>15</v>
      </c>
      <c r="F6012" s="7">
        <v>2564</v>
      </c>
      <c r="G6012" s="7">
        <v>123830.3139625585</v>
      </c>
      <c r="H6012" s="7">
        <v>317500925</v>
      </c>
      <c r="I6012" s="7">
        <v>36674145</v>
      </c>
      <c r="J6012" s="7">
        <v>0</v>
      </c>
      <c r="K6012">
        <f t="shared" si="93"/>
        <v>59</v>
      </c>
      <c r="L6012" s="8" t="str" cm="1">
        <f t="array" ref="L6012">_xlfn.IFS(
 AND(K6012&gt;=89,K6012&lt;=92),"3개월",
 AND(K6012&gt;=58,K6012&lt;=62),"2개월",
 AND(K6012&gt;=28,K6012&lt;=32),"1개월",
 AND(K6012=0),"당월",
 TRUE,"그외"
)</f>
        <v>2개월</v>
      </c>
    </row>
    <row r="6013" spans="1:12" x14ac:dyDescent="0.3">
      <c r="A6013" s="5">
        <v>45748</v>
      </c>
      <c r="B6013" s="6" t="s">
        <v>20</v>
      </c>
      <c r="C6013" s="6" t="s">
        <v>24</v>
      </c>
      <c r="D6013" s="5">
        <v>45717</v>
      </c>
      <c r="E6013" s="6" t="s">
        <v>14</v>
      </c>
      <c r="F6013" s="7">
        <v>1033</v>
      </c>
      <c r="G6013" s="7">
        <v>141507.26040658279</v>
      </c>
      <c r="H6013" s="7">
        <v>146177000</v>
      </c>
      <c r="I6013" s="7">
        <v>13429000</v>
      </c>
      <c r="J6013" s="7">
        <v>0</v>
      </c>
      <c r="K6013">
        <f t="shared" si="93"/>
        <v>31</v>
      </c>
      <c r="L6013" s="8" t="str" cm="1">
        <f t="array" ref="L6013">_xlfn.IFS(
 AND(K6013&gt;=89,K6013&lt;=92),"3개월",
 AND(K6013&gt;=58,K6013&lt;=62),"2개월",
 AND(K6013&gt;=28,K6013&lt;=32),"1개월",
 AND(K6013=0),"당월",
 TRUE,"그외"
)</f>
        <v>1개월</v>
      </c>
    </row>
    <row r="6014" spans="1:12" x14ac:dyDescent="0.3">
      <c r="A6014" s="5">
        <v>45748</v>
      </c>
      <c r="B6014" s="6" t="s">
        <v>20</v>
      </c>
      <c r="C6014" s="6" t="s">
        <v>24</v>
      </c>
      <c r="D6014" s="5">
        <v>45717</v>
      </c>
      <c r="E6014" s="6" t="s">
        <v>15</v>
      </c>
      <c r="F6014" s="7">
        <v>2577</v>
      </c>
      <c r="G6014" s="7">
        <v>144119.71051610401</v>
      </c>
      <c r="H6014" s="7">
        <v>371396494</v>
      </c>
      <c r="I6014" s="7">
        <v>40667151</v>
      </c>
      <c r="J6014" s="7">
        <v>0</v>
      </c>
      <c r="K6014">
        <f t="shared" si="93"/>
        <v>31</v>
      </c>
      <c r="L6014" s="8" t="str" cm="1">
        <f t="array" ref="L6014">_xlfn.IFS(
 AND(K6014&gt;=89,K6014&lt;=92),"3개월",
 AND(K6014&gt;=58,K6014&lt;=62),"2개월",
 AND(K6014&gt;=28,K6014&lt;=32),"1개월",
 AND(K6014=0),"당월",
 TRUE,"그외"
)</f>
        <v>1개월</v>
      </c>
    </row>
    <row r="6015" spans="1:12" x14ac:dyDescent="0.3">
      <c r="A6015" s="5">
        <v>45748</v>
      </c>
      <c r="B6015" s="6" t="s">
        <v>20</v>
      </c>
      <c r="C6015" s="6" t="s">
        <v>24</v>
      </c>
      <c r="D6015" s="5">
        <v>45748</v>
      </c>
      <c r="E6015" s="6" t="s">
        <v>14</v>
      </c>
      <c r="F6015" s="7">
        <v>451</v>
      </c>
      <c r="G6015" s="7">
        <v>140779.3791574279</v>
      </c>
      <c r="H6015" s="7">
        <v>63491500</v>
      </c>
      <c r="I6015" s="7">
        <v>4572500</v>
      </c>
      <c r="J6015" s="7">
        <v>0</v>
      </c>
      <c r="K6015">
        <f t="shared" si="93"/>
        <v>0</v>
      </c>
      <c r="L6015" s="8" t="str" cm="1">
        <f t="array" ref="L6015">_xlfn.IFS(
 AND(K6015&gt;=89,K6015&lt;=92),"3개월",
 AND(K6015&gt;=58,K6015&lt;=62),"2개월",
 AND(K6015&gt;=28,K6015&lt;=32),"1개월",
 AND(K6015=0),"당월",
 TRUE,"그외"
)</f>
        <v>당월</v>
      </c>
    </row>
    <row r="6016" spans="1:12" x14ac:dyDescent="0.3">
      <c r="A6016" s="5">
        <v>45748</v>
      </c>
      <c r="B6016" s="6" t="s">
        <v>20</v>
      </c>
      <c r="C6016" s="6" t="s">
        <v>24</v>
      </c>
      <c r="D6016" s="5">
        <v>45748</v>
      </c>
      <c r="E6016" s="6" t="s">
        <v>15</v>
      </c>
      <c r="F6016" s="7">
        <v>1555</v>
      </c>
      <c r="G6016" s="7">
        <v>132616.80964630231</v>
      </c>
      <c r="H6016" s="7">
        <v>206219139</v>
      </c>
      <c r="I6016" s="7">
        <v>22203356</v>
      </c>
      <c r="J6016" s="7">
        <v>0</v>
      </c>
      <c r="K6016">
        <f t="shared" si="93"/>
        <v>0</v>
      </c>
      <c r="L6016" s="8" t="str" cm="1">
        <f t="array" ref="L6016">_xlfn.IFS(
 AND(K6016&gt;=89,K6016&lt;=92),"3개월",
 AND(K6016&gt;=58,K6016&lt;=62),"2개월",
 AND(K6016&gt;=28,K6016&lt;=32),"1개월",
 AND(K6016=0),"당월",
 TRUE,"그외"
)</f>
        <v>당월</v>
      </c>
    </row>
    <row r="6017" spans="1:12" x14ac:dyDescent="0.3">
      <c r="A6017" s="5">
        <v>45748</v>
      </c>
      <c r="B6017" s="6" t="s">
        <v>20</v>
      </c>
      <c r="C6017" s="6" t="s">
        <v>27</v>
      </c>
      <c r="D6017" s="5">
        <v>45627</v>
      </c>
      <c r="E6017" s="6" t="s">
        <v>15</v>
      </c>
      <c r="F6017" s="7">
        <v>506</v>
      </c>
      <c r="G6017" s="7">
        <v>119122.9743083004</v>
      </c>
      <c r="H6017" s="7">
        <v>60276225</v>
      </c>
      <c r="I6017" s="7">
        <v>8233321</v>
      </c>
      <c r="J6017" s="7">
        <v>0</v>
      </c>
      <c r="K6017">
        <f t="shared" si="93"/>
        <v>121</v>
      </c>
      <c r="L6017" s="8" t="str" cm="1">
        <f t="array" ref="L6017">_xlfn.IFS(
 AND(K6017&gt;=89,K6017&lt;=92),"3개월",
 AND(K6017&gt;=58,K6017&lt;=62),"2개월",
 AND(K6017&gt;=28,K6017&lt;=32),"1개월",
 AND(K6017=0),"당월",
 TRUE,"그외"
)</f>
        <v>그외</v>
      </c>
    </row>
    <row r="6018" spans="1:12" x14ac:dyDescent="0.3">
      <c r="A6018" s="5">
        <v>45748</v>
      </c>
      <c r="B6018" s="6" t="s">
        <v>20</v>
      </c>
      <c r="C6018" s="6" t="s">
        <v>27</v>
      </c>
      <c r="D6018" s="5">
        <v>45658</v>
      </c>
      <c r="E6018" s="6" t="s">
        <v>14</v>
      </c>
      <c r="F6018" s="7">
        <v>422</v>
      </c>
      <c r="G6018" s="7">
        <v>102294.8033175356</v>
      </c>
      <c r="H6018" s="7">
        <v>43168407</v>
      </c>
      <c r="I6018" s="7">
        <v>12120021</v>
      </c>
      <c r="J6018" s="7">
        <v>0</v>
      </c>
      <c r="K6018">
        <f t="shared" si="93"/>
        <v>90</v>
      </c>
      <c r="L6018" s="8" t="str" cm="1">
        <f t="array" ref="L6018">_xlfn.IFS(
 AND(K6018&gt;=89,K6018&lt;=92),"3개월",
 AND(K6018&gt;=58,K6018&lt;=62),"2개월",
 AND(K6018&gt;=28,K6018&lt;=32),"1개월",
 AND(K6018=0),"당월",
 TRUE,"그외"
)</f>
        <v>3개월</v>
      </c>
    </row>
    <row r="6019" spans="1:12" x14ac:dyDescent="0.3">
      <c r="A6019" s="5">
        <v>45748</v>
      </c>
      <c r="B6019" s="6" t="s">
        <v>20</v>
      </c>
      <c r="C6019" s="6" t="s">
        <v>27</v>
      </c>
      <c r="D6019" s="5">
        <v>45658</v>
      </c>
      <c r="E6019" s="6" t="s">
        <v>15</v>
      </c>
      <c r="F6019" s="7">
        <v>3444</v>
      </c>
      <c r="G6019" s="7">
        <v>131630.3681765389</v>
      </c>
      <c r="H6019" s="7">
        <v>453334988</v>
      </c>
      <c r="I6019" s="7">
        <v>59476530</v>
      </c>
      <c r="J6019" s="7">
        <v>0</v>
      </c>
      <c r="K6019">
        <f t="shared" si="93"/>
        <v>90</v>
      </c>
      <c r="L6019" s="8" t="str" cm="1">
        <f t="array" ref="L6019">_xlfn.IFS(
 AND(K6019&gt;=89,K6019&lt;=92),"3개월",
 AND(K6019&gt;=58,K6019&lt;=62),"2개월",
 AND(K6019&gt;=28,K6019&lt;=32),"1개월",
 AND(K6019=0),"당월",
 TRUE,"그외"
)</f>
        <v>3개월</v>
      </c>
    </row>
    <row r="6020" spans="1:12" x14ac:dyDescent="0.3">
      <c r="A6020" s="5">
        <v>45748</v>
      </c>
      <c r="B6020" s="6" t="s">
        <v>20</v>
      </c>
      <c r="C6020" s="6" t="s">
        <v>27</v>
      </c>
      <c r="D6020" s="5">
        <v>45689</v>
      </c>
      <c r="E6020" s="6" t="s">
        <v>14</v>
      </c>
      <c r="F6020" s="7">
        <v>1722</v>
      </c>
      <c r="G6020" s="7">
        <v>104477.8826945412</v>
      </c>
      <c r="H6020" s="7">
        <v>179910914</v>
      </c>
      <c r="I6020" s="7">
        <v>30560733</v>
      </c>
      <c r="J6020" s="7">
        <v>0</v>
      </c>
      <c r="K6020">
        <f t="shared" si="93"/>
        <v>59</v>
      </c>
      <c r="L6020" s="8" t="str" cm="1">
        <f t="array" ref="L6020">_xlfn.IFS(
 AND(K6020&gt;=89,K6020&lt;=92),"3개월",
 AND(K6020&gt;=58,K6020&lt;=62),"2개월",
 AND(K6020&gt;=28,K6020&lt;=32),"1개월",
 AND(K6020=0),"당월",
 TRUE,"그외"
)</f>
        <v>2개월</v>
      </c>
    </row>
    <row r="6021" spans="1:12" x14ac:dyDescent="0.3">
      <c r="A6021" s="5">
        <v>45748</v>
      </c>
      <c r="B6021" s="6" t="s">
        <v>20</v>
      </c>
      <c r="C6021" s="6" t="s">
        <v>27</v>
      </c>
      <c r="D6021" s="5">
        <v>45689</v>
      </c>
      <c r="E6021" s="6" t="s">
        <v>15</v>
      </c>
      <c r="F6021" s="7">
        <v>6179</v>
      </c>
      <c r="G6021" s="7">
        <v>136508.86583589579</v>
      </c>
      <c r="H6021" s="7">
        <v>843488282</v>
      </c>
      <c r="I6021" s="7">
        <v>101623078</v>
      </c>
      <c r="J6021" s="7">
        <v>0</v>
      </c>
      <c r="K6021">
        <f t="shared" si="93"/>
        <v>59</v>
      </c>
      <c r="L6021" s="8" t="str" cm="1">
        <f t="array" ref="L6021">_xlfn.IFS(
 AND(K6021&gt;=89,K6021&lt;=92),"3개월",
 AND(K6021&gt;=58,K6021&lt;=62),"2개월",
 AND(K6021&gt;=28,K6021&lt;=32),"1개월",
 AND(K6021=0),"당월",
 TRUE,"그외"
)</f>
        <v>2개월</v>
      </c>
    </row>
    <row r="6022" spans="1:12" x14ac:dyDescent="0.3">
      <c r="A6022" s="5">
        <v>45748</v>
      </c>
      <c r="B6022" s="6" t="s">
        <v>20</v>
      </c>
      <c r="C6022" s="6" t="s">
        <v>27</v>
      </c>
      <c r="D6022" s="5">
        <v>45717</v>
      </c>
      <c r="E6022" s="6" t="s">
        <v>14</v>
      </c>
      <c r="F6022" s="7">
        <v>2451</v>
      </c>
      <c r="G6022" s="7">
        <v>119270.5618115055</v>
      </c>
      <c r="H6022" s="7">
        <v>292332147</v>
      </c>
      <c r="I6022" s="7">
        <v>43480525</v>
      </c>
      <c r="J6022" s="7">
        <v>0</v>
      </c>
      <c r="K6022">
        <f t="shared" si="93"/>
        <v>31</v>
      </c>
      <c r="L6022" s="8" t="str" cm="1">
        <f t="array" ref="L6022">_xlfn.IFS(
 AND(K6022&gt;=89,K6022&lt;=92),"3개월",
 AND(K6022&gt;=58,K6022&lt;=62),"2개월",
 AND(K6022&gt;=28,K6022&lt;=32),"1개월",
 AND(K6022=0),"당월",
 TRUE,"그외"
)</f>
        <v>1개월</v>
      </c>
    </row>
    <row r="6023" spans="1:12" x14ac:dyDescent="0.3">
      <c r="A6023" s="5">
        <v>45748</v>
      </c>
      <c r="B6023" s="6" t="s">
        <v>20</v>
      </c>
      <c r="C6023" s="6" t="s">
        <v>27</v>
      </c>
      <c r="D6023" s="5">
        <v>45717</v>
      </c>
      <c r="E6023" s="6" t="s">
        <v>15</v>
      </c>
      <c r="F6023" s="7">
        <v>15334</v>
      </c>
      <c r="G6023" s="7">
        <v>98981.503325942351</v>
      </c>
      <c r="H6023" s="7">
        <v>1517782372</v>
      </c>
      <c r="I6023" s="7">
        <v>256734121</v>
      </c>
      <c r="J6023" s="7">
        <v>0</v>
      </c>
      <c r="K6023">
        <f t="shared" si="93"/>
        <v>31</v>
      </c>
      <c r="L6023" s="8" t="str" cm="1">
        <f t="array" ref="L6023">_xlfn.IFS(
 AND(K6023&gt;=89,K6023&lt;=92),"3개월",
 AND(K6023&gt;=58,K6023&lt;=62),"2개월",
 AND(K6023&gt;=28,K6023&lt;=32),"1개월",
 AND(K6023=0),"당월",
 TRUE,"그외"
)</f>
        <v>1개월</v>
      </c>
    </row>
    <row r="6024" spans="1:12" x14ac:dyDescent="0.3">
      <c r="A6024" s="5">
        <v>45748</v>
      </c>
      <c r="B6024" s="6" t="s">
        <v>20</v>
      </c>
      <c r="C6024" s="6" t="s">
        <v>27</v>
      </c>
      <c r="D6024" s="5">
        <v>45748</v>
      </c>
      <c r="E6024" s="6" t="s">
        <v>14</v>
      </c>
      <c r="F6024" s="7">
        <v>2179</v>
      </c>
      <c r="G6024" s="7">
        <v>115534.9788893988</v>
      </c>
      <c r="H6024" s="7">
        <v>251750719</v>
      </c>
      <c r="I6024" s="7">
        <v>22519909</v>
      </c>
      <c r="J6024" s="7">
        <v>0</v>
      </c>
      <c r="K6024">
        <f t="shared" si="93"/>
        <v>0</v>
      </c>
      <c r="L6024" s="8" t="str" cm="1">
        <f t="array" ref="L6024">_xlfn.IFS(
 AND(K6024&gt;=89,K6024&lt;=92),"3개월",
 AND(K6024&gt;=58,K6024&lt;=62),"2개월",
 AND(K6024&gt;=28,K6024&lt;=32),"1개월",
 AND(K6024=0),"당월",
 TRUE,"그외"
)</f>
        <v>당월</v>
      </c>
    </row>
    <row r="6025" spans="1:12" x14ac:dyDescent="0.3">
      <c r="A6025" s="5">
        <v>45748</v>
      </c>
      <c r="B6025" s="6" t="s">
        <v>20</v>
      </c>
      <c r="C6025" s="6" t="s">
        <v>27</v>
      </c>
      <c r="D6025" s="5">
        <v>45748</v>
      </c>
      <c r="E6025" s="6" t="s">
        <v>15</v>
      </c>
      <c r="F6025" s="7">
        <v>7645</v>
      </c>
      <c r="G6025" s="7">
        <v>93877.210595160243</v>
      </c>
      <c r="H6025" s="7">
        <v>717691275</v>
      </c>
      <c r="I6025" s="7">
        <v>136289862</v>
      </c>
      <c r="J6025" s="7">
        <v>0</v>
      </c>
      <c r="K6025">
        <f t="shared" si="93"/>
        <v>0</v>
      </c>
      <c r="L6025" s="8" t="str" cm="1">
        <f t="array" ref="L6025">_xlfn.IFS(
 AND(K6025&gt;=89,K6025&lt;=92),"3개월",
 AND(K6025&gt;=58,K6025&lt;=62),"2개월",
 AND(K6025&gt;=28,K6025&lt;=32),"1개월",
 AND(K6025=0),"당월",
 TRUE,"그외"
)</f>
        <v>당월</v>
      </c>
    </row>
    <row r="6026" spans="1:12" x14ac:dyDescent="0.3">
      <c r="A6026" s="5">
        <v>45748</v>
      </c>
      <c r="B6026" s="6" t="s">
        <v>20</v>
      </c>
      <c r="C6026" s="6" t="s">
        <v>28</v>
      </c>
      <c r="D6026" s="5">
        <v>45627</v>
      </c>
      <c r="E6026" s="6" t="s">
        <v>15</v>
      </c>
      <c r="F6026" s="7">
        <v>92</v>
      </c>
      <c r="G6026" s="7">
        <v>134687.57608695651</v>
      </c>
      <c r="H6026" s="7">
        <v>12391257</v>
      </c>
      <c r="I6026" s="7">
        <v>1074099</v>
      </c>
      <c r="J6026" s="7">
        <v>0</v>
      </c>
      <c r="K6026">
        <f t="shared" ref="K6026:K6089" si="94">A6026-D6026</f>
        <v>121</v>
      </c>
      <c r="L6026" s="8" t="str" cm="1">
        <f t="array" ref="L6026">_xlfn.IFS(
 AND(K6026&gt;=89,K6026&lt;=92),"3개월",
 AND(K6026&gt;=58,K6026&lt;=62),"2개월",
 AND(K6026&gt;=28,K6026&lt;=32),"1개월",
 AND(K6026=0),"당월",
 TRUE,"그외"
)</f>
        <v>그외</v>
      </c>
    </row>
    <row r="6027" spans="1:12" x14ac:dyDescent="0.3">
      <c r="A6027" s="5">
        <v>45748</v>
      </c>
      <c r="B6027" s="6" t="s">
        <v>20</v>
      </c>
      <c r="C6027" s="6" t="s">
        <v>28</v>
      </c>
      <c r="D6027" s="5">
        <v>45658</v>
      </c>
      <c r="E6027" s="6" t="s">
        <v>15</v>
      </c>
      <c r="F6027" s="7">
        <v>1233</v>
      </c>
      <c r="G6027" s="7">
        <v>117988.6504460665</v>
      </c>
      <c r="H6027" s="7">
        <v>145480006</v>
      </c>
      <c r="I6027" s="7">
        <v>15942459</v>
      </c>
      <c r="J6027" s="7">
        <v>0</v>
      </c>
      <c r="K6027">
        <f t="shared" si="94"/>
        <v>90</v>
      </c>
      <c r="L6027" s="8" t="str" cm="1">
        <f t="array" ref="L6027">_xlfn.IFS(
 AND(K6027&gt;=89,K6027&lt;=92),"3개월",
 AND(K6027&gt;=58,K6027&lt;=62),"2개월",
 AND(K6027&gt;=28,K6027&lt;=32),"1개월",
 AND(K6027=0),"당월",
 TRUE,"그외"
)</f>
        <v>3개월</v>
      </c>
    </row>
    <row r="6028" spans="1:12" x14ac:dyDescent="0.3">
      <c r="A6028" s="5">
        <v>45748</v>
      </c>
      <c r="B6028" s="6" t="s">
        <v>20</v>
      </c>
      <c r="C6028" s="6" t="s">
        <v>28</v>
      </c>
      <c r="D6028" s="5">
        <v>45689</v>
      </c>
      <c r="E6028" s="6" t="s">
        <v>14</v>
      </c>
      <c r="F6028" s="7">
        <v>183</v>
      </c>
      <c r="G6028" s="7">
        <v>111153.55191256831</v>
      </c>
      <c r="H6028" s="7">
        <v>20341100</v>
      </c>
      <c r="I6028" s="7">
        <v>2141100</v>
      </c>
      <c r="J6028" s="7">
        <v>0</v>
      </c>
      <c r="K6028">
        <f t="shared" si="94"/>
        <v>59</v>
      </c>
      <c r="L6028" s="8" t="str" cm="1">
        <f t="array" ref="L6028">_xlfn.IFS(
 AND(K6028&gt;=89,K6028&lt;=92),"3개월",
 AND(K6028&gt;=58,K6028&lt;=62),"2개월",
 AND(K6028&gt;=28,K6028&lt;=32),"1개월",
 AND(K6028=0),"당월",
 TRUE,"그외"
)</f>
        <v>2개월</v>
      </c>
    </row>
    <row r="6029" spans="1:12" x14ac:dyDescent="0.3">
      <c r="A6029" s="5">
        <v>45748</v>
      </c>
      <c r="B6029" s="6" t="s">
        <v>20</v>
      </c>
      <c r="C6029" s="6" t="s">
        <v>28</v>
      </c>
      <c r="D6029" s="5">
        <v>45689</v>
      </c>
      <c r="E6029" s="6" t="s">
        <v>15</v>
      </c>
      <c r="F6029" s="7">
        <v>2947</v>
      </c>
      <c r="G6029" s="7">
        <v>127818.1350525959</v>
      </c>
      <c r="H6029" s="7">
        <v>376680044</v>
      </c>
      <c r="I6029" s="7">
        <v>38925962</v>
      </c>
      <c r="J6029" s="7">
        <v>0</v>
      </c>
      <c r="K6029">
        <f t="shared" si="94"/>
        <v>59</v>
      </c>
      <c r="L6029" s="8" t="str" cm="1">
        <f t="array" ref="L6029">_xlfn.IFS(
 AND(K6029&gt;=89,K6029&lt;=92),"3개월",
 AND(K6029&gt;=58,K6029&lt;=62),"2개월",
 AND(K6029&gt;=28,K6029&lt;=32),"1개월",
 AND(K6029=0),"당월",
 TRUE,"그외"
)</f>
        <v>2개월</v>
      </c>
    </row>
    <row r="6030" spans="1:12" x14ac:dyDescent="0.3">
      <c r="A6030" s="5">
        <v>45748</v>
      </c>
      <c r="B6030" s="6" t="s">
        <v>20</v>
      </c>
      <c r="C6030" s="6" t="s">
        <v>28</v>
      </c>
      <c r="D6030" s="5">
        <v>45717</v>
      </c>
      <c r="E6030" s="6" t="s">
        <v>14</v>
      </c>
      <c r="F6030" s="7">
        <v>1325</v>
      </c>
      <c r="G6030" s="7">
        <v>124796.22641509429</v>
      </c>
      <c r="H6030" s="7">
        <v>165355000</v>
      </c>
      <c r="I6030" s="7">
        <v>17225000</v>
      </c>
      <c r="J6030" s="7">
        <v>0</v>
      </c>
      <c r="K6030">
        <f t="shared" si="94"/>
        <v>31</v>
      </c>
      <c r="L6030" s="8" t="str" cm="1">
        <f t="array" ref="L6030">_xlfn.IFS(
 AND(K6030&gt;=89,K6030&lt;=92),"3개월",
 AND(K6030&gt;=58,K6030&lt;=62),"2개월",
 AND(K6030&gt;=28,K6030&lt;=32),"1개월",
 AND(K6030=0),"당월",
 TRUE,"그외"
)</f>
        <v>1개월</v>
      </c>
    </row>
    <row r="6031" spans="1:12" x14ac:dyDescent="0.3">
      <c r="A6031" s="5">
        <v>45748</v>
      </c>
      <c r="B6031" s="6" t="s">
        <v>20</v>
      </c>
      <c r="C6031" s="6" t="s">
        <v>28</v>
      </c>
      <c r="D6031" s="5">
        <v>45717</v>
      </c>
      <c r="E6031" s="6" t="s">
        <v>15</v>
      </c>
      <c r="F6031" s="7">
        <v>3031</v>
      </c>
      <c r="G6031" s="7">
        <v>122846.87759815239</v>
      </c>
      <c r="H6031" s="7">
        <v>372348886</v>
      </c>
      <c r="I6031" s="7">
        <v>46192831</v>
      </c>
      <c r="J6031" s="7">
        <v>0</v>
      </c>
      <c r="K6031">
        <f t="shared" si="94"/>
        <v>31</v>
      </c>
      <c r="L6031" s="8" t="str" cm="1">
        <f t="array" ref="L6031">_xlfn.IFS(
 AND(K6031&gt;=89,K6031&lt;=92),"3개월",
 AND(K6031&gt;=58,K6031&lt;=62),"2개월",
 AND(K6031&gt;=28,K6031&lt;=32),"1개월",
 AND(K6031=0),"당월",
 TRUE,"그외"
)</f>
        <v>1개월</v>
      </c>
    </row>
    <row r="6032" spans="1:12" x14ac:dyDescent="0.3">
      <c r="A6032" s="5">
        <v>45748</v>
      </c>
      <c r="B6032" s="6" t="s">
        <v>20</v>
      </c>
      <c r="C6032" s="6" t="s">
        <v>28</v>
      </c>
      <c r="D6032" s="5">
        <v>45748</v>
      </c>
      <c r="E6032" s="6" t="s">
        <v>14</v>
      </c>
      <c r="F6032" s="7">
        <v>336</v>
      </c>
      <c r="G6032" s="7">
        <v>125377.3809523809</v>
      </c>
      <c r="H6032" s="7">
        <v>42126800</v>
      </c>
      <c r="I6032" s="7">
        <v>3416800</v>
      </c>
      <c r="J6032" s="7">
        <v>0</v>
      </c>
      <c r="K6032">
        <f t="shared" si="94"/>
        <v>0</v>
      </c>
      <c r="L6032" s="8" t="str" cm="1">
        <f t="array" ref="L6032">_xlfn.IFS(
 AND(K6032&gt;=89,K6032&lt;=92),"3개월",
 AND(K6032&gt;=58,K6032&lt;=62),"2개월",
 AND(K6032&gt;=28,K6032&lt;=32),"1개월",
 AND(K6032=0),"당월",
 TRUE,"그외"
)</f>
        <v>당월</v>
      </c>
    </row>
    <row r="6033" spans="1:12" x14ac:dyDescent="0.3">
      <c r="A6033" s="5">
        <v>45748</v>
      </c>
      <c r="B6033" s="6" t="s">
        <v>20</v>
      </c>
      <c r="C6033" s="6" t="s">
        <v>28</v>
      </c>
      <c r="D6033" s="5">
        <v>45748</v>
      </c>
      <c r="E6033" s="6" t="s">
        <v>15</v>
      </c>
      <c r="F6033" s="7">
        <v>1521</v>
      </c>
      <c r="G6033" s="7">
        <v>102364.8573307035</v>
      </c>
      <c r="H6033" s="7">
        <v>155696948</v>
      </c>
      <c r="I6033" s="7">
        <v>23640394</v>
      </c>
      <c r="J6033" s="7">
        <v>0</v>
      </c>
      <c r="K6033">
        <f t="shared" si="94"/>
        <v>0</v>
      </c>
      <c r="L6033" s="8" t="str" cm="1">
        <f t="array" ref="L6033">_xlfn.IFS(
 AND(K6033&gt;=89,K6033&lt;=92),"3개월",
 AND(K6033&gt;=58,K6033&lt;=62),"2개월",
 AND(K6033&gt;=28,K6033&lt;=32),"1개월",
 AND(K6033=0),"당월",
 TRUE,"그외"
)</f>
        <v>당월</v>
      </c>
    </row>
    <row r="6034" spans="1:12" x14ac:dyDescent="0.3">
      <c r="A6034" s="5">
        <v>45748</v>
      </c>
      <c r="B6034" s="6" t="s">
        <v>20</v>
      </c>
      <c r="C6034" s="6" t="s">
        <v>29</v>
      </c>
      <c r="D6034" s="5">
        <v>45627</v>
      </c>
      <c r="E6034" s="6" t="s">
        <v>15</v>
      </c>
      <c r="F6034" s="7">
        <v>533</v>
      </c>
      <c r="G6034" s="7">
        <v>131522.75797373359</v>
      </c>
      <c r="H6034" s="7">
        <v>70101630</v>
      </c>
      <c r="I6034" s="7">
        <v>6340416</v>
      </c>
      <c r="J6034" s="7">
        <v>0</v>
      </c>
      <c r="K6034">
        <f t="shared" si="94"/>
        <v>121</v>
      </c>
      <c r="L6034" s="8" t="str" cm="1">
        <f t="array" ref="L6034">_xlfn.IFS(
 AND(K6034&gt;=89,K6034&lt;=92),"3개월",
 AND(K6034&gt;=58,K6034&lt;=62),"2개월",
 AND(K6034&gt;=28,K6034&lt;=32),"1개월",
 AND(K6034=0),"당월",
 TRUE,"그외"
)</f>
        <v>그외</v>
      </c>
    </row>
    <row r="6035" spans="1:12" x14ac:dyDescent="0.3">
      <c r="A6035" s="5">
        <v>45748</v>
      </c>
      <c r="B6035" s="6" t="s">
        <v>20</v>
      </c>
      <c r="C6035" s="6" t="s">
        <v>29</v>
      </c>
      <c r="D6035" s="5">
        <v>45658</v>
      </c>
      <c r="E6035" s="6" t="s">
        <v>14</v>
      </c>
      <c r="F6035" s="7">
        <v>17</v>
      </c>
      <c r="G6035" s="7">
        <v>167883.82352941181</v>
      </c>
      <c r="H6035" s="7">
        <v>2854025</v>
      </c>
      <c r="I6035" s="7">
        <v>278673</v>
      </c>
      <c r="J6035" s="7">
        <v>0</v>
      </c>
      <c r="K6035">
        <f t="shared" si="94"/>
        <v>90</v>
      </c>
      <c r="L6035" s="8" t="str" cm="1">
        <f t="array" ref="L6035">_xlfn.IFS(
 AND(K6035&gt;=89,K6035&lt;=92),"3개월",
 AND(K6035&gt;=58,K6035&lt;=62),"2개월",
 AND(K6035&gt;=28,K6035&lt;=32),"1개월",
 AND(K6035=0),"당월",
 TRUE,"그외"
)</f>
        <v>3개월</v>
      </c>
    </row>
    <row r="6036" spans="1:12" x14ac:dyDescent="0.3">
      <c r="A6036" s="5">
        <v>45748</v>
      </c>
      <c r="B6036" s="6" t="s">
        <v>20</v>
      </c>
      <c r="C6036" s="6" t="s">
        <v>29</v>
      </c>
      <c r="D6036" s="5">
        <v>45658</v>
      </c>
      <c r="E6036" s="6" t="s">
        <v>15</v>
      </c>
      <c r="F6036" s="7">
        <v>2362</v>
      </c>
      <c r="G6036" s="7">
        <v>125698.8852667231</v>
      </c>
      <c r="H6036" s="7">
        <v>296900767</v>
      </c>
      <c r="I6036" s="7">
        <v>29187590</v>
      </c>
      <c r="J6036" s="7">
        <v>0</v>
      </c>
      <c r="K6036">
        <f t="shared" si="94"/>
        <v>90</v>
      </c>
      <c r="L6036" s="8" t="str" cm="1">
        <f t="array" ref="L6036">_xlfn.IFS(
 AND(K6036&gt;=89,K6036&lt;=92),"3개월",
 AND(K6036&gt;=58,K6036&lt;=62),"2개월",
 AND(K6036&gt;=28,K6036&lt;=32),"1개월",
 AND(K6036=0),"당월",
 TRUE,"그외"
)</f>
        <v>3개월</v>
      </c>
    </row>
    <row r="6037" spans="1:12" x14ac:dyDescent="0.3">
      <c r="A6037" s="5">
        <v>45748</v>
      </c>
      <c r="B6037" s="6" t="s">
        <v>20</v>
      </c>
      <c r="C6037" s="6" t="s">
        <v>29</v>
      </c>
      <c r="D6037" s="5">
        <v>45689</v>
      </c>
      <c r="E6037" s="6" t="s">
        <v>14</v>
      </c>
      <c r="F6037" s="7">
        <v>316</v>
      </c>
      <c r="G6037" s="7">
        <v>177579.74683544299</v>
      </c>
      <c r="H6037" s="7">
        <v>56115200</v>
      </c>
      <c r="I6037" s="7">
        <v>3697200</v>
      </c>
      <c r="J6037" s="7">
        <v>0</v>
      </c>
      <c r="K6037">
        <f t="shared" si="94"/>
        <v>59</v>
      </c>
      <c r="L6037" s="8" t="str" cm="1">
        <f t="array" ref="L6037">_xlfn.IFS(
 AND(K6037&gt;=89,K6037&lt;=92),"3개월",
 AND(K6037&gt;=58,K6037&lt;=62),"2개월",
 AND(K6037&gt;=28,K6037&lt;=32),"1개월",
 AND(K6037=0),"당월",
 TRUE,"그외"
)</f>
        <v>2개월</v>
      </c>
    </row>
    <row r="6038" spans="1:12" x14ac:dyDescent="0.3">
      <c r="A6038" s="5">
        <v>45748</v>
      </c>
      <c r="B6038" s="6" t="s">
        <v>20</v>
      </c>
      <c r="C6038" s="6" t="s">
        <v>29</v>
      </c>
      <c r="D6038" s="5">
        <v>45689</v>
      </c>
      <c r="E6038" s="6" t="s">
        <v>15</v>
      </c>
      <c r="F6038" s="7">
        <v>3887</v>
      </c>
      <c r="G6038" s="7">
        <v>148889.12374581941</v>
      </c>
      <c r="H6038" s="7">
        <v>578732024</v>
      </c>
      <c r="I6038" s="7">
        <v>50067387</v>
      </c>
      <c r="J6038" s="7">
        <v>0</v>
      </c>
      <c r="K6038">
        <f t="shared" si="94"/>
        <v>59</v>
      </c>
      <c r="L6038" s="8" t="str" cm="1">
        <f t="array" ref="L6038">_xlfn.IFS(
 AND(K6038&gt;=89,K6038&lt;=92),"3개월",
 AND(K6038&gt;=58,K6038&lt;=62),"2개월",
 AND(K6038&gt;=28,K6038&lt;=32),"1개월",
 AND(K6038=0),"당월",
 TRUE,"그외"
)</f>
        <v>2개월</v>
      </c>
    </row>
    <row r="6039" spans="1:12" x14ac:dyDescent="0.3">
      <c r="A6039" s="5">
        <v>45748</v>
      </c>
      <c r="B6039" s="6" t="s">
        <v>20</v>
      </c>
      <c r="C6039" s="6" t="s">
        <v>29</v>
      </c>
      <c r="D6039" s="5">
        <v>45717</v>
      </c>
      <c r="E6039" s="6" t="s">
        <v>14</v>
      </c>
      <c r="F6039" s="7">
        <v>1649</v>
      </c>
      <c r="G6039" s="7">
        <v>148086.23650697389</v>
      </c>
      <c r="H6039" s="7">
        <v>244194204</v>
      </c>
      <c r="I6039" s="7">
        <v>21706750</v>
      </c>
      <c r="J6039" s="7">
        <v>0</v>
      </c>
      <c r="K6039">
        <f t="shared" si="94"/>
        <v>31</v>
      </c>
      <c r="L6039" s="8" t="str" cm="1">
        <f t="array" ref="L6039">_xlfn.IFS(
 AND(K6039&gt;=89,K6039&lt;=92),"3개월",
 AND(K6039&gt;=58,K6039&lt;=62),"2개월",
 AND(K6039&gt;=28,K6039&lt;=32),"1개월",
 AND(K6039=0),"당월",
 TRUE,"그외"
)</f>
        <v>1개월</v>
      </c>
    </row>
    <row r="6040" spans="1:12" x14ac:dyDescent="0.3">
      <c r="A6040" s="5">
        <v>45748</v>
      </c>
      <c r="B6040" s="6" t="s">
        <v>20</v>
      </c>
      <c r="C6040" s="6" t="s">
        <v>29</v>
      </c>
      <c r="D6040" s="5">
        <v>45717</v>
      </c>
      <c r="E6040" s="6" t="s">
        <v>15</v>
      </c>
      <c r="F6040" s="7">
        <v>6198</v>
      </c>
      <c r="G6040" s="7">
        <v>132207.87108744759</v>
      </c>
      <c r="H6040" s="7">
        <v>819424385</v>
      </c>
      <c r="I6040" s="7">
        <v>94950633</v>
      </c>
      <c r="J6040" s="7">
        <v>0</v>
      </c>
      <c r="K6040">
        <f t="shared" si="94"/>
        <v>31</v>
      </c>
      <c r="L6040" s="8" t="str" cm="1">
        <f t="array" ref="L6040">_xlfn.IFS(
 AND(K6040&gt;=89,K6040&lt;=92),"3개월",
 AND(K6040&gt;=58,K6040&lt;=62),"2개월",
 AND(K6040&gt;=28,K6040&lt;=32),"1개월",
 AND(K6040=0),"당월",
 TRUE,"그외"
)</f>
        <v>1개월</v>
      </c>
    </row>
    <row r="6041" spans="1:12" x14ac:dyDescent="0.3">
      <c r="A6041" s="5">
        <v>45748</v>
      </c>
      <c r="B6041" s="6" t="s">
        <v>20</v>
      </c>
      <c r="C6041" s="6" t="s">
        <v>29</v>
      </c>
      <c r="D6041" s="5">
        <v>45748</v>
      </c>
      <c r="E6041" s="6" t="s">
        <v>14</v>
      </c>
      <c r="F6041" s="7">
        <v>1595</v>
      </c>
      <c r="G6041" s="7">
        <v>148312.16300940441</v>
      </c>
      <c r="H6041" s="7">
        <v>236557900</v>
      </c>
      <c r="I6041" s="7">
        <v>16126900</v>
      </c>
      <c r="J6041" s="7">
        <v>0</v>
      </c>
      <c r="K6041">
        <f t="shared" si="94"/>
        <v>0</v>
      </c>
      <c r="L6041" s="8" t="str" cm="1">
        <f t="array" ref="L6041">_xlfn.IFS(
 AND(K6041&gt;=89,K6041&lt;=92),"3개월",
 AND(K6041&gt;=58,K6041&lt;=62),"2개월",
 AND(K6041&gt;=28,K6041&lt;=32),"1개월",
 AND(K6041=0),"당월",
 TRUE,"그외"
)</f>
        <v>당월</v>
      </c>
    </row>
    <row r="6042" spans="1:12" x14ac:dyDescent="0.3">
      <c r="A6042" s="5">
        <v>45748</v>
      </c>
      <c r="B6042" s="6" t="s">
        <v>20</v>
      </c>
      <c r="C6042" s="6" t="s">
        <v>29</v>
      </c>
      <c r="D6042" s="5">
        <v>45748</v>
      </c>
      <c r="E6042" s="6" t="s">
        <v>15</v>
      </c>
      <c r="F6042" s="7">
        <v>3780</v>
      </c>
      <c r="G6042" s="7">
        <v>123747.5830687831</v>
      </c>
      <c r="H6042" s="7">
        <v>467765864</v>
      </c>
      <c r="I6042" s="7">
        <v>57802989</v>
      </c>
      <c r="J6042" s="7">
        <v>0</v>
      </c>
      <c r="K6042">
        <f t="shared" si="94"/>
        <v>0</v>
      </c>
      <c r="L6042" s="8" t="str" cm="1">
        <f t="array" ref="L6042">_xlfn.IFS(
 AND(K6042&gt;=89,K6042&lt;=92),"3개월",
 AND(K6042&gt;=58,K6042&lt;=62),"2개월",
 AND(K6042&gt;=28,K6042&lt;=32),"1개월",
 AND(K6042=0),"당월",
 TRUE,"그외"
)</f>
        <v>당월</v>
      </c>
    </row>
    <row r="6043" spans="1:12" x14ac:dyDescent="0.3">
      <c r="A6043" s="5">
        <v>45748</v>
      </c>
      <c r="B6043" s="6" t="s">
        <v>20</v>
      </c>
      <c r="C6043" s="6" t="s">
        <v>30</v>
      </c>
      <c r="D6043" s="5">
        <v>45627</v>
      </c>
      <c r="E6043" s="6" t="s">
        <v>15</v>
      </c>
      <c r="F6043" s="7">
        <v>102</v>
      </c>
      <c r="G6043" s="7">
        <v>149192.92156862741</v>
      </c>
      <c r="H6043" s="7">
        <v>15217678</v>
      </c>
      <c r="I6043" s="7">
        <v>1237998</v>
      </c>
      <c r="J6043" s="7">
        <v>0</v>
      </c>
      <c r="K6043">
        <f t="shared" si="94"/>
        <v>121</v>
      </c>
      <c r="L6043" s="8" t="str" cm="1">
        <f t="array" ref="L6043">_xlfn.IFS(
 AND(K6043&gt;=89,K6043&lt;=92),"3개월",
 AND(K6043&gt;=58,K6043&lt;=62),"2개월",
 AND(K6043&gt;=28,K6043&lt;=32),"1개월",
 AND(K6043=0),"당월",
 TRUE,"그외"
)</f>
        <v>그외</v>
      </c>
    </row>
    <row r="6044" spans="1:12" x14ac:dyDescent="0.3">
      <c r="A6044" s="5">
        <v>45748</v>
      </c>
      <c r="B6044" s="6" t="s">
        <v>20</v>
      </c>
      <c r="C6044" s="6" t="s">
        <v>30</v>
      </c>
      <c r="D6044" s="5">
        <v>45658</v>
      </c>
      <c r="E6044" s="6" t="s">
        <v>15</v>
      </c>
      <c r="F6044" s="7">
        <v>858</v>
      </c>
      <c r="G6044" s="7">
        <v>157439.71095571099</v>
      </c>
      <c r="H6044" s="7">
        <v>135083272</v>
      </c>
      <c r="I6044" s="7">
        <v>10831855</v>
      </c>
      <c r="J6044" s="7">
        <v>0</v>
      </c>
      <c r="K6044">
        <f t="shared" si="94"/>
        <v>90</v>
      </c>
      <c r="L6044" s="8" t="str" cm="1">
        <f t="array" ref="L6044">_xlfn.IFS(
 AND(K6044&gt;=89,K6044&lt;=92),"3개월",
 AND(K6044&gt;=58,K6044&lt;=62),"2개월",
 AND(K6044&gt;=28,K6044&lt;=32),"1개월",
 AND(K6044=0),"당월",
 TRUE,"그외"
)</f>
        <v>3개월</v>
      </c>
    </row>
    <row r="6045" spans="1:12" x14ac:dyDescent="0.3">
      <c r="A6045" s="5">
        <v>45748</v>
      </c>
      <c r="B6045" s="6" t="s">
        <v>20</v>
      </c>
      <c r="C6045" s="6" t="s">
        <v>30</v>
      </c>
      <c r="D6045" s="5">
        <v>45689</v>
      </c>
      <c r="E6045" s="6" t="s">
        <v>14</v>
      </c>
      <c r="F6045" s="7">
        <v>366</v>
      </c>
      <c r="G6045" s="7">
        <v>148934.97267759559</v>
      </c>
      <c r="H6045" s="7">
        <v>54510200</v>
      </c>
      <c r="I6045" s="7">
        <v>4282200</v>
      </c>
      <c r="J6045" s="7">
        <v>0</v>
      </c>
      <c r="K6045">
        <f t="shared" si="94"/>
        <v>59</v>
      </c>
      <c r="L6045" s="8" t="str" cm="1">
        <f t="array" ref="L6045">_xlfn.IFS(
 AND(K6045&gt;=89,K6045&lt;=92),"3개월",
 AND(K6045&gt;=58,K6045&lt;=62),"2개월",
 AND(K6045&gt;=28,K6045&lt;=32),"1개월",
 AND(K6045=0),"당월",
 TRUE,"그외"
)</f>
        <v>2개월</v>
      </c>
    </row>
    <row r="6046" spans="1:12" x14ac:dyDescent="0.3">
      <c r="A6046" s="5">
        <v>45748</v>
      </c>
      <c r="B6046" s="6" t="s">
        <v>20</v>
      </c>
      <c r="C6046" s="6" t="s">
        <v>30</v>
      </c>
      <c r="D6046" s="5">
        <v>45689</v>
      </c>
      <c r="E6046" s="6" t="s">
        <v>15</v>
      </c>
      <c r="F6046" s="7">
        <v>1216</v>
      </c>
      <c r="G6046" s="7">
        <v>169593.359375</v>
      </c>
      <c r="H6046" s="7">
        <v>206225525</v>
      </c>
      <c r="I6046" s="7">
        <v>16617785</v>
      </c>
      <c r="J6046" s="7">
        <v>0</v>
      </c>
      <c r="K6046">
        <f t="shared" si="94"/>
        <v>59</v>
      </c>
      <c r="L6046" s="8" t="str" cm="1">
        <f t="array" ref="L6046">_xlfn.IFS(
 AND(K6046&gt;=89,K6046&lt;=92),"3개월",
 AND(K6046&gt;=58,K6046&lt;=62),"2개월",
 AND(K6046&gt;=28,K6046&lt;=32),"1개월",
 AND(K6046=0),"당월",
 TRUE,"그외"
)</f>
        <v>2개월</v>
      </c>
    </row>
    <row r="6047" spans="1:12" x14ac:dyDescent="0.3">
      <c r="A6047" s="5">
        <v>45748</v>
      </c>
      <c r="B6047" s="6" t="s">
        <v>20</v>
      </c>
      <c r="C6047" s="6" t="s">
        <v>30</v>
      </c>
      <c r="D6047" s="5">
        <v>45717</v>
      </c>
      <c r="E6047" s="6" t="s">
        <v>14</v>
      </c>
      <c r="F6047" s="7">
        <v>1395</v>
      </c>
      <c r="G6047" s="7">
        <v>125126.16487455201</v>
      </c>
      <c r="H6047" s="7">
        <v>174551000</v>
      </c>
      <c r="I6047" s="7">
        <v>18135000</v>
      </c>
      <c r="J6047" s="7">
        <v>0</v>
      </c>
      <c r="K6047">
        <f t="shared" si="94"/>
        <v>31</v>
      </c>
      <c r="L6047" s="8" t="str" cm="1">
        <f t="array" ref="L6047">_xlfn.IFS(
 AND(K6047&gt;=89,K6047&lt;=92),"3개월",
 AND(K6047&gt;=58,K6047&lt;=62),"2개월",
 AND(K6047&gt;=28,K6047&lt;=32),"1개월",
 AND(K6047=0),"당월",
 TRUE,"그외"
)</f>
        <v>1개월</v>
      </c>
    </row>
    <row r="6048" spans="1:12" x14ac:dyDescent="0.3">
      <c r="A6048" s="5">
        <v>45748</v>
      </c>
      <c r="B6048" s="6" t="s">
        <v>20</v>
      </c>
      <c r="C6048" s="6" t="s">
        <v>30</v>
      </c>
      <c r="D6048" s="5">
        <v>45717</v>
      </c>
      <c r="E6048" s="6" t="s">
        <v>15</v>
      </c>
      <c r="F6048" s="7">
        <v>2826</v>
      </c>
      <c r="G6048" s="7">
        <v>119211.3227176221</v>
      </c>
      <c r="H6048" s="7">
        <v>336891198</v>
      </c>
      <c r="I6048" s="7">
        <v>41283833</v>
      </c>
      <c r="J6048" s="7">
        <v>0</v>
      </c>
      <c r="K6048">
        <f t="shared" si="94"/>
        <v>31</v>
      </c>
      <c r="L6048" s="8" t="str" cm="1">
        <f t="array" ref="L6048">_xlfn.IFS(
 AND(K6048&gt;=89,K6048&lt;=92),"3개월",
 AND(K6048&gt;=58,K6048&lt;=62),"2개월",
 AND(K6048&gt;=28,K6048&lt;=32),"1개월",
 AND(K6048=0),"당월",
 TRUE,"그외"
)</f>
        <v>1개월</v>
      </c>
    </row>
    <row r="6049" spans="1:12" x14ac:dyDescent="0.3">
      <c r="A6049" s="5">
        <v>45748</v>
      </c>
      <c r="B6049" s="6" t="s">
        <v>20</v>
      </c>
      <c r="C6049" s="6" t="s">
        <v>30</v>
      </c>
      <c r="D6049" s="5">
        <v>45748</v>
      </c>
      <c r="E6049" s="6" t="s">
        <v>14</v>
      </c>
      <c r="F6049" s="7">
        <v>1155</v>
      </c>
      <c r="G6049" s="7">
        <v>103216.3636363636</v>
      </c>
      <c r="H6049" s="7">
        <v>119214900</v>
      </c>
      <c r="I6049" s="7">
        <v>11807900</v>
      </c>
      <c r="J6049" s="7">
        <v>0</v>
      </c>
      <c r="K6049">
        <f t="shared" si="94"/>
        <v>0</v>
      </c>
      <c r="L6049" s="8" t="str" cm="1">
        <f t="array" ref="L6049">_xlfn.IFS(
 AND(K6049&gt;=89,K6049&lt;=92),"3개월",
 AND(K6049&gt;=58,K6049&lt;=62),"2개월",
 AND(K6049&gt;=28,K6049&lt;=32),"1개월",
 AND(K6049=0),"당월",
 TRUE,"그외"
)</f>
        <v>당월</v>
      </c>
    </row>
    <row r="6050" spans="1:12" x14ac:dyDescent="0.3">
      <c r="A6050" s="5">
        <v>45748</v>
      </c>
      <c r="B6050" s="6" t="s">
        <v>20</v>
      </c>
      <c r="C6050" s="6" t="s">
        <v>30</v>
      </c>
      <c r="D6050" s="5">
        <v>45748</v>
      </c>
      <c r="E6050" s="6" t="s">
        <v>15</v>
      </c>
      <c r="F6050" s="7">
        <v>2063</v>
      </c>
      <c r="G6050" s="7">
        <v>118726.3921473582</v>
      </c>
      <c r="H6050" s="7">
        <v>244932547</v>
      </c>
      <c r="I6050" s="7">
        <v>36296446</v>
      </c>
      <c r="J6050" s="7">
        <v>0</v>
      </c>
      <c r="K6050">
        <f t="shared" si="94"/>
        <v>0</v>
      </c>
      <c r="L6050" s="8" t="str" cm="1">
        <f t="array" ref="L6050">_xlfn.IFS(
 AND(K6050&gt;=89,K6050&lt;=92),"3개월",
 AND(K6050&gt;=58,K6050&lt;=62),"2개월",
 AND(K6050&gt;=28,K6050&lt;=32),"1개월",
 AND(K6050=0),"당월",
 TRUE,"그외"
)</f>
        <v>당월</v>
      </c>
    </row>
    <row r="6051" spans="1:12" x14ac:dyDescent="0.3">
      <c r="A6051" s="5">
        <v>45748</v>
      </c>
      <c r="B6051" s="6" t="s">
        <v>20</v>
      </c>
      <c r="C6051" s="6" t="s">
        <v>31</v>
      </c>
      <c r="D6051" s="5">
        <v>45627</v>
      </c>
      <c r="E6051" s="6" t="s">
        <v>15</v>
      </c>
      <c r="F6051" s="7">
        <v>157</v>
      </c>
      <c r="G6051" s="7">
        <v>145947.11464968149</v>
      </c>
      <c r="H6051" s="7">
        <v>22913697</v>
      </c>
      <c r="I6051" s="7">
        <v>3225258</v>
      </c>
      <c r="J6051" s="7">
        <v>0</v>
      </c>
      <c r="K6051">
        <f t="shared" si="94"/>
        <v>121</v>
      </c>
      <c r="L6051" s="8" t="str" cm="1">
        <f t="array" ref="L6051">_xlfn.IFS(
 AND(K6051&gt;=89,K6051&lt;=92),"3개월",
 AND(K6051&gt;=58,K6051&lt;=62),"2개월",
 AND(K6051&gt;=28,K6051&lt;=32),"1개월",
 AND(K6051=0),"당월",
 TRUE,"그외"
)</f>
        <v>그외</v>
      </c>
    </row>
    <row r="6052" spans="1:12" x14ac:dyDescent="0.3">
      <c r="A6052" s="5">
        <v>45748</v>
      </c>
      <c r="B6052" s="6" t="s">
        <v>20</v>
      </c>
      <c r="C6052" s="6" t="s">
        <v>31</v>
      </c>
      <c r="D6052" s="5">
        <v>45658</v>
      </c>
      <c r="E6052" s="6" t="s">
        <v>14</v>
      </c>
      <c r="F6052" s="7">
        <v>51</v>
      </c>
      <c r="G6052" s="7">
        <v>133899.25490196081</v>
      </c>
      <c r="H6052" s="7">
        <v>6828862</v>
      </c>
      <c r="I6052" s="7">
        <v>1466455</v>
      </c>
      <c r="J6052" s="7">
        <v>0</v>
      </c>
      <c r="K6052">
        <f t="shared" si="94"/>
        <v>90</v>
      </c>
      <c r="L6052" s="8" t="str" cm="1">
        <f t="array" ref="L6052">_xlfn.IFS(
 AND(K6052&gt;=89,K6052&lt;=92),"3개월",
 AND(K6052&gt;=58,K6052&lt;=62),"2개월",
 AND(K6052&gt;=28,K6052&lt;=32),"1개월",
 AND(K6052=0),"당월",
 TRUE,"그외"
)</f>
        <v>3개월</v>
      </c>
    </row>
    <row r="6053" spans="1:12" x14ac:dyDescent="0.3">
      <c r="A6053" s="5">
        <v>45748</v>
      </c>
      <c r="B6053" s="6" t="s">
        <v>20</v>
      </c>
      <c r="C6053" s="6" t="s">
        <v>31</v>
      </c>
      <c r="D6053" s="5">
        <v>45658</v>
      </c>
      <c r="E6053" s="6" t="s">
        <v>15</v>
      </c>
      <c r="F6053" s="7">
        <v>1203</v>
      </c>
      <c r="G6053" s="7">
        <v>140583.37738985871</v>
      </c>
      <c r="H6053" s="7">
        <v>169121803</v>
      </c>
      <c r="I6053" s="7">
        <v>23246263</v>
      </c>
      <c r="J6053" s="7">
        <v>0</v>
      </c>
      <c r="K6053">
        <f t="shared" si="94"/>
        <v>90</v>
      </c>
      <c r="L6053" s="8" t="str" cm="1">
        <f t="array" ref="L6053">_xlfn.IFS(
 AND(K6053&gt;=89,K6053&lt;=92),"3개월",
 AND(K6053&gt;=58,K6053&lt;=62),"2개월",
 AND(K6053&gt;=28,K6053&lt;=32),"1개월",
 AND(K6053=0),"당월",
 TRUE,"그외"
)</f>
        <v>3개월</v>
      </c>
    </row>
    <row r="6054" spans="1:12" x14ac:dyDescent="0.3">
      <c r="A6054" s="5">
        <v>45748</v>
      </c>
      <c r="B6054" s="6" t="s">
        <v>20</v>
      </c>
      <c r="C6054" s="6" t="s">
        <v>31</v>
      </c>
      <c r="D6054" s="5">
        <v>45689</v>
      </c>
      <c r="E6054" s="6" t="s">
        <v>14</v>
      </c>
      <c r="F6054" s="7">
        <v>248</v>
      </c>
      <c r="G6054" s="7">
        <v>130192.8951612903</v>
      </c>
      <c r="H6054" s="7">
        <v>32287838</v>
      </c>
      <c r="I6054" s="7">
        <v>6316060</v>
      </c>
      <c r="J6054" s="7">
        <v>0</v>
      </c>
      <c r="K6054">
        <f t="shared" si="94"/>
        <v>59</v>
      </c>
      <c r="L6054" s="8" t="str" cm="1">
        <f t="array" ref="L6054">_xlfn.IFS(
 AND(K6054&gt;=89,K6054&lt;=92),"3개월",
 AND(K6054&gt;=58,K6054&lt;=62),"2개월",
 AND(K6054&gt;=28,K6054&lt;=32),"1개월",
 AND(K6054=0),"당월",
 TRUE,"그외"
)</f>
        <v>2개월</v>
      </c>
    </row>
    <row r="6055" spans="1:12" x14ac:dyDescent="0.3">
      <c r="A6055" s="5">
        <v>45748</v>
      </c>
      <c r="B6055" s="6" t="s">
        <v>20</v>
      </c>
      <c r="C6055" s="6" t="s">
        <v>31</v>
      </c>
      <c r="D6055" s="5">
        <v>45689</v>
      </c>
      <c r="E6055" s="6" t="s">
        <v>15</v>
      </c>
      <c r="F6055" s="7">
        <v>2160</v>
      </c>
      <c r="G6055" s="7">
        <v>136440.50787037041</v>
      </c>
      <c r="H6055" s="7">
        <v>294711497</v>
      </c>
      <c r="I6055" s="7">
        <v>43263864</v>
      </c>
      <c r="J6055" s="7">
        <v>0</v>
      </c>
      <c r="K6055">
        <f t="shared" si="94"/>
        <v>59</v>
      </c>
      <c r="L6055" s="8" t="str" cm="1">
        <f t="array" ref="L6055">_xlfn.IFS(
 AND(K6055&gt;=89,K6055&lt;=92),"3개월",
 AND(K6055&gt;=58,K6055&lt;=62),"2개월",
 AND(K6055&gt;=28,K6055&lt;=32),"1개월",
 AND(K6055=0),"당월",
 TRUE,"그외"
)</f>
        <v>2개월</v>
      </c>
    </row>
    <row r="6056" spans="1:12" x14ac:dyDescent="0.3">
      <c r="A6056" s="5">
        <v>45748</v>
      </c>
      <c r="B6056" s="6" t="s">
        <v>20</v>
      </c>
      <c r="C6056" s="6" t="s">
        <v>31</v>
      </c>
      <c r="D6056" s="5">
        <v>45717</v>
      </c>
      <c r="E6056" s="6" t="s">
        <v>14</v>
      </c>
      <c r="F6056" s="7">
        <v>1199</v>
      </c>
      <c r="G6056" s="7">
        <v>142205.05337781491</v>
      </c>
      <c r="H6056" s="7">
        <v>170503859</v>
      </c>
      <c r="I6056" s="7">
        <v>32676716</v>
      </c>
      <c r="J6056" s="7">
        <v>0</v>
      </c>
      <c r="K6056">
        <f t="shared" si="94"/>
        <v>31</v>
      </c>
      <c r="L6056" s="8" t="str" cm="1">
        <f t="array" ref="L6056">_xlfn.IFS(
 AND(K6056&gt;=89,K6056&lt;=92),"3개월",
 AND(K6056&gt;=58,K6056&lt;=62),"2개월",
 AND(K6056&gt;=28,K6056&lt;=32),"1개월",
 AND(K6056=0),"당월",
 TRUE,"그외"
)</f>
        <v>1개월</v>
      </c>
    </row>
    <row r="6057" spans="1:12" x14ac:dyDescent="0.3">
      <c r="A6057" s="5">
        <v>45748</v>
      </c>
      <c r="B6057" s="6" t="s">
        <v>20</v>
      </c>
      <c r="C6057" s="6" t="s">
        <v>31</v>
      </c>
      <c r="D6057" s="5">
        <v>45717</v>
      </c>
      <c r="E6057" s="6" t="s">
        <v>15</v>
      </c>
      <c r="F6057" s="7">
        <v>3886</v>
      </c>
      <c r="G6057" s="7">
        <v>124316.51235203291</v>
      </c>
      <c r="H6057" s="7">
        <v>483093967</v>
      </c>
      <c r="I6057" s="7">
        <v>80296586</v>
      </c>
      <c r="J6057" s="7">
        <v>0</v>
      </c>
      <c r="K6057">
        <f t="shared" si="94"/>
        <v>31</v>
      </c>
      <c r="L6057" s="8" t="str" cm="1">
        <f t="array" ref="L6057">_xlfn.IFS(
 AND(K6057&gt;=89,K6057&lt;=92),"3개월",
 AND(K6057&gt;=58,K6057&lt;=62),"2개월",
 AND(K6057&gt;=28,K6057&lt;=32),"1개월",
 AND(K6057=0),"당월",
 TRUE,"그외"
)</f>
        <v>1개월</v>
      </c>
    </row>
    <row r="6058" spans="1:12" x14ac:dyDescent="0.3">
      <c r="A6058" s="5">
        <v>45748</v>
      </c>
      <c r="B6058" s="6" t="s">
        <v>20</v>
      </c>
      <c r="C6058" s="6" t="s">
        <v>31</v>
      </c>
      <c r="D6058" s="5">
        <v>45748</v>
      </c>
      <c r="E6058" s="6" t="s">
        <v>14</v>
      </c>
      <c r="F6058" s="7">
        <v>340</v>
      </c>
      <c r="G6058" s="7">
        <v>115197.6294117647</v>
      </c>
      <c r="H6058" s="7">
        <v>39167194</v>
      </c>
      <c r="I6058" s="7">
        <v>6263259</v>
      </c>
      <c r="J6058" s="7">
        <v>0</v>
      </c>
      <c r="K6058">
        <f t="shared" si="94"/>
        <v>0</v>
      </c>
      <c r="L6058" s="8" t="str" cm="1">
        <f t="array" ref="L6058">_xlfn.IFS(
 AND(K6058&gt;=89,K6058&lt;=92),"3개월",
 AND(K6058&gt;=58,K6058&lt;=62),"2개월",
 AND(K6058&gt;=28,K6058&lt;=32),"1개월",
 AND(K6058=0),"당월",
 TRUE,"그외"
)</f>
        <v>당월</v>
      </c>
    </row>
    <row r="6059" spans="1:12" x14ac:dyDescent="0.3">
      <c r="A6059" s="5">
        <v>45748</v>
      </c>
      <c r="B6059" s="6" t="s">
        <v>20</v>
      </c>
      <c r="C6059" s="6" t="s">
        <v>31</v>
      </c>
      <c r="D6059" s="5">
        <v>45748</v>
      </c>
      <c r="E6059" s="6" t="s">
        <v>15</v>
      </c>
      <c r="F6059" s="7">
        <v>1582</v>
      </c>
      <c r="G6059" s="7">
        <v>139565.31605562579</v>
      </c>
      <c r="H6059" s="7">
        <v>220792330</v>
      </c>
      <c r="I6059" s="7">
        <v>32754703</v>
      </c>
      <c r="J6059" s="7">
        <v>0</v>
      </c>
      <c r="K6059">
        <f t="shared" si="94"/>
        <v>0</v>
      </c>
      <c r="L6059" s="8" t="str" cm="1">
        <f t="array" ref="L6059">_xlfn.IFS(
 AND(K6059&gt;=89,K6059&lt;=92),"3개월",
 AND(K6059&gt;=58,K6059&lt;=62),"2개월",
 AND(K6059&gt;=28,K6059&lt;=32),"1개월",
 AND(K6059=0),"당월",
 TRUE,"그외"
)</f>
        <v>당월</v>
      </c>
    </row>
    <row r="6060" spans="1:12" x14ac:dyDescent="0.3">
      <c r="A6060" s="5">
        <v>45748</v>
      </c>
      <c r="B6060" s="6" t="s">
        <v>20</v>
      </c>
      <c r="C6060" s="6" t="s">
        <v>32</v>
      </c>
      <c r="D6060" s="5">
        <v>45627</v>
      </c>
      <c r="E6060" s="6" t="s">
        <v>15</v>
      </c>
      <c r="F6060" s="7">
        <v>210</v>
      </c>
      <c r="G6060" s="7">
        <v>124591.2142857143</v>
      </c>
      <c r="H6060" s="7">
        <v>26164155</v>
      </c>
      <c r="I6060" s="7">
        <v>4557940</v>
      </c>
      <c r="J6060" s="7">
        <v>0</v>
      </c>
      <c r="K6060">
        <f t="shared" si="94"/>
        <v>121</v>
      </c>
      <c r="L6060" s="8" t="str" cm="1">
        <f t="array" ref="L6060">_xlfn.IFS(
 AND(K6060&gt;=89,K6060&lt;=92),"3개월",
 AND(K6060&gt;=58,K6060&lt;=62),"2개월",
 AND(K6060&gt;=28,K6060&lt;=32),"1개월",
 AND(K6060=0),"당월",
 TRUE,"그외"
)</f>
        <v>그외</v>
      </c>
    </row>
    <row r="6061" spans="1:12" x14ac:dyDescent="0.3">
      <c r="A6061" s="5">
        <v>45748</v>
      </c>
      <c r="B6061" s="6" t="s">
        <v>20</v>
      </c>
      <c r="C6061" s="6" t="s">
        <v>32</v>
      </c>
      <c r="D6061" s="5">
        <v>45658</v>
      </c>
      <c r="E6061" s="6" t="s">
        <v>14</v>
      </c>
      <c r="F6061" s="7">
        <v>616</v>
      </c>
      <c r="G6061" s="7">
        <v>113846.9837662338</v>
      </c>
      <c r="H6061" s="7">
        <v>70129742</v>
      </c>
      <c r="I6061" s="7">
        <v>17724873</v>
      </c>
      <c r="J6061" s="7">
        <v>0</v>
      </c>
      <c r="K6061">
        <f t="shared" si="94"/>
        <v>90</v>
      </c>
      <c r="L6061" s="8" t="str" cm="1">
        <f t="array" ref="L6061">_xlfn.IFS(
 AND(K6061&gt;=89,K6061&lt;=92),"3개월",
 AND(K6061&gt;=58,K6061&lt;=62),"2개월",
 AND(K6061&gt;=28,K6061&lt;=32),"1개월",
 AND(K6061=0),"당월",
 TRUE,"그외"
)</f>
        <v>3개월</v>
      </c>
    </row>
    <row r="6062" spans="1:12" x14ac:dyDescent="0.3">
      <c r="A6062" s="5">
        <v>45748</v>
      </c>
      <c r="B6062" s="6" t="s">
        <v>20</v>
      </c>
      <c r="C6062" s="6" t="s">
        <v>32</v>
      </c>
      <c r="D6062" s="5">
        <v>45658</v>
      </c>
      <c r="E6062" s="6" t="s">
        <v>15</v>
      </c>
      <c r="F6062" s="7">
        <v>4280</v>
      </c>
      <c r="G6062" s="7">
        <v>138578.91612149531</v>
      </c>
      <c r="H6062" s="7">
        <v>593117761</v>
      </c>
      <c r="I6062" s="7">
        <v>94826607</v>
      </c>
      <c r="J6062" s="7">
        <v>0</v>
      </c>
      <c r="K6062">
        <f t="shared" si="94"/>
        <v>90</v>
      </c>
      <c r="L6062" s="8" t="str" cm="1">
        <f t="array" ref="L6062">_xlfn.IFS(
 AND(K6062&gt;=89,K6062&lt;=92),"3개월",
 AND(K6062&gt;=58,K6062&lt;=62),"2개월",
 AND(K6062&gt;=28,K6062&lt;=32),"1개월",
 AND(K6062=0),"당월",
 TRUE,"그외"
)</f>
        <v>3개월</v>
      </c>
    </row>
    <row r="6063" spans="1:12" x14ac:dyDescent="0.3">
      <c r="A6063" s="5">
        <v>45748</v>
      </c>
      <c r="B6063" s="6" t="s">
        <v>20</v>
      </c>
      <c r="C6063" s="6" t="s">
        <v>32</v>
      </c>
      <c r="D6063" s="5">
        <v>45689</v>
      </c>
      <c r="E6063" s="6" t="s">
        <v>14</v>
      </c>
      <c r="F6063" s="7">
        <v>586</v>
      </c>
      <c r="G6063" s="7">
        <v>133019.68771331059</v>
      </c>
      <c r="H6063" s="7">
        <v>77949537</v>
      </c>
      <c r="I6063" s="7">
        <v>19303820</v>
      </c>
      <c r="J6063" s="7">
        <v>0</v>
      </c>
      <c r="K6063">
        <f t="shared" si="94"/>
        <v>59</v>
      </c>
      <c r="L6063" s="8" t="str" cm="1">
        <f t="array" ref="L6063">_xlfn.IFS(
 AND(K6063&gt;=89,K6063&lt;=92),"3개월",
 AND(K6063&gt;=58,K6063&lt;=62),"2개월",
 AND(K6063&gt;=28,K6063&lt;=32),"1개월",
 AND(K6063=0),"당월",
 TRUE,"그외"
)</f>
        <v>2개월</v>
      </c>
    </row>
    <row r="6064" spans="1:12" x14ac:dyDescent="0.3">
      <c r="A6064" s="5">
        <v>45748</v>
      </c>
      <c r="B6064" s="6" t="s">
        <v>20</v>
      </c>
      <c r="C6064" s="6" t="s">
        <v>32</v>
      </c>
      <c r="D6064" s="5">
        <v>45689</v>
      </c>
      <c r="E6064" s="6" t="s">
        <v>15</v>
      </c>
      <c r="F6064" s="7">
        <v>5908</v>
      </c>
      <c r="G6064" s="7">
        <v>148104.67213947189</v>
      </c>
      <c r="H6064" s="7">
        <v>875002403</v>
      </c>
      <c r="I6064" s="7">
        <v>142000917</v>
      </c>
      <c r="J6064" s="7">
        <v>0</v>
      </c>
      <c r="K6064">
        <f t="shared" si="94"/>
        <v>59</v>
      </c>
      <c r="L6064" s="8" t="str" cm="1">
        <f t="array" ref="L6064">_xlfn.IFS(
 AND(K6064&gt;=89,K6064&lt;=92),"3개월",
 AND(K6064&gt;=58,K6064&lt;=62),"2개월",
 AND(K6064&gt;=28,K6064&lt;=32),"1개월",
 AND(K6064=0),"당월",
 TRUE,"그외"
)</f>
        <v>2개월</v>
      </c>
    </row>
    <row r="6065" spans="1:12" x14ac:dyDescent="0.3">
      <c r="A6065" s="5">
        <v>45748</v>
      </c>
      <c r="B6065" s="6" t="s">
        <v>20</v>
      </c>
      <c r="C6065" s="6" t="s">
        <v>32</v>
      </c>
      <c r="D6065" s="5">
        <v>45717</v>
      </c>
      <c r="E6065" s="6" t="s">
        <v>14</v>
      </c>
      <c r="F6065" s="7">
        <v>2735</v>
      </c>
      <c r="G6065" s="7">
        <v>139111.57038391221</v>
      </c>
      <c r="H6065" s="7">
        <v>380470145</v>
      </c>
      <c r="I6065" s="7">
        <v>79020607</v>
      </c>
      <c r="J6065" s="7">
        <v>0</v>
      </c>
      <c r="K6065">
        <f t="shared" si="94"/>
        <v>31</v>
      </c>
      <c r="L6065" s="8" t="str" cm="1">
        <f t="array" ref="L6065">_xlfn.IFS(
 AND(K6065&gt;=89,K6065&lt;=92),"3개월",
 AND(K6065&gt;=58,K6065&lt;=62),"2개월",
 AND(K6065&gt;=28,K6065&lt;=32),"1개월",
 AND(K6065=0),"당월",
 TRUE,"그외"
)</f>
        <v>1개월</v>
      </c>
    </row>
    <row r="6066" spans="1:12" x14ac:dyDescent="0.3">
      <c r="A6066" s="5">
        <v>45748</v>
      </c>
      <c r="B6066" s="6" t="s">
        <v>20</v>
      </c>
      <c r="C6066" s="6" t="s">
        <v>32</v>
      </c>
      <c r="D6066" s="5">
        <v>45717</v>
      </c>
      <c r="E6066" s="6" t="s">
        <v>15</v>
      </c>
      <c r="F6066" s="7">
        <v>10342</v>
      </c>
      <c r="G6066" s="7">
        <v>134286.21146780119</v>
      </c>
      <c r="H6066" s="7">
        <v>1388787999</v>
      </c>
      <c r="I6066" s="7">
        <v>267152899</v>
      </c>
      <c r="J6066" s="7">
        <v>0</v>
      </c>
      <c r="K6066">
        <f t="shared" si="94"/>
        <v>31</v>
      </c>
      <c r="L6066" s="8" t="str" cm="1">
        <f t="array" ref="L6066">_xlfn.IFS(
 AND(K6066&gt;=89,K6066&lt;=92),"3개월",
 AND(K6066&gt;=58,K6066&lt;=62),"2개월",
 AND(K6066&gt;=28,K6066&lt;=32),"1개월",
 AND(K6066=0),"당월",
 TRUE,"그외"
)</f>
        <v>1개월</v>
      </c>
    </row>
    <row r="6067" spans="1:12" x14ac:dyDescent="0.3">
      <c r="A6067" s="5">
        <v>45748</v>
      </c>
      <c r="B6067" s="6" t="s">
        <v>20</v>
      </c>
      <c r="C6067" s="6" t="s">
        <v>32</v>
      </c>
      <c r="D6067" s="5">
        <v>45748</v>
      </c>
      <c r="E6067" s="6" t="s">
        <v>14</v>
      </c>
      <c r="F6067" s="7">
        <v>1293</v>
      </c>
      <c r="G6067" s="7">
        <v>150487.90023201861</v>
      </c>
      <c r="H6067" s="7">
        <v>194580855</v>
      </c>
      <c r="I6067" s="7">
        <v>30210252</v>
      </c>
      <c r="J6067" s="7">
        <v>0</v>
      </c>
      <c r="K6067">
        <f t="shared" si="94"/>
        <v>0</v>
      </c>
      <c r="L6067" s="8" t="str" cm="1">
        <f t="array" ref="L6067">_xlfn.IFS(
 AND(K6067&gt;=89,K6067&lt;=92),"3개월",
 AND(K6067&gt;=58,K6067&lt;=62),"2개월",
 AND(K6067&gt;=28,K6067&lt;=32),"1개월",
 AND(K6067=0),"당월",
 TRUE,"그외"
)</f>
        <v>당월</v>
      </c>
    </row>
    <row r="6068" spans="1:12" x14ac:dyDescent="0.3">
      <c r="A6068" s="5">
        <v>45748</v>
      </c>
      <c r="B6068" s="6" t="s">
        <v>20</v>
      </c>
      <c r="C6068" s="6" t="s">
        <v>32</v>
      </c>
      <c r="D6068" s="5">
        <v>45748</v>
      </c>
      <c r="E6068" s="6" t="s">
        <v>15</v>
      </c>
      <c r="F6068" s="7">
        <v>5656</v>
      </c>
      <c r="G6068" s="7">
        <v>143279.20898161241</v>
      </c>
      <c r="H6068" s="7">
        <v>810387206</v>
      </c>
      <c r="I6068" s="7">
        <v>145197977</v>
      </c>
      <c r="J6068" s="7">
        <v>0</v>
      </c>
      <c r="K6068">
        <f t="shared" si="94"/>
        <v>0</v>
      </c>
      <c r="L6068" s="8" t="str" cm="1">
        <f t="array" ref="L6068">_xlfn.IFS(
 AND(K6068&gt;=89,K6068&lt;=92),"3개월",
 AND(K6068&gt;=58,K6068&lt;=62),"2개월",
 AND(K6068&gt;=28,K6068&lt;=32),"1개월",
 AND(K6068=0),"당월",
 TRUE,"그외"
)</f>
        <v>당월</v>
      </c>
    </row>
    <row r="6069" spans="1:12" x14ac:dyDescent="0.3">
      <c r="A6069" s="5">
        <v>45748</v>
      </c>
      <c r="B6069" s="6" t="s">
        <v>20</v>
      </c>
      <c r="C6069" s="6" t="s">
        <v>33</v>
      </c>
      <c r="D6069" s="5">
        <v>45627</v>
      </c>
      <c r="E6069" s="6" t="s">
        <v>15</v>
      </c>
      <c r="F6069" s="7">
        <v>291</v>
      </c>
      <c r="G6069" s="7">
        <v>123998.86254295531</v>
      </c>
      <c r="H6069" s="7">
        <v>36083669</v>
      </c>
      <c r="I6069" s="7">
        <v>6570060</v>
      </c>
      <c r="J6069" s="7">
        <v>0</v>
      </c>
      <c r="K6069">
        <f t="shared" si="94"/>
        <v>121</v>
      </c>
      <c r="L6069" s="8" t="str" cm="1">
        <f t="array" ref="L6069">_xlfn.IFS(
 AND(K6069&gt;=89,K6069&lt;=92),"3개월",
 AND(K6069&gt;=58,K6069&lt;=62),"2개월",
 AND(K6069&gt;=28,K6069&lt;=32),"1개월",
 AND(K6069=0),"당월",
 TRUE,"그외"
)</f>
        <v>그외</v>
      </c>
    </row>
    <row r="6070" spans="1:12" x14ac:dyDescent="0.3">
      <c r="A6070" s="5">
        <v>45748</v>
      </c>
      <c r="B6070" s="6" t="s">
        <v>20</v>
      </c>
      <c r="C6070" s="6" t="s">
        <v>33</v>
      </c>
      <c r="D6070" s="5">
        <v>45658</v>
      </c>
      <c r="E6070" s="6" t="s">
        <v>14</v>
      </c>
      <c r="F6070" s="7">
        <v>5</v>
      </c>
      <c r="G6070" s="7">
        <v>131967.20000000001</v>
      </c>
      <c r="H6070" s="7">
        <v>659836</v>
      </c>
      <c r="I6070" s="7">
        <v>143073</v>
      </c>
      <c r="J6070" s="7">
        <v>0</v>
      </c>
      <c r="K6070">
        <f t="shared" si="94"/>
        <v>90</v>
      </c>
      <c r="L6070" s="8" t="str" cm="1">
        <f t="array" ref="L6070">_xlfn.IFS(
 AND(K6070&gt;=89,K6070&lt;=92),"3개월",
 AND(K6070&gt;=58,K6070&lt;=62),"2개월",
 AND(K6070&gt;=28,K6070&lt;=32),"1개월",
 AND(K6070=0),"당월",
 TRUE,"그외"
)</f>
        <v>3개월</v>
      </c>
    </row>
    <row r="6071" spans="1:12" x14ac:dyDescent="0.3">
      <c r="A6071" s="5">
        <v>45748</v>
      </c>
      <c r="B6071" s="6" t="s">
        <v>20</v>
      </c>
      <c r="C6071" s="6" t="s">
        <v>33</v>
      </c>
      <c r="D6071" s="5">
        <v>45658</v>
      </c>
      <c r="E6071" s="6" t="s">
        <v>15</v>
      </c>
      <c r="F6071" s="7">
        <v>1611</v>
      </c>
      <c r="G6071" s="7">
        <v>133272.79515828681</v>
      </c>
      <c r="H6071" s="7">
        <v>214702473</v>
      </c>
      <c r="I6071" s="7">
        <v>34437367</v>
      </c>
      <c r="J6071" s="7">
        <v>0</v>
      </c>
      <c r="K6071">
        <f t="shared" si="94"/>
        <v>90</v>
      </c>
      <c r="L6071" s="8" t="str" cm="1">
        <f t="array" ref="L6071">_xlfn.IFS(
 AND(K6071&gt;=89,K6071&lt;=92),"3개월",
 AND(K6071&gt;=58,K6071&lt;=62),"2개월",
 AND(K6071&gt;=28,K6071&lt;=32),"1개월",
 AND(K6071=0),"당월",
 TRUE,"그외"
)</f>
        <v>3개월</v>
      </c>
    </row>
    <row r="6072" spans="1:12" x14ac:dyDescent="0.3">
      <c r="A6072" s="5">
        <v>45748</v>
      </c>
      <c r="B6072" s="6" t="s">
        <v>20</v>
      </c>
      <c r="C6072" s="6" t="s">
        <v>33</v>
      </c>
      <c r="D6072" s="5">
        <v>45689</v>
      </c>
      <c r="E6072" s="6" t="s">
        <v>14</v>
      </c>
      <c r="F6072" s="7">
        <v>28</v>
      </c>
      <c r="G6072" s="7">
        <v>160685.71428571429</v>
      </c>
      <c r="H6072" s="7">
        <v>4499200</v>
      </c>
      <c r="I6072" s="7">
        <v>571200</v>
      </c>
      <c r="J6072" s="7">
        <v>0</v>
      </c>
      <c r="K6072">
        <f t="shared" si="94"/>
        <v>59</v>
      </c>
      <c r="L6072" s="8" t="str" cm="1">
        <f t="array" ref="L6072">_xlfn.IFS(
 AND(K6072&gt;=89,K6072&lt;=92),"3개월",
 AND(K6072&gt;=58,K6072&lt;=62),"2개월",
 AND(K6072&gt;=28,K6072&lt;=32),"1개월",
 AND(K6072=0),"당월",
 TRUE,"그외"
)</f>
        <v>2개월</v>
      </c>
    </row>
    <row r="6073" spans="1:12" x14ac:dyDescent="0.3">
      <c r="A6073" s="5">
        <v>45748</v>
      </c>
      <c r="B6073" s="6" t="s">
        <v>20</v>
      </c>
      <c r="C6073" s="6" t="s">
        <v>33</v>
      </c>
      <c r="D6073" s="5">
        <v>45689</v>
      </c>
      <c r="E6073" s="6" t="s">
        <v>15</v>
      </c>
      <c r="F6073" s="7">
        <v>2255</v>
      </c>
      <c r="G6073" s="7">
        <v>162233.6110864745</v>
      </c>
      <c r="H6073" s="7">
        <v>365836793</v>
      </c>
      <c r="I6073" s="7">
        <v>51246508</v>
      </c>
      <c r="J6073" s="7">
        <v>0</v>
      </c>
      <c r="K6073">
        <f t="shared" si="94"/>
        <v>59</v>
      </c>
      <c r="L6073" s="8" t="str" cm="1">
        <f t="array" ref="L6073">_xlfn.IFS(
 AND(K6073&gt;=89,K6073&lt;=92),"3개월",
 AND(K6073&gt;=58,K6073&lt;=62),"2개월",
 AND(K6073&gt;=28,K6073&lt;=32),"1개월",
 AND(K6073=0),"당월",
 TRUE,"그외"
)</f>
        <v>2개월</v>
      </c>
    </row>
    <row r="6074" spans="1:12" x14ac:dyDescent="0.3">
      <c r="A6074" s="5">
        <v>45748</v>
      </c>
      <c r="B6074" s="6" t="s">
        <v>20</v>
      </c>
      <c r="C6074" s="6" t="s">
        <v>33</v>
      </c>
      <c r="D6074" s="5">
        <v>45717</v>
      </c>
      <c r="E6074" s="6" t="s">
        <v>14</v>
      </c>
      <c r="F6074" s="7">
        <v>507</v>
      </c>
      <c r="G6074" s="7">
        <v>177694.8047337278</v>
      </c>
      <c r="H6074" s="7">
        <v>90091266</v>
      </c>
      <c r="I6074" s="7">
        <v>12077881</v>
      </c>
      <c r="J6074" s="7">
        <v>0</v>
      </c>
      <c r="K6074">
        <f t="shared" si="94"/>
        <v>31</v>
      </c>
      <c r="L6074" s="8" t="str" cm="1">
        <f t="array" ref="L6074">_xlfn.IFS(
 AND(K6074&gt;=89,K6074&lt;=92),"3개월",
 AND(K6074&gt;=58,K6074&lt;=62),"2개월",
 AND(K6074&gt;=28,K6074&lt;=32),"1개월",
 AND(K6074=0),"당월",
 TRUE,"그외"
)</f>
        <v>1개월</v>
      </c>
    </row>
    <row r="6075" spans="1:12" x14ac:dyDescent="0.3">
      <c r="A6075" s="5">
        <v>45748</v>
      </c>
      <c r="B6075" s="6" t="s">
        <v>20</v>
      </c>
      <c r="C6075" s="6" t="s">
        <v>33</v>
      </c>
      <c r="D6075" s="5">
        <v>45717</v>
      </c>
      <c r="E6075" s="6" t="s">
        <v>15</v>
      </c>
      <c r="F6075" s="7">
        <v>3206</v>
      </c>
      <c r="G6075" s="7">
        <v>174557.21054273241</v>
      </c>
      <c r="H6075" s="7">
        <v>559630417</v>
      </c>
      <c r="I6075" s="7">
        <v>81320379</v>
      </c>
      <c r="J6075" s="7">
        <v>0</v>
      </c>
      <c r="K6075">
        <f t="shared" si="94"/>
        <v>31</v>
      </c>
      <c r="L6075" s="8" t="str" cm="1">
        <f t="array" ref="L6075">_xlfn.IFS(
 AND(K6075&gt;=89,K6075&lt;=92),"3개월",
 AND(K6075&gt;=58,K6075&lt;=62),"2개월",
 AND(K6075&gt;=28,K6075&lt;=32),"1개월",
 AND(K6075=0),"당월",
 TRUE,"그외"
)</f>
        <v>1개월</v>
      </c>
    </row>
    <row r="6076" spans="1:12" x14ac:dyDescent="0.3">
      <c r="A6076" s="5">
        <v>45748</v>
      </c>
      <c r="B6076" s="6" t="s">
        <v>20</v>
      </c>
      <c r="C6076" s="6" t="s">
        <v>33</v>
      </c>
      <c r="D6076" s="5">
        <v>45748</v>
      </c>
      <c r="E6076" s="6" t="s">
        <v>14</v>
      </c>
      <c r="F6076" s="7">
        <v>491</v>
      </c>
      <c r="G6076" s="7">
        <v>173619.95926680241</v>
      </c>
      <c r="H6076" s="7">
        <v>85247400</v>
      </c>
      <c r="I6076" s="7">
        <v>8543400</v>
      </c>
      <c r="J6076" s="7">
        <v>0</v>
      </c>
      <c r="K6076">
        <f t="shared" si="94"/>
        <v>0</v>
      </c>
      <c r="L6076" s="8" t="str" cm="1">
        <f t="array" ref="L6076">_xlfn.IFS(
 AND(K6076&gt;=89,K6076&lt;=92),"3개월",
 AND(K6076&gt;=58,K6076&lt;=62),"2개월",
 AND(K6076&gt;=28,K6076&lt;=32),"1개월",
 AND(K6076=0),"당월",
 TRUE,"그외"
)</f>
        <v>당월</v>
      </c>
    </row>
    <row r="6077" spans="1:12" x14ac:dyDescent="0.3">
      <c r="A6077" s="5">
        <v>45748</v>
      </c>
      <c r="B6077" s="6" t="s">
        <v>20</v>
      </c>
      <c r="C6077" s="6" t="s">
        <v>33</v>
      </c>
      <c r="D6077" s="5">
        <v>45748</v>
      </c>
      <c r="E6077" s="6" t="s">
        <v>15</v>
      </c>
      <c r="F6077" s="7">
        <v>1961</v>
      </c>
      <c r="G6077" s="7">
        <v>163333.9224885263</v>
      </c>
      <c r="H6077" s="7">
        <v>320297822</v>
      </c>
      <c r="I6077" s="7">
        <v>46154772</v>
      </c>
      <c r="J6077" s="7">
        <v>0</v>
      </c>
      <c r="K6077">
        <f t="shared" si="94"/>
        <v>0</v>
      </c>
      <c r="L6077" s="8" t="str" cm="1">
        <f t="array" ref="L6077">_xlfn.IFS(
 AND(K6077&gt;=89,K6077&lt;=92),"3개월",
 AND(K6077&gt;=58,K6077&lt;=62),"2개월",
 AND(K6077&gt;=28,K6077&lt;=32),"1개월",
 AND(K6077=0),"당월",
 TRUE,"그외"
)</f>
        <v>당월</v>
      </c>
    </row>
    <row r="6078" spans="1:12" x14ac:dyDescent="0.3">
      <c r="A6078" s="5">
        <v>45748</v>
      </c>
      <c r="B6078" s="6" t="s">
        <v>20</v>
      </c>
      <c r="C6078" s="6" t="s">
        <v>35</v>
      </c>
      <c r="D6078" s="5">
        <v>45627</v>
      </c>
      <c r="E6078" s="6" t="s">
        <v>15</v>
      </c>
      <c r="F6078" s="7">
        <v>17</v>
      </c>
      <c r="G6078" s="7">
        <v>147061.9411764706</v>
      </c>
      <c r="H6078" s="7">
        <v>2500053</v>
      </c>
      <c r="I6078" s="7">
        <v>374200</v>
      </c>
      <c r="J6078" s="7">
        <v>0</v>
      </c>
      <c r="K6078">
        <f t="shared" si="94"/>
        <v>121</v>
      </c>
      <c r="L6078" s="8" t="str" cm="1">
        <f t="array" ref="L6078">_xlfn.IFS(
 AND(K6078&gt;=89,K6078&lt;=92),"3개월",
 AND(K6078&gt;=58,K6078&lt;=62),"2개월",
 AND(K6078&gt;=28,K6078&lt;=32),"1개월",
 AND(K6078=0),"당월",
 TRUE,"그외"
)</f>
        <v>그외</v>
      </c>
    </row>
    <row r="6079" spans="1:12" x14ac:dyDescent="0.3">
      <c r="A6079" s="5">
        <v>45748</v>
      </c>
      <c r="B6079" s="6" t="s">
        <v>20</v>
      </c>
      <c r="C6079" s="6" t="s">
        <v>35</v>
      </c>
      <c r="D6079" s="5">
        <v>45658</v>
      </c>
      <c r="E6079" s="6" t="s">
        <v>14</v>
      </c>
      <c r="F6079" s="7">
        <v>8</v>
      </c>
      <c r="G6079" s="7">
        <v>139774</v>
      </c>
      <c r="H6079" s="7">
        <v>1118192</v>
      </c>
      <c r="I6079" s="7">
        <v>229568</v>
      </c>
      <c r="J6079" s="7">
        <v>0</v>
      </c>
      <c r="K6079">
        <f t="shared" si="94"/>
        <v>90</v>
      </c>
      <c r="L6079" s="8" t="str" cm="1">
        <f t="array" ref="L6079">_xlfn.IFS(
 AND(K6079&gt;=89,K6079&lt;=92),"3개월",
 AND(K6079&gt;=58,K6079&lt;=62),"2개월",
 AND(K6079&gt;=28,K6079&lt;=32),"1개월",
 AND(K6079=0),"당월",
 TRUE,"그외"
)</f>
        <v>3개월</v>
      </c>
    </row>
    <row r="6080" spans="1:12" x14ac:dyDescent="0.3">
      <c r="A6080" s="5">
        <v>45748</v>
      </c>
      <c r="B6080" s="6" t="s">
        <v>20</v>
      </c>
      <c r="C6080" s="6" t="s">
        <v>35</v>
      </c>
      <c r="D6080" s="5">
        <v>45658</v>
      </c>
      <c r="E6080" s="6" t="s">
        <v>15</v>
      </c>
      <c r="F6080" s="7">
        <v>230</v>
      </c>
      <c r="G6080" s="7">
        <v>114066.7869565217</v>
      </c>
      <c r="H6080" s="7">
        <v>26235361</v>
      </c>
      <c r="I6080" s="7">
        <v>5401641</v>
      </c>
      <c r="J6080" s="7">
        <v>0</v>
      </c>
      <c r="K6080">
        <f t="shared" si="94"/>
        <v>90</v>
      </c>
      <c r="L6080" s="8" t="str" cm="1">
        <f t="array" ref="L6080">_xlfn.IFS(
 AND(K6080&gt;=89,K6080&lt;=92),"3개월",
 AND(K6080&gt;=58,K6080&lt;=62),"2개월",
 AND(K6080&gt;=28,K6080&lt;=32),"1개월",
 AND(K6080=0),"당월",
 TRUE,"그외"
)</f>
        <v>3개월</v>
      </c>
    </row>
    <row r="6081" spans="1:12" x14ac:dyDescent="0.3">
      <c r="A6081" s="5">
        <v>45748</v>
      </c>
      <c r="B6081" s="6" t="s">
        <v>20</v>
      </c>
      <c r="C6081" s="6" t="s">
        <v>35</v>
      </c>
      <c r="D6081" s="5">
        <v>45689</v>
      </c>
      <c r="E6081" s="6" t="s">
        <v>14</v>
      </c>
      <c r="F6081" s="7">
        <v>96</v>
      </c>
      <c r="G6081" s="7">
        <v>140619.25</v>
      </c>
      <c r="H6081" s="7">
        <v>13499448</v>
      </c>
      <c r="I6081" s="7">
        <v>1988734</v>
      </c>
      <c r="J6081" s="7">
        <v>0</v>
      </c>
      <c r="K6081">
        <f t="shared" si="94"/>
        <v>59</v>
      </c>
      <c r="L6081" s="8" t="str" cm="1">
        <f t="array" ref="L6081">_xlfn.IFS(
 AND(K6081&gt;=89,K6081&lt;=92),"3개월",
 AND(K6081&gt;=58,K6081&lt;=62),"2개월",
 AND(K6081&gt;=28,K6081&lt;=32),"1개월",
 AND(K6081=0),"당월",
 TRUE,"그외"
)</f>
        <v>2개월</v>
      </c>
    </row>
    <row r="6082" spans="1:12" x14ac:dyDescent="0.3">
      <c r="A6082" s="5">
        <v>45748</v>
      </c>
      <c r="B6082" s="6" t="s">
        <v>20</v>
      </c>
      <c r="C6082" s="6" t="s">
        <v>35</v>
      </c>
      <c r="D6082" s="5">
        <v>45689</v>
      </c>
      <c r="E6082" s="6" t="s">
        <v>15</v>
      </c>
      <c r="F6082" s="7">
        <v>987</v>
      </c>
      <c r="G6082" s="7">
        <v>119394.72441742659</v>
      </c>
      <c r="H6082" s="7">
        <v>117842593</v>
      </c>
      <c r="I6082" s="7">
        <v>23903505</v>
      </c>
      <c r="J6082" s="7">
        <v>0</v>
      </c>
      <c r="K6082">
        <f t="shared" si="94"/>
        <v>59</v>
      </c>
      <c r="L6082" s="8" t="str" cm="1">
        <f t="array" ref="L6082">_xlfn.IFS(
 AND(K6082&gt;=89,K6082&lt;=92),"3개월",
 AND(K6082&gt;=58,K6082&lt;=62),"2개월",
 AND(K6082&gt;=28,K6082&lt;=32),"1개월",
 AND(K6082=0),"당월",
 TRUE,"그외"
)</f>
        <v>2개월</v>
      </c>
    </row>
    <row r="6083" spans="1:12" x14ac:dyDescent="0.3">
      <c r="A6083" s="5">
        <v>45748</v>
      </c>
      <c r="B6083" s="6" t="s">
        <v>20</v>
      </c>
      <c r="C6083" s="6" t="s">
        <v>35</v>
      </c>
      <c r="D6083" s="5">
        <v>45717</v>
      </c>
      <c r="E6083" s="6" t="s">
        <v>14</v>
      </c>
      <c r="F6083" s="7">
        <v>1053</v>
      </c>
      <c r="G6083" s="7">
        <v>133404.02279202279</v>
      </c>
      <c r="H6083" s="7">
        <v>140474436</v>
      </c>
      <c r="I6083" s="7">
        <v>27117478</v>
      </c>
      <c r="J6083" s="7">
        <v>0</v>
      </c>
      <c r="K6083">
        <f t="shared" si="94"/>
        <v>31</v>
      </c>
      <c r="L6083" s="8" t="str" cm="1">
        <f t="array" ref="L6083">_xlfn.IFS(
 AND(K6083&gt;=89,K6083&lt;=92),"3개월",
 AND(K6083&gt;=58,K6083&lt;=62),"2개월",
 AND(K6083&gt;=28,K6083&lt;=32),"1개월",
 AND(K6083=0),"당월",
 TRUE,"그외"
)</f>
        <v>1개월</v>
      </c>
    </row>
    <row r="6084" spans="1:12" x14ac:dyDescent="0.3">
      <c r="A6084" s="5">
        <v>45748</v>
      </c>
      <c r="B6084" s="6" t="s">
        <v>20</v>
      </c>
      <c r="C6084" s="6" t="s">
        <v>35</v>
      </c>
      <c r="D6084" s="5">
        <v>45717</v>
      </c>
      <c r="E6084" s="6" t="s">
        <v>15</v>
      </c>
      <c r="F6084" s="7">
        <v>3838</v>
      </c>
      <c r="G6084" s="7">
        <v>100576.4161021365</v>
      </c>
      <c r="H6084" s="7">
        <v>386012285</v>
      </c>
      <c r="I6084" s="7">
        <v>98861127</v>
      </c>
      <c r="J6084" s="7">
        <v>0</v>
      </c>
      <c r="K6084">
        <f t="shared" si="94"/>
        <v>31</v>
      </c>
      <c r="L6084" s="8" t="str" cm="1">
        <f t="array" ref="L6084">_xlfn.IFS(
 AND(K6084&gt;=89,K6084&lt;=92),"3개월",
 AND(K6084&gt;=58,K6084&lt;=62),"2개월",
 AND(K6084&gt;=28,K6084&lt;=32),"1개월",
 AND(K6084=0),"당월",
 TRUE,"그외"
)</f>
        <v>1개월</v>
      </c>
    </row>
    <row r="6085" spans="1:12" x14ac:dyDescent="0.3">
      <c r="A6085" s="5">
        <v>45748</v>
      </c>
      <c r="B6085" s="6" t="s">
        <v>20</v>
      </c>
      <c r="C6085" s="6" t="s">
        <v>35</v>
      </c>
      <c r="D6085" s="5">
        <v>45748</v>
      </c>
      <c r="E6085" s="6" t="s">
        <v>14</v>
      </c>
      <c r="F6085" s="7">
        <v>1722</v>
      </c>
      <c r="G6085" s="7">
        <v>103912.31126596979</v>
      </c>
      <c r="H6085" s="7">
        <v>178937000</v>
      </c>
      <c r="I6085" s="7">
        <v>29997000</v>
      </c>
      <c r="J6085" s="7">
        <v>0</v>
      </c>
      <c r="K6085">
        <f t="shared" si="94"/>
        <v>0</v>
      </c>
      <c r="L6085" s="8" t="str" cm="1">
        <f t="array" ref="L6085">_xlfn.IFS(
 AND(K6085&gt;=89,K6085&lt;=92),"3개월",
 AND(K6085&gt;=58,K6085&lt;=62),"2개월",
 AND(K6085&gt;=28,K6085&lt;=32),"1개월",
 AND(K6085=0),"당월",
 TRUE,"그외"
)</f>
        <v>당월</v>
      </c>
    </row>
    <row r="6086" spans="1:12" x14ac:dyDescent="0.3">
      <c r="A6086" s="5">
        <v>45748</v>
      </c>
      <c r="B6086" s="6" t="s">
        <v>20</v>
      </c>
      <c r="C6086" s="6" t="s">
        <v>35</v>
      </c>
      <c r="D6086" s="5">
        <v>45748</v>
      </c>
      <c r="E6086" s="6" t="s">
        <v>15</v>
      </c>
      <c r="F6086" s="7">
        <v>1360</v>
      </c>
      <c r="G6086" s="7">
        <v>103283.07426470589</v>
      </c>
      <c r="H6086" s="7">
        <v>140464981</v>
      </c>
      <c r="I6086" s="7">
        <v>32850553</v>
      </c>
      <c r="J6086" s="7">
        <v>0</v>
      </c>
      <c r="K6086">
        <f t="shared" si="94"/>
        <v>0</v>
      </c>
      <c r="L6086" s="8" t="str" cm="1">
        <f t="array" ref="L6086">_xlfn.IFS(
 AND(K6086&gt;=89,K6086&lt;=92),"3개월",
 AND(K6086&gt;=58,K6086&lt;=62),"2개월",
 AND(K6086&gt;=28,K6086&lt;=32),"1개월",
 AND(K6086=0),"당월",
 TRUE,"그외"
)</f>
        <v>당월</v>
      </c>
    </row>
    <row r="6087" spans="1:12" x14ac:dyDescent="0.3">
      <c r="A6087" s="5">
        <v>45748</v>
      </c>
      <c r="B6087" s="6" t="s">
        <v>20</v>
      </c>
      <c r="C6087" s="6" t="s">
        <v>36</v>
      </c>
      <c r="D6087" s="5">
        <v>45627</v>
      </c>
      <c r="E6087" s="6" t="s">
        <v>15</v>
      </c>
      <c r="F6087" s="7">
        <v>66</v>
      </c>
      <c r="G6087" s="7">
        <v>160826.04545454541</v>
      </c>
      <c r="H6087" s="7">
        <v>10614519</v>
      </c>
      <c r="I6087" s="7">
        <v>1560390</v>
      </c>
      <c r="J6087" s="7">
        <v>0</v>
      </c>
      <c r="K6087">
        <f t="shared" si="94"/>
        <v>121</v>
      </c>
      <c r="L6087" s="8" t="str" cm="1">
        <f t="array" ref="L6087">_xlfn.IFS(
 AND(K6087&gt;=89,K6087&lt;=92),"3개월",
 AND(K6087&gt;=58,K6087&lt;=62),"2개월",
 AND(K6087&gt;=28,K6087&lt;=32),"1개월",
 AND(K6087=0),"당월",
 TRUE,"그외"
)</f>
        <v>그외</v>
      </c>
    </row>
    <row r="6088" spans="1:12" x14ac:dyDescent="0.3">
      <c r="A6088" s="5">
        <v>45748</v>
      </c>
      <c r="B6088" s="6" t="s">
        <v>20</v>
      </c>
      <c r="C6088" s="6" t="s">
        <v>36</v>
      </c>
      <c r="D6088" s="5">
        <v>45658</v>
      </c>
      <c r="E6088" s="6" t="s">
        <v>14</v>
      </c>
      <c r="F6088" s="7">
        <v>54</v>
      </c>
      <c r="G6088" s="7">
        <v>104626.9259259259</v>
      </c>
      <c r="H6088" s="7">
        <v>5649854</v>
      </c>
      <c r="I6088" s="7">
        <v>1214992</v>
      </c>
      <c r="J6088" s="7">
        <v>0</v>
      </c>
      <c r="K6088">
        <f t="shared" si="94"/>
        <v>90</v>
      </c>
      <c r="L6088" s="8" t="str" cm="1">
        <f t="array" ref="L6088">_xlfn.IFS(
 AND(K6088&gt;=89,K6088&lt;=92),"3개월",
 AND(K6088&gt;=58,K6088&lt;=62),"2개월",
 AND(K6088&gt;=28,K6088&lt;=32),"1개월",
 AND(K6088=0),"당월",
 TRUE,"그외"
)</f>
        <v>3개월</v>
      </c>
    </row>
    <row r="6089" spans="1:12" x14ac:dyDescent="0.3">
      <c r="A6089" s="5">
        <v>45748</v>
      </c>
      <c r="B6089" s="6" t="s">
        <v>20</v>
      </c>
      <c r="C6089" s="6" t="s">
        <v>36</v>
      </c>
      <c r="D6089" s="5">
        <v>45658</v>
      </c>
      <c r="E6089" s="6" t="s">
        <v>15</v>
      </c>
      <c r="F6089" s="7">
        <v>1064</v>
      </c>
      <c r="G6089" s="7">
        <v>163692.02161654129</v>
      </c>
      <c r="H6089" s="7">
        <v>174168311</v>
      </c>
      <c r="I6089" s="7">
        <v>22698740</v>
      </c>
      <c r="J6089" s="7">
        <v>0</v>
      </c>
      <c r="K6089">
        <f t="shared" si="94"/>
        <v>90</v>
      </c>
      <c r="L6089" s="8" t="str" cm="1">
        <f t="array" ref="L6089">_xlfn.IFS(
 AND(K6089&gt;=89,K6089&lt;=92),"3개월",
 AND(K6089&gt;=58,K6089&lt;=62),"2개월",
 AND(K6089&gt;=28,K6089&lt;=32),"1개월",
 AND(K6089=0),"당월",
 TRUE,"그외"
)</f>
        <v>3개월</v>
      </c>
    </row>
    <row r="6090" spans="1:12" x14ac:dyDescent="0.3">
      <c r="A6090" s="5">
        <v>45748</v>
      </c>
      <c r="B6090" s="6" t="s">
        <v>20</v>
      </c>
      <c r="C6090" s="6" t="s">
        <v>36</v>
      </c>
      <c r="D6090" s="5">
        <v>45689</v>
      </c>
      <c r="E6090" s="6" t="s">
        <v>14</v>
      </c>
      <c r="F6090" s="7">
        <v>140</v>
      </c>
      <c r="G6090" s="7">
        <v>122474.1357142857</v>
      </c>
      <c r="H6090" s="7">
        <v>17146379</v>
      </c>
      <c r="I6090" s="7">
        <v>3057734</v>
      </c>
      <c r="J6090" s="7">
        <v>0</v>
      </c>
      <c r="K6090">
        <f t="shared" ref="K6090:K6153" si="95">A6090-D6090</f>
        <v>59</v>
      </c>
      <c r="L6090" s="8" t="str" cm="1">
        <f t="array" ref="L6090">_xlfn.IFS(
 AND(K6090&gt;=89,K6090&lt;=92),"3개월",
 AND(K6090&gt;=58,K6090&lt;=62),"2개월",
 AND(K6090&gt;=28,K6090&lt;=32),"1개월",
 AND(K6090=0),"당월",
 TRUE,"그외"
)</f>
        <v>2개월</v>
      </c>
    </row>
    <row r="6091" spans="1:12" x14ac:dyDescent="0.3">
      <c r="A6091" s="5">
        <v>45748</v>
      </c>
      <c r="B6091" s="6" t="s">
        <v>20</v>
      </c>
      <c r="C6091" s="6" t="s">
        <v>36</v>
      </c>
      <c r="D6091" s="5">
        <v>45689</v>
      </c>
      <c r="E6091" s="6" t="s">
        <v>15</v>
      </c>
      <c r="F6091" s="7">
        <v>2235</v>
      </c>
      <c r="G6091" s="7">
        <v>129674.9203579418</v>
      </c>
      <c r="H6091" s="7">
        <v>289823447</v>
      </c>
      <c r="I6091" s="7">
        <v>49968316</v>
      </c>
      <c r="J6091" s="7">
        <v>0</v>
      </c>
      <c r="K6091">
        <f t="shared" si="95"/>
        <v>59</v>
      </c>
      <c r="L6091" s="8" t="str" cm="1">
        <f t="array" ref="L6091">_xlfn.IFS(
 AND(K6091&gt;=89,K6091&lt;=92),"3개월",
 AND(K6091&gt;=58,K6091&lt;=62),"2개월",
 AND(K6091&gt;=28,K6091&lt;=32),"1개월",
 AND(K6091=0),"당월",
 TRUE,"그외"
)</f>
        <v>2개월</v>
      </c>
    </row>
    <row r="6092" spans="1:12" x14ac:dyDescent="0.3">
      <c r="A6092" s="5">
        <v>45748</v>
      </c>
      <c r="B6092" s="6" t="s">
        <v>20</v>
      </c>
      <c r="C6092" s="6" t="s">
        <v>36</v>
      </c>
      <c r="D6092" s="5">
        <v>45717</v>
      </c>
      <c r="E6092" s="6" t="s">
        <v>14</v>
      </c>
      <c r="F6092" s="7">
        <v>1144</v>
      </c>
      <c r="G6092" s="7">
        <v>125481.2045454545</v>
      </c>
      <c r="H6092" s="7">
        <v>143550498</v>
      </c>
      <c r="I6092" s="7">
        <v>26709146</v>
      </c>
      <c r="J6092" s="7">
        <v>0</v>
      </c>
      <c r="K6092">
        <f t="shared" si="95"/>
        <v>31</v>
      </c>
      <c r="L6092" s="8" t="str" cm="1">
        <f t="array" ref="L6092">_xlfn.IFS(
 AND(K6092&gt;=89,K6092&lt;=92),"3개월",
 AND(K6092&gt;=58,K6092&lt;=62),"2개월",
 AND(K6092&gt;=28,K6092&lt;=32),"1개월",
 AND(K6092=0),"당월",
 TRUE,"그외"
)</f>
        <v>1개월</v>
      </c>
    </row>
    <row r="6093" spans="1:12" x14ac:dyDescent="0.3">
      <c r="A6093" s="5">
        <v>45748</v>
      </c>
      <c r="B6093" s="6" t="s">
        <v>20</v>
      </c>
      <c r="C6093" s="6" t="s">
        <v>36</v>
      </c>
      <c r="D6093" s="5">
        <v>45717</v>
      </c>
      <c r="E6093" s="6" t="s">
        <v>15</v>
      </c>
      <c r="F6093" s="7">
        <v>2742</v>
      </c>
      <c r="G6093" s="7">
        <v>115910.68563092629</v>
      </c>
      <c r="H6093" s="7">
        <v>317827100</v>
      </c>
      <c r="I6093" s="7">
        <v>67790428</v>
      </c>
      <c r="J6093" s="7">
        <v>0</v>
      </c>
      <c r="K6093">
        <f t="shared" si="95"/>
        <v>31</v>
      </c>
      <c r="L6093" s="8" t="str" cm="1">
        <f t="array" ref="L6093">_xlfn.IFS(
 AND(K6093&gt;=89,K6093&lt;=92),"3개월",
 AND(K6093&gt;=58,K6093&lt;=62),"2개월",
 AND(K6093&gt;=28,K6093&lt;=32),"1개월",
 AND(K6093=0),"당월",
 TRUE,"그외"
)</f>
        <v>1개월</v>
      </c>
    </row>
    <row r="6094" spans="1:12" x14ac:dyDescent="0.3">
      <c r="A6094" s="5">
        <v>45748</v>
      </c>
      <c r="B6094" s="6" t="s">
        <v>20</v>
      </c>
      <c r="C6094" s="6" t="s">
        <v>36</v>
      </c>
      <c r="D6094" s="5">
        <v>45748</v>
      </c>
      <c r="E6094" s="6" t="s">
        <v>14</v>
      </c>
      <c r="F6094" s="7">
        <v>1389</v>
      </c>
      <c r="G6094" s="7">
        <v>125342.21742260621</v>
      </c>
      <c r="H6094" s="7">
        <v>174100340</v>
      </c>
      <c r="I6094" s="7">
        <v>24273672</v>
      </c>
      <c r="J6094" s="7">
        <v>0</v>
      </c>
      <c r="K6094">
        <f t="shared" si="95"/>
        <v>0</v>
      </c>
      <c r="L6094" s="8" t="str" cm="1">
        <f t="array" ref="L6094">_xlfn.IFS(
 AND(K6094&gt;=89,K6094&lt;=92),"3개월",
 AND(K6094&gt;=58,K6094&lt;=62),"2개월",
 AND(K6094&gt;=28,K6094&lt;=32),"1개월",
 AND(K6094=0),"당월",
 TRUE,"그외"
)</f>
        <v>당월</v>
      </c>
    </row>
    <row r="6095" spans="1:12" x14ac:dyDescent="0.3">
      <c r="A6095" s="5">
        <v>45748</v>
      </c>
      <c r="B6095" s="6" t="s">
        <v>20</v>
      </c>
      <c r="C6095" s="6" t="s">
        <v>36</v>
      </c>
      <c r="D6095" s="5">
        <v>45748</v>
      </c>
      <c r="E6095" s="6" t="s">
        <v>15</v>
      </c>
      <c r="F6095" s="7">
        <v>1371</v>
      </c>
      <c r="G6095" s="7">
        <v>117217.27498176511</v>
      </c>
      <c r="H6095" s="7">
        <v>160704884</v>
      </c>
      <c r="I6095" s="7">
        <v>30048186</v>
      </c>
      <c r="J6095" s="7">
        <v>0</v>
      </c>
      <c r="K6095">
        <f t="shared" si="95"/>
        <v>0</v>
      </c>
      <c r="L6095" s="8" t="str" cm="1">
        <f t="array" ref="L6095">_xlfn.IFS(
 AND(K6095&gt;=89,K6095&lt;=92),"3개월",
 AND(K6095&gt;=58,K6095&lt;=62),"2개월",
 AND(K6095&gt;=28,K6095&lt;=32),"1개월",
 AND(K6095=0),"당월",
 TRUE,"그외"
)</f>
        <v>당월</v>
      </c>
    </row>
    <row r="6096" spans="1:12" x14ac:dyDescent="0.3">
      <c r="A6096" s="5">
        <v>45748</v>
      </c>
      <c r="B6096" s="6" t="s">
        <v>20</v>
      </c>
      <c r="C6096" s="6" t="s">
        <v>37</v>
      </c>
      <c r="D6096" s="5">
        <v>45627</v>
      </c>
      <c r="E6096" s="6" t="s">
        <v>15</v>
      </c>
      <c r="F6096" s="7">
        <v>167</v>
      </c>
      <c r="G6096" s="7">
        <v>151109.05988023951</v>
      </c>
      <c r="H6096" s="7">
        <v>25235213</v>
      </c>
      <c r="I6096" s="7">
        <v>2030599</v>
      </c>
      <c r="J6096" s="7">
        <v>0</v>
      </c>
      <c r="K6096">
        <f t="shared" si="95"/>
        <v>121</v>
      </c>
      <c r="L6096" s="8" t="str" cm="1">
        <f t="array" ref="L6096">_xlfn.IFS(
 AND(K6096&gt;=89,K6096&lt;=92),"3개월",
 AND(K6096&gt;=58,K6096&lt;=62),"2개월",
 AND(K6096&gt;=28,K6096&lt;=32),"1개월",
 AND(K6096=0),"당월",
 TRUE,"그외"
)</f>
        <v>그외</v>
      </c>
    </row>
    <row r="6097" spans="1:12" x14ac:dyDescent="0.3">
      <c r="A6097" s="5">
        <v>45748</v>
      </c>
      <c r="B6097" s="6" t="s">
        <v>20</v>
      </c>
      <c r="C6097" s="6" t="s">
        <v>37</v>
      </c>
      <c r="D6097" s="5">
        <v>45658</v>
      </c>
      <c r="E6097" s="6" t="s">
        <v>14</v>
      </c>
      <c r="F6097" s="7">
        <v>34</v>
      </c>
      <c r="G6097" s="7">
        <v>95420.941176470587</v>
      </c>
      <c r="H6097" s="7">
        <v>3244312</v>
      </c>
      <c r="I6097" s="7">
        <v>979002</v>
      </c>
      <c r="J6097" s="7">
        <v>0</v>
      </c>
      <c r="K6097">
        <f t="shared" si="95"/>
        <v>90</v>
      </c>
      <c r="L6097" s="8" t="str" cm="1">
        <f t="array" ref="L6097">_xlfn.IFS(
 AND(K6097&gt;=89,K6097&lt;=92),"3개월",
 AND(K6097&gt;=58,K6097&lt;=62),"2개월",
 AND(K6097&gt;=28,K6097&lt;=32),"1개월",
 AND(K6097=0),"당월",
 TRUE,"그외"
)</f>
        <v>3개월</v>
      </c>
    </row>
    <row r="6098" spans="1:12" x14ac:dyDescent="0.3">
      <c r="A6098" s="5">
        <v>45748</v>
      </c>
      <c r="B6098" s="6" t="s">
        <v>20</v>
      </c>
      <c r="C6098" s="6" t="s">
        <v>37</v>
      </c>
      <c r="D6098" s="5">
        <v>45658</v>
      </c>
      <c r="E6098" s="6" t="s">
        <v>15</v>
      </c>
      <c r="F6098" s="7">
        <v>570</v>
      </c>
      <c r="G6098" s="7">
        <v>147514.38070175439</v>
      </c>
      <c r="H6098" s="7">
        <v>84083197</v>
      </c>
      <c r="I6098" s="7">
        <v>7264779</v>
      </c>
      <c r="J6098" s="7">
        <v>0</v>
      </c>
      <c r="K6098">
        <f t="shared" si="95"/>
        <v>90</v>
      </c>
      <c r="L6098" s="8" t="str" cm="1">
        <f t="array" ref="L6098">_xlfn.IFS(
 AND(K6098&gt;=89,K6098&lt;=92),"3개월",
 AND(K6098&gt;=58,K6098&lt;=62),"2개월",
 AND(K6098&gt;=28,K6098&lt;=32),"1개월",
 AND(K6098=0),"당월",
 TRUE,"그외"
)</f>
        <v>3개월</v>
      </c>
    </row>
    <row r="6099" spans="1:12" x14ac:dyDescent="0.3">
      <c r="A6099" s="5">
        <v>45748</v>
      </c>
      <c r="B6099" s="6" t="s">
        <v>20</v>
      </c>
      <c r="C6099" s="6" t="s">
        <v>37</v>
      </c>
      <c r="D6099" s="5">
        <v>45689</v>
      </c>
      <c r="E6099" s="6" t="s">
        <v>14</v>
      </c>
      <c r="F6099" s="7">
        <v>43</v>
      </c>
      <c r="G6099" s="7">
        <v>111867.9069767442</v>
      </c>
      <c r="H6099" s="7">
        <v>4810320</v>
      </c>
      <c r="I6099" s="7">
        <v>974870</v>
      </c>
      <c r="J6099" s="7">
        <v>0</v>
      </c>
      <c r="K6099">
        <f t="shared" si="95"/>
        <v>59</v>
      </c>
      <c r="L6099" s="8" t="str" cm="1">
        <f t="array" ref="L6099">_xlfn.IFS(
 AND(K6099&gt;=89,K6099&lt;=92),"3개월",
 AND(K6099&gt;=58,K6099&lt;=62),"2개월",
 AND(K6099&gt;=28,K6099&lt;=32),"1개월",
 AND(K6099=0),"당월",
 TRUE,"그외"
)</f>
        <v>2개월</v>
      </c>
    </row>
    <row r="6100" spans="1:12" x14ac:dyDescent="0.3">
      <c r="A6100" s="5">
        <v>45748</v>
      </c>
      <c r="B6100" s="6" t="s">
        <v>20</v>
      </c>
      <c r="C6100" s="6" t="s">
        <v>37</v>
      </c>
      <c r="D6100" s="5">
        <v>45689</v>
      </c>
      <c r="E6100" s="6" t="s">
        <v>15</v>
      </c>
      <c r="F6100" s="7">
        <v>1230</v>
      </c>
      <c r="G6100" s="7">
        <v>132819.56585365851</v>
      </c>
      <c r="H6100" s="7">
        <v>163368066</v>
      </c>
      <c r="I6100" s="7">
        <v>16825174</v>
      </c>
      <c r="J6100" s="7">
        <v>0</v>
      </c>
      <c r="K6100">
        <f t="shared" si="95"/>
        <v>59</v>
      </c>
      <c r="L6100" s="8" t="str" cm="1">
        <f t="array" ref="L6100">_xlfn.IFS(
 AND(K6100&gt;=89,K6100&lt;=92),"3개월",
 AND(K6100&gt;=58,K6100&lt;=62),"2개월",
 AND(K6100&gt;=28,K6100&lt;=32),"1개월",
 AND(K6100=0),"당월",
 TRUE,"그외"
)</f>
        <v>2개월</v>
      </c>
    </row>
    <row r="6101" spans="1:12" x14ac:dyDescent="0.3">
      <c r="A6101" s="5">
        <v>45748</v>
      </c>
      <c r="B6101" s="6" t="s">
        <v>20</v>
      </c>
      <c r="C6101" s="6" t="s">
        <v>37</v>
      </c>
      <c r="D6101" s="5">
        <v>45717</v>
      </c>
      <c r="E6101" s="6" t="s">
        <v>14</v>
      </c>
      <c r="F6101" s="7">
        <v>3896</v>
      </c>
      <c r="G6101" s="7">
        <v>130215.38988706371</v>
      </c>
      <c r="H6101" s="7">
        <v>507319159</v>
      </c>
      <c r="I6101" s="7">
        <v>52715505</v>
      </c>
      <c r="J6101" s="7">
        <v>0</v>
      </c>
      <c r="K6101">
        <f t="shared" si="95"/>
        <v>31</v>
      </c>
      <c r="L6101" s="8" t="str" cm="1">
        <f t="array" ref="L6101">_xlfn.IFS(
 AND(K6101&gt;=89,K6101&lt;=92),"3개월",
 AND(K6101&gt;=58,K6101&lt;=62),"2개월",
 AND(K6101&gt;=28,K6101&lt;=32),"1개월",
 AND(K6101=0),"당월",
 TRUE,"그외"
)</f>
        <v>1개월</v>
      </c>
    </row>
    <row r="6102" spans="1:12" x14ac:dyDescent="0.3">
      <c r="A6102" s="5">
        <v>45748</v>
      </c>
      <c r="B6102" s="6" t="s">
        <v>20</v>
      </c>
      <c r="C6102" s="6" t="s">
        <v>37</v>
      </c>
      <c r="D6102" s="5">
        <v>45717</v>
      </c>
      <c r="E6102" s="6" t="s">
        <v>15</v>
      </c>
      <c r="F6102" s="7">
        <v>1425</v>
      </c>
      <c r="G6102" s="7">
        <v>143245.47578947371</v>
      </c>
      <c r="H6102" s="7">
        <v>204124803</v>
      </c>
      <c r="I6102" s="7">
        <v>24789906</v>
      </c>
      <c r="J6102" s="7">
        <v>0</v>
      </c>
      <c r="K6102">
        <f t="shared" si="95"/>
        <v>31</v>
      </c>
      <c r="L6102" s="8" t="str" cm="1">
        <f t="array" ref="L6102">_xlfn.IFS(
 AND(K6102&gt;=89,K6102&lt;=92),"3개월",
 AND(K6102&gt;=58,K6102&lt;=62),"2개월",
 AND(K6102&gt;=28,K6102&lt;=32),"1개월",
 AND(K6102=0),"당월",
 TRUE,"그외"
)</f>
        <v>1개월</v>
      </c>
    </row>
    <row r="6103" spans="1:12" x14ac:dyDescent="0.3">
      <c r="A6103" s="5">
        <v>45748</v>
      </c>
      <c r="B6103" s="6" t="s">
        <v>20</v>
      </c>
      <c r="C6103" s="6" t="s">
        <v>37</v>
      </c>
      <c r="D6103" s="5">
        <v>45748</v>
      </c>
      <c r="E6103" s="6" t="s">
        <v>14</v>
      </c>
      <c r="F6103" s="7">
        <v>1155</v>
      </c>
      <c r="G6103" s="7">
        <v>129434.38787878789</v>
      </c>
      <c r="H6103" s="7">
        <v>149496718</v>
      </c>
      <c r="I6103" s="7">
        <v>11917752</v>
      </c>
      <c r="J6103" s="7">
        <v>0</v>
      </c>
      <c r="K6103">
        <f t="shared" si="95"/>
        <v>0</v>
      </c>
      <c r="L6103" s="8" t="str" cm="1">
        <f t="array" ref="L6103">_xlfn.IFS(
 AND(K6103&gt;=89,K6103&lt;=92),"3개월",
 AND(K6103&gt;=58,K6103&lt;=62),"2개월",
 AND(K6103&gt;=28,K6103&lt;=32),"1개월",
 AND(K6103=0),"당월",
 TRUE,"그외"
)</f>
        <v>당월</v>
      </c>
    </row>
    <row r="6104" spans="1:12" x14ac:dyDescent="0.3">
      <c r="A6104" s="5">
        <v>45748</v>
      </c>
      <c r="B6104" s="6" t="s">
        <v>20</v>
      </c>
      <c r="C6104" s="6" t="s">
        <v>37</v>
      </c>
      <c r="D6104" s="5">
        <v>45748</v>
      </c>
      <c r="E6104" s="6" t="s">
        <v>15</v>
      </c>
      <c r="F6104" s="7">
        <v>806</v>
      </c>
      <c r="G6104" s="7">
        <v>128365.67990074441</v>
      </c>
      <c r="H6104" s="7">
        <v>103462738</v>
      </c>
      <c r="I6104" s="7">
        <v>16753764</v>
      </c>
      <c r="J6104" s="7">
        <v>0</v>
      </c>
      <c r="K6104">
        <f t="shared" si="95"/>
        <v>0</v>
      </c>
      <c r="L6104" s="8" t="str" cm="1">
        <f t="array" ref="L6104">_xlfn.IFS(
 AND(K6104&gt;=89,K6104&lt;=92),"3개월",
 AND(K6104&gt;=58,K6104&lt;=62),"2개월",
 AND(K6104&gt;=28,K6104&lt;=32),"1개월",
 AND(K6104=0),"당월",
 TRUE,"그외"
)</f>
        <v>당월</v>
      </c>
    </row>
    <row r="6105" spans="1:12" x14ac:dyDescent="0.3">
      <c r="A6105" s="5">
        <v>45748</v>
      </c>
      <c r="B6105" s="6" t="s">
        <v>20</v>
      </c>
      <c r="C6105" s="6" t="s">
        <v>38</v>
      </c>
      <c r="D6105" s="5">
        <v>45627</v>
      </c>
      <c r="E6105" s="6" t="s">
        <v>15</v>
      </c>
      <c r="F6105" s="7">
        <v>17</v>
      </c>
      <c r="G6105" s="7">
        <v>102510.3529411765</v>
      </c>
      <c r="H6105" s="7">
        <v>1742676</v>
      </c>
      <c r="I6105" s="7">
        <v>206333</v>
      </c>
      <c r="J6105" s="7">
        <v>0</v>
      </c>
      <c r="K6105">
        <f t="shared" si="95"/>
        <v>121</v>
      </c>
      <c r="L6105" s="8" t="str" cm="1">
        <f t="array" ref="L6105">_xlfn.IFS(
 AND(K6105&gt;=89,K6105&lt;=92),"3개월",
 AND(K6105&gt;=58,K6105&lt;=62),"2개월",
 AND(K6105&gt;=28,K6105&lt;=32),"1개월",
 AND(K6105=0),"당월",
 TRUE,"그외"
)</f>
        <v>그외</v>
      </c>
    </row>
    <row r="6106" spans="1:12" x14ac:dyDescent="0.3">
      <c r="A6106" s="5">
        <v>45748</v>
      </c>
      <c r="B6106" s="6" t="s">
        <v>20</v>
      </c>
      <c r="C6106" s="6" t="s">
        <v>38</v>
      </c>
      <c r="D6106" s="5">
        <v>45658</v>
      </c>
      <c r="E6106" s="6" t="s">
        <v>15</v>
      </c>
      <c r="F6106" s="7">
        <v>152</v>
      </c>
      <c r="G6106" s="7">
        <v>97852.546052631573</v>
      </c>
      <c r="H6106" s="7">
        <v>14873587</v>
      </c>
      <c r="I6106" s="7">
        <v>2944597</v>
      </c>
      <c r="J6106" s="7">
        <v>0</v>
      </c>
      <c r="K6106">
        <f t="shared" si="95"/>
        <v>90</v>
      </c>
      <c r="L6106" s="8" t="str" cm="1">
        <f t="array" ref="L6106">_xlfn.IFS(
 AND(K6106&gt;=89,K6106&lt;=92),"3개월",
 AND(K6106&gt;=58,K6106&lt;=62),"2개월",
 AND(K6106&gt;=28,K6106&lt;=32),"1개월",
 AND(K6106=0),"당월",
 TRUE,"그외"
)</f>
        <v>3개월</v>
      </c>
    </row>
    <row r="6107" spans="1:12" x14ac:dyDescent="0.3">
      <c r="A6107" s="5">
        <v>45748</v>
      </c>
      <c r="B6107" s="6" t="s">
        <v>20</v>
      </c>
      <c r="C6107" s="6" t="s">
        <v>38</v>
      </c>
      <c r="D6107" s="5">
        <v>45689</v>
      </c>
      <c r="E6107" s="6" t="s">
        <v>14</v>
      </c>
      <c r="F6107" s="7">
        <v>4</v>
      </c>
      <c r="G6107" s="7">
        <v>56700</v>
      </c>
      <c r="H6107" s="7">
        <v>226800</v>
      </c>
      <c r="I6107" s="7">
        <v>46800</v>
      </c>
      <c r="J6107" s="7">
        <v>0</v>
      </c>
      <c r="K6107">
        <f t="shared" si="95"/>
        <v>59</v>
      </c>
      <c r="L6107" s="8" t="str" cm="1">
        <f t="array" ref="L6107">_xlfn.IFS(
 AND(K6107&gt;=89,K6107&lt;=92),"3개월",
 AND(K6107&gt;=58,K6107&lt;=62),"2개월",
 AND(K6107&gt;=28,K6107&lt;=32),"1개월",
 AND(K6107=0),"당월",
 TRUE,"그외"
)</f>
        <v>2개월</v>
      </c>
    </row>
    <row r="6108" spans="1:12" x14ac:dyDescent="0.3">
      <c r="A6108" s="5">
        <v>45748</v>
      </c>
      <c r="B6108" s="6" t="s">
        <v>20</v>
      </c>
      <c r="C6108" s="6" t="s">
        <v>38</v>
      </c>
      <c r="D6108" s="5">
        <v>45689</v>
      </c>
      <c r="E6108" s="6" t="s">
        <v>15</v>
      </c>
      <c r="F6108" s="7">
        <v>491</v>
      </c>
      <c r="G6108" s="7">
        <v>92972.826883910384</v>
      </c>
      <c r="H6108" s="7">
        <v>45649658</v>
      </c>
      <c r="I6108" s="7">
        <v>7291949</v>
      </c>
      <c r="J6108" s="7">
        <v>0</v>
      </c>
      <c r="K6108">
        <f t="shared" si="95"/>
        <v>59</v>
      </c>
      <c r="L6108" s="8" t="str" cm="1">
        <f t="array" ref="L6108">_xlfn.IFS(
 AND(K6108&gt;=89,K6108&lt;=92),"3개월",
 AND(K6108&gt;=58,K6108&lt;=62),"2개월",
 AND(K6108&gt;=28,K6108&lt;=32),"1개월",
 AND(K6108=0),"당월",
 TRUE,"그외"
)</f>
        <v>2개월</v>
      </c>
    </row>
    <row r="6109" spans="1:12" x14ac:dyDescent="0.3">
      <c r="A6109" s="5">
        <v>45748</v>
      </c>
      <c r="B6109" s="6" t="s">
        <v>20</v>
      </c>
      <c r="C6109" s="6" t="s">
        <v>38</v>
      </c>
      <c r="D6109" s="5">
        <v>45717</v>
      </c>
      <c r="E6109" s="6" t="s">
        <v>14</v>
      </c>
      <c r="F6109" s="7">
        <v>746</v>
      </c>
      <c r="G6109" s="7">
        <v>80844.62466487936</v>
      </c>
      <c r="H6109" s="7">
        <v>60310090</v>
      </c>
      <c r="I6109" s="7">
        <v>9930530</v>
      </c>
      <c r="J6109" s="7">
        <v>0</v>
      </c>
      <c r="K6109">
        <f t="shared" si="95"/>
        <v>31</v>
      </c>
      <c r="L6109" s="8" t="str" cm="1">
        <f t="array" ref="L6109">_xlfn.IFS(
 AND(K6109&gt;=89,K6109&lt;=92),"3개월",
 AND(K6109&gt;=58,K6109&lt;=62),"2개월",
 AND(K6109&gt;=28,K6109&lt;=32),"1개월",
 AND(K6109=0),"당월",
 TRUE,"그외"
)</f>
        <v>1개월</v>
      </c>
    </row>
    <row r="6110" spans="1:12" x14ac:dyDescent="0.3">
      <c r="A6110" s="5">
        <v>45748</v>
      </c>
      <c r="B6110" s="6" t="s">
        <v>20</v>
      </c>
      <c r="C6110" s="6" t="s">
        <v>38</v>
      </c>
      <c r="D6110" s="5">
        <v>45717</v>
      </c>
      <c r="E6110" s="6" t="s">
        <v>15</v>
      </c>
      <c r="F6110" s="7">
        <v>833</v>
      </c>
      <c r="G6110" s="7">
        <v>88412.386554621844</v>
      </c>
      <c r="H6110" s="7">
        <v>73647518</v>
      </c>
      <c r="I6110" s="7">
        <v>13913859</v>
      </c>
      <c r="J6110" s="7">
        <v>0</v>
      </c>
      <c r="K6110">
        <f t="shared" si="95"/>
        <v>31</v>
      </c>
      <c r="L6110" s="8" t="str" cm="1">
        <f t="array" ref="L6110">_xlfn.IFS(
 AND(K6110&gt;=89,K6110&lt;=92),"3개월",
 AND(K6110&gt;=58,K6110&lt;=62),"2개월",
 AND(K6110&gt;=28,K6110&lt;=32),"1개월",
 AND(K6110=0),"당월",
 TRUE,"그외"
)</f>
        <v>1개월</v>
      </c>
    </row>
    <row r="6111" spans="1:12" x14ac:dyDescent="0.3">
      <c r="A6111" s="5">
        <v>45748</v>
      </c>
      <c r="B6111" s="6" t="s">
        <v>20</v>
      </c>
      <c r="C6111" s="6" t="s">
        <v>38</v>
      </c>
      <c r="D6111" s="5">
        <v>45748</v>
      </c>
      <c r="E6111" s="6" t="s">
        <v>14</v>
      </c>
      <c r="F6111" s="7">
        <v>1689</v>
      </c>
      <c r="G6111" s="7">
        <v>75478.973357015988</v>
      </c>
      <c r="H6111" s="7">
        <v>127483986</v>
      </c>
      <c r="I6111" s="7">
        <v>17064700</v>
      </c>
      <c r="J6111" s="7">
        <v>0</v>
      </c>
      <c r="K6111">
        <f t="shared" si="95"/>
        <v>0</v>
      </c>
      <c r="L6111" s="8" t="str" cm="1">
        <f t="array" ref="L6111">_xlfn.IFS(
 AND(K6111&gt;=89,K6111&lt;=92),"3개월",
 AND(K6111&gt;=58,K6111&lt;=62),"2개월",
 AND(K6111&gt;=28,K6111&lt;=32),"1개월",
 AND(K6111=0),"당월",
 TRUE,"그외"
)</f>
        <v>당월</v>
      </c>
    </row>
    <row r="6112" spans="1:12" x14ac:dyDescent="0.3">
      <c r="A6112" s="5">
        <v>45748</v>
      </c>
      <c r="B6112" s="6" t="s">
        <v>20</v>
      </c>
      <c r="C6112" s="6" t="s">
        <v>38</v>
      </c>
      <c r="D6112" s="5">
        <v>45748</v>
      </c>
      <c r="E6112" s="6" t="s">
        <v>15</v>
      </c>
      <c r="F6112" s="7">
        <v>1136</v>
      </c>
      <c r="G6112" s="7">
        <v>64858.780809859163</v>
      </c>
      <c r="H6112" s="7">
        <v>73679575</v>
      </c>
      <c r="I6112" s="7">
        <v>16060344</v>
      </c>
      <c r="J6112" s="7">
        <v>0</v>
      </c>
      <c r="K6112">
        <f t="shared" si="95"/>
        <v>0</v>
      </c>
      <c r="L6112" s="8" t="str" cm="1">
        <f t="array" ref="L6112">_xlfn.IFS(
 AND(K6112&gt;=89,K6112&lt;=92),"3개월",
 AND(K6112&gt;=58,K6112&lt;=62),"2개월",
 AND(K6112&gt;=28,K6112&lt;=32),"1개월",
 AND(K6112=0),"당월",
 TRUE,"그외"
)</f>
        <v>당월</v>
      </c>
    </row>
    <row r="6113" spans="1:12" x14ac:dyDescent="0.3">
      <c r="A6113" s="5">
        <v>45748</v>
      </c>
      <c r="B6113" s="6" t="s">
        <v>40</v>
      </c>
      <c r="C6113" s="6" t="s">
        <v>101</v>
      </c>
      <c r="D6113" s="5">
        <v>45658</v>
      </c>
      <c r="E6113" s="6" t="s">
        <v>14</v>
      </c>
      <c r="F6113" s="7">
        <v>1</v>
      </c>
      <c r="G6113" s="7">
        <v>8750000</v>
      </c>
      <c r="H6113" s="7">
        <v>8750000</v>
      </c>
      <c r="I6113" s="7">
        <v>0</v>
      </c>
      <c r="J6113" s="7">
        <v>0</v>
      </c>
      <c r="K6113">
        <f t="shared" si="95"/>
        <v>90</v>
      </c>
      <c r="L6113" s="8" t="str" cm="1">
        <f t="array" ref="L6113">_xlfn.IFS(
 AND(K6113&gt;=89,K6113&lt;=92),"3개월",
 AND(K6113&gt;=58,K6113&lt;=62),"2개월",
 AND(K6113&gt;=28,K6113&lt;=32),"1개월",
 AND(K6113=0),"당월",
 TRUE,"그외"
)</f>
        <v>3개월</v>
      </c>
    </row>
    <row r="6114" spans="1:12" x14ac:dyDescent="0.3">
      <c r="A6114" s="5">
        <v>45748</v>
      </c>
      <c r="B6114" s="6" t="s">
        <v>40</v>
      </c>
      <c r="C6114" s="6" t="s">
        <v>101</v>
      </c>
      <c r="D6114" s="5">
        <v>45717</v>
      </c>
      <c r="E6114" s="6" t="s">
        <v>14</v>
      </c>
      <c r="F6114" s="7">
        <v>440</v>
      </c>
      <c r="G6114" s="7">
        <v>345454.54545454553</v>
      </c>
      <c r="H6114" s="7">
        <v>152000000</v>
      </c>
      <c r="I6114" s="7">
        <v>0</v>
      </c>
      <c r="J6114" s="7">
        <v>0</v>
      </c>
      <c r="K6114">
        <f t="shared" si="95"/>
        <v>31</v>
      </c>
      <c r="L6114" s="8" t="str" cm="1">
        <f t="array" ref="L6114">_xlfn.IFS(
 AND(K6114&gt;=89,K6114&lt;=92),"3개월",
 AND(K6114&gt;=58,K6114&lt;=62),"2개월",
 AND(K6114&gt;=28,K6114&lt;=32),"1개월",
 AND(K6114=0),"당월",
 TRUE,"그외"
)</f>
        <v>1개월</v>
      </c>
    </row>
    <row r="6115" spans="1:12" x14ac:dyDescent="0.3">
      <c r="A6115" s="5">
        <v>45748</v>
      </c>
      <c r="B6115" s="6" t="s">
        <v>40</v>
      </c>
      <c r="C6115" s="6" t="s">
        <v>101</v>
      </c>
      <c r="D6115" s="5">
        <v>45717</v>
      </c>
      <c r="E6115" s="6" t="s">
        <v>15</v>
      </c>
      <c r="F6115" s="7">
        <v>6</v>
      </c>
      <c r="G6115" s="7">
        <v>469195.66666666669</v>
      </c>
      <c r="H6115" s="7">
        <v>2815174</v>
      </c>
      <c r="I6115" s="7">
        <v>223440</v>
      </c>
      <c r="J6115" s="7">
        <v>0</v>
      </c>
      <c r="K6115">
        <f t="shared" si="95"/>
        <v>31</v>
      </c>
      <c r="L6115" s="8" t="str" cm="1">
        <f t="array" ref="L6115">_xlfn.IFS(
 AND(K6115&gt;=89,K6115&lt;=92),"3개월",
 AND(K6115&gt;=58,K6115&lt;=62),"2개월",
 AND(K6115&gt;=28,K6115&lt;=32),"1개월",
 AND(K6115=0),"당월",
 TRUE,"그외"
)</f>
        <v>1개월</v>
      </c>
    </row>
    <row r="6116" spans="1:12" x14ac:dyDescent="0.3">
      <c r="A6116" s="5">
        <v>45748</v>
      </c>
      <c r="B6116" s="6" t="s">
        <v>40</v>
      </c>
      <c r="C6116" s="6" t="s">
        <v>101</v>
      </c>
      <c r="D6116" s="5">
        <v>45748</v>
      </c>
      <c r="E6116" s="6" t="s">
        <v>14</v>
      </c>
      <c r="F6116" s="7">
        <v>1336</v>
      </c>
      <c r="G6116" s="7">
        <v>143712.5748502994</v>
      </c>
      <c r="H6116" s="7">
        <v>192000000</v>
      </c>
      <c r="I6116" s="7">
        <v>0</v>
      </c>
      <c r="J6116" s="7">
        <v>0</v>
      </c>
      <c r="K6116">
        <f t="shared" si="95"/>
        <v>0</v>
      </c>
      <c r="L6116" s="8" t="str" cm="1">
        <f t="array" ref="L6116">_xlfn.IFS(
 AND(K6116&gt;=89,K6116&lt;=92),"3개월",
 AND(K6116&gt;=58,K6116&lt;=62),"2개월",
 AND(K6116&gt;=28,K6116&lt;=32),"1개월",
 AND(K6116=0),"당월",
 TRUE,"그외"
)</f>
        <v>당월</v>
      </c>
    </row>
    <row r="6117" spans="1:12" x14ac:dyDescent="0.3">
      <c r="A6117" s="5">
        <v>45748</v>
      </c>
      <c r="B6117" s="6" t="s">
        <v>40</v>
      </c>
      <c r="C6117" s="6" t="s">
        <v>101</v>
      </c>
      <c r="D6117" s="5">
        <v>45748</v>
      </c>
      <c r="E6117" s="6" t="s">
        <v>15</v>
      </c>
      <c r="F6117" s="7">
        <v>31</v>
      </c>
      <c r="G6117" s="7">
        <v>388493.12903225812</v>
      </c>
      <c r="H6117" s="7">
        <v>12043287</v>
      </c>
      <c r="I6117" s="7">
        <v>1134218</v>
      </c>
      <c r="J6117" s="7">
        <v>0</v>
      </c>
      <c r="K6117">
        <f t="shared" si="95"/>
        <v>0</v>
      </c>
      <c r="L6117" s="8" t="str" cm="1">
        <f t="array" ref="L6117">_xlfn.IFS(
 AND(K6117&gt;=89,K6117&lt;=92),"3개월",
 AND(K6117&gt;=58,K6117&lt;=62),"2개월",
 AND(K6117&gt;=28,K6117&lt;=32),"1개월",
 AND(K6117=0),"당월",
 TRUE,"그외"
)</f>
        <v>당월</v>
      </c>
    </row>
    <row r="6118" spans="1:12" x14ac:dyDescent="0.3">
      <c r="A6118" s="5">
        <v>45748</v>
      </c>
      <c r="B6118" s="6" t="s">
        <v>40</v>
      </c>
      <c r="C6118" s="6" t="s">
        <v>91</v>
      </c>
      <c r="D6118" s="5">
        <v>45717</v>
      </c>
      <c r="E6118" s="6" t="s">
        <v>14</v>
      </c>
      <c r="F6118" s="7">
        <v>412</v>
      </c>
      <c r="G6118" s="7">
        <v>95419.347087378643</v>
      </c>
      <c r="H6118" s="7">
        <v>39312771</v>
      </c>
      <c r="I6118" s="7">
        <v>25864698</v>
      </c>
      <c r="J6118" s="7">
        <v>0</v>
      </c>
      <c r="K6118">
        <f t="shared" si="95"/>
        <v>31</v>
      </c>
      <c r="L6118" s="8" t="str" cm="1">
        <f t="array" ref="L6118">_xlfn.IFS(
 AND(K6118&gt;=89,K6118&lt;=92),"3개월",
 AND(K6118&gt;=58,K6118&lt;=62),"2개월",
 AND(K6118&gt;=28,K6118&lt;=32),"1개월",
 AND(K6118=0),"당월",
 TRUE,"그외"
)</f>
        <v>1개월</v>
      </c>
    </row>
    <row r="6119" spans="1:12" x14ac:dyDescent="0.3">
      <c r="A6119" s="5">
        <v>45748</v>
      </c>
      <c r="B6119" s="6" t="s">
        <v>40</v>
      </c>
      <c r="C6119" s="6" t="s">
        <v>91</v>
      </c>
      <c r="D6119" s="5">
        <v>45717</v>
      </c>
      <c r="E6119" s="6" t="s">
        <v>15</v>
      </c>
      <c r="F6119" s="7">
        <v>613</v>
      </c>
      <c r="G6119" s="7">
        <v>85911.500815660678</v>
      </c>
      <c r="H6119" s="7">
        <v>52663750</v>
      </c>
      <c r="I6119" s="7">
        <v>18010953</v>
      </c>
      <c r="J6119" s="7">
        <v>0</v>
      </c>
      <c r="K6119">
        <f t="shared" si="95"/>
        <v>31</v>
      </c>
      <c r="L6119" s="8" t="str" cm="1">
        <f t="array" ref="L6119">_xlfn.IFS(
 AND(K6119&gt;=89,K6119&lt;=92),"3개월",
 AND(K6119&gt;=58,K6119&lt;=62),"2개월",
 AND(K6119&gt;=28,K6119&lt;=32),"1개월",
 AND(K6119=0),"당월",
 TRUE,"그외"
)</f>
        <v>1개월</v>
      </c>
    </row>
    <row r="6120" spans="1:12" x14ac:dyDescent="0.3">
      <c r="A6120" s="5">
        <v>45748</v>
      </c>
      <c r="B6120" s="6" t="s">
        <v>40</v>
      </c>
      <c r="C6120" s="6" t="s">
        <v>91</v>
      </c>
      <c r="D6120" s="5">
        <v>45748</v>
      </c>
      <c r="E6120" s="6" t="s">
        <v>14</v>
      </c>
      <c r="F6120" s="7">
        <v>1853</v>
      </c>
      <c r="G6120" s="7">
        <v>88567.206691851054</v>
      </c>
      <c r="H6120" s="7">
        <v>164115034</v>
      </c>
      <c r="I6120" s="7">
        <v>99132744</v>
      </c>
      <c r="J6120" s="7">
        <v>0</v>
      </c>
      <c r="K6120">
        <f t="shared" si="95"/>
        <v>0</v>
      </c>
      <c r="L6120" s="8" t="str" cm="1">
        <f t="array" ref="L6120">_xlfn.IFS(
 AND(K6120&gt;=89,K6120&lt;=92),"3개월",
 AND(K6120&gt;=58,K6120&lt;=62),"2개월",
 AND(K6120&gt;=28,K6120&lt;=32),"1개월",
 AND(K6120=0),"당월",
 TRUE,"그외"
)</f>
        <v>당월</v>
      </c>
    </row>
    <row r="6121" spans="1:12" x14ac:dyDescent="0.3">
      <c r="A6121" s="5">
        <v>45748</v>
      </c>
      <c r="B6121" s="6" t="s">
        <v>40</v>
      </c>
      <c r="C6121" s="6" t="s">
        <v>91</v>
      </c>
      <c r="D6121" s="5">
        <v>45748</v>
      </c>
      <c r="E6121" s="6" t="s">
        <v>15</v>
      </c>
      <c r="F6121" s="7">
        <v>1499</v>
      </c>
      <c r="G6121" s="7">
        <v>93734.609739826556</v>
      </c>
      <c r="H6121" s="7">
        <v>140508180</v>
      </c>
      <c r="I6121" s="7">
        <v>30924567</v>
      </c>
      <c r="J6121" s="7">
        <v>0</v>
      </c>
      <c r="K6121">
        <f t="shared" si="95"/>
        <v>0</v>
      </c>
      <c r="L6121" s="8" t="str" cm="1">
        <f t="array" ref="L6121">_xlfn.IFS(
 AND(K6121&gt;=89,K6121&lt;=92),"3개월",
 AND(K6121&gt;=58,K6121&lt;=62),"2개월",
 AND(K6121&gt;=28,K6121&lt;=32),"1개월",
 AND(K6121=0),"당월",
 TRUE,"그외"
)</f>
        <v>당월</v>
      </c>
    </row>
    <row r="6122" spans="1:12" x14ac:dyDescent="0.3">
      <c r="A6122" s="5">
        <v>45748</v>
      </c>
      <c r="B6122" s="6" t="s">
        <v>40</v>
      </c>
      <c r="C6122" s="6" t="s">
        <v>122</v>
      </c>
      <c r="D6122" s="5">
        <v>45689</v>
      </c>
      <c r="E6122" s="6" t="s">
        <v>14</v>
      </c>
      <c r="F6122" s="7">
        <v>63</v>
      </c>
      <c r="G6122" s="7">
        <v>113582.92063492061</v>
      </c>
      <c r="H6122" s="7">
        <v>7155724</v>
      </c>
      <c r="I6122" s="7">
        <v>4297239</v>
      </c>
      <c r="J6122" s="7">
        <v>0</v>
      </c>
      <c r="K6122">
        <f t="shared" si="95"/>
        <v>59</v>
      </c>
      <c r="L6122" s="8" t="str" cm="1">
        <f t="array" ref="L6122">_xlfn.IFS(
 AND(K6122&gt;=89,K6122&lt;=92),"3개월",
 AND(K6122&gt;=58,K6122&lt;=62),"2개월",
 AND(K6122&gt;=28,K6122&lt;=32),"1개월",
 AND(K6122=0),"당월",
 TRUE,"그외"
)</f>
        <v>2개월</v>
      </c>
    </row>
    <row r="6123" spans="1:12" x14ac:dyDescent="0.3">
      <c r="A6123" s="5">
        <v>45748</v>
      </c>
      <c r="B6123" s="6" t="s">
        <v>40</v>
      </c>
      <c r="C6123" s="6" t="s">
        <v>122</v>
      </c>
      <c r="D6123" s="5">
        <v>45689</v>
      </c>
      <c r="E6123" s="6" t="s">
        <v>15</v>
      </c>
      <c r="F6123" s="7">
        <v>4</v>
      </c>
      <c r="G6123" s="7">
        <v>110400</v>
      </c>
      <c r="H6123" s="7">
        <v>441600</v>
      </c>
      <c r="I6123" s="7">
        <v>81600</v>
      </c>
      <c r="J6123" s="7">
        <v>0</v>
      </c>
      <c r="K6123">
        <f t="shared" si="95"/>
        <v>59</v>
      </c>
      <c r="L6123" s="8" t="str" cm="1">
        <f t="array" ref="L6123">_xlfn.IFS(
 AND(K6123&gt;=89,K6123&lt;=92),"3개월",
 AND(K6123&gt;=58,K6123&lt;=62),"2개월",
 AND(K6123&gt;=28,K6123&lt;=32),"1개월",
 AND(K6123=0),"당월",
 TRUE,"그외"
)</f>
        <v>2개월</v>
      </c>
    </row>
    <row r="6124" spans="1:12" x14ac:dyDescent="0.3">
      <c r="A6124" s="5">
        <v>45748</v>
      </c>
      <c r="B6124" s="6" t="s">
        <v>40</v>
      </c>
      <c r="C6124" s="6" t="s">
        <v>122</v>
      </c>
      <c r="D6124" s="5">
        <v>45717</v>
      </c>
      <c r="E6124" s="6" t="s">
        <v>14</v>
      </c>
      <c r="F6124" s="7">
        <v>858</v>
      </c>
      <c r="G6124" s="7">
        <v>83253.405594405587</v>
      </c>
      <c r="H6124" s="7">
        <v>71431422</v>
      </c>
      <c r="I6124" s="7">
        <v>49417031</v>
      </c>
      <c r="J6124" s="7">
        <v>0</v>
      </c>
      <c r="K6124">
        <f t="shared" si="95"/>
        <v>31</v>
      </c>
      <c r="L6124" s="8" t="str" cm="1">
        <f t="array" ref="L6124">_xlfn.IFS(
 AND(K6124&gt;=89,K6124&lt;=92),"3개월",
 AND(K6124&gt;=58,K6124&lt;=62),"2개월",
 AND(K6124&gt;=28,K6124&lt;=32),"1개월",
 AND(K6124=0),"당월",
 TRUE,"그외"
)</f>
        <v>1개월</v>
      </c>
    </row>
    <row r="6125" spans="1:12" x14ac:dyDescent="0.3">
      <c r="A6125" s="5">
        <v>45748</v>
      </c>
      <c r="B6125" s="6" t="s">
        <v>40</v>
      </c>
      <c r="C6125" s="6" t="s">
        <v>122</v>
      </c>
      <c r="D6125" s="5">
        <v>45717</v>
      </c>
      <c r="E6125" s="6" t="s">
        <v>15</v>
      </c>
      <c r="F6125" s="7">
        <v>199</v>
      </c>
      <c r="G6125" s="7">
        <v>111350.36180904519</v>
      </c>
      <c r="H6125" s="7">
        <v>22158722</v>
      </c>
      <c r="I6125" s="7">
        <v>6863617</v>
      </c>
      <c r="J6125" s="7">
        <v>0</v>
      </c>
      <c r="K6125">
        <f t="shared" si="95"/>
        <v>31</v>
      </c>
      <c r="L6125" s="8" t="str" cm="1">
        <f t="array" ref="L6125">_xlfn.IFS(
 AND(K6125&gt;=89,K6125&lt;=92),"3개월",
 AND(K6125&gt;=58,K6125&lt;=62),"2개월",
 AND(K6125&gt;=28,K6125&lt;=32),"1개월",
 AND(K6125=0),"당월",
 TRUE,"그외"
)</f>
        <v>1개월</v>
      </c>
    </row>
    <row r="6126" spans="1:12" x14ac:dyDescent="0.3">
      <c r="A6126" s="5">
        <v>45748</v>
      </c>
      <c r="B6126" s="6" t="s">
        <v>40</v>
      </c>
      <c r="C6126" s="6" t="s">
        <v>122</v>
      </c>
      <c r="D6126" s="5">
        <v>45748</v>
      </c>
      <c r="E6126" s="6" t="s">
        <v>14</v>
      </c>
      <c r="F6126" s="7">
        <v>1070</v>
      </c>
      <c r="G6126" s="7">
        <v>72416.898130841117</v>
      </c>
      <c r="H6126" s="7">
        <v>77486081</v>
      </c>
      <c r="I6126" s="7">
        <v>53046238</v>
      </c>
      <c r="J6126" s="7">
        <v>0</v>
      </c>
      <c r="K6126">
        <f t="shared" si="95"/>
        <v>0</v>
      </c>
      <c r="L6126" s="8" t="str" cm="1">
        <f t="array" ref="L6126">_xlfn.IFS(
 AND(K6126&gt;=89,K6126&lt;=92),"3개월",
 AND(K6126&gt;=58,K6126&lt;=62),"2개월",
 AND(K6126&gt;=28,K6126&lt;=32),"1개월",
 AND(K6126=0),"당월",
 TRUE,"그외"
)</f>
        <v>당월</v>
      </c>
    </row>
    <row r="6127" spans="1:12" x14ac:dyDescent="0.3">
      <c r="A6127" s="5">
        <v>45748</v>
      </c>
      <c r="B6127" s="6" t="s">
        <v>40</v>
      </c>
      <c r="C6127" s="6" t="s">
        <v>122</v>
      </c>
      <c r="D6127" s="5">
        <v>45748</v>
      </c>
      <c r="E6127" s="6" t="s">
        <v>15</v>
      </c>
      <c r="F6127" s="7">
        <v>399</v>
      </c>
      <c r="G6127" s="7">
        <v>104955.5488721805</v>
      </c>
      <c r="H6127" s="7">
        <v>41877264</v>
      </c>
      <c r="I6127" s="7">
        <v>10564494</v>
      </c>
      <c r="J6127" s="7">
        <v>0</v>
      </c>
      <c r="K6127">
        <f t="shared" si="95"/>
        <v>0</v>
      </c>
      <c r="L6127" s="8" t="str" cm="1">
        <f t="array" ref="L6127">_xlfn.IFS(
 AND(K6127&gt;=89,K6127&lt;=92),"3개월",
 AND(K6127&gt;=58,K6127&lt;=62),"2개월",
 AND(K6127&gt;=28,K6127&lt;=32),"1개월",
 AND(K6127=0),"당월",
 TRUE,"그외"
)</f>
        <v>당월</v>
      </c>
    </row>
    <row r="6128" spans="1:12" x14ac:dyDescent="0.3">
      <c r="A6128" s="5">
        <v>45748</v>
      </c>
      <c r="B6128" s="6" t="s">
        <v>40</v>
      </c>
      <c r="C6128" s="6" t="s">
        <v>42</v>
      </c>
      <c r="D6128" s="5">
        <v>45689</v>
      </c>
      <c r="E6128" s="6" t="s">
        <v>14</v>
      </c>
      <c r="F6128" s="7">
        <v>279</v>
      </c>
      <c r="G6128" s="7">
        <v>188106.09318996419</v>
      </c>
      <c r="H6128" s="7">
        <v>52481600</v>
      </c>
      <c r="I6128" s="7">
        <v>5691600</v>
      </c>
      <c r="J6128" s="7">
        <v>0</v>
      </c>
      <c r="K6128">
        <f t="shared" si="95"/>
        <v>59</v>
      </c>
      <c r="L6128" s="8" t="str" cm="1">
        <f t="array" ref="L6128">_xlfn.IFS(
 AND(K6128&gt;=89,K6128&lt;=92),"3개월",
 AND(K6128&gt;=58,K6128&lt;=62),"2개월",
 AND(K6128&gt;=28,K6128&lt;=32),"1개월",
 AND(K6128=0),"당월",
 TRUE,"그외"
)</f>
        <v>2개월</v>
      </c>
    </row>
    <row r="6129" spans="1:12" x14ac:dyDescent="0.3">
      <c r="A6129" s="5">
        <v>45748</v>
      </c>
      <c r="B6129" s="6" t="s">
        <v>40</v>
      </c>
      <c r="C6129" s="6" t="s">
        <v>42</v>
      </c>
      <c r="D6129" s="5">
        <v>45717</v>
      </c>
      <c r="E6129" s="6" t="s">
        <v>14</v>
      </c>
      <c r="F6129" s="7">
        <v>1281</v>
      </c>
      <c r="G6129" s="7">
        <v>185973.6143637783</v>
      </c>
      <c r="H6129" s="7">
        <v>238232200</v>
      </c>
      <c r="I6129" s="7">
        <v>29572200</v>
      </c>
      <c r="J6129" s="7">
        <v>0</v>
      </c>
      <c r="K6129">
        <f t="shared" si="95"/>
        <v>31</v>
      </c>
      <c r="L6129" s="8" t="str" cm="1">
        <f t="array" ref="L6129">_xlfn.IFS(
 AND(K6129&gt;=89,K6129&lt;=92),"3개월",
 AND(K6129&gt;=58,K6129&lt;=62),"2개월",
 AND(K6129&gt;=28,K6129&lt;=32),"1개월",
 AND(K6129=0),"당월",
 TRUE,"그외"
)</f>
        <v>1개월</v>
      </c>
    </row>
    <row r="6130" spans="1:12" x14ac:dyDescent="0.3">
      <c r="A6130" s="5">
        <v>45748</v>
      </c>
      <c r="B6130" s="6" t="s">
        <v>40</v>
      </c>
      <c r="C6130" s="6" t="s">
        <v>42</v>
      </c>
      <c r="D6130" s="5">
        <v>45748</v>
      </c>
      <c r="E6130" s="6" t="s">
        <v>14</v>
      </c>
      <c r="F6130" s="7">
        <v>3746</v>
      </c>
      <c r="G6130" s="7">
        <v>180384.19647624131</v>
      </c>
      <c r="H6130" s="7">
        <v>675719200</v>
      </c>
      <c r="I6130" s="7">
        <v>65221200</v>
      </c>
      <c r="J6130" s="7">
        <v>0</v>
      </c>
      <c r="K6130">
        <f t="shared" si="95"/>
        <v>0</v>
      </c>
      <c r="L6130" s="8" t="str" cm="1">
        <f t="array" ref="L6130">_xlfn.IFS(
 AND(K6130&gt;=89,K6130&lt;=92),"3개월",
 AND(K6130&gt;=58,K6130&lt;=62),"2개월",
 AND(K6130&gt;=28,K6130&lt;=32),"1개월",
 AND(K6130=0),"당월",
 TRUE,"그외"
)</f>
        <v>당월</v>
      </c>
    </row>
    <row r="6131" spans="1:12" x14ac:dyDescent="0.3">
      <c r="A6131" s="5">
        <v>45748</v>
      </c>
      <c r="B6131" s="6" t="s">
        <v>40</v>
      </c>
      <c r="C6131" s="6" t="s">
        <v>42</v>
      </c>
      <c r="D6131" s="5">
        <v>45748</v>
      </c>
      <c r="E6131" s="6" t="s">
        <v>15</v>
      </c>
      <c r="F6131" s="7">
        <v>4</v>
      </c>
      <c r="G6131" s="7">
        <v>176850</v>
      </c>
      <c r="H6131" s="7">
        <v>707400</v>
      </c>
      <c r="I6131" s="7">
        <v>17400</v>
      </c>
      <c r="J6131" s="7">
        <v>0</v>
      </c>
      <c r="K6131">
        <f t="shared" si="95"/>
        <v>0</v>
      </c>
      <c r="L6131" s="8" t="str" cm="1">
        <f t="array" ref="L6131">_xlfn.IFS(
 AND(K6131&gt;=89,K6131&lt;=92),"3개월",
 AND(K6131&gt;=58,K6131&lt;=62),"2개월",
 AND(K6131&gt;=28,K6131&lt;=32),"1개월",
 AND(K6131=0),"당월",
 TRUE,"그외"
)</f>
        <v>당월</v>
      </c>
    </row>
    <row r="6132" spans="1:12" x14ac:dyDescent="0.3">
      <c r="A6132" s="5">
        <v>45748</v>
      </c>
      <c r="B6132" s="6" t="s">
        <v>40</v>
      </c>
      <c r="C6132" s="6" t="s">
        <v>92</v>
      </c>
      <c r="D6132" s="5">
        <v>45689</v>
      </c>
      <c r="E6132" s="6" t="s">
        <v>14</v>
      </c>
      <c r="F6132" s="7">
        <v>82</v>
      </c>
      <c r="G6132" s="7">
        <v>118461.0731707317</v>
      </c>
      <c r="H6132" s="7">
        <v>9713808</v>
      </c>
      <c r="I6132" s="7">
        <v>1771008</v>
      </c>
      <c r="J6132" s="7">
        <v>0</v>
      </c>
      <c r="K6132">
        <f t="shared" si="95"/>
        <v>59</v>
      </c>
      <c r="L6132" s="8" t="str" cm="1">
        <f t="array" ref="L6132">_xlfn.IFS(
 AND(K6132&gt;=89,K6132&lt;=92),"3개월",
 AND(K6132&gt;=58,K6132&lt;=62),"2개월",
 AND(K6132&gt;=28,K6132&lt;=32),"1개월",
 AND(K6132=0),"당월",
 TRUE,"그외"
)</f>
        <v>2개월</v>
      </c>
    </row>
    <row r="6133" spans="1:12" x14ac:dyDescent="0.3">
      <c r="A6133" s="5">
        <v>45748</v>
      </c>
      <c r="B6133" s="6" t="s">
        <v>40</v>
      </c>
      <c r="C6133" s="6" t="s">
        <v>92</v>
      </c>
      <c r="D6133" s="5">
        <v>45689</v>
      </c>
      <c r="E6133" s="6" t="s">
        <v>15</v>
      </c>
      <c r="F6133" s="7">
        <v>7</v>
      </c>
      <c r="G6133" s="7">
        <v>140680.8571428571</v>
      </c>
      <c r="H6133" s="7">
        <v>984766</v>
      </c>
      <c r="I6133" s="7">
        <v>115717</v>
      </c>
      <c r="J6133" s="7">
        <v>0</v>
      </c>
      <c r="K6133">
        <f t="shared" si="95"/>
        <v>59</v>
      </c>
      <c r="L6133" s="8" t="str" cm="1">
        <f t="array" ref="L6133">_xlfn.IFS(
 AND(K6133&gt;=89,K6133&lt;=92),"3개월",
 AND(K6133&gt;=58,K6133&lt;=62),"2개월",
 AND(K6133&gt;=28,K6133&lt;=32),"1개월",
 AND(K6133=0),"당월",
 TRUE,"그외"
)</f>
        <v>2개월</v>
      </c>
    </row>
    <row r="6134" spans="1:12" x14ac:dyDescent="0.3">
      <c r="A6134" s="5">
        <v>45748</v>
      </c>
      <c r="B6134" s="6" t="s">
        <v>40</v>
      </c>
      <c r="C6134" s="6" t="s">
        <v>92</v>
      </c>
      <c r="D6134" s="5">
        <v>45717</v>
      </c>
      <c r="E6134" s="6" t="s">
        <v>14</v>
      </c>
      <c r="F6134" s="7">
        <v>98</v>
      </c>
      <c r="G6134" s="7">
        <v>86770.744897959186</v>
      </c>
      <c r="H6134" s="7">
        <v>8503533</v>
      </c>
      <c r="I6134" s="7">
        <v>2700490</v>
      </c>
      <c r="J6134" s="7">
        <v>0</v>
      </c>
      <c r="K6134">
        <f t="shared" si="95"/>
        <v>31</v>
      </c>
      <c r="L6134" s="8" t="str" cm="1">
        <f t="array" ref="L6134">_xlfn.IFS(
 AND(K6134&gt;=89,K6134&lt;=92),"3개월",
 AND(K6134&gt;=58,K6134&lt;=62),"2개월",
 AND(K6134&gt;=28,K6134&lt;=32),"1개월",
 AND(K6134=0),"당월",
 TRUE,"그외"
)</f>
        <v>1개월</v>
      </c>
    </row>
    <row r="6135" spans="1:12" x14ac:dyDescent="0.3">
      <c r="A6135" s="5">
        <v>45748</v>
      </c>
      <c r="B6135" s="6" t="s">
        <v>40</v>
      </c>
      <c r="C6135" s="6" t="s">
        <v>92</v>
      </c>
      <c r="D6135" s="5">
        <v>45717</v>
      </c>
      <c r="E6135" s="6" t="s">
        <v>15</v>
      </c>
      <c r="F6135" s="7">
        <v>87</v>
      </c>
      <c r="G6135" s="7">
        <v>125475.3333333333</v>
      </c>
      <c r="H6135" s="7">
        <v>10916354</v>
      </c>
      <c r="I6135" s="7">
        <v>1462500</v>
      </c>
      <c r="J6135" s="7">
        <v>0</v>
      </c>
      <c r="K6135">
        <f t="shared" si="95"/>
        <v>31</v>
      </c>
      <c r="L6135" s="8" t="str" cm="1">
        <f t="array" ref="L6135">_xlfn.IFS(
 AND(K6135&gt;=89,K6135&lt;=92),"3개월",
 AND(K6135&gt;=58,K6135&lt;=62),"2개월",
 AND(K6135&gt;=28,K6135&lt;=32),"1개월",
 AND(K6135=0),"당월",
 TRUE,"그외"
)</f>
        <v>1개월</v>
      </c>
    </row>
    <row r="6136" spans="1:12" x14ac:dyDescent="0.3">
      <c r="A6136" s="5">
        <v>45748</v>
      </c>
      <c r="B6136" s="6" t="s">
        <v>40</v>
      </c>
      <c r="C6136" s="6" t="s">
        <v>92</v>
      </c>
      <c r="D6136" s="5">
        <v>45748</v>
      </c>
      <c r="E6136" s="6" t="s">
        <v>14</v>
      </c>
      <c r="F6136" s="7">
        <v>771</v>
      </c>
      <c r="G6136" s="7">
        <v>72650.246433203632</v>
      </c>
      <c r="H6136" s="7">
        <v>56013340</v>
      </c>
      <c r="I6136" s="7">
        <v>17051106</v>
      </c>
      <c r="J6136" s="7">
        <v>0</v>
      </c>
      <c r="K6136">
        <f t="shared" si="95"/>
        <v>0</v>
      </c>
      <c r="L6136" s="8" t="str" cm="1">
        <f t="array" ref="L6136">_xlfn.IFS(
 AND(K6136&gt;=89,K6136&lt;=92),"3개월",
 AND(K6136&gt;=58,K6136&lt;=62),"2개월",
 AND(K6136&gt;=28,K6136&lt;=32),"1개월",
 AND(K6136=0),"당월",
 TRUE,"그외"
)</f>
        <v>당월</v>
      </c>
    </row>
    <row r="6137" spans="1:12" x14ac:dyDescent="0.3">
      <c r="A6137" s="5">
        <v>45748</v>
      </c>
      <c r="B6137" s="6" t="s">
        <v>40</v>
      </c>
      <c r="C6137" s="6" t="s">
        <v>92</v>
      </c>
      <c r="D6137" s="5">
        <v>45748</v>
      </c>
      <c r="E6137" s="6" t="s">
        <v>15</v>
      </c>
      <c r="F6137" s="7">
        <v>201</v>
      </c>
      <c r="G6137" s="7">
        <v>133251.4776119403</v>
      </c>
      <c r="H6137" s="7">
        <v>26783547</v>
      </c>
      <c r="I6137" s="7">
        <v>3402707</v>
      </c>
      <c r="J6137" s="7">
        <v>0</v>
      </c>
      <c r="K6137">
        <f t="shared" si="95"/>
        <v>0</v>
      </c>
      <c r="L6137" s="8" t="str" cm="1">
        <f t="array" ref="L6137">_xlfn.IFS(
 AND(K6137&gt;=89,K6137&lt;=92),"3개월",
 AND(K6137&gt;=58,K6137&lt;=62),"2개월",
 AND(K6137&gt;=28,K6137&lt;=32),"1개월",
 AND(K6137=0),"당월",
 TRUE,"그외"
)</f>
        <v>당월</v>
      </c>
    </row>
    <row r="6138" spans="1:12" x14ac:dyDescent="0.3">
      <c r="A6138" s="5">
        <v>45748</v>
      </c>
      <c r="B6138" s="6" t="s">
        <v>40</v>
      </c>
      <c r="C6138" s="6" t="s">
        <v>93</v>
      </c>
      <c r="D6138" s="5">
        <v>45717</v>
      </c>
      <c r="E6138" s="6" t="s">
        <v>14</v>
      </c>
      <c r="F6138" s="7">
        <v>7</v>
      </c>
      <c r="G6138" s="7">
        <v>66355.71428571429</v>
      </c>
      <c r="H6138" s="7">
        <v>464490</v>
      </c>
      <c r="I6138" s="7">
        <v>323735</v>
      </c>
      <c r="J6138" s="7">
        <v>0</v>
      </c>
      <c r="K6138">
        <f t="shared" si="95"/>
        <v>31</v>
      </c>
      <c r="L6138" s="8" t="str" cm="1">
        <f t="array" ref="L6138">_xlfn.IFS(
 AND(K6138&gt;=89,K6138&lt;=92),"3개월",
 AND(K6138&gt;=58,K6138&lt;=62),"2개월",
 AND(K6138&gt;=28,K6138&lt;=32),"1개월",
 AND(K6138=0),"당월",
 TRUE,"그외"
)</f>
        <v>1개월</v>
      </c>
    </row>
    <row r="6139" spans="1:12" x14ac:dyDescent="0.3">
      <c r="A6139" s="5">
        <v>45748</v>
      </c>
      <c r="B6139" s="6" t="s">
        <v>40</v>
      </c>
      <c r="C6139" s="6" t="s">
        <v>93</v>
      </c>
      <c r="D6139" s="5">
        <v>45717</v>
      </c>
      <c r="E6139" s="6" t="s">
        <v>15</v>
      </c>
      <c r="F6139" s="7">
        <v>36</v>
      </c>
      <c r="G6139" s="7">
        <v>135073.13888888891</v>
      </c>
      <c r="H6139" s="7">
        <v>4862633</v>
      </c>
      <c r="I6139" s="7">
        <v>501554</v>
      </c>
      <c r="J6139" s="7">
        <v>0</v>
      </c>
      <c r="K6139">
        <f t="shared" si="95"/>
        <v>31</v>
      </c>
      <c r="L6139" s="8" t="str" cm="1">
        <f t="array" ref="L6139">_xlfn.IFS(
 AND(K6139&gt;=89,K6139&lt;=92),"3개월",
 AND(K6139&gt;=58,K6139&lt;=62),"2개월",
 AND(K6139&gt;=28,K6139&lt;=32),"1개월",
 AND(K6139=0),"당월",
 TRUE,"그외"
)</f>
        <v>1개월</v>
      </c>
    </row>
    <row r="6140" spans="1:12" x14ac:dyDescent="0.3">
      <c r="A6140" s="5">
        <v>45748</v>
      </c>
      <c r="B6140" s="6" t="s">
        <v>40</v>
      </c>
      <c r="C6140" s="6" t="s">
        <v>93</v>
      </c>
      <c r="D6140" s="5">
        <v>45748</v>
      </c>
      <c r="E6140" s="6" t="s">
        <v>14</v>
      </c>
      <c r="F6140" s="7">
        <v>1097</v>
      </c>
      <c r="G6140" s="7">
        <v>81035.626253418421</v>
      </c>
      <c r="H6140" s="7">
        <v>88896082</v>
      </c>
      <c r="I6140" s="7">
        <v>13091708</v>
      </c>
      <c r="J6140" s="7">
        <v>0</v>
      </c>
      <c r="K6140">
        <f t="shared" si="95"/>
        <v>0</v>
      </c>
      <c r="L6140" s="8" t="str" cm="1">
        <f t="array" ref="L6140">_xlfn.IFS(
 AND(K6140&gt;=89,K6140&lt;=92),"3개월",
 AND(K6140&gt;=58,K6140&lt;=62),"2개월",
 AND(K6140&gt;=28,K6140&lt;=32),"1개월",
 AND(K6140=0),"당월",
 TRUE,"그외"
)</f>
        <v>당월</v>
      </c>
    </row>
    <row r="6141" spans="1:12" x14ac:dyDescent="0.3">
      <c r="A6141" s="5">
        <v>45748</v>
      </c>
      <c r="B6141" s="6" t="s">
        <v>40</v>
      </c>
      <c r="C6141" s="6" t="s">
        <v>93</v>
      </c>
      <c r="D6141" s="5">
        <v>45748</v>
      </c>
      <c r="E6141" s="6" t="s">
        <v>15</v>
      </c>
      <c r="F6141" s="7">
        <v>29</v>
      </c>
      <c r="G6141" s="7">
        <v>142822.8275862069</v>
      </c>
      <c r="H6141" s="7">
        <v>4141862</v>
      </c>
      <c r="I6141" s="7">
        <v>531755</v>
      </c>
      <c r="J6141" s="7">
        <v>0</v>
      </c>
      <c r="K6141">
        <f t="shared" si="95"/>
        <v>0</v>
      </c>
      <c r="L6141" s="8" t="str" cm="1">
        <f t="array" ref="L6141">_xlfn.IFS(
 AND(K6141&gt;=89,K6141&lt;=92),"3개월",
 AND(K6141&gt;=58,K6141&lt;=62),"2개월",
 AND(K6141&gt;=28,K6141&lt;=32),"1개월",
 AND(K6141=0),"당월",
 TRUE,"그외"
)</f>
        <v>당월</v>
      </c>
    </row>
    <row r="6142" spans="1:12" x14ac:dyDescent="0.3">
      <c r="A6142" s="5">
        <v>45748</v>
      </c>
      <c r="B6142" s="6" t="s">
        <v>40</v>
      </c>
      <c r="C6142" s="6" t="s">
        <v>47</v>
      </c>
      <c r="D6142" s="5">
        <v>45689</v>
      </c>
      <c r="E6142" s="6" t="s">
        <v>14</v>
      </c>
      <c r="F6142" s="7">
        <v>64</v>
      </c>
      <c r="G6142" s="7">
        <v>80112.5</v>
      </c>
      <c r="H6142" s="7">
        <v>5127200</v>
      </c>
      <c r="I6142" s="7">
        <v>1587200</v>
      </c>
      <c r="J6142" s="7">
        <v>0</v>
      </c>
      <c r="K6142">
        <f t="shared" si="95"/>
        <v>59</v>
      </c>
      <c r="L6142" s="8" t="str" cm="1">
        <f t="array" ref="L6142">_xlfn.IFS(
 AND(K6142&gt;=89,K6142&lt;=92),"3개월",
 AND(K6142&gt;=58,K6142&lt;=62),"2개월",
 AND(K6142&gt;=28,K6142&lt;=32),"1개월",
 AND(K6142=0),"당월",
 TRUE,"그외"
)</f>
        <v>2개월</v>
      </c>
    </row>
    <row r="6143" spans="1:12" x14ac:dyDescent="0.3">
      <c r="A6143" s="5">
        <v>45748</v>
      </c>
      <c r="B6143" s="6" t="s">
        <v>40</v>
      </c>
      <c r="C6143" s="6" t="s">
        <v>47</v>
      </c>
      <c r="D6143" s="5">
        <v>45689</v>
      </c>
      <c r="E6143" s="6" t="s">
        <v>15</v>
      </c>
      <c r="F6143" s="7">
        <v>1303</v>
      </c>
      <c r="G6143" s="7">
        <v>132763.6968534152</v>
      </c>
      <c r="H6143" s="7">
        <v>172991097</v>
      </c>
      <c r="I6143" s="7">
        <v>35607318</v>
      </c>
      <c r="J6143" s="7">
        <v>0</v>
      </c>
      <c r="K6143">
        <f t="shared" si="95"/>
        <v>59</v>
      </c>
      <c r="L6143" s="8" t="str" cm="1">
        <f t="array" ref="L6143">_xlfn.IFS(
 AND(K6143&gt;=89,K6143&lt;=92),"3개월",
 AND(K6143&gt;=58,K6143&lt;=62),"2개월",
 AND(K6143&gt;=28,K6143&lt;=32),"1개월",
 AND(K6143=0),"당월",
 TRUE,"그외"
)</f>
        <v>2개월</v>
      </c>
    </row>
    <row r="6144" spans="1:12" x14ac:dyDescent="0.3">
      <c r="A6144" s="5">
        <v>45748</v>
      </c>
      <c r="B6144" s="6" t="s">
        <v>40</v>
      </c>
      <c r="C6144" s="6" t="s">
        <v>47</v>
      </c>
      <c r="D6144" s="5">
        <v>45717</v>
      </c>
      <c r="E6144" s="6" t="s">
        <v>14</v>
      </c>
      <c r="F6144" s="7">
        <v>970</v>
      </c>
      <c r="G6144" s="7">
        <v>100200.5134020619</v>
      </c>
      <c r="H6144" s="7">
        <v>97194498</v>
      </c>
      <c r="I6144" s="7">
        <v>27409232</v>
      </c>
      <c r="J6144" s="7">
        <v>0</v>
      </c>
      <c r="K6144">
        <f t="shared" si="95"/>
        <v>31</v>
      </c>
      <c r="L6144" s="8" t="str" cm="1">
        <f t="array" ref="L6144">_xlfn.IFS(
 AND(K6144&gt;=89,K6144&lt;=92),"3개월",
 AND(K6144&gt;=58,K6144&lt;=62),"2개월",
 AND(K6144&gt;=28,K6144&lt;=32),"1개월",
 AND(K6144=0),"당월",
 TRUE,"그외"
)</f>
        <v>1개월</v>
      </c>
    </row>
    <row r="6145" spans="1:12" x14ac:dyDescent="0.3">
      <c r="A6145" s="5">
        <v>45748</v>
      </c>
      <c r="B6145" s="6" t="s">
        <v>40</v>
      </c>
      <c r="C6145" s="6" t="s">
        <v>47</v>
      </c>
      <c r="D6145" s="5">
        <v>45717</v>
      </c>
      <c r="E6145" s="6" t="s">
        <v>15</v>
      </c>
      <c r="F6145" s="7">
        <v>3180</v>
      </c>
      <c r="G6145" s="7">
        <v>139295.5308176101</v>
      </c>
      <c r="H6145" s="7">
        <v>442959788</v>
      </c>
      <c r="I6145" s="7">
        <v>93435702</v>
      </c>
      <c r="J6145" s="7">
        <v>0</v>
      </c>
      <c r="K6145">
        <f t="shared" si="95"/>
        <v>31</v>
      </c>
      <c r="L6145" s="8" t="str" cm="1">
        <f t="array" ref="L6145">_xlfn.IFS(
 AND(K6145&gt;=89,K6145&lt;=92),"3개월",
 AND(K6145&gt;=58,K6145&lt;=62),"2개월",
 AND(K6145&gt;=28,K6145&lt;=32),"1개월",
 AND(K6145=0),"당월",
 TRUE,"그외"
)</f>
        <v>1개월</v>
      </c>
    </row>
    <row r="6146" spans="1:12" x14ac:dyDescent="0.3">
      <c r="A6146" s="5">
        <v>45748</v>
      </c>
      <c r="B6146" s="6" t="s">
        <v>40</v>
      </c>
      <c r="C6146" s="6" t="s">
        <v>47</v>
      </c>
      <c r="D6146" s="5">
        <v>45748</v>
      </c>
      <c r="E6146" s="6" t="s">
        <v>14</v>
      </c>
      <c r="F6146" s="7">
        <v>2983</v>
      </c>
      <c r="G6146" s="7">
        <v>118327.10157559501</v>
      </c>
      <c r="H6146" s="7">
        <v>352969744</v>
      </c>
      <c r="I6146" s="7">
        <v>83145167</v>
      </c>
      <c r="J6146" s="7">
        <v>0</v>
      </c>
      <c r="K6146">
        <f t="shared" si="95"/>
        <v>0</v>
      </c>
      <c r="L6146" s="8" t="str" cm="1">
        <f t="array" ref="L6146">_xlfn.IFS(
 AND(K6146&gt;=89,K6146&lt;=92),"3개월",
 AND(K6146&gt;=58,K6146&lt;=62),"2개월",
 AND(K6146&gt;=28,K6146&lt;=32),"1개월",
 AND(K6146=0),"당월",
 TRUE,"그외"
)</f>
        <v>당월</v>
      </c>
    </row>
    <row r="6147" spans="1:12" x14ac:dyDescent="0.3">
      <c r="A6147" s="5">
        <v>45748</v>
      </c>
      <c r="B6147" s="6" t="s">
        <v>40</v>
      </c>
      <c r="C6147" s="6" t="s">
        <v>47</v>
      </c>
      <c r="D6147" s="5">
        <v>45748</v>
      </c>
      <c r="E6147" s="6" t="s">
        <v>15</v>
      </c>
      <c r="F6147" s="7">
        <v>2093</v>
      </c>
      <c r="G6147" s="7">
        <v>140393.62637362641</v>
      </c>
      <c r="H6147" s="7">
        <v>293843860</v>
      </c>
      <c r="I6147" s="7">
        <v>54477087</v>
      </c>
      <c r="J6147" s="7">
        <v>0</v>
      </c>
      <c r="K6147">
        <f t="shared" si="95"/>
        <v>0</v>
      </c>
      <c r="L6147" s="8" t="str" cm="1">
        <f t="array" ref="L6147">_xlfn.IFS(
 AND(K6147&gt;=89,K6147&lt;=92),"3개월",
 AND(K6147&gt;=58,K6147&lt;=62),"2개월",
 AND(K6147&gt;=28,K6147&lt;=32),"1개월",
 AND(K6147=0),"당월",
 TRUE,"그외"
)</f>
        <v>당월</v>
      </c>
    </row>
    <row r="6148" spans="1:12" x14ac:dyDescent="0.3">
      <c r="A6148" s="5">
        <v>45748</v>
      </c>
      <c r="B6148" s="6" t="s">
        <v>50</v>
      </c>
      <c r="C6148" s="6" t="s">
        <v>51</v>
      </c>
      <c r="D6148" s="5">
        <v>45627</v>
      </c>
      <c r="E6148" s="6" t="s">
        <v>15</v>
      </c>
      <c r="F6148" s="7">
        <v>1</v>
      </c>
      <c r="G6148" s="7">
        <v>395783</v>
      </c>
      <c r="H6148" s="7">
        <v>395783</v>
      </c>
      <c r="I6148" s="7">
        <v>40023</v>
      </c>
      <c r="J6148" s="7">
        <v>0</v>
      </c>
      <c r="K6148">
        <f t="shared" si="95"/>
        <v>121</v>
      </c>
      <c r="L6148" s="8" t="str" cm="1">
        <f t="array" ref="L6148">_xlfn.IFS(
 AND(K6148&gt;=89,K6148&lt;=92),"3개월",
 AND(K6148&gt;=58,K6148&lt;=62),"2개월",
 AND(K6148&gt;=28,K6148&lt;=32),"1개월",
 AND(K6148=0),"당월",
 TRUE,"그외"
)</f>
        <v>그외</v>
      </c>
    </row>
    <row r="6149" spans="1:12" x14ac:dyDescent="0.3">
      <c r="A6149" s="5">
        <v>45748</v>
      </c>
      <c r="B6149" s="6" t="s">
        <v>50</v>
      </c>
      <c r="C6149" s="6" t="s">
        <v>51</v>
      </c>
      <c r="D6149" s="5">
        <v>45658</v>
      </c>
      <c r="E6149" s="6" t="s">
        <v>15</v>
      </c>
      <c r="F6149" s="7">
        <v>490</v>
      </c>
      <c r="G6149" s="7">
        <v>147302.8224489796</v>
      </c>
      <c r="H6149" s="7">
        <v>72178383</v>
      </c>
      <c r="I6149" s="7">
        <v>11989408</v>
      </c>
      <c r="J6149" s="7">
        <v>0</v>
      </c>
      <c r="K6149">
        <f t="shared" si="95"/>
        <v>90</v>
      </c>
      <c r="L6149" s="8" t="str" cm="1">
        <f t="array" ref="L6149">_xlfn.IFS(
 AND(K6149&gt;=89,K6149&lt;=92),"3개월",
 AND(K6149&gt;=58,K6149&lt;=62),"2개월",
 AND(K6149&gt;=28,K6149&lt;=32),"1개월",
 AND(K6149=0),"당월",
 TRUE,"그외"
)</f>
        <v>3개월</v>
      </c>
    </row>
    <row r="6150" spans="1:12" x14ac:dyDescent="0.3">
      <c r="A6150" s="5">
        <v>45748</v>
      </c>
      <c r="B6150" s="6" t="s">
        <v>50</v>
      </c>
      <c r="C6150" s="6" t="s">
        <v>51</v>
      </c>
      <c r="D6150" s="5">
        <v>45689</v>
      </c>
      <c r="E6150" s="6" t="s">
        <v>14</v>
      </c>
      <c r="F6150" s="7">
        <v>6</v>
      </c>
      <c r="G6150" s="7">
        <v>151400</v>
      </c>
      <c r="H6150" s="7">
        <v>908400</v>
      </c>
      <c r="I6150" s="7">
        <v>122400</v>
      </c>
      <c r="J6150" s="7">
        <v>0</v>
      </c>
      <c r="K6150">
        <f t="shared" si="95"/>
        <v>59</v>
      </c>
      <c r="L6150" s="8" t="str" cm="1">
        <f t="array" ref="L6150">_xlfn.IFS(
 AND(K6150&gt;=89,K6150&lt;=92),"3개월",
 AND(K6150&gt;=58,K6150&lt;=62),"2개월",
 AND(K6150&gt;=28,K6150&lt;=32),"1개월",
 AND(K6150=0),"당월",
 TRUE,"그외"
)</f>
        <v>2개월</v>
      </c>
    </row>
    <row r="6151" spans="1:12" x14ac:dyDescent="0.3">
      <c r="A6151" s="5">
        <v>45748</v>
      </c>
      <c r="B6151" s="6" t="s">
        <v>50</v>
      </c>
      <c r="C6151" s="6" t="s">
        <v>51</v>
      </c>
      <c r="D6151" s="5">
        <v>45689</v>
      </c>
      <c r="E6151" s="6" t="s">
        <v>15</v>
      </c>
      <c r="F6151" s="7">
        <v>1432</v>
      </c>
      <c r="G6151" s="7">
        <v>174499.00628491619</v>
      </c>
      <c r="H6151" s="7">
        <v>249882577</v>
      </c>
      <c r="I6151" s="7">
        <v>40086274</v>
      </c>
      <c r="J6151" s="7">
        <v>0</v>
      </c>
      <c r="K6151">
        <f t="shared" si="95"/>
        <v>59</v>
      </c>
      <c r="L6151" s="8" t="str" cm="1">
        <f t="array" ref="L6151">_xlfn.IFS(
 AND(K6151&gt;=89,K6151&lt;=92),"3개월",
 AND(K6151&gt;=58,K6151&lt;=62),"2개월",
 AND(K6151&gt;=28,K6151&lt;=32),"1개월",
 AND(K6151=0),"당월",
 TRUE,"그외"
)</f>
        <v>2개월</v>
      </c>
    </row>
    <row r="6152" spans="1:12" x14ac:dyDescent="0.3">
      <c r="A6152" s="5">
        <v>45748</v>
      </c>
      <c r="B6152" s="6" t="s">
        <v>50</v>
      </c>
      <c r="C6152" s="6" t="s">
        <v>51</v>
      </c>
      <c r="D6152" s="5">
        <v>45717</v>
      </c>
      <c r="E6152" s="6" t="s">
        <v>14</v>
      </c>
      <c r="F6152" s="7">
        <v>564</v>
      </c>
      <c r="G6152" s="7">
        <v>187133.3723404255</v>
      </c>
      <c r="H6152" s="7">
        <v>105543222</v>
      </c>
      <c r="I6152" s="7">
        <v>17641104</v>
      </c>
      <c r="J6152" s="7">
        <v>0</v>
      </c>
      <c r="K6152">
        <f t="shared" si="95"/>
        <v>31</v>
      </c>
      <c r="L6152" s="8" t="str" cm="1">
        <f t="array" ref="L6152">_xlfn.IFS(
 AND(K6152&gt;=89,K6152&lt;=92),"3개월",
 AND(K6152&gt;=58,K6152&lt;=62),"2개월",
 AND(K6152&gt;=28,K6152&lt;=32),"1개월",
 AND(K6152=0),"당월",
 TRUE,"그외"
)</f>
        <v>1개월</v>
      </c>
    </row>
    <row r="6153" spans="1:12" x14ac:dyDescent="0.3">
      <c r="A6153" s="5">
        <v>45748</v>
      </c>
      <c r="B6153" s="6" t="s">
        <v>50</v>
      </c>
      <c r="C6153" s="6" t="s">
        <v>51</v>
      </c>
      <c r="D6153" s="5">
        <v>45717</v>
      </c>
      <c r="E6153" s="6" t="s">
        <v>15</v>
      </c>
      <c r="F6153" s="7">
        <v>2483</v>
      </c>
      <c r="G6153" s="7">
        <v>173975.32501006851</v>
      </c>
      <c r="H6153" s="7">
        <v>431980732</v>
      </c>
      <c r="I6153" s="7">
        <v>72625861</v>
      </c>
      <c r="J6153" s="7">
        <v>0</v>
      </c>
      <c r="K6153">
        <f t="shared" si="95"/>
        <v>31</v>
      </c>
      <c r="L6153" s="8" t="str" cm="1">
        <f t="array" ref="L6153">_xlfn.IFS(
 AND(K6153&gt;=89,K6153&lt;=92),"3개월",
 AND(K6153&gt;=58,K6153&lt;=62),"2개월",
 AND(K6153&gt;=28,K6153&lt;=32),"1개월",
 AND(K6153=0),"당월",
 TRUE,"그외"
)</f>
        <v>1개월</v>
      </c>
    </row>
    <row r="6154" spans="1:12" x14ac:dyDescent="0.3">
      <c r="A6154" s="5">
        <v>45748</v>
      </c>
      <c r="B6154" s="6" t="s">
        <v>50</v>
      </c>
      <c r="C6154" s="6" t="s">
        <v>51</v>
      </c>
      <c r="D6154" s="5">
        <v>45748</v>
      </c>
      <c r="E6154" s="6" t="s">
        <v>14</v>
      </c>
      <c r="F6154" s="7">
        <v>174</v>
      </c>
      <c r="G6154" s="7">
        <v>177592.32183908051</v>
      </c>
      <c r="H6154" s="7">
        <v>30901064</v>
      </c>
      <c r="I6154" s="7">
        <v>5684715</v>
      </c>
      <c r="J6154" s="7">
        <v>0</v>
      </c>
      <c r="K6154">
        <f t="shared" ref="K6154:K6217" si="96">A6154-D6154</f>
        <v>0</v>
      </c>
      <c r="L6154" s="8" t="str" cm="1">
        <f t="array" ref="L6154">_xlfn.IFS(
 AND(K6154&gt;=89,K6154&lt;=92),"3개월",
 AND(K6154&gt;=58,K6154&lt;=62),"2개월",
 AND(K6154&gt;=28,K6154&lt;=32),"1개월",
 AND(K6154=0),"당월",
 TRUE,"그외"
)</f>
        <v>당월</v>
      </c>
    </row>
    <row r="6155" spans="1:12" x14ac:dyDescent="0.3">
      <c r="A6155" s="5">
        <v>45748</v>
      </c>
      <c r="B6155" s="6" t="s">
        <v>50</v>
      </c>
      <c r="C6155" s="6" t="s">
        <v>51</v>
      </c>
      <c r="D6155" s="5">
        <v>45748</v>
      </c>
      <c r="E6155" s="6" t="s">
        <v>15</v>
      </c>
      <c r="F6155" s="7">
        <v>887</v>
      </c>
      <c r="G6155" s="7">
        <v>222450.3427282976</v>
      </c>
      <c r="H6155" s="7">
        <v>197313454</v>
      </c>
      <c r="I6155" s="7">
        <v>22740274</v>
      </c>
      <c r="J6155" s="7">
        <v>0</v>
      </c>
      <c r="K6155">
        <f t="shared" si="96"/>
        <v>0</v>
      </c>
      <c r="L6155" s="8" t="str" cm="1">
        <f t="array" ref="L6155">_xlfn.IFS(
 AND(K6155&gt;=89,K6155&lt;=92),"3개월",
 AND(K6155&gt;=58,K6155&lt;=62),"2개월",
 AND(K6155&gt;=28,K6155&lt;=32),"1개월",
 AND(K6155=0),"당월",
 TRUE,"그외"
)</f>
        <v>당월</v>
      </c>
    </row>
    <row r="6156" spans="1:12" x14ac:dyDescent="0.3">
      <c r="A6156" s="5">
        <v>45748</v>
      </c>
      <c r="B6156" s="6" t="s">
        <v>50</v>
      </c>
      <c r="C6156" s="6" t="s">
        <v>52</v>
      </c>
      <c r="D6156" s="5">
        <v>45658</v>
      </c>
      <c r="E6156" s="6" t="s">
        <v>15</v>
      </c>
      <c r="F6156" s="7">
        <v>200</v>
      </c>
      <c r="G6156" s="7">
        <v>139117.25</v>
      </c>
      <c r="H6156" s="7">
        <v>27823450</v>
      </c>
      <c r="I6156" s="7">
        <v>6100871</v>
      </c>
      <c r="J6156" s="7">
        <v>0</v>
      </c>
      <c r="K6156">
        <f t="shared" si="96"/>
        <v>90</v>
      </c>
      <c r="L6156" s="8" t="str" cm="1">
        <f t="array" ref="L6156">_xlfn.IFS(
 AND(K6156&gt;=89,K6156&lt;=92),"3개월",
 AND(K6156&gt;=58,K6156&lt;=62),"2개월",
 AND(K6156&gt;=28,K6156&lt;=32),"1개월",
 AND(K6156=0),"당월",
 TRUE,"그외"
)</f>
        <v>3개월</v>
      </c>
    </row>
    <row r="6157" spans="1:12" x14ac:dyDescent="0.3">
      <c r="A6157" s="5">
        <v>45748</v>
      </c>
      <c r="B6157" s="6" t="s">
        <v>50</v>
      </c>
      <c r="C6157" s="6" t="s">
        <v>52</v>
      </c>
      <c r="D6157" s="5">
        <v>45689</v>
      </c>
      <c r="E6157" s="6" t="s">
        <v>14</v>
      </c>
      <c r="F6157" s="7">
        <v>60</v>
      </c>
      <c r="G6157" s="7">
        <v>132183.4666666667</v>
      </c>
      <c r="H6157" s="7">
        <v>7931008</v>
      </c>
      <c r="I6157" s="7">
        <v>1456128</v>
      </c>
      <c r="J6157" s="7">
        <v>0</v>
      </c>
      <c r="K6157">
        <f t="shared" si="96"/>
        <v>59</v>
      </c>
      <c r="L6157" s="8" t="str" cm="1">
        <f t="array" ref="L6157">_xlfn.IFS(
 AND(K6157&gt;=89,K6157&lt;=92),"3개월",
 AND(K6157&gt;=58,K6157&lt;=62),"2개월",
 AND(K6157&gt;=28,K6157&lt;=32),"1개월",
 AND(K6157=0),"당월",
 TRUE,"그외"
)</f>
        <v>2개월</v>
      </c>
    </row>
    <row r="6158" spans="1:12" x14ac:dyDescent="0.3">
      <c r="A6158" s="5">
        <v>45748</v>
      </c>
      <c r="B6158" s="6" t="s">
        <v>50</v>
      </c>
      <c r="C6158" s="6" t="s">
        <v>52</v>
      </c>
      <c r="D6158" s="5">
        <v>45689</v>
      </c>
      <c r="E6158" s="6" t="s">
        <v>15</v>
      </c>
      <c r="F6158" s="7">
        <v>873</v>
      </c>
      <c r="G6158" s="7">
        <v>124474.92210767471</v>
      </c>
      <c r="H6158" s="7">
        <v>108666607</v>
      </c>
      <c r="I6158" s="7">
        <v>24076826</v>
      </c>
      <c r="J6158" s="7">
        <v>0</v>
      </c>
      <c r="K6158">
        <f t="shared" si="96"/>
        <v>59</v>
      </c>
      <c r="L6158" s="8" t="str" cm="1">
        <f t="array" ref="L6158">_xlfn.IFS(
 AND(K6158&gt;=89,K6158&lt;=92),"3개월",
 AND(K6158&gt;=58,K6158&lt;=62),"2개월",
 AND(K6158&gt;=28,K6158&lt;=32),"1개월",
 AND(K6158=0),"당월",
 TRUE,"그외"
)</f>
        <v>2개월</v>
      </c>
    </row>
    <row r="6159" spans="1:12" x14ac:dyDescent="0.3">
      <c r="A6159" s="5">
        <v>45748</v>
      </c>
      <c r="B6159" s="6" t="s">
        <v>50</v>
      </c>
      <c r="C6159" s="6" t="s">
        <v>52</v>
      </c>
      <c r="D6159" s="5">
        <v>45717</v>
      </c>
      <c r="E6159" s="6" t="s">
        <v>14</v>
      </c>
      <c r="F6159" s="7">
        <v>1889</v>
      </c>
      <c r="G6159" s="7">
        <v>143591.9438856538</v>
      </c>
      <c r="H6159" s="7">
        <v>271245182</v>
      </c>
      <c r="I6159" s="7">
        <v>74225451</v>
      </c>
      <c r="J6159" s="7">
        <v>0</v>
      </c>
      <c r="K6159">
        <f t="shared" si="96"/>
        <v>31</v>
      </c>
      <c r="L6159" s="8" t="str" cm="1">
        <f t="array" ref="L6159">_xlfn.IFS(
 AND(K6159&gt;=89,K6159&lt;=92),"3개월",
 AND(K6159&gt;=58,K6159&lt;=62),"2개월",
 AND(K6159&gt;=28,K6159&lt;=32),"1개월",
 AND(K6159=0),"당월",
 TRUE,"그외"
)</f>
        <v>1개월</v>
      </c>
    </row>
    <row r="6160" spans="1:12" x14ac:dyDescent="0.3">
      <c r="A6160" s="5">
        <v>45748</v>
      </c>
      <c r="B6160" s="6" t="s">
        <v>50</v>
      </c>
      <c r="C6160" s="6" t="s">
        <v>52</v>
      </c>
      <c r="D6160" s="5">
        <v>45717</v>
      </c>
      <c r="E6160" s="6" t="s">
        <v>15</v>
      </c>
      <c r="F6160" s="7">
        <v>2839</v>
      </c>
      <c r="G6160" s="7">
        <v>111408.8217682283</v>
      </c>
      <c r="H6160" s="7">
        <v>316289645</v>
      </c>
      <c r="I6160" s="7">
        <v>85902448</v>
      </c>
      <c r="J6160" s="7">
        <v>0</v>
      </c>
      <c r="K6160">
        <f t="shared" si="96"/>
        <v>31</v>
      </c>
      <c r="L6160" s="8" t="str" cm="1">
        <f t="array" ref="L6160">_xlfn.IFS(
 AND(K6160&gt;=89,K6160&lt;=92),"3개월",
 AND(K6160&gt;=58,K6160&lt;=62),"2개월",
 AND(K6160&gt;=28,K6160&lt;=32),"1개월",
 AND(K6160=0),"당월",
 TRUE,"그외"
)</f>
        <v>1개월</v>
      </c>
    </row>
    <row r="6161" spans="1:12" x14ac:dyDescent="0.3">
      <c r="A6161" s="5">
        <v>45748</v>
      </c>
      <c r="B6161" s="6" t="s">
        <v>50</v>
      </c>
      <c r="C6161" s="6" t="s">
        <v>52</v>
      </c>
      <c r="D6161" s="5">
        <v>45748</v>
      </c>
      <c r="E6161" s="6" t="s">
        <v>14</v>
      </c>
      <c r="F6161" s="7">
        <v>2512</v>
      </c>
      <c r="G6161" s="7">
        <v>98637.887738853504</v>
      </c>
      <c r="H6161" s="7">
        <v>247778374</v>
      </c>
      <c r="I6161" s="7">
        <v>81569871</v>
      </c>
      <c r="J6161" s="7">
        <v>0</v>
      </c>
      <c r="K6161">
        <f t="shared" si="96"/>
        <v>0</v>
      </c>
      <c r="L6161" s="8" t="str" cm="1">
        <f t="array" ref="L6161">_xlfn.IFS(
 AND(K6161&gt;=89,K6161&lt;=92),"3개월",
 AND(K6161&gt;=58,K6161&lt;=62),"2개월",
 AND(K6161&gt;=28,K6161&lt;=32),"1개월",
 AND(K6161=0),"당월",
 TRUE,"그외"
)</f>
        <v>당월</v>
      </c>
    </row>
    <row r="6162" spans="1:12" x14ac:dyDescent="0.3">
      <c r="A6162" s="5">
        <v>45748</v>
      </c>
      <c r="B6162" s="6" t="s">
        <v>50</v>
      </c>
      <c r="C6162" s="6" t="s">
        <v>52</v>
      </c>
      <c r="D6162" s="5">
        <v>45748</v>
      </c>
      <c r="E6162" s="6" t="s">
        <v>15</v>
      </c>
      <c r="F6162" s="7">
        <v>1184</v>
      </c>
      <c r="G6162" s="7">
        <v>104877.8099662162</v>
      </c>
      <c r="H6162" s="7">
        <v>124175327</v>
      </c>
      <c r="I6162" s="7">
        <v>30011807</v>
      </c>
      <c r="J6162" s="7">
        <v>0</v>
      </c>
      <c r="K6162">
        <f t="shared" si="96"/>
        <v>0</v>
      </c>
      <c r="L6162" s="8" t="str" cm="1">
        <f t="array" ref="L6162">_xlfn.IFS(
 AND(K6162&gt;=89,K6162&lt;=92),"3개월",
 AND(K6162&gt;=58,K6162&lt;=62),"2개월",
 AND(K6162&gt;=28,K6162&lt;=32),"1개월",
 AND(K6162=0),"당월",
 TRUE,"그외"
)</f>
        <v>당월</v>
      </c>
    </row>
    <row r="6163" spans="1:12" x14ac:dyDescent="0.3">
      <c r="A6163" s="5">
        <v>45748</v>
      </c>
      <c r="B6163" s="6" t="s">
        <v>50</v>
      </c>
      <c r="C6163" s="6" t="s">
        <v>53</v>
      </c>
      <c r="D6163" s="5">
        <v>45627</v>
      </c>
      <c r="E6163" s="6" t="s">
        <v>15</v>
      </c>
      <c r="F6163" s="7">
        <v>83</v>
      </c>
      <c r="G6163" s="7">
        <v>312093.8795180723</v>
      </c>
      <c r="H6163" s="7">
        <v>25903792</v>
      </c>
      <c r="I6163" s="7">
        <v>2193584</v>
      </c>
      <c r="J6163" s="7">
        <v>0</v>
      </c>
      <c r="K6163">
        <f t="shared" si="96"/>
        <v>121</v>
      </c>
      <c r="L6163" s="8" t="str" cm="1">
        <f t="array" ref="L6163">_xlfn.IFS(
 AND(K6163&gt;=89,K6163&lt;=92),"3개월",
 AND(K6163&gt;=58,K6163&lt;=62),"2개월",
 AND(K6163&gt;=28,K6163&lt;=32),"1개월",
 AND(K6163=0),"당월",
 TRUE,"그외"
)</f>
        <v>그외</v>
      </c>
    </row>
    <row r="6164" spans="1:12" x14ac:dyDescent="0.3">
      <c r="A6164" s="5">
        <v>45748</v>
      </c>
      <c r="B6164" s="6" t="s">
        <v>50</v>
      </c>
      <c r="C6164" s="6" t="s">
        <v>53</v>
      </c>
      <c r="D6164" s="5">
        <v>45658</v>
      </c>
      <c r="E6164" s="6" t="s">
        <v>14</v>
      </c>
      <c r="F6164" s="7">
        <v>14</v>
      </c>
      <c r="G6164" s="7">
        <v>140112</v>
      </c>
      <c r="H6164" s="7">
        <v>1961568</v>
      </c>
      <c r="I6164" s="7">
        <v>560448</v>
      </c>
      <c r="J6164" s="7">
        <v>0</v>
      </c>
      <c r="K6164">
        <f t="shared" si="96"/>
        <v>90</v>
      </c>
      <c r="L6164" s="8" t="str" cm="1">
        <f t="array" ref="L6164">_xlfn.IFS(
 AND(K6164&gt;=89,K6164&lt;=92),"3개월",
 AND(K6164&gt;=58,K6164&lt;=62),"2개월",
 AND(K6164&gt;=28,K6164&lt;=32),"1개월",
 AND(K6164=0),"당월",
 TRUE,"그외"
)</f>
        <v>3개월</v>
      </c>
    </row>
    <row r="6165" spans="1:12" x14ac:dyDescent="0.3">
      <c r="A6165" s="5">
        <v>45748</v>
      </c>
      <c r="B6165" s="6" t="s">
        <v>50</v>
      </c>
      <c r="C6165" s="6" t="s">
        <v>53</v>
      </c>
      <c r="D6165" s="5">
        <v>45658</v>
      </c>
      <c r="E6165" s="6" t="s">
        <v>15</v>
      </c>
      <c r="F6165" s="7">
        <v>1085</v>
      </c>
      <c r="G6165" s="7">
        <v>167400.88387096781</v>
      </c>
      <c r="H6165" s="7">
        <v>181629959</v>
      </c>
      <c r="I6165" s="7">
        <v>31777896</v>
      </c>
      <c r="J6165" s="7">
        <v>0</v>
      </c>
      <c r="K6165">
        <f t="shared" si="96"/>
        <v>90</v>
      </c>
      <c r="L6165" s="8" t="str" cm="1">
        <f t="array" ref="L6165">_xlfn.IFS(
 AND(K6165&gt;=89,K6165&lt;=92),"3개월",
 AND(K6165&gt;=58,K6165&lt;=62),"2개월",
 AND(K6165&gt;=28,K6165&lt;=32),"1개월",
 AND(K6165=0),"당월",
 TRUE,"그외"
)</f>
        <v>3개월</v>
      </c>
    </row>
    <row r="6166" spans="1:12" x14ac:dyDescent="0.3">
      <c r="A6166" s="5">
        <v>45748</v>
      </c>
      <c r="B6166" s="6" t="s">
        <v>50</v>
      </c>
      <c r="C6166" s="6" t="s">
        <v>53</v>
      </c>
      <c r="D6166" s="5">
        <v>45689</v>
      </c>
      <c r="E6166" s="6" t="s">
        <v>14</v>
      </c>
      <c r="F6166" s="7">
        <v>30</v>
      </c>
      <c r="G6166" s="7">
        <v>136050.4666666667</v>
      </c>
      <c r="H6166" s="7">
        <v>4081514</v>
      </c>
      <c r="I6166" s="7">
        <v>1112244</v>
      </c>
      <c r="J6166" s="7">
        <v>0</v>
      </c>
      <c r="K6166">
        <f t="shared" si="96"/>
        <v>59</v>
      </c>
      <c r="L6166" s="8" t="str" cm="1">
        <f t="array" ref="L6166">_xlfn.IFS(
 AND(K6166&gt;=89,K6166&lt;=92),"3개월",
 AND(K6166&gt;=58,K6166&lt;=62),"2개월",
 AND(K6166&gt;=28,K6166&lt;=32),"1개월",
 AND(K6166=0),"당월",
 TRUE,"그외"
)</f>
        <v>2개월</v>
      </c>
    </row>
    <row r="6167" spans="1:12" x14ac:dyDescent="0.3">
      <c r="A6167" s="5">
        <v>45748</v>
      </c>
      <c r="B6167" s="6" t="s">
        <v>50</v>
      </c>
      <c r="C6167" s="6" t="s">
        <v>53</v>
      </c>
      <c r="D6167" s="5">
        <v>45689</v>
      </c>
      <c r="E6167" s="6" t="s">
        <v>15</v>
      </c>
      <c r="F6167" s="7">
        <v>1266</v>
      </c>
      <c r="G6167" s="7">
        <v>199528.22511848339</v>
      </c>
      <c r="H6167" s="7">
        <v>252602733</v>
      </c>
      <c r="I6167" s="7">
        <v>39243713</v>
      </c>
      <c r="J6167" s="7">
        <v>0</v>
      </c>
      <c r="K6167">
        <f t="shared" si="96"/>
        <v>59</v>
      </c>
      <c r="L6167" s="8" t="str" cm="1">
        <f t="array" ref="L6167">_xlfn.IFS(
 AND(K6167&gt;=89,K6167&lt;=92),"3개월",
 AND(K6167&gt;=58,K6167&lt;=62),"2개월",
 AND(K6167&gt;=28,K6167&lt;=32),"1개월",
 AND(K6167=0),"당월",
 TRUE,"그외"
)</f>
        <v>2개월</v>
      </c>
    </row>
    <row r="6168" spans="1:12" x14ac:dyDescent="0.3">
      <c r="A6168" s="5">
        <v>45748</v>
      </c>
      <c r="B6168" s="6" t="s">
        <v>50</v>
      </c>
      <c r="C6168" s="6" t="s">
        <v>53</v>
      </c>
      <c r="D6168" s="5">
        <v>45717</v>
      </c>
      <c r="E6168" s="6" t="s">
        <v>14</v>
      </c>
      <c r="F6168" s="7">
        <v>3793</v>
      </c>
      <c r="G6168" s="7">
        <v>143186.32296335351</v>
      </c>
      <c r="H6168" s="7">
        <v>543105723</v>
      </c>
      <c r="I6168" s="7">
        <v>146485851</v>
      </c>
      <c r="J6168" s="7">
        <v>0</v>
      </c>
      <c r="K6168">
        <f t="shared" si="96"/>
        <v>31</v>
      </c>
      <c r="L6168" s="8" t="str" cm="1">
        <f t="array" ref="L6168">_xlfn.IFS(
 AND(K6168&gt;=89,K6168&lt;=92),"3개월",
 AND(K6168&gt;=58,K6168&lt;=62),"2개월",
 AND(K6168&gt;=28,K6168&lt;=32),"1개월",
 AND(K6168=0),"당월",
 TRUE,"그외"
)</f>
        <v>1개월</v>
      </c>
    </row>
    <row r="6169" spans="1:12" x14ac:dyDescent="0.3">
      <c r="A6169" s="5">
        <v>45748</v>
      </c>
      <c r="B6169" s="6" t="s">
        <v>50</v>
      </c>
      <c r="C6169" s="6" t="s">
        <v>53</v>
      </c>
      <c r="D6169" s="5">
        <v>45717</v>
      </c>
      <c r="E6169" s="6" t="s">
        <v>15</v>
      </c>
      <c r="F6169" s="7">
        <v>1475</v>
      </c>
      <c r="G6169" s="7">
        <v>181387.58915254241</v>
      </c>
      <c r="H6169" s="7">
        <v>267546694</v>
      </c>
      <c r="I6169" s="7">
        <v>48173311</v>
      </c>
      <c r="J6169" s="7">
        <v>0</v>
      </c>
      <c r="K6169">
        <f t="shared" si="96"/>
        <v>31</v>
      </c>
      <c r="L6169" s="8" t="str" cm="1">
        <f t="array" ref="L6169">_xlfn.IFS(
 AND(K6169&gt;=89,K6169&lt;=92),"3개월",
 AND(K6169&gt;=58,K6169&lt;=62),"2개월",
 AND(K6169&gt;=28,K6169&lt;=32),"1개월",
 AND(K6169=0),"당월",
 TRUE,"그외"
)</f>
        <v>1개월</v>
      </c>
    </row>
    <row r="6170" spans="1:12" x14ac:dyDescent="0.3">
      <c r="A6170" s="5">
        <v>45748</v>
      </c>
      <c r="B6170" s="6" t="s">
        <v>50</v>
      </c>
      <c r="C6170" s="6" t="s">
        <v>53</v>
      </c>
      <c r="D6170" s="5">
        <v>45748</v>
      </c>
      <c r="E6170" s="6" t="s">
        <v>14</v>
      </c>
      <c r="F6170" s="7">
        <v>1676</v>
      </c>
      <c r="G6170" s="7">
        <v>124373.90334128879</v>
      </c>
      <c r="H6170" s="7">
        <v>208450662</v>
      </c>
      <c r="I6170" s="7">
        <v>62033331</v>
      </c>
      <c r="J6170" s="7">
        <v>0</v>
      </c>
      <c r="K6170">
        <f t="shared" si="96"/>
        <v>0</v>
      </c>
      <c r="L6170" s="8" t="str" cm="1">
        <f t="array" ref="L6170">_xlfn.IFS(
 AND(K6170&gt;=89,K6170&lt;=92),"3개월",
 AND(K6170&gt;=58,K6170&lt;=62),"2개월",
 AND(K6170&gt;=28,K6170&lt;=32),"1개월",
 AND(K6170=0),"당월",
 TRUE,"그외"
)</f>
        <v>당월</v>
      </c>
    </row>
    <row r="6171" spans="1:12" x14ac:dyDescent="0.3">
      <c r="A6171" s="5">
        <v>45748</v>
      </c>
      <c r="B6171" s="6" t="s">
        <v>50</v>
      </c>
      <c r="C6171" s="6" t="s">
        <v>53</v>
      </c>
      <c r="D6171" s="5">
        <v>45748</v>
      </c>
      <c r="E6171" s="6" t="s">
        <v>15</v>
      </c>
      <c r="F6171" s="7">
        <v>985</v>
      </c>
      <c r="G6171" s="7">
        <v>144149.0284263959</v>
      </c>
      <c r="H6171" s="7">
        <v>141986793</v>
      </c>
      <c r="I6171" s="7">
        <v>28035762</v>
      </c>
      <c r="J6171" s="7">
        <v>0</v>
      </c>
      <c r="K6171">
        <f t="shared" si="96"/>
        <v>0</v>
      </c>
      <c r="L6171" s="8" t="str" cm="1">
        <f t="array" ref="L6171">_xlfn.IFS(
 AND(K6171&gt;=89,K6171&lt;=92),"3개월",
 AND(K6171&gt;=58,K6171&lt;=62),"2개월",
 AND(K6171&gt;=28,K6171&lt;=32),"1개월",
 AND(K6171=0),"당월",
 TRUE,"그외"
)</f>
        <v>당월</v>
      </c>
    </row>
    <row r="6172" spans="1:12" x14ac:dyDescent="0.3">
      <c r="A6172" s="5">
        <v>45748</v>
      </c>
      <c r="B6172" s="6" t="s">
        <v>50</v>
      </c>
      <c r="C6172" s="6" t="s">
        <v>54</v>
      </c>
      <c r="D6172" s="5">
        <v>45658</v>
      </c>
      <c r="E6172" s="6" t="s">
        <v>15</v>
      </c>
      <c r="F6172" s="7">
        <v>408</v>
      </c>
      <c r="G6172" s="7">
        <v>152539.02696078431</v>
      </c>
      <c r="H6172" s="7">
        <v>62235923</v>
      </c>
      <c r="I6172" s="7">
        <v>12290931</v>
      </c>
      <c r="J6172" s="7">
        <v>0</v>
      </c>
      <c r="K6172">
        <f t="shared" si="96"/>
        <v>90</v>
      </c>
      <c r="L6172" s="8" t="str" cm="1">
        <f t="array" ref="L6172">_xlfn.IFS(
 AND(K6172&gt;=89,K6172&lt;=92),"3개월",
 AND(K6172&gt;=58,K6172&lt;=62),"2개월",
 AND(K6172&gt;=28,K6172&lt;=32),"1개월",
 AND(K6172=0),"당월",
 TRUE,"그외"
)</f>
        <v>3개월</v>
      </c>
    </row>
    <row r="6173" spans="1:12" x14ac:dyDescent="0.3">
      <c r="A6173" s="5">
        <v>45748</v>
      </c>
      <c r="B6173" s="6" t="s">
        <v>50</v>
      </c>
      <c r="C6173" s="6" t="s">
        <v>54</v>
      </c>
      <c r="D6173" s="5">
        <v>45689</v>
      </c>
      <c r="E6173" s="6" t="s">
        <v>14</v>
      </c>
      <c r="F6173" s="7">
        <v>16</v>
      </c>
      <c r="G6173" s="7">
        <v>101768</v>
      </c>
      <c r="H6173" s="7">
        <v>1628288</v>
      </c>
      <c r="I6173" s="7">
        <v>555108</v>
      </c>
      <c r="J6173" s="7">
        <v>0</v>
      </c>
      <c r="K6173">
        <f t="shared" si="96"/>
        <v>59</v>
      </c>
      <c r="L6173" s="8" t="str" cm="1">
        <f t="array" ref="L6173">_xlfn.IFS(
 AND(K6173&gt;=89,K6173&lt;=92),"3개월",
 AND(K6173&gt;=58,K6173&lt;=62),"2개월",
 AND(K6173&gt;=28,K6173&lt;=32),"1개월",
 AND(K6173=0),"당월",
 TRUE,"그외"
)</f>
        <v>2개월</v>
      </c>
    </row>
    <row r="6174" spans="1:12" x14ac:dyDescent="0.3">
      <c r="A6174" s="5">
        <v>45748</v>
      </c>
      <c r="B6174" s="6" t="s">
        <v>50</v>
      </c>
      <c r="C6174" s="6" t="s">
        <v>54</v>
      </c>
      <c r="D6174" s="5">
        <v>45689</v>
      </c>
      <c r="E6174" s="6" t="s">
        <v>15</v>
      </c>
      <c r="F6174" s="7">
        <v>1529</v>
      </c>
      <c r="G6174" s="7">
        <v>137430.04381948989</v>
      </c>
      <c r="H6174" s="7">
        <v>210130537</v>
      </c>
      <c r="I6174" s="7">
        <v>46246231</v>
      </c>
      <c r="J6174" s="7">
        <v>0</v>
      </c>
      <c r="K6174">
        <f t="shared" si="96"/>
        <v>59</v>
      </c>
      <c r="L6174" s="8" t="str" cm="1">
        <f t="array" ref="L6174">_xlfn.IFS(
 AND(K6174&gt;=89,K6174&lt;=92),"3개월",
 AND(K6174&gt;=58,K6174&lt;=62),"2개월",
 AND(K6174&gt;=28,K6174&lt;=32),"1개월",
 AND(K6174=0),"당월",
 TRUE,"그외"
)</f>
        <v>2개월</v>
      </c>
    </row>
    <row r="6175" spans="1:12" x14ac:dyDescent="0.3">
      <c r="A6175" s="5">
        <v>45748</v>
      </c>
      <c r="B6175" s="6" t="s">
        <v>50</v>
      </c>
      <c r="C6175" s="6" t="s">
        <v>54</v>
      </c>
      <c r="D6175" s="5">
        <v>45717</v>
      </c>
      <c r="E6175" s="6" t="s">
        <v>14</v>
      </c>
      <c r="F6175" s="7">
        <v>2534</v>
      </c>
      <c r="G6175" s="7">
        <v>118637.3804262036</v>
      </c>
      <c r="H6175" s="7">
        <v>300627122</v>
      </c>
      <c r="I6175" s="7">
        <v>90449406</v>
      </c>
      <c r="J6175" s="7">
        <v>0</v>
      </c>
      <c r="K6175">
        <f t="shared" si="96"/>
        <v>31</v>
      </c>
      <c r="L6175" s="8" t="str" cm="1">
        <f t="array" ref="L6175">_xlfn.IFS(
 AND(K6175&gt;=89,K6175&lt;=92),"3개월",
 AND(K6175&gt;=58,K6175&lt;=62),"2개월",
 AND(K6175&gt;=28,K6175&lt;=32),"1개월",
 AND(K6175=0),"당월",
 TRUE,"그외"
)</f>
        <v>1개월</v>
      </c>
    </row>
    <row r="6176" spans="1:12" x14ac:dyDescent="0.3">
      <c r="A6176" s="5">
        <v>45748</v>
      </c>
      <c r="B6176" s="6" t="s">
        <v>50</v>
      </c>
      <c r="C6176" s="6" t="s">
        <v>54</v>
      </c>
      <c r="D6176" s="5">
        <v>45717</v>
      </c>
      <c r="E6176" s="6" t="s">
        <v>15</v>
      </c>
      <c r="F6176" s="7">
        <v>2597</v>
      </c>
      <c r="G6176" s="7">
        <v>141508.88255679631</v>
      </c>
      <c r="H6176" s="7">
        <v>367498568</v>
      </c>
      <c r="I6176" s="7">
        <v>81694419</v>
      </c>
      <c r="J6176" s="7">
        <v>0</v>
      </c>
      <c r="K6176">
        <f t="shared" si="96"/>
        <v>31</v>
      </c>
      <c r="L6176" s="8" t="str" cm="1">
        <f t="array" ref="L6176">_xlfn.IFS(
 AND(K6176&gt;=89,K6176&lt;=92),"3개월",
 AND(K6176&gt;=58,K6176&lt;=62),"2개월",
 AND(K6176&gt;=28,K6176&lt;=32),"1개월",
 AND(K6176=0),"당월",
 TRUE,"그외"
)</f>
        <v>1개월</v>
      </c>
    </row>
    <row r="6177" spans="1:12" x14ac:dyDescent="0.3">
      <c r="A6177" s="5">
        <v>45748</v>
      </c>
      <c r="B6177" s="6" t="s">
        <v>50</v>
      </c>
      <c r="C6177" s="6" t="s">
        <v>54</v>
      </c>
      <c r="D6177" s="5">
        <v>45748</v>
      </c>
      <c r="E6177" s="6" t="s">
        <v>14</v>
      </c>
      <c r="F6177" s="7">
        <v>1561</v>
      </c>
      <c r="G6177" s="7">
        <v>110299.6271620756</v>
      </c>
      <c r="H6177" s="7">
        <v>172177718</v>
      </c>
      <c r="I6177" s="7">
        <v>51311013</v>
      </c>
      <c r="J6177" s="7">
        <v>0</v>
      </c>
      <c r="K6177">
        <f t="shared" si="96"/>
        <v>0</v>
      </c>
      <c r="L6177" s="8" t="str" cm="1">
        <f t="array" ref="L6177">_xlfn.IFS(
 AND(K6177&gt;=89,K6177&lt;=92),"3개월",
 AND(K6177&gt;=58,K6177&lt;=62),"2개월",
 AND(K6177&gt;=28,K6177&lt;=32),"1개월",
 AND(K6177=0),"당월",
 TRUE,"그외"
)</f>
        <v>당월</v>
      </c>
    </row>
    <row r="6178" spans="1:12" x14ac:dyDescent="0.3">
      <c r="A6178" s="5">
        <v>45748</v>
      </c>
      <c r="B6178" s="6" t="s">
        <v>50</v>
      </c>
      <c r="C6178" s="6" t="s">
        <v>54</v>
      </c>
      <c r="D6178" s="5">
        <v>45748</v>
      </c>
      <c r="E6178" s="6" t="s">
        <v>15</v>
      </c>
      <c r="F6178" s="7">
        <v>1404</v>
      </c>
      <c r="G6178" s="7">
        <v>134139.56695156699</v>
      </c>
      <c r="H6178" s="7">
        <v>188331952</v>
      </c>
      <c r="I6178" s="7">
        <v>40243718</v>
      </c>
      <c r="J6178" s="7">
        <v>0</v>
      </c>
      <c r="K6178">
        <f t="shared" si="96"/>
        <v>0</v>
      </c>
      <c r="L6178" s="8" t="str" cm="1">
        <f t="array" ref="L6178">_xlfn.IFS(
 AND(K6178&gt;=89,K6178&lt;=92),"3개월",
 AND(K6178&gt;=58,K6178&lt;=62),"2개월",
 AND(K6178&gt;=28,K6178&lt;=32),"1개월",
 AND(K6178=0),"당월",
 TRUE,"그외"
)</f>
        <v>당월</v>
      </c>
    </row>
    <row r="6179" spans="1:12" x14ac:dyDescent="0.3">
      <c r="A6179" s="5">
        <v>45748</v>
      </c>
      <c r="B6179" s="6" t="s">
        <v>50</v>
      </c>
      <c r="C6179" s="6" t="s">
        <v>56</v>
      </c>
      <c r="D6179" s="5">
        <v>45658</v>
      </c>
      <c r="E6179" s="6" t="s">
        <v>14</v>
      </c>
      <c r="F6179" s="7">
        <v>48</v>
      </c>
      <c r="G6179" s="7">
        <v>120241.6666666667</v>
      </c>
      <c r="H6179" s="7">
        <v>5771600</v>
      </c>
      <c r="I6179" s="7">
        <v>945600</v>
      </c>
      <c r="J6179" s="7">
        <v>0</v>
      </c>
      <c r="K6179">
        <f t="shared" si="96"/>
        <v>90</v>
      </c>
      <c r="L6179" s="8" t="str" cm="1">
        <f t="array" ref="L6179">_xlfn.IFS(
 AND(K6179&gt;=89,K6179&lt;=92),"3개월",
 AND(K6179&gt;=58,K6179&lt;=62),"2개월",
 AND(K6179&gt;=28,K6179&lt;=32),"1개월",
 AND(K6179=0),"당월",
 TRUE,"그외"
)</f>
        <v>3개월</v>
      </c>
    </row>
    <row r="6180" spans="1:12" x14ac:dyDescent="0.3">
      <c r="A6180" s="5">
        <v>45748</v>
      </c>
      <c r="B6180" s="6" t="s">
        <v>50</v>
      </c>
      <c r="C6180" s="6" t="s">
        <v>56</v>
      </c>
      <c r="D6180" s="5">
        <v>45658</v>
      </c>
      <c r="E6180" s="6" t="s">
        <v>15</v>
      </c>
      <c r="F6180" s="7">
        <v>834</v>
      </c>
      <c r="G6180" s="7">
        <v>126343.7230215827</v>
      </c>
      <c r="H6180" s="7">
        <v>105370665</v>
      </c>
      <c r="I6180" s="7">
        <v>24633028</v>
      </c>
      <c r="J6180" s="7">
        <v>0</v>
      </c>
      <c r="K6180">
        <f t="shared" si="96"/>
        <v>90</v>
      </c>
      <c r="L6180" s="8" t="str" cm="1">
        <f t="array" ref="L6180">_xlfn.IFS(
 AND(K6180&gt;=89,K6180&lt;=92),"3개월",
 AND(K6180&gt;=58,K6180&lt;=62),"2개월",
 AND(K6180&gt;=28,K6180&lt;=32),"1개월",
 AND(K6180=0),"당월",
 TRUE,"그외"
)</f>
        <v>3개월</v>
      </c>
    </row>
    <row r="6181" spans="1:12" x14ac:dyDescent="0.3">
      <c r="A6181" s="5">
        <v>45748</v>
      </c>
      <c r="B6181" s="6" t="s">
        <v>50</v>
      </c>
      <c r="C6181" s="6" t="s">
        <v>56</v>
      </c>
      <c r="D6181" s="5">
        <v>45689</v>
      </c>
      <c r="E6181" s="6" t="s">
        <v>14</v>
      </c>
      <c r="F6181" s="7">
        <v>20</v>
      </c>
      <c r="G6181" s="7">
        <v>123600</v>
      </c>
      <c r="H6181" s="7">
        <v>2472000</v>
      </c>
      <c r="I6181" s="7">
        <v>408000</v>
      </c>
      <c r="J6181" s="7">
        <v>0</v>
      </c>
      <c r="K6181">
        <f t="shared" si="96"/>
        <v>59</v>
      </c>
      <c r="L6181" s="8" t="str" cm="1">
        <f t="array" ref="L6181">_xlfn.IFS(
 AND(K6181&gt;=89,K6181&lt;=92),"3개월",
 AND(K6181&gt;=58,K6181&lt;=62),"2개월",
 AND(K6181&gt;=28,K6181&lt;=32),"1개월",
 AND(K6181=0),"당월",
 TRUE,"그외"
)</f>
        <v>2개월</v>
      </c>
    </row>
    <row r="6182" spans="1:12" x14ac:dyDescent="0.3">
      <c r="A6182" s="5">
        <v>45748</v>
      </c>
      <c r="B6182" s="6" t="s">
        <v>50</v>
      </c>
      <c r="C6182" s="6" t="s">
        <v>56</v>
      </c>
      <c r="D6182" s="5">
        <v>45689</v>
      </c>
      <c r="E6182" s="6" t="s">
        <v>15</v>
      </c>
      <c r="F6182" s="7">
        <v>1404</v>
      </c>
      <c r="G6182" s="7">
        <v>147306.87393162391</v>
      </c>
      <c r="H6182" s="7">
        <v>206818851</v>
      </c>
      <c r="I6182" s="7">
        <v>40952954</v>
      </c>
      <c r="J6182" s="7">
        <v>0</v>
      </c>
      <c r="K6182">
        <f t="shared" si="96"/>
        <v>59</v>
      </c>
      <c r="L6182" s="8" t="str" cm="1">
        <f t="array" ref="L6182">_xlfn.IFS(
 AND(K6182&gt;=89,K6182&lt;=92),"3개월",
 AND(K6182&gt;=58,K6182&lt;=62),"2개월",
 AND(K6182&gt;=28,K6182&lt;=32),"1개월",
 AND(K6182=0),"당월",
 TRUE,"그외"
)</f>
        <v>2개월</v>
      </c>
    </row>
    <row r="6183" spans="1:12" x14ac:dyDescent="0.3">
      <c r="A6183" s="5">
        <v>45748</v>
      </c>
      <c r="B6183" s="6" t="s">
        <v>50</v>
      </c>
      <c r="C6183" s="6" t="s">
        <v>56</v>
      </c>
      <c r="D6183" s="5">
        <v>45717</v>
      </c>
      <c r="E6183" s="6" t="s">
        <v>14</v>
      </c>
      <c r="F6183" s="7">
        <v>429</v>
      </c>
      <c r="G6183" s="7">
        <v>143554.97902097899</v>
      </c>
      <c r="H6183" s="7">
        <v>61585086</v>
      </c>
      <c r="I6183" s="7">
        <v>16576470</v>
      </c>
      <c r="J6183" s="7">
        <v>0</v>
      </c>
      <c r="K6183">
        <f t="shared" si="96"/>
        <v>31</v>
      </c>
      <c r="L6183" s="8" t="str" cm="1">
        <f t="array" ref="L6183">_xlfn.IFS(
 AND(K6183&gt;=89,K6183&lt;=92),"3개월",
 AND(K6183&gt;=58,K6183&lt;=62),"2개월",
 AND(K6183&gt;=28,K6183&lt;=32),"1개월",
 AND(K6183=0),"당월",
 TRUE,"그외"
)</f>
        <v>1개월</v>
      </c>
    </row>
    <row r="6184" spans="1:12" x14ac:dyDescent="0.3">
      <c r="A6184" s="5">
        <v>45748</v>
      </c>
      <c r="B6184" s="6" t="s">
        <v>50</v>
      </c>
      <c r="C6184" s="6" t="s">
        <v>56</v>
      </c>
      <c r="D6184" s="5">
        <v>45717</v>
      </c>
      <c r="E6184" s="6" t="s">
        <v>15</v>
      </c>
      <c r="F6184" s="7">
        <v>1727</v>
      </c>
      <c r="G6184" s="7">
        <v>153941.31731325999</v>
      </c>
      <c r="H6184" s="7">
        <v>265856655</v>
      </c>
      <c r="I6184" s="7">
        <v>51040701</v>
      </c>
      <c r="J6184" s="7">
        <v>0</v>
      </c>
      <c r="K6184">
        <f t="shared" si="96"/>
        <v>31</v>
      </c>
      <c r="L6184" s="8" t="str" cm="1">
        <f t="array" ref="L6184">_xlfn.IFS(
 AND(K6184&gt;=89,K6184&lt;=92),"3개월",
 AND(K6184&gt;=58,K6184&lt;=62),"2개월",
 AND(K6184&gt;=28,K6184&lt;=32),"1개월",
 AND(K6184=0),"당월",
 TRUE,"그외"
)</f>
        <v>1개월</v>
      </c>
    </row>
    <row r="6185" spans="1:12" x14ac:dyDescent="0.3">
      <c r="A6185" s="5">
        <v>45748</v>
      </c>
      <c r="B6185" s="6" t="s">
        <v>50</v>
      </c>
      <c r="C6185" s="6" t="s">
        <v>56</v>
      </c>
      <c r="D6185" s="5">
        <v>45748</v>
      </c>
      <c r="E6185" s="6" t="s">
        <v>14</v>
      </c>
      <c r="F6185" s="7">
        <v>529</v>
      </c>
      <c r="G6185" s="7">
        <v>118915.53497164461</v>
      </c>
      <c r="H6185" s="7">
        <v>62906318</v>
      </c>
      <c r="I6185" s="7">
        <v>20240760</v>
      </c>
      <c r="J6185" s="7">
        <v>0</v>
      </c>
      <c r="K6185">
        <f t="shared" si="96"/>
        <v>0</v>
      </c>
      <c r="L6185" s="8" t="str" cm="1">
        <f t="array" ref="L6185">_xlfn.IFS(
 AND(K6185&gt;=89,K6185&lt;=92),"3개월",
 AND(K6185&gt;=58,K6185&lt;=62),"2개월",
 AND(K6185&gt;=28,K6185&lt;=32),"1개월",
 AND(K6185=0),"당월",
 TRUE,"그외"
)</f>
        <v>당월</v>
      </c>
    </row>
    <row r="6186" spans="1:12" x14ac:dyDescent="0.3">
      <c r="A6186" s="5">
        <v>45748</v>
      </c>
      <c r="B6186" s="6" t="s">
        <v>50</v>
      </c>
      <c r="C6186" s="6" t="s">
        <v>56</v>
      </c>
      <c r="D6186" s="5">
        <v>45748</v>
      </c>
      <c r="E6186" s="6" t="s">
        <v>15</v>
      </c>
      <c r="F6186" s="7">
        <v>777</v>
      </c>
      <c r="G6186" s="7">
        <v>155051.01801801799</v>
      </c>
      <c r="H6186" s="7">
        <v>120474641</v>
      </c>
      <c r="I6186" s="7">
        <v>20324794</v>
      </c>
      <c r="J6186" s="7">
        <v>0</v>
      </c>
      <c r="K6186">
        <f t="shared" si="96"/>
        <v>0</v>
      </c>
      <c r="L6186" s="8" t="str" cm="1">
        <f t="array" ref="L6186">_xlfn.IFS(
 AND(K6186&gt;=89,K6186&lt;=92),"3개월",
 AND(K6186&gt;=58,K6186&lt;=62),"2개월",
 AND(K6186&gt;=28,K6186&lt;=32),"1개월",
 AND(K6186=0),"당월",
 TRUE,"그외"
)</f>
        <v>당월</v>
      </c>
    </row>
    <row r="6187" spans="1:12" x14ac:dyDescent="0.3">
      <c r="A6187" s="5">
        <v>45748</v>
      </c>
      <c r="B6187" s="6" t="s">
        <v>50</v>
      </c>
      <c r="C6187" s="6" t="s">
        <v>57</v>
      </c>
      <c r="D6187" s="5">
        <v>45658</v>
      </c>
      <c r="E6187" s="6" t="s">
        <v>14</v>
      </c>
      <c r="F6187" s="7">
        <v>14</v>
      </c>
      <c r="G6187" s="7">
        <v>110700</v>
      </c>
      <c r="H6187" s="7">
        <v>1549800</v>
      </c>
      <c r="I6187" s="7">
        <v>275800</v>
      </c>
      <c r="J6187" s="7">
        <v>0</v>
      </c>
      <c r="K6187">
        <f t="shared" si="96"/>
        <v>90</v>
      </c>
      <c r="L6187" s="8" t="str" cm="1">
        <f t="array" ref="L6187">_xlfn.IFS(
 AND(K6187&gt;=89,K6187&lt;=92),"3개월",
 AND(K6187&gt;=58,K6187&lt;=62),"2개월",
 AND(K6187&gt;=28,K6187&lt;=32),"1개월",
 AND(K6187=0),"당월",
 TRUE,"그외"
)</f>
        <v>3개월</v>
      </c>
    </row>
    <row r="6188" spans="1:12" x14ac:dyDescent="0.3">
      <c r="A6188" s="5">
        <v>45748</v>
      </c>
      <c r="B6188" s="6" t="s">
        <v>50</v>
      </c>
      <c r="C6188" s="6" t="s">
        <v>57</v>
      </c>
      <c r="D6188" s="5">
        <v>45658</v>
      </c>
      <c r="E6188" s="6" t="s">
        <v>15</v>
      </c>
      <c r="F6188" s="7">
        <v>1450</v>
      </c>
      <c r="G6188" s="7">
        <v>121702.2703448276</v>
      </c>
      <c r="H6188" s="7">
        <v>176468292</v>
      </c>
      <c r="I6188" s="7">
        <v>39925023</v>
      </c>
      <c r="J6188" s="7">
        <v>0</v>
      </c>
      <c r="K6188">
        <f t="shared" si="96"/>
        <v>90</v>
      </c>
      <c r="L6188" s="8" t="str" cm="1">
        <f t="array" ref="L6188">_xlfn.IFS(
 AND(K6188&gt;=89,K6188&lt;=92),"3개월",
 AND(K6188&gt;=58,K6188&lt;=62),"2개월",
 AND(K6188&gt;=28,K6188&lt;=32),"1개월",
 AND(K6188=0),"당월",
 TRUE,"그외"
)</f>
        <v>3개월</v>
      </c>
    </row>
    <row r="6189" spans="1:12" x14ac:dyDescent="0.3">
      <c r="A6189" s="5">
        <v>45748</v>
      </c>
      <c r="B6189" s="6" t="s">
        <v>50</v>
      </c>
      <c r="C6189" s="6" t="s">
        <v>57</v>
      </c>
      <c r="D6189" s="5">
        <v>45689</v>
      </c>
      <c r="E6189" s="6" t="s">
        <v>14</v>
      </c>
      <c r="F6189" s="7">
        <v>88</v>
      </c>
      <c r="G6189" s="7">
        <v>130751.6590909091</v>
      </c>
      <c r="H6189" s="7">
        <v>11506146</v>
      </c>
      <c r="I6189" s="7">
        <v>2064612</v>
      </c>
      <c r="J6189" s="7">
        <v>0</v>
      </c>
      <c r="K6189">
        <f t="shared" si="96"/>
        <v>59</v>
      </c>
      <c r="L6189" s="8" t="str" cm="1">
        <f t="array" ref="L6189">_xlfn.IFS(
 AND(K6189&gt;=89,K6189&lt;=92),"3개월",
 AND(K6189&gt;=58,K6189&lt;=62),"2개월",
 AND(K6189&gt;=28,K6189&lt;=32),"1개월",
 AND(K6189=0),"당월",
 TRUE,"그외"
)</f>
        <v>2개월</v>
      </c>
    </row>
    <row r="6190" spans="1:12" x14ac:dyDescent="0.3">
      <c r="A6190" s="5">
        <v>45748</v>
      </c>
      <c r="B6190" s="6" t="s">
        <v>50</v>
      </c>
      <c r="C6190" s="6" t="s">
        <v>57</v>
      </c>
      <c r="D6190" s="5">
        <v>45689</v>
      </c>
      <c r="E6190" s="6" t="s">
        <v>15</v>
      </c>
      <c r="F6190" s="7">
        <v>2069</v>
      </c>
      <c r="G6190" s="7">
        <v>149600.49250845821</v>
      </c>
      <c r="H6190" s="7">
        <v>309523419</v>
      </c>
      <c r="I6190" s="7">
        <v>57329770</v>
      </c>
      <c r="J6190" s="7">
        <v>0</v>
      </c>
      <c r="K6190">
        <f t="shared" si="96"/>
        <v>59</v>
      </c>
      <c r="L6190" s="8" t="str" cm="1">
        <f t="array" ref="L6190">_xlfn.IFS(
 AND(K6190&gt;=89,K6190&lt;=92),"3개월",
 AND(K6190&gt;=58,K6190&lt;=62),"2개월",
 AND(K6190&gt;=28,K6190&lt;=32),"1개월",
 AND(K6190=0),"당월",
 TRUE,"그외"
)</f>
        <v>2개월</v>
      </c>
    </row>
    <row r="6191" spans="1:12" x14ac:dyDescent="0.3">
      <c r="A6191" s="5">
        <v>45748</v>
      </c>
      <c r="B6191" s="6" t="s">
        <v>50</v>
      </c>
      <c r="C6191" s="6" t="s">
        <v>57</v>
      </c>
      <c r="D6191" s="5">
        <v>45717</v>
      </c>
      <c r="E6191" s="6" t="s">
        <v>14</v>
      </c>
      <c r="F6191" s="7">
        <v>1622</v>
      </c>
      <c r="G6191" s="7">
        <v>138704.71146732429</v>
      </c>
      <c r="H6191" s="7">
        <v>224979042</v>
      </c>
      <c r="I6191" s="7">
        <v>56269620</v>
      </c>
      <c r="J6191" s="7">
        <v>0</v>
      </c>
      <c r="K6191">
        <f t="shared" si="96"/>
        <v>31</v>
      </c>
      <c r="L6191" s="8" t="str" cm="1">
        <f t="array" ref="L6191">_xlfn.IFS(
 AND(K6191&gt;=89,K6191&lt;=92),"3개월",
 AND(K6191&gt;=58,K6191&lt;=62),"2개월",
 AND(K6191&gt;=28,K6191&lt;=32),"1개월",
 AND(K6191=0),"당월",
 TRUE,"그외"
)</f>
        <v>1개월</v>
      </c>
    </row>
    <row r="6192" spans="1:12" x14ac:dyDescent="0.3">
      <c r="A6192" s="5">
        <v>45748</v>
      </c>
      <c r="B6192" s="6" t="s">
        <v>50</v>
      </c>
      <c r="C6192" s="6" t="s">
        <v>57</v>
      </c>
      <c r="D6192" s="5">
        <v>45717</v>
      </c>
      <c r="E6192" s="6" t="s">
        <v>15</v>
      </c>
      <c r="F6192" s="7">
        <v>2229</v>
      </c>
      <c r="G6192" s="7">
        <v>144476.2786002692</v>
      </c>
      <c r="H6192" s="7">
        <v>322037625</v>
      </c>
      <c r="I6192" s="7">
        <v>63562586</v>
      </c>
      <c r="J6192" s="7">
        <v>0</v>
      </c>
      <c r="K6192">
        <f t="shared" si="96"/>
        <v>31</v>
      </c>
      <c r="L6192" s="8" t="str" cm="1">
        <f t="array" ref="L6192">_xlfn.IFS(
 AND(K6192&gt;=89,K6192&lt;=92),"3개월",
 AND(K6192&gt;=58,K6192&lt;=62),"2개월",
 AND(K6192&gt;=28,K6192&lt;=32),"1개월",
 AND(K6192=0),"당월",
 TRUE,"그외"
)</f>
        <v>1개월</v>
      </c>
    </row>
    <row r="6193" spans="1:12" x14ac:dyDescent="0.3">
      <c r="A6193" s="5">
        <v>45748</v>
      </c>
      <c r="B6193" s="6" t="s">
        <v>50</v>
      </c>
      <c r="C6193" s="6" t="s">
        <v>57</v>
      </c>
      <c r="D6193" s="5">
        <v>45748</v>
      </c>
      <c r="E6193" s="6" t="s">
        <v>14</v>
      </c>
      <c r="F6193" s="7">
        <v>1381</v>
      </c>
      <c r="G6193" s="7">
        <v>113641.3823316437</v>
      </c>
      <c r="H6193" s="7">
        <v>156938749</v>
      </c>
      <c r="I6193" s="7">
        <v>53884776</v>
      </c>
      <c r="J6193" s="7">
        <v>0</v>
      </c>
      <c r="K6193">
        <f t="shared" si="96"/>
        <v>0</v>
      </c>
      <c r="L6193" s="8" t="str" cm="1">
        <f t="array" ref="L6193">_xlfn.IFS(
 AND(K6193&gt;=89,K6193&lt;=92),"3개월",
 AND(K6193&gt;=58,K6193&lt;=62),"2개월",
 AND(K6193&gt;=28,K6193&lt;=32),"1개월",
 AND(K6193=0),"당월",
 TRUE,"그외"
)</f>
        <v>당월</v>
      </c>
    </row>
    <row r="6194" spans="1:12" x14ac:dyDescent="0.3">
      <c r="A6194" s="5">
        <v>45748</v>
      </c>
      <c r="B6194" s="6" t="s">
        <v>50</v>
      </c>
      <c r="C6194" s="6" t="s">
        <v>57</v>
      </c>
      <c r="D6194" s="5">
        <v>45748</v>
      </c>
      <c r="E6194" s="6" t="s">
        <v>15</v>
      </c>
      <c r="F6194" s="7">
        <v>1242</v>
      </c>
      <c r="G6194" s="7">
        <v>146349.10950080509</v>
      </c>
      <c r="H6194" s="7">
        <v>181765594</v>
      </c>
      <c r="I6194" s="7">
        <v>28301691</v>
      </c>
      <c r="J6194" s="7">
        <v>0</v>
      </c>
      <c r="K6194">
        <f t="shared" si="96"/>
        <v>0</v>
      </c>
      <c r="L6194" s="8" t="str" cm="1">
        <f t="array" ref="L6194">_xlfn.IFS(
 AND(K6194&gt;=89,K6194&lt;=92),"3개월",
 AND(K6194&gt;=58,K6194&lt;=62),"2개월",
 AND(K6194&gt;=28,K6194&lt;=32),"1개월",
 AND(K6194=0),"당월",
 TRUE,"그외"
)</f>
        <v>당월</v>
      </c>
    </row>
    <row r="6195" spans="1:12" x14ac:dyDescent="0.3">
      <c r="A6195" s="5">
        <v>45748</v>
      </c>
      <c r="B6195" s="6" t="s">
        <v>50</v>
      </c>
      <c r="C6195" s="6" t="s">
        <v>59</v>
      </c>
      <c r="D6195" s="5">
        <v>45717</v>
      </c>
      <c r="E6195" s="6" t="s">
        <v>14</v>
      </c>
      <c r="F6195" s="7">
        <v>68</v>
      </c>
      <c r="G6195" s="7">
        <v>127716</v>
      </c>
      <c r="H6195" s="7">
        <v>8684688</v>
      </c>
      <c r="I6195" s="7">
        <v>2695248</v>
      </c>
      <c r="J6195" s="7">
        <v>0</v>
      </c>
      <c r="K6195">
        <f t="shared" si="96"/>
        <v>31</v>
      </c>
      <c r="L6195" s="8" t="str" cm="1">
        <f t="array" ref="L6195">_xlfn.IFS(
 AND(K6195&gt;=89,K6195&lt;=92),"3개월",
 AND(K6195&gt;=58,K6195&lt;=62),"2개월",
 AND(K6195&gt;=28,K6195&lt;=32),"1개월",
 AND(K6195=0),"당월",
 TRUE,"그외"
)</f>
        <v>1개월</v>
      </c>
    </row>
    <row r="6196" spans="1:12" x14ac:dyDescent="0.3">
      <c r="A6196" s="5">
        <v>45748</v>
      </c>
      <c r="B6196" s="6" t="s">
        <v>50</v>
      </c>
      <c r="C6196" s="6" t="s">
        <v>59</v>
      </c>
      <c r="D6196" s="5">
        <v>45717</v>
      </c>
      <c r="E6196" s="6" t="s">
        <v>15</v>
      </c>
      <c r="F6196" s="7">
        <v>386</v>
      </c>
      <c r="G6196" s="7">
        <v>124193.0751295337</v>
      </c>
      <c r="H6196" s="7">
        <v>47938527</v>
      </c>
      <c r="I6196" s="7">
        <v>12347688</v>
      </c>
      <c r="J6196" s="7">
        <v>0</v>
      </c>
      <c r="K6196">
        <f t="shared" si="96"/>
        <v>31</v>
      </c>
      <c r="L6196" s="8" t="str" cm="1">
        <f t="array" ref="L6196">_xlfn.IFS(
 AND(K6196&gt;=89,K6196&lt;=92),"3개월",
 AND(K6196&gt;=58,K6196&lt;=62),"2개월",
 AND(K6196&gt;=28,K6196&lt;=32),"1개월",
 AND(K6196=0),"당월",
 TRUE,"그외"
)</f>
        <v>1개월</v>
      </c>
    </row>
    <row r="6197" spans="1:12" x14ac:dyDescent="0.3">
      <c r="A6197" s="5">
        <v>45748</v>
      </c>
      <c r="B6197" s="6" t="s">
        <v>50</v>
      </c>
      <c r="C6197" s="6" t="s">
        <v>59</v>
      </c>
      <c r="D6197" s="5">
        <v>45748</v>
      </c>
      <c r="E6197" s="6" t="s">
        <v>14</v>
      </c>
      <c r="F6197" s="7">
        <v>1041</v>
      </c>
      <c r="G6197" s="7">
        <v>122523.60230547551</v>
      </c>
      <c r="H6197" s="7">
        <v>127547070</v>
      </c>
      <c r="I6197" s="7">
        <v>36662970</v>
      </c>
      <c r="J6197" s="7">
        <v>0</v>
      </c>
      <c r="K6197">
        <f t="shared" si="96"/>
        <v>0</v>
      </c>
      <c r="L6197" s="8" t="str" cm="1">
        <f t="array" ref="L6197">_xlfn.IFS(
 AND(K6197&gt;=89,K6197&lt;=92),"3개월",
 AND(K6197&gt;=58,K6197&lt;=62),"2개월",
 AND(K6197&gt;=28,K6197&lt;=32),"1개월",
 AND(K6197=0),"당월",
 TRUE,"그외"
)</f>
        <v>당월</v>
      </c>
    </row>
    <row r="6198" spans="1:12" x14ac:dyDescent="0.3">
      <c r="A6198" s="5">
        <v>45748</v>
      </c>
      <c r="B6198" s="6" t="s">
        <v>50</v>
      </c>
      <c r="C6198" s="6" t="s">
        <v>59</v>
      </c>
      <c r="D6198" s="5">
        <v>45748</v>
      </c>
      <c r="E6198" s="6" t="s">
        <v>15</v>
      </c>
      <c r="F6198" s="7">
        <v>134</v>
      </c>
      <c r="G6198" s="7">
        <v>110253.35820895519</v>
      </c>
      <c r="H6198" s="7">
        <v>14773950</v>
      </c>
      <c r="I6198" s="7">
        <v>3174333</v>
      </c>
      <c r="J6198" s="7">
        <v>0</v>
      </c>
      <c r="K6198">
        <f t="shared" si="96"/>
        <v>0</v>
      </c>
      <c r="L6198" s="8" t="str" cm="1">
        <f t="array" ref="L6198">_xlfn.IFS(
 AND(K6198&gt;=89,K6198&lt;=92),"3개월",
 AND(K6198&gt;=58,K6198&lt;=62),"2개월",
 AND(K6198&gt;=28,K6198&lt;=32),"1개월",
 AND(K6198=0),"당월",
 TRUE,"그외"
)</f>
        <v>당월</v>
      </c>
    </row>
    <row r="6199" spans="1:12" x14ac:dyDescent="0.3">
      <c r="A6199" s="5">
        <v>45748</v>
      </c>
      <c r="B6199" s="6" t="s">
        <v>60</v>
      </c>
      <c r="C6199" s="6" t="s">
        <v>61</v>
      </c>
      <c r="D6199" s="5">
        <v>45627</v>
      </c>
      <c r="E6199" s="6" t="s">
        <v>15</v>
      </c>
      <c r="F6199" s="7">
        <v>167</v>
      </c>
      <c r="G6199" s="7">
        <v>200355.7904191617</v>
      </c>
      <c r="H6199" s="7">
        <v>33459417</v>
      </c>
      <c r="I6199" s="7">
        <v>9604128</v>
      </c>
      <c r="J6199" s="7">
        <v>0</v>
      </c>
      <c r="K6199">
        <f t="shared" si="96"/>
        <v>121</v>
      </c>
      <c r="L6199" s="8" t="str" cm="1">
        <f t="array" ref="L6199">_xlfn.IFS(
 AND(K6199&gt;=89,K6199&lt;=92),"3개월",
 AND(K6199&gt;=58,K6199&lt;=62),"2개월",
 AND(K6199&gt;=28,K6199&lt;=32),"1개월",
 AND(K6199=0),"당월",
 TRUE,"그외"
)</f>
        <v>그외</v>
      </c>
    </row>
    <row r="6200" spans="1:12" x14ac:dyDescent="0.3">
      <c r="A6200" s="5">
        <v>45748</v>
      </c>
      <c r="B6200" s="6" t="s">
        <v>60</v>
      </c>
      <c r="C6200" s="6" t="s">
        <v>61</v>
      </c>
      <c r="D6200" s="5">
        <v>45658</v>
      </c>
      <c r="E6200" s="6" t="s">
        <v>14</v>
      </c>
      <c r="F6200" s="7">
        <v>1</v>
      </c>
      <c r="G6200" s="7">
        <v>141000</v>
      </c>
      <c r="H6200" s="7">
        <v>141000</v>
      </c>
      <c r="I6200" s="7">
        <v>31000</v>
      </c>
      <c r="J6200" s="7">
        <v>0</v>
      </c>
      <c r="K6200">
        <f t="shared" si="96"/>
        <v>90</v>
      </c>
      <c r="L6200" s="8" t="str" cm="1">
        <f t="array" ref="L6200">_xlfn.IFS(
 AND(K6200&gt;=89,K6200&lt;=92),"3개월",
 AND(K6200&gt;=58,K6200&lt;=62),"2개월",
 AND(K6200&gt;=28,K6200&lt;=32),"1개월",
 AND(K6200=0),"당월",
 TRUE,"그외"
)</f>
        <v>3개월</v>
      </c>
    </row>
    <row r="6201" spans="1:12" x14ac:dyDescent="0.3">
      <c r="A6201" s="5">
        <v>45748</v>
      </c>
      <c r="B6201" s="6" t="s">
        <v>60</v>
      </c>
      <c r="C6201" s="6" t="s">
        <v>61</v>
      </c>
      <c r="D6201" s="5">
        <v>45658</v>
      </c>
      <c r="E6201" s="6" t="s">
        <v>15</v>
      </c>
      <c r="F6201" s="7">
        <v>1025</v>
      </c>
      <c r="G6201" s="7">
        <v>188539.58341463411</v>
      </c>
      <c r="H6201" s="7">
        <v>193253073</v>
      </c>
      <c r="I6201" s="7">
        <v>51897276</v>
      </c>
      <c r="J6201" s="7">
        <v>0</v>
      </c>
      <c r="K6201">
        <f t="shared" si="96"/>
        <v>90</v>
      </c>
      <c r="L6201" s="8" t="str" cm="1">
        <f t="array" ref="L6201">_xlfn.IFS(
 AND(K6201&gt;=89,K6201&lt;=92),"3개월",
 AND(K6201&gt;=58,K6201&lt;=62),"2개월",
 AND(K6201&gt;=28,K6201&lt;=32),"1개월",
 AND(K6201=0),"당월",
 TRUE,"그외"
)</f>
        <v>3개월</v>
      </c>
    </row>
    <row r="6202" spans="1:12" x14ac:dyDescent="0.3">
      <c r="A6202" s="5">
        <v>45748</v>
      </c>
      <c r="B6202" s="6" t="s">
        <v>60</v>
      </c>
      <c r="C6202" s="6" t="s">
        <v>61</v>
      </c>
      <c r="D6202" s="5">
        <v>45689</v>
      </c>
      <c r="E6202" s="6" t="s">
        <v>14</v>
      </c>
      <c r="F6202" s="7">
        <v>364</v>
      </c>
      <c r="G6202" s="7">
        <v>146666.92307692309</v>
      </c>
      <c r="H6202" s="7">
        <v>53386760</v>
      </c>
      <c r="I6202" s="7">
        <v>13463160</v>
      </c>
      <c r="J6202" s="7">
        <v>0</v>
      </c>
      <c r="K6202">
        <f t="shared" si="96"/>
        <v>59</v>
      </c>
      <c r="L6202" s="8" t="str" cm="1">
        <f t="array" ref="L6202">_xlfn.IFS(
 AND(K6202&gt;=89,K6202&lt;=92),"3개월",
 AND(K6202&gt;=58,K6202&lt;=62),"2개월",
 AND(K6202&gt;=28,K6202&lt;=32),"1개월",
 AND(K6202=0),"당월",
 TRUE,"그외"
)</f>
        <v>2개월</v>
      </c>
    </row>
    <row r="6203" spans="1:12" x14ac:dyDescent="0.3">
      <c r="A6203" s="5">
        <v>45748</v>
      </c>
      <c r="B6203" s="6" t="s">
        <v>60</v>
      </c>
      <c r="C6203" s="6" t="s">
        <v>61</v>
      </c>
      <c r="D6203" s="5">
        <v>45689</v>
      </c>
      <c r="E6203" s="6" t="s">
        <v>15</v>
      </c>
      <c r="F6203" s="7">
        <v>1703</v>
      </c>
      <c r="G6203" s="7">
        <v>194496.4697592484</v>
      </c>
      <c r="H6203" s="7">
        <v>331227488</v>
      </c>
      <c r="I6203" s="7">
        <v>80736598</v>
      </c>
      <c r="J6203" s="7">
        <v>0</v>
      </c>
      <c r="K6203">
        <f t="shared" si="96"/>
        <v>59</v>
      </c>
      <c r="L6203" s="8" t="str" cm="1">
        <f t="array" ref="L6203">_xlfn.IFS(
 AND(K6203&gt;=89,K6203&lt;=92),"3개월",
 AND(K6203&gt;=58,K6203&lt;=62),"2개월",
 AND(K6203&gt;=28,K6203&lt;=32),"1개월",
 AND(K6203=0),"당월",
 TRUE,"그외"
)</f>
        <v>2개월</v>
      </c>
    </row>
    <row r="6204" spans="1:12" x14ac:dyDescent="0.3">
      <c r="A6204" s="5">
        <v>45748</v>
      </c>
      <c r="B6204" s="6" t="s">
        <v>60</v>
      </c>
      <c r="C6204" s="6" t="s">
        <v>61</v>
      </c>
      <c r="D6204" s="5">
        <v>45717</v>
      </c>
      <c r="E6204" s="6" t="s">
        <v>14</v>
      </c>
      <c r="F6204" s="7">
        <v>1385</v>
      </c>
      <c r="G6204" s="7">
        <v>191963.95523465701</v>
      </c>
      <c r="H6204" s="7">
        <v>265870078</v>
      </c>
      <c r="I6204" s="7">
        <v>81125997</v>
      </c>
      <c r="J6204" s="7">
        <v>0</v>
      </c>
      <c r="K6204">
        <f t="shared" si="96"/>
        <v>31</v>
      </c>
      <c r="L6204" s="8" t="str" cm="1">
        <f t="array" ref="L6204">_xlfn.IFS(
 AND(K6204&gt;=89,K6204&lt;=92),"3개월",
 AND(K6204&gt;=58,K6204&lt;=62),"2개월",
 AND(K6204&gt;=28,K6204&lt;=32),"1개월",
 AND(K6204=0),"당월",
 TRUE,"그외"
)</f>
        <v>1개월</v>
      </c>
    </row>
    <row r="6205" spans="1:12" x14ac:dyDescent="0.3">
      <c r="A6205" s="5">
        <v>45748</v>
      </c>
      <c r="B6205" s="6" t="s">
        <v>60</v>
      </c>
      <c r="C6205" s="6" t="s">
        <v>61</v>
      </c>
      <c r="D6205" s="5">
        <v>45717</v>
      </c>
      <c r="E6205" s="6" t="s">
        <v>15</v>
      </c>
      <c r="F6205" s="7">
        <v>2609</v>
      </c>
      <c r="G6205" s="7">
        <v>206517.3491759295</v>
      </c>
      <c r="H6205" s="7">
        <v>538803764</v>
      </c>
      <c r="I6205" s="7">
        <v>136091959</v>
      </c>
      <c r="J6205" s="7">
        <v>0</v>
      </c>
      <c r="K6205">
        <f t="shared" si="96"/>
        <v>31</v>
      </c>
      <c r="L6205" s="8" t="str" cm="1">
        <f t="array" ref="L6205">_xlfn.IFS(
 AND(K6205&gt;=89,K6205&lt;=92),"3개월",
 AND(K6205&gt;=58,K6205&lt;=62),"2개월",
 AND(K6205&gt;=28,K6205&lt;=32),"1개월",
 AND(K6205=0),"당월",
 TRUE,"그외"
)</f>
        <v>1개월</v>
      </c>
    </row>
    <row r="6206" spans="1:12" x14ac:dyDescent="0.3">
      <c r="A6206" s="5">
        <v>45748</v>
      </c>
      <c r="B6206" s="6" t="s">
        <v>60</v>
      </c>
      <c r="C6206" s="6" t="s">
        <v>61</v>
      </c>
      <c r="D6206" s="5">
        <v>45748</v>
      </c>
      <c r="E6206" s="6" t="s">
        <v>14</v>
      </c>
      <c r="F6206" s="7">
        <v>803</v>
      </c>
      <c r="G6206" s="7">
        <v>158580.15691158161</v>
      </c>
      <c r="H6206" s="7">
        <v>127339866</v>
      </c>
      <c r="I6206" s="7">
        <v>34200706</v>
      </c>
      <c r="J6206" s="7">
        <v>0</v>
      </c>
      <c r="K6206">
        <f t="shared" si="96"/>
        <v>0</v>
      </c>
      <c r="L6206" s="8" t="str" cm="1">
        <f t="array" ref="L6206">_xlfn.IFS(
 AND(K6206&gt;=89,K6206&lt;=92),"3개월",
 AND(K6206&gt;=58,K6206&lt;=62),"2개월",
 AND(K6206&gt;=28,K6206&lt;=32),"1개월",
 AND(K6206=0),"당월",
 TRUE,"그외"
)</f>
        <v>당월</v>
      </c>
    </row>
    <row r="6207" spans="1:12" x14ac:dyDescent="0.3">
      <c r="A6207" s="5">
        <v>45748</v>
      </c>
      <c r="B6207" s="6" t="s">
        <v>60</v>
      </c>
      <c r="C6207" s="6" t="s">
        <v>61</v>
      </c>
      <c r="D6207" s="5">
        <v>45748</v>
      </c>
      <c r="E6207" s="6" t="s">
        <v>15</v>
      </c>
      <c r="F6207" s="7">
        <v>2790</v>
      </c>
      <c r="G6207" s="7">
        <v>178871.40358422941</v>
      </c>
      <c r="H6207" s="7">
        <v>499051216</v>
      </c>
      <c r="I6207" s="7">
        <v>135075609</v>
      </c>
      <c r="J6207" s="7">
        <v>0</v>
      </c>
      <c r="K6207">
        <f t="shared" si="96"/>
        <v>0</v>
      </c>
      <c r="L6207" s="8" t="str" cm="1">
        <f t="array" ref="L6207">_xlfn.IFS(
 AND(K6207&gt;=89,K6207&lt;=92),"3개월",
 AND(K6207&gt;=58,K6207&lt;=62),"2개월",
 AND(K6207&gt;=28,K6207&lt;=32),"1개월",
 AND(K6207=0),"당월",
 TRUE,"그외"
)</f>
        <v>당월</v>
      </c>
    </row>
    <row r="6208" spans="1:12" x14ac:dyDescent="0.3">
      <c r="A6208" s="5">
        <v>45748</v>
      </c>
      <c r="B6208" s="6" t="s">
        <v>60</v>
      </c>
      <c r="C6208" s="6" t="s">
        <v>104</v>
      </c>
      <c r="D6208" s="5">
        <v>45627</v>
      </c>
      <c r="E6208" s="6" t="s">
        <v>15</v>
      </c>
      <c r="F6208" s="7">
        <v>201</v>
      </c>
      <c r="G6208" s="7">
        <v>229723.2039800995</v>
      </c>
      <c r="H6208" s="7">
        <v>46174364</v>
      </c>
      <c r="I6208" s="7">
        <v>6330664</v>
      </c>
      <c r="J6208" s="7">
        <v>0</v>
      </c>
      <c r="K6208">
        <f t="shared" si="96"/>
        <v>121</v>
      </c>
      <c r="L6208" s="8" t="str" cm="1">
        <f t="array" ref="L6208">_xlfn.IFS(
 AND(K6208&gt;=89,K6208&lt;=92),"3개월",
 AND(K6208&gt;=58,K6208&lt;=62),"2개월",
 AND(K6208&gt;=28,K6208&lt;=32),"1개월",
 AND(K6208=0),"당월",
 TRUE,"그외"
)</f>
        <v>그외</v>
      </c>
    </row>
    <row r="6209" spans="1:12" x14ac:dyDescent="0.3">
      <c r="A6209" s="5">
        <v>45748</v>
      </c>
      <c r="B6209" s="6" t="s">
        <v>60</v>
      </c>
      <c r="C6209" s="6" t="s">
        <v>104</v>
      </c>
      <c r="D6209" s="5">
        <v>45658</v>
      </c>
      <c r="E6209" s="6" t="s">
        <v>15</v>
      </c>
      <c r="F6209" s="7">
        <v>482</v>
      </c>
      <c r="G6209" s="7">
        <v>220432.47302904571</v>
      </c>
      <c r="H6209" s="7">
        <v>106248452</v>
      </c>
      <c r="I6209" s="7">
        <v>17328601</v>
      </c>
      <c r="J6209" s="7">
        <v>0</v>
      </c>
      <c r="K6209">
        <f t="shared" si="96"/>
        <v>90</v>
      </c>
      <c r="L6209" s="8" t="str" cm="1">
        <f t="array" ref="L6209">_xlfn.IFS(
 AND(K6209&gt;=89,K6209&lt;=92),"3개월",
 AND(K6209&gt;=58,K6209&lt;=62),"2개월",
 AND(K6209&gt;=28,K6209&lt;=32),"1개월",
 AND(K6209=0),"당월",
 TRUE,"그외"
)</f>
        <v>3개월</v>
      </c>
    </row>
    <row r="6210" spans="1:12" x14ac:dyDescent="0.3">
      <c r="A6210" s="5">
        <v>45748</v>
      </c>
      <c r="B6210" s="6" t="s">
        <v>60</v>
      </c>
      <c r="C6210" s="6" t="s">
        <v>104</v>
      </c>
      <c r="D6210" s="5">
        <v>45689</v>
      </c>
      <c r="E6210" s="6" t="s">
        <v>14</v>
      </c>
      <c r="F6210" s="7">
        <v>400</v>
      </c>
      <c r="G6210" s="7">
        <v>143525</v>
      </c>
      <c r="H6210" s="7">
        <v>57410000</v>
      </c>
      <c r="I6210" s="7">
        <v>12840000</v>
      </c>
      <c r="J6210" s="7">
        <v>0</v>
      </c>
      <c r="K6210">
        <f t="shared" si="96"/>
        <v>59</v>
      </c>
      <c r="L6210" s="8" t="str" cm="1">
        <f t="array" ref="L6210">_xlfn.IFS(
 AND(K6210&gt;=89,K6210&lt;=92),"3개월",
 AND(K6210&gt;=58,K6210&lt;=62),"2개월",
 AND(K6210&gt;=28,K6210&lt;=32),"1개월",
 AND(K6210=0),"당월",
 TRUE,"그외"
)</f>
        <v>2개월</v>
      </c>
    </row>
    <row r="6211" spans="1:12" x14ac:dyDescent="0.3">
      <c r="A6211" s="5">
        <v>45748</v>
      </c>
      <c r="B6211" s="6" t="s">
        <v>60</v>
      </c>
      <c r="C6211" s="6" t="s">
        <v>104</v>
      </c>
      <c r="D6211" s="5">
        <v>45689</v>
      </c>
      <c r="E6211" s="6" t="s">
        <v>15</v>
      </c>
      <c r="F6211" s="7">
        <v>1019</v>
      </c>
      <c r="G6211" s="7">
        <v>170665.1599607458</v>
      </c>
      <c r="H6211" s="7">
        <v>173907798</v>
      </c>
      <c r="I6211" s="7">
        <v>35697119</v>
      </c>
      <c r="J6211" s="7">
        <v>0</v>
      </c>
      <c r="K6211">
        <f t="shared" si="96"/>
        <v>59</v>
      </c>
      <c r="L6211" s="8" t="str" cm="1">
        <f t="array" ref="L6211">_xlfn.IFS(
 AND(K6211&gt;=89,K6211&lt;=92),"3개월",
 AND(K6211&gt;=58,K6211&lt;=62),"2개월",
 AND(K6211&gt;=28,K6211&lt;=32),"1개월",
 AND(K6211=0),"당월",
 TRUE,"그외"
)</f>
        <v>2개월</v>
      </c>
    </row>
    <row r="6212" spans="1:12" x14ac:dyDescent="0.3">
      <c r="A6212" s="5">
        <v>45748</v>
      </c>
      <c r="B6212" s="6" t="s">
        <v>60</v>
      </c>
      <c r="C6212" s="6" t="s">
        <v>104</v>
      </c>
      <c r="D6212" s="5">
        <v>45717</v>
      </c>
      <c r="E6212" s="6" t="s">
        <v>14</v>
      </c>
      <c r="F6212" s="7">
        <v>919</v>
      </c>
      <c r="G6212" s="7">
        <v>125035.79978237209</v>
      </c>
      <c r="H6212" s="7">
        <v>114907900</v>
      </c>
      <c r="I6212" s="7">
        <v>34537900</v>
      </c>
      <c r="J6212" s="7">
        <v>0</v>
      </c>
      <c r="K6212">
        <f t="shared" si="96"/>
        <v>31</v>
      </c>
      <c r="L6212" s="8" t="str" cm="1">
        <f t="array" ref="L6212">_xlfn.IFS(
 AND(K6212&gt;=89,K6212&lt;=92),"3개월",
 AND(K6212&gt;=58,K6212&lt;=62),"2개월",
 AND(K6212&gt;=28,K6212&lt;=32),"1개월",
 AND(K6212=0),"당월",
 TRUE,"그외"
)</f>
        <v>1개월</v>
      </c>
    </row>
    <row r="6213" spans="1:12" x14ac:dyDescent="0.3">
      <c r="A6213" s="5">
        <v>45748</v>
      </c>
      <c r="B6213" s="6" t="s">
        <v>60</v>
      </c>
      <c r="C6213" s="6" t="s">
        <v>104</v>
      </c>
      <c r="D6213" s="5">
        <v>45717</v>
      </c>
      <c r="E6213" s="6" t="s">
        <v>15</v>
      </c>
      <c r="F6213" s="7">
        <v>2553</v>
      </c>
      <c r="G6213" s="7">
        <v>146051.22130826479</v>
      </c>
      <c r="H6213" s="7">
        <v>372868768</v>
      </c>
      <c r="I6213" s="7">
        <v>111071462</v>
      </c>
      <c r="J6213" s="7">
        <v>0</v>
      </c>
      <c r="K6213">
        <f t="shared" si="96"/>
        <v>31</v>
      </c>
      <c r="L6213" s="8" t="str" cm="1">
        <f t="array" ref="L6213">_xlfn.IFS(
 AND(K6213&gt;=89,K6213&lt;=92),"3개월",
 AND(K6213&gt;=58,K6213&lt;=62),"2개월",
 AND(K6213&gt;=28,K6213&lt;=32),"1개월",
 AND(K6213=0),"당월",
 TRUE,"그외"
)</f>
        <v>1개월</v>
      </c>
    </row>
    <row r="6214" spans="1:12" x14ac:dyDescent="0.3">
      <c r="A6214" s="5">
        <v>45748</v>
      </c>
      <c r="B6214" s="6" t="s">
        <v>60</v>
      </c>
      <c r="C6214" s="6" t="s">
        <v>104</v>
      </c>
      <c r="D6214" s="5">
        <v>45748</v>
      </c>
      <c r="E6214" s="6" t="s">
        <v>14</v>
      </c>
      <c r="F6214" s="7">
        <v>1135</v>
      </c>
      <c r="G6214" s="7">
        <v>98887.488986784141</v>
      </c>
      <c r="H6214" s="7">
        <v>112237300</v>
      </c>
      <c r="I6214" s="7">
        <v>31350300</v>
      </c>
      <c r="J6214" s="7">
        <v>0</v>
      </c>
      <c r="K6214">
        <f t="shared" si="96"/>
        <v>0</v>
      </c>
      <c r="L6214" s="8" t="str" cm="1">
        <f t="array" ref="L6214">_xlfn.IFS(
 AND(K6214&gt;=89,K6214&lt;=92),"3개월",
 AND(K6214&gt;=58,K6214&lt;=62),"2개월",
 AND(K6214&gt;=28,K6214&lt;=32),"1개월",
 AND(K6214=0),"당월",
 TRUE,"그외"
)</f>
        <v>당월</v>
      </c>
    </row>
    <row r="6215" spans="1:12" x14ac:dyDescent="0.3">
      <c r="A6215" s="5">
        <v>45748</v>
      </c>
      <c r="B6215" s="6" t="s">
        <v>60</v>
      </c>
      <c r="C6215" s="6" t="s">
        <v>104</v>
      </c>
      <c r="D6215" s="5">
        <v>45748</v>
      </c>
      <c r="E6215" s="6" t="s">
        <v>15</v>
      </c>
      <c r="F6215" s="7">
        <v>2321</v>
      </c>
      <c r="G6215" s="7">
        <v>138476.784575614</v>
      </c>
      <c r="H6215" s="7">
        <v>321404617</v>
      </c>
      <c r="I6215" s="7">
        <v>95095703</v>
      </c>
      <c r="J6215" s="7">
        <v>0</v>
      </c>
      <c r="K6215">
        <f t="shared" si="96"/>
        <v>0</v>
      </c>
      <c r="L6215" s="8" t="str" cm="1">
        <f t="array" ref="L6215">_xlfn.IFS(
 AND(K6215&gt;=89,K6215&lt;=92),"3개월",
 AND(K6215&gt;=58,K6215&lt;=62),"2개월",
 AND(K6215&gt;=28,K6215&lt;=32),"1개월",
 AND(K6215=0),"당월",
 TRUE,"그외"
)</f>
        <v>당월</v>
      </c>
    </row>
    <row r="6216" spans="1:12" x14ac:dyDescent="0.3">
      <c r="A6216" s="5">
        <v>45748</v>
      </c>
      <c r="B6216" s="6" t="s">
        <v>60</v>
      </c>
      <c r="C6216" s="6" t="s">
        <v>62</v>
      </c>
      <c r="D6216" s="5">
        <v>45627</v>
      </c>
      <c r="E6216" s="6" t="s">
        <v>15</v>
      </c>
      <c r="F6216" s="7">
        <v>568</v>
      </c>
      <c r="G6216" s="7">
        <v>237083.4823943662</v>
      </c>
      <c r="H6216" s="7">
        <v>134663418</v>
      </c>
      <c r="I6216" s="7">
        <v>26056355</v>
      </c>
      <c r="J6216" s="7">
        <v>0</v>
      </c>
      <c r="K6216">
        <f t="shared" si="96"/>
        <v>121</v>
      </c>
      <c r="L6216" s="8" t="str" cm="1">
        <f t="array" ref="L6216">_xlfn.IFS(
 AND(K6216&gt;=89,K6216&lt;=92),"3개월",
 AND(K6216&gt;=58,K6216&lt;=62),"2개월",
 AND(K6216&gt;=28,K6216&lt;=32),"1개월",
 AND(K6216=0),"당월",
 TRUE,"그외"
)</f>
        <v>그외</v>
      </c>
    </row>
    <row r="6217" spans="1:12" x14ac:dyDescent="0.3">
      <c r="A6217" s="5">
        <v>45748</v>
      </c>
      <c r="B6217" s="6" t="s">
        <v>60</v>
      </c>
      <c r="C6217" s="6" t="s">
        <v>62</v>
      </c>
      <c r="D6217" s="5">
        <v>45658</v>
      </c>
      <c r="E6217" s="6" t="s">
        <v>14</v>
      </c>
      <c r="F6217" s="7">
        <v>26</v>
      </c>
      <c r="G6217" s="7">
        <v>186206</v>
      </c>
      <c r="H6217" s="7">
        <v>4841356</v>
      </c>
      <c r="I6217" s="7">
        <v>1383252</v>
      </c>
      <c r="J6217" s="7">
        <v>0</v>
      </c>
      <c r="K6217">
        <f t="shared" si="96"/>
        <v>90</v>
      </c>
      <c r="L6217" s="8" t="str" cm="1">
        <f t="array" ref="L6217">_xlfn.IFS(
 AND(K6217&gt;=89,K6217&lt;=92),"3개월",
 AND(K6217&gt;=58,K6217&lt;=62),"2개월",
 AND(K6217&gt;=28,K6217&lt;=32),"1개월",
 AND(K6217=0),"당월",
 TRUE,"그외"
)</f>
        <v>3개월</v>
      </c>
    </row>
    <row r="6218" spans="1:12" x14ac:dyDescent="0.3">
      <c r="A6218" s="5">
        <v>45748</v>
      </c>
      <c r="B6218" s="6" t="s">
        <v>60</v>
      </c>
      <c r="C6218" s="6" t="s">
        <v>62</v>
      </c>
      <c r="D6218" s="5">
        <v>45658</v>
      </c>
      <c r="E6218" s="6" t="s">
        <v>15</v>
      </c>
      <c r="F6218" s="7">
        <v>2590</v>
      </c>
      <c r="G6218" s="7">
        <v>229930.26988416989</v>
      </c>
      <c r="H6218" s="7">
        <v>595519399</v>
      </c>
      <c r="I6218" s="7">
        <v>116315148</v>
      </c>
      <c r="J6218" s="7">
        <v>0</v>
      </c>
      <c r="K6218">
        <f t="shared" ref="K6218:K6281" si="97">A6218-D6218</f>
        <v>90</v>
      </c>
      <c r="L6218" s="8" t="str" cm="1">
        <f t="array" ref="L6218">_xlfn.IFS(
 AND(K6218&gt;=89,K6218&lt;=92),"3개월",
 AND(K6218&gt;=58,K6218&lt;=62),"2개월",
 AND(K6218&gt;=28,K6218&lt;=32),"1개월",
 AND(K6218=0),"당월",
 TRUE,"그외"
)</f>
        <v>3개월</v>
      </c>
    </row>
    <row r="6219" spans="1:12" x14ac:dyDescent="0.3">
      <c r="A6219" s="5">
        <v>45748</v>
      </c>
      <c r="B6219" s="6" t="s">
        <v>60</v>
      </c>
      <c r="C6219" s="6" t="s">
        <v>62</v>
      </c>
      <c r="D6219" s="5">
        <v>45689</v>
      </c>
      <c r="E6219" s="6" t="s">
        <v>14</v>
      </c>
      <c r="F6219" s="7">
        <v>188</v>
      </c>
      <c r="G6219" s="7">
        <v>179746.00531914891</v>
      </c>
      <c r="H6219" s="7">
        <v>33792249</v>
      </c>
      <c r="I6219" s="7">
        <v>7815235</v>
      </c>
      <c r="J6219" s="7">
        <v>0</v>
      </c>
      <c r="K6219">
        <f t="shared" si="97"/>
        <v>59</v>
      </c>
      <c r="L6219" s="8" t="str" cm="1">
        <f t="array" ref="L6219">_xlfn.IFS(
 AND(K6219&gt;=89,K6219&lt;=92),"3개월",
 AND(K6219&gt;=58,K6219&lt;=62),"2개월",
 AND(K6219&gt;=28,K6219&lt;=32),"1개월",
 AND(K6219=0),"당월",
 TRUE,"그외"
)</f>
        <v>2개월</v>
      </c>
    </row>
    <row r="6220" spans="1:12" x14ac:dyDescent="0.3">
      <c r="A6220" s="5">
        <v>45748</v>
      </c>
      <c r="B6220" s="6" t="s">
        <v>60</v>
      </c>
      <c r="C6220" s="6" t="s">
        <v>62</v>
      </c>
      <c r="D6220" s="5">
        <v>45689</v>
      </c>
      <c r="E6220" s="6" t="s">
        <v>15</v>
      </c>
      <c r="F6220" s="7">
        <v>4942</v>
      </c>
      <c r="G6220" s="7">
        <v>201478.7306758397</v>
      </c>
      <c r="H6220" s="7">
        <v>995707887</v>
      </c>
      <c r="I6220" s="7">
        <v>220738895</v>
      </c>
      <c r="J6220" s="7">
        <v>0</v>
      </c>
      <c r="K6220">
        <f t="shared" si="97"/>
        <v>59</v>
      </c>
      <c r="L6220" s="8" t="str" cm="1">
        <f t="array" ref="L6220">_xlfn.IFS(
 AND(K6220&gt;=89,K6220&lt;=92),"3개월",
 AND(K6220&gt;=58,K6220&lt;=62),"2개월",
 AND(K6220&gt;=28,K6220&lt;=32),"1개월",
 AND(K6220=0),"당월",
 TRUE,"그외"
)</f>
        <v>2개월</v>
      </c>
    </row>
    <row r="6221" spans="1:12" x14ac:dyDescent="0.3">
      <c r="A6221" s="5">
        <v>45748</v>
      </c>
      <c r="B6221" s="6" t="s">
        <v>60</v>
      </c>
      <c r="C6221" s="6" t="s">
        <v>62</v>
      </c>
      <c r="D6221" s="5">
        <v>45717</v>
      </c>
      <c r="E6221" s="6" t="s">
        <v>14</v>
      </c>
      <c r="F6221" s="7">
        <v>1329</v>
      </c>
      <c r="G6221" s="7">
        <v>200068.05342362681</v>
      </c>
      <c r="H6221" s="7">
        <v>265890443</v>
      </c>
      <c r="I6221" s="7">
        <v>58625319</v>
      </c>
      <c r="J6221" s="7">
        <v>0</v>
      </c>
      <c r="K6221">
        <f t="shared" si="97"/>
        <v>31</v>
      </c>
      <c r="L6221" s="8" t="str" cm="1">
        <f t="array" ref="L6221">_xlfn.IFS(
 AND(K6221&gt;=89,K6221&lt;=92),"3개월",
 AND(K6221&gt;=58,K6221&lt;=62),"2개월",
 AND(K6221&gt;=28,K6221&lt;=32),"1개월",
 AND(K6221=0),"당월",
 TRUE,"그외"
)</f>
        <v>1개월</v>
      </c>
    </row>
    <row r="6222" spans="1:12" x14ac:dyDescent="0.3">
      <c r="A6222" s="5">
        <v>45748</v>
      </c>
      <c r="B6222" s="6" t="s">
        <v>60</v>
      </c>
      <c r="C6222" s="6" t="s">
        <v>62</v>
      </c>
      <c r="D6222" s="5">
        <v>45717</v>
      </c>
      <c r="E6222" s="6" t="s">
        <v>15</v>
      </c>
      <c r="F6222" s="7">
        <v>12589</v>
      </c>
      <c r="G6222" s="7">
        <v>165004.48423226629</v>
      </c>
      <c r="H6222" s="7">
        <v>2077241452</v>
      </c>
      <c r="I6222" s="7">
        <v>599669868</v>
      </c>
      <c r="J6222" s="7">
        <v>0</v>
      </c>
      <c r="K6222">
        <f t="shared" si="97"/>
        <v>31</v>
      </c>
      <c r="L6222" s="8" t="str" cm="1">
        <f t="array" ref="L6222">_xlfn.IFS(
 AND(K6222&gt;=89,K6222&lt;=92),"3개월",
 AND(K6222&gt;=58,K6222&lt;=62),"2개월",
 AND(K6222&gt;=28,K6222&lt;=32),"1개월",
 AND(K6222=0),"당월",
 TRUE,"그외"
)</f>
        <v>1개월</v>
      </c>
    </row>
    <row r="6223" spans="1:12" x14ac:dyDescent="0.3">
      <c r="A6223" s="5">
        <v>45748</v>
      </c>
      <c r="B6223" s="6" t="s">
        <v>60</v>
      </c>
      <c r="C6223" s="6" t="s">
        <v>62</v>
      </c>
      <c r="D6223" s="5">
        <v>45748</v>
      </c>
      <c r="E6223" s="6" t="s">
        <v>14</v>
      </c>
      <c r="F6223" s="7">
        <v>2979</v>
      </c>
      <c r="G6223" s="7">
        <v>102307.5273581739</v>
      </c>
      <c r="H6223" s="7">
        <v>304774124</v>
      </c>
      <c r="I6223" s="7">
        <v>86278694</v>
      </c>
      <c r="J6223" s="7">
        <v>0</v>
      </c>
      <c r="K6223">
        <f t="shared" si="97"/>
        <v>0</v>
      </c>
      <c r="L6223" s="8" t="str" cm="1">
        <f t="array" ref="L6223">_xlfn.IFS(
 AND(K6223&gt;=89,K6223&lt;=92),"3개월",
 AND(K6223&gt;=58,K6223&lt;=62),"2개월",
 AND(K6223&gt;=28,K6223&lt;=32),"1개월",
 AND(K6223=0),"당월",
 TRUE,"그외"
)</f>
        <v>당월</v>
      </c>
    </row>
    <row r="6224" spans="1:12" x14ac:dyDescent="0.3">
      <c r="A6224" s="5">
        <v>45748</v>
      </c>
      <c r="B6224" s="6" t="s">
        <v>60</v>
      </c>
      <c r="C6224" s="6" t="s">
        <v>62</v>
      </c>
      <c r="D6224" s="5">
        <v>45748</v>
      </c>
      <c r="E6224" s="6" t="s">
        <v>15</v>
      </c>
      <c r="F6224" s="7">
        <v>6989</v>
      </c>
      <c r="G6224" s="7">
        <v>207767.4582916011</v>
      </c>
      <c r="H6224" s="7">
        <v>1452086766</v>
      </c>
      <c r="I6224" s="7">
        <v>288555237</v>
      </c>
      <c r="J6224" s="7">
        <v>0</v>
      </c>
      <c r="K6224">
        <f t="shared" si="97"/>
        <v>0</v>
      </c>
      <c r="L6224" s="8" t="str" cm="1">
        <f t="array" ref="L6224">_xlfn.IFS(
 AND(K6224&gt;=89,K6224&lt;=92),"3개월",
 AND(K6224&gt;=58,K6224&lt;=62),"2개월",
 AND(K6224&gt;=28,K6224&lt;=32),"1개월",
 AND(K6224=0),"당월",
 TRUE,"그외"
)</f>
        <v>당월</v>
      </c>
    </row>
    <row r="6225" spans="1:12" x14ac:dyDescent="0.3">
      <c r="A6225" s="5">
        <v>45748</v>
      </c>
      <c r="B6225" s="6" t="s">
        <v>60</v>
      </c>
      <c r="C6225" s="6" t="s">
        <v>64</v>
      </c>
      <c r="D6225" s="5">
        <v>45658</v>
      </c>
      <c r="E6225" s="6" t="s">
        <v>15</v>
      </c>
      <c r="F6225" s="7">
        <v>158</v>
      </c>
      <c r="G6225" s="7">
        <v>156043.24050632911</v>
      </c>
      <c r="H6225" s="7">
        <v>24654832</v>
      </c>
      <c r="I6225" s="7">
        <v>5260210</v>
      </c>
      <c r="J6225" s="7">
        <v>0</v>
      </c>
      <c r="K6225">
        <f t="shared" si="97"/>
        <v>90</v>
      </c>
      <c r="L6225" s="8" t="str" cm="1">
        <f t="array" ref="L6225">_xlfn.IFS(
 AND(K6225&gt;=89,K6225&lt;=92),"3개월",
 AND(K6225&gt;=58,K6225&lt;=62),"2개월",
 AND(K6225&gt;=28,K6225&lt;=32),"1개월",
 AND(K6225=0),"당월",
 TRUE,"그외"
)</f>
        <v>3개월</v>
      </c>
    </row>
    <row r="6226" spans="1:12" x14ac:dyDescent="0.3">
      <c r="A6226" s="5">
        <v>45748</v>
      </c>
      <c r="B6226" s="6" t="s">
        <v>60</v>
      </c>
      <c r="C6226" s="6" t="s">
        <v>64</v>
      </c>
      <c r="D6226" s="5">
        <v>45689</v>
      </c>
      <c r="E6226" s="6" t="s">
        <v>14</v>
      </c>
      <c r="F6226" s="7">
        <v>1072</v>
      </c>
      <c r="G6226" s="7">
        <v>161210.7276119403</v>
      </c>
      <c r="H6226" s="7">
        <v>172817900</v>
      </c>
      <c r="I6226" s="7">
        <v>34363900</v>
      </c>
      <c r="J6226" s="7">
        <v>0</v>
      </c>
      <c r="K6226">
        <f t="shared" si="97"/>
        <v>59</v>
      </c>
      <c r="L6226" s="8" t="str" cm="1">
        <f t="array" ref="L6226">_xlfn.IFS(
 AND(K6226&gt;=89,K6226&lt;=92),"3개월",
 AND(K6226&gt;=58,K6226&lt;=62),"2개월",
 AND(K6226&gt;=28,K6226&lt;=32),"1개월",
 AND(K6226=0),"당월",
 TRUE,"그외"
)</f>
        <v>2개월</v>
      </c>
    </row>
    <row r="6227" spans="1:12" x14ac:dyDescent="0.3">
      <c r="A6227" s="5">
        <v>45748</v>
      </c>
      <c r="B6227" s="6" t="s">
        <v>60</v>
      </c>
      <c r="C6227" s="6" t="s">
        <v>64</v>
      </c>
      <c r="D6227" s="5">
        <v>45689</v>
      </c>
      <c r="E6227" s="6" t="s">
        <v>15</v>
      </c>
      <c r="F6227" s="7">
        <v>7162</v>
      </c>
      <c r="G6227" s="7">
        <v>148553.27059480589</v>
      </c>
      <c r="H6227" s="7">
        <v>1063938524</v>
      </c>
      <c r="I6227" s="7">
        <v>231346685</v>
      </c>
      <c r="J6227" s="7">
        <v>0</v>
      </c>
      <c r="K6227">
        <f t="shared" si="97"/>
        <v>59</v>
      </c>
      <c r="L6227" s="8" t="str" cm="1">
        <f t="array" ref="L6227">_xlfn.IFS(
 AND(K6227&gt;=89,K6227&lt;=92),"3개월",
 AND(K6227&gt;=58,K6227&lt;=62),"2개월",
 AND(K6227&gt;=28,K6227&lt;=32),"1개월",
 AND(K6227=0),"당월",
 TRUE,"그외"
)</f>
        <v>2개월</v>
      </c>
    </row>
    <row r="6228" spans="1:12" x14ac:dyDescent="0.3">
      <c r="A6228" s="5">
        <v>45748</v>
      </c>
      <c r="B6228" s="6" t="s">
        <v>60</v>
      </c>
      <c r="C6228" s="6" t="s">
        <v>64</v>
      </c>
      <c r="D6228" s="5">
        <v>45717</v>
      </c>
      <c r="E6228" s="6" t="s">
        <v>14</v>
      </c>
      <c r="F6228" s="7">
        <v>3261</v>
      </c>
      <c r="G6228" s="7">
        <v>123649.369825207</v>
      </c>
      <c r="H6228" s="7">
        <v>403220595</v>
      </c>
      <c r="I6228" s="7">
        <v>123249032</v>
      </c>
      <c r="J6228" s="7">
        <v>0</v>
      </c>
      <c r="K6228">
        <f t="shared" si="97"/>
        <v>31</v>
      </c>
      <c r="L6228" s="8" t="str" cm="1">
        <f t="array" ref="L6228">_xlfn.IFS(
 AND(K6228&gt;=89,K6228&lt;=92),"3개월",
 AND(K6228&gt;=58,K6228&lt;=62),"2개월",
 AND(K6228&gt;=28,K6228&lt;=32),"1개월",
 AND(K6228=0),"당월",
 TRUE,"그외"
)</f>
        <v>1개월</v>
      </c>
    </row>
    <row r="6229" spans="1:12" x14ac:dyDescent="0.3">
      <c r="A6229" s="5">
        <v>45748</v>
      </c>
      <c r="B6229" s="6" t="s">
        <v>60</v>
      </c>
      <c r="C6229" s="6" t="s">
        <v>64</v>
      </c>
      <c r="D6229" s="5">
        <v>45717</v>
      </c>
      <c r="E6229" s="6" t="s">
        <v>15</v>
      </c>
      <c r="F6229" s="7">
        <v>11793</v>
      </c>
      <c r="G6229" s="7">
        <v>116774.3124735012</v>
      </c>
      <c r="H6229" s="7">
        <v>1377119467</v>
      </c>
      <c r="I6229" s="7">
        <v>446511323</v>
      </c>
      <c r="J6229" s="7">
        <v>0</v>
      </c>
      <c r="K6229">
        <f t="shared" si="97"/>
        <v>31</v>
      </c>
      <c r="L6229" s="8" t="str" cm="1">
        <f t="array" ref="L6229">_xlfn.IFS(
 AND(K6229&gt;=89,K6229&lt;=92),"3개월",
 AND(K6229&gt;=58,K6229&lt;=62),"2개월",
 AND(K6229&gt;=28,K6229&lt;=32),"1개월",
 AND(K6229=0),"당월",
 TRUE,"그외"
)</f>
        <v>1개월</v>
      </c>
    </row>
    <row r="6230" spans="1:12" x14ac:dyDescent="0.3">
      <c r="A6230" s="5">
        <v>45748</v>
      </c>
      <c r="B6230" s="6" t="s">
        <v>60</v>
      </c>
      <c r="C6230" s="6" t="s">
        <v>64</v>
      </c>
      <c r="D6230" s="5">
        <v>45748</v>
      </c>
      <c r="E6230" s="6" t="s">
        <v>14</v>
      </c>
      <c r="F6230" s="7">
        <v>3586</v>
      </c>
      <c r="G6230" s="7">
        <v>91958.561070831012</v>
      </c>
      <c r="H6230" s="7">
        <v>329763400</v>
      </c>
      <c r="I6230" s="7">
        <v>98756400</v>
      </c>
      <c r="J6230" s="7">
        <v>0</v>
      </c>
      <c r="K6230">
        <f t="shared" si="97"/>
        <v>0</v>
      </c>
      <c r="L6230" s="8" t="str" cm="1">
        <f t="array" ref="L6230">_xlfn.IFS(
 AND(K6230&gt;=89,K6230&lt;=92),"3개월",
 AND(K6230&gt;=58,K6230&lt;=62),"2개월",
 AND(K6230&gt;=28,K6230&lt;=32),"1개월",
 AND(K6230=0),"당월",
 TRUE,"그외"
)</f>
        <v>당월</v>
      </c>
    </row>
    <row r="6231" spans="1:12" x14ac:dyDescent="0.3">
      <c r="A6231" s="5">
        <v>45748</v>
      </c>
      <c r="B6231" s="6" t="s">
        <v>60</v>
      </c>
      <c r="C6231" s="6" t="s">
        <v>64</v>
      </c>
      <c r="D6231" s="5">
        <v>45748</v>
      </c>
      <c r="E6231" s="6" t="s">
        <v>15</v>
      </c>
      <c r="F6231" s="7">
        <v>4201</v>
      </c>
      <c r="G6231" s="7">
        <v>142983.7664841704</v>
      </c>
      <c r="H6231" s="7">
        <v>600674803</v>
      </c>
      <c r="I6231" s="7">
        <v>129163935</v>
      </c>
      <c r="J6231" s="7">
        <v>0</v>
      </c>
      <c r="K6231">
        <f t="shared" si="97"/>
        <v>0</v>
      </c>
      <c r="L6231" s="8" t="str" cm="1">
        <f t="array" ref="L6231">_xlfn.IFS(
 AND(K6231&gt;=89,K6231&lt;=92),"3개월",
 AND(K6231&gt;=58,K6231&lt;=62),"2개월",
 AND(K6231&gt;=28,K6231&lt;=32),"1개월",
 AND(K6231=0),"당월",
 TRUE,"그외"
)</f>
        <v>당월</v>
      </c>
    </row>
    <row r="6232" spans="1:12" x14ac:dyDescent="0.3">
      <c r="A6232" s="5">
        <v>45748</v>
      </c>
      <c r="B6232" s="6" t="s">
        <v>60</v>
      </c>
      <c r="C6232" s="6" t="s">
        <v>65</v>
      </c>
      <c r="D6232" s="5">
        <v>45658</v>
      </c>
      <c r="E6232" s="6" t="s">
        <v>15</v>
      </c>
      <c r="F6232" s="7">
        <v>596</v>
      </c>
      <c r="G6232" s="7">
        <v>168113.32382550341</v>
      </c>
      <c r="H6232" s="7">
        <v>100195541</v>
      </c>
      <c r="I6232" s="7">
        <v>18637641</v>
      </c>
      <c r="J6232" s="7">
        <v>0</v>
      </c>
      <c r="K6232">
        <f t="shared" si="97"/>
        <v>90</v>
      </c>
      <c r="L6232" s="8" t="str" cm="1">
        <f t="array" ref="L6232">_xlfn.IFS(
 AND(K6232&gt;=89,K6232&lt;=92),"3개월",
 AND(K6232&gt;=58,K6232&lt;=62),"2개월",
 AND(K6232&gt;=28,K6232&lt;=32),"1개월",
 AND(K6232=0),"당월",
 TRUE,"그외"
)</f>
        <v>3개월</v>
      </c>
    </row>
    <row r="6233" spans="1:12" x14ac:dyDescent="0.3">
      <c r="A6233" s="5">
        <v>45748</v>
      </c>
      <c r="B6233" s="6" t="s">
        <v>60</v>
      </c>
      <c r="C6233" s="6" t="s">
        <v>65</v>
      </c>
      <c r="D6233" s="5">
        <v>45689</v>
      </c>
      <c r="E6233" s="6" t="s">
        <v>14</v>
      </c>
      <c r="F6233" s="7">
        <v>204</v>
      </c>
      <c r="G6233" s="7">
        <v>158384.31372549021</v>
      </c>
      <c r="H6233" s="7">
        <v>32310400</v>
      </c>
      <c r="I6233" s="7">
        <v>6548400</v>
      </c>
      <c r="J6233" s="7">
        <v>0</v>
      </c>
      <c r="K6233">
        <f t="shared" si="97"/>
        <v>59</v>
      </c>
      <c r="L6233" s="8" t="str" cm="1">
        <f t="array" ref="L6233">_xlfn.IFS(
 AND(K6233&gt;=89,K6233&lt;=92),"3개월",
 AND(K6233&gt;=58,K6233&lt;=62),"2개월",
 AND(K6233&gt;=28,K6233&lt;=32),"1개월",
 AND(K6233=0),"당월",
 TRUE,"그외"
)</f>
        <v>2개월</v>
      </c>
    </row>
    <row r="6234" spans="1:12" x14ac:dyDescent="0.3">
      <c r="A6234" s="5">
        <v>45748</v>
      </c>
      <c r="B6234" s="6" t="s">
        <v>60</v>
      </c>
      <c r="C6234" s="6" t="s">
        <v>65</v>
      </c>
      <c r="D6234" s="5">
        <v>45689</v>
      </c>
      <c r="E6234" s="6" t="s">
        <v>15</v>
      </c>
      <c r="F6234" s="7">
        <v>1326</v>
      </c>
      <c r="G6234" s="7">
        <v>168192.71945701359</v>
      </c>
      <c r="H6234" s="7">
        <v>223023546</v>
      </c>
      <c r="I6234" s="7">
        <v>42910838</v>
      </c>
      <c r="J6234" s="7">
        <v>0</v>
      </c>
      <c r="K6234">
        <f t="shared" si="97"/>
        <v>59</v>
      </c>
      <c r="L6234" s="8" t="str" cm="1">
        <f t="array" ref="L6234">_xlfn.IFS(
 AND(K6234&gt;=89,K6234&lt;=92),"3개월",
 AND(K6234&gt;=58,K6234&lt;=62),"2개월",
 AND(K6234&gt;=28,K6234&lt;=32),"1개월",
 AND(K6234=0),"당월",
 TRUE,"그외"
)</f>
        <v>2개월</v>
      </c>
    </row>
    <row r="6235" spans="1:12" x14ac:dyDescent="0.3">
      <c r="A6235" s="5">
        <v>45748</v>
      </c>
      <c r="B6235" s="6" t="s">
        <v>60</v>
      </c>
      <c r="C6235" s="6" t="s">
        <v>65</v>
      </c>
      <c r="D6235" s="5">
        <v>45717</v>
      </c>
      <c r="E6235" s="6" t="s">
        <v>14</v>
      </c>
      <c r="F6235" s="7">
        <v>731</v>
      </c>
      <c r="G6235" s="7">
        <v>150019.2886456908</v>
      </c>
      <c r="H6235" s="7">
        <v>109664100</v>
      </c>
      <c r="I6235" s="7">
        <v>27480100</v>
      </c>
      <c r="J6235" s="7">
        <v>0</v>
      </c>
      <c r="K6235">
        <f t="shared" si="97"/>
        <v>31</v>
      </c>
      <c r="L6235" s="8" t="str" cm="1">
        <f t="array" ref="L6235">_xlfn.IFS(
 AND(K6235&gt;=89,K6235&lt;=92),"3개월",
 AND(K6235&gt;=58,K6235&lt;=62),"2개월",
 AND(K6235&gt;=28,K6235&lt;=32),"1개월",
 AND(K6235=0),"당월",
 TRUE,"그외"
)</f>
        <v>1개월</v>
      </c>
    </row>
    <row r="6236" spans="1:12" x14ac:dyDescent="0.3">
      <c r="A6236" s="5">
        <v>45748</v>
      </c>
      <c r="B6236" s="6" t="s">
        <v>60</v>
      </c>
      <c r="C6236" s="6" t="s">
        <v>65</v>
      </c>
      <c r="D6236" s="5">
        <v>45717</v>
      </c>
      <c r="E6236" s="6" t="s">
        <v>15</v>
      </c>
      <c r="F6236" s="7">
        <v>1710</v>
      </c>
      <c r="G6236" s="7">
        <v>153432.35847953221</v>
      </c>
      <c r="H6236" s="7">
        <v>262369333</v>
      </c>
      <c r="I6236" s="7">
        <v>64455160</v>
      </c>
      <c r="J6236" s="7">
        <v>0</v>
      </c>
      <c r="K6236">
        <f t="shared" si="97"/>
        <v>31</v>
      </c>
      <c r="L6236" s="8" t="str" cm="1">
        <f t="array" ref="L6236">_xlfn.IFS(
 AND(K6236&gt;=89,K6236&lt;=92),"3개월",
 AND(K6236&gt;=58,K6236&lt;=62),"2개월",
 AND(K6236&gt;=28,K6236&lt;=32),"1개월",
 AND(K6236=0),"당월",
 TRUE,"그외"
)</f>
        <v>1개월</v>
      </c>
    </row>
    <row r="6237" spans="1:12" x14ac:dyDescent="0.3">
      <c r="A6237" s="5">
        <v>45748</v>
      </c>
      <c r="B6237" s="6" t="s">
        <v>60</v>
      </c>
      <c r="C6237" s="6" t="s">
        <v>65</v>
      </c>
      <c r="D6237" s="5">
        <v>45748</v>
      </c>
      <c r="E6237" s="6" t="s">
        <v>14</v>
      </c>
      <c r="F6237" s="7">
        <v>1018</v>
      </c>
      <c r="G6237" s="7">
        <v>110120.0392927308</v>
      </c>
      <c r="H6237" s="7">
        <v>112102200</v>
      </c>
      <c r="I6237" s="7">
        <v>28015200</v>
      </c>
      <c r="J6237" s="7">
        <v>0</v>
      </c>
      <c r="K6237">
        <f t="shared" si="97"/>
        <v>0</v>
      </c>
      <c r="L6237" s="8" t="str" cm="1">
        <f t="array" ref="L6237">_xlfn.IFS(
 AND(K6237&gt;=89,K6237&lt;=92),"3개월",
 AND(K6237&gt;=58,K6237&lt;=62),"2개월",
 AND(K6237&gt;=28,K6237&lt;=32),"1개월",
 AND(K6237=0),"당월",
 TRUE,"그외"
)</f>
        <v>당월</v>
      </c>
    </row>
    <row r="6238" spans="1:12" x14ac:dyDescent="0.3">
      <c r="A6238" s="5">
        <v>45748</v>
      </c>
      <c r="B6238" s="6" t="s">
        <v>60</v>
      </c>
      <c r="C6238" s="6" t="s">
        <v>65</v>
      </c>
      <c r="D6238" s="5">
        <v>45748</v>
      </c>
      <c r="E6238" s="6" t="s">
        <v>15</v>
      </c>
      <c r="F6238" s="7">
        <v>1108</v>
      </c>
      <c r="G6238" s="7">
        <v>139807.6335740072</v>
      </c>
      <c r="H6238" s="7">
        <v>154906858</v>
      </c>
      <c r="I6238" s="7">
        <v>31959988</v>
      </c>
      <c r="J6238" s="7">
        <v>0</v>
      </c>
      <c r="K6238">
        <f t="shared" si="97"/>
        <v>0</v>
      </c>
      <c r="L6238" s="8" t="str" cm="1">
        <f t="array" ref="L6238">_xlfn.IFS(
 AND(K6238&gt;=89,K6238&lt;=92),"3개월",
 AND(K6238&gt;=58,K6238&lt;=62),"2개월",
 AND(K6238&gt;=28,K6238&lt;=32),"1개월",
 AND(K6238=0),"당월",
 TRUE,"그외"
)</f>
        <v>당월</v>
      </c>
    </row>
    <row r="6239" spans="1:12" x14ac:dyDescent="0.3">
      <c r="A6239" s="5">
        <v>45748</v>
      </c>
      <c r="B6239" s="6" t="s">
        <v>60</v>
      </c>
      <c r="C6239" s="6" t="s">
        <v>66</v>
      </c>
      <c r="D6239" s="5">
        <v>45717</v>
      </c>
      <c r="E6239" s="6" t="s">
        <v>14</v>
      </c>
      <c r="F6239" s="7">
        <v>1676</v>
      </c>
      <c r="G6239" s="7">
        <v>164822.31503579949</v>
      </c>
      <c r="H6239" s="7">
        <v>276242200</v>
      </c>
      <c r="I6239" s="7">
        <v>60597310</v>
      </c>
      <c r="J6239" s="7">
        <v>0</v>
      </c>
      <c r="K6239">
        <f t="shared" si="97"/>
        <v>31</v>
      </c>
      <c r="L6239" s="8" t="str" cm="1">
        <f t="array" ref="L6239">_xlfn.IFS(
 AND(K6239&gt;=89,K6239&lt;=92),"3개월",
 AND(K6239&gt;=58,K6239&lt;=62),"2개월",
 AND(K6239&gt;=28,K6239&lt;=32),"1개월",
 AND(K6239=0),"당월",
 TRUE,"그외"
)</f>
        <v>1개월</v>
      </c>
    </row>
    <row r="6240" spans="1:12" x14ac:dyDescent="0.3">
      <c r="A6240" s="5">
        <v>45748</v>
      </c>
      <c r="B6240" s="6" t="s">
        <v>60</v>
      </c>
      <c r="C6240" s="6" t="s">
        <v>66</v>
      </c>
      <c r="D6240" s="5">
        <v>45717</v>
      </c>
      <c r="E6240" s="6" t="s">
        <v>15</v>
      </c>
      <c r="F6240" s="7">
        <v>2834</v>
      </c>
      <c r="G6240" s="7">
        <v>167261.5582215949</v>
      </c>
      <c r="H6240" s="7">
        <v>474019256</v>
      </c>
      <c r="I6240" s="7">
        <v>99250447</v>
      </c>
      <c r="J6240" s="7">
        <v>0</v>
      </c>
      <c r="K6240">
        <f t="shared" si="97"/>
        <v>31</v>
      </c>
      <c r="L6240" s="8" t="str" cm="1">
        <f t="array" ref="L6240">_xlfn.IFS(
 AND(K6240&gt;=89,K6240&lt;=92),"3개월",
 AND(K6240&gt;=58,K6240&lt;=62),"2개월",
 AND(K6240&gt;=28,K6240&lt;=32),"1개월",
 AND(K6240=0),"당월",
 TRUE,"그외"
)</f>
        <v>1개월</v>
      </c>
    </row>
    <row r="6241" spans="1:12" x14ac:dyDescent="0.3">
      <c r="A6241" s="5">
        <v>45748</v>
      </c>
      <c r="B6241" s="6" t="s">
        <v>60</v>
      </c>
      <c r="C6241" s="6" t="s">
        <v>66</v>
      </c>
      <c r="D6241" s="5">
        <v>45748</v>
      </c>
      <c r="E6241" s="6" t="s">
        <v>14</v>
      </c>
      <c r="F6241" s="7">
        <v>2030</v>
      </c>
      <c r="G6241" s="7">
        <v>145251.4187192118</v>
      </c>
      <c r="H6241" s="7">
        <v>294860380</v>
      </c>
      <c r="I6241" s="7">
        <v>57390295</v>
      </c>
      <c r="J6241" s="7">
        <v>0</v>
      </c>
      <c r="K6241">
        <f t="shared" si="97"/>
        <v>0</v>
      </c>
      <c r="L6241" s="8" t="str" cm="1">
        <f t="array" ref="L6241">_xlfn.IFS(
 AND(K6241&gt;=89,K6241&lt;=92),"3개월",
 AND(K6241&gt;=58,K6241&lt;=62),"2개월",
 AND(K6241&gt;=28,K6241&lt;=32),"1개월",
 AND(K6241=0),"당월",
 TRUE,"그외"
)</f>
        <v>당월</v>
      </c>
    </row>
    <row r="6242" spans="1:12" x14ac:dyDescent="0.3">
      <c r="A6242" s="5">
        <v>45748</v>
      </c>
      <c r="B6242" s="6" t="s">
        <v>60</v>
      </c>
      <c r="C6242" s="6" t="s">
        <v>66</v>
      </c>
      <c r="D6242" s="5">
        <v>45748</v>
      </c>
      <c r="E6242" s="6" t="s">
        <v>15</v>
      </c>
      <c r="F6242" s="7">
        <v>1808</v>
      </c>
      <c r="G6242" s="7">
        <v>129896.814159292</v>
      </c>
      <c r="H6242" s="7">
        <v>234853440</v>
      </c>
      <c r="I6242" s="7">
        <v>54435417</v>
      </c>
      <c r="J6242" s="7">
        <v>0</v>
      </c>
      <c r="K6242">
        <f t="shared" si="97"/>
        <v>0</v>
      </c>
      <c r="L6242" s="8" t="str" cm="1">
        <f t="array" ref="L6242">_xlfn.IFS(
 AND(K6242&gt;=89,K6242&lt;=92),"3개월",
 AND(K6242&gt;=58,K6242&lt;=62),"2개월",
 AND(K6242&gt;=28,K6242&lt;=32),"1개월",
 AND(K6242=0),"당월",
 TRUE,"그외"
)</f>
        <v>당월</v>
      </c>
    </row>
    <row r="6243" spans="1:12" x14ac:dyDescent="0.3">
      <c r="A6243" s="5">
        <v>45748</v>
      </c>
      <c r="B6243" s="6" t="s">
        <v>60</v>
      </c>
      <c r="C6243" s="6" t="s">
        <v>67</v>
      </c>
      <c r="D6243" s="5">
        <v>45658</v>
      </c>
      <c r="E6243" s="6" t="s">
        <v>14</v>
      </c>
      <c r="F6243" s="7">
        <v>10</v>
      </c>
      <c r="G6243" s="7">
        <v>141000</v>
      </c>
      <c r="H6243" s="7">
        <v>1410000</v>
      </c>
      <c r="I6243" s="7">
        <v>310000</v>
      </c>
      <c r="J6243" s="7">
        <v>0</v>
      </c>
      <c r="K6243">
        <f t="shared" si="97"/>
        <v>90</v>
      </c>
      <c r="L6243" s="8" t="str" cm="1">
        <f t="array" ref="L6243">_xlfn.IFS(
 AND(K6243&gt;=89,K6243&lt;=92),"3개월",
 AND(K6243&gt;=58,K6243&lt;=62),"2개월",
 AND(K6243&gt;=28,K6243&lt;=32),"1개월",
 AND(K6243=0),"당월",
 TRUE,"그외"
)</f>
        <v>3개월</v>
      </c>
    </row>
    <row r="6244" spans="1:12" x14ac:dyDescent="0.3">
      <c r="A6244" s="5">
        <v>45748</v>
      </c>
      <c r="B6244" s="6" t="s">
        <v>60</v>
      </c>
      <c r="C6244" s="6" t="s">
        <v>67</v>
      </c>
      <c r="D6244" s="5">
        <v>45658</v>
      </c>
      <c r="E6244" s="6" t="s">
        <v>15</v>
      </c>
      <c r="F6244" s="7">
        <v>922</v>
      </c>
      <c r="G6244" s="7">
        <v>175513.6106290672</v>
      </c>
      <c r="H6244" s="7">
        <v>161823549</v>
      </c>
      <c r="I6244" s="7">
        <v>28716217</v>
      </c>
      <c r="J6244" s="7">
        <v>0</v>
      </c>
      <c r="K6244">
        <f t="shared" si="97"/>
        <v>90</v>
      </c>
      <c r="L6244" s="8" t="str" cm="1">
        <f t="array" ref="L6244">_xlfn.IFS(
 AND(K6244&gt;=89,K6244&lt;=92),"3개월",
 AND(K6244&gt;=58,K6244&lt;=62),"2개월",
 AND(K6244&gt;=28,K6244&lt;=32),"1개월",
 AND(K6244=0),"당월",
 TRUE,"그외"
)</f>
        <v>3개월</v>
      </c>
    </row>
    <row r="6245" spans="1:12" x14ac:dyDescent="0.3">
      <c r="A6245" s="5">
        <v>45748</v>
      </c>
      <c r="B6245" s="6" t="s">
        <v>60</v>
      </c>
      <c r="C6245" s="6" t="s">
        <v>67</v>
      </c>
      <c r="D6245" s="5">
        <v>45689</v>
      </c>
      <c r="E6245" s="6" t="s">
        <v>14</v>
      </c>
      <c r="F6245" s="7">
        <v>981</v>
      </c>
      <c r="G6245" s="7">
        <v>146631.29459734971</v>
      </c>
      <c r="H6245" s="7">
        <v>143845300</v>
      </c>
      <c r="I6245" s="7">
        <v>31481300</v>
      </c>
      <c r="J6245" s="7">
        <v>0</v>
      </c>
      <c r="K6245">
        <f t="shared" si="97"/>
        <v>59</v>
      </c>
      <c r="L6245" s="8" t="str" cm="1">
        <f t="array" ref="L6245">_xlfn.IFS(
 AND(K6245&gt;=89,K6245&lt;=92),"3개월",
 AND(K6245&gt;=58,K6245&lt;=62),"2개월",
 AND(K6245&gt;=28,K6245&lt;=32),"1개월",
 AND(K6245=0),"당월",
 TRUE,"그외"
)</f>
        <v>2개월</v>
      </c>
    </row>
    <row r="6246" spans="1:12" x14ac:dyDescent="0.3">
      <c r="A6246" s="5">
        <v>45748</v>
      </c>
      <c r="B6246" s="6" t="s">
        <v>60</v>
      </c>
      <c r="C6246" s="6" t="s">
        <v>67</v>
      </c>
      <c r="D6246" s="5">
        <v>45689</v>
      </c>
      <c r="E6246" s="6" t="s">
        <v>15</v>
      </c>
      <c r="F6246" s="7">
        <v>1733</v>
      </c>
      <c r="G6246" s="7">
        <v>159563.82746682051</v>
      </c>
      <c r="H6246" s="7">
        <v>276524113</v>
      </c>
      <c r="I6246" s="7">
        <v>55447412</v>
      </c>
      <c r="J6246" s="7">
        <v>0</v>
      </c>
      <c r="K6246">
        <f t="shared" si="97"/>
        <v>59</v>
      </c>
      <c r="L6246" s="8" t="str" cm="1">
        <f t="array" ref="L6246">_xlfn.IFS(
 AND(K6246&gt;=89,K6246&lt;=92),"3개월",
 AND(K6246&gt;=58,K6246&lt;=62),"2개월",
 AND(K6246&gt;=28,K6246&lt;=32),"1개월",
 AND(K6246=0),"당월",
 TRUE,"그외"
)</f>
        <v>2개월</v>
      </c>
    </row>
    <row r="6247" spans="1:12" x14ac:dyDescent="0.3">
      <c r="A6247" s="5">
        <v>45748</v>
      </c>
      <c r="B6247" s="6" t="s">
        <v>60</v>
      </c>
      <c r="C6247" s="6" t="s">
        <v>67</v>
      </c>
      <c r="D6247" s="5">
        <v>45717</v>
      </c>
      <c r="E6247" s="6" t="s">
        <v>14</v>
      </c>
      <c r="F6247" s="7">
        <v>2469</v>
      </c>
      <c r="G6247" s="7">
        <v>140708.34345889019</v>
      </c>
      <c r="H6247" s="7">
        <v>347408900</v>
      </c>
      <c r="I6247" s="7">
        <v>92795900</v>
      </c>
      <c r="J6247" s="7">
        <v>0</v>
      </c>
      <c r="K6247">
        <f t="shared" si="97"/>
        <v>31</v>
      </c>
      <c r="L6247" s="8" t="str" cm="1">
        <f t="array" ref="L6247">_xlfn.IFS(
 AND(K6247&gt;=89,K6247&lt;=92),"3개월",
 AND(K6247&gt;=58,K6247&lt;=62),"2개월",
 AND(K6247&gt;=28,K6247&lt;=32),"1개월",
 AND(K6247=0),"당월",
 TRUE,"그외"
)</f>
        <v>1개월</v>
      </c>
    </row>
    <row r="6248" spans="1:12" x14ac:dyDescent="0.3">
      <c r="A6248" s="5">
        <v>45748</v>
      </c>
      <c r="B6248" s="6" t="s">
        <v>60</v>
      </c>
      <c r="C6248" s="6" t="s">
        <v>67</v>
      </c>
      <c r="D6248" s="5">
        <v>45717</v>
      </c>
      <c r="E6248" s="6" t="s">
        <v>15</v>
      </c>
      <c r="F6248" s="7">
        <v>1571</v>
      </c>
      <c r="G6248" s="7">
        <v>150530.06365372369</v>
      </c>
      <c r="H6248" s="7">
        <v>236482730</v>
      </c>
      <c r="I6248" s="7">
        <v>58246662</v>
      </c>
      <c r="J6248" s="7">
        <v>0</v>
      </c>
      <c r="K6248">
        <f t="shared" si="97"/>
        <v>31</v>
      </c>
      <c r="L6248" s="8" t="str" cm="1">
        <f t="array" ref="L6248">_xlfn.IFS(
 AND(K6248&gt;=89,K6248&lt;=92),"3개월",
 AND(K6248&gt;=58,K6248&lt;=62),"2개월",
 AND(K6248&gt;=28,K6248&lt;=32),"1개월",
 AND(K6248=0),"당월",
 TRUE,"그외"
)</f>
        <v>1개월</v>
      </c>
    </row>
    <row r="6249" spans="1:12" x14ac:dyDescent="0.3">
      <c r="A6249" s="5">
        <v>45748</v>
      </c>
      <c r="B6249" s="6" t="s">
        <v>60</v>
      </c>
      <c r="C6249" s="6" t="s">
        <v>67</v>
      </c>
      <c r="D6249" s="5">
        <v>45748</v>
      </c>
      <c r="E6249" s="6" t="s">
        <v>14</v>
      </c>
      <c r="F6249" s="7">
        <v>1256</v>
      </c>
      <c r="G6249" s="7">
        <v>97674.920382165612</v>
      </c>
      <c r="H6249" s="7">
        <v>122679700</v>
      </c>
      <c r="I6249" s="7">
        <v>34801700</v>
      </c>
      <c r="J6249" s="7">
        <v>0</v>
      </c>
      <c r="K6249">
        <f t="shared" si="97"/>
        <v>0</v>
      </c>
      <c r="L6249" s="8" t="str" cm="1">
        <f t="array" ref="L6249">_xlfn.IFS(
 AND(K6249&gt;=89,K6249&lt;=92),"3개월",
 AND(K6249&gt;=58,K6249&lt;=62),"2개월",
 AND(K6249&gt;=28,K6249&lt;=32),"1개월",
 AND(K6249=0),"당월",
 TRUE,"그외"
)</f>
        <v>당월</v>
      </c>
    </row>
    <row r="6250" spans="1:12" x14ac:dyDescent="0.3">
      <c r="A6250" s="5">
        <v>45748</v>
      </c>
      <c r="B6250" s="6" t="s">
        <v>60</v>
      </c>
      <c r="C6250" s="6" t="s">
        <v>67</v>
      </c>
      <c r="D6250" s="5">
        <v>45748</v>
      </c>
      <c r="E6250" s="6" t="s">
        <v>15</v>
      </c>
      <c r="F6250" s="7">
        <v>1252</v>
      </c>
      <c r="G6250" s="7">
        <v>142286.9345047923</v>
      </c>
      <c r="H6250" s="7">
        <v>178143242</v>
      </c>
      <c r="I6250" s="7">
        <v>37033200</v>
      </c>
      <c r="J6250" s="7">
        <v>0</v>
      </c>
      <c r="K6250">
        <f t="shared" si="97"/>
        <v>0</v>
      </c>
      <c r="L6250" s="8" t="str" cm="1">
        <f t="array" ref="L6250">_xlfn.IFS(
 AND(K6250&gt;=89,K6250&lt;=92),"3개월",
 AND(K6250&gt;=58,K6250&lt;=62),"2개월",
 AND(K6250&gt;=28,K6250&lt;=32),"1개월",
 AND(K6250=0),"당월",
 TRUE,"그외"
)</f>
        <v>당월</v>
      </c>
    </row>
    <row r="6251" spans="1:12" x14ac:dyDescent="0.3">
      <c r="A6251" s="5">
        <v>45748</v>
      </c>
      <c r="B6251" s="6" t="s">
        <v>60</v>
      </c>
      <c r="C6251" s="6" t="s">
        <v>67</v>
      </c>
      <c r="D6251" s="5">
        <v>45778</v>
      </c>
      <c r="E6251" s="6" t="s">
        <v>15</v>
      </c>
      <c r="F6251" s="7">
        <v>3</v>
      </c>
      <c r="G6251" s="7">
        <v>186498</v>
      </c>
      <c r="H6251" s="7">
        <v>559494</v>
      </c>
      <c r="I6251" s="7">
        <v>0</v>
      </c>
      <c r="J6251" s="7">
        <v>0</v>
      </c>
      <c r="K6251">
        <f t="shared" si="97"/>
        <v>-30</v>
      </c>
      <c r="L6251" s="8" t="str" cm="1">
        <f t="array" ref="L6251">_xlfn.IFS(
 AND(K6251&gt;=89,K6251&lt;=92),"3개월",
 AND(K6251&gt;=58,K6251&lt;=62),"2개월",
 AND(K6251&gt;=28,K6251&lt;=32),"1개월",
 AND(K6251=0),"당월",
 TRUE,"그외"
)</f>
        <v>그외</v>
      </c>
    </row>
    <row r="6252" spans="1:12" x14ac:dyDescent="0.3">
      <c r="A6252" s="5">
        <v>45748</v>
      </c>
      <c r="B6252" s="6" t="s">
        <v>60</v>
      </c>
      <c r="C6252" s="6" t="s">
        <v>68</v>
      </c>
      <c r="D6252" s="5">
        <v>45717</v>
      </c>
      <c r="E6252" s="6" t="s">
        <v>14</v>
      </c>
      <c r="F6252" s="7">
        <v>1446</v>
      </c>
      <c r="G6252" s="7">
        <v>160947.64868603041</v>
      </c>
      <c r="H6252" s="7">
        <v>232730300</v>
      </c>
      <c r="I6252" s="7">
        <v>52199300</v>
      </c>
      <c r="J6252" s="7">
        <v>0</v>
      </c>
      <c r="K6252">
        <f t="shared" si="97"/>
        <v>31</v>
      </c>
      <c r="L6252" s="8" t="str" cm="1">
        <f t="array" ref="L6252">_xlfn.IFS(
 AND(K6252&gt;=89,K6252&lt;=92),"3개월",
 AND(K6252&gt;=58,K6252&lt;=62),"2개월",
 AND(K6252&gt;=28,K6252&lt;=32),"1개월",
 AND(K6252=0),"당월",
 TRUE,"그외"
)</f>
        <v>1개월</v>
      </c>
    </row>
    <row r="6253" spans="1:12" x14ac:dyDescent="0.3">
      <c r="A6253" s="5">
        <v>45748</v>
      </c>
      <c r="B6253" s="6" t="s">
        <v>60</v>
      </c>
      <c r="C6253" s="6" t="s">
        <v>68</v>
      </c>
      <c r="D6253" s="5">
        <v>45717</v>
      </c>
      <c r="E6253" s="6" t="s">
        <v>15</v>
      </c>
      <c r="F6253" s="7">
        <v>4874</v>
      </c>
      <c r="G6253" s="7">
        <v>171374.8941321297</v>
      </c>
      <c r="H6253" s="7">
        <v>835281234</v>
      </c>
      <c r="I6253" s="7">
        <v>166494589</v>
      </c>
      <c r="J6253" s="7">
        <v>0</v>
      </c>
      <c r="K6253">
        <f t="shared" si="97"/>
        <v>31</v>
      </c>
      <c r="L6253" s="8" t="str" cm="1">
        <f t="array" ref="L6253">_xlfn.IFS(
 AND(K6253&gt;=89,K6253&lt;=92),"3개월",
 AND(K6253&gt;=58,K6253&lt;=62),"2개월",
 AND(K6253&gt;=28,K6253&lt;=32),"1개월",
 AND(K6253=0),"당월",
 TRUE,"그외"
)</f>
        <v>1개월</v>
      </c>
    </row>
    <row r="6254" spans="1:12" x14ac:dyDescent="0.3">
      <c r="A6254" s="5">
        <v>45748</v>
      </c>
      <c r="B6254" s="6" t="s">
        <v>60</v>
      </c>
      <c r="C6254" s="6" t="s">
        <v>68</v>
      </c>
      <c r="D6254" s="5">
        <v>45748</v>
      </c>
      <c r="E6254" s="6" t="s">
        <v>14</v>
      </c>
      <c r="F6254" s="7">
        <v>503</v>
      </c>
      <c r="G6254" s="7">
        <v>132415.50695825051</v>
      </c>
      <c r="H6254" s="7">
        <v>66605000</v>
      </c>
      <c r="I6254" s="7">
        <v>13872000</v>
      </c>
      <c r="J6254" s="7">
        <v>0</v>
      </c>
      <c r="K6254">
        <f t="shared" si="97"/>
        <v>0</v>
      </c>
      <c r="L6254" s="8" t="str" cm="1">
        <f t="array" ref="L6254">_xlfn.IFS(
 AND(K6254&gt;=89,K6254&lt;=92),"3개월",
 AND(K6254&gt;=58,K6254&lt;=62),"2개월",
 AND(K6254&gt;=28,K6254&lt;=32),"1개월",
 AND(K6254=0),"당월",
 TRUE,"그외"
)</f>
        <v>당월</v>
      </c>
    </row>
    <row r="6255" spans="1:12" x14ac:dyDescent="0.3">
      <c r="A6255" s="5">
        <v>45748</v>
      </c>
      <c r="B6255" s="6" t="s">
        <v>60</v>
      </c>
      <c r="C6255" s="6" t="s">
        <v>68</v>
      </c>
      <c r="D6255" s="5">
        <v>45748</v>
      </c>
      <c r="E6255" s="6" t="s">
        <v>15</v>
      </c>
      <c r="F6255" s="7">
        <v>1452</v>
      </c>
      <c r="G6255" s="7">
        <v>145328.33884297521</v>
      </c>
      <c r="H6255" s="7">
        <v>211016748</v>
      </c>
      <c r="I6255" s="7">
        <v>42157696</v>
      </c>
      <c r="J6255" s="7">
        <v>0</v>
      </c>
      <c r="K6255">
        <f t="shared" si="97"/>
        <v>0</v>
      </c>
      <c r="L6255" s="8" t="str" cm="1">
        <f t="array" ref="L6255">_xlfn.IFS(
 AND(K6255&gt;=89,K6255&lt;=92),"3개월",
 AND(K6255&gt;=58,K6255&lt;=62),"2개월",
 AND(K6255&gt;=28,K6255&lt;=32),"1개월",
 AND(K6255=0),"당월",
 TRUE,"그외"
)</f>
        <v>당월</v>
      </c>
    </row>
    <row r="6256" spans="1:12" x14ac:dyDescent="0.3">
      <c r="A6256" s="5">
        <v>45748</v>
      </c>
      <c r="B6256" s="6" t="s">
        <v>60</v>
      </c>
      <c r="C6256" s="6" t="s">
        <v>69</v>
      </c>
      <c r="D6256" s="5">
        <v>45717</v>
      </c>
      <c r="E6256" s="6" t="s">
        <v>14</v>
      </c>
      <c r="F6256" s="7">
        <v>996</v>
      </c>
      <c r="G6256" s="7">
        <v>143403.21285140561</v>
      </c>
      <c r="H6256" s="7">
        <v>142829600</v>
      </c>
      <c r="I6256" s="7">
        <v>33973600</v>
      </c>
      <c r="J6256" s="7">
        <v>0</v>
      </c>
      <c r="K6256">
        <f t="shared" si="97"/>
        <v>31</v>
      </c>
      <c r="L6256" s="8" t="str" cm="1">
        <f t="array" ref="L6256">_xlfn.IFS(
 AND(K6256&gt;=89,K6256&lt;=92),"3개월",
 AND(K6256&gt;=58,K6256&lt;=62),"2개월",
 AND(K6256&gt;=28,K6256&lt;=32),"1개월",
 AND(K6256=0),"당월",
 TRUE,"그외"
)</f>
        <v>1개월</v>
      </c>
    </row>
    <row r="6257" spans="1:12" x14ac:dyDescent="0.3">
      <c r="A6257" s="5">
        <v>45748</v>
      </c>
      <c r="B6257" s="6" t="s">
        <v>60</v>
      </c>
      <c r="C6257" s="6" t="s">
        <v>69</v>
      </c>
      <c r="D6257" s="5">
        <v>45717</v>
      </c>
      <c r="E6257" s="6" t="s">
        <v>15</v>
      </c>
      <c r="F6257" s="7">
        <v>1848</v>
      </c>
      <c r="G6257" s="7">
        <v>157167.67153679649</v>
      </c>
      <c r="H6257" s="7">
        <v>290445857</v>
      </c>
      <c r="I6257" s="7">
        <v>63714532</v>
      </c>
      <c r="J6257" s="7">
        <v>0</v>
      </c>
      <c r="K6257">
        <f t="shared" si="97"/>
        <v>31</v>
      </c>
      <c r="L6257" s="8" t="str" cm="1">
        <f t="array" ref="L6257">_xlfn.IFS(
 AND(K6257&gt;=89,K6257&lt;=92),"3개월",
 AND(K6257&gt;=58,K6257&lt;=62),"2개월",
 AND(K6257&gt;=28,K6257&lt;=32),"1개월",
 AND(K6257=0),"당월",
 TRUE,"그외"
)</f>
        <v>1개월</v>
      </c>
    </row>
    <row r="6258" spans="1:12" x14ac:dyDescent="0.3">
      <c r="A6258" s="5">
        <v>45748</v>
      </c>
      <c r="B6258" s="6" t="s">
        <v>60</v>
      </c>
      <c r="C6258" s="6" t="s">
        <v>69</v>
      </c>
      <c r="D6258" s="5">
        <v>45748</v>
      </c>
      <c r="E6258" s="6" t="s">
        <v>14</v>
      </c>
      <c r="F6258" s="7">
        <v>1131</v>
      </c>
      <c r="G6258" s="7">
        <v>118136.4279398762</v>
      </c>
      <c r="H6258" s="7">
        <v>133612300</v>
      </c>
      <c r="I6258" s="7">
        <v>31492300</v>
      </c>
      <c r="J6258" s="7">
        <v>0</v>
      </c>
      <c r="K6258">
        <f t="shared" si="97"/>
        <v>0</v>
      </c>
      <c r="L6258" s="8" t="str" cm="1">
        <f t="array" ref="L6258">_xlfn.IFS(
 AND(K6258&gt;=89,K6258&lt;=92),"3개월",
 AND(K6258&gt;=58,K6258&lt;=62),"2개월",
 AND(K6258&gt;=28,K6258&lt;=32),"1개월",
 AND(K6258=0),"당월",
 TRUE,"그외"
)</f>
        <v>당월</v>
      </c>
    </row>
    <row r="6259" spans="1:12" x14ac:dyDescent="0.3">
      <c r="A6259" s="5">
        <v>45748</v>
      </c>
      <c r="B6259" s="6" t="s">
        <v>60</v>
      </c>
      <c r="C6259" s="6" t="s">
        <v>69</v>
      </c>
      <c r="D6259" s="5">
        <v>45748</v>
      </c>
      <c r="E6259" s="6" t="s">
        <v>15</v>
      </c>
      <c r="F6259" s="7">
        <v>672</v>
      </c>
      <c r="G6259" s="7">
        <v>127391.68898809519</v>
      </c>
      <c r="H6259" s="7">
        <v>85607215</v>
      </c>
      <c r="I6259" s="7">
        <v>19906452</v>
      </c>
      <c r="J6259" s="7">
        <v>0</v>
      </c>
      <c r="K6259">
        <f t="shared" si="97"/>
        <v>0</v>
      </c>
      <c r="L6259" s="8" t="str" cm="1">
        <f t="array" ref="L6259">_xlfn.IFS(
 AND(K6259&gt;=89,K6259&lt;=92),"3개월",
 AND(K6259&gt;=58,K6259&lt;=62),"2개월",
 AND(K6259&gt;=28,K6259&lt;=32),"1개월",
 AND(K6259=0),"당월",
 TRUE,"그외"
)</f>
        <v>당월</v>
      </c>
    </row>
    <row r="6260" spans="1:12" x14ac:dyDescent="0.3">
      <c r="A6260" s="5">
        <v>45748</v>
      </c>
      <c r="B6260" s="6" t="s">
        <v>60</v>
      </c>
      <c r="C6260" s="6" t="s">
        <v>70</v>
      </c>
      <c r="D6260" s="5">
        <v>45717</v>
      </c>
      <c r="E6260" s="6" t="s">
        <v>14</v>
      </c>
      <c r="F6260" s="7">
        <v>2227</v>
      </c>
      <c r="G6260" s="7">
        <v>144823.17018410421</v>
      </c>
      <c r="H6260" s="7">
        <v>322521200</v>
      </c>
      <c r="I6260" s="7">
        <v>77476200</v>
      </c>
      <c r="J6260" s="7">
        <v>0</v>
      </c>
      <c r="K6260">
        <f t="shared" si="97"/>
        <v>31</v>
      </c>
      <c r="L6260" s="8" t="str" cm="1">
        <f t="array" ref="L6260">_xlfn.IFS(
 AND(K6260&gt;=89,K6260&lt;=92),"3개월",
 AND(K6260&gt;=58,K6260&lt;=62),"2개월",
 AND(K6260&gt;=28,K6260&lt;=32),"1개월",
 AND(K6260=0),"당월",
 TRUE,"그외"
)</f>
        <v>1개월</v>
      </c>
    </row>
    <row r="6261" spans="1:12" x14ac:dyDescent="0.3">
      <c r="A6261" s="5">
        <v>45748</v>
      </c>
      <c r="B6261" s="6" t="s">
        <v>60</v>
      </c>
      <c r="C6261" s="6" t="s">
        <v>70</v>
      </c>
      <c r="D6261" s="5">
        <v>45717</v>
      </c>
      <c r="E6261" s="6" t="s">
        <v>15</v>
      </c>
      <c r="F6261" s="7">
        <v>3131</v>
      </c>
      <c r="G6261" s="7">
        <v>136264.31172149471</v>
      </c>
      <c r="H6261" s="7">
        <v>426643560</v>
      </c>
      <c r="I6261" s="7">
        <v>107952258</v>
      </c>
      <c r="J6261" s="7">
        <v>0</v>
      </c>
      <c r="K6261">
        <f t="shared" si="97"/>
        <v>31</v>
      </c>
      <c r="L6261" s="8" t="str" cm="1">
        <f t="array" ref="L6261">_xlfn.IFS(
 AND(K6261&gt;=89,K6261&lt;=92),"3개월",
 AND(K6261&gt;=58,K6261&lt;=62),"2개월",
 AND(K6261&gt;=28,K6261&lt;=32),"1개월",
 AND(K6261=0),"당월",
 TRUE,"그외"
)</f>
        <v>1개월</v>
      </c>
    </row>
    <row r="6262" spans="1:12" x14ac:dyDescent="0.3">
      <c r="A6262" s="5">
        <v>45748</v>
      </c>
      <c r="B6262" s="6" t="s">
        <v>60</v>
      </c>
      <c r="C6262" s="6" t="s">
        <v>70</v>
      </c>
      <c r="D6262" s="5">
        <v>45748</v>
      </c>
      <c r="E6262" s="6" t="s">
        <v>14</v>
      </c>
      <c r="F6262" s="7">
        <v>1112</v>
      </c>
      <c r="G6262" s="7">
        <v>102104.4964028777</v>
      </c>
      <c r="H6262" s="7">
        <v>113540200</v>
      </c>
      <c r="I6262" s="7">
        <v>31216200</v>
      </c>
      <c r="J6262" s="7">
        <v>0</v>
      </c>
      <c r="K6262">
        <f t="shared" si="97"/>
        <v>0</v>
      </c>
      <c r="L6262" s="8" t="str" cm="1">
        <f t="array" ref="L6262">_xlfn.IFS(
 AND(K6262&gt;=89,K6262&lt;=92),"3개월",
 AND(K6262&gt;=58,K6262&lt;=62),"2개월",
 AND(K6262&gt;=28,K6262&lt;=32),"1개월",
 AND(K6262=0),"당월",
 TRUE,"그외"
)</f>
        <v>당월</v>
      </c>
    </row>
    <row r="6263" spans="1:12" x14ac:dyDescent="0.3">
      <c r="A6263" s="5">
        <v>45748</v>
      </c>
      <c r="B6263" s="6" t="s">
        <v>60</v>
      </c>
      <c r="C6263" s="6" t="s">
        <v>70</v>
      </c>
      <c r="D6263" s="5">
        <v>45748</v>
      </c>
      <c r="E6263" s="6" t="s">
        <v>15</v>
      </c>
      <c r="F6263" s="7">
        <v>1410</v>
      </c>
      <c r="G6263" s="7">
        <v>105841.1531914894</v>
      </c>
      <c r="H6263" s="7">
        <v>149236026</v>
      </c>
      <c r="I6263" s="7">
        <v>39450206</v>
      </c>
      <c r="J6263" s="7">
        <v>0</v>
      </c>
      <c r="K6263">
        <f t="shared" si="97"/>
        <v>0</v>
      </c>
      <c r="L6263" s="8" t="str" cm="1">
        <f t="array" ref="L6263">_xlfn.IFS(
 AND(K6263&gt;=89,K6263&lt;=92),"3개월",
 AND(K6263&gt;=58,K6263&lt;=62),"2개월",
 AND(K6263&gt;=28,K6263&lt;=32),"1개월",
 AND(K6263=0),"당월",
 TRUE,"그외"
)</f>
        <v>당월</v>
      </c>
    </row>
    <row r="6264" spans="1:12" x14ac:dyDescent="0.3">
      <c r="A6264" s="5">
        <v>45748</v>
      </c>
      <c r="B6264" s="6" t="s">
        <v>60</v>
      </c>
      <c r="C6264" s="6" t="s">
        <v>112</v>
      </c>
      <c r="D6264" s="5">
        <v>45627</v>
      </c>
      <c r="E6264" s="6" t="s">
        <v>15</v>
      </c>
      <c r="F6264" s="7">
        <v>33</v>
      </c>
      <c r="G6264" s="7">
        <v>175396.0303030303</v>
      </c>
      <c r="H6264" s="7">
        <v>5788069</v>
      </c>
      <c r="I6264" s="7">
        <v>2170163</v>
      </c>
      <c r="J6264" s="7">
        <v>0</v>
      </c>
      <c r="K6264">
        <f t="shared" si="97"/>
        <v>121</v>
      </c>
      <c r="L6264" s="8" t="str" cm="1">
        <f t="array" ref="L6264">_xlfn.IFS(
 AND(K6264&gt;=89,K6264&lt;=92),"3개월",
 AND(K6264&gt;=58,K6264&lt;=62),"2개월",
 AND(K6264&gt;=28,K6264&lt;=32),"1개월",
 AND(K6264=0),"당월",
 TRUE,"그외"
)</f>
        <v>그외</v>
      </c>
    </row>
    <row r="6265" spans="1:12" x14ac:dyDescent="0.3">
      <c r="A6265" s="5">
        <v>45748</v>
      </c>
      <c r="B6265" s="6" t="s">
        <v>60</v>
      </c>
      <c r="C6265" s="6" t="s">
        <v>112</v>
      </c>
      <c r="D6265" s="5">
        <v>45658</v>
      </c>
      <c r="E6265" s="6" t="s">
        <v>15</v>
      </c>
      <c r="F6265" s="7">
        <v>393</v>
      </c>
      <c r="G6265" s="7">
        <v>153923.20101781169</v>
      </c>
      <c r="H6265" s="7">
        <v>60491818</v>
      </c>
      <c r="I6265" s="7">
        <v>13829424</v>
      </c>
      <c r="J6265" s="7">
        <v>0</v>
      </c>
      <c r="K6265">
        <f t="shared" si="97"/>
        <v>90</v>
      </c>
      <c r="L6265" s="8" t="str" cm="1">
        <f t="array" ref="L6265">_xlfn.IFS(
 AND(K6265&gt;=89,K6265&lt;=92),"3개월",
 AND(K6265&gt;=58,K6265&lt;=62),"2개월",
 AND(K6265&gt;=28,K6265&lt;=32),"1개월",
 AND(K6265=0),"당월",
 TRUE,"그외"
)</f>
        <v>3개월</v>
      </c>
    </row>
    <row r="6266" spans="1:12" x14ac:dyDescent="0.3">
      <c r="A6266" s="5">
        <v>45748</v>
      </c>
      <c r="B6266" s="6" t="s">
        <v>60</v>
      </c>
      <c r="C6266" s="6" t="s">
        <v>112</v>
      </c>
      <c r="D6266" s="5">
        <v>45689</v>
      </c>
      <c r="E6266" s="6" t="s">
        <v>14</v>
      </c>
      <c r="F6266" s="7">
        <v>818</v>
      </c>
      <c r="G6266" s="7">
        <v>124406.8459657702</v>
      </c>
      <c r="H6266" s="7">
        <v>101764800</v>
      </c>
      <c r="I6266" s="7">
        <v>26257800</v>
      </c>
      <c r="J6266" s="7">
        <v>0</v>
      </c>
      <c r="K6266">
        <f t="shared" si="97"/>
        <v>59</v>
      </c>
      <c r="L6266" s="8" t="str" cm="1">
        <f t="array" ref="L6266">_xlfn.IFS(
 AND(K6266&gt;=89,K6266&lt;=92),"3개월",
 AND(K6266&gt;=58,K6266&lt;=62),"2개월",
 AND(K6266&gt;=28,K6266&lt;=32),"1개월",
 AND(K6266=0),"당월",
 TRUE,"그외"
)</f>
        <v>2개월</v>
      </c>
    </row>
    <row r="6267" spans="1:12" x14ac:dyDescent="0.3">
      <c r="A6267" s="5">
        <v>45748</v>
      </c>
      <c r="B6267" s="6" t="s">
        <v>60</v>
      </c>
      <c r="C6267" s="6" t="s">
        <v>112</v>
      </c>
      <c r="D6267" s="5">
        <v>45689</v>
      </c>
      <c r="E6267" s="6" t="s">
        <v>15</v>
      </c>
      <c r="F6267" s="7">
        <v>687</v>
      </c>
      <c r="G6267" s="7">
        <v>152094.80931586609</v>
      </c>
      <c r="H6267" s="7">
        <v>104489134</v>
      </c>
      <c r="I6267" s="7">
        <v>25160462</v>
      </c>
      <c r="J6267" s="7">
        <v>0</v>
      </c>
      <c r="K6267">
        <f t="shared" si="97"/>
        <v>59</v>
      </c>
      <c r="L6267" s="8" t="str" cm="1">
        <f t="array" ref="L6267">_xlfn.IFS(
 AND(K6267&gt;=89,K6267&lt;=92),"3개월",
 AND(K6267&gt;=58,K6267&lt;=62),"2개월",
 AND(K6267&gt;=28,K6267&lt;=32),"1개월",
 AND(K6267=0),"당월",
 TRUE,"그외"
)</f>
        <v>2개월</v>
      </c>
    </row>
    <row r="6268" spans="1:12" x14ac:dyDescent="0.3">
      <c r="A6268" s="5">
        <v>45748</v>
      </c>
      <c r="B6268" s="6" t="s">
        <v>60</v>
      </c>
      <c r="C6268" s="6" t="s">
        <v>112</v>
      </c>
      <c r="D6268" s="5">
        <v>45717</v>
      </c>
      <c r="E6268" s="6" t="s">
        <v>14</v>
      </c>
      <c r="F6268" s="7">
        <v>289</v>
      </c>
      <c r="G6268" s="7">
        <v>156555.01730103811</v>
      </c>
      <c r="H6268" s="7">
        <v>45244400</v>
      </c>
      <c r="I6268" s="7">
        <v>10866400</v>
      </c>
      <c r="J6268" s="7">
        <v>0</v>
      </c>
      <c r="K6268">
        <f t="shared" si="97"/>
        <v>31</v>
      </c>
      <c r="L6268" s="8" t="str" cm="1">
        <f t="array" ref="L6268">_xlfn.IFS(
 AND(K6268&gt;=89,K6268&lt;=92),"3개월",
 AND(K6268&gt;=58,K6268&lt;=62),"2개월",
 AND(K6268&gt;=28,K6268&lt;=32),"1개월",
 AND(K6268=0),"당월",
 TRUE,"그외"
)</f>
        <v>1개월</v>
      </c>
    </row>
    <row r="6269" spans="1:12" x14ac:dyDescent="0.3">
      <c r="A6269" s="5">
        <v>45748</v>
      </c>
      <c r="B6269" s="6" t="s">
        <v>60</v>
      </c>
      <c r="C6269" s="6" t="s">
        <v>112</v>
      </c>
      <c r="D6269" s="5">
        <v>45717</v>
      </c>
      <c r="E6269" s="6" t="s">
        <v>15</v>
      </c>
      <c r="F6269" s="7">
        <v>924</v>
      </c>
      <c r="G6269" s="7">
        <v>142278.89718614719</v>
      </c>
      <c r="H6269" s="7">
        <v>131465701</v>
      </c>
      <c r="I6269" s="7">
        <v>42145478</v>
      </c>
      <c r="J6269" s="7">
        <v>0</v>
      </c>
      <c r="K6269">
        <f t="shared" si="97"/>
        <v>31</v>
      </c>
      <c r="L6269" s="8" t="str" cm="1">
        <f t="array" ref="L6269">_xlfn.IFS(
 AND(K6269&gt;=89,K6269&lt;=92),"3개월",
 AND(K6269&gt;=58,K6269&lt;=62),"2개월",
 AND(K6269&gt;=28,K6269&lt;=32),"1개월",
 AND(K6269=0),"당월",
 TRUE,"그외"
)</f>
        <v>1개월</v>
      </c>
    </row>
    <row r="6270" spans="1:12" x14ac:dyDescent="0.3">
      <c r="A6270" s="5">
        <v>45748</v>
      </c>
      <c r="B6270" s="6" t="s">
        <v>60</v>
      </c>
      <c r="C6270" s="6" t="s">
        <v>112</v>
      </c>
      <c r="D6270" s="5">
        <v>45748</v>
      </c>
      <c r="E6270" s="6" t="s">
        <v>14</v>
      </c>
      <c r="F6270" s="7">
        <v>677</v>
      </c>
      <c r="G6270" s="7">
        <v>103513.29394387</v>
      </c>
      <c r="H6270" s="7">
        <v>70078500</v>
      </c>
      <c r="I6270" s="7">
        <v>18617500</v>
      </c>
      <c r="J6270" s="7">
        <v>0</v>
      </c>
      <c r="K6270">
        <f t="shared" si="97"/>
        <v>0</v>
      </c>
      <c r="L6270" s="8" t="str" cm="1">
        <f t="array" ref="L6270">_xlfn.IFS(
 AND(K6270&gt;=89,K6270&lt;=92),"3개월",
 AND(K6270&gt;=58,K6270&lt;=62),"2개월",
 AND(K6270&gt;=28,K6270&lt;=32),"1개월",
 AND(K6270=0),"당월",
 TRUE,"그외"
)</f>
        <v>당월</v>
      </c>
    </row>
    <row r="6271" spans="1:12" x14ac:dyDescent="0.3">
      <c r="A6271" s="5">
        <v>45748</v>
      </c>
      <c r="B6271" s="6" t="s">
        <v>60</v>
      </c>
      <c r="C6271" s="6" t="s">
        <v>112</v>
      </c>
      <c r="D6271" s="5">
        <v>45748</v>
      </c>
      <c r="E6271" s="6" t="s">
        <v>15</v>
      </c>
      <c r="F6271" s="7">
        <v>529</v>
      </c>
      <c r="G6271" s="7">
        <v>147192.17013232509</v>
      </c>
      <c r="H6271" s="7">
        <v>77864658</v>
      </c>
      <c r="I6271" s="7">
        <v>21904087</v>
      </c>
      <c r="J6271" s="7">
        <v>0</v>
      </c>
      <c r="K6271">
        <f t="shared" si="97"/>
        <v>0</v>
      </c>
      <c r="L6271" s="8" t="str" cm="1">
        <f t="array" ref="L6271">_xlfn.IFS(
 AND(K6271&gt;=89,K6271&lt;=92),"3개월",
 AND(K6271&gt;=58,K6271&lt;=62),"2개월",
 AND(K6271&gt;=28,K6271&lt;=32),"1개월",
 AND(K6271=0),"당월",
 TRUE,"그외"
)</f>
        <v>당월</v>
      </c>
    </row>
    <row r="6272" spans="1:12" x14ac:dyDescent="0.3">
      <c r="A6272" s="5">
        <v>45748</v>
      </c>
      <c r="B6272" s="6" t="s">
        <v>60</v>
      </c>
      <c r="C6272" s="6" t="s">
        <v>72</v>
      </c>
      <c r="D6272" s="5">
        <v>45627</v>
      </c>
      <c r="E6272" s="6" t="s">
        <v>15</v>
      </c>
      <c r="F6272" s="7">
        <v>132</v>
      </c>
      <c r="G6272" s="7">
        <v>168141.72727272729</v>
      </c>
      <c r="H6272" s="7">
        <v>22194708</v>
      </c>
      <c r="I6272" s="7">
        <v>3084006</v>
      </c>
      <c r="J6272" s="7">
        <v>0</v>
      </c>
      <c r="K6272">
        <f t="shared" si="97"/>
        <v>121</v>
      </c>
      <c r="L6272" s="8" t="str" cm="1">
        <f t="array" ref="L6272">_xlfn.IFS(
 AND(K6272&gt;=89,K6272&lt;=92),"3개월",
 AND(K6272&gt;=58,K6272&lt;=62),"2개월",
 AND(K6272&gt;=28,K6272&lt;=32),"1개월",
 AND(K6272=0),"당월",
 TRUE,"그외"
)</f>
        <v>그외</v>
      </c>
    </row>
    <row r="6273" spans="1:12" x14ac:dyDescent="0.3">
      <c r="A6273" s="5">
        <v>45748</v>
      </c>
      <c r="B6273" s="6" t="s">
        <v>60</v>
      </c>
      <c r="C6273" s="6" t="s">
        <v>72</v>
      </c>
      <c r="D6273" s="5">
        <v>45658</v>
      </c>
      <c r="E6273" s="6" t="s">
        <v>15</v>
      </c>
      <c r="F6273" s="7">
        <v>1089</v>
      </c>
      <c r="G6273" s="7">
        <v>186349.93021120291</v>
      </c>
      <c r="H6273" s="7">
        <v>202935074</v>
      </c>
      <c r="I6273" s="7">
        <v>25946242</v>
      </c>
      <c r="J6273" s="7">
        <v>0</v>
      </c>
      <c r="K6273">
        <f t="shared" si="97"/>
        <v>90</v>
      </c>
      <c r="L6273" s="8" t="str" cm="1">
        <f t="array" ref="L6273">_xlfn.IFS(
 AND(K6273&gt;=89,K6273&lt;=92),"3개월",
 AND(K6273&gt;=58,K6273&lt;=62),"2개월",
 AND(K6273&gt;=28,K6273&lt;=32),"1개월",
 AND(K6273=0),"당월",
 TRUE,"그외"
)</f>
        <v>3개월</v>
      </c>
    </row>
    <row r="6274" spans="1:12" x14ac:dyDescent="0.3">
      <c r="A6274" s="5">
        <v>45748</v>
      </c>
      <c r="B6274" s="6" t="s">
        <v>60</v>
      </c>
      <c r="C6274" s="6" t="s">
        <v>72</v>
      </c>
      <c r="D6274" s="5">
        <v>45689</v>
      </c>
      <c r="E6274" s="6" t="s">
        <v>14</v>
      </c>
      <c r="F6274" s="7">
        <v>470</v>
      </c>
      <c r="G6274" s="7">
        <v>178812.7659574468</v>
      </c>
      <c r="H6274" s="7">
        <v>84042000</v>
      </c>
      <c r="I6274" s="7">
        <v>11656000</v>
      </c>
      <c r="J6274" s="7">
        <v>0</v>
      </c>
      <c r="K6274">
        <f t="shared" si="97"/>
        <v>59</v>
      </c>
      <c r="L6274" s="8" t="str" cm="1">
        <f t="array" ref="L6274">_xlfn.IFS(
 AND(K6274&gt;=89,K6274&lt;=92),"3개월",
 AND(K6274&gt;=58,K6274&lt;=62),"2개월",
 AND(K6274&gt;=28,K6274&lt;=32),"1개월",
 AND(K6274=0),"당월",
 TRUE,"그외"
)</f>
        <v>2개월</v>
      </c>
    </row>
    <row r="6275" spans="1:12" x14ac:dyDescent="0.3">
      <c r="A6275" s="5">
        <v>45748</v>
      </c>
      <c r="B6275" s="6" t="s">
        <v>60</v>
      </c>
      <c r="C6275" s="6" t="s">
        <v>72</v>
      </c>
      <c r="D6275" s="5">
        <v>45689</v>
      </c>
      <c r="E6275" s="6" t="s">
        <v>15</v>
      </c>
      <c r="F6275" s="7">
        <v>2184</v>
      </c>
      <c r="G6275" s="7">
        <v>185297.9427655678</v>
      </c>
      <c r="H6275" s="7">
        <v>404690707</v>
      </c>
      <c r="I6275" s="7">
        <v>53473526</v>
      </c>
      <c r="J6275" s="7">
        <v>0</v>
      </c>
      <c r="K6275">
        <f t="shared" si="97"/>
        <v>59</v>
      </c>
      <c r="L6275" s="8" t="str" cm="1">
        <f t="array" ref="L6275">_xlfn.IFS(
 AND(K6275&gt;=89,K6275&lt;=92),"3개월",
 AND(K6275&gt;=58,K6275&lt;=62),"2개월",
 AND(K6275&gt;=28,K6275&lt;=32),"1개월",
 AND(K6275=0),"당월",
 TRUE,"그외"
)</f>
        <v>2개월</v>
      </c>
    </row>
    <row r="6276" spans="1:12" x14ac:dyDescent="0.3">
      <c r="A6276" s="5">
        <v>45748</v>
      </c>
      <c r="B6276" s="6" t="s">
        <v>60</v>
      </c>
      <c r="C6276" s="6" t="s">
        <v>72</v>
      </c>
      <c r="D6276" s="5">
        <v>45717</v>
      </c>
      <c r="E6276" s="6" t="s">
        <v>14</v>
      </c>
      <c r="F6276" s="7">
        <v>1346</v>
      </c>
      <c r="G6276" s="7">
        <v>225805.79494799409</v>
      </c>
      <c r="H6276" s="7">
        <v>303934600</v>
      </c>
      <c r="I6276" s="7">
        <v>37908600</v>
      </c>
      <c r="J6276" s="7">
        <v>0</v>
      </c>
      <c r="K6276">
        <f t="shared" si="97"/>
        <v>31</v>
      </c>
      <c r="L6276" s="8" t="str" cm="1">
        <f t="array" ref="L6276">_xlfn.IFS(
 AND(K6276&gt;=89,K6276&lt;=92),"3개월",
 AND(K6276&gt;=58,K6276&lt;=62),"2개월",
 AND(K6276&gt;=28,K6276&lt;=32),"1개월",
 AND(K6276=0),"당월",
 TRUE,"그외"
)</f>
        <v>1개월</v>
      </c>
    </row>
    <row r="6277" spans="1:12" x14ac:dyDescent="0.3">
      <c r="A6277" s="5">
        <v>45748</v>
      </c>
      <c r="B6277" s="6" t="s">
        <v>60</v>
      </c>
      <c r="C6277" s="6" t="s">
        <v>72</v>
      </c>
      <c r="D6277" s="5">
        <v>45717</v>
      </c>
      <c r="E6277" s="6" t="s">
        <v>15</v>
      </c>
      <c r="F6277" s="7">
        <v>2742</v>
      </c>
      <c r="G6277" s="7">
        <v>191910.89606126919</v>
      </c>
      <c r="H6277" s="7">
        <v>526219677</v>
      </c>
      <c r="I6277" s="7">
        <v>77835772</v>
      </c>
      <c r="J6277" s="7">
        <v>0</v>
      </c>
      <c r="K6277">
        <f t="shared" si="97"/>
        <v>31</v>
      </c>
      <c r="L6277" s="8" t="str" cm="1">
        <f t="array" ref="L6277">_xlfn.IFS(
 AND(K6277&gt;=89,K6277&lt;=92),"3개월",
 AND(K6277&gt;=58,K6277&lt;=62),"2개월",
 AND(K6277&gt;=28,K6277&lt;=32),"1개월",
 AND(K6277=0),"당월",
 TRUE,"그외"
)</f>
        <v>1개월</v>
      </c>
    </row>
    <row r="6278" spans="1:12" x14ac:dyDescent="0.3">
      <c r="A6278" s="5">
        <v>45748</v>
      </c>
      <c r="B6278" s="6" t="s">
        <v>60</v>
      </c>
      <c r="C6278" s="6" t="s">
        <v>72</v>
      </c>
      <c r="D6278" s="5">
        <v>45748</v>
      </c>
      <c r="E6278" s="6" t="s">
        <v>14</v>
      </c>
      <c r="F6278" s="7">
        <v>1163</v>
      </c>
      <c r="G6278" s="7">
        <v>100714.5313843508</v>
      </c>
      <c r="H6278" s="7">
        <v>117131000</v>
      </c>
      <c r="I6278" s="7">
        <v>24745000</v>
      </c>
      <c r="J6278" s="7">
        <v>0</v>
      </c>
      <c r="K6278">
        <f t="shared" si="97"/>
        <v>0</v>
      </c>
      <c r="L6278" s="8" t="str" cm="1">
        <f t="array" ref="L6278">_xlfn.IFS(
 AND(K6278&gt;=89,K6278&lt;=92),"3개월",
 AND(K6278&gt;=58,K6278&lt;=62),"2개월",
 AND(K6278&gt;=28,K6278&lt;=32),"1개월",
 AND(K6278=0),"당월",
 TRUE,"그외"
)</f>
        <v>당월</v>
      </c>
    </row>
    <row r="6279" spans="1:12" x14ac:dyDescent="0.3">
      <c r="A6279" s="5">
        <v>45748</v>
      </c>
      <c r="B6279" s="6" t="s">
        <v>60</v>
      </c>
      <c r="C6279" s="6" t="s">
        <v>72</v>
      </c>
      <c r="D6279" s="5">
        <v>45748</v>
      </c>
      <c r="E6279" s="6" t="s">
        <v>15</v>
      </c>
      <c r="F6279" s="7">
        <v>1136</v>
      </c>
      <c r="G6279" s="7">
        <v>182772.70862676061</v>
      </c>
      <c r="H6279" s="7">
        <v>207629797</v>
      </c>
      <c r="I6279" s="7">
        <v>24509716</v>
      </c>
      <c r="J6279" s="7">
        <v>0</v>
      </c>
      <c r="K6279">
        <f t="shared" si="97"/>
        <v>0</v>
      </c>
      <c r="L6279" s="8" t="str" cm="1">
        <f t="array" ref="L6279">_xlfn.IFS(
 AND(K6279&gt;=89,K6279&lt;=92),"3개월",
 AND(K6279&gt;=58,K6279&lt;=62),"2개월",
 AND(K6279&gt;=28,K6279&lt;=32),"1개월",
 AND(K6279=0),"당월",
 TRUE,"그외"
)</f>
        <v>당월</v>
      </c>
    </row>
    <row r="6280" spans="1:12" x14ac:dyDescent="0.3">
      <c r="A6280" s="5">
        <v>45748</v>
      </c>
      <c r="B6280" s="6" t="s">
        <v>75</v>
      </c>
      <c r="C6280" s="6" t="s">
        <v>124</v>
      </c>
      <c r="D6280" s="5">
        <v>45627</v>
      </c>
      <c r="E6280" s="6" t="s">
        <v>15</v>
      </c>
      <c r="F6280" s="7">
        <v>71</v>
      </c>
      <c r="G6280" s="7">
        <v>144518.3943661972</v>
      </c>
      <c r="H6280" s="7">
        <v>10260806</v>
      </c>
      <c r="I6280" s="7">
        <v>2214767</v>
      </c>
      <c r="J6280" s="7">
        <v>0</v>
      </c>
      <c r="K6280">
        <f t="shared" si="97"/>
        <v>121</v>
      </c>
      <c r="L6280" s="8" t="str" cm="1">
        <f t="array" ref="L6280">_xlfn.IFS(
 AND(K6280&gt;=89,K6280&lt;=92),"3개월",
 AND(K6280&gt;=58,K6280&lt;=62),"2개월",
 AND(K6280&gt;=28,K6280&lt;=32),"1개월",
 AND(K6280=0),"당월",
 TRUE,"그외"
)</f>
        <v>그외</v>
      </c>
    </row>
    <row r="6281" spans="1:12" x14ac:dyDescent="0.3">
      <c r="A6281" s="5">
        <v>45748</v>
      </c>
      <c r="B6281" s="6" t="s">
        <v>75</v>
      </c>
      <c r="C6281" s="6" t="s">
        <v>124</v>
      </c>
      <c r="D6281" s="5">
        <v>45658</v>
      </c>
      <c r="E6281" s="6" t="s">
        <v>15</v>
      </c>
      <c r="F6281" s="7">
        <v>742</v>
      </c>
      <c r="G6281" s="7">
        <v>143481.0592991914</v>
      </c>
      <c r="H6281" s="7">
        <v>106462946</v>
      </c>
      <c r="I6281" s="7">
        <v>25502663</v>
      </c>
      <c r="J6281" s="7">
        <v>0</v>
      </c>
      <c r="K6281">
        <f t="shared" si="97"/>
        <v>90</v>
      </c>
      <c r="L6281" s="8" t="str" cm="1">
        <f t="array" ref="L6281">_xlfn.IFS(
 AND(K6281&gt;=89,K6281&lt;=92),"3개월",
 AND(K6281&gt;=58,K6281&lt;=62),"2개월",
 AND(K6281&gt;=28,K6281&lt;=32),"1개월",
 AND(K6281=0),"당월",
 TRUE,"그외"
)</f>
        <v>3개월</v>
      </c>
    </row>
    <row r="6282" spans="1:12" x14ac:dyDescent="0.3">
      <c r="A6282" s="5">
        <v>45748</v>
      </c>
      <c r="B6282" s="6" t="s">
        <v>75</v>
      </c>
      <c r="C6282" s="6" t="s">
        <v>124</v>
      </c>
      <c r="D6282" s="5">
        <v>45689</v>
      </c>
      <c r="E6282" s="6" t="s">
        <v>14</v>
      </c>
      <c r="F6282" s="7">
        <v>722</v>
      </c>
      <c r="G6282" s="7">
        <v>124311.91135734069</v>
      </c>
      <c r="H6282" s="7">
        <v>89753200</v>
      </c>
      <c r="I6282" s="7">
        <v>23176200</v>
      </c>
      <c r="J6282" s="7">
        <v>0</v>
      </c>
      <c r="K6282">
        <f t="shared" ref="K6282:K6345" si="98">A6282-D6282</f>
        <v>59</v>
      </c>
      <c r="L6282" s="8" t="str" cm="1">
        <f t="array" ref="L6282">_xlfn.IFS(
 AND(K6282&gt;=89,K6282&lt;=92),"3개월",
 AND(K6282&gt;=58,K6282&lt;=62),"2개월",
 AND(K6282&gt;=28,K6282&lt;=32),"1개월",
 AND(K6282=0),"당월",
 TRUE,"그외"
)</f>
        <v>2개월</v>
      </c>
    </row>
    <row r="6283" spans="1:12" x14ac:dyDescent="0.3">
      <c r="A6283" s="5">
        <v>45748</v>
      </c>
      <c r="B6283" s="6" t="s">
        <v>75</v>
      </c>
      <c r="C6283" s="6" t="s">
        <v>124</v>
      </c>
      <c r="D6283" s="5">
        <v>45689</v>
      </c>
      <c r="E6283" s="6" t="s">
        <v>15</v>
      </c>
      <c r="F6283" s="7">
        <v>1094</v>
      </c>
      <c r="G6283" s="7">
        <v>137603.41681901281</v>
      </c>
      <c r="H6283" s="7">
        <v>150538138</v>
      </c>
      <c r="I6283" s="7">
        <v>36082257</v>
      </c>
      <c r="J6283" s="7">
        <v>0</v>
      </c>
      <c r="K6283">
        <f t="shared" si="98"/>
        <v>59</v>
      </c>
      <c r="L6283" s="8" t="str" cm="1">
        <f t="array" ref="L6283">_xlfn.IFS(
 AND(K6283&gt;=89,K6283&lt;=92),"3개월",
 AND(K6283&gt;=58,K6283&lt;=62),"2개월",
 AND(K6283&gt;=28,K6283&lt;=32),"1개월",
 AND(K6283=0),"당월",
 TRUE,"그외"
)</f>
        <v>2개월</v>
      </c>
    </row>
    <row r="6284" spans="1:12" x14ac:dyDescent="0.3">
      <c r="A6284" s="5">
        <v>45748</v>
      </c>
      <c r="B6284" s="6" t="s">
        <v>75</v>
      </c>
      <c r="C6284" s="6" t="s">
        <v>124</v>
      </c>
      <c r="D6284" s="5">
        <v>45717</v>
      </c>
      <c r="E6284" s="6" t="s">
        <v>14</v>
      </c>
      <c r="F6284" s="7">
        <v>847</v>
      </c>
      <c r="G6284" s="7">
        <v>104635.4191263282</v>
      </c>
      <c r="H6284" s="7">
        <v>88626200</v>
      </c>
      <c r="I6284" s="7">
        <v>31830700</v>
      </c>
      <c r="J6284" s="7">
        <v>0</v>
      </c>
      <c r="K6284">
        <f t="shared" si="98"/>
        <v>31</v>
      </c>
      <c r="L6284" s="8" t="str" cm="1">
        <f t="array" ref="L6284">_xlfn.IFS(
 AND(K6284&gt;=89,K6284&lt;=92),"3개월",
 AND(K6284&gt;=58,K6284&lt;=62),"2개월",
 AND(K6284&gt;=28,K6284&lt;=32),"1개월",
 AND(K6284=0),"당월",
 TRUE,"그외"
)</f>
        <v>1개월</v>
      </c>
    </row>
    <row r="6285" spans="1:12" x14ac:dyDescent="0.3">
      <c r="A6285" s="5">
        <v>45748</v>
      </c>
      <c r="B6285" s="6" t="s">
        <v>75</v>
      </c>
      <c r="C6285" s="6" t="s">
        <v>124</v>
      </c>
      <c r="D6285" s="5">
        <v>45717</v>
      </c>
      <c r="E6285" s="6" t="s">
        <v>15</v>
      </c>
      <c r="F6285" s="7">
        <v>3468</v>
      </c>
      <c r="G6285" s="7">
        <v>116771.7834486736</v>
      </c>
      <c r="H6285" s="7">
        <v>404964545</v>
      </c>
      <c r="I6285" s="7">
        <v>136441185</v>
      </c>
      <c r="J6285" s="7">
        <v>0</v>
      </c>
      <c r="K6285">
        <f t="shared" si="98"/>
        <v>31</v>
      </c>
      <c r="L6285" s="8" t="str" cm="1">
        <f t="array" ref="L6285">_xlfn.IFS(
 AND(K6285&gt;=89,K6285&lt;=92),"3개월",
 AND(K6285&gt;=58,K6285&lt;=62),"2개월",
 AND(K6285&gt;=28,K6285&lt;=32),"1개월",
 AND(K6285=0),"당월",
 TRUE,"그외"
)</f>
        <v>1개월</v>
      </c>
    </row>
    <row r="6286" spans="1:12" x14ac:dyDescent="0.3">
      <c r="A6286" s="5">
        <v>45748</v>
      </c>
      <c r="B6286" s="6" t="s">
        <v>75</v>
      </c>
      <c r="C6286" s="6" t="s">
        <v>124</v>
      </c>
      <c r="D6286" s="5">
        <v>45748</v>
      </c>
      <c r="E6286" s="6" t="s">
        <v>14</v>
      </c>
      <c r="F6286" s="7">
        <v>972</v>
      </c>
      <c r="G6286" s="7">
        <v>92837.448559670782</v>
      </c>
      <c r="H6286" s="7">
        <v>90238000</v>
      </c>
      <c r="I6286" s="7">
        <v>26730000</v>
      </c>
      <c r="J6286" s="7">
        <v>0</v>
      </c>
      <c r="K6286">
        <f t="shared" si="98"/>
        <v>0</v>
      </c>
      <c r="L6286" s="8" t="str" cm="1">
        <f t="array" ref="L6286">_xlfn.IFS(
 AND(K6286&gt;=89,K6286&lt;=92),"3개월",
 AND(K6286&gt;=58,K6286&lt;=62),"2개월",
 AND(K6286&gt;=28,K6286&lt;=32),"1개월",
 AND(K6286=0),"당월",
 TRUE,"그외"
)</f>
        <v>당월</v>
      </c>
    </row>
    <row r="6287" spans="1:12" x14ac:dyDescent="0.3">
      <c r="A6287" s="5">
        <v>45748</v>
      </c>
      <c r="B6287" s="6" t="s">
        <v>75</v>
      </c>
      <c r="C6287" s="6" t="s">
        <v>124</v>
      </c>
      <c r="D6287" s="5">
        <v>45748</v>
      </c>
      <c r="E6287" s="6" t="s">
        <v>15</v>
      </c>
      <c r="F6287" s="7">
        <v>1909</v>
      </c>
      <c r="G6287" s="7">
        <v>111698.3446830801</v>
      </c>
      <c r="H6287" s="7">
        <v>213232140</v>
      </c>
      <c r="I6287" s="7">
        <v>61117861</v>
      </c>
      <c r="J6287" s="7">
        <v>0</v>
      </c>
      <c r="K6287">
        <f t="shared" si="98"/>
        <v>0</v>
      </c>
      <c r="L6287" s="8" t="str" cm="1">
        <f t="array" ref="L6287">_xlfn.IFS(
 AND(K6287&gt;=89,K6287&lt;=92),"3개월",
 AND(K6287&gt;=58,K6287&lt;=62),"2개월",
 AND(K6287&gt;=28,K6287&lt;=32),"1개월",
 AND(K6287=0),"당월",
 TRUE,"그외"
)</f>
        <v>당월</v>
      </c>
    </row>
    <row r="6288" spans="1:12" x14ac:dyDescent="0.3">
      <c r="A6288" s="5">
        <v>45748</v>
      </c>
      <c r="B6288" s="6" t="s">
        <v>75</v>
      </c>
      <c r="C6288" s="6" t="s">
        <v>79</v>
      </c>
      <c r="D6288" s="5">
        <v>45627</v>
      </c>
      <c r="E6288" s="6" t="s">
        <v>15</v>
      </c>
      <c r="F6288" s="7">
        <v>16</v>
      </c>
      <c r="G6288" s="7">
        <v>170223.5</v>
      </c>
      <c r="H6288" s="7">
        <v>2723576</v>
      </c>
      <c r="I6288" s="7">
        <v>832869</v>
      </c>
      <c r="J6288" s="7">
        <v>0</v>
      </c>
      <c r="K6288">
        <f t="shared" si="98"/>
        <v>121</v>
      </c>
      <c r="L6288" s="8" t="str" cm="1">
        <f t="array" ref="L6288">_xlfn.IFS(
 AND(K6288&gt;=89,K6288&lt;=92),"3개월",
 AND(K6288&gt;=58,K6288&lt;=62),"2개월",
 AND(K6288&gt;=28,K6288&lt;=32),"1개월",
 AND(K6288=0),"당월",
 TRUE,"그외"
)</f>
        <v>그외</v>
      </c>
    </row>
    <row r="6289" spans="1:12" x14ac:dyDescent="0.3">
      <c r="A6289" s="5">
        <v>45748</v>
      </c>
      <c r="B6289" s="6" t="s">
        <v>75</v>
      </c>
      <c r="C6289" s="6" t="s">
        <v>79</v>
      </c>
      <c r="D6289" s="5">
        <v>45658</v>
      </c>
      <c r="E6289" s="6" t="s">
        <v>14</v>
      </c>
      <c r="F6289" s="7">
        <v>345</v>
      </c>
      <c r="G6289" s="7">
        <v>122118.8405797101</v>
      </c>
      <c r="H6289" s="7">
        <v>42131000</v>
      </c>
      <c r="I6289" s="7">
        <v>10695000</v>
      </c>
      <c r="J6289" s="7">
        <v>0</v>
      </c>
      <c r="K6289">
        <f t="shared" si="98"/>
        <v>90</v>
      </c>
      <c r="L6289" s="8" t="str" cm="1">
        <f t="array" ref="L6289">_xlfn.IFS(
 AND(K6289&gt;=89,K6289&lt;=92),"3개월",
 AND(K6289&gt;=58,K6289&lt;=62),"2개월",
 AND(K6289&gt;=28,K6289&lt;=32),"1개월",
 AND(K6289=0),"당월",
 TRUE,"그외"
)</f>
        <v>3개월</v>
      </c>
    </row>
    <row r="6290" spans="1:12" x14ac:dyDescent="0.3">
      <c r="A6290" s="5">
        <v>45748</v>
      </c>
      <c r="B6290" s="6" t="s">
        <v>75</v>
      </c>
      <c r="C6290" s="6" t="s">
        <v>79</v>
      </c>
      <c r="D6290" s="5">
        <v>45658</v>
      </c>
      <c r="E6290" s="6" t="s">
        <v>15</v>
      </c>
      <c r="F6290" s="7">
        <v>305</v>
      </c>
      <c r="G6290" s="7">
        <v>144514.43278688521</v>
      </c>
      <c r="H6290" s="7">
        <v>44076902</v>
      </c>
      <c r="I6290" s="7">
        <v>10818056</v>
      </c>
      <c r="J6290" s="7">
        <v>0</v>
      </c>
      <c r="K6290">
        <f t="shared" si="98"/>
        <v>90</v>
      </c>
      <c r="L6290" s="8" t="str" cm="1">
        <f t="array" ref="L6290">_xlfn.IFS(
 AND(K6290&gt;=89,K6290&lt;=92),"3개월",
 AND(K6290&gt;=58,K6290&lt;=62),"2개월",
 AND(K6290&gt;=28,K6290&lt;=32),"1개월",
 AND(K6290=0),"당월",
 TRUE,"그외"
)</f>
        <v>3개월</v>
      </c>
    </row>
    <row r="6291" spans="1:12" x14ac:dyDescent="0.3">
      <c r="A6291" s="5">
        <v>45748</v>
      </c>
      <c r="B6291" s="6" t="s">
        <v>75</v>
      </c>
      <c r="C6291" s="6" t="s">
        <v>79</v>
      </c>
      <c r="D6291" s="5">
        <v>45689</v>
      </c>
      <c r="E6291" s="6" t="s">
        <v>14</v>
      </c>
      <c r="F6291" s="7">
        <v>728</v>
      </c>
      <c r="G6291" s="7">
        <v>120889.8351648352</v>
      </c>
      <c r="H6291" s="7">
        <v>88007800</v>
      </c>
      <c r="I6291" s="7">
        <v>23368800</v>
      </c>
      <c r="J6291" s="7">
        <v>0</v>
      </c>
      <c r="K6291">
        <f t="shared" si="98"/>
        <v>59</v>
      </c>
      <c r="L6291" s="8" t="str" cm="1">
        <f t="array" ref="L6291">_xlfn.IFS(
 AND(K6291&gt;=89,K6291&lt;=92),"3개월",
 AND(K6291&gt;=58,K6291&lt;=62),"2개월",
 AND(K6291&gt;=28,K6291&lt;=32),"1개월",
 AND(K6291=0),"당월",
 TRUE,"그외"
)</f>
        <v>2개월</v>
      </c>
    </row>
    <row r="6292" spans="1:12" x14ac:dyDescent="0.3">
      <c r="A6292" s="5">
        <v>45748</v>
      </c>
      <c r="B6292" s="6" t="s">
        <v>75</v>
      </c>
      <c r="C6292" s="6" t="s">
        <v>79</v>
      </c>
      <c r="D6292" s="5">
        <v>45689</v>
      </c>
      <c r="E6292" s="6" t="s">
        <v>15</v>
      </c>
      <c r="F6292" s="7">
        <v>801</v>
      </c>
      <c r="G6292" s="7">
        <v>128800.6129837703</v>
      </c>
      <c r="H6292" s="7">
        <v>103169291</v>
      </c>
      <c r="I6292" s="7">
        <v>27900362</v>
      </c>
      <c r="J6292" s="7">
        <v>0</v>
      </c>
      <c r="K6292">
        <f t="shared" si="98"/>
        <v>59</v>
      </c>
      <c r="L6292" s="8" t="str" cm="1">
        <f t="array" ref="L6292">_xlfn.IFS(
 AND(K6292&gt;=89,K6292&lt;=92),"3개월",
 AND(K6292&gt;=58,K6292&lt;=62),"2개월",
 AND(K6292&gt;=28,K6292&lt;=32),"1개월",
 AND(K6292=0),"당월",
 TRUE,"그외"
)</f>
        <v>2개월</v>
      </c>
    </row>
    <row r="6293" spans="1:12" x14ac:dyDescent="0.3">
      <c r="A6293" s="5">
        <v>45748</v>
      </c>
      <c r="B6293" s="6" t="s">
        <v>75</v>
      </c>
      <c r="C6293" s="6" t="s">
        <v>79</v>
      </c>
      <c r="D6293" s="5">
        <v>45717</v>
      </c>
      <c r="E6293" s="6" t="s">
        <v>14</v>
      </c>
      <c r="F6293" s="7">
        <v>1790</v>
      </c>
      <c r="G6293" s="7">
        <v>95291.620111731841</v>
      </c>
      <c r="H6293" s="7">
        <v>170572000</v>
      </c>
      <c r="I6293" s="7">
        <v>67293000</v>
      </c>
      <c r="J6293" s="7">
        <v>0</v>
      </c>
      <c r="K6293">
        <f t="shared" si="98"/>
        <v>31</v>
      </c>
      <c r="L6293" s="8" t="str" cm="1">
        <f t="array" ref="L6293">_xlfn.IFS(
 AND(K6293&gt;=89,K6293&lt;=92),"3개월",
 AND(K6293&gt;=58,K6293&lt;=62),"2개월",
 AND(K6293&gt;=28,K6293&lt;=32),"1개월",
 AND(K6293=0),"당월",
 TRUE,"그외"
)</f>
        <v>1개월</v>
      </c>
    </row>
    <row r="6294" spans="1:12" x14ac:dyDescent="0.3">
      <c r="A6294" s="5">
        <v>45748</v>
      </c>
      <c r="B6294" s="6" t="s">
        <v>75</v>
      </c>
      <c r="C6294" s="6" t="s">
        <v>79</v>
      </c>
      <c r="D6294" s="5">
        <v>45717</v>
      </c>
      <c r="E6294" s="6" t="s">
        <v>15</v>
      </c>
      <c r="F6294" s="7">
        <v>1996</v>
      </c>
      <c r="G6294" s="7">
        <v>111025.4789579158</v>
      </c>
      <c r="H6294" s="7">
        <v>221606856</v>
      </c>
      <c r="I6294" s="7">
        <v>88247660</v>
      </c>
      <c r="J6294" s="7">
        <v>0</v>
      </c>
      <c r="K6294">
        <f t="shared" si="98"/>
        <v>31</v>
      </c>
      <c r="L6294" s="8" t="str" cm="1">
        <f t="array" ref="L6294">_xlfn.IFS(
 AND(K6294&gt;=89,K6294&lt;=92),"3개월",
 AND(K6294&gt;=58,K6294&lt;=62),"2개월",
 AND(K6294&gt;=28,K6294&lt;=32),"1개월",
 AND(K6294=0),"당월",
 TRUE,"그외"
)</f>
        <v>1개월</v>
      </c>
    </row>
    <row r="6295" spans="1:12" x14ac:dyDescent="0.3">
      <c r="A6295" s="5">
        <v>45748</v>
      </c>
      <c r="B6295" s="6" t="s">
        <v>75</v>
      </c>
      <c r="C6295" s="6" t="s">
        <v>79</v>
      </c>
      <c r="D6295" s="5">
        <v>45748</v>
      </c>
      <c r="E6295" s="6" t="s">
        <v>14</v>
      </c>
      <c r="F6295" s="7">
        <v>1442</v>
      </c>
      <c r="G6295" s="7">
        <v>73641.74757281554</v>
      </c>
      <c r="H6295" s="7">
        <v>106191400</v>
      </c>
      <c r="I6295" s="7">
        <v>39754400</v>
      </c>
      <c r="J6295" s="7">
        <v>0</v>
      </c>
      <c r="K6295">
        <f t="shared" si="98"/>
        <v>0</v>
      </c>
      <c r="L6295" s="8" t="str" cm="1">
        <f t="array" ref="L6295">_xlfn.IFS(
 AND(K6295&gt;=89,K6295&lt;=92),"3개월",
 AND(K6295&gt;=58,K6295&lt;=62),"2개월",
 AND(K6295&gt;=28,K6295&lt;=32),"1개월",
 AND(K6295=0),"당월",
 TRUE,"그외"
)</f>
        <v>당월</v>
      </c>
    </row>
    <row r="6296" spans="1:12" x14ac:dyDescent="0.3">
      <c r="A6296" s="5">
        <v>45748</v>
      </c>
      <c r="B6296" s="6" t="s">
        <v>75</v>
      </c>
      <c r="C6296" s="6" t="s">
        <v>79</v>
      </c>
      <c r="D6296" s="5">
        <v>45748</v>
      </c>
      <c r="E6296" s="6" t="s">
        <v>15</v>
      </c>
      <c r="F6296" s="7">
        <v>1619</v>
      </c>
      <c r="G6296" s="7">
        <v>113735.156269302</v>
      </c>
      <c r="H6296" s="7">
        <v>184137218</v>
      </c>
      <c r="I6296" s="7">
        <v>60687826</v>
      </c>
      <c r="J6296" s="7">
        <v>0</v>
      </c>
      <c r="K6296">
        <f t="shared" si="98"/>
        <v>0</v>
      </c>
      <c r="L6296" s="8" t="str" cm="1">
        <f t="array" ref="L6296">_xlfn.IFS(
 AND(K6296&gt;=89,K6296&lt;=92),"3개월",
 AND(K6296&gt;=58,K6296&lt;=62),"2개월",
 AND(K6296&gt;=28,K6296&lt;=32),"1개월",
 AND(K6296=0),"당월",
 TRUE,"그외"
)</f>
        <v>당월</v>
      </c>
    </row>
    <row r="6297" spans="1:12" x14ac:dyDescent="0.3">
      <c r="A6297" s="5">
        <v>45748</v>
      </c>
      <c r="B6297" s="6" t="s">
        <v>75</v>
      </c>
      <c r="C6297" s="6" t="s">
        <v>80</v>
      </c>
      <c r="D6297" s="5">
        <v>45627</v>
      </c>
      <c r="E6297" s="6" t="s">
        <v>15</v>
      </c>
      <c r="F6297" s="7">
        <v>170</v>
      </c>
      <c r="G6297" s="7">
        <v>314331.68823529407</v>
      </c>
      <c r="H6297" s="7">
        <v>53436387</v>
      </c>
      <c r="I6297" s="7">
        <v>1480520</v>
      </c>
      <c r="J6297" s="7">
        <v>0</v>
      </c>
      <c r="K6297">
        <f t="shared" si="98"/>
        <v>121</v>
      </c>
      <c r="L6297" s="8" t="str" cm="1">
        <f t="array" ref="L6297">_xlfn.IFS(
 AND(K6297&gt;=89,K6297&lt;=92),"3개월",
 AND(K6297&gt;=58,K6297&lt;=62),"2개월",
 AND(K6297&gt;=28,K6297&lt;=32),"1개월",
 AND(K6297=0),"당월",
 TRUE,"그외"
)</f>
        <v>그외</v>
      </c>
    </row>
    <row r="6298" spans="1:12" x14ac:dyDescent="0.3">
      <c r="A6298" s="5">
        <v>45748</v>
      </c>
      <c r="B6298" s="6" t="s">
        <v>75</v>
      </c>
      <c r="C6298" s="6" t="s">
        <v>80</v>
      </c>
      <c r="D6298" s="5">
        <v>45658</v>
      </c>
      <c r="E6298" s="6" t="s">
        <v>14</v>
      </c>
      <c r="F6298" s="7">
        <v>50</v>
      </c>
      <c r="G6298" s="7">
        <v>301100</v>
      </c>
      <c r="H6298" s="7">
        <v>15055000</v>
      </c>
      <c r="I6298" s="7">
        <v>3805000</v>
      </c>
      <c r="J6298" s="7">
        <v>0</v>
      </c>
      <c r="K6298">
        <f t="shared" si="98"/>
        <v>90</v>
      </c>
      <c r="L6298" s="8" t="str" cm="1">
        <f t="array" ref="L6298">_xlfn.IFS(
 AND(K6298&gt;=89,K6298&lt;=92),"3개월",
 AND(K6298&gt;=58,K6298&lt;=62),"2개월",
 AND(K6298&gt;=28,K6298&lt;=32),"1개월",
 AND(K6298=0),"당월",
 TRUE,"그외"
)</f>
        <v>3개월</v>
      </c>
    </row>
    <row r="6299" spans="1:12" x14ac:dyDescent="0.3">
      <c r="A6299" s="5">
        <v>45748</v>
      </c>
      <c r="B6299" s="6" t="s">
        <v>75</v>
      </c>
      <c r="C6299" s="6" t="s">
        <v>80</v>
      </c>
      <c r="D6299" s="5">
        <v>45658</v>
      </c>
      <c r="E6299" s="6" t="s">
        <v>15</v>
      </c>
      <c r="F6299" s="7">
        <v>1521</v>
      </c>
      <c r="G6299" s="7">
        <v>374476.70479947398</v>
      </c>
      <c r="H6299" s="7">
        <v>569579068</v>
      </c>
      <c r="I6299" s="7">
        <v>29919822</v>
      </c>
      <c r="J6299" s="7">
        <v>0</v>
      </c>
      <c r="K6299">
        <f t="shared" si="98"/>
        <v>90</v>
      </c>
      <c r="L6299" s="8" t="str" cm="1">
        <f t="array" ref="L6299">_xlfn.IFS(
 AND(K6299&gt;=89,K6299&lt;=92),"3개월",
 AND(K6299&gt;=58,K6299&lt;=62),"2개월",
 AND(K6299&gt;=28,K6299&lt;=32),"1개월",
 AND(K6299=0),"당월",
 TRUE,"그외"
)</f>
        <v>3개월</v>
      </c>
    </row>
    <row r="6300" spans="1:12" x14ac:dyDescent="0.3">
      <c r="A6300" s="5">
        <v>45748</v>
      </c>
      <c r="B6300" s="6" t="s">
        <v>75</v>
      </c>
      <c r="C6300" s="6" t="s">
        <v>80</v>
      </c>
      <c r="D6300" s="5">
        <v>45689</v>
      </c>
      <c r="E6300" s="6" t="s">
        <v>15</v>
      </c>
      <c r="F6300" s="7">
        <v>1924</v>
      </c>
      <c r="G6300" s="7">
        <v>387255.94230769231</v>
      </c>
      <c r="H6300" s="7">
        <v>745080433</v>
      </c>
      <c r="I6300" s="7">
        <v>52581541</v>
      </c>
      <c r="J6300" s="7">
        <v>0</v>
      </c>
      <c r="K6300">
        <f t="shared" si="98"/>
        <v>59</v>
      </c>
      <c r="L6300" s="8" t="str" cm="1">
        <f t="array" ref="L6300">_xlfn.IFS(
 AND(K6300&gt;=89,K6300&lt;=92),"3개월",
 AND(K6300&gt;=58,K6300&lt;=62),"2개월",
 AND(K6300&gt;=28,K6300&lt;=32),"1개월",
 AND(K6300=0),"당월",
 TRUE,"그외"
)</f>
        <v>2개월</v>
      </c>
    </row>
    <row r="6301" spans="1:12" x14ac:dyDescent="0.3">
      <c r="A6301" s="5">
        <v>45748</v>
      </c>
      <c r="B6301" s="6" t="s">
        <v>75</v>
      </c>
      <c r="C6301" s="6" t="s">
        <v>80</v>
      </c>
      <c r="D6301" s="5">
        <v>45717</v>
      </c>
      <c r="E6301" s="6" t="s">
        <v>14</v>
      </c>
      <c r="F6301" s="7">
        <v>1237</v>
      </c>
      <c r="G6301" s="7">
        <v>441771.8674211803</v>
      </c>
      <c r="H6301" s="7">
        <v>546471800</v>
      </c>
      <c r="I6301" s="7">
        <v>106444800</v>
      </c>
      <c r="J6301" s="7">
        <v>0</v>
      </c>
      <c r="K6301">
        <f t="shared" si="98"/>
        <v>31</v>
      </c>
      <c r="L6301" s="8" t="str" cm="1">
        <f t="array" ref="L6301">_xlfn.IFS(
 AND(K6301&gt;=89,K6301&lt;=92),"3개월",
 AND(K6301&gt;=58,K6301&lt;=62),"2개월",
 AND(K6301&gt;=28,K6301&lt;=32),"1개월",
 AND(K6301=0),"당월",
 TRUE,"그외"
)</f>
        <v>1개월</v>
      </c>
    </row>
    <row r="6302" spans="1:12" x14ac:dyDescent="0.3">
      <c r="A6302" s="5">
        <v>45748</v>
      </c>
      <c r="B6302" s="6" t="s">
        <v>75</v>
      </c>
      <c r="C6302" s="6" t="s">
        <v>80</v>
      </c>
      <c r="D6302" s="5">
        <v>45717</v>
      </c>
      <c r="E6302" s="6" t="s">
        <v>15</v>
      </c>
      <c r="F6302" s="7">
        <v>2573</v>
      </c>
      <c r="G6302" s="7">
        <v>434631.56198989513</v>
      </c>
      <c r="H6302" s="7">
        <v>1118307009</v>
      </c>
      <c r="I6302" s="7">
        <v>82329490</v>
      </c>
      <c r="J6302" s="7">
        <v>0</v>
      </c>
      <c r="K6302">
        <f t="shared" si="98"/>
        <v>31</v>
      </c>
      <c r="L6302" s="8" t="str" cm="1">
        <f t="array" ref="L6302">_xlfn.IFS(
 AND(K6302&gt;=89,K6302&lt;=92),"3개월",
 AND(K6302&gt;=58,K6302&lt;=62),"2개월",
 AND(K6302&gt;=28,K6302&lt;=32),"1개월",
 AND(K6302=0),"당월",
 TRUE,"그외"
)</f>
        <v>1개월</v>
      </c>
    </row>
    <row r="6303" spans="1:12" x14ac:dyDescent="0.3">
      <c r="A6303" s="5">
        <v>45748</v>
      </c>
      <c r="B6303" s="6" t="s">
        <v>75</v>
      </c>
      <c r="C6303" s="6" t="s">
        <v>80</v>
      </c>
      <c r="D6303" s="5">
        <v>45748</v>
      </c>
      <c r="E6303" s="6" t="s">
        <v>14</v>
      </c>
      <c r="F6303" s="7">
        <v>1003</v>
      </c>
      <c r="G6303" s="7">
        <v>158597.00897308081</v>
      </c>
      <c r="H6303" s="7">
        <v>159072800</v>
      </c>
      <c r="I6303" s="7">
        <v>66822800</v>
      </c>
      <c r="J6303" s="7">
        <v>0</v>
      </c>
      <c r="K6303">
        <f t="shared" si="98"/>
        <v>0</v>
      </c>
      <c r="L6303" s="8" t="str" cm="1">
        <f t="array" ref="L6303">_xlfn.IFS(
 AND(K6303&gt;=89,K6303&lt;=92),"3개월",
 AND(K6303&gt;=58,K6303&lt;=62),"2개월",
 AND(K6303&gt;=28,K6303&lt;=32),"1개월",
 AND(K6303=0),"당월",
 TRUE,"그외"
)</f>
        <v>당월</v>
      </c>
    </row>
    <row r="6304" spans="1:12" x14ac:dyDescent="0.3">
      <c r="A6304" s="5">
        <v>45748</v>
      </c>
      <c r="B6304" s="6" t="s">
        <v>75</v>
      </c>
      <c r="C6304" s="6" t="s">
        <v>80</v>
      </c>
      <c r="D6304" s="5">
        <v>45748</v>
      </c>
      <c r="E6304" s="6" t="s">
        <v>15</v>
      </c>
      <c r="F6304" s="7">
        <v>1484</v>
      </c>
      <c r="G6304" s="7">
        <v>571255.41509433964</v>
      </c>
      <c r="H6304" s="7">
        <v>847743036</v>
      </c>
      <c r="I6304" s="7">
        <v>49632231</v>
      </c>
      <c r="J6304" s="7">
        <v>0</v>
      </c>
      <c r="K6304">
        <f t="shared" si="98"/>
        <v>0</v>
      </c>
      <c r="L6304" s="8" t="str" cm="1">
        <f t="array" ref="L6304">_xlfn.IFS(
 AND(K6304&gt;=89,K6304&lt;=92),"3개월",
 AND(K6304&gt;=58,K6304&lt;=62),"2개월",
 AND(K6304&gt;=28,K6304&lt;=32),"1개월",
 AND(K6304=0),"당월",
 TRUE,"그외"
)</f>
        <v>당월</v>
      </c>
    </row>
    <row r="6305" spans="1:12" x14ac:dyDescent="0.3">
      <c r="A6305" s="5">
        <v>45748</v>
      </c>
      <c r="B6305" s="6" t="s">
        <v>81</v>
      </c>
      <c r="C6305" s="6" t="s">
        <v>82</v>
      </c>
      <c r="D6305" s="5">
        <v>45658</v>
      </c>
      <c r="E6305" s="6" t="s">
        <v>15</v>
      </c>
      <c r="F6305" s="7">
        <v>6</v>
      </c>
      <c r="G6305" s="7">
        <v>120629.3333333333</v>
      </c>
      <c r="H6305" s="7">
        <v>723776</v>
      </c>
      <c r="I6305" s="7">
        <v>144000</v>
      </c>
      <c r="J6305" s="7">
        <v>0</v>
      </c>
      <c r="K6305">
        <f t="shared" si="98"/>
        <v>90</v>
      </c>
      <c r="L6305" s="8" t="str" cm="1">
        <f t="array" ref="L6305">_xlfn.IFS(
 AND(K6305&gt;=89,K6305&lt;=92),"3개월",
 AND(K6305&gt;=58,K6305&lt;=62),"2개월",
 AND(K6305&gt;=28,K6305&lt;=32),"1개월",
 AND(K6305=0),"당월",
 TRUE,"그외"
)</f>
        <v>3개월</v>
      </c>
    </row>
    <row r="6306" spans="1:12" x14ac:dyDescent="0.3">
      <c r="A6306" s="5">
        <v>45748</v>
      </c>
      <c r="B6306" s="6" t="s">
        <v>81</v>
      </c>
      <c r="C6306" s="6" t="s">
        <v>82</v>
      </c>
      <c r="D6306" s="5">
        <v>45689</v>
      </c>
      <c r="E6306" s="6" t="s">
        <v>14</v>
      </c>
      <c r="F6306" s="7">
        <v>50</v>
      </c>
      <c r="G6306" s="7">
        <v>77200</v>
      </c>
      <c r="H6306" s="7">
        <v>3860000</v>
      </c>
      <c r="I6306" s="7">
        <v>1240000</v>
      </c>
      <c r="J6306" s="7">
        <v>0</v>
      </c>
      <c r="K6306">
        <f t="shared" si="98"/>
        <v>59</v>
      </c>
      <c r="L6306" s="8" t="str" cm="1">
        <f t="array" ref="L6306">_xlfn.IFS(
 AND(K6306&gt;=89,K6306&lt;=92),"3개월",
 AND(K6306&gt;=58,K6306&lt;=62),"2개월",
 AND(K6306&gt;=28,K6306&lt;=32),"1개월",
 AND(K6306=0),"당월",
 TRUE,"그외"
)</f>
        <v>2개월</v>
      </c>
    </row>
    <row r="6307" spans="1:12" x14ac:dyDescent="0.3">
      <c r="A6307" s="5">
        <v>45748</v>
      </c>
      <c r="B6307" s="6" t="s">
        <v>81</v>
      </c>
      <c r="C6307" s="6" t="s">
        <v>82</v>
      </c>
      <c r="D6307" s="5">
        <v>45689</v>
      </c>
      <c r="E6307" s="6" t="s">
        <v>15</v>
      </c>
      <c r="F6307" s="7">
        <v>19</v>
      </c>
      <c r="G6307" s="7">
        <v>145924.05263157899</v>
      </c>
      <c r="H6307" s="7">
        <v>2772557</v>
      </c>
      <c r="I6307" s="7">
        <v>541219</v>
      </c>
      <c r="J6307" s="7">
        <v>0</v>
      </c>
      <c r="K6307">
        <f t="shared" si="98"/>
        <v>59</v>
      </c>
      <c r="L6307" s="8" t="str" cm="1">
        <f t="array" ref="L6307">_xlfn.IFS(
 AND(K6307&gt;=89,K6307&lt;=92),"3개월",
 AND(K6307&gt;=58,K6307&lt;=62),"2개월",
 AND(K6307&gt;=28,K6307&lt;=32),"1개월",
 AND(K6307=0),"당월",
 TRUE,"그외"
)</f>
        <v>2개월</v>
      </c>
    </row>
    <row r="6308" spans="1:12" x14ac:dyDescent="0.3">
      <c r="A6308" s="5">
        <v>45748</v>
      </c>
      <c r="B6308" s="6" t="s">
        <v>81</v>
      </c>
      <c r="C6308" s="6" t="s">
        <v>82</v>
      </c>
      <c r="D6308" s="5">
        <v>45717</v>
      </c>
      <c r="E6308" s="6" t="s">
        <v>15</v>
      </c>
      <c r="F6308" s="7">
        <v>8</v>
      </c>
      <c r="G6308" s="7">
        <v>164190.875</v>
      </c>
      <c r="H6308" s="7">
        <v>1313527</v>
      </c>
      <c r="I6308" s="7">
        <v>305028</v>
      </c>
      <c r="J6308" s="7">
        <v>0</v>
      </c>
      <c r="K6308">
        <f t="shared" si="98"/>
        <v>31</v>
      </c>
      <c r="L6308" s="8" t="str" cm="1">
        <f t="array" ref="L6308">_xlfn.IFS(
 AND(K6308&gt;=89,K6308&lt;=92),"3개월",
 AND(K6308&gt;=58,K6308&lt;=62),"2개월",
 AND(K6308&gt;=28,K6308&lt;=32),"1개월",
 AND(K6308=0),"당월",
 TRUE,"그외"
)</f>
        <v>1개월</v>
      </c>
    </row>
    <row r="6309" spans="1:12" x14ac:dyDescent="0.3">
      <c r="A6309" s="5">
        <v>45748</v>
      </c>
      <c r="B6309" s="6" t="s">
        <v>81</v>
      </c>
      <c r="C6309" s="6" t="s">
        <v>82</v>
      </c>
      <c r="D6309" s="5">
        <v>45748</v>
      </c>
      <c r="E6309" s="6" t="s">
        <v>14</v>
      </c>
      <c r="F6309" s="7">
        <v>444</v>
      </c>
      <c r="G6309" s="7">
        <v>81360.360360360355</v>
      </c>
      <c r="H6309" s="7">
        <v>36124000</v>
      </c>
      <c r="I6309" s="7">
        <v>9641000</v>
      </c>
      <c r="J6309" s="7">
        <v>0</v>
      </c>
      <c r="K6309">
        <f t="shared" si="98"/>
        <v>0</v>
      </c>
      <c r="L6309" s="8" t="str" cm="1">
        <f t="array" ref="L6309">_xlfn.IFS(
 AND(K6309&gt;=89,K6309&lt;=92),"3개월",
 AND(K6309&gt;=58,K6309&lt;=62),"2개월",
 AND(K6309&gt;=28,K6309&lt;=32),"1개월",
 AND(K6309=0),"당월",
 TRUE,"그외"
)</f>
        <v>당월</v>
      </c>
    </row>
    <row r="6310" spans="1:12" x14ac:dyDescent="0.3">
      <c r="A6310" s="5">
        <v>45748</v>
      </c>
      <c r="B6310" s="6" t="s">
        <v>81</v>
      </c>
      <c r="C6310" s="6" t="s">
        <v>82</v>
      </c>
      <c r="D6310" s="5">
        <v>45748</v>
      </c>
      <c r="E6310" s="6" t="s">
        <v>15</v>
      </c>
      <c r="F6310" s="7">
        <v>47</v>
      </c>
      <c r="G6310" s="7">
        <v>179802.19148936169</v>
      </c>
      <c r="H6310" s="7">
        <v>8450703</v>
      </c>
      <c r="I6310" s="7">
        <v>1566731</v>
      </c>
      <c r="J6310" s="7">
        <v>0</v>
      </c>
      <c r="K6310">
        <f t="shared" si="98"/>
        <v>0</v>
      </c>
      <c r="L6310" s="8" t="str" cm="1">
        <f t="array" ref="L6310">_xlfn.IFS(
 AND(K6310&gt;=89,K6310&lt;=92),"3개월",
 AND(K6310&gt;=58,K6310&lt;=62),"2개월",
 AND(K6310&gt;=28,K6310&lt;=32),"1개월",
 AND(K6310=0),"당월",
 TRUE,"그외"
)</f>
        <v>당월</v>
      </c>
    </row>
    <row r="6311" spans="1:12" x14ac:dyDescent="0.3">
      <c r="A6311" s="5">
        <v>45748</v>
      </c>
      <c r="B6311" s="6" t="s">
        <v>81</v>
      </c>
      <c r="C6311" s="6" t="s">
        <v>83</v>
      </c>
      <c r="D6311" s="5">
        <v>45717</v>
      </c>
      <c r="E6311" s="6" t="s">
        <v>15</v>
      </c>
      <c r="F6311" s="7">
        <v>41</v>
      </c>
      <c r="G6311" s="7">
        <v>135351.8048780488</v>
      </c>
      <c r="H6311" s="7">
        <v>5549424</v>
      </c>
      <c r="I6311" s="7">
        <v>1274306</v>
      </c>
      <c r="J6311" s="7">
        <v>0</v>
      </c>
      <c r="K6311">
        <f t="shared" si="98"/>
        <v>31</v>
      </c>
      <c r="L6311" s="8" t="str" cm="1">
        <f t="array" ref="L6311">_xlfn.IFS(
 AND(K6311&gt;=89,K6311&lt;=92),"3개월",
 AND(K6311&gt;=58,K6311&lt;=62),"2개월",
 AND(K6311&gt;=28,K6311&lt;=32),"1개월",
 AND(K6311=0),"당월",
 TRUE,"그외"
)</f>
        <v>1개월</v>
      </c>
    </row>
    <row r="6312" spans="1:12" x14ac:dyDescent="0.3">
      <c r="A6312" s="5">
        <v>45748</v>
      </c>
      <c r="B6312" s="6" t="s">
        <v>81</v>
      </c>
      <c r="C6312" s="6" t="s">
        <v>83</v>
      </c>
      <c r="D6312" s="5">
        <v>45748</v>
      </c>
      <c r="E6312" s="6" t="s">
        <v>14</v>
      </c>
      <c r="F6312" s="7">
        <v>17</v>
      </c>
      <c r="G6312" s="7">
        <v>64935.294117647063</v>
      </c>
      <c r="H6312" s="7">
        <v>1103900</v>
      </c>
      <c r="I6312" s="7">
        <v>368900</v>
      </c>
      <c r="J6312" s="7">
        <v>0</v>
      </c>
      <c r="K6312">
        <f t="shared" si="98"/>
        <v>0</v>
      </c>
      <c r="L6312" s="8" t="str" cm="1">
        <f t="array" ref="L6312">_xlfn.IFS(
 AND(K6312&gt;=89,K6312&lt;=92),"3개월",
 AND(K6312&gt;=58,K6312&lt;=62),"2개월",
 AND(K6312&gt;=28,K6312&lt;=32),"1개월",
 AND(K6312=0),"당월",
 TRUE,"그외"
)</f>
        <v>당월</v>
      </c>
    </row>
    <row r="6313" spans="1:12" x14ac:dyDescent="0.3">
      <c r="A6313" s="5">
        <v>45748</v>
      </c>
      <c r="B6313" s="6" t="s">
        <v>81</v>
      </c>
      <c r="C6313" s="6" t="s">
        <v>83</v>
      </c>
      <c r="D6313" s="5">
        <v>45748</v>
      </c>
      <c r="E6313" s="6" t="s">
        <v>15</v>
      </c>
      <c r="F6313" s="7">
        <v>83</v>
      </c>
      <c r="G6313" s="7">
        <v>137635.77108433729</v>
      </c>
      <c r="H6313" s="7">
        <v>11423769</v>
      </c>
      <c r="I6313" s="7">
        <v>1976995</v>
      </c>
      <c r="J6313" s="7">
        <v>0</v>
      </c>
      <c r="K6313">
        <f t="shared" si="98"/>
        <v>0</v>
      </c>
      <c r="L6313" s="8" t="str" cm="1">
        <f t="array" ref="L6313">_xlfn.IFS(
 AND(K6313&gt;=89,K6313&lt;=92),"3개월",
 AND(K6313&gt;=58,K6313&lt;=62),"2개월",
 AND(K6313&gt;=28,K6313&lt;=32),"1개월",
 AND(K6313=0),"당월",
 TRUE,"그외"
)</f>
        <v>당월</v>
      </c>
    </row>
    <row r="6314" spans="1:12" x14ac:dyDescent="0.3">
      <c r="A6314" s="5">
        <v>45748</v>
      </c>
      <c r="B6314" s="6" t="s">
        <v>81</v>
      </c>
      <c r="C6314" s="6" t="s">
        <v>125</v>
      </c>
      <c r="D6314" s="5">
        <v>45627</v>
      </c>
      <c r="E6314" s="6" t="s">
        <v>15</v>
      </c>
      <c r="F6314" s="7">
        <v>1</v>
      </c>
      <c r="G6314" s="7">
        <v>869872</v>
      </c>
      <c r="H6314" s="7">
        <v>869872</v>
      </c>
      <c r="I6314" s="7">
        <v>33200</v>
      </c>
      <c r="J6314" s="7">
        <v>0</v>
      </c>
      <c r="K6314">
        <f t="shared" si="98"/>
        <v>121</v>
      </c>
      <c r="L6314" s="8" t="str" cm="1">
        <f t="array" ref="L6314">_xlfn.IFS(
 AND(K6314&gt;=89,K6314&lt;=92),"3개월",
 AND(K6314&gt;=58,K6314&lt;=62),"2개월",
 AND(K6314&gt;=28,K6314&lt;=32),"1개월",
 AND(K6314=0),"당월",
 TRUE,"그외"
)</f>
        <v>그외</v>
      </c>
    </row>
    <row r="6315" spans="1:12" x14ac:dyDescent="0.3">
      <c r="A6315" s="5">
        <v>45748</v>
      </c>
      <c r="B6315" s="6" t="s">
        <v>81</v>
      </c>
      <c r="C6315" s="6" t="s">
        <v>125</v>
      </c>
      <c r="D6315" s="5">
        <v>45658</v>
      </c>
      <c r="E6315" s="6" t="s">
        <v>15</v>
      </c>
      <c r="F6315" s="7">
        <v>70</v>
      </c>
      <c r="G6315" s="7">
        <v>358699.22857142863</v>
      </c>
      <c r="H6315" s="7">
        <v>25108946</v>
      </c>
      <c r="I6315" s="7">
        <v>2695307</v>
      </c>
      <c r="J6315" s="7">
        <v>0</v>
      </c>
      <c r="K6315">
        <f t="shared" si="98"/>
        <v>90</v>
      </c>
      <c r="L6315" s="8" t="str" cm="1">
        <f t="array" ref="L6315">_xlfn.IFS(
 AND(K6315&gt;=89,K6315&lt;=92),"3개월",
 AND(K6315&gt;=58,K6315&lt;=62),"2개월",
 AND(K6315&gt;=28,K6315&lt;=32),"1개월",
 AND(K6315=0),"당월",
 TRUE,"그외"
)</f>
        <v>3개월</v>
      </c>
    </row>
    <row r="6316" spans="1:12" x14ac:dyDescent="0.3">
      <c r="A6316" s="5">
        <v>45748</v>
      </c>
      <c r="B6316" s="6" t="s">
        <v>81</v>
      </c>
      <c r="C6316" s="6" t="s">
        <v>125</v>
      </c>
      <c r="D6316" s="5">
        <v>45689</v>
      </c>
      <c r="E6316" s="6" t="s">
        <v>14</v>
      </c>
      <c r="F6316" s="7">
        <v>3</v>
      </c>
      <c r="G6316" s="7">
        <v>316175</v>
      </c>
      <c r="H6316" s="7">
        <v>948525</v>
      </c>
      <c r="I6316" s="7">
        <v>141705</v>
      </c>
      <c r="J6316" s="7">
        <v>0</v>
      </c>
      <c r="K6316">
        <f t="shared" si="98"/>
        <v>59</v>
      </c>
      <c r="L6316" s="8" t="str" cm="1">
        <f t="array" ref="L6316">_xlfn.IFS(
 AND(K6316&gt;=89,K6316&lt;=92),"3개월",
 AND(K6316&gt;=58,K6316&lt;=62),"2개월",
 AND(K6316&gt;=28,K6316&lt;=32),"1개월",
 AND(K6316=0),"당월",
 TRUE,"그외"
)</f>
        <v>2개월</v>
      </c>
    </row>
    <row r="6317" spans="1:12" x14ac:dyDescent="0.3">
      <c r="A6317" s="5">
        <v>45748</v>
      </c>
      <c r="B6317" s="6" t="s">
        <v>81</v>
      </c>
      <c r="C6317" s="6" t="s">
        <v>125</v>
      </c>
      <c r="D6317" s="5">
        <v>45689</v>
      </c>
      <c r="E6317" s="6" t="s">
        <v>15</v>
      </c>
      <c r="F6317" s="7">
        <v>306</v>
      </c>
      <c r="G6317" s="7">
        <v>390334.64705882361</v>
      </c>
      <c r="H6317" s="7">
        <v>119442402</v>
      </c>
      <c r="I6317" s="7">
        <v>13965327</v>
      </c>
      <c r="J6317" s="7">
        <v>0</v>
      </c>
      <c r="K6317">
        <f t="shared" si="98"/>
        <v>59</v>
      </c>
      <c r="L6317" s="8" t="str" cm="1">
        <f t="array" ref="L6317">_xlfn.IFS(
 AND(K6317&gt;=89,K6317&lt;=92),"3개월",
 AND(K6317&gt;=58,K6317&lt;=62),"2개월",
 AND(K6317&gt;=28,K6317&lt;=32),"1개월",
 AND(K6317=0),"당월",
 TRUE,"그외"
)</f>
        <v>2개월</v>
      </c>
    </row>
    <row r="6318" spans="1:12" x14ac:dyDescent="0.3">
      <c r="A6318" s="5">
        <v>45748</v>
      </c>
      <c r="B6318" s="6" t="s">
        <v>81</v>
      </c>
      <c r="C6318" s="6" t="s">
        <v>125</v>
      </c>
      <c r="D6318" s="5">
        <v>45717</v>
      </c>
      <c r="E6318" s="6" t="s">
        <v>14</v>
      </c>
      <c r="F6318" s="7">
        <v>415</v>
      </c>
      <c r="G6318" s="7">
        <v>350147.56626506022</v>
      </c>
      <c r="H6318" s="7">
        <v>145311240</v>
      </c>
      <c r="I6318" s="7">
        <v>23903400</v>
      </c>
      <c r="J6318" s="7">
        <v>0</v>
      </c>
      <c r="K6318">
        <f t="shared" si="98"/>
        <v>31</v>
      </c>
      <c r="L6318" s="8" t="str" cm="1">
        <f t="array" ref="L6318">_xlfn.IFS(
 AND(K6318&gt;=89,K6318&lt;=92),"3개월",
 AND(K6318&gt;=58,K6318&lt;=62),"2개월",
 AND(K6318&gt;=28,K6318&lt;=32),"1개월",
 AND(K6318=0),"당월",
 TRUE,"그외"
)</f>
        <v>1개월</v>
      </c>
    </row>
    <row r="6319" spans="1:12" x14ac:dyDescent="0.3">
      <c r="A6319" s="5">
        <v>45748</v>
      </c>
      <c r="B6319" s="6" t="s">
        <v>81</v>
      </c>
      <c r="C6319" s="6" t="s">
        <v>125</v>
      </c>
      <c r="D6319" s="5">
        <v>45717</v>
      </c>
      <c r="E6319" s="6" t="s">
        <v>15</v>
      </c>
      <c r="F6319" s="7">
        <v>627</v>
      </c>
      <c r="G6319" s="7">
        <v>380461.6570972887</v>
      </c>
      <c r="H6319" s="7">
        <v>238549459</v>
      </c>
      <c r="I6319" s="7">
        <v>30552659</v>
      </c>
      <c r="J6319" s="7">
        <v>0</v>
      </c>
      <c r="K6319">
        <f t="shared" si="98"/>
        <v>31</v>
      </c>
      <c r="L6319" s="8" t="str" cm="1">
        <f t="array" ref="L6319">_xlfn.IFS(
 AND(K6319&gt;=89,K6319&lt;=92),"3개월",
 AND(K6319&gt;=58,K6319&lt;=62),"2개월",
 AND(K6319&gt;=28,K6319&lt;=32),"1개월",
 AND(K6319=0),"당월",
 TRUE,"그외"
)</f>
        <v>1개월</v>
      </c>
    </row>
    <row r="6320" spans="1:12" x14ac:dyDescent="0.3">
      <c r="A6320" s="5">
        <v>45748</v>
      </c>
      <c r="B6320" s="6" t="s">
        <v>81</v>
      </c>
      <c r="C6320" s="6" t="s">
        <v>125</v>
      </c>
      <c r="D6320" s="5">
        <v>45748</v>
      </c>
      <c r="E6320" s="6" t="s">
        <v>14</v>
      </c>
      <c r="F6320" s="7">
        <v>507</v>
      </c>
      <c r="G6320" s="7">
        <v>378723.32544378698</v>
      </c>
      <c r="H6320" s="7">
        <v>192012726</v>
      </c>
      <c r="I6320" s="7">
        <v>24500469</v>
      </c>
      <c r="J6320" s="7">
        <v>0</v>
      </c>
      <c r="K6320">
        <f t="shared" si="98"/>
        <v>0</v>
      </c>
      <c r="L6320" s="8" t="str" cm="1">
        <f t="array" ref="L6320">_xlfn.IFS(
 AND(K6320&gt;=89,K6320&lt;=92),"3개월",
 AND(K6320&gt;=58,K6320&lt;=62),"2개월",
 AND(K6320&gt;=28,K6320&lt;=32),"1개월",
 AND(K6320=0),"당월",
 TRUE,"그외"
)</f>
        <v>당월</v>
      </c>
    </row>
    <row r="6321" spans="1:12" x14ac:dyDescent="0.3">
      <c r="A6321" s="5">
        <v>45748</v>
      </c>
      <c r="B6321" s="6" t="s">
        <v>81</v>
      </c>
      <c r="C6321" s="6" t="s">
        <v>125</v>
      </c>
      <c r="D6321" s="5">
        <v>45748</v>
      </c>
      <c r="E6321" s="6" t="s">
        <v>15</v>
      </c>
      <c r="F6321" s="7">
        <v>567</v>
      </c>
      <c r="G6321" s="7">
        <v>451559.49206349213</v>
      </c>
      <c r="H6321" s="7">
        <v>256034232</v>
      </c>
      <c r="I6321" s="7">
        <v>25475999</v>
      </c>
      <c r="J6321" s="7">
        <v>0</v>
      </c>
      <c r="K6321">
        <f t="shared" si="98"/>
        <v>0</v>
      </c>
      <c r="L6321" s="8" t="str" cm="1">
        <f t="array" ref="L6321">_xlfn.IFS(
 AND(K6321&gt;=89,K6321&lt;=92),"3개월",
 AND(K6321&gt;=58,K6321&lt;=62),"2개월",
 AND(K6321&gt;=28,K6321&lt;=32),"1개월",
 AND(K6321=0),"당월",
 TRUE,"그외"
)</f>
        <v>당월</v>
      </c>
    </row>
    <row r="6322" spans="1:12" x14ac:dyDescent="0.3">
      <c r="A6322" s="5">
        <v>45748</v>
      </c>
      <c r="B6322" s="6" t="s">
        <v>84</v>
      </c>
      <c r="C6322" s="6" t="s">
        <v>97</v>
      </c>
      <c r="D6322" s="5">
        <v>45627</v>
      </c>
      <c r="E6322" s="6" t="s">
        <v>15</v>
      </c>
      <c r="F6322" s="7">
        <v>1</v>
      </c>
      <c r="G6322" s="7">
        <v>476726</v>
      </c>
      <c r="H6322" s="7">
        <v>476726</v>
      </c>
      <c r="I6322" s="7">
        <v>138407</v>
      </c>
      <c r="J6322" s="7">
        <v>0</v>
      </c>
      <c r="K6322">
        <f t="shared" si="98"/>
        <v>121</v>
      </c>
      <c r="L6322" s="8" t="str" cm="1">
        <f t="array" ref="L6322">_xlfn.IFS(
 AND(K6322&gt;=89,K6322&lt;=92),"3개월",
 AND(K6322&gt;=58,K6322&lt;=62),"2개월",
 AND(K6322&gt;=28,K6322&lt;=32),"1개월",
 AND(K6322=0),"당월",
 TRUE,"그외"
)</f>
        <v>그외</v>
      </c>
    </row>
    <row r="6323" spans="1:12" x14ac:dyDescent="0.3">
      <c r="A6323" s="5">
        <v>45748</v>
      </c>
      <c r="B6323" s="6" t="s">
        <v>84</v>
      </c>
      <c r="C6323" s="6" t="s">
        <v>97</v>
      </c>
      <c r="D6323" s="5">
        <v>45658</v>
      </c>
      <c r="E6323" s="6" t="s">
        <v>15</v>
      </c>
      <c r="F6323" s="7">
        <v>11</v>
      </c>
      <c r="G6323" s="7">
        <v>469893.45454545447</v>
      </c>
      <c r="H6323" s="7">
        <v>5168828</v>
      </c>
      <c r="I6323" s="7">
        <v>1246737</v>
      </c>
      <c r="J6323" s="7">
        <v>0</v>
      </c>
      <c r="K6323">
        <f t="shared" si="98"/>
        <v>90</v>
      </c>
      <c r="L6323" s="8" t="str" cm="1">
        <f t="array" ref="L6323">_xlfn.IFS(
 AND(K6323&gt;=89,K6323&lt;=92),"3개월",
 AND(K6323&gt;=58,K6323&lt;=62),"2개월",
 AND(K6323&gt;=28,K6323&lt;=32),"1개월",
 AND(K6323=0),"당월",
 TRUE,"그외"
)</f>
        <v>3개월</v>
      </c>
    </row>
    <row r="6324" spans="1:12" x14ac:dyDescent="0.3">
      <c r="A6324" s="5">
        <v>45748</v>
      </c>
      <c r="B6324" s="6" t="s">
        <v>84</v>
      </c>
      <c r="C6324" s="6" t="s">
        <v>97</v>
      </c>
      <c r="D6324" s="5">
        <v>45689</v>
      </c>
      <c r="E6324" s="6" t="s">
        <v>15</v>
      </c>
      <c r="F6324" s="7">
        <v>28</v>
      </c>
      <c r="G6324" s="7">
        <v>349854.32142857142</v>
      </c>
      <c r="H6324" s="7">
        <v>9795921</v>
      </c>
      <c r="I6324" s="7">
        <v>3043724</v>
      </c>
      <c r="J6324" s="7">
        <v>0</v>
      </c>
      <c r="K6324">
        <f t="shared" si="98"/>
        <v>59</v>
      </c>
      <c r="L6324" s="8" t="str" cm="1">
        <f t="array" ref="L6324">_xlfn.IFS(
 AND(K6324&gt;=89,K6324&lt;=92),"3개월",
 AND(K6324&gt;=58,K6324&lt;=62),"2개월",
 AND(K6324&gt;=28,K6324&lt;=32),"1개월",
 AND(K6324=0),"당월",
 TRUE,"그외"
)</f>
        <v>2개월</v>
      </c>
    </row>
    <row r="6325" spans="1:12" x14ac:dyDescent="0.3">
      <c r="A6325" s="5">
        <v>45748</v>
      </c>
      <c r="B6325" s="6" t="s">
        <v>84</v>
      </c>
      <c r="C6325" s="6" t="s">
        <v>97</v>
      </c>
      <c r="D6325" s="5">
        <v>45717</v>
      </c>
      <c r="E6325" s="6" t="s">
        <v>15</v>
      </c>
      <c r="F6325" s="7">
        <v>166</v>
      </c>
      <c r="G6325" s="7">
        <v>453653.27710843371</v>
      </c>
      <c r="H6325" s="7">
        <v>75306444</v>
      </c>
      <c r="I6325" s="7">
        <v>16354405</v>
      </c>
      <c r="J6325" s="7">
        <v>0</v>
      </c>
      <c r="K6325">
        <f t="shared" si="98"/>
        <v>31</v>
      </c>
      <c r="L6325" s="8" t="str" cm="1">
        <f t="array" ref="L6325">_xlfn.IFS(
 AND(K6325&gt;=89,K6325&lt;=92),"3개월",
 AND(K6325&gt;=58,K6325&lt;=62),"2개월",
 AND(K6325&gt;=28,K6325&lt;=32),"1개월",
 AND(K6325=0),"당월",
 TRUE,"그외"
)</f>
        <v>1개월</v>
      </c>
    </row>
    <row r="6326" spans="1:12" x14ac:dyDescent="0.3">
      <c r="A6326" s="5">
        <v>45748</v>
      </c>
      <c r="B6326" s="6" t="s">
        <v>84</v>
      </c>
      <c r="C6326" s="6" t="s">
        <v>97</v>
      </c>
      <c r="D6326" s="5">
        <v>45748</v>
      </c>
      <c r="E6326" s="6" t="s">
        <v>14</v>
      </c>
      <c r="F6326" s="7">
        <v>57</v>
      </c>
      <c r="G6326" s="7">
        <v>245844.15789473691</v>
      </c>
      <c r="H6326" s="7">
        <v>14013117</v>
      </c>
      <c r="I6326" s="7">
        <v>3796200</v>
      </c>
      <c r="J6326" s="7">
        <v>0</v>
      </c>
      <c r="K6326">
        <f t="shared" si="98"/>
        <v>0</v>
      </c>
      <c r="L6326" s="8" t="str" cm="1">
        <f t="array" ref="L6326">_xlfn.IFS(
 AND(K6326&gt;=89,K6326&lt;=92),"3개월",
 AND(K6326&gt;=58,K6326&lt;=62),"2개월",
 AND(K6326&gt;=28,K6326&lt;=32),"1개월",
 AND(K6326=0),"당월",
 TRUE,"그외"
)</f>
        <v>당월</v>
      </c>
    </row>
    <row r="6327" spans="1:12" x14ac:dyDescent="0.3">
      <c r="A6327" s="5">
        <v>45748</v>
      </c>
      <c r="B6327" s="6" t="s">
        <v>84</v>
      </c>
      <c r="C6327" s="6" t="s">
        <v>97</v>
      </c>
      <c r="D6327" s="5">
        <v>45748</v>
      </c>
      <c r="E6327" s="6" t="s">
        <v>15</v>
      </c>
      <c r="F6327" s="7">
        <v>83</v>
      </c>
      <c r="G6327" s="7">
        <v>513011.63855421689</v>
      </c>
      <c r="H6327" s="7">
        <v>42579966</v>
      </c>
      <c r="I6327" s="7">
        <v>6856483</v>
      </c>
      <c r="J6327" s="7">
        <v>0</v>
      </c>
      <c r="K6327">
        <f t="shared" si="98"/>
        <v>0</v>
      </c>
      <c r="L6327" s="8" t="str" cm="1">
        <f t="array" ref="L6327">_xlfn.IFS(
 AND(K6327&gt;=89,K6327&lt;=92),"3개월",
 AND(K6327&gt;=58,K6327&lt;=62),"2개월",
 AND(K6327&gt;=28,K6327&lt;=32),"1개월",
 AND(K6327=0),"당월",
 TRUE,"그외"
)</f>
        <v>당월</v>
      </c>
    </row>
    <row r="6328" spans="1:12" x14ac:dyDescent="0.3">
      <c r="A6328" s="5">
        <v>45748</v>
      </c>
      <c r="B6328" s="6" t="s">
        <v>84</v>
      </c>
      <c r="C6328" s="6" t="s">
        <v>85</v>
      </c>
      <c r="D6328" s="5">
        <v>45566</v>
      </c>
      <c r="E6328" s="6" t="s">
        <v>15</v>
      </c>
      <c r="F6328" s="7">
        <v>142</v>
      </c>
      <c r="G6328" s="7">
        <v>660221.45070422534</v>
      </c>
      <c r="H6328" s="7">
        <v>93751446</v>
      </c>
      <c r="I6328" s="7">
        <v>12519328</v>
      </c>
      <c r="J6328" s="7">
        <v>0</v>
      </c>
      <c r="K6328">
        <f t="shared" si="98"/>
        <v>182</v>
      </c>
      <c r="L6328" s="8" t="str" cm="1">
        <f t="array" ref="L6328">_xlfn.IFS(
 AND(K6328&gt;=89,K6328&lt;=92),"3개월",
 AND(K6328&gt;=58,K6328&lt;=62),"2개월",
 AND(K6328&gt;=28,K6328&lt;=32),"1개월",
 AND(K6328=0),"당월",
 TRUE,"그외"
)</f>
        <v>그외</v>
      </c>
    </row>
    <row r="6329" spans="1:12" x14ac:dyDescent="0.3">
      <c r="A6329" s="5">
        <v>45748</v>
      </c>
      <c r="B6329" s="6" t="s">
        <v>84</v>
      </c>
      <c r="C6329" s="6" t="s">
        <v>85</v>
      </c>
      <c r="D6329" s="5">
        <v>45597</v>
      </c>
      <c r="E6329" s="6" t="s">
        <v>15</v>
      </c>
      <c r="F6329" s="7">
        <v>518</v>
      </c>
      <c r="G6329" s="7">
        <v>724382.69884169882</v>
      </c>
      <c r="H6329" s="7">
        <v>375230238</v>
      </c>
      <c r="I6329" s="7">
        <v>43066063</v>
      </c>
      <c r="J6329" s="7">
        <v>0</v>
      </c>
      <c r="K6329">
        <f t="shared" si="98"/>
        <v>151</v>
      </c>
      <c r="L6329" s="8" t="str" cm="1">
        <f t="array" ref="L6329">_xlfn.IFS(
 AND(K6329&gt;=89,K6329&lt;=92),"3개월",
 AND(K6329&gt;=58,K6329&lt;=62),"2개월",
 AND(K6329&gt;=28,K6329&lt;=32),"1개월",
 AND(K6329=0),"당월",
 TRUE,"그외"
)</f>
        <v>그외</v>
      </c>
    </row>
    <row r="6330" spans="1:12" x14ac:dyDescent="0.3">
      <c r="A6330" s="5">
        <v>45748</v>
      </c>
      <c r="B6330" s="6" t="s">
        <v>84</v>
      </c>
      <c r="C6330" s="6" t="s">
        <v>85</v>
      </c>
      <c r="D6330" s="5">
        <v>45627</v>
      </c>
      <c r="E6330" s="6" t="s">
        <v>15</v>
      </c>
      <c r="F6330" s="7">
        <v>492</v>
      </c>
      <c r="G6330" s="7">
        <v>763316.02439024393</v>
      </c>
      <c r="H6330" s="7">
        <v>375551484</v>
      </c>
      <c r="I6330" s="7">
        <v>46254438</v>
      </c>
      <c r="J6330" s="7">
        <v>0</v>
      </c>
      <c r="K6330">
        <f t="shared" si="98"/>
        <v>121</v>
      </c>
      <c r="L6330" s="8" t="str" cm="1">
        <f t="array" ref="L6330">_xlfn.IFS(
 AND(K6330&gt;=89,K6330&lt;=92),"3개월",
 AND(K6330&gt;=58,K6330&lt;=62),"2개월",
 AND(K6330&gt;=28,K6330&lt;=32),"1개월",
 AND(K6330=0),"당월",
 TRUE,"그외"
)</f>
        <v>그외</v>
      </c>
    </row>
    <row r="6331" spans="1:12" x14ac:dyDescent="0.3">
      <c r="A6331" s="5">
        <v>45748</v>
      </c>
      <c r="B6331" s="6" t="s">
        <v>84</v>
      </c>
      <c r="C6331" s="6" t="s">
        <v>85</v>
      </c>
      <c r="D6331" s="5">
        <v>45658</v>
      </c>
      <c r="E6331" s="6" t="s">
        <v>15</v>
      </c>
      <c r="F6331" s="7">
        <v>563</v>
      </c>
      <c r="G6331" s="7">
        <v>716472.29840142094</v>
      </c>
      <c r="H6331" s="7">
        <v>403373904</v>
      </c>
      <c r="I6331" s="7">
        <v>56753090</v>
      </c>
      <c r="J6331" s="7">
        <v>0</v>
      </c>
      <c r="K6331">
        <f t="shared" si="98"/>
        <v>90</v>
      </c>
      <c r="L6331" s="8" t="str" cm="1">
        <f t="array" ref="L6331">_xlfn.IFS(
 AND(K6331&gt;=89,K6331&lt;=92),"3개월",
 AND(K6331&gt;=58,K6331&lt;=62),"2개월",
 AND(K6331&gt;=28,K6331&lt;=32),"1개월",
 AND(K6331=0),"당월",
 TRUE,"그외"
)</f>
        <v>3개월</v>
      </c>
    </row>
    <row r="6332" spans="1:12" x14ac:dyDescent="0.3">
      <c r="A6332" s="5">
        <v>45748</v>
      </c>
      <c r="B6332" s="6" t="s">
        <v>84</v>
      </c>
      <c r="C6332" s="6" t="s">
        <v>85</v>
      </c>
      <c r="D6332" s="5">
        <v>45689</v>
      </c>
      <c r="E6332" s="6" t="s">
        <v>14</v>
      </c>
      <c r="F6332" s="7">
        <v>86</v>
      </c>
      <c r="G6332" s="7">
        <v>648086.04651162785</v>
      </c>
      <c r="H6332" s="7">
        <v>55735400</v>
      </c>
      <c r="I6332" s="7">
        <v>6785400</v>
      </c>
      <c r="J6332" s="7">
        <v>0</v>
      </c>
      <c r="K6332">
        <f t="shared" si="98"/>
        <v>59</v>
      </c>
      <c r="L6332" s="8" t="str" cm="1">
        <f t="array" ref="L6332">_xlfn.IFS(
 AND(K6332&gt;=89,K6332&lt;=92),"3개월",
 AND(K6332&gt;=58,K6332&lt;=62),"2개월",
 AND(K6332&gt;=28,K6332&lt;=32),"1개월",
 AND(K6332=0),"당월",
 TRUE,"그외"
)</f>
        <v>2개월</v>
      </c>
    </row>
    <row r="6333" spans="1:12" x14ac:dyDescent="0.3">
      <c r="A6333" s="5">
        <v>45748</v>
      </c>
      <c r="B6333" s="6" t="s">
        <v>84</v>
      </c>
      <c r="C6333" s="6" t="s">
        <v>85</v>
      </c>
      <c r="D6333" s="5">
        <v>45689</v>
      </c>
      <c r="E6333" s="6" t="s">
        <v>15</v>
      </c>
      <c r="F6333" s="7">
        <v>892</v>
      </c>
      <c r="G6333" s="7">
        <v>765772.09865470848</v>
      </c>
      <c r="H6333" s="7">
        <v>683068712</v>
      </c>
      <c r="I6333" s="7">
        <v>80978306</v>
      </c>
      <c r="J6333" s="7">
        <v>0</v>
      </c>
      <c r="K6333">
        <f t="shared" si="98"/>
        <v>59</v>
      </c>
      <c r="L6333" s="8" t="str" cm="1">
        <f t="array" ref="L6333">_xlfn.IFS(
 AND(K6333&gt;=89,K6333&lt;=92),"3개월",
 AND(K6333&gt;=58,K6333&lt;=62),"2개월",
 AND(K6333&gt;=28,K6333&lt;=32),"1개월",
 AND(K6333=0),"당월",
 TRUE,"그외"
)</f>
        <v>2개월</v>
      </c>
    </row>
    <row r="6334" spans="1:12" x14ac:dyDescent="0.3">
      <c r="A6334" s="5">
        <v>45748</v>
      </c>
      <c r="B6334" s="6" t="s">
        <v>84</v>
      </c>
      <c r="C6334" s="6" t="s">
        <v>85</v>
      </c>
      <c r="D6334" s="5">
        <v>45717</v>
      </c>
      <c r="E6334" s="6" t="s">
        <v>14</v>
      </c>
      <c r="F6334" s="7">
        <v>675</v>
      </c>
      <c r="G6334" s="7">
        <v>586708.74074074079</v>
      </c>
      <c r="H6334" s="7">
        <v>396028400</v>
      </c>
      <c r="I6334" s="7">
        <v>7078400</v>
      </c>
      <c r="J6334" s="7">
        <v>0</v>
      </c>
      <c r="K6334">
        <f t="shared" si="98"/>
        <v>31</v>
      </c>
      <c r="L6334" s="8" t="str" cm="1">
        <f t="array" ref="L6334">_xlfn.IFS(
 AND(K6334&gt;=89,K6334&lt;=92),"3개월",
 AND(K6334&gt;=58,K6334&lt;=62),"2개월",
 AND(K6334&gt;=28,K6334&lt;=32),"1개월",
 AND(K6334=0),"당월",
 TRUE,"그외"
)</f>
        <v>1개월</v>
      </c>
    </row>
    <row r="6335" spans="1:12" x14ac:dyDescent="0.3">
      <c r="A6335" s="5">
        <v>45748</v>
      </c>
      <c r="B6335" s="6" t="s">
        <v>84</v>
      </c>
      <c r="C6335" s="6" t="s">
        <v>85</v>
      </c>
      <c r="D6335" s="5">
        <v>45717</v>
      </c>
      <c r="E6335" s="6" t="s">
        <v>15</v>
      </c>
      <c r="F6335" s="7">
        <v>1410</v>
      </c>
      <c r="G6335" s="7">
        <v>709281.74326241133</v>
      </c>
      <c r="H6335" s="7">
        <v>1000087258</v>
      </c>
      <c r="I6335" s="7">
        <v>140298457</v>
      </c>
      <c r="J6335" s="7">
        <v>0</v>
      </c>
      <c r="K6335">
        <f t="shared" si="98"/>
        <v>31</v>
      </c>
      <c r="L6335" s="8" t="str" cm="1">
        <f t="array" ref="L6335">_xlfn.IFS(
 AND(K6335&gt;=89,K6335&lt;=92),"3개월",
 AND(K6335&gt;=58,K6335&lt;=62),"2개월",
 AND(K6335&gt;=28,K6335&lt;=32),"1개월",
 AND(K6335=0),"당월",
 TRUE,"그외"
)</f>
        <v>1개월</v>
      </c>
    </row>
    <row r="6336" spans="1:12" x14ac:dyDescent="0.3">
      <c r="A6336" s="5">
        <v>45748</v>
      </c>
      <c r="B6336" s="6" t="s">
        <v>84</v>
      </c>
      <c r="C6336" s="6" t="s">
        <v>85</v>
      </c>
      <c r="D6336" s="5">
        <v>45748</v>
      </c>
      <c r="E6336" s="6" t="s">
        <v>14</v>
      </c>
      <c r="F6336" s="7">
        <v>1109</v>
      </c>
      <c r="G6336" s="7">
        <v>658260.2344454464</v>
      </c>
      <c r="H6336" s="7">
        <v>730010600</v>
      </c>
      <c r="I6336" s="7">
        <v>2960600</v>
      </c>
      <c r="J6336" s="7">
        <v>0</v>
      </c>
      <c r="K6336">
        <f t="shared" si="98"/>
        <v>0</v>
      </c>
      <c r="L6336" s="8" t="str" cm="1">
        <f t="array" ref="L6336">_xlfn.IFS(
 AND(K6336&gt;=89,K6336&lt;=92),"3개월",
 AND(K6336&gt;=58,K6336&lt;=62),"2개월",
 AND(K6336&gt;=28,K6336&lt;=32),"1개월",
 AND(K6336=0),"당월",
 TRUE,"그외"
)</f>
        <v>당월</v>
      </c>
    </row>
    <row r="6337" spans="1:12" x14ac:dyDescent="0.3">
      <c r="A6337" s="5">
        <v>45748</v>
      </c>
      <c r="B6337" s="6" t="s">
        <v>84</v>
      </c>
      <c r="C6337" s="6" t="s">
        <v>85</v>
      </c>
      <c r="D6337" s="5">
        <v>45748</v>
      </c>
      <c r="E6337" s="6" t="s">
        <v>15</v>
      </c>
      <c r="F6337" s="7">
        <v>922</v>
      </c>
      <c r="G6337" s="7">
        <v>784920.86876355752</v>
      </c>
      <c r="H6337" s="7">
        <v>723697041</v>
      </c>
      <c r="I6337" s="7">
        <v>82508049</v>
      </c>
      <c r="J6337" s="7">
        <v>0</v>
      </c>
      <c r="K6337">
        <f t="shared" si="98"/>
        <v>0</v>
      </c>
      <c r="L6337" s="8" t="str" cm="1">
        <f t="array" ref="L6337">_xlfn.IFS(
 AND(K6337&gt;=89,K6337&lt;=92),"3개월",
 AND(K6337&gt;=58,K6337&lt;=62),"2개월",
 AND(K6337&gt;=28,K6337&lt;=32),"1개월",
 AND(K6337=0),"당월",
 TRUE,"그외"
)</f>
        <v>당월</v>
      </c>
    </row>
    <row r="6338" spans="1:12" x14ac:dyDescent="0.3">
      <c r="A6338" s="5">
        <v>45748</v>
      </c>
      <c r="B6338" s="6" t="s">
        <v>84</v>
      </c>
      <c r="C6338" s="6" t="s">
        <v>85</v>
      </c>
      <c r="D6338" s="5">
        <v>45778</v>
      </c>
      <c r="E6338" s="6" t="s">
        <v>15</v>
      </c>
      <c r="F6338" s="7">
        <v>3</v>
      </c>
      <c r="G6338" s="7">
        <v>574286</v>
      </c>
      <c r="H6338" s="7">
        <v>1722858</v>
      </c>
      <c r="I6338" s="7">
        <v>439671</v>
      </c>
      <c r="J6338" s="7">
        <v>0</v>
      </c>
      <c r="K6338">
        <f t="shared" si="98"/>
        <v>-30</v>
      </c>
      <c r="L6338" s="8" t="str" cm="1">
        <f t="array" ref="L6338">_xlfn.IFS(
 AND(K6338&gt;=89,K6338&lt;=92),"3개월",
 AND(K6338&gt;=58,K6338&lt;=62),"2개월",
 AND(K6338&gt;=28,K6338&lt;=32),"1개월",
 AND(K6338=0),"당월",
 TRUE,"그외"
)</f>
        <v>그외</v>
      </c>
    </row>
    <row r="6339" spans="1:12" x14ac:dyDescent="0.3">
      <c r="A6339" s="5">
        <v>45748</v>
      </c>
      <c r="B6339" s="6" t="s">
        <v>84</v>
      </c>
      <c r="C6339" s="6" t="s">
        <v>86</v>
      </c>
      <c r="D6339" s="5">
        <v>45566</v>
      </c>
      <c r="E6339" s="6" t="s">
        <v>15</v>
      </c>
      <c r="F6339" s="7">
        <v>129</v>
      </c>
      <c r="G6339" s="7">
        <v>790905.01550387591</v>
      </c>
      <c r="H6339" s="7">
        <v>102026747</v>
      </c>
      <c r="I6339" s="7">
        <v>10553682</v>
      </c>
      <c r="J6339" s="7">
        <v>0</v>
      </c>
      <c r="K6339">
        <f t="shared" si="98"/>
        <v>182</v>
      </c>
      <c r="L6339" s="8" t="str" cm="1">
        <f t="array" ref="L6339">_xlfn.IFS(
 AND(K6339&gt;=89,K6339&lt;=92),"3개월",
 AND(K6339&gt;=58,K6339&lt;=62),"2개월",
 AND(K6339&gt;=28,K6339&lt;=32),"1개월",
 AND(K6339=0),"당월",
 TRUE,"그외"
)</f>
        <v>그외</v>
      </c>
    </row>
    <row r="6340" spans="1:12" x14ac:dyDescent="0.3">
      <c r="A6340" s="5">
        <v>45748</v>
      </c>
      <c r="B6340" s="6" t="s">
        <v>84</v>
      </c>
      <c r="C6340" s="6" t="s">
        <v>86</v>
      </c>
      <c r="D6340" s="5">
        <v>45597</v>
      </c>
      <c r="E6340" s="6" t="s">
        <v>15</v>
      </c>
      <c r="F6340" s="7">
        <v>589</v>
      </c>
      <c r="G6340" s="7">
        <v>615916.12733446516</v>
      </c>
      <c r="H6340" s="7">
        <v>362774599</v>
      </c>
      <c r="I6340" s="7">
        <v>45936291</v>
      </c>
      <c r="J6340" s="7">
        <v>0</v>
      </c>
      <c r="K6340">
        <f t="shared" si="98"/>
        <v>151</v>
      </c>
      <c r="L6340" s="8" t="str" cm="1">
        <f t="array" ref="L6340">_xlfn.IFS(
 AND(K6340&gt;=89,K6340&lt;=92),"3개월",
 AND(K6340&gt;=58,K6340&lt;=62),"2개월",
 AND(K6340&gt;=28,K6340&lt;=32),"1개월",
 AND(K6340=0),"당월",
 TRUE,"그외"
)</f>
        <v>그외</v>
      </c>
    </row>
    <row r="6341" spans="1:12" x14ac:dyDescent="0.3">
      <c r="A6341" s="5">
        <v>45748</v>
      </c>
      <c r="B6341" s="6" t="s">
        <v>84</v>
      </c>
      <c r="C6341" s="6" t="s">
        <v>86</v>
      </c>
      <c r="D6341" s="5">
        <v>45627</v>
      </c>
      <c r="E6341" s="6" t="s">
        <v>14</v>
      </c>
      <c r="F6341" s="7">
        <v>2</v>
      </c>
      <c r="G6341" s="7">
        <v>464561</v>
      </c>
      <c r="H6341" s="7">
        <v>929122</v>
      </c>
      <c r="I6341" s="7">
        <v>149600</v>
      </c>
      <c r="J6341" s="7">
        <v>0</v>
      </c>
      <c r="K6341">
        <f t="shared" si="98"/>
        <v>121</v>
      </c>
      <c r="L6341" s="8" t="str" cm="1">
        <f t="array" ref="L6341">_xlfn.IFS(
 AND(K6341&gt;=89,K6341&lt;=92),"3개월",
 AND(K6341&gt;=58,K6341&lt;=62),"2개월",
 AND(K6341&gt;=28,K6341&lt;=32),"1개월",
 AND(K6341=0),"당월",
 TRUE,"그외"
)</f>
        <v>그외</v>
      </c>
    </row>
    <row r="6342" spans="1:12" x14ac:dyDescent="0.3">
      <c r="A6342" s="5">
        <v>45748</v>
      </c>
      <c r="B6342" s="6" t="s">
        <v>84</v>
      </c>
      <c r="C6342" s="6" t="s">
        <v>86</v>
      </c>
      <c r="D6342" s="5">
        <v>45627</v>
      </c>
      <c r="E6342" s="6" t="s">
        <v>15</v>
      </c>
      <c r="F6342" s="7">
        <v>649</v>
      </c>
      <c r="G6342" s="7">
        <v>662656.18798151007</v>
      </c>
      <c r="H6342" s="7">
        <v>430063866</v>
      </c>
      <c r="I6342" s="7">
        <v>58726026</v>
      </c>
      <c r="J6342" s="7">
        <v>0</v>
      </c>
      <c r="K6342">
        <f t="shared" si="98"/>
        <v>121</v>
      </c>
      <c r="L6342" s="8" t="str" cm="1">
        <f t="array" ref="L6342">_xlfn.IFS(
 AND(K6342&gt;=89,K6342&lt;=92),"3개월",
 AND(K6342&gt;=58,K6342&lt;=62),"2개월",
 AND(K6342&gt;=28,K6342&lt;=32),"1개월",
 AND(K6342=0),"당월",
 TRUE,"그외"
)</f>
        <v>그외</v>
      </c>
    </row>
    <row r="6343" spans="1:12" x14ac:dyDescent="0.3">
      <c r="A6343" s="5">
        <v>45748</v>
      </c>
      <c r="B6343" s="6" t="s">
        <v>84</v>
      </c>
      <c r="C6343" s="6" t="s">
        <v>86</v>
      </c>
      <c r="D6343" s="5">
        <v>45658</v>
      </c>
      <c r="E6343" s="6" t="s">
        <v>14</v>
      </c>
      <c r="F6343" s="7">
        <v>2</v>
      </c>
      <c r="G6343" s="7">
        <v>526100</v>
      </c>
      <c r="H6343" s="7">
        <v>1052200</v>
      </c>
      <c r="I6343" s="7">
        <v>152200</v>
      </c>
      <c r="J6343" s="7">
        <v>0</v>
      </c>
      <c r="K6343">
        <f t="shared" si="98"/>
        <v>90</v>
      </c>
      <c r="L6343" s="8" t="str" cm="1">
        <f t="array" ref="L6343">_xlfn.IFS(
 AND(K6343&gt;=89,K6343&lt;=92),"3개월",
 AND(K6343&gt;=58,K6343&lt;=62),"2개월",
 AND(K6343&gt;=28,K6343&lt;=32),"1개월",
 AND(K6343=0),"당월",
 TRUE,"그외"
)</f>
        <v>3개월</v>
      </c>
    </row>
    <row r="6344" spans="1:12" x14ac:dyDescent="0.3">
      <c r="A6344" s="5">
        <v>45748</v>
      </c>
      <c r="B6344" s="6" t="s">
        <v>84</v>
      </c>
      <c r="C6344" s="6" t="s">
        <v>86</v>
      </c>
      <c r="D6344" s="5">
        <v>45658</v>
      </c>
      <c r="E6344" s="6" t="s">
        <v>15</v>
      </c>
      <c r="F6344" s="7">
        <v>843</v>
      </c>
      <c r="G6344" s="7">
        <v>682428.36536180309</v>
      </c>
      <c r="H6344" s="7">
        <v>575287112</v>
      </c>
      <c r="I6344" s="7">
        <v>80699586</v>
      </c>
      <c r="J6344" s="7">
        <v>0</v>
      </c>
      <c r="K6344">
        <f t="shared" si="98"/>
        <v>90</v>
      </c>
      <c r="L6344" s="8" t="str" cm="1">
        <f t="array" ref="L6344">_xlfn.IFS(
 AND(K6344&gt;=89,K6344&lt;=92),"3개월",
 AND(K6344&gt;=58,K6344&lt;=62),"2개월",
 AND(K6344&gt;=28,K6344&lt;=32),"1개월",
 AND(K6344=0),"당월",
 TRUE,"그외"
)</f>
        <v>3개월</v>
      </c>
    </row>
    <row r="6345" spans="1:12" x14ac:dyDescent="0.3">
      <c r="A6345" s="5">
        <v>45748</v>
      </c>
      <c r="B6345" s="6" t="s">
        <v>84</v>
      </c>
      <c r="C6345" s="6" t="s">
        <v>86</v>
      </c>
      <c r="D6345" s="5">
        <v>45689</v>
      </c>
      <c r="E6345" s="6" t="s">
        <v>14</v>
      </c>
      <c r="F6345" s="7">
        <v>25</v>
      </c>
      <c r="G6345" s="7">
        <v>428900</v>
      </c>
      <c r="H6345" s="7">
        <v>10722500</v>
      </c>
      <c r="I6345" s="7">
        <v>1972500</v>
      </c>
      <c r="J6345" s="7">
        <v>0</v>
      </c>
      <c r="K6345">
        <f t="shared" si="98"/>
        <v>59</v>
      </c>
      <c r="L6345" s="8" t="str" cm="1">
        <f t="array" ref="L6345">_xlfn.IFS(
 AND(K6345&gt;=89,K6345&lt;=92),"3개월",
 AND(K6345&gt;=58,K6345&lt;=62),"2개월",
 AND(K6345&gt;=28,K6345&lt;=32),"1개월",
 AND(K6345=0),"당월",
 TRUE,"그외"
)</f>
        <v>2개월</v>
      </c>
    </row>
    <row r="6346" spans="1:12" x14ac:dyDescent="0.3">
      <c r="A6346" s="5">
        <v>45748</v>
      </c>
      <c r="B6346" s="6" t="s">
        <v>84</v>
      </c>
      <c r="C6346" s="6" t="s">
        <v>86</v>
      </c>
      <c r="D6346" s="5">
        <v>45689</v>
      </c>
      <c r="E6346" s="6" t="s">
        <v>15</v>
      </c>
      <c r="F6346" s="7">
        <v>1004</v>
      </c>
      <c r="G6346" s="7">
        <v>697895.70219123503</v>
      </c>
      <c r="H6346" s="7">
        <v>700687285</v>
      </c>
      <c r="I6346" s="7">
        <v>95067431</v>
      </c>
      <c r="J6346" s="7">
        <v>0</v>
      </c>
      <c r="K6346">
        <f t="shared" ref="K6346:K6409" si="99">A6346-D6346</f>
        <v>59</v>
      </c>
      <c r="L6346" s="8" t="str" cm="1">
        <f t="array" ref="L6346">_xlfn.IFS(
 AND(K6346&gt;=89,K6346&lt;=92),"3개월",
 AND(K6346&gt;=58,K6346&lt;=62),"2개월",
 AND(K6346&gt;=28,K6346&lt;=32),"1개월",
 AND(K6346=0),"당월",
 TRUE,"그외"
)</f>
        <v>2개월</v>
      </c>
    </row>
    <row r="6347" spans="1:12" x14ac:dyDescent="0.3">
      <c r="A6347" s="5">
        <v>45748</v>
      </c>
      <c r="B6347" s="6" t="s">
        <v>84</v>
      </c>
      <c r="C6347" s="6" t="s">
        <v>86</v>
      </c>
      <c r="D6347" s="5">
        <v>45717</v>
      </c>
      <c r="E6347" s="6" t="s">
        <v>14</v>
      </c>
      <c r="F6347" s="7">
        <v>675</v>
      </c>
      <c r="G6347" s="7">
        <v>473562.56444444438</v>
      </c>
      <c r="H6347" s="7">
        <v>319654731</v>
      </c>
      <c r="I6347" s="7">
        <v>60480000</v>
      </c>
      <c r="J6347" s="7">
        <v>0</v>
      </c>
      <c r="K6347">
        <f t="shared" si="99"/>
        <v>31</v>
      </c>
      <c r="L6347" s="8" t="str" cm="1">
        <f t="array" ref="L6347">_xlfn.IFS(
 AND(K6347&gt;=89,K6347&lt;=92),"3개월",
 AND(K6347&gt;=58,K6347&lt;=62),"2개월",
 AND(K6347&gt;=28,K6347&lt;=32),"1개월",
 AND(K6347=0),"당월",
 TRUE,"그외"
)</f>
        <v>1개월</v>
      </c>
    </row>
    <row r="6348" spans="1:12" x14ac:dyDescent="0.3">
      <c r="A6348" s="5">
        <v>45748</v>
      </c>
      <c r="B6348" s="6" t="s">
        <v>84</v>
      </c>
      <c r="C6348" s="6" t="s">
        <v>86</v>
      </c>
      <c r="D6348" s="5">
        <v>45717</v>
      </c>
      <c r="E6348" s="6" t="s">
        <v>15</v>
      </c>
      <c r="F6348" s="7">
        <v>1880</v>
      </c>
      <c r="G6348" s="7">
        <v>566000.28457446804</v>
      </c>
      <c r="H6348" s="7">
        <v>1064080535</v>
      </c>
      <c r="I6348" s="7">
        <v>192600157</v>
      </c>
      <c r="J6348" s="7">
        <v>0</v>
      </c>
      <c r="K6348">
        <f t="shared" si="99"/>
        <v>31</v>
      </c>
      <c r="L6348" s="8" t="str" cm="1">
        <f t="array" ref="L6348">_xlfn.IFS(
 AND(K6348&gt;=89,K6348&lt;=92),"3개월",
 AND(K6348&gt;=58,K6348&lt;=62),"2개월",
 AND(K6348&gt;=28,K6348&lt;=32),"1개월",
 AND(K6348=0),"당월",
 TRUE,"그외"
)</f>
        <v>1개월</v>
      </c>
    </row>
    <row r="6349" spans="1:12" x14ac:dyDescent="0.3">
      <c r="A6349" s="5">
        <v>45748</v>
      </c>
      <c r="B6349" s="6" t="s">
        <v>84</v>
      </c>
      <c r="C6349" s="6" t="s">
        <v>86</v>
      </c>
      <c r="D6349" s="5">
        <v>45748</v>
      </c>
      <c r="E6349" s="6" t="s">
        <v>14</v>
      </c>
      <c r="F6349" s="7">
        <v>1185</v>
      </c>
      <c r="G6349" s="7">
        <v>522167.20168776368</v>
      </c>
      <c r="H6349" s="7">
        <v>618768134</v>
      </c>
      <c r="I6349" s="7">
        <v>78967000</v>
      </c>
      <c r="J6349" s="7">
        <v>0</v>
      </c>
      <c r="K6349">
        <f t="shared" si="99"/>
        <v>0</v>
      </c>
      <c r="L6349" s="8" t="str" cm="1">
        <f t="array" ref="L6349">_xlfn.IFS(
 AND(K6349&gt;=89,K6349&lt;=92),"3개월",
 AND(K6349&gt;=58,K6349&lt;=62),"2개월",
 AND(K6349&gt;=28,K6349&lt;=32),"1개월",
 AND(K6349=0),"당월",
 TRUE,"그외"
)</f>
        <v>당월</v>
      </c>
    </row>
    <row r="6350" spans="1:12" x14ac:dyDescent="0.3">
      <c r="A6350" s="5">
        <v>45748</v>
      </c>
      <c r="B6350" s="6" t="s">
        <v>84</v>
      </c>
      <c r="C6350" s="6" t="s">
        <v>86</v>
      </c>
      <c r="D6350" s="5">
        <v>45748</v>
      </c>
      <c r="E6350" s="6" t="s">
        <v>15</v>
      </c>
      <c r="F6350" s="7">
        <v>1492</v>
      </c>
      <c r="G6350" s="7">
        <v>642964.19235924934</v>
      </c>
      <c r="H6350" s="7">
        <v>959302575</v>
      </c>
      <c r="I6350" s="7">
        <v>132782695</v>
      </c>
      <c r="J6350" s="7">
        <v>0</v>
      </c>
      <c r="K6350">
        <f t="shared" si="99"/>
        <v>0</v>
      </c>
      <c r="L6350" s="8" t="str" cm="1">
        <f t="array" ref="L6350">_xlfn.IFS(
 AND(K6350&gt;=89,K6350&lt;=92),"3개월",
 AND(K6350&gt;=58,K6350&lt;=62),"2개월",
 AND(K6350&gt;=28,K6350&lt;=32),"1개월",
 AND(K6350=0),"당월",
 TRUE,"그외"
)</f>
        <v>당월</v>
      </c>
    </row>
    <row r="6351" spans="1:12" x14ac:dyDescent="0.3">
      <c r="A6351" s="5">
        <v>45748</v>
      </c>
      <c r="B6351" s="6" t="s">
        <v>84</v>
      </c>
      <c r="C6351" s="6" t="s">
        <v>86</v>
      </c>
      <c r="D6351" s="5">
        <v>45778</v>
      </c>
      <c r="E6351" s="6" t="s">
        <v>15</v>
      </c>
      <c r="F6351" s="7">
        <v>2</v>
      </c>
      <c r="G6351" s="7">
        <v>73278</v>
      </c>
      <c r="H6351" s="7">
        <v>146556</v>
      </c>
      <c r="I6351" s="7">
        <v>0</v>
      </c>
      <c r="J6351" s="7">
        <v>0</v>
      </c>
      <c r="K6351">
        <f t="shared" si="99"/>
        <v>-30</v>
      </c>
      <c r="L6351" s="8" t="str" cm="1">
        <f t="array" ref="L6351">_xlfn.IFS(
 AND(K6351&gt;=89,K6351&lt;=92),"3개월",
 AND(K6351&gt;=58,K6351&lt;=62),"2개월",
 AND(K6351&gt;=28,K6351&lt;=32),"1개월",
 AND(K6351=0),"당월",
 TRUE,"그외"
)</f>
        <v>그외</v>
      </c>
    </row>
    <row r="6352" spans="1:12" x14ac:dyDescent="0.3">
      <c r="A6352" s="5">
        <v>45748</v>
      </c>
      <c r="B6352" s="6" t="s">
        <v>84</v>
      </c>
      <c r="C6352" s="6" t="s">
        <v>87</v>
      </c>
      <c r="D6352" s="5">
        <v>45566</v>
      </c>
      <c r="E6352" s="6" t="s">
        <v>15</v>
      </c>
      <c r="F6352" s="7">
        <v>51</v>
      </c>
      <c r="G6352" s="7">
        <v>477689.70588235301</v>
      </c>
      <c r="H6352" s="7">
        <v>24362175</v>
      </c>
      <c r="I6352" s="7">
        <v>5175754</v>
      </c>
      <c r="J6352" s="7">
        <v>0</v>
      </c>
      <c r="K6352">
        <f t="shared" si="99"/>
        <v>182</v>
      </c>
      <c r="L6352" s="8" t="str" cm="1">
        <f t="array" ref="L6352">_xlfn.IFS(
 AND(K6352&gt;=89,K6352&lt;=92),"3개월",
 AND(K6352&gt;=58,K6352&lt;=62),"2개월",
 AND(K6352&gt;=28,K6352&lt;=32),"1개월",
 AND(K6352=0),"당월",
 TRUE,"그외"
)</f>
        <v>그외</v>
      </c>
    </row>
    <row r="6353" spans="1:12" x14ac:dyDescent="0.3">
      <c r="A6353" s="5">
        <v>45748</v>
      </c>
      <c r="B6353" s="6" t="s">
        <v>84</v>
      </c>
      <c r="C6353" s="6" t="s">
        <v>87</v>
      </c>
      <c r="D6353" s="5">
        <v>45597</v>
      </c>
      <c r="E6353" s="6" t="s">
        <v>15</v>
      </c>
      <c r="F6353" s="7">
        <v>361</v>
      </c>
      <c r="G6353" s="7">
        <v>475225.27700831031</v>
      </c>
      <c r="H6353" s="7">
        <v>171556325</v>
      </c>
      <c r="I6353" s="7">
        <v>32942527</v>
      </c>
      <c r="J6353" s="7">
        <v>0</v>
      </c>
      <c r="K6353">
        <f t="shared" si="99"/>
        <v>151</v>
      </c>
      <c r="L6353" s="8" t="str" cm="1">
        <f t="array" ref="L6353">_xlfn.IFS(
 AND(K6353&gt;=89,K6353&lt;=92),"3개월",
 AND(K6353&gt;=58,K6353&lt;=62),"2개월",
 AND(K6353&gt;=28,K6353&lt;=32),"1개월",
 AND(K6353=0),"당월",
 TRUE,"그외"
)</f>
        <v>그외</v>
      </c>
    </row>
    <row r="6354" spans="1:12" x14ac:dyDescent="0.3">
      <c r="A6354" s="5">
        <v>45748</v>
      </c>
      <c r="B6354" s="6" t="s">
        <v>84</v>
      </c>
      <c r="C6354" s="6" t="s">
        <v>87</v>
      </c>
      <c r="D6354" s="5">
        <v>45627</v>
      </c>
      <c r="E6354" s="6" t="s">
        <v>14</v>
      </c>
      <c r="F6354" s="7">
        <v>10</v>
      </c>
      <c r="G6354" s="7">
        <v>299800</v>
      </c>
      <c r="H6354" s="7">
        <v>2998000</v>
      </c>
      <c r="I6354" s="7">
        <v>748000</v>
      </c>
      <c r="J6354" s="7">
        <v>0</v>
      </c>
      <c r="K6354">
        <f t="shared" si="99"/>
        <v>121</v>
      </c>
      <c r="L6354" s="8" t="str" cm="1">
        <f t="array" ref="L6354">_xlfn.IFS(
 AND(K6354&gt;=89,K6354&lt;=92),"3개월",
 AND(K6354&gt;=58,K6354&lt;=62),"2개월",
 AND(K6354&gt;=28,K6354&lt;=32),"1개월",
 AND(K6354=0),"당월",
 TRUE,"그외"
)</f>
        <v>그외</v>
      </c>
    </row>
    <row r="6355" spans="1:12" x14ac:dyDescent="0.3">
      <c r="A6355" s="5">
        <v>45748</v>
      </c>
      <c r="B6355" s="6" t="s">
        <v>84</v>
      </c>
      <c r="C6355" s="6" t="s">
        <v>87</v>
      </c>
      <c r="D6355" s="5">
        <v>45627</v>
      </c>
      <c r="E6355" s="6" t="s">
        <v>15</v>
      </c>
      <c r="F6355" s="7">
        <v>623</v>
      </c>
      <c r="G6355" s="7">
        <v>509206.60834670952</v>
      </c>
      <c r="H6355" s="7">
        <v>317235717</v>
      </c>
      <c r="I6355" s="7">
        <v>64723925</v>
      </c>
      <c r="J6355" s="7">
        <v>0</v>
      </c>
      <c r="K6355">
        <f t="shared" si="99"/>
        <v>121</v>
      </c>
      <c r="L6355" s="8" t="str" cm="1">
        <f t="array" ref="L6355">_xlfn.IFS(
 AND(K6355&gt;=89,K6355&lt;=92),"3개월",
 AND(K6355&gt;=58,K6355&lt;=62),"2개월",
 AND(K6355&gt;=28,K6355&lt;=32),"1개월",
 AND(K6355=0),"당월",
 TRUE,"그외"
)</f>
        <v>그외</v>
      </c>
    </row>
    <row r="6356" spans="1:12" x14ac:dyDescent="0.3">
      <c r="A6356" s="5">
        <v>45748</v>
      </c>
      <c r="B6356" s="6" t="s">
        <v>84</v>
      </c>
      <c r="C6356" s="6" t="s">
        <v>87</v>
      </c>
      <c r="D6356" s="5">
        <v>45658</v>
      </c>
      <c r="E6356" s="6" t="s">
        <v>15</v>
      </c>
      <c r="F6356" s="7">
        <v>755</v>
      </c>
      <c r="G6356" s="7">
        <v>583207.67152317881</v>
      </c>
      <c r="H6356" s="7">
        <v>440321792</v>
      </c>
      <c r="I6356" s="7">
        <v>79311854</v>
      </c>
      <c r="J6356" s="7">
        <v>0</v>
      </c>
      <c r="K6356">
        <f t="shared" si="99"/>
        <v>90</v>
      </c>
      <c r="L6356" s="8" t="str" cm="1">
        <f t="array" ref="L6356">_xlfn.IFS(
 AND(K6356&gt;=89,K6356&lt;=92),"3개월",
 AND(K6356&gt;=58,K6356&lt;=62),"2개월",
 AND(K6356&gt;=28,K6356&lt;=32),"1개월",
 AND(K6356=0),"당월",
 TRUE,"그외"
)</f>
        <v>3개월</v>
      </c>
    </row>
    <row r="6357" spans="1:12" x14ac:dyDescent="0.3">
      <c r="A6357" s="5">
        <v>45748</v>
      </c>
      <c r="B6357" s="6" t="s">
        <v>84</v>
      </c>
      <c r="C6357" s="6" t="s">
        <v>87</v>
      </c>
      <c r="D6357" s="5">
        <v>45689</v>
      </c>
      <c r="E6357" s="6" t="s">
        <v>14</v>
      </c>
      <c r="F6357" s="7">
        <v>50</v>
      </c>
      <c r="G6357" s="7">
        <v>428900</v>
      </c>
      <c r="H6357" s="7">
        <v>21445000</v>
      </c>
      <c r="I6357" s="7">
        <v>3945000</v>
      </c>
      <c r="J6357" s="7">
        <v>0</v>
      </c>
      <c r="K6357">
        <f t="shared" si="99"/>
        <v>59</v>
      </c>
      <c r="L6357" s="8" t="str" cm="1">
        <f t="array" ref="L6357">_xlfn.IFS(
 AND(K6357&gt;=89,K6357&lt;=92),"3개월",
 AND(K6357&gt;=58,K6357&lt;=62),"2개월",
 AND(K6357&gt;=28,K6357&lt;=32),"1개월",
 AND(K6357=0),"당월",
 TRUE,"그외"
)</f>
        <v>2개월</v>
      </c>
    </row>
    <row r="6358" spans="1:12" x14ac:dyDescent="0.3">
      <c r="A6358" s="5">
        <v>45748</v>
      </c>
      <c r="B6358" s="6" t="s">
        <v>84</v>
      </c>
      <c r="C6358" s="6" t="s">
        <v>87</v>
      </c>
      <c r="D6358" s="5">
        <v>45689</v>
      </c>
      <c r="E6358" s="6" t="s">
        <v>15</v>
      </c>
      <c r="F6358" s="7">
        <v>920</v>
      </c>
      <c r="G6358" s="7">
        <v>601754.73043478257</v>
      </c>
      <c r="H6358" s="7">
        <v>553614352</v>
      </c>
      <c r="I6358" s="7">
        <v>94292898</v>
      </c>
      <c r="J6358" s="7">
        <v>0</v>
      </c>
      <c r="K6358">
        <f t="shared" si="99"/>
        <v>59</v>
      </c>
      <c r="L6358" s="8" t="str" cm="1">
        <f t="array" ref="L6358">_xlfn.IFS(
 AND(K6358&gt;=89,K6358&lt;=92),"3개월",
 AND(K6358&gt;=58,K6358&lt;=62),"2개월",
 AND(K6358&gt;=28,K6358&lt;=32),"1개월",
 AND(K6358=0),"당월",
 TRUE,"그외"
)</f>
        <v>2개월</v>
      </c>
    </row>
    <row r="6359" spans="1:12" x14ac:dyDescent="0.3">
      <c r="A6359" s="5">
        <v>45748</v>
      </c>
      <c r="B6359" s="6" t="s">
        <v>84</v>
      </c>
      <c r="C6359" s="6" t="s">
        <v>87</v>
      </c>
      <c r="D6359" s="5">
        <v>45717</v>
      </c>
      <c r="E6359" s="6" t="s">
        <v>14</v>
      </c>
      <c r="F6359" s="7">
        <v>392</v>
      </c>
      <c r="G6359" s="7">
        <v>327673.97959183669</v>
      </c>
      <c r="H6359" s="7">
        <v>128448200</v>
      </c>
      <c r="I6359" s="7">
        <v>35123200</v>
      </c>
      <c r="J6359" s="7">
        <v>0</v>
      </c>
      <c r="K6359">
        <f t="shared" si="99"/>
        <v>31</v>
      </c>
      <c r="L6359" s="8" t="str" cm="1">
        <f t="array" ref="L6359">_xlfn.IFS(
 AND(K6359&gt;=89,K6359&lt;=92),"3개월",
 AND(K6359&gt;=58,K6359&lt;=62),"2개월",
 AND(K6359&gt;=28,K6359&lt;=32),"1개월",
 AND(K6359=0),"당월",
 TRUE,"그외"
)</f>
        <v>1개월</v>
      </c>
    </row>
    <row r="6360" spans="1:12" x14ac:dyDescent="0.3">
      <c r="A6360" s="5">
        <v>45748</v>
      </c>
      <c r="B6360" s="6" t="s">
        <v>84</v>
      </c>
      <c r="C6360" s="6" t="s">
        <v>87</v>
      </c>
      <c r="D6360" s="5">
        <v>45717</v>
      </c>
      <c r="E6360" s="6" t="s">
        <v>15</v>
      </c>
      <c r="F6360" s="7">
        <v>1907</v>
      </c>
      <c r="G6360" s="7">
        <v>584594.89512323018</v>
      </c>
      <c r="H6360" s="7">
        <v>1114822465</v>
      </c>
      <c r="I6360" s="7">
        <v>209577980</v>
      </c>
      <c r="J6360" s="7">
        <v>0</v>
      </c>
      <c r="K6360">
        <f t="shared" si="99"/>
        <v>31</v>
      </c>
      <c r="L6360" s="8" t="str" cm="1">
        <f t="array" ref="L6360">_xlfn.IFS(
 AND(K6360&gt;=89,K6360&lt;=92),"3개월",
 AND(K6360&gt;=58,K6360&lt;=62),"2개월",
 AND(K6360&gt;=28,K6360&lt;=32),"1개월",
 AND(K6360=0),"당월",
 TRUE,"그외"
)</f>
        <v>1개월</v>
      </c>
    </row>
    <row r="6361" spans="1:12" x14ac:dyDescent="0.3">
      <c r="A6361" s="5">
        <v>45748</v>
      </c>
      <c r="B6361" s="6" t="s">
        <v>84</v>
      </c>
      <c r="C6361" s="6" t="s">
        <v>87</v>
      </c>
      <c r="D6361" s="5">
        <v>45748</v>
      </c>
      <c r="E6361" s="6" t="s">
        <v>14</v>
      </c>
      <c r="F6361" s="7">
        <v>611</v>
      </c>
      <c r="G6361" s="7">
        <v>384289.17021276598</v>
      </c>
      <c r="H6361" s="7">
        <v>234800683</v>
      </c>
      <c r="I6361" s="7">
        <v>40692600</v>
      </c>
      <c r="J6361" s="7">
        <v>0</v>
      </c>
      <c r="K6361">
        <f t="shared" si="99"/>
        <v>0</v>
      </c>
      <c r="L6361" s="8" t="str" cm="1">
        <f t="array" ref="L6361">_xlfn.IFS(
 AND(K6361&gt;=89,K6361&lt;=92),"3개월",
 AND(K6361&gt;=58,K6361&lt;=62),"2개월",
 AND(K6361&gt;=28,K6361&lt;=32),"1개월",
 AND(K6361=0),"당월",
 TRUE,"그외"
)</f>
        <v>당월</v>
      </c>
    </row>
    <row r="6362" spans="1:12" x14ac:dyDescent="0.3">
      <c r="A6362" s="5">
        <v>45748</v>
      </c>
      <c r="B6362" s="6" t="s">
        <v>84</v>
      </c>
      <c r="C6362" s="6" t="s">
        <v>87</v>
      </c>
      <c r="D6362" s="5">
        <v>45748</v>
      </c>
      <c r="E6362" s="6" t="s">
        <v>15</v>
      </c>
      <c r="F6362" s="7">
        <v>1435</v>
      </c>
      <c r="G6362" s="7">
        <v>682613.23763066204</v>
      </c>
      <c r="H6362" s="7">
        <v>979549996</v>
      </c>
      <c r="I6362" s="7">
        <v>143197654</v>
      </c>
      <c r="J6362" s="7">
        <v>0</v>
      </c>
      <c r="K6362">
        <f t="shared" si="99"/>
        <v>0</v>
      </c>
      <c r="L6362" s="8" t="str" cm="1">
        <f t="array" ref="L6362">_xlfn.IFS(
 AND(K6362&gt;=89,K6362&lt;=92),"3개월",
 AND(K6362&gt;=58,K6362&lt;=62),"2개월",
 AND(K6362&gt;=28,K6362&lt;=32),"1개월",
 AND(K6362=0),"당월",
 TRUE,"그외"
)</f>
        <v>당월</v>
      </c>
    </row>
    <row r="6363" spans="1:12" x14ac:dyDescent="0.3">
      <c r="A6363" s="5">
        <v>45748</v>
      </c>
      <c r="B6363" s="6" t="s">
        <v>84</v>
      </c>
      <c r="C6363" s="6" t="s">
        <v>88</v>
      </c>
      <c r="D6363" s="5">
        <v>45566</v>
      </c>
      <c r="E6363" s="6" t="s">
        <v>15</v>
      </c>
      <c r="F6363" s="7">
        <v>158</v>
      </c>
      <c r="G6363" s="7">
        <v>577214.32911392406</v>
      </c>
      <c r="H6363" s="7">
        <v>91199864</v>
      </c>
      <c r="I6363" s="7">
        <v>14746380</v>
      </c>
      <c r="J6363" s="7">
        <v>0</v>
      </c>
      <c r="K6363">
        <f t="shared" si="99"/>
        <v>182</v>
      </c>
      <c r="L6363" s="8" t="str" cm="1">
        <f t="array" ref="L6363">_xlfn.IFS(
 AND(K6363&gt;=89,K6363&lt;=92),"3개월",
 AND(K6363&gt;=58,K6363&lt;=62),"2개월",
 AND(K6363&gt;=28,K6363&lt;=32),"1개월",
 AND(K6363=0),"당월",
 TRUE,"그외"
)</f>
        <v>그외</v>
      </c>
    </row>
    <row r="6364" spans="1:12" x14ac:dyDescent="0.3">
      <c r="A6364" s="5">
        <v>45748</v>
      </c>
      <c r="B6364" s="6" t="s">
        <v>84</v>
      </c>
      <c r="C6364" s="6" t="s">
        <v>88</v>
      </c>
      <c r="D6364" s="5">
        <v>45597</v>
      </c>
      <c r="E6364" s="6" t="s">
        <v>15</v>
      </c>
      <c r="F6364" s="7">
        <v>765</v>
      </c>
      <c r="G6364" s="7">
        <v>579582.47712418297</v>
      </c>
      <c r="H6364" s="7">
        <v>443380595</v>
      </c>
      <c r="I6364" s="7">
        <v>67321763</v>
      </c>
      <c r="J6364" s="7">
        <v>0</v>
      </c>
      <c r="K6364">
        <f t="shared" si="99"/>
        <v>151</v>
      </c>
      <c r="L6364" s="8" t="str" cm="1">
        <f t="array" ref="L6364">_xlfn.IFS(
 AND(K6364&gt;=89,K6364&lt;=92),"3개월",
 AND(K6364&gt;=58,K6364&lt;=62),"2개월",
 AND(K6364&gt;=28,K6364&lt;=32),"1개월",
 AND(K6364=0),"당월",
 TRUE,"그외"
)</f>
        <v>그외</v>
      </c>
    </row>
    <row r="6365" spans="1:12" x14ac:dyDescent="0.3">
      <c r="A6365" s="5">
        <v>45748</v>
      </c>
      <c r="B6365" s="6" t="s">
        <v>84</v>
      </c>
      <c r="C6365" s="6" t="s">
        <v>88</v>
      </c>
      <c r="D6365" s="5">
        <v>45627</v>
      </c>
      <c r="E6365" s="6" t="s">
        <v>14</v>
      </c>
      <c r="F6365" s="7">
        <v>2</v>
      </c>
      <c r="G6365" s="7">
        <v>485039</v>
      </c>
      <c r="H6365" s="7">
        <v>970078</v>
      </c>
      <c r="I6365" s="7">
        <v>149600</v>
      </c>
      <c r="J6365" s="7">
        <v>0</v>
      </c>
      <c r="K6365">
        <f t="shared" si="99"/>
        <v>121</v>
      </c>
      <c r="L6365" s="8" t="str" cm="1">
        <f t="array" ref="L6365">_xlfn.IFS(
 AND(K6365&gt;=89,K6365&lt;=92),"3개월",
 AND(K6365&gt;=58,K6365&lt;=62),"2개월",
 AND(K6365&gt;=28,K6365&lt;=32),"1개월",
 AND(K6365=0),"당월",
 TRUE,"그외"
)</f>
        <v>그외</v>
      </c>
    </row>
    <row r="6366" spans="1:12" x14ac:dyDescent="0.3">
      <c r="A6366" s="5">
        <v>45748</v>
      </c>
      <c r="B6366" s="6" t="s">
        <v>84</v>
      </c>
      <c r="C6366" s="6" t="s">
        <v>88</v>
      </c>
      <c r="D6366" s="5">
        <v>45627</v>
      </c>
      <c r="E6366" s="6" t="s">
        <v>15</v>
      </c>
      <c r="F6366" s="7">
        <v>846</v>
      </c>
      <c r="G6366" s="7">
        <v>653617.16430260043</v>
      </c>
      <c r="H6366" s="7">
        <v>552960121</v>
      </c>
      <c r="I6366" s="7">
        <v>83351087</v>
      </c>
      <c r="J6366" s="7">
        <v>0</v>
      </c>
      <c r="K6366">
        <f t="shared" si="99"/>
        <v>121</v>
      </c>
      <c r="L6366" s="8" t="str" cm="1">
        <f t="array" ref="L6366">_xlfn.IFS(
 AND(K6366&gt;=89,K6366&lt;=92),"3개월",
 AND(K6366&gt;=58,K6366&lt;=62),"2개월",
 AND(K6366&gt;=28,K6366&lt;=32),"1개월",
 AND(K6366=0),"당월",
 TRUE,"그외"
)</f>
        <v>그외</v>
      </c>
    </row>
    <row r="6367" spans="1:12" x14ac:dyDescent="0.3">
      <c r="A6367" s="5">
        <v>45748</v>
      </c>
      <c r="B6367" s="6" t="s">
        <v>84</v>
      </c>
      <c r="C6367" s="6" t="s">
        <v>88</v>
      </c>
      <c r="D6367" s="5">
        <v>45658</v>
      </c>
      <c r="E6367" s="6" t="s">
        <v>15</v>
      </c>
      <c r="F6367" s="7">
        <v>954</v>
      </c>
      <c r="G6367" s="7">
        <v>661849.4360587002</v>
      </c>
      <c r="H6367" s="7">
        <v>631404362</v>
      </c>
      <c r="I6367" s="7">
        <v>99703619</v>
      </c>
      <c r="J6367" s="7">
        <v>0</v>
      </c>
      <c r="K6367">
        <f t="shared" si="99"/>
        <v>90</v>
      </c>
      <c r="L6367" s="8" t="str" cm="1">
        <f t="array" ref="L6367">_xlfn.IFS(
 AND(K6367&gt;=89,K6367&lt;=92),"3개월",
 AND(K6367&gt;=58,K6367&lt;=62),"2개월",
 AND(K6367&gt;=28,K6367&lt;=32),"1개월",
 AND(K6367=0),"당월",
 TRUE,"그외"
)</f>
        <v>3개월</v>
      </c>
    </row>
    <row r="6368" spans="1:12" x14ac:dyDescent="0.3">
      <c r="A6368" s="5">
        <v>45748</v>
      </c>
      <c r="B6368" s="6" t="s">
        <v>84</v>
      </c>
      <c r="C6368" s="6" t="s">
        <v>88</v>
      </c>
      <c r="D6368" s="5">
        <v>45689</v>
      </c>
      <c r="E6368" s="6" t="s">
        <v>14</v>
      </c>
      <c r="F6368" s="7">
        <v>20</v>
      </c>
      <c r="G6368" s="7">
        <v>628900</v>
      </c>
      <c r="H6368" s="7">
        <v>12578000</v>
      </c>
      <c r="I6368" s="7">
        <v>1578000</v>
      </c>
      <c r="J6368" s="7">
        <v>0</v>
      </c>
      <c r="K6368">
        <f t="shared" si="99"/>
        <v>59</v>
      </c>
      <c r="L6368" s="8" t="str" cm="1">
        <f t="array" ref="L6368">_xlfn.IFS(
 AND(K6368&gt;=89,K6368&lt;=92),"3개월",
 AND(K6368&gt;=58,K6368&lt;=62),"2개월",
 AND(K6368&gt;=28,K6368&lt;=32),"1개월",
 AND(K6368=0),"당월",
 TRUE,"그외"
)</f>
        <v>2개월</v>
      </c>
    </row>
    <row r="6369" spans="1:12" x14ac:dyDescent="0.3">
      <c r="A6369" s="5">
        <v>45748</v>
      </c>
      <c r="B6369" s="6" t="s">
        <v>84</v>
      </c>
      <c r="C6369" s="6" t="s">
        <v>88</v>
      </c>
      <c r="D6369" s="5">
        <v>45689</v>
      </c>
      <c r="E6369" s="6" t="s">
        <v>15</v>
      </c>
      <c r="F6369" s="7">
        <v>1126</v>
      </c>
      <c r="G6369" s="7">
        <v>671402.97957371222</v>
      </c>
      <c r="H6369" s="7">
        <v>755999755</v>
      </c>
      <c r="I6369" s="7">
        <v>115235394</v>
      </c>
      <c r="J6369" s="7">
        <v>0</v>
      </c>
      <c r="K6369">
        <f t="shared" si="99"/>
        <v>59</v>
      </c>
      <c r="L6369" s="8" t="str" cm="1">
        <f t="array" ref="L6369">_xlfn.IFS(
 AND(K6369&gt;=89,K6369&lt;=92),"3개월",
 AND(K6369&gt;=58,K6369&lt;=62),"2개월",
 AND(K6369&gt;=28,K6369&lt;=32),"1개월",
 AND(K6369=0),"당월",
 TRUE,"그외"
)</f>
        <v>2개월</v>
      </c>
    </row>
    <row r="6370" spans="1:12" x14ac:dyDescent="0.3">
      <c r="A6370" s="5">
        <v>45748</v>
      </c>
      <c r="B6370" s="6" t="s">
        <v>84</v>
      </c>
      <c r="C6370" s="6" t="s">
        <v>88</v>
      </c>
      <c r="D6370" s="5">
        <v>45717</v>
      </c>
      <c r="E6370" s="6" t="s">
        <v>14</v>
      </c>
      <c r="F6370" s="7">
        <v>316</v>
      </c>
      <c r="G6370" s="7">
        <v>496305.41139240499</v>
      </c>
      <c r="H6370" s="7">
        <v>156832510</v>
      </c>
      <c r="I6370" s="7">
        <v>28313600</v>
      </c>
      <c r="J6370" s="7">
        <v>0</v>
      </c>
      <c r="K6370">
        <f t="shared" si="99"/>
        <v>31</v>
      </c>
      <c r="L6370" s="8" t="str" cm="1">
        <f t="array" ref="L6370">_xlfn.IFS(
 AND(K6370&gt;=89,K6370&lt;=92),"3개월",
 AND(K6370&gt;=58,K6370&lt;=62),"2개월",
 AND(K6370&gt;=28,K6370&lt;=32),"1개월",
 AND(K6370=0),"당월",
 TRUE,"그외"
)</f>
        <v>1개월</v>
      </c>
    </row>
    <row r="6371" spans="1:12" x14ac:dyDescent="0.3">
      <c r="A6371" s="5">
        <v>45748</v>
      </c>
      <c r="B6371" s="6" t="s">
        <v>84</v>
      </c>
      <c r="C6371" s="6" t="s">
        <v>88</v>
      </c>
      <c r="D6371" s="5">
        <v>45717</v>
      </c>
      <c r="E6371" s="6" t="s">
        <v>15</v>
      </c>
      <c r="F6371" s="7">
        <v>2283</v>
      </c>
      <c r="G6371" s="7">
        <v>589836.03898379323</v>
      </c>
      <c r="H6371" s="7">
        <v>1346595677</v>
      </c>
      <c r="I6371" s="7">
        <v>242154213</v>
      </c>
      <c r="J6371" s="7">
        <v>0</v>
      </c>
      <c r="K6371">
        <f t="shared" si="99"/>
        <v>31</v>
      </c>
      <c r="L6371" s="8" t="str" cm="1">
        <f t="array" ref="L6371">_xlfn.IFS(
 AND(K6371&gt;=89,K6371&lt;=92),"3개월",
 AND(K6371&gt;=58,K6371&lt;=62),"2개월",
 AND(K6371&gt;=28,K6371&lt;=32),"1개월",
 AND(K6371=0),"당월",
 TRUE,"그외"
)</f>
        <v>1개월</v>
      </c>
    </row>
    <row r="6372" spans="1:12" x14ac:dyDescent="0.3">
      <c r="A6372" s="5">
        <v>45748</v>
      </c>
      <c r="B6372" s="6" t="s">
        <v>84</v>
      </c>
      <c r="C6372" s="6" t="s">
        <v>88</v>
      </c>
      <c r="D6372" s="5">
        <v>45748</v>
      </c>
      <c r="E6372" s="6" t="s">
        <v>14</v>
      </c>
      <c r="F6372" s="7">
        <v>600</v>
      </c>
      <c r="G6372" s="7">
        <v>546177.82833333337</v>
      </c>
      <c r="H6372" s="7">
        <v>327706697</v>
      </c>
      <c r="I6372" s="7">
        <v>39960000</v>
      </c>
      <c r="J6372" s="7">
        <v>0</v>
      </c>
      <c r="K6372">
        <f t="shared" si="99"/>
        <v>0</v>
      </c>
      <c r="L6372" s="8" t="str" cm="1">
        <f t="array" ref="L6372">_xlfn.IFS(
 AND(K6372&gt;=89,K6372&lt;=92),"3개월",
 AND(K6372&gt;=58,K6372&lt;=62),"2개월",
 AND(K6372&gt;=28,K6372&lt;=32),"1개월",
 AND(K6372=0),"당월",
 TRUE,"그외"
)</f>
        <v>당월</v>
      </c>
    </row>
    <row r="6373" spans="1:12" x14ac:dyDescent="0.3">
      <c r="A6373" s="5">
        <v>45748</v>
      </c>
      <c r="B6373" s="6" t="s">
        <v>84</v>
      </c>
      <c r="C6373" s="6" t="s">
        <v>88</v>
      </c>
      <c r="D6373" s="5">
        <v>45748</v>
      </c>
      <c r="E6373" s="6" t="s">
        <v>15</v>
      </c>
      <c r="F6373" s="7">
        <v>1447</v>
      </c>
      <c r="G6373" s="7">
        <v>633666.11817553558</v>
      </c>
      <c r="H6373" s="7">
        <v>916914873</v>
      </c>
      <c r="I6373" s="7">
        <v>141411136</v>
      </c>
      <c r="J6373" s="7">
        <v>0</v>
      </c>
      <c r="K6373">
        <f t="shared" si="99"/>
        <v>0</v>
      </c>
      <c r="L6373" s="8" t="str" cm="1">
        <f t="array" ref="L6373">_xlfn.IFS(
 AND(K6373&gt;=89,K6373&lt;=92),"3개월",
 AND(K6373&gt;=58,K6373&lt;=62),"2개월",
 AND(K6373&gt;=28,K6373&lt;=32),"1개월",
 AND(K6373=0),"당월",
 TRUE,"그외"
)</f>
        <v>당월</v>
      </c>
    </row>
    <row r="6374" spans="1:12" x14ac:dyDescent="0.3">
      <c r="A6374" s="5">
        <v>45748</v>
      </c>
      <c r="B6374" s="6" t="s">
        <v>84</v>
      </c>
      <c r="C6374" s="6" t="s">
        <v>88</v>
      </c>
      <c r="D6374" s="5">
        <v>45778</v>
      </c>
      <c r="E6374" s="6" t="s">
        <v>15</v>
      </c>
      <c r="F6374" s="7">
        <v>7</v>
      </c>
      <c r="G6374" s="7">
        <v>1070020.2857142859</v>
      </c>
      <c r="H6374" s="7">
        <v>7490142</v>
      </c>
      <c r="I6374" s="7">
        <v>652828</v>
      </c>
      <c r="J6374" s="7">
        <v>0</v>
      </c>
      <c r="K6374">
        <f t="shared" si="99"/>
        <v>-30</v>
      </c>
      <c r="L6374" s="8" t="str" cm="1">
        <f t="array" ref="L6374">_xlfn.IFS(
 AND(K6374&gt;=89,K6374&lt;=92),"3개월",
 AND(K6374&gt;=58,K6374&lt;=62),"2개월",
 AND(K6374&gt;=28,K6374&lt;=32),"1개월",
 AND(K6374=0),"당월",
 TRUE,"그외"
)</f>
        <v>그외</v>
      </c>
    </row>
    <row r="6375" spans="1:12" x14ac:dyDescent="0.3">
      <c r="A6375" s="5">
        <v>45778</v>
      </c>
      <c r="B6375" s="6" t="s">
        <v>12</v>
      </c>
      <c r="C6375" s="6" t="s">
        <v>13</v>
      </c>
      <c r="D6375" s="5">
        <v>45658</v>
      </c>
      <c r="E6375" s="6" t="s">
        <v>14</v>
      </c>
      <c r="F6375" s="7">
        <v>74</v>
      </c>
      <c r="G6375" s="7">
        <v>85752.297297297293</v>
      </c>
      <c r="H6375" s="7">
        <v>6345670</v>
      </c>
      <c r="I6375" s="7">
        <v>651200</v>
      </c>
      <c r="J6375" s="7">
        <v>59200</v>
      </c>
      <c r="K6375">
        <f t="shared" si="99"/>
        <v>120</v>
      </c>
      <c r="L6375" s="8" t="str" cm="1">
        <f t="array" ref="L6375">_xlfn.IFS(
 AND(K6375&gt;=89,K6375&lt;=92),"3개월",
 AND(K6375&gt;=58,K6375&lt;=62),"2개월",
 AND(K6375&gt;=28,K6375&lt;=32),"1개월",
 AND(K6375=0),"당월",
 TRUE,"그외"
)</f>
        <v>그외</v>
      </c>
    </row>
    <row r="6376" spans="1:12" x14ac:dyDescent="0.3">
      <c r="A6376" s="5">
        <v>45778</v>
      </c>
      <c r="B6376" s="6" t="s">
        <v>12</v>
      </c>
      <c r="C6376" s="6" t="s">
        <v>13</v>
      </c>
      <c r="D6376" s="5">
        <v>45658</v>
      </c>
      <c r="E6376" s="6" t="s">
        <v>15</v>
      </c>
      <c r="F6376" s="7">
        <v>7095</v>
      </c>
      <c r="G6376" s="7">
        <v>99594.959830866806</v>
      </c>
      <c r="H6376" s="7">
        <v>706626240</v>
      </c>
      <c r="I6376" s="7">
        <v>62436000</v>
      </c>
      <c r="J6376" s="7">
        <v>5676000</v>
      </c>
      <c r="K6376">
        <f t="shared" si="99"/>
        <v>120</v>
      </c>
      <c r="L6376" s="8" t="str" cm="1">
        <f t="array" ref="L6376">_xlfn.IFS(
 AND(K6376&gt;=89,K6376&lt;=92),"3개월",
 AND(K6376&gt;=58,K6376&lt;=62),"2개월",
 AND(K6376&gt;=28,K6376&lt;=32),"1개월",
 AND(K6376=0),"당월",
 TRUE,"그외"
)</f>
        <v>그외</v>
      </c>
    </row>
    <row r="6377" spans="1:12" x14ac:dyDescent="0.3">
      <c r="A6377" s="5">
        <v>45778</v>
      </c>
      <c r="B6377" s="6" t="s">
        <v>12</v>
      </c>
      <c r="C6377" s="6" t="s">
        <v>13</v>
      </c>
      <c r="D6377" s="5">
        <v>45689</v>
      </c>
      <c r="E6377" s="6" t="s">
        <v>14</v>
      </c>
      <c r="F6377" s="7">
        <v>107</v>
      </c>
      <c r="G6377" s="7">
        <v>97023.355140186919</v>
      </c>
      <c r="H6377" s="7">
        <v>10381499</v>
      </c>
      <c r="I6377" s="7">
        <v>941600</v>
      </c>
      <c r="J6377" s="7">
        <v>85600</v>
      </c>
      <c r="K6377">
        <f t="shared" si="99"/>
        <v>89</v>
      </c>
      <c r="L6377" s="8" t="str" cm="1">
        <f t="array" ref="L6377">_xlfn.IFS(
 AND(K6377&gt;=89,K6377&lt;=92),"3개월",
 AND(K6377&gt;=58,K6377&lt;=62),"2개월",
 AND(K6377&gt;=28,K6377&lt;=32),"1개월",
 AND(K6377=0),"당월",
 TRUE,"그외"
)</f>
        <v>3개월</v>
      </c>
    </row>
    <row r="6378" spans="1:12" x14ac:dyDescent="0.3">
      <c r="A6378" s="5">
        <v>45778</v>
      </c>
      <c r="B6378" s="6" t="s">
        <v>12</v>
      </c>
      <c r="C6378" s="6" t="s">
        <v>13</v>
      </c>
      <c r="D6378" s="5">
        <v>45689</v>
      </c>
      <c r="E6378" s="6" t="s">
        <v>15</v>
      </c>
      <c r="F6378" s="7">
        <v>6122</v>
      </c>
      <c r="G6378" s="7">
        <v>89757.418163998693</v>
      </c>
      <c r="H6378" s="7">
        <v>549494914</v>
      </c>
      <c r="I6378" s="7">
        <v>53864800</v>
      </c>
      <c r="J6378" s="7">
        <v>4896800</v>
      </c>
      <c r="K6378">
        <f t="shared" si="99"/>
        <v>89</v>
      </c>
      <c r="L6378" s="8" t="str" cm="1">
        <f t="array" ref="L6378">_xlfn.IFS(
 AND(K6378&gt;=89,K6378&lt;=92),"3개월",
 AND(K6378&gt;=58,K6378&lt;=62),"2개월",
 AND(K6378&gt;=28,K6378&lt;=32),"1개월",
 AND(K6378=0),"당월",
 TRUE,"그외"
)</f>
        <v>3개월</v>
      </c>
    </row>
    <row r="6379" spans="1:12" x14ac:dyDescent="0.3">
      <c r="A6379" s="5">
        <v>45778</v>
      </c>
      <c r="B6379" s="6" t="s">
        <v>12</v>
      </c>
      <c r="C6379" s="6" t="s">
        <v>13</v>
      </c>
      <c r="D6379" s="5">
        <v>45717</v>
      </c>
      <c r="E6379" s="6" t="s">
        <v>14</v>
      </c>
      <c r="F6379" s="7">
        <v>791</v>
      </c>
      <c r="G6379" s="7">
        <v>93687.342604298363</v>
      </c>
      <c r="H6379" s="7">
        <v>74106688</v>
      </c>
      <c r="I6379" s="7">
        <v>8701000</v>
      </c>
      <c r="J6379" s="7">
        <v>791000</v>
      </c>
      <c r="K6379">
        <f t="shared" si="99"/>
        <v>61</v>
      </c>
      <c r="L6379" s="8" t="str" cm="1">
        <f t="array" ref="L6379">_xlfn.IFS(
 AND(K6379&gt;=89,K6379&lt;=92),"3개월",
 AND(K6379&gt;=58,K6379&lt;=62),"2개월",
 AND(K6379&gt;=28,K6379&lt;=32),"1개월",
 AND(K6379=0),"당월",
 TRUE,"그외"
)</f>
        <v>2개월</v>
      </c>
    </row>
    <row r="6380" spans="1:12" x14ac:dyDescent="0.3">
      <c r="A6380" s="5">
        <v>45778</v>
      </c>
      <c r="B6380" s="6" t="s">
        <v>12</v>
      </c>
      <c r="C6380" s="6" t="s">
        <v>13</v>
      </c>
      <c r="D6380" s="5">
        <v>45717</v>
      </c>
      <c r="E6380" s="6" t="s">
        <v>15</v>
      </c>
      <c r="F6380" s="7">
        <v>16596</v>
      </c>
      <c r="G6380" s="7">
        <v>86265.7237286093</v>
      </c>
      <c r="H6380" s="7">
        <v>1431665951</v>
      </c>
      <c r="I6380" s="7">
        <v>180512200</v>
      </c>
      <c r="J6380" s="7">
        <v>16410200</v>
      </c>
      <c r="K6380">
        <f t="shared" si="99"/>
        <v>61</v>
      </c>
      <c r="L6380" s="8" t="str" cm="1">
        <f t="array" ref="L6380">_xlfn.IFS(
 AND(K6380&gt;=89,K6380&lt;=92),"3개월",
 AND(K6380&gt;=58,K6380&lt;=62),"2개월",
 AND(K6380&gt;=28,K6380&lt;=32),"1개월",
 AND(K6380=0),"당월",
 TRUE,"그외"
)</f>
        <v>2개월</v>
      </c>
    </row>
    <row r="6381" spans="1:12" x14ac:dyDescent="0.3">
      <c r="A6381" s="5">
        <v>45778</v>
      </c>
      <c r="B6381" s="6" t="s">
        <v>12</v>
      </c>
      <c r="C6381" s="6" t="s">
        <v>13</v>
      </c>
      <c r="D6381" s="5">
        <v>45748</v>
      </c>
      <c r="E6381" s="6" t="s">
        <v>14</v>
      </c>
      <c r="F6381" s="7">
        <v>7600</v>
      </c>
      <c r="G6381" s="7">
        <v>77500.18026315789</v>
      </c>
      <c r="H6381" s="7">
        <v>589001370</v>
      </c>
      <c r="I6381" s="7">
        <v>66888800</v>
      </c>
      <c r="J6381" s="7">
        <v>6080800</v>
      </c>
      <c r="K6381">
        <f t="shared" si="99"/>
        <v>30</v>
      </c>
      <c r="L6381" s="8" t="str" cm="1">
        <f t="array" ref="L6381">_xlfn.IFS(
 AND(K6381&gt;=89,K6381&lt;=92),"3개월",
 AND(K6381&gt;=58,K6381&lt;=62),"2개월",
 AND(K6381&gt;=28,K6381&lt;=32),"1개월",
 AND(K6381=0),"당월",
 TRUE,"그외"
)</f>
        <v>1개월</v>
      </c>
    </row>
    <row r="6382" spans="1:12" x14ac:dyDescent="0.3">
      <c r="A6382" s="5">
        <v>45778</v>
      </c>
      <c r="B6382" s="6" t="s">
        <v>12</v>
      </c>
      <c r="C6382" s="6" t="s">
        <v>13</v>
      </c>
      <c r="D6382" s="5">
        <v>45748</v>
      </c>
      <c r="E6382" s="6" t="s">
        <v>15</v>
      </c>
      <c r="F6382" s="7">
        <v>36439</v>
      </c>
      <c r="G6382" s="7">
        <v>52137.975740278271</v>
      </c>
      <c r="H6382" s="7">
        <v>1899855698</v>
      </c>
      <c r="I6382" s="7">
        <v>316301900</v>
      </c>
      <c r="J6382" s="7">
        <v>28754718</v>
      </c>
      <c r="K6382">
        <f t="shared" si="99"/>
        <v>30</v>
      </c>
      <c r="L6382" s="8" t="str" cm="1">
        <f t="array" ref="L6382">_xlfn.IFS(
 AND(K6382&gt;=89,K6382&lt;=92),"3개월",
 AND(K6382&gt;=58,K6382&lt;=62),"2개월",
 AND(K6382&gt;=28,K6382&lt;=32),"1개월",
 AND(K6382=0),"당월",
 TRUE,"그외"
)</f>
        <v>1개월</v>
      </c>
    </row>
    <row r="6383" spans="1:12" x14ac:dyDescent="0.3">
      <c r="A6383" s="5">
        <v>45778</v>
      </c>
      <c r="B6383" s="6" t="s">
        <v>12</v>
      </c>
      <c r="C6383" s="6" t="s">
        <v>13</v>
      </c>
      <c r="D6383" s="5">
        <v>45778</v>
      </c>
      <c r="E6383" s="6" t="s">
        <v>14</v>
      </c>
      <c r="F6383" s="7">
        <v>1780</v>
      </c>
      <c r="G6383" s="7">
        <v>73583.606179775277</v>
      </c>
      <c r="H6383" s="7">
        <v>130978819</v>
      </c>
      <c r="I6383" s="7">
        <v>15670600</v>
      </c>
      <c r="J6383" s="7">
        <v>1424600</v>
      </c>
      <c r="K6383">
        <f t="shared" si="99"/>
        <v>0</v>
      </c>
      <c r="L6383" s="8" t="str" cm="1">
        <f t="array" ref="L6383">_xlfn.IFS(
 AND(K6383&gt;=89,K6383&lt;=92),"3개월",
 AND(K6383&gt;=58,K6383&lt;=62),"2개월",
 AND(K6383&gt;=28,K6383&lt;=32),"1개월",
 AND(K6383=0),"당월",
 TRUE,"그외"
)</f>
        <v>당월</v>
      </c>
    </row>
    <row r="6384" spans="1:12" x14ac:dyDescent="0.3">
      <c r="A6384" s="5">
        <v>45778</v>
      </c>
      <c r="B6384" s="6" t="s">
        <v>12</v>
      </c>
      <c r="C6384" s="6" t="s">
        <v>13</v>
      </c>
      <c r="D6384" s="5">
        <v>45778</v>
      </c>
      <c r="E6384" s="6" t="s">
        <v>15</v>
      </c>
      <c r="F6384" s="7">
        <v>24649</v>
      </c>
      <c r="G6384" s="7">
        <v>42048.757353239482</v>
      </c>
      <c r="H6384" s="7">
        <v>1036459820</v>
      </c>
      <c r="I6384" s="7">
        <v>216154400</v>
      </c>
      <c r="J6384" s="7">
        <v>19650400</v>
      </c>
      <c r="K6384">
        <f t="shared" si="99"/>
        <v>0</v>
      </c>
      <c r="L6384" s="8" t="str" cm="1">
        <f t="array" ref="L6384">_xlfn.IFS(
 AND(K6384&gt;=89,K6384&lt;=92),"3개월",
 AND(K6384&gt;=58,K6384&lt;=62),"2개월",
 AND(K6384&gt;=28,K6384&lt;=32),"1개월",
 AND(K6384=0),"당월",
 TRUE,"그외"
)</f>
        <v>당월</v>
      </c>
    </row>
    <row r="6385" spans="1:12" x14ac:dyDescent="0.3">
      <c r="A6385" s="5">
        <v>45778</v>
      </c>
      <c r="B6385" s="6" t="s">
        <v>12</v>
      </c>
      <c r="C6385" s="6" t="s">
        <v>16</v>
      </c>
      <c r="D6385" s="5">
        <v>45658</v>
      </c>
      <c r="E6385" s="6" t="s">
        <v>14</v>
      </c>
      <c r="F6385" s="7">
        <v>27</v>
      </c>
      <c r="G6385" s="7">
        <v>88573.259259259255</v>
      </c>
      <c r="H6385" s="7">
        <v>2391478</v>
      </c>
      <c r="I6385" s="7">
        <v>237600</v>
      </c>
      <c r="J6385" s="7">
        <v>21600</v>
      </c>
      <c r="K6385">
        <f t="shared" si="99"/>
        <v>120</v>
      </c>
      <c r="L6385" s="8" t="str" cm="1">
        <f t="array" ref="L6385">_xlfn.IFS(
 AND(K6385&gt;=89,K6385&lt;=92),"3개월",
 AND(K6385&gt;=58,K6385&lt;=62),"2개월",
 AND(K6385&gt;=28,K6385&lt;=32),"1개월",
 AND(K6385=0),"당월",
 TRUE,"그외"
)</f>
        <v>그외</v>
      </c>
    </row>
    <row r="6386" spans="1:12" x14ac:dyDescent="0.3">
      <c r="A6386" s="5">
        <v>45778</v>
      </c>
      <c r="B6386" s="6" t="s">
        <v>12</v>
      </c>
      <c r="C6386" s="6" t="s">
        <v>16</v>
      </c>
      <c r="D6386" s="5">
        <v>45658</v>
      </c>
      <c r="E6386" s="6" t="s">
        <v>15</v>
      </c>
      <c r="F6386" s="7">
        <v>2918</v>
      </c>
      <c r="G6386" s="7">
        <v>84929.494859492799</v>
      </c>
      <c r="H6386" s="7">
        <v>247824266</v>
      </c>
      <c r="I6386" s="7">
        <v>25678400</v>
      </c>
      <c r="J6386" s="7">
        <v>2334400</v>
      </c>
      <c r="K6386">
        <f t="shared" si="99"/>
        <v>120</v>
      </c>
      <c r="L6386" s="8" t="str" cm="1">
        <f t="array" ref="L6386">_xlfn.IFS(
 AND(K6386&gt;=89,K6386&lt;=92),"3개월",
 AND(K6386&gt;=58,K6386&lt;=62),"2개월",
 AND(K6386&gt;=28,K6386&lt;=32),"1개월",
 AND(K6386=0),"당월",
 TRUE,"그외"
)</f>
        <v>그외</v>
      </c>
    </row>
    <row r="6387" spans="1:12" x14ac:dyDescent="0.3">
      <c r="A6387" s="5">
        <v>45778</v>
      </c>
      <c r="B6387" s="6" t="s">
        <v>12</v>
      </c>
      <c r="C6387" s="6" t="s">
        <v>16</v>
      </c>
      <c r="D6387" s="5">
        <v>45689</v>
      </c>
      <c r="E6387" s="6" t="s">
        <v>14</v>
      </c>
      <c r="F6387" s="7">
        <v>63</v>
      </c>
      <c r="G6387" s="7">
        <v>82315.365079365074</v>
      </c>
      <c r="H6387" s="7">
        <v>5185868</v>
      </c>
      <c r="I6387" s="7">
        <v>554400</v>
      </c>
      <c r="J6387" s="7">
        <v>50400</v>
      </c>
      <c r="K6387">
        <f t="shared" si="99"/>
        <v>89</v>
      </c>
      <c r="L6387" s="8" t="str" cm="1">
        <f t="array" ref="L6387">_xlfn.IFS(
 AND(K6387&gt;=89,K6387&lt;=92),"3개월",
 AND(K6387&gt;=58,K6387&lt;=62),"2개월",
 AND(K6387&gt;=28,K6387&lt;=32),"1개월",
 AND(K6387=0),"당월",
 TRUE,"그외"
)</f>
        <v>3개월</v>
      </c>
    </row>
    <row r="6388" spans="1:12" x14ac:dyDescent="0.3">
      <c r="A6388" s="5">
        <v>45778</v>
      </c>
      <c r="B6388" s="6" t="s">
        <v>12</v>
      </c>
      <c r="C6388" s="6" t="s">
        <v>16</v>
      </c>
      <c r="D6388" s="5">
        <v>45689</v>
      </c>
      <c r="E6388" s="6" t="s">
        <v>15</v>
      </c>
      <c r="F6388" s="7">
        <v>3502</v>
      </c>
      <c r="G6388" s="7">
        <v>79082.794974300399</v>
      </c>
      <c r="H6388" s="7">
        <v>276947948</v>
      </c>
      <c r="I6388" s="7">
        <v>30764800</v>
      </c>
      <c r="J6388" s="7">
        <v>2796800</v>
      </c>
      <c r="K6388">
        <f t="shared" si="99"/>
        <v>89</v>
      </c>
      <c r="L6388" s="8" t="str" cm="1">
        <f t="array" ref="L6388">_xlfn.IFS(
 AND(K6388&gt;=89,K6388&lt;=92),"3개월",
 AND(K6388&gt;=58,K6388&lt;=62),"2개월",
 AND(K6388&gt;=28,K6388&lt;=32),"1개월",
 AND(K6388=0),"당월",
 TRUE,"그외"
)</f>
        <v>3개월</v>
      </c>
    </row>
    <row r="6389" spans="1:12" x14ac:dyDescent="0.3">
      <c r="A6389" s="5">
        <v>45778</v>
      </c>
      <c r="B6389" s="6" t="s">
        <v>12</v>
      </c>
      <c r="C6389" s="6" t="s">
        <v>16</v>
      </c>
      <c r="D6389" s="5">
        <v>45717</v>
      </c>
      <c r="E6389" s="6" t="s">
        <v>14</v>
      </c>
      <c r="F6389" s="7">
        <v>506</v>
      </c>
      <c r="G6389" s="7">
        <v>82314.835968379441</v>
      </c>
      <c r="H6389" s="7">
        <v>41651307</v>
      </c>
      <c r="I6389" s="7">
        <v>5566000</v>
      </c>
      <c r="J6389" s="7">
        <v>506000</v>
      </c>
      <c r="K6389">
        <f t="shared" si="99"/>
        <v>61</v>
      </c>
      <c r="L6389" s="8" t="str" cm="1">
        <f t="array" ref="L6389">_xlfn.IFS(
 AND(K6389&gt;=89,K6389&lt;=92),"3개월",
 AND(K6389&gt;=58,K6389&lt;=62),"2개월",
 AND(K6389&gt;=28,K6389&lt;=32),"1개월",
 AND(K6389=0),"당월",
 TRUE,"그외"
)</f>
        <v>2개월</v>
      </c>
    </row>
    <row r="6390" spans="1:12" x14ac:dyDescent="0.3">
      <c r="A6390" s="5">
        <v>45778</v>
      </c>
      <c r="B6390" s="6" t="s">
        <v>12</v>
      </c>
      <c r="C6390" s="6" t="s">
        <v>16</v>
      </c>
      <c r="D6390" s="5">
        <v>45717</v>
      </c>
      <c r="E6390" s="6" t="s">
        <v>15</v>
      </c>
      <c r="F6390" s="7">
        <v>8012</v>
      </c>
      <c r="G6390" s="7">
        <v>78142.297054418377</v>
      </c>
      <c r="H6390" s="7">
        <v>626076084</v>
      </c>
      <c r="I6390" s="7">
        <v>87790643</v>
      </c>
      <c r="J6390" s="7">
        <v>7977000</v>
      </c>
      <c r="K6390">
        <f t="shared" si="99"/>
        <v>61</v>
      </c>
      <c r="L6390" s="8" t="str" cm="1">
        <f t="array" ref="L6390">_xlfn.IFS(
 AND(K6390&gt;=89,K6390&lt;=92),"3개월",
 AND(K6390&gt;=58,K6390&lt;=62),"2개월",
 AND(K6390&gt;=28,K6390&lt;=32),"1개월",
 AND(K6390=0),"당월",
 TRUE,"그외"
)</f>
        <v>2개월</v>
      </c>
    </row>
    <row r="6391" spans="1:12" x14ac:dyDescent="0.3">
      <c r="A6391" s="5">
        <v>45778</v>
      </c>
      <c r="B6391" s="6" t="s">
        <v>12</v>
      </c>
      <c r="C6391" s="6" t="s">
        <v>16</v>
      </c>
      <c r="D6391" s="5">
        <v>45748</v>
      </c>
      <c r="E6391" s="6" t="s">
        <v>14</v>
      </c>
      <c r="F6391" s="7">
        <v>3427</v>
      </c>
      <c r="G6391" s="7">
        <v>75407.775313685444</v>
      </c>
      <c r="H6391" s="7">
        <v>258422446</v>
      </c>
      <c r="I6391" s="7">
        <v>30192800</v>
      </c>
      <c r="J6391" s="7">
        <v>2744800</v>
      </c>
      <c r="K6391">
        <f t="shared" si="99"/>
        <v>30</v>
      </c>
      <c r="L6391" s="8" t="str" cm="1">
        <f t="array" ref="L6391">_xlfn.IFS(
 AND(K6391&gt;=89,K6391&lt;=92),"3개월",
 AND(K6391&gt;=58,K6391&lt;=62),"2개월",
 AND(K6391&gt;=28,K6391&lt;=32),"1개월",
 AND(K6391=0),"당월",
 TRUE,"그외"
)</f>
        <v>1개월</v>
      </c>
    </row>
    <row r="6392" spans="1:12" x14ac:dyDescent="0.3">
      <c r="A6392" s="5">
        <v>45778</v>
      </c>
      <c r="B6392" s="6" t="s">
        <v>12</v>
      </c>
      <c r="C6392" s="6" t="s">
        <v>16</v>
      </c>
      <c r="D6392" s="5">
        <v>45748</v>
      </c>
      <c r="E6392" s="6" t="s">
        <v>15</v>
      </c>
      <c r="F6392" s="7">
        <v>22371</v>
      </c>
      <c r="G6392" s="7">
        <v>52229.645925528588</v>
      </c>
      <c r="H6392" s="7">
        <v>1168429409</v>
      </c>
      <c r="I6392" s="7">
        <v>195742869</v>
      </c>
      <c r="J6392" s="7">
        <v>17793600</v>
      </c>
      <c r="K6392">
        <f t="shared" si="99"/>
        <v>30</v>
      </c>
      <c r="L6392" s="8" t="str" cm="1">
        <f t="array" ref="L6392">_xlfn.IFS(
 AND(K6392&gt;=89,K6392&lt;=92),"3개월",
 AND(K6392&gt;=58,K6392&lt;=62),"2개월",
 AND(K6392&gt;=28,K6392&lt;=32),"1개월",
 AND(K6392=0),"당월",
 TRUE,"그외"
)</f>
        <v>1개월</v>
      </c>
    </row>
    <row r="6393" spans="1:12" x14ac:dyDescent="0.3">
      <c r="A6393" s="5">
        <v>45778</v>
      </c>
      <c r="B6393" s="6" t="s">
        <v>12</v>
      </c>
      <c r="C6393" s="6" t="s">
        <v>16</v>
      </c>
      <c r="D6393" s="5">
        <v>45778</v>
      </c>
      <c r="E6393" s="6" t="s">
        <v>14</v>
      </c>
      <c r="F6393" s="7">
        <v>2</v>
      </c>
      <c r="G6393" s="7">
        <v>76273.5</v>
      </c>
      <c r="H6393" s="7">
        <v>152547</v>
      </c>
      <c r="I6393" s="7">
        <v>19800</v>
      </c>
      <c r="J6393" s="7">
        <v>1800</v>
      </c>
      <c r="K6393">
        <f t="shared" si="99"/>
        <v>0</v>
      </c>
      <c r="L6393" s="8" t="str" cm="1">
        <f t="array" ref="L6393">_xlfn.IFS(
 AND(K6393&gt;=89,K6393&lt;=92),"3개월",
 AND(K6393&gt;=58,K6393&lt;=62),"2개월",
 AND(K6393&gt;=28,K6393&lt;=32),"1개월",
 AND(K6393=0),"당월",
 TRUE,"그외"
)</f>
        <v>당월</v>
      </c>
    </row>
    <row r="6394" spans="1:12" x14ac:dyDescent="0.3">
      <c r="A6394" s="5">
        <v>45778</v>
      </c>
      <c r="B6394" s="6" t="s">
        <v>12</v>
      </c>
      <c r="C6394" s="6" t="s">
        <v>16</v>
      </c>
      <c r="D6394" s="5">
        <v>45778</v>
      </c>
      <c r="E6394" s="6" t="s">
        <v>15</v>
      </c>
      <c r="F6394" s="7">
        <v>8317</v>
      </c>
      <c r="G6394" s="7">
        <v>38352.94938078634</v>
      </c>
      <c r="H6394" s="7">
        <v>318981480</v>
      </c>
      <c r="I6394" s="7">
        <v>72921200</v>
      </c>
      <c r="J6394" s="7">
        <v>6629200</v>
      </c>
      <c r="K6394">
        <f t="shared" si="99"/>
        <v>0</v>
      </c>
      <c r="L6394" s="8" t="str" cm="1">
        <f t="array" ref="L6394">_xlfn.IFS(
 AND(K6394&gt;=89,K6394&lt;=92),"3개월",
 AND(K6394&gt;=58,K6394&lt;=62),"2개월",
 AND(K6394&gt;=28,K6394&lt;=32),"1개월",
 AND(K6394=0),"당월",
 TRUE,"그외"
)</f>
        <v>당월</v>
      </c>
    </row>
    <row r="6395" spans="1:12" x14ac:dyDescent="0.3">
      <c r="A6395" s="5">
        <v>45778</v>
      </c>
      <c r="B6395" s="6" t="s">
        <v>12</v>
      </c>
      <c r="C6395" s="6" t="s">
        <v>17</v>
      </c>
      <c r="D6395" s="5">
        <v>45658</v>
      </c>
      <c r="E6395" s="6" t="s">
        <v>14</v>
      </c>
      <c r="F6395" s="7">
        <v>48</v>
      </c>
      <c r="G6395" s="7">
        <v>58151.833333333343</v>
      </c>
      <c r="H6395" s="7">
        <v>2791288</v>
      </c>
      <c r="I6395" s="7">
        <v>422400</v>
      </c>
      <c r="J6395" s="7">
        <v>38400</v>
      </c>
      <c r="K6395">
        <f t="shared" si="99"/>
        <v>120</v>
      </c>
      <c r="L6395" s="8" t="str" cm="1">
        <f t="array" ref="L6395">_xlfn.IFS(
 AND(K6395&gt;=89,K6395&lt;=92),"3개월",
 AND(K6395&gt;=58,K6395&lt;=62),"2개월",
 AND(K6395&gt;=28,K6395&lt;=32),"1개월",
 AND(K6395=0),"당월",
 TRUE,"그외"
)</f>
        <v>그외</v>
      </c>
    </row>
    <row r="6396" spans="1:12" x14ac:dyDescent="0.3">
      <c r="A6396" s="5">
        <v>45778</v>
      </c>
      <c r="B6396" s="6" t="s">
        <v>12</v>
      </c>
      <c r="C6396" s="6" t="s">
        <v>17</v>
      </c>
      <c r="D6396" s="5">
        <v>45658</v>
      </c>
      <c r="E6396" s="6" t="s">
        <v>15</v>
      </c>
      <c r="F6396" s="7">
        <v>1626</v>
      </c>
      <c r="G6396" s="7">
        <v>70444.805658056575</v>
      </c>
      <c r="H6396" s="7">
        <v>114543254</v>
      </c>
      <c r="I6396" s="7">
        <v>14308800</v>
      </c>
      <c r="J6396" s="7">
        <v>1300800</v>
      </c>
      <c r="K6396">
        <f t="shared" si="99"/>
        <v>120</v>
      </c>
      <c r="L6396" s="8" t="str" cm="1">
        <f t="array" ref="L6396">_xlfn.IFS(
 AND(K6396&gt;=89,K6396&lt;=92),"3개월",
 AND(K6396&gt;=58,K6396&lt;=62),"2개월",
 AND(K6396&gt;=28,K6396&lt;=32),"1개월",
 AND(K6396=0),"당월",
 TRUE,"그외"
)</f>
        <v>그외</v>
      </c>
    </row>
    <row r="6397" spans="1:12" x14ac:dyDescent="0.3">
      <c r="A6397" s="5">
        <v>45778</v>
      </c>
      <c r="B6397" s="6" t="s">
        <v>12</v>
      </c>
      <c r="C6397" s="6" t="s">
        <v>17</v>
      </c>
      <c r="D6397" s="5">
        <v>45689</v>
      </c>
      <c r="E6397" s="6" t="s">
        <v>14</v>
      </c>
      <c r="F6397" s="7">
        <v>461</v>
      </c>
      <c r="G6397" s="7">
        <v>62662.193058568329</v>
      </c>
      <c r="H6397" s="7">
        <v>28887271</v>
      </c>
      <c r="I6397" s="7">
        <v>4056800</v>
      </c>
      <c r="J6397" s="7">
        <v>368800</v>
      </c>
      <c r="K6397">
        <f t="shared" si="99"/>
        <v>89</v>
      </c>
      <c r="L6397" s="8" t="str" cm="1">
        <f t="array" ref="L6397">_xlfn.IFS(
 AND(K6397&gt;=89,K6397&lt;=92),"3개월",
 AND(K6397&gt;=58,K6397&lt;=62),"2개월",
 AND(K6397&gt;=28,K6397&lt;=32),"1개월",
 AND(K6397=0),"당월",
 TRUE,"그외"
)</f>
        <v>3개월</v>
      </c>
    </row>
    <row r="6398" spans="1:12" x14ac:dyDescent="0.3">
      <c r="A6398" s="5">
        <v>45778</v>
      </c>
      <c r="B6398" s="6" t="s">
        <v>12</v>
      </c>
      <c r="C6398" s="6" t="s">
        <v>17</v>
      </c>
      <c r="D6398" s="5">
        <v>45689</v>
      </c>
      <c r="E6398" s="6" t="s">
        <v>15</v>
      </c>
      <c r="F6398" s="7">
        <v>1903</v>
      </c>
      <c r="G6398" s="7">
        <v>68298.222280609567</v>
      </c>
      <c r="H6398" s="7">
        <v>129971517</v>
      </c>
      <c r="I6398" s="7">
        <v>16746400</v>
      </c>
      <c r="J6398" s="7">
        <v>1522400</v>
      </c>
      <c r="K6398">
        <f t="shared" si="99"/>
        <v>89</v>
      </c>
      <c r="L6398" s="8" t="str" cm="1">
        <f t="array" ref="L6398">_xlfn.IFS(
 AND(K6398&gt;=89,K6398&lt;=92),"3개월",
 AND(K6398&gt;=58,K6398&lt;=62),"2개월",
 AND(K6398&gt;=28,K6398&lt;=32),"1개월",
 AND(K6398=0),"당월",
 TRUE,"그외"
)</f>
        <v>3개월</v>
      </c>
    </row>
    <row r="6399" spans="1:12" x14ac:dyDescent="0.3">
      <c r="A6399" s="5">
        <v>45778</v>
      </c>
      <c r="B6399" s="6" t="s">
        <v>12</v>
      </c>
      <c r="C6399" s="6" t="s">
        <v>17</v>
      </c>
      <c r="D6399" s="5">
        <v>45717</v>
      </c>
      <c r="E6399" s="6" t="s">
        <v>14</v>
      </c>
      <c r="F6399" s="7">
        <v>974</v>
      </c>
      <c r="G6399" s="7">
        <v>69536.191991786443</v>
      </c>
      <c r="H6399" s="7">
        <v>67728251</v>
      </c>
      <c r="I6399" s="7">
        <v>10709600</v>
      </c>
      <c r="J6399" s="7">
        <v>973600</v>
      </c>
      <c r="K6399">
        <f t="shared" si="99"/>
        <v>61</v>
      </c>
      <c r="L6399" s="8" t="str" cm="1">
        <f t="array" ref="L6399">_xlfn.IFS(
 AND(K6399&gt;=89,K6399&lt;=92),"3개월",
 AND(K6399&gt;=58,K6399&lt;=62),"2개월",
 AND(K6399&gt;=28,K6399&lt;=32),"1개월",
 AND(K6399=0),"당월",
 TRUE,"그외"
)</f>
        <v>2개월</v>
      </c>
    </row>
    <row r="6400" spans="1:12" x14ac:dyDescent="0.3">
      <c r="A6400" s="5">
        <v>45778</v>
      </c>
      <c r="B6400" s="6" t="s">
        <v>12</v>
      </c>
      <c r="C6400" s="6" t="s">
        <v>17</v>
      </c>
      <c r="D6400" s="5">
        <v>45717</v>
      </c>
      <c r="E6400" s="6" t="s">
        <v>15</v>
      </c>
      <c r="F6400" s="7">
        <v>5023</v>
      </c>
      <c r="G6400" s="7">
        <v>65492.451522994234</v>
      </c>
      <c r="H6400" s="7">
        <v>328968584</v>
      </c>
      <c r="I6400" s="7">
        <v>55057200</v>
      </c>
      <c r="J6400" s="7">
        <v>5005200</v>
      </c>
      <c r="K6400">
        <f t="shared" si="99"/>
        <v>61</v>
      </c>
      <c r="L6400" s="8" t="str" cm="1">
        <f t="array" ref="L6400">_xlfn.IFS(
 AND(K6400&gt;=89,K6400&lt;=92),"3개월",
 AND(K6400&gt;=58,K6400&lt;=62),"2개월",
 AND(K6400&gt;=28,K6400&lt;=32),"1개월",
 AND(K6400=0),"당월",
 TRUE,"그외"
)</f>
        <v>2개월</v>
      </c>
    </row>
    <row r="6401" spans="1:12" x14ac:dyDescent="0.3">
      <c r="A6401" s="5">
        <v>45778</v>
      </c>
      <c r="B6401" s="6" t="s">
        <v>12</v>
      </c>
      <c r="C6401" s="6" t="s">
        <v>17</v>
      </c>
      <c r="D6401" s="5">
        <v>45748</v>
      </c>
      <c r="E6401" s="6" t="s">
        <v>14</v>
      </c>
      <c r="F6401" s="7">
        <v>2987</v>
      </c>
      <c r="G6401" s="7">
        <v>59143.874790759961</v>
      </c>
      <c r="H6401" s="7">
        <v>176662754</v>
      </c>
      <c r="I6401" s="7">
        <v>26301000</v>
      </c>
      <c r="J6401" s="7">
        <v>2391000</v>
      </c>
      <c r="K6401">
        <f t="shared" si="99"/>
        <v>30</v>
      </c>
      <c r="L6401" s="8" t="str" cm="1">
        <f t="array" ref="L6401">_xlfn.IFS(
 AND(K6401&gt;=89,K6401&lt;=92),"3개월",
 AND(K6401&gt;=58,K6401&lt;=62),"2개월",
 AND(K6401&gt;=28,K6401&lt;=32),"1개월",
 AND(K6401=0),"당월",
 TRUE,"그외"
)</f>
        <v>1개월</v>
      </c>
    </row>
    <row r="6402" spans="1:12" x14ac:dyDescent="0.3">
      <c r="A6402" s="5">
        <v>45778</v>
      </c>
      <c r="B6402" s="6" t="s">
        <v>12</v>
      </c>
      <c r="C6402" s="6" t="s">
        <v>17</v>
      </c>
      <c r="D6402" s="5">
        <v>45748</v>
      </c>
      <c r="E6402" s="6" t="s">
        <v>15</v>
      </c>
      <c r="F6402" s="7">
        <v>12234</v>
      </c>
      <c r="G6402" s="7">
        <v>44427.078224619909</v>
      </c>
      <c r="H6402" s="7">
        <v>543520875</v>
      </c>
      <c r="I6402" s="7">
        <v>107659200</v>
      </c>
      <c r="J6402" s="7">
        <v>9787200</v>
      </c>
      <c r="K6402">
        <f t="shared" si="99"/>
        <v>30</v>
      </c>
      <c r="L6402" s="8" t="str" cm="1">
        <f t="array" ref="L6402">_xlfn.IFS(
 AND(K6402&gt;=89,K6402&lt;=92),"3개월",
 AND(K6402&gt;=58,K6402&lt;=62),"2개월",
 AND(K6402&gt;=28,K6402&lt;=32),"1개월",
 AND(K6402=0),"당월",
 TRUE,"그외"
)</f>
        <v>1개월</v>
      </c>
    </row>
    <row r="6403" spans="1:12" x14ac:dyDescent="0.3">
      <c r="A6403" s="5">
        <v>45778</v>
      </c>
      <c r="B6403" s="6" t="s">
        <v>12</v>
      </c>
      <c r="C6403" s="6" t="s">
        <v>17</v>
      </c>
      <c r="D6403" s="5">
        <v>45778</v>
      </c>
      <c r="E6403" s="6" t="s">
        <v>14</v>
      </c>
      <c r="F6403" s="7">
        <v>13</v>
      </c>
      <c r="G6403" s="7">
        <v>60266.076923076922</v>
      </c>
      <c r="H6403" s="7">
        <v>783459</v>
      </c>
      <c r="I6403" s="7">
        <v>118800</v>
      </c>
      <c r="J6403" s="7">
        <v>10800</v>
      </c>
      <c r="K6403">
        <f t="shared" si="99"/>
        <v>0</v>
      </c>
      <c r="L6403" s="8" t="str" cm="1">
        <f t="array" ref="L6403">_xlfn.IFS(
 AND(K6403&gt;=89,K6403&lt;=92),"3개월",
 AND(K6403&gt;=58,K6403&lt;=62),"2개월",
 AND(K6403&gt;=28,K6403&lt;=32),"1개월",
 AND(K6403=0),"당월",
 TRUE,"그외"
)</f>
        <v>당월</v>
      </c>
    </row>
    <row r="6404" spans="1:12" x14ac:dyDescent="0.3">
      <c r="A6404" s="5">
        <v>45778</v>
      </c>
      <c r="B6404" s="6" t="s">
        <v>12</v>
      </c>
      <c r="C6404" s="6" t="s">
        <v>17</v>
      </c>
      <c r="D6404" s="5">
        <v>45778</v>
      </c>
      <c r="E6404" s="6" t="s">
        <v>15</v>
      </c>
      <c r="F6404" s="7">
        <v>4706</v>
      </c>
      <c r="G6404" s="7">
        <v>33453.873778155546</v>
      </c>
      <c r="H6404" s="7">
        <v>157433930</v>
      </c>
      <c r="I6404" s="7">
        <v>41426000</v>
      </c>
      <c r="J6404" s="7">
        <v>3766000</v>
      </c>
      <c r="K6404">
        <f t="shared" si="99"/>
        <v>0</v>
      </c>
      <c r="L6404" s="8" t="str" cm="1">
        <f t="array" ref="L6404">_xlfn.IFS(
 AND(K6404&gt;=89,K6404&lt;=92),"3개월",
 AND(K6404&gt;=58,K6404&lt;=62),"2개월",
 AND(K6404&gt;=28,K6404&lt;=32),"1개월",
 AND(K6404=0),"당월",
 TRUE,"그외"
)</f>
        <v>당월</v>
      </c>
    </row>
    <row r="6405" spans="1:12" x14ac:dyDescent="0.3">
      <c r="A6405" s="5">
        <v>45778</v>
      </c>
      <c r="B6405" s="6" t="s">
        <v>12</v>
      </c>
      <c r="C6405" s="6" t="s">
        <v>18</v>
      </c>
      <c r="D6405" s="5">
        <v>45658</v>
      </c>
      <c r="E6405" s="6" t="s">
        <v>15</v>
      </c>
      <c r="F6405" s="7">
        <v>780</v>
      </c>
      <c r="G6405" s="7">
        <v>88743.58974358975</v>
      </c>
      <c r="H6405" s="7">
        <v>69220000</v>
      </c>
      <c r="I6405" s="7">
        <v>6864000</v>
      </c>
      <c r="J6405" s="7">
        <v>624000</v>
      </c>
      <c r="K6405">
        <f t="shared" si="99"/>
        <v>120</v>
      </c>
      <c r="L6405" s="8" t="str" cm="1">
        <f t="array" ref="L6405">_xlfn.IFS(
 AND(K6405&gt;=89,K6405&lt;=92),"3개월",
 AND(K6405&gt;=58,K6405&lt;=62),"2개월",
 AND(K6405&gt;=28,K6405&lt;=32),"1개월",
 AND(K6405=0),"당월",
 TRUE,"그외"
)</f>
        <v>그외</v>
      </c>
    </row>
    <row r="6406" spans="1:12" x14ac:dyDescent="0.3">
      <c r="A6406" s="5">
        <v>45778</v>
      </c>
      <c r="B6406" s="6" t="s">
        <v>12</v>
      </c>
      <c r="C6406" s="6" t="s">
        <v>18</v>
      </c>
      <c r="D6406" s="5">
        <v>45689</v>
      </c>
      <c r="E6406" s="6" t="s">
        <v>14</v>
      </c>
      <c r="F6406" s="7">
        <v>113</v>
      </c>
      <c r="G6406" s="7">
        <v>79094.752212389387</v>
      </c>
      <c r="H6406" s="7">
        <v>8937707</v>
      </c>
      <c r="I6406" s="7">
        <v>994400</v>
      </c>
      <c r="J6406" s="7">
        <v>90400</v>
      </c>
      <c r="K6406">
        <f t="shared" si="99"/>
        <v>89</v>
      </c>
      <c r="L6406" s="8" t="str" cm="1">
        <f t="array" ref="L6406">_xlfn.IFS(
 AND(K6406&gt;=89,K6406&lt;=92),"3개월",
 AND(K6406&gt;=58,K6406&lt;=62),"2개월",
 AND(K6406&gt;=28,K6406&lt;=32),"1개월",
 AND(K6406=0),"당월",
 TRUE,"그외"
)</f>
        <v>3개월</v>
      </c>
    </row>
    <row r="6407" spans="1:12" x14ac:dyDescent="0.3">
      <c r="A6407" s="5">
        <v>45778</v>
      </c>
      <c r="B6407" s="6" t="s">
        <v>12</v>
      </c>
      <c r="C6407" s="6" t="s">
        <v>18</v>
      </c>
      <c r="D6407" s="5">
        <v>45689</v>
      </c>
      <c r="E6407" s="6" t="s">
        <v>15</v>
      </c>
      <c r="F6407" s="7">
        <v>2680</v>
      </c>
      <c r="G6407" s="7">
        <v>82085.606716417911</v>
      </c>
      <c r="H6407" s="7">
        <v>219989426</v>
      </c>
      <c r="I6407" s="7">
        <v>23531200</v>
      </c>
      <c r="J6407" s="7">
        <v>2139200</v>
      </c>
      <c r="K6407">
        <f t="shared" si="99"/>
        <v>89</v>
      </c>
      <c r="L6407" s="8" t="str" cm="1">
        <f t="array" ref="L6407">_xlfn.IFS(
 AND(K6407&gt;=89,K6407&lt;=92),"3개월",
 AND(K6407&gt;=58,K6407&lt;=62),"2개월",
 AND(K6407&gt;=28,K6407&lt;=32),"1개월",
 AND(K6407=0),"당월",
 TRUE,"그외"
)</f>
        <v>3개월</v>
      </c>
    </row>
    <row r="6408" spans="1:12" x14ac:dyDescent="0.3">
      <c r="A6408" s="5">
        <v>45778</v>
      </c>
      <c r="B6408" s="6" t="s">
        <v>12</v>
      </c>
      <c r="C6408" s="6" t="s">
        <v>18</v>
      </c>
      <c r="D6408" s="5">
        <v>45717</v>
      </c>
      <c r="E6408" s="6" t="s">
        <v>14</v>
      </c>
      <c r="F6408" s="7">
        <v>340</v>
      </c>
      <c r="G6408" s="7">
        <v>96789.067647058822</v>
      </c>
      <c r="H6408" s="7">
        <v>32908283</v>
      </c>
      <c r="I6408" s="7">
        <v>3740000</v>
      </c>
      <c r="J6408" s="7">
        <v>340000</v>
      </c>
      <c r="K6408">
        <f t="shared" si="99"/>
        <v>61</v>
      </c>
      <c r="L6408" s="8" t="str" cm="1">
        <f t="array" ref="L6408">_xlfn.IFS(
 AND(K6408&gt;=89,K6408&lt;=92),"3개월",
 AND(K6408&gt;=58,K6408&lt;=62),"2개월",
 AND(K6408&gt;=28,K6408&lt;=32),"1개월",
 AND(K6408=0),"당월",
 TRUE,"그외"
)</f>
        <v>2개월</v>
      </c>
    </row>
    <row r="6409" spans="1:12" x14ac:dyDescent="0.3">
      <c r="A6409" s="5">
        <v>45778</v>
      </c>
      <c r="B6409" s="6" t="s">
        <v>12</v>
      </c>
      <c r="C6409" s="6" t="s">
        <v>18</v>
      </c>
      <c r="D6409" s="5">
        <v>45717</v>
      </c>
      <c r="E6409" s="6" t="s">
        <v>15</v>
      </c>
      <c r="F6409" s="7">
        <v>8821</v>
      </c>
      <c r="G6409" s="7">
        <v>77433.045459698449</v>
      </c>
      <c r="H6409" s="7">
        <v>683036894</v>
      </c>
      <c r="I6409" s="7">
        <v>96857200</v>
      </c>
      <c r="J6409" s="7">
        <v>8805200</v>
      </c>
      <c r="K6409">
        <f t="shared" si="99"/>
        <v>61</v>
      </c>
      <c r="L6409" s="8" t="str" cm="1">
        <f t="array" ref="L6409">_xlfn.IFS(
 AND(K6409&gt;=89,K6409&lt;=92),"3개월",
 AND(K6409&gt;=58,K6409&lt;=62),"2개월",
 AND(K6409&gt;=28,K6409&lt;=32),"1개월",
 AND(K6409=0),"당월",
 TRUE,"그외"
)</f>
        <v>2개월</v>
      </c>
    </row>
    <row r="6410" spans="1:12" x14ac:dyDescent="0.3">
      <c r="A6410" s="5">
        <v>45778</v>
      </c>
      <c r="B6410" s="6" t="s">
        <v>12</v>
      </c>
      <c r="C6410" s="6" t="s">
        <v>18</v>
      </c>
      <c r="D6410" s="5">
        <v>45748</v>
      </c>
      <c r="E6410" s="6" t="s">
        <v>14</v>
      </c>
      <c r="F6410" s="7">
        <v>1671</v>
      </c>
      <c r="G6410" s="7">
        <v>74627.775583482944</v>
      </c>
      <c r="H6410" s="7">
        <v>124703013</v>
      </c>
      <c r="I6410" s="7">
        <v>14704800</v>
      </c>
      <c r="J6410" s="7">
        <v>1336800</v>
      </c>
      <c r="K6410">
        <f t="shared" ref="K6410:K6473" si="100">A6410-D6410</f>
        <v>30</v>
      </c>
      <c r="L6410" s="8" t="str" cm="1">
        <f t="array" ref="L6410">_xlfn.IFS(
 AND(K6410&gt;=89,K6410&lt;=92),"3개월",
 AND(K6410&gt;=58,K6410&lt;=62),"2개월",
 AND(K6410&gt;=28,K6410&lt;=32),"1개월",
 AND(K6410=0),"당월",
 TRUE,"그외"
)</f>
        <v>1개월</v>
      </c>
    </row>
    <row r="6411" spans="1:12" x14ac:dyDescent="0.3">
      <c r="A6411" s="5">
        <v>45778</v>
      </c>
      <c r="B6411" s="6" t="s">
        <v>12</v>
      </c>
      <c r="C6411" s="6" t="s">
        <v>18</v>
      </c>
      <c r="D6411" s="5">
        <v>45748</v>
      </c>
      <c r="E6411" s="6" t="s">
        <v>15</v>
      </c>
      <c r="F6411" s="7">
        <v>14806</v>
      </c>
      <c r="G6411" s="7">
        <v>61474.028907199783</v>
      </c>
      <c r="H6411" s="7">
        <v>910184472</v>
      </c>
      <c r="I6411" s="7">
        <v>130039800</v>
      </c>
      <c r="J6411" s="7">
        <v>11821800</v>
      </c>
      <c r="K6411">
        <f t="shared" si="100"/>
        <v>30</v>
      </c>
      <c r="L6411" s="8" t="str" cm="1">
        <f t="array" ref="L6411">_xlfn.IFS(
 AND(K6411&gt;=89,K6411&lt;=92),"3개월",
 AND(K6411&gt;=58,K6411&lt;=62),"2개월",
 AND(K6411&gt;=28,K6411&lt;=32),"1개월",
 AND(K6411=0),"당월",
 TRUE,"그외"
)</f>
        <v>1개월</v>
      </c>
    </row>
    <row r="6412" spans="1:12" x14ac:dyDescent="0.3">
      <c r="A6412" s="5">
        <v>45778</v>
      </c>
      <c r="B6412" s="6" t="s">
        <v>12</v>
      </c>
      <c r="C6412" s="6" t="s">
        <v>18</v>
      </c>
      <c r="D6412" s="5">
        <v>45778</v>
      </c>
      <c r="E6412" s="6" t="s">
        <v>14</v>
      </c>
      <c r="F6412" s="7">
        <v>13</v>
      </c>
      <c r="G6412" s="7">
        <v>80350.076923076922</v>
      </c>
      <c r="H6412" s="7">
        <v>1044551</v>
      </c>
      <c r="I6412" s="7">
        <v>121000</v>
      </c>
      <c r="J6412" s="7">
        <v>11000</v>
      </c>
      <c r="K6412">
        <f t="shared" si="100"/>
        <v>0</v>
      </c>
      <c r="L6412" s="8" t="str" cm="1">
        <f t="array" ref="L6412">_xlfn.IFS(
 AND(K6412&gt;=89,K6412&lt;=92),"3개월",
 AND(K6412&gt;=58,K6412&lt;=62),"2개월",
 AND(K6412&gt;=28,K6412&lt;=32),"1개월",
 AND(K6412=0),"당월",
 TRUE,"그외"
)</f>
        <v>당월</v>
      </c>
    </row>
    <row r="6413" spans="1:12" x14ac:dyDescent="0.3">
      <c r="A6413" s="5">
        <v>45778</v>
      </c>
      <c r="B6413" s="6" t="s">
        <v>12</v>
      </c>
      <c r="C6413" s="6" t="s">
        <v>18</v>
      </c>
      <c r="D6413" s="5">
        <v>45778</v>
      </c>
      <c r="E6413" s="6" t="s">
        <v>15</v>
      </c>
      <c r="F6413" s="7">
        <v>4498</v>
      </c>
      <c r="G6413" s="7">
        <v>47198.598710538019</v>
      </c>
      <c r="H6413" s="7">
        <v>212299297</v>
      </c>
      <c r="I6413" s="7">
        <v>39602200</v>
      </c>
      <c r="J6413" s="7">
        <v>3600200</v>
      </c>
      <c r="K6413">
        <f t="shared" si="100"/>
        <v>0</v>
      </c>
      <c r="L6413" s="8" t="str" cm="1">
        <f t="array" ref="L6413">_xlfn.IFS(
 AND(K6413&gt;=89,K6413&lt;=92),"3개월",
 AND(K6413&gt;=58,K6413&lt;=62),"2개월",
 AND(K6413&gt;=28,K6413&lt;=32),"1개월",
 AND(K6413=0),"당월",
 TRUE,"그외"
)</f>
        <v>당월</v>
      </c>
    </row>
    <row r="6414" spans="1:12" x14ac:dyDescent="0.3">
      <c r="A6414" s="5">
        <v>45778</v>
      </c>
      <c r="B6414" s="6" t="s">
        <v>12</v>
      </c>
      <c r="C6414" s="6" t="s">
        <v>19</v>
      </c>
      <c r="D6414" s="5">
        <v>45658</v>
      </c>
      <c r="E6414" s="6" t="s">
        <v>15</v>
      </c>
      <c r="F6414" s="7">
        <v>9</v>
      </c>
      <c r="G6414" s="7">
        <v>81434.555555555562</v>
      </c>
      <c r="H6414" s="7">
        <v>732911</v>
      </c>
      <c r="I6414" s="7">
        <v>79200</v>
      </c>
      <c r="J6414" s="7">
        <v>7200</v>
      </c>
      <c r="K6414">
        <f t="shared" si="100"/>
        <v>120</v>
      </c>
      <c r="L6414" s="8" t="str" cm="1">
        <f t="array" ref="L6414">_xlfn.IFS(
 AND(K6414&gt;=89,K6414&lt;=92),"3개월",
 AND(K6414&gt;=58,K6414&lt;=62),"2개월",
 AND(K6414&gt;=28,K6414&lt;=32),"1개월",
 AND(K6414=0),"당월",
 TRUE,"그외"
)</f>
        <v>그외</v>
      </c>
    </row>
    <row r="6415" spans="1:12" x14ac:dyDescent="0.3">
      <c r="A6415" s="5">
        <v>45778</v>
      </c>
      <c r="B6415" s="6" t="s">
        <v>12</v>
      </c>
      <c r="C6415" s="6" t="s">
        <v>19</v>
      </c>
      <c r="D6415" s="5">
        <v>45689</v>
      </c>
      <c r="E6415" s="6" t="s">
        <v>15</v>
      </c>
      <c r="F6415" s="7">
        <v>56</v>
      </c>
      <c r="G6415" s="7">
        <v>84409.392857142855</v>
      </c>
      <c r="H6415" s="7">
        <v>4726926</v>
      </c>
      <c r="I6415" s="7">
        <v>492800</v>
      </c>
      <c r="J6415" s="7">
        <v>44800</v>
      </c>
      <c r="K6415">
        <f t="shared" si="100"/>
        <v>89</v>
      </c>
      <c r="L6415" s="8" t="str" cm="1">
        <f t="array" ref="L6415">_xlfn.IFS(
 AND(K6415&gt;=89,K6415&lt;=92),"3개월",
 AND(K6415&gt;=58,K6415&lt;=62),"2개월",
 AND(K6415&gt;=28,K6415&lt;=32),"1개월",
 AND(K6415=0),"당월",
 TRUE,"그외"
)</f>
        <v>3개월</v>
      </c>
    </row>
    <row r="6416" spans="1:12" x14ac:dyDescent="0.3">
      <c r="A6416" s="5">
        <v>45778</v>
      </c>
      <c r="B6416" s="6" t="s">
        <v>12</v>
      </c>
      <c r="C6416" s="6" t="s">
        <v>19</v>
      </c>
      <c r="D6416" s="5">
        <v>45717</v>
      </c>
      <c r="E6416" s="6" t="s">
        <v>15</v>
      </c>
      <c r="F6416" s="7">
        <v>375</v>
      </c>
      <c r="G6416" s="7">
        <v>72427.573333333334</v>
      </c>
      <c r="H6416" s="7">
        <v>27160340</v>
      </c>
      <c r="I6416" s="7">
        <v>3982000</v>
      </c>
      <c r="J6416" s="7">
        <v>362000</v>
      </c>
      <c r="K6416">
        <f t="shared" si="100"/>
        <v>61</v>
      </c>
      <c r="L6416" s="8" t="str" cm="1">
        <f t="array" ref="L6416">_xlfn.IFS(
 AND(K6416&gt;=89,K6416&lt;=92),"3개월",
 AND(K6416&gt;=58,K6416&lt;=62),"2개월",
 AND(K6416&gt;=28,K6416&lt;=32),"1개월",
 AND(K6416=0),"당월",
 TRUE,"그외"
)</f>
        <v>2개월</v>
      </c>
    </row>
    <row r="6417" spans="1:12" x14ac:dyDescent="0.3">
      <c r="A6417" s="5">
        <v>45778</v>
      </c>
      <c r="B6417" s="6" t="s">
        <v>12</v>
      </c>
      <c r="C6417" s="6" t="s">
        <v>19</v>
      </c>
      <c r="D6417" s="5">
        <v>45748</v>
      </c>
      <c r="E6417" s="6" t="s">
        <v>15</v>
      </c>
      <c r="F6417" s="7">
        <v>7476</v>
      </c>
      <c r="G6417" s="7">
        <v>56232.222980203318</v>
      </c>
      <c r="H6417" s="7">
        <v>420392099</v>
      </c>
      <c r="I6417" s="7">
        <v>63767000</v>
      </c>
      <c r="J6417" s="7">
        <v>5797000</v>
      </c>
      <c r="K6417">
        <f t="shared" si="100"/>
        <v>30</v>
      </c>
      <c r="L6417" s="8" t="str" cm="1">
        <f t="array" ref="L6417">_xlfn.IFS(
 AND(K6417&gt;=89,K6417&lt;=92),"3개월",
 AND(K6417&gt;=58,K6417&lt;=62),"2개월",
 AND(K6417&gt;=28,K6417&lt;=32),"1개월",
 AND(K6417=0),"당월",
 TRUE,"그외"
)</f>
        <v>1개월</v>
      </c>
    </row>
    <row r="6418" spans="1:12" x14ac:dyDescent="0.3">
      <c r="A6418" s="5">
        <v>45778</v>
      </c>
      <c r="B6418" s="6" t="s">
        <v>12</v>
      </c>
      <c r="C6418" s="6" t="s">
        <v>19</v>
      </c>
      <c r="D6418" s="5">
        <v>45778</v>
      </c>
      <c r="E6418" s="6" t="s">
        <v>15</v>
      </c>
      <c r="F6418" s="7">
        <v>4685</v>
      </c>
      <c r="G6418" s="7">
        <v>51645.740875133408</v>
      </c>
      <c r="H6418" s="7">
        <v>241960296</v>
      </c>
      <c r="I6418" s="7">
        <v>40132400</v>
      </c>
      <c r="J6418" s="7">
        <v>3648400</v>
      </c>
      <c r="K6418">
        <f t="shared" si="100"/>
        <v>0</v>
      </c>
      <c r="L6418" s="8" t="str" cm="1">
        <f t="array" ref="L6418">_xlfn.IFS(
 AND(K6418&gt;=89,K6418&lt;=92),"3개월",
 AND(K6418&gt;=58,K6418&lt;=62),"2개월",
 AND(K6418&gt;=28,K6418&lt;=32),"1개월",
 AND(K6418=0),"당월",
 TRUE,"그외"
)</f>
        <v>당월</v>
      </c>
    </row>
    <row r="6419" spans="1:12" x14ac:dyDescent="0.3">
      <c r="A6419" s="5">
        <v>45778</v>
      </c>
      <c r="B6419" s="6" t="s">
        <v>20</v>
      </c>
      <c r="C6419" s="6" t="s">
        <v>22</v>
      </c>
      <c r="D6419" s="5">
        <v>45627</v>
      </c>
      <c r="E6419" s="6" t="s">
        <v>15</v>
      </c>
      <c r="F6419" s="7">
        <v>217</v>
      </c>
      <c r="G6419" s="7">
        <v>216307.65898617511</v>
      </c>
      <c r="H6419" s="7">
        <v>46938762</v>
      </c>
      <c r="I6419" s="7">
        <v>2887794</v>
      </c>
      <c r="J6419" s="7">
        <v>0</v>
      </c>
      <c r="K6419">
        <f t="shared" si="100"/>
        <v>151</v>
      </c>
      <c r="L6419" s="8" t="str" cm="1">
        <f t="array" ref="L6419">_xlfn.IFS(
 AND(K6419&gt;=89,K6419&lt;=92),"3개월",
 AND(K6419&gt;=58,K6419&lt;=62),"2개월",
 AND(K6419&gt;=28,K6419&lt;=32),"1개월",
 AND(K6419=0),"당월",
 TRUE,"그외"
)</f>
        <v>그외</v>
      </c>
    </row>
    <row r="6420" spans="1:12" x14ac:dyDescent="0.3">
      <c r="A6420" s="5">
        <v>45778</v>
      </c>
      <c r="B6420" s="6" t="s">
        <v>20</v>
      </c>
      <c r="C6420" s="6" t="s">
        <v>22</v>
      </c>
      <c r="D6420" s="5">
        <v>45658</v>
      </c>
      <c r="E6420" s="6" t="s">
        <v>14</v>
      </c>
      <c r="F6420" s="7">
        <v>4</v>
      </c>
      <c r="G6420" s="7">
        <v>91300</v>
      </c>
      <c r="H6420" s="7">
        <v>365200</v>
      </c>
      <c r="I6420" s="7">
        <v>45200</v>
      </c>
      <c r="J6420" s="7">
        <v>0</v>
      </c>
      <c r="K6420">
        <f t="shared" si="100"/>
        <v>120</v>
      </c>
      <c r="L6420" s="8" t="str" cm="1">
        <f t="array" ref="L6420">_xlfn.IFS(
 AND(K6420&gt;=89,K6420&lt;=92),"3개월",
 AND(K6420&gt;=58,K6420&lt;=62),"2개월",
 AND(K6420&gt;=28,K6420&lt;=32),"1개월",
 AND(K6420=0),"당월",
 TRUE,"그외"
)</f>
        <v>그외</v>
      </c>
    </row>
    <row r="6421" spans="1:12" x14ac:dyDescent="0.3">
      <c r="A6421" s="5">
        <v>45778</v>
      </c>
      <c r="B6421" s="6" t="s">
        <v>20</v>
      </c>
      <c r="C6421" s="6" t="s">
        <v>22</v>
      </c>
      <c r="D6421" s="5">
        <v>45658</v>
      </c>
      <c r="E6421" s="6" t="s">
        <v>15</v>
      </c>
      <c r="F6421" s="7">
        <v>1743</v>
      </c>
      <c r="G6421" s="7">
        <v>167128.90304073441</v>
      </c>
      <c r="H6421" s="7">
        <v>291305678</v>
      </c>
      <c r="I6421" s="7">
        <v>27305118</v>
      </c>
      <c r="J6421" s="7">
        <v>0</v>
      </c>
      <c r="K6421">
        <f t="shared" si="100"/>
        <v>120</v>
      </c>
      <c r="L6421" s="8" t="str" cm="1">
        <f t="array" ref="L6421">_xlfn.IFS(
 AND(K6421&gt;=89,K6421&lt;=92),"3개월",
 AND(K6421&gt;=58,K6421&lt;=62),"2개월",
 AND(K6421&gt;=28,K6421&lt;=32),"1개월",
 AND(K6421=0),"당월",
 TRUE,"그외"
)</f>
        <v>그외</v>
      </c>
    </row>
    <row r="6422" spans="1:12" x14ac:dyDescent="0.3">
      <c r="A6422" s="5">
        <v>45778</v>
      </c>
      <c r="B6422" s="6" t="s">
        <v>20</v>
      </c>
      <c r="C6422" s="6" t="s">
        <v>22</v>
      </c>
      <c r="D6422" s="5">
        <v>45689</v>
      </c>
      <c r="E6422" s="6" t="s">
        <v>14</v>
      </c>
      <c r="F6422" s="7">
        <v>168</v>
      </c>
      <c r="G6422" s="7">
        <v>135534.26190476189</v>
      </c>
      <c r="H6422" s="7">
        <v>22769756</v>
      </c>
      <c r="I6422" s="7">
        <v>2620224</v>
      </c>
      <c r="J6422" s="7">
        <v>0</v>
      </c>
      <c r="K6422">
        <f t="shared" si="100"/>
        <v>89</v>
      </c>
      <c r="L6422" s="8" t="str" cm="1">
        <f t="array" ref="L6422">_xlfn.IFS(
 AND(K6422&gt;=89,K6422&lt;=92),"3개월",
 AND(K6422&gt;=58,K6422&lt;=62),"2개월",
 AND(K6422&gt;=28,K6422&lt;=32),"1개월",
 AND(K6422=0),"당월",
 TRUE,"그외"
)</f>
        <v>3개월</v>
      </c>
    </row>
    <row r="6423" spans="1:12" x14ac:dyDescent="0.3">
      <c r="A6423" s="5">
        <v>45778</v>
      </c>
      <c r="B6423" s="6" t="s">
        <v>20</v>
      </c>
      <c r="C6423" s="6" t="s">
        <v>22</v>
      </c>
      <c r="D6423" s="5">
        <v>45689</v>
      </c>
      <c r="E6423" s="6" t="s">
        <v>15</v>
      </c>
      <c r="F6423" s="7">
        <v>2513</v>
      </c>
      <c r="G6423" s="7">
        <v>155997.58097890971</v>
      </c>
      <c r="H6423" s="7">
        <v>392021921</v>
      </c>
      <c r="I6423" s="7">
        <v>41173684</v>
      </c>
      <c r="J6423" s="7">
        <v>0</v>
      </c>
      <c r="K6423">
        <f t="shared" si="100"/>
        <v>89</v>
      </c>
      <c r="L6423" s="8" t="str" cm="1">
        <f t="array" ref="L6423">_xlfn.IFS(
 AND(K6423&gt;=89,K6423&lt;=92),"3개월",
 AND(K6423&gt;=58,K6423&lt;=62),"2개월",
 AND(K6423&gt;=28,K6423&lt;=32),"1개월",
 AND(K6423=0),"당월",
 TRUE,"그외"
)</f>
        <v>3개월</v>
      </c>
    </row>
    <row r="6424" spans="1:12" x14ac:dyDescent="0.3">
      <c r="A6424" s="5">
        <v>45778</v>
      </c>
      <c r="B6424" s="6" t="s">
        <v>20</v>
      </c>
      <c r="C6424" s="6" t="s">
        <v>22</v>
      </c>
      <c r="D6424" s="5">
        <v>45717</v>
      </c>
      <c r="E6424" s="6" t="s">
        <v>14</v>
      </c>
      <c r="F6424" s="7">
        <v>492</v>
      </c>
      <c r="G6424" s="7">
        <v>109323.7764227642</v>
      </c>
      <c r="H6424" s="7">
        <v>53787298</v>
      </c>
      <c r="I6424" s="7">
        <v>6928475</v>
      </c>
      <c r="J6424" s="7">
        <v>0</v>
      </c>
      <c r="K6424">
        <f t="shared" si="100"/>
        <v>61</v>
      </c>
      <c r="L6424" s="8" t="str" cm="1">
        <f t="array" ref="L6424">_xlfn.IFS(
 AND(K6424&gt;=89,K6424&lt;=92),"3개월",
 AND(K6424&gt;=58,K6424&lt;=62),"2개월",
 AND(K6424&gt;=28,K6424&lt;=32),"1개월",
 AND(K6424=0),"당월",
 TRUE,"그외"
)</f>
        <v>2개월</v>
      </c>
    </row>
    <row r="6425" spans="1:12" x14ac:dyDescent="0.3">
      <c r="A6425" s="5">
        <v>45778</v>
      </c>
      <c r="B6425" s="6" t="s">
        <v>20</v>
      </c>
      <c r="C6425" s="6" t="s">
        <v>22</v>
      </c>
      <c r="D6425" s="5">
        <v>45717</v>
      </c>
      <c r="E6425" s="6" t="s">
        <v>15</v>
      </c>
      <c r="F6425" s="7">
        <v>7516</v>
      </c>
      <c r="G6425" s="7">
        <v>136118.214741884</v>
      </c>
      <c r="H6425" s="7">
        <v>1023064502</v>
      </c>
      <c r="I6425" s="7">
        <v>123459176</v>
      </c>
      <c r="J6425" s="7">
        <v>0</v>
      </c>
      <c r="K6425">
        <f t="shared" si="100"/>
        <v>61</v>
      </c>
      <c r="L6425" s="8" t="str" cm="1">
        <f t="array" ref="L6425">_xlfn.IFS(
 AND(K6425&gt;=89,K6425&lt;=92),"3개월",
 AND(K6425&gt;=58,K6425&lt;=62),"2개월",
 AND(K6425&gt;=28,K6425&lt;=32),"1개월",
 AND(K6425=0),"당월",
 TRUE,"그외"
)</f>
        <v>2개월</v>
      </c>
    </row>
    <row r="6426" spans="1:12" x14ac:dyDescent="0.3">
      <c r="A6426" s="5">
        <v>45778</v>
      </c>
      <c r="B6426" s="6" t="s">
        <v>20</v>
      </c>
      <c r="C6426" s="6" t="s">
        <v>22</v>
      </c>
      <c r="D6426" s="5">
        <v>45748</v>
      </c>
      <c r="E6426" s="6" t="s">
        <v>14</v>
      </c>
      <c r="F6426" s="7">
        <v>2769</v>
      </c>
      <c r="G6426" s="7">
        <v>129667.5572408812</v>
      </c>
      <c r="H6426" s="7">
        <v>359049466</v>
      </c>
      <c r="I6426" s="7">
        <v>30888860</v>
      </c>
      <c r="J6426" s="7">
        <v>0</v>
      </c>
      <c r="K6426">
        <f t="shared" si="100"/>
        <v>30</v>
      </c>
      <c r="L6426" s="8" t="str" cm="1">
        <f t="array" ref="L6426">_xlfn.IFS(
 AND(K6426&gt;=89,K6426&lt;=92),"3개월",
 AND(K6426&gt;=58,K6426&lt;=62),"2개월",
 AND(K6426&gt;=28,K6426&lt;=32),"1개월",
 AND(K6426=0),"당월",
 TRUE,"그외"
)</f>
        <v>1개월</v>
      </c>
    </row>
    <row r="6427" spans="1:12" x14ac:dyDescent="0.3">
      <c r="A6427" s="5">
        <v>45778</v>
      </c>
      <c r="B6427" s="6" t="s">
        <v>20</v>
      </c>
      <c r="C6427" s="6" t="s">
        <v>22</v>
      </c>
      <c r="D6427" s="5">
        <v>45748</v>
      </c>
      <c r="E6427" s="6" t="s">
        <v>15</v>
      </c>
      <c r="F6427" s="7">
        <v>15821</v>
      </c>
      <c r="G6427" s="7">
        <v>96088.857783958025</v>
      </c>
      <c r="H6427" s="7">
        <v>1520221819</v>
      </c>
      <c r="I6427" s="7">
        <v>242228954</v>
      </c>
      <c r="J6427" s="7">
        <v>0</v>
      </c>
      <c r="K6427">
        <f t="shared" si="100"/>
        <v>30</v>
      </c>
      <c r="L6427" s="8" t="str" cm="1">
        <f t="array" ref="L6427">_xlfn.IFS(
 AND(K6427&gt;=89,K6427&lt;=92),"3개월",
 AND(K6427&gt;=58,K6427&lt;=62),"2개월",
 AND(K6427&gt;=28,K6427&lt;=32),"1개월",
 AND(K6427=0),"당월",
 TRUE,"그외"
)</f>
        <v>1개월</v>
      </c>
    </row>
    <row r="6428" spans="1:12" x14ac:dyDescent="0.3">
      <c r="A6428" s="5">
        <v>45778</v>
      </c>
      <c r="B6428" s="6" t="s">
        <v>20</v>
      </c>
      <c r="C6428" s="6" t="s">
        <v>22</v>
      </c>
      <c r="D6428" s="5">
        <v>45778</v>
      </c>
      <c r="E6428" s="6" t="s">
        <v>14</v>
      </c>
      <c r="F6428" s="7">
        <v>545</v>
      </c>
      <c r="G6428" s="7">
        <v>75317.552293577988</v>
      </c>
      <c r="H6428" s="7">
        <v>41048066</v>
      </c>
      <c r="I6428" s="7">
        <v>4422408</v>
      </c>
      <c r="J6428" s="7">
        <v>0</v>
      </c>
      <c r="K6428">
        <f t="shared" si="100"/>
        <v>0</v>
      </c>
      <c r="L6428" s="8" t="str" cm="1">
        <f t="array" ref="L6428">_xlfn.IFS(
 AND(K6428&gt;=89,K6428&lt;=92),"3개월",
 AND(K6428&gt;=58,K6428&lt;=62),"2개월",
 AND(K6428&gt;=28,K6428&lt;=32),"1개월",
 AND(K6428=0),"당월",
 TRUE,"그외"
)</f>
        <v>당월</v>
      </c>
    </row>
    <row r="6429" spans="1:12" x14ac:dyDescent="0.3">
      <c r="A6429" s="5">
        <v>45778</v>
      </c>
      <c r="B6429" s="6" t="s">
        <v>20</v>
      </c>
      <c r="C6429" s="6" t="s">
        <v>22</v>
      </c>
      <c r="D6429" s="5">
        <v>45778</v>
      </c>
      <c r="E6429" s="6" t="s">
        <v>15</v>
      </c>
      <c r="F6429" s="7">
        <v>5495</v>
      </c>
      <c r="G6429" s="7">
        <v>75861.883348498639</v>
      </c>
      <c r="H6429" s="7">
        <v>416861049</v>
      </c>
      <c r="I6429" s="7">
        <v>61574872</v>
      </c>
      <c r="J6429" s="7">
        <v>0</v>
      </c>
      <c r="K6429">
        <f t="shared" si="100"/>
        <v>0</v>
      </c>
      <c r="L6429" s="8" t="str" cm="1">
        <f t="array" ref="L6429">_xlfn.IFS(
 AND(K6429&gt;=89,K6429&lt;=92),"3개월",
 AND(K6429&gt;=58,K6429&lt;=62),"2개월",
 AND(K6429&gt;=28,K6429&lt;=32),"1개월",
 AND(K6429=0),"당월",
 TRUE,"그외"
)</f>
        <v>당월</v>
      </c>
    </row>
    <row r="6430" spans="1:12" x14ac:dyDescent="0.3">
      <c r="A6430" s="5">
        <v>45778</v>
      </c>
      <c r="B6430" s="6" t="s">
        <v>20</v>
      </c>
      <c r="C6430" s="6" t="s">
        <v>23</v>
      </c>
      <c r="D6430" s="5">
        <v>45627</v>
      </c>
      <c r="E6430" s="6" t="s">
        <v>15</v>
      </c>
      <c r="F6430" s="7">
        <v>31</v>
      </c>
      <c r="G6430" s="7">
        <v>163807.16129032261</v>
      </c>
      <c r="H6430" s="7">
        <v>5078022</v>
      </c>
      <c r="I6430" s="7">
        <v>432265</v>
      </c>
      <c r="J6430" s="7">
        <v>0</v>
      </c>
      <c r="K6430">
        <f t="shared" si="100"/>
        <v>151</v>
      </c>
      <c r="L6430" s="8" t="str" cm="1">
        <f t="array" ref="L6430">_xlfn.IFS(
 AND(K6430&gt;=89,K6430&lt;=92),"3개월",
 AND(K6430&gt;=58,K6430&lt;=62),"2개월",
 AND(K6430&gt;=28,K6430&lt;=32),"1개월",
 AND(K6430=0),"당월",
 TRUE,"그외"
)</f>
        <v>그외</v>
      </c>
    </row>
    <row r="6431" spans="1:12" x14ac:dyDescent="0.3">
      <c r="A6431" s="5">
        <v>45778</v>
      </c>
      <c r="B6431" s="6" t="s">
        <v>20</v>
      </c>
      <c r="C6431" s="6" t="s">
        <v>23</v>
      </c>
      <c r="D6431" s="5">
        <v>45658</v>
      </c>
      <c r="E6431" s="6" t="s">
        <v>15</v>
      </c>
      <c r="F6431" s="7">
        <v>410</v>
      </c>
      <c r="G6431" s="7">
        <v>167984.64390243901</v>
      </c>
      <c r="H6431" s="7">
        <v>68873704</v>
      </c>
      <c r="I6431" s="7">
        <v>5280141</v>
      </c>
      <c r="J6431" s="7">
        <v>0</v>
      </c>
      <c r="K6431">
        <f t="shared" si="100"/>
        <v>120</v>
      </c>
      <c r="L6431" s="8" t="str" cm="1">
        <f t="array" ref="L6431">_xlfn.IFS(
 AND(K6431&gt;=89,K6431&lt;=92),"3개월",
 AND(K6431&gt;=58,K6431&lt;=62),"2개월",
 AND(K6431&gt;=28,K6431&lt;=32),"1개월",
 AND(K6431=0),"당월",
 TRUE,"그외"
)</f>
        <v>그외</v>
      </c>
    </row>
    <row r="6432" spans="1:12" x14ac:dyDescent="0.3">
      <c r="A6432" s="5">
        <v>45778</v>
      </c>
      <c r="B6432" s="6" t="s">
        <v>20</v>
      </c>
      <c r="C6432" s="6" t="s">
        <v>23</v>
      </c>
      <c r="D6432" s="5">
        <v>45689</v>
      </c>
      <c r="E6432" s="6" t="s">
        <v>15</v>
      </c>
      <c r="F6432" s="7">
        <v>814</v>
      </c>
      <c r="G6432" s="7">
        <v>132365.34766584769</v>
      </c>
      <c r="H6432" s="7">
        <v>107745393</v>
      </c>
      <c r="I6432" s="7">
        <v>11492700</v>
      </c>
      <c r="J6432" s="7">
        <v>0</v>
      </c>
      <c r="K6432">
        <f t="shared" si="100"/>
        <v>89</v>
      </c>
      <c r="L6432" s="8" t="str" cm="1">
        <f t="array" ref="L6432">_xlfn.IFS(
 AND(K6432&gt;=89,K6432&lt;=92),"3개월",
 AND(K6432&gt;=58,K6432&lt;=62),"2개월",
 AND(K6432&gt;=28,K6432&lt;=32),"1개월",
 AND(K6432=0),"당월",
 TRUE,"그외"
)</f>
        <v>3개월</v>
      </c>
    </row>
    <row r="6433" spans="1:12" x14ac:dyDescent="0.3">
      <c r="A6433" s="5">
        <v>45778</v>
      </c>
      <c r="B6433" s="6" t="s">
        <v>20</v>
      </c>
      <c r="C6433" s="6" t="s">
        <v>23</v>
      </c>
      <c r="D6433" s="5">
        <v>45717</v>
      </c>
      <c r="E6433" s="6" t="s">
        <v>14</v>
      </c>
      <c r="F6433" s="7">
        <v>324</v>
      </c>
      <c r="G6433" s="7">
        <v>125592.5925925926</v>
      </c>
      <c r="H6433" s="7">
        <v>40692000</v>
      </c>
      <c r="I6433" s="7">
        <v>4212000</v>
      </c>
      <c r="J6433" s="7">
        <v>0</v>
      </c>
      <c r="K6433">
        <f t="shared" si="100"/>
        <v>61</v>
      </c>
      <c r="L6433" s="8" t="str" cm="1">
        <f t="array" ref="L6433">_xlfn.IFS(
 AND(K6433&gt;=89,K6433&lt;=92),"3개월",
 AND(K6433&gt;=58,K6433&lt;=62),"2개월",
 AND(K6433&gt;=28,K6433&lt;=32),"1개월",
 AND(K6433=0),"당월",
 TRUE,"그외"
)</f>
        <v>2개월</v>
      </c>
    </row>
    <row r="6434" spans="1:12" x14ac:dyDescent="0.3">
      <c r="A6434" s="5">
        <v>45778</v>
      </c>
      <c r="B6434" s="6" t="s">
        <v>20</v>
      </c>
      <c r="C6434" s="6" t="s">
        <v>23</v>
      </c>
      <c r="D6434" s="5">
        <v>45717</v>
      </c>
      <c r="E6434" s="6" t="s">
        <v>15</v>
      </c>
      <c r="F6434" s="7">
        <v>2557</v>
      </c>
      <c r="G6434" s="7">
        <v>110453.9515056707</v>
      </c>
      <c r="H6434" s="7">
        <v>282430754</v>
      </c>
      <c r="I6434" s="7">
        <v>44176035</v>
      </c>
      <c r="J6434" s="7">
        <v>0</v>
      </c>
      <c r="K6434">
        <f t="shared" si="100"/>
        <v>61</v>
      </c>
      <c r="L6434" s="8" t="str" cm="1">
        <f t="array" ref="L6434">_xlfn.IFS(
 AND(K6434&gt;=89,K6434&lt;=92),"3개월",
 AND(K6434&gt;=58,K6434&lt;=62),"2개월",
 AND(K6434&gt;=28,K6434&lt;=32),"1개월",
 AND(K6434=0),"당월",
 TRUE,"그외"
)</f>
        <v>2개월</v>
      </c>
    </row>
    <row r="6435" spans="1:12" x14ac:dyDescent="0.3">
      <c r="A6435" s="5">
        <v>45778</v>
      </c>
      <c r="B6435" s="6" t="s">
        <v>20</v>
      </c>
      <c r="C6435" s="6" t="s">
        <v>23</v>
      </c>
      <c r="D6435" s="5">
        <v>45748</v>
      </c>
      <c r="E6435" s="6" t="s">
        <v>14</v>
      </c>
      <c r="F6435" s="7">
        <v>395</v>
      </c>
      <c r="G6435" s="7">
        <v>95460.506329113923</v>
      </c>
      <c r="H6435" s="7">
        <v>37706900</v>
      </c>
      <c r="I6435" s="7">
        <v>4006900</v>
      </c>
      <c r="J6435" s="7">
        <v>0</v>
      </c>
      <c r="K6435">
        <f t="shared" si="100"/>
        <v>30</v>
      </c>
      <c r="L6435" s="8" t="str" cm="1">
        <f t="array" ref="L6435">_xlfn.IFS(
 AND(K6435&gt;=89,K6435&lt;=92),"3개월",
 AND(K6435&gt;=58,K6435&lt;=62),"2개월",
 AND(K6435&gt;=28,K6435&lt;=32),"1개월",
 AND(K6435=0),"당월",
 TRUE,"그외"
)</f>
        <v>1개월</v>
      </c>
    </row>
    <row r="6436" spans="1:12" x14ac:dyDescent="0.3">
      <c r="A6436" s="5">
        <v>45778</v>
      </c>
      <c r="B6436" s="6" t="s">
        <v>20</v>
      </c>
      <c r="C6436" s="6" t="s">
        <v>23</v>
      </c>
      <c r="D6436" s="5">
        <v>45748</v>
      </c>
      <c r="E6436" s="6" t="s">
        <v>15</v>
      </c>
      <c r="F6436" s="7">
        <v>3961</v>
      </c>
      <c r="G6436" s="7">
        <v>78684.081545064371</v>
      </c>
      <c r="H6436" s="7">
        <v>311667647</v>
      </c>
      <c r="I6436" s="7">
        <v>62921113</v>
      </c>
      <c r="J6436" s="7">
        <v>0</v>
      </c>
      <c r="K6436">
        <f t="shared" si="100"/>
        <v>30</v>
      </c>
      <c r="L6436" s="8" t="str" cm="1">
        <f t="array" ref="L6436">_xlfn.IFS(
 AND(K6436&gt;=89,K6436&lt;=92),"3개월",
 AND(K6436&gt;=58,K6436&lt;=62),"2개월",
 AND(K6436&gt;=28,K6436&lt;=32),"1개월",
 AND(K6436=0),"당월",
 TRUE,"그외"
)</f>
        <v>1개월</v>
      </c>
    </row>
    <row r="6437" spans="1:12" x14ac:dyDescent="0.3">
      <c r="A6437" s="5">
        <v>45778</v>
      </c>
      <c r="B6437" s="6" t="s">
        <v>20</v>
      </c>
      <c r="C6437" s="6" t="s">
        <v>23</v>
      </c>
      <c r="D6437" s="5">
        <v>45778</v>
      </c>
      <c r="E6437" s="6" t="s">
        <v>14</v>
      </c>
      <c r="F6437" s="7">
        <v>42</v>
      </c>
      <c r="G6437" s="7">
        <v>64919.047619047618</v>
      </c>
      <c r="H6437" s="7">
        <v>2726600</v>
      </c>
      <c r="I6437" s="7">
        <v>306600</v>
      </c>
      <c r="J6437" s="7">
        <v>0</v>
      </c>
      <c r="K6437">
        <f t="shared" si="100"/>
        <v>0</v>
      </c>
      <c r="L6437" s="8" t="str" cm="1">
        <f t="array" ref="L6437">_xlfn.IFS(
 AND(K6437&gt;=89,K6437&lt;=92),"3개월",
 AND(K6437&gt;=58,K6437&lt;=62),"2개월",
 AND(K6437&gt;=28,K6437&lt;=32),"1개월",
 AND(K6437=0),"당월",
 TRUE,"그외"
)</f>
        <v>당월</v>
      </c>
    </row>
    <row r="6438" spans="1:12" x14ac:dyDescent="0.3">
      <c r="A6438" s="5">
        <v>45778</v>
      </c>
      <c r="B6438" s="6" t="s">
        <v>20</v>
      </c>
      <c r="C6438" s="6" t="s">
        <v>23</v>
      </c>
      <c r="D6438" s="5">
        <v>45778</v>
      </c>
      <c r="E6438" s="6" t="s">
        <v>15</v>
      </c>
      <c r="F6438" s="7">
        <v>786</v>
      </c>
      <c r="G6438" s="7">
        <v>92581.825699745546</v>
      </c>
      <c r="H6438" s="7">
        <v>72769315</v>
      </c>
      <c r="I6438" s="7">
        <v>11302794</v>
      </c>
      <c r="J6438" s="7">
        <v>0</v>
      </c>
      <c r="K6438">
        <f t="shared" si="100"/>
        <v>0</v>
      </c>
      <c r="L6438" s="8" t="str" cm="1">
        <f t="array" ref="L6438">_xlfn.IFS(
 AND(K6438&gt;=89,K6438&lt;=92),"3개월",
 AND(K6438&gt;=58,K6438&lt;=62),"2개월",
 AND(K6438&gt;=28,K6438&lt;=32),"1개월",
 AND(K6438=0),"당월",
 TRUE,"그외"
)</f>
        <v>당월</v>
      </c>
    </row>
    <row r="6439" spans="1:12" x14ac:dyDescent="0.3">
      <c r="A6439" s="5">
        <v>45778</v>
      </c>
      <c r="B6439" s="6" t="s">
        <v>20</v>
      </c>
      <c r="C6439" s="6" t="s">
        <v>24</v>
      </c>
      <c r="D6439" s="5">
        <v>45627</v>
      </c>
      <c r="E6439" s="6" t="s">
        <v>15</v>
      </c>
      <c r="F6439" s="7">
        <v>243</v>
      </c>
      <c r="G6439" s="7">
        <v>154239.65432098761</v>
      </c>
      <c r="H6439" s="7">
        <v>37480236</v>
      </c>
      <c r="I6439" s="7">
        <v>2820962</v>
      </c>
      <c r="J6439" s="7">
        <v>0</v>
      </c>
      <c r="K6439">
        <f t="shared" si="100"/>
        <v>151</v>
      </c>
      <c r="L6439" s="8" t="str" cm="1">
        <f t="array" ref="L6439">_xlfn.IFS(
 AND(K6439&gt;=89,K6439&lt;=92),"3개월",
 AND(K6439&gt;=58,K6439&lt;=62),"2개월",
 AND(K6439&gt;=28,K6439&lt;=32),"1개월",
 AND(K6439=0),"당월",
 TRUE,"그외"
)</f>
        <v>그외</v>
      </c>
    </row>
    <row r="6440" spans="1:12" x14ac:dyDescent="0.3">
      <c r="A6440" s="5">
        <v>45778</v>
      </c>
      <c r="B6440" s="6" t="s">
        <v>20</v>
      </c>
      <c r="C6440" s="6" t="s">
        <v>24</v>
      </c>
      <c r="D6440" s="5">
        <v>45658</v>
      </c>
      <c r="E6440" s="6" t="s">
        <v>14</v>
      </c>
      <c r="F6440" s="7">
        <v>8</v>
      </c>
      <c r="G6440" s="7">
        <v>171300</v>
      </c>
      <c r="H6440" s="7">
        <v>1370400</v>
      </c>
      <c r="I6440" s="7">
        <v>90400</v>
      </c>
      <c r="J6440" s="7">
        <v>0</v>
      </c>
      <c r="K6440">
        <f t="shared" si="100"/>
        <v>120</v>
      </c>
      <c r="L6440" s="8" t="str" cm="1">
        <f t="array" ref="L6440">_xlfn.IFS(
 AND(K6440&gt;=89,K6440&lt;=92),"3개월",
 AND(K6440&gt;=58,K6440&lt;=62),"2개월",
 AND(K6440&gt;=28,K6440&lt;=32),"1개월",
 AND(K6440=0),"당월",
 TRUE,"그외"
)</f>
        <v>그외</v>
      </c>
    </row>
    <row r="6441" spans="1:12" x14ac:dyDescent="0.3">
      <c r="A6441" s="5">
        <v>45778</v>
      </c>
      <c r="B6441" s="6" t="s">
        <v>20</v>
      </c>
      <c r="C6441" s="6" t="s">
        <v>24</v>
      </c>
      <c r="D6441" s="5">
        <v>45658</v>
      </c>
      <c r="E6441" s="6" t="s">
        <v>15</v>
      </c>
      <c r="F6441" s="7">
        <v>828</v>
      </c>
      <c r="G6441" s="7">
        <v>133855.25</v>
      </c>
      <c r="H6441" s="7">
        <v>110832147</v>
      </c>
      <c r="I6441" s="7">
        <v>11247227</v>
      </c>
      <c r="J6441" s="7">
        <v>0</v>
      </c>
      <c r="K6441">
        <f t="shared" si="100"/>
        <v>120</v>
      </c>
      <c r="L6441" s="8" t="str" cm="1">
        <f t="array" ref="L6441">_xlfn.IFS(
 AND(K6441&gt;=89,K6441&lt;=92),"3개월",
 AND(K6441&gt;=58,K6441&lt;=62),"2개월",
 AND(K6441&gt;=28,K6441&lt;=32),"1개월",
 AND(K6441=0),"당월",
 TRUE,"그외"
)</f>
        <v>그외</v>
      </c>
    </row>
    <row r="6442" spans="1:12" x14ac:dyDescent="0.3">
      <c r="A6442" s="5">
        <v>45778</v>
      </c>
      <c r="B6442" s="6" t="s">
        <v>20</v>
      </c>
      <c r="C6442" s="6" t="s">
        <v>24</v>
      </c>
      <c r="D6442" s="5">
        <v>45689</v>
      </c>
      <c r="E6442" s="6" t="s">
        <v>15</v>
      </c>
      <c r="F6442" s="7">
        <v>1577</v>
      </c>
      <c r="G6442" s="7">
        <v>121011.7882054534</v>
      </c>
      <c r="H6442" s="7">
        <v>190835590</v>
      </c>
      <c r="I6442" s="7">
        <v>21251775</v>
      </c>
      <c r="J6442" s="7">
        <v>0</v>
      </c>
      <c r="K6442">
        <f t="shared" si="100"/>
        <v>89</v>
      </c>
      <c r="L6442" s="8" t="str" cm="1">
        <f t="array" ref="L6442">_xlfn.IFS(
 AND(K6442&gt;=89,K6442&lt;=92),"3개월",
 AND(K6442&gt;=58,K6442&lt;=62),"2개월",
 AND(K6442&gt;=28,K6442&lt;=32),"1개월",
 AND(K6442=0),"당월",
 TRUE,"그외"
)</f>
        <v>3개월</v>
      </c>
    </row>
    <row r="6443" spans="1:12" x14ac:dyDescent="0.3">
      <c r="A6443" s="5">
        <v>45778</v>
      </c>
      <c r="B6443" s="6" t="s">
        <v>20</v>
      </c>
      <c r="C6443" s="6" t="s">
        <v>24</v>
      </c>
      <c r="D6443" s="5">
        <v>45717</v>
      </c>
      <c r="E6443" s="6" t="s">
        <v>14</v>
      </c>
      <c r="F6443" s="7">
        <v>242</v>
      </c>
      <c r="G6443" s="7">
        <v>174793.38842975211</v>
      </c>
      <c r="H6443" s="7">
        <v>42300000</v>
      </c>
      <c r="I6443" s="7">
        <v>3146000</v>
      </c>
      <c r="J6443" s="7">
        <v>0</v>
      </c>
      <c r="K6443">
        <f t="shared" si="100"/>
        <v>61</v>
      </c>
      <c r="L6443" s="8" t="str" cm="1">
        <f t="array" ref="L6443">_xlfn.IFS(
 AND(K6443&gt;=89,K6443&lt;=92),"3개월",
 AND(K6443&gt;=58,K6443&lt;=62),"2개월",
 AND(K6443&gt;=28,K6443&lt;=32),"1개월",
 AND(K6443=0),"당월",
 TRUE,"그외"
)</f>
        <v>2개월</v>
      </c>
    </row>
    <row r="6444" spans="1:12" x14ac:dyDescent="0.3">
      <c r="A6444" s="5">
        <v>45778</v>
      </c>
      <c r="B6444" s="6" t="s">
        <v>20</v>
      </c>
      <c r="C6444" s="6" t="s">
        <v>24</v>
      </c>
      <c r="D6444" s="5">
        <v>45717</v>
      </c>
      <c r="E6444" s="6" t="s">
        <v>15</v>
      </c>
      <c r="F6444" s="7">
        <v>2008</v>
      </c>
      <c r="G6444" s="7">
        <v>137812.74701195219</v>
      </c>
      <c r="H6444" s="7">
        <v>276727996</v>
      </c>
      <c r="I6444" s="7">
        <v>31499072</v>
      </c>
      <c r="J6444" s="7">
        <v>0</v>
      </c>
      <c r="K6444">
        <f t="shared" si="100"/>
        <v>61</v>
      </c>
      <c r="L6444" s="8" t="str" cm="1">
        <f t="array" ref="L6444">_xlfn.IFS(
 AND(K6444&gt;=89,K6444&lt;=92),"3개월",
 AND(K6444&gt;=58,K6444&lt;=62),"2개월",
 AND(K6444&gt;=28,K6444&lt;=32),"1개월",
 AND(K6444=0),"당월",
 TRUE,"그외"
)</f>
        <v>2개월</v>
      </c>
    </row>
    <row r="6445" spans="1:12" x14ac:dyDescent="0.3">
      <c r="A6445" s="5">
        <v>45778</v>
      </c>
      <c r="B6445" s="6" t="s">
        <v>20</v>
      </c>
      <c r="C6445" s="6" t="s">
        <v>24</v>
      </c>
      <c r="D6445" s="5">
        <v>45748</v>
      </c>
      <c r="E6445" s="6" t="s">
        <v>14</v>
      </c>
      <c r="F6445" s="7">
        <v>453</v>
      </c>
      <c r="G6445" s="7">
        <v>157352.09713024279</v>
      </c>
      <c r="H6445" s="7">
        <v>71280500</v>
      </c>
      <c r="I6445" s="7">
        <v>6119428</v>
      </c>
      <c r="J6445" s="7">
        <v>0</v>
      </c>
      <c r="K6445">
        <f t="shared" si="100"/>
        <v>30</v>
      </c>
      <c r="L6445" s="8" t="str" cm="1">
        <f t="array" ref="L6445">_xlfn.IFS(
 AND(K6445&gt;=89,K6445&lt;=92),"3개월",
 AND(K6445&gt;=58,K6445&lt;=62),"2개월",
 AND(K6445&gt;=28,K6445&lt;=32),"1개월",
 AND(K6445=0),"당월",
 TRUE,"그외"
)</f>
        <v>1개월</v>
      </c>
    </row>
    <row r="6446" spans="1:12" x14ac:dyDescent="0.3">
      <c r="A6446" s="5">
        <v>45778</v>
      </c>
      <c r="B6446" s="6" t="s">
        <v>20</v>
      </c>
      <c r="C6446" s="6" t="s">
        <v>24</v>
      </c>
      <c r="D6446" s="5">
        <v>45748</v>
      </c>
      <c r="E6446" s="6" t="s">
        <v>15</v>
      </c>
      <c r="F6446" s="7">
        <v>2449</v>
      </c>
      <c r="G6446" s="7">
        <v>134990.69416088201</v>
      </c>
      <c r="H6446" s="7">
        <v>330592210</v>
      </c>
      <c r="I6446" s="7">
        <v>33426932</v>
      </c>
      <c r="J6446" s="7">
        <v>0</v>
      </c>
      <c r="K6446">
        <f t="shared" si="100"/>
        <v>30</v>
      </c>
      <c r="L6446" s="8" t="str" cm="1">
        <f t="array" ref="L6446">_xlfn.IFS(
 AND(K6446&gt;=89,K6446&lt;=92),"3개월",
 AND(K6446&gt;=58,K6446&lt;=62),"2개월",
 AND(K6446&gt;=28,K6446&lt;=32),"1개월",
 AND(K6446=0),"당월",
 TRUE,"그외"
)</f>
        <v>1개월</v>
      </c>
    </row>
    <row r="6447" spans="1:12" x14ac:dyDescent="0.3">
      <c r="A6447" s="5">
        <v>45778</v>
      </c>
      <c r="B6447" s="6" t="s">
        <v>20</v>
      </c>
      <c r="C6447" s="6" t="s">
        <v>24</v>
      </c>
      <c r="D6447" s="5">
        <v>45778</v>
      </c>
      <c r="E6447" s="6" t="s">
        <v>14</v>
      </c>
      <c r="F6447" s="7">
        <v>252</v>
      </c>
      <c r="G6447" s="7">
        <v>136649.20634920639</v>
      </c>
      <c r="H6447" s="7">
        <v>34435600</v>
      </c>
      <c r="I6447" s="7">
        <v>1839600</v>
      </c>
      <c r="J6447" s="7">
        <v>0</v>
      </c>
      <c r="K6447">
        <f t="shared" si="100"/>
        <v>0</v>
      </c>
      <c r="L6447" s="8" t="str" cm="1">
        <f t="array" ref="L6447">_xlfn.IFS(
 AND(K6447&gt;=89,K6447&lt;=92),"3개월",
 AND(K6447&gt;=58,K6447&lt;=62),"2개월",
 AND(K6447&gt;=28,K6447&lt;=32),"1개월",
 AND(K6447=0),"당월",
 TRUE,"그외"
)</f>
        <v>당월</v>
      </c>
    </row>
    <row r="6448" spans="1:12" x14ac:dyDescent="0.3">
      <c r="A6448" s="5">
        <v>45778</v>
      </c>
      <c r="B6448" s="6" t="s">
        <v>20</v>
      </c>
      <c r="C6448" s="6" t="s">
        <v>24</v>
      </c>
      <c r="D6448" s="5">
        <v>45778</v>
      </c>
      <c r="E6448" s="6" t="s">
        <v>15</v>
      </c>
      <c r="F6448" s="7">
        <v>782</v>
      </c>
      <c r="G6448" s="7">
        <v>111440.1841432225</v>
      </c>
      <c r="H6448" s="7">
        <v>87146224</v>
      </c>
      <c r="I6448" s="7">
        <v>8051711</v>
      </c>
      <c r="J6448" s="7">
        <v>0</v>
      </c>
      <c r="K6448">
        <f t="shared" si="100"/>
        <v>0</v>
      </c>
      <c r="L6448" s="8" t="str" cm="1">
        <f t="array" ref="L6448">_xlfn.IFS(
 AND(K6448&gt;=89,K6448&lt;=92),"3개월",
 AND(K6448&gt;=58,K6448&lt;=62),"2개월",
 AND(K6448&gt;=28,K6448&lt;=32),"1개월",
 AND(K6448=0),"당월",
 TRUE,"그외"
)</f>
        <v>당월</v>
      </c>
    </row>
    <row r="6449" spans="1:12" x14ac:dyDescent="0.3">
      <c r="A6449" s="5">
        <v>45778</v>
      </c>
      <c r="B6449" s="6" t="s">
        <v>20</v>
      </c>
      <c r="C6449" s="6" t="s">
        <v>27</v>
      </c>
      <c r="D6449" s="5">
        <v>45627</v>
      </c>
      <c r="E6449" s="6" t="s">
        <v>15</v>
      </c>
      <c r="F6449" s="7">
        <v>114</v>
      </c>
      <c r="G6449" s="7">
        <v>201348.64912280699</v>
      </c>
      <c r="H6449" s="7">
        <v>22953746</v>
      </c>
      <c r="I6449" s="7">
        <v>1749922</v>
      </c>
      <c r="J6449" s="7">
        <v>0</v>
      </c>
      <c r="K6449">
        <f t="shared" si="100"/>
        <v>151</v>
      </c>
      <c r="L6449" s="8" t="str" cm="1">
        <f t="array" ref="L6449">_xlfn.IFS(
 AND(K6449&gt;=89,K6449&lt;=92),"3개월",
 AND(K6449&gt;=58,K6449&lt;=62),"2개월",
 AND(K6449&gt;=28,K6449&lt;=32),"1개월",
 AND(K6449=0),"당월",
 TRUE,"그외"
)</f>
        <v>그외</v>
      </c>
    </row>
    <row r="6450" spans="1:12" x14ac:dyDescent="0.3">
      <c r="A6450" s="5">
        <v>45778</v>
      </c>
      <c r="B6450" s="6" t="s">
        <v>20</v>
      </c>
      <c r="C6450" s="6" t="s">
        <v>27</v>
      </c>
      <c r="D6450" s="5">
        <v>45658</v>
      </c>
      <c r="E6450" s="6" t="s">
        <v>14</v>
      </c>
      <c r="F6450" s="7">
        <v>17</v>
      </c>
      <c r="G6450" s="7">
        <v>111728.76470588231</v>
      </c>
      <c r="H6450" s="7">
        <v>1899389</v>
      </c>
      <c r="I6450" s="7">
        <v>486639</v>
      </c>
      <c r="J6450" s="7">
        <v>0</v>
      </c>
      <c r="K6450">
        <f t="shared" si="100"/>
        <v>120</v>
      </c>
      <c r="L6450" s="8" t="str" cm="1">
        <f t="array" ref="L6450">_xlfn.IFS(
 AND(K6450&gt;=89,K6450&lt;=92),"3개월",
 AND(K6450&gt;=58,K6450&lt;=62),"2개월",
 AND(K6450&gt;=28,K6450&lt;=32),"1개월",
 AND(K6450=0),"당월",
 TRUE,"그외"
)</f>
        <v>그외</v>
      </c>
    </row>
    <row r="6451" spans="1:12" x14ac:dyDescent="0.3">
      <c r="A6451" s="5">
        <v>45778</v>
      </c>
      <c r="B6451" s="6" t="s">
        <v>20</v>
      </c>
      <c r="C6451" s="6" t="s">
        <v>27</v>
      </c>
      <c r="D6451" s="5">
        <v>45658</v>
      </c>
      <c r="E6451" s="6" t="s">
        <v>15</v>
      </c>
      <c r="F6451" s="7">
        <v>819</v>
      </c>
      <c r="G6451" s="7">
        <v>149154.3956043956</v>
      </c>
      <c r="H6451" s="7">
        <v>122157450</v>
      </c>
      <c r="I6451" s="7">
        <v>13606680</v>
      </c>
      <c r="J6451" s="7">
        <v>0</v>
      </c>
      <c r="K6451">
        <f t="shared" si="100"/>
        <v>120</v>
      </c>
      <c r="L6451" s="8" t="str" cm="1">
        <f t="array" ref="L6451">_xlfn.IFS(
 AND(K6451&gt;=89,K6451&lt;=92),"3개월",
 AND(K6451&gt;=58,K6451&lt;=62),"2개월",
 AND(K6451&gt;=28,K6451&lt;=32),"1개월",
 AND(K6451=0),"당월",
 TRUE,"그외"
)</f>
        <v>그외</v>
      </c>
    </row>
    <row r="6452" spans="1:12" x14ac:dyDescent="0.3">
      <c r="A6452" s="5">
        <v>45778</v>
      </c>
      <c r="B6452" s="6" t="s">
        <v>20</v>
      </c>
      <c r="C6452" s="6" t="s">
        <v>27</v>
      </c>
      <c r="D6452" s="5">
        <v>45689</v>
      </c>
      <c r="E6452" s="6" t="s">
        <v>14</v>
      </c>
      <c r="F6452" s="7">
        <v>209</v>
      </c>
      <c r="G6452" s="7">
        <v>118918.2009569378</v>
      </c>
      <c r="H6452" s="7">
        <v>24853904</v>
      </c>
      <c r="I6452" s="7">
        <v>5799946</v>
      </c>
      <c r="J6452" s="7">
        <v>0</v>
      </c>
      <c r="K6452">
        <f t="shared" si="100"/>
        <v>89</v>
      </c>
      <c r="L6452" s="8" t="str" cm="1">
        <f t="array" ref="L6452">_xlfn.IFS(
 AND(K6452&gt;=89,K6452&lt;=92),"3개월",
 AND(K6452&gt;=58,K6452&lt;=62),"2개월",
 AND(K6452&gt;=28,K6452&lt;=32),"1개월",
 AND(K6452=0),"당월",
 TRUE,"그외"
)</f>
        <v>3개월</v>
      </c>
    </row>
    <row r="6453" spans="1:12" x14ac:dyDescent="0.3">
      <c r="A6453" s="5">
        <v>45778</v>
      </c>
      <c r="B6453" s="6" t="s">
        <v>20</v>
      </c>
      <c r="C6453" s="6" t="s">
        <v>27</v>
      </c>
      <c r="D6453" s="5">
        <v>45689</v>
      </c>
      <c r="E6453" s="6" t="s">
        <v>15</v>
      </c>
      <c r="F6453" s="7">
        <v>2423</v>
      </c>
      <c r="G6453" s="7">
        <v>189661.8695831614</v>
      </c>
      <c r="H6453" s="7">
        <v>459550710</v>
      </c>
      <c r="I6453" s="7">
        <v>39417364</v>
      </c>
      <c r="J6453" s="7">
        <v>0</v>
      </c>
      <c r="K6453">
        <f t="shared" si="100"/>
        <v>89</v>
      </c>
      <c r="L6453" s="8" t="str" cm="1">
        <f t="array" ref="L6453">_xlfn.IFS(
 AND(K6453&gt;=89,K6453&lt;=92),"3개월",
 AND(K6453&gt;=58,K6453&lt;=62),"2개월",
 AND(K6453&gt;=28,K6453&lt;=32),"1개월",
 AND(K6453=0),"당월",
 TRUE,"그외"
)</f>
        <v>3개월</v>
      </c>
    </row>
    <row r="6454" spans="1:12" x14ac:dyDescent="0.3">
      <c r="A6454" s="5">
        <v>45778</v>
      </c>
      <c r="B6454" s="6" t="s">
        <v>20</v>
      </c>
      <c r="C6454" s="6" t="s">
        <v>27</v>
      </c>
      <c r="D6454" s="5">
        <v>45717</v>
      </c>
      <c r="E6454" s="6" t="s">
        <v>14</v>
      </c>
      <c r="F6454" s="7">
        <v>280</v>
      </c>
      <c r="G6454" s="7">
        <v>190170.8357142857</v>
      </c>
      <c r="H6454" s="7">
        <v>53247834</v>
      </c>
      <c r="I6454" s="7">
        <v>4403867</v>
      </c>
      <c r="J6454" s="7">
        <v>0</v>
      </c>
      <c r="K6454">
        <f t="shared" si="100"/>
        <v>61</v>
      </c>
      <c r="L6454" s="8" t="str" cm="1">
        <f t="array" ref="L6454">_xlfn.IFS(
 AND(K6454&gt;=89,K6454&lt;=92),"3개월",
 AND(K6454&gt;=58,K6454&lt;=62),"2개월",
 AND(K6454&gt;=28,K6454&lt;=32),"1개월",
 AND(K6454=0),"당월",
 TRUE,"그외"
)</f>
        <v>2개월</v>
      </c>
    </row>
    <row r="6455" spans="1:12" x14ac:dyDescent="0.3">
      <c r="A6455" s="5">
        <v>45778</v>
      </c>
      <c r="B6455" s="6" t="s">
        <v>20</v>
      </c>
      <c r="C6455" s="6" t="s">
        <v>27</v>
      </c>
      <c r="D6455" s="5">
        <v>45717</v>
      </c>
      <c r="E6455" s="6" t="s">
        <v>15</v>
      </c>
      <c r="F6455" s="7">
        <v>8460</v>
      </c>
      <c r="G6455" s="7">
        <v>121502.1191489362</v>
      </c>
      <c r="H6455" s="7">
        <v>1027907928</v>
      </c>
      <c r="I6455" s="7">
        <v>139653613</v>
      </c>
      <c r="J6455" s="7">
        <v>0</v>
      </c>
      <c r="K6455">
        <f t="shared" si="100"/>
        <v>61</v>
      </c>
      <c r="L6455" s="8" t="str" cm="1">
        <f t="array" ref="L6455">_xlfn.IFS(
 AND(K6455&gt;=89,K6455&lt;=92),"3개월",
 AND(K6455&gt;=58,K6455&lt;=62),"2개월",
 AND(K6455&gt;=28,K6455&lt;=32),"1개월",
 AND(K6455=0),"당월",
 TRUE,"그외"
)</f>
        <v>2개월</v>
      </c>
    </row>
    <row r="6456" spans="1:12" x14ac:dyDescent="0.3">
      <c r="A6456" s="5">
        <v>45778</v>
      </c>
      <c r="B6456" s="6" t="s">
        <v>20</v>
      </c>
      <c r="C6456" s="6" t="s">
        <v>27</v>
      </c>
      <c r="D6456" s="5">
        <v>45748</v>
      </c>
      <c r="E6456" s="6" t="s">
        <v>14</v>
      </c>
      <c r="F6456" s="7">
        <v>3498</v>
      </c>
      <c r="G6456" s="7">
        <v>147780.37764436821</v>
      </c>
      <c r="H6456" s="7">
        <v>516935761</v>
      </c>
      <c r="I6456" s="7">
        <v>42595107</v>
      </c>
      <c r="J6456" s="7">
        <v>0</v>
      </c>
      <c r="K6456">
        <f t="shared" si="100"/>
        <v>30</v>
      </c>
      <c r="L6456" s="8" t="str" cm="1">
        <f t="array" ref="L6456">_xlfn.IFS(
 AND(K6456&gt;=89,K6456&lt;=92),"3개월",
 AND(K6456&gt;=58,K6456&lt;=62),"2개월",
 AND(K6456&gt;=28,K6456&lt;=32),"1개월",
 AND(K6456=0),"당월",
 TRUE,"그외"
)</f>
        <v>1개월</v>
      </c>
    </row>
    <row r="6457" spans="1:12" x14ac:dyDescent="0.3">
      <c r="A6457" s="5">
        <v>45778</v>
      </c>
      <c r="B6457" s="6" t="s">
        <v>20</v>
      </c>
      <c r="C6457" s="6" t="s">
        <v>27</v>
      </c>
      <c r="D6457" s="5">
        <v>45748</v>
      </c>
      <c r="E6457" s="6" t="s">
        <v>15</v>
      </c>
      <c r="F6457" s="7">
        <v>17700</v>
      </c>
      <c r="G6457" s="7">
        <v>93848.170960451971</v>
      </c>
      <c r="H6457" s="7">
        <v>1661112626</v>
      </c>
      <c r="I6457" s="7">
        <v>274324136</v>
      </c>
      <c r="J6457" s="7">
        <v>0</v>
      </c>
      <c r="K6457">
        <f t="shared" si="100"/>
        <v>30</v>
      </c>
      <c r="L6457" s="8" t="str" cm="1">
        <f t="array" ref="L6457">_xlfn.IFS(
 AND(K6457&gt;=89,K6457&lt;=92),"3개월",
 AND(K6457&gt;=58,K6457&lt;=62),"2개월",
 AND(K6457&gt;=28,K6457&lt;=32),"1개월",
 AND(K6457=0),"당월",
 TRUE,"그외"
)</f>
        <v>1개월</v>
      </c>
    </row>
    <row r="6458" spans="1:12" x14ac:dyDescent="0.3">
      <c r="A6458" s="5">
        <v>45778</v>
      </c>
      <c r="B6458" s="6" t="s">
        <v>20</v>
      </c>
      <c r="C6458" s="6" t="s">
        <v>27</v>
      </c>
      <c r="D6458" s="5">
        <v>45778</v>
      </c>
      <c r="E6458" s="6" t="s">
        <v>14</v>
      </c>
      <c r="F6458" s="7">
        <v>267</v>
      </c>
      <c r="G6458" s="7">
        <v>125935.329588015</v>
      </c>
      <c r="H6458" s="7">
        <v>33624733</v>
      </c>
      <c r="I6458" s="7">
        <v>2234113</v>
      </c>
      <c r="J6458" s="7">
        <v>0</v>
      </c>
      <c r="K6458">
        <f t="shared" si="100"/>
        <v>0</v>
      </c>
      <c r="L6458" s="8" t="str" cm="1">
        <f t="array" ref="L6458">_xlfn.IFS(
 AND(K6458&gt;=89,K6458&lt;=92),"3개월",
 AND(K6458&gt;=58,K6458&lt;=62),"2개월",
 AND(K6458&gt;=28,K6458&lt;=32),"1개월",
 AND(K6458=0),"당월",
 TRUE,"그외"
)</f>
        <v>당월</v>
      </c>
    </row>
    <row r="6459" spans="1:12" x14ac:dyDescent="0.3">
      <c r="A6459" s="5">
        <v>45778</v>
      </c>
      <c r="B6459" s="6" t="s">
        <v>20</v>
      </c>
      <c r="C6459" s="6" t="s">
        <v>27</v>
      </c>
      <c r="D6459" s="5">
        <v>45778</v>
      </c>
      <c r="E6459" s="6" t="s">
        <v>15</v>
      </c>
      <c r="F6459" s="7">
        <v>4483</v>
      </c>
      <c r="G6459" s="7">
        <v>89151.877537363369</v>
      </c>
      <c r="H6459" s="7">
        <v>399667867</v>
      </c>
      <c r="I6459" s="7">
        <v>62944358</v>
      </c>
      <c r="J6459" s="7">
        <v>0</v>
      </c>
      <c r="K6459">
        <f t="shared" si="100"/>
        <v>0</v>
      </c>
      <c r="L6459" s="8" t="str" cm="1">
        <f t="array" ref="L6459">_xlfn.IFS(
 AND(K6459&gt;=89,K6459&lt;=92),"3개월",
 AND(K6459&gt;=58,K6459&lt;=62),"2개월",
 AND(K6459&gt;=28,K6459&lt;=32),"1개월",
 AND(K6459=0),"당월",
 TRUE,"그외"
)</f>
        <v>당월</v>
      </c>
    </row>
    <row r="6460" spans="1:12" x14ac:dyDescent="0.3">
      <c r="A6460" s="5">
        <v>45778</v>
      </c>
      <c r="B6460" s="6" t="s">
        <v>20</v>
      </c>
      <c r="C6460" s="6" t="s">
        <v>28</v>
      </c>
      <c r="D6460" s="5">
        <v>45627</v>
      </c>
      <c r="E6460" s="6" t="s">
        <v>15</v>
      </c>
      <c r="F6460" s="7">
        <v>57</v>
      </c>
      <c r="G6460" s="7">
        <v>248643.85964912281</v>
      </c>
      <c r="H6460" s="7">
        <v>14172700</v>
      </c>
      <c r="I6460" s="7">
        <v>632700</v>
      </c>
      <c r="J6460" s="7">
        <v>0</v>
      </c>
      <c r="K6460">
        <f t="shared" si="100"/>
        <v>151</v>
      </c>
      <c r="L6460" s="8" t="str" cm="1">
        <f t="array" ref="L6460">_xlfn.IFS(
 AND(K6460&gt;=89,K6460&lt;=92),"3개월",
 AND(K6460&gt;=58,K6460&lt;=62),"2개월",
 AND(K6460&gt;=28,K6460&lt;=32),"1개월",
 AND(K6460=0),"당월",
 TRUE,"그외"
)</f>
        <v>그외</v>
      </c>
    </row>
    <row r="6461" spans="1:12" x14ac:dyDescent="0.3">
      <c r="A6461" s="5">
        <v>45778</v>
      </c>
      <c r="B6461" s="6" t="s">
        <v>20</v>
      </c>
      <c r="C6461" s="6" t="s">
        <v>28</v>
      </c>
      <c r="D6461" s="5">
        <v>45658</v>
      </c>
      <c r="E6461" s="6" t="s">
        <v>15</v>
      </c>
      <c r="F6461" s="7">
        <v>327</v>
      </c>
      <c r="G6461" s="7">
        <v>212287.43119266059</v>
      </c>
      <c r="H6461" s="7">
        <v>69417990</v>
      </c>
      <c r="I6461" s="7">
        <v>4337929</v>
      </c>
      <c r="J6461" s="7">
        <v>0</v>
      </c>
      <c r="K6461">
        <f t="shared" si="100"/>
        <v>120</v>
      </c>
      <c r="L6461" s="8" t="str" cm="1">
        <f t="array" ref="L6461">_xlfn.IFS(
 AND(K6461&gt;=89,K6461&lt;=92),"3개월",
 AND(K6461&gt;=58,K6461&lt;=62),"2개월",
 AND(K6461&gt;=28,K6461&lt;=32),"1개월",
 AND(K6461=0),"당월",
 TRUE,"그외"
)</f>
        <v>그외</v>
      </c>
    </row>
    <row r="6462" spans="1:12" x14ac:dyDescent="0.3">
      <c r="A6462" s="5">
        <v>45778</v>
      </c>
      <c r="B6462" s="6" t="s">
        <v>20</v>
      </c>
      <c r="C6462" s="6" t="s">
        <v>28</v>
      </c>
      <c r="D6462" s="5">
        <v>45689</v>
      </c>
      <c r="E6462" s="6" t="s">
        <v>14</v>
      </c>
      <c r="F6462" s="7">
        <v>83</v>
      </c>
      <c r="G6462" s="7">
        <v>195193.97590361451</v>
      </c>
      <c r="H6462" s="7">
        <v>16201100</v>
      </c>
      <c r="I6462" s="7">
        <v>971100</v>
      </c>
      <c r="J6462" s="7">
        <v>0</v>
      </c>
      <c r="K6462">
        <f t="shared" si="100"/>
        <v>89</v>
      </c>
      <c r="L6462" s="8" t="str" cm="1">
        <f t="array" ref="L6462">_xlfn.IFS(
 AND(K6462&gt;=89,K6462&lt;=92),"3개월",
 AND(K6462&gt;=58,K6462&lt;=62),"2개월",
 AND(K6462&gt;=28,K6462&lt;=32),"1개월",
 AND(K6462=0),"당월",
 TRUE,"그외"
)</f>
        <v>3개월</v>
      </c>
    </row>
    <row r="6463" spans="1:12" x14ac:dyDescent="0.3">
      <c r="A6463" s="5">
        <v>45778</v>
      </c>
      <c r="B6463" s="6" t="s">
        <v>20</v>
      </c>
      <c r="C6463" s="6" t="s">
        <v>28</v>
      </c>
      <c r="D6463" s="5">
        <v>45689</v>
      </c>
      <c r="E6463" s="6" t="s">
        <v>15</v>
      </c>
      <c r="F6463" s="7">
        <v>1479</v>
      </c>
      <c r="G6463" s="7">
        <v>143971.86680189319</v>
      </c>
      <c r="H6463" s="7">
        <v>212934391</v>
      </c>
      <c r="I6463" s="7">
        <v>18332761</v>
      </c>
      <c r="J6463" s="7">
        <v>0</v>
      </c>
      <c r="K6463">
        <f t="shared" si="100"/>
        <v>89</v>
      </c>
      <c r="L6463" s="8" t="str" cm="1">
        <f t="array" ref="L6463">_xlfn.IFS(
 AND(K6463&gt;=89,K6463&lt;=92),"3개월",
 AND(K6463&gt;=58,K6463&lt;=62),"2개월",
 AND(K6463&gt;=28,K6463&lt;=32),"1개월",
 AND(K6463=0),"당월",
 TRUE,"그외"
)</f>
        <v>3개월</v>
      </c>
    </row>
    <row r="6464" spans="1:12" x14ac:dyDescent="0.3">
      <c r="A6464" s="5">
        <v>45778</v>
      </c>
      <c r="B6464" s="6" t="s">
        <v>20</v>
      </c>
      <c r="C6464" s="6" t="s">
        <v>28</v>
      </c>
      <c r="D6464" s="5">
        <v>45717</v>
      </c>
      <c r="E6464" s="6" t="s">
        <v>14</v>
      </c>
      <c r="F6464" s="7">
        <v>82</v>
      </c>
      <c r="G6464" s="7">
        <v>191378.04878048779</v>
      </c>
      <c r="H6464" s="7">
        <v>15693000</v>
      </c>
      <c r="I6464" s="7">
        <v>1053000</v>
      </c>
      <c r="J6464" s="7">
        <v>0</v>
      </c>
      <c r="K6464">
        <f t="shared" si="100"/>
        <v>61</v>
      </c>
      <c r="L6464" s="8" t="str" cm="1">
        <f t="array" ref="L6464">_xlfn.IFS(
 AND(K6464&gt;=89,K6464&lt;=92),"3개월",
 AND(K6464&gt;=58,K6464&lt;=62),"2개월",
 AND(K6464&gt;=28,K6464&lt;=32),"1개월",
 AND(K6464=0),"당월",
 TRUE,"그외"
)</f>
        <v>2개월</v>
      </c>
    </row>
    <row r="6465" spans="1:12" x14ac:dyDescent="0.3">
      <c r="A6465" s="5">
        <v>45778</v>
      </c>
      <c r="B6465" s="6" t="s">
        <v>20</v>
      </c>
      <c r="C6465" s="6" t="s">
        <v>28</v>
      </c>
      <c r="D6465" s="5">
        <v>45717</v>
      </c>
      <c r="E6465" s="6" t="s">
        <v>15</v>
      </c>
      <c r="F6465" s="7">
        <v>2560</v>
      </c>
      <c r="G6465" s="7">
        <v>130377.87929687501</v>
      </c>
      <c r="H6465" s="7">
        <v>333767371</v>
      </c>
      <c r="I6465" s="7">
        <v>38004437</v>
      </c>
      <c r="J6465" s="7">
        <v>0</v>
      </c>
      <c r="K6465">
        <f t="shared" si="100"/>
        <v>61</v>
      </c>
      <c r="L6465" s="8" t="str" cm="1">
        <f t="array" ref="L6465">_xlfn.IFS(
 AND(K6465&gt;=89,K6465&lt;=92),"3개월",
 AND(K6465&gt;=58,K6465&lt;=62),"2개월",
 AND(K6465&gt;=28,K6465&lt;=32),"1개월",
 AND(K6465=0),"당월",
 TRUE,"그외"
)</f>
        <v>2개월</v>
      </c>
    </row>
    <row r="6466" spans="1:12" x14ac:dyDescent="0.3">
      <c r="A6466" s="5">
        <v>45778</v>
      </c>
      <c r="B6466" s="6" t="s">
        <v>20</v>
      </c>
      <c r="C6466" s="6" t="s">
        <v>28</v>
      </c>
      <c r="D6466" s="5">
        <v>45748</v>
      </c>
      <c r="E6466" s="6" t="s">
        <v>14</v>
      </c>
      <c r="F6466" s="7">
        <v>1317</v>
      </c>
      <c r="G6466" s="7">
        <v>127503.1890660592</v>
      </c>
      <c r="H6466" s="7">
        <v>167921700</v>
      </c>
      <c r="I6466" s="7">
        <v>13301700</v>
      </c>
      <c r="J6466" s="7">
        <v>0</v>
      </c>
      <c r="K6466">
        <f t="shared" si="100"/>
        <v>30</v>
      </c>
      <c r="L6466" s="8" t="str" cm="1">
        <f t="array" ref="L6466">_xlfn.IFS(
 AND(K6466&gt;=89,K6466&lt;=92),"3개월",
 AND(K6466&gt;=58,K6466&lt;=62),"2개월",
 AND(K6466&gt;=28,K6466&lt;=32),"1개월",
 AND(K6466=0),"당월",
 TRUE,"그외"
)</f>
        <v>1개월</v>
      </c>
    </row>
    <row r="6467" spans="1:12" x14ac:dyDescent="0.3">
      <c r="A6467" s="5">
        <v>45778</v>
      </c>
      <c r="B6467" s="6" t="s">
        <v>20</v>
      </c>
      <c r="C6467" s="6" t="s">
        <v>28</v>
      </c>
      <c r="D6467" s="5">
        <v>45748</v>
      </c>
      <c r="E6467" s="6" t="s">
        <v>15</v>
      </c>
      <c r="F6467" s="7">
        <v>3670</v>
      </c>
      <c r="G6467" s="7">
        <v>102356.90899182561</v>
      </c>
      <c r="H6467" s="7">
        <v>375649856</v>
      </c>
      <c r="I6467" s="7">
        <v>48090972</v>
      </c>
      <c r="J6467" s="7">
        <v>0</v>
      </c>
      <c r="K6467">
        <f t="shared" si="100"/>
        <v>30</v>
      </c>
      <c r="L6467" s="8" t="str" cm="1">
        <f t="array" ref="L6467">_xlfn.IFS(
 AND(K6467&gt;=89,K6467&lt;=92),"3개월",
 AND(K6467&gt;=58,K6467&lt;=62),"2개월",
 AND(K6467&gt;=28,K6467&lt;=32),"1개월",
 AND(K6467=0),"당월",
 TRUE,"그외"
)</f>
        <v>1개월</v>
      </c>
    </row>
    <row r="6468" spans="1:12" x14ac:dyDescent="0.3">
      <c r="A6468" s="5">
        <v>45778</v>
      </c>
      <c r="B6468" s="6" t="s">
        <v>20</v>
      </c>
      <c r="C6468" s="6" t="s">
        <v>28</v>
      </c>
      <c r="D6468" s="5">
        <v>45778</v>
      </c>
      <c r="E6468" s="6" t="s">
        <v>14</v>
      </c>
      <c r="F6468" s="7">
        <v>174</v>
      </c>
      <c r="G6468" s="7">
        <v>97759.770114942527</v>
      </c>
      <c r="H6468" s="7">
        <v>17010200</v>
      </c>
      <c r="I6468" s="7">
        <v>1280200</v>
      </c>
      <c r="J6468" s="7">
        <v>0</v>
      </c>
      <c r="K6468">
        <f t="shared" si="100"/>
        <v>0</v>
      </c>
      <c r="L6468" s="8" t="str" cm="1">
        <f t="array" ref="L6468">_xlfn.IFS(
 AND(K6468&gt;=89,K6468&lt;=92),"3개월",
 AND(K6468&gt;=58,K6468&lt;=62),"2개월",
 AND(K6468&gt;=28,K6468&lt;=32),"1개월",
 AND(K6468=0),"당월",
 TRUE,"그외"
)</f>
        <v>당월</v>
      </c>
    </row>
    <row r="6469" spans="1:12" x14ac:dyDescent="0.3">
      <c r="A6469" s="5">
        <v>45778</v>
      </c>
      <c r="B6469" s="6" t="s">
        <v>20</v>
      </c>
      <c r="C6469" s="6" t="s">
        <v>28</v>
      </c>
      <c r="D6469" s="5">
        <v>45778</v>
      </c>
      <c r="E6469" s="6" t="s">
        <v>15</v>
      </c>
      <c r="F6469" s="7">
        <v>550</v>
      </c>
      <c r="G6469" s="7">
        <v>108658.11636363641</v>
      </c>
      <c r="H6469" s="7">
        <v>59761964</v>
      </c>
      <c r="I6469" s="7">
        <v>7496850</v>
      </c>
      <c r="J6469" s="7">
        <v>0</v>
      </c>
      <c r="K6469">
        <f t="shared" si="100"/>
        <v>0</v>
      </c>
      <c r="L6469" s="8" t="str" cm="1">
        <f t="array" ref="L6469">_xlfn.IFS(
 AND(K6469&gt;=89,K6469&lt;=92),"3개월",
 AND(K6469&gt;=58,K6469&lt;=62),"2개월",
 AND(K6469&gt;=28,K6469&lt;=32),"1개월",
 AND(K6469=0),"당월",
 TRUE,"그외"
)</f>
        <v>당월</v>
      </c>
    </row>
    <row r="6470" spans="1:12" x14ac:dyDescent="0.3">
      <c r="A6470" s="5">
        <v>45778</v>
      </c>
      <c r="B6470" s="6" t="s">
        <v>20</v>
      </c>
      <c r="C6470" s="6" t="s">
        <v>29</v>
      </c>
      <c r="D6470" s="5">
        <v>45627</v>
      </c>
      <c r="E6470" s="6" t="s">
        <v>15</v>
      </c>
      <c r="F6470" s="7">
        <v>250</v>
      </c>
      <c r="G6470" s="7">
        <v>227279.128</v>
      </c>
      <c r="H6470" s="7">
        <v>56819782</v>
      </c>
      <c r="I6470" s="7">
        <v>3021862</v>
      </c>
      <c r="J6470" s="7">
        <v>0</v>
      </c>
      <c r="K6470">
        <f t="shared" si="100"/>
        <v>151</v>
      </c>
      <c r="L6470" s="8" t="str" cm="1">
        <f t="array" ref="L6470">_xlfn.IFS(
 AND(K6470&gt;=89,K6470&lt;=92),"3개월",
 AND(K6470&gt;=58,K6470&lt;=62),"2개월",
 AND(K6470&gt;=28,K6470&lt;=32),"1개월",
 AND(K6470=0),"당월",
 TRUE,"그외"
)</f>
        <v>그외</v>
      </c>
    </row>
    <row r="6471" spans="1:12" x14ac:dyDescent="0.3">
      <c r="A6471" s="5">
        <v>45778</v>
      </c>
      <c r="B6471" s="6" t="s">
        <v>20</v>
      </c>
      <c r="C6471" s="6" t="s">
        <v>29</v>
      </c>
      <c r="D6471" s="5">
        <v>45658</v>
      </c>
      <c r="E6471" s="6" t="s">
        <v>15</v>
      </c>
      <c r="F6471" s="7">
        <v>1531</v>
      </c>
      <c r="G6471" s="7">
        <v>154347.91443500979</v>
      </c>
      <c r="H6471" s="7">
        <v>236306657</v>
      </c>
      <c r="I6471" s="7">
        <v>19851327</v>
      </c>
      <c r="J6471" s="7">
        <v>0</v>
      </c>
      <c r="K6471">
        <f t="shared" si="100"/>
        <v>120</v>
      </c>
      <c r="L6471" s="8" t="str" cm="1">
        <f t="array" ref="L6471">_xlfn.IFS(
 AND(K6471&gt;=89,K6471&lt;=92),"3개월",
 AND(K6471&gt;=58,K6471&lt;=62),"2개월",
 AND(K6471&gt;=28,K6471&lt;=32),"1개월",
 AND(K6471=0),"당월",
 TRUE,"그외"
)</f>
        <v>그외</v>
      </c>
    </row>
    <row r="6472" spans="1:12" x14ac:dyDescent="0.3">
      <c r="A6472" s="5">
        <v>45778</v>
      </c>
      <c r="B6472" s="6" t="s">
        <v>20</v>
      </c>
      <c r="C6472" s="6" t="s">
        <v>29</v>
      </c>
      <c r="D6472" s="5">
        <v>45689</v>
      </c>
      <c r="E6472" s="6" t="s">
        <v>14</v>
      </c>
      <c r="F6472" s="7">
        <v>24</v>
      </c>
      <c r="G6472" s="7">
        <v>167700</v>
      </c>
      <c r="H6472" s="7">
        <v>4024800</v>
      </c>
      <c r="I6472" s="7">
        <v>280800</v>
      </c>
      <c r="J6472" s="7">
        <v>0</v>
      </c>
      <c r="K6472">
        <f t="shared" si="100"/>
        <v>89</v>
      </c>
      <c r="L6472" s="8" t="str" cm="1">
        <f t="array" ref="L6472">_xlfn.IFS(
 AND(K6472&gt;=89,K6472&lt;=92),"3개월",
 AND(K6472&gt;=58,K6472&lt;=62),"2개월",
 AND(K6472&gt;=28,K6472&lt;=32),"1개월",
 AND(K6472=0),"당월",
 TRUE,"그외"
)</f>
        <v>3개월</v>
      </c>
    </row>
    <row r="6473" spans="1:12" x14ac:dyDescent="0.3">
      <c r="A6473" s="5">
        <v>45778</v>
      </c>
      <c r="B6473" s="6" t="s">
        <v>20</v>
      </c>
      <c r="C6473" s="6" t="s">
        <v>29</v>
      </c>
      <c r="D6473" s="5">
        <v>45689</v>
      </c>
      <c r="E6473" s="6" t="s">
        <v>15</v>
      </c>
      <c r="F6473" s="7">
        <v>2413</v>
      </c>
      <c r="G6473" s="7">
        <v>161481.50435142979</v>
      </c>
      <c r="H6473" s="7">
        <v>389654870</v>
      </c>
      <c r="I6473" s="7">
        <v>32150671</v>
      </c>
      <c r="J6473" s="7">
        <v>0</v>
      </c>
      <c r="K6473">
        <f t="shared" si="100"/>
        <v>89</v>
      </c>
      <c r="L6473" s="8" t="str" cm="1">
        <f t="array" ref="L6473">_xlfn.IFS(
 AND(K6473&gt;=89,K6473&lt;=92),"3개월",
 AND(K6473&gt;=58,K6473&lt;=62),"2개월",
 AND(K6473&gt;=28,K6473&lt;=32),"1개월",
 AND(K6473=0),"당월",
 TRUE,"그외"
)</f>
        <v>3개월</v>
      </c>
    </row>
    <row r="6474" spans="1:12" x14ac:dyDescent="0.3">
      <c r="A6474" s="5">
        <v>45778</v>
      </c>
      <c r="B6474" s="6" t="s">
        <v>20</v>
      </c>
      <c r="C6474" s="6" t="s">
        <v>29</v>
      </c>
      <c r="D6474" s="5">
        <v>45717</v>
      </c>
      <c r="E6474" s="6" t="s">
        <v>14</v>
      </c>
      <c r="F6474" s="7">
        <v>190</v>
      </c>
      <c r="G6474" s="7">
        <v>125037.2210526316</v>
      </c>
      <c r="H6474" s="7">
        <v>23757072</v>
      </c>
      <c r="I6474" s="7">
        <v>2563120</v>
      </c>
      <c r="J6474" s="7">
        <v>0</v>
      </c>
      <c r="K6474">
        <f t="shared" ref="K6474:K6537" si="101">A6474-D6474</f>
        <v>61</v>
      </c>
      <c r="L6474" s="8" t="str" cm="1">
        <f t="array" ref="L6474">_xlfn.IFS(
 AND(K6474&gt;=89,K6474&lt;=92),"3개월",
 AND(K6474&gt;=58,K6474&lt;=62),"2개월",
 AND(K6474&gt;=28,K6474&lt;=32),"1개월",
 AND(K6474=0),"당월",
 TRUE,"그외"
)</f>
        <v>2개월</v>
      </c>
    </row>
    <row r="6475" spans="1:12" x14ac:dyDescent="0.3">
      <c r="A6475" s="5">
        <v>45778</v>
      </c>
      <c r="B6475" s="6" t="s">
        <v>20</v>
      </c>
      <c r="C6475" s="6" t="s">
        <v>29</v>
      </c>
      <c r="D6475" s="5">
        <v>45717</v>
      </c>
      <c r="E6475" s="6" t="s">
        <v>15</v>
      </c>
      <c r="F6475" s="7">
        <v>3323</v>
      </c>
      <c r="G6475" s="7">
        <v>164496.509780319</v>
      </c>
      <c r="H6475" s="7">
        <v>546621902</v>
      </c>
      <c r="I6475" s="7">
        <v>49749227</v>
      </c>
      <c r="J6475" s="7">
        <v>0</v>
      </c>
      <c r="K6475">
        <f t="shared" si="101"/>
        <v>61</v>
      </c>
      <c r="L6475" s="8" t="str" cm="1">
        <f t="array" ref="L6475">_xlfn.IFS(
 AND(K6475&gt;=89,K6475&lt;=92),"3개월",
 AND(K6475&gt;=58,K6475&lt;=62),"2개월",
 AND(K6475&gt;=28,K6475&lt;=32),"1개월",
 AND(K6475=0),"당월",
 TRUE,"그외"
)</f>
        <v>2개월</v>
      </c>
    </row>
    <row r="6476" spans="1:12" x14ac:dyDescent="0.3">
      <c r="A6476" s="5">
        <v>45778</v>
      </c>
      <c r="B6476" s="6" t="s">
        <v>20</v>
      </c>
      <c r="C6476" s="6" t="s">
        <v>29</v>
      </c>
      <c r="D6476" s="5">
        <v>45748</v>
      </c>
      <c r="E6476" s="6" t="s">
        <v>14</v>
      </c>
      <c r="F6476" s="7">
        <v>1500</v>
      </c>
      <c r="G6476" s="7">
        <v>183266.78400000001</v>
      </c>
      <c r="H6476" s="7">
        <v>274900176</v>
      </c>
      <c r="I6476" s="7">
        <v>16235624</v>
      </c>
      <c r="J6476" s="7">
        <v>0</v>
      </c>
      <c r="K6476">
        <f t="shared" si="101"/>
        <v>30</v>
      </c>
      <c r="L6476" s="8" t="str" cm="1">
        <f t="array" ref="L6476">_xlfn.IFS(
 AND(K6476&gt;=89,K6476&lt;=92),"3개월",
 AND(K6476&gt;=58,K6476&lt;=62),"2개월",
 AND(K6476&gt;=28,K6476&lt;=32),"1개월",
 AND(K6476=0),"당월",
 TRUE,"그외"
)</f>
        <v>1개월</v>
      </c>
    </row>
    <row r="6477" spans="1:12" x14ac:dyDescent="0.3">
      <c r="A6477" s="5">
        <v>45778</v>
      </c>
      <c r="B6477" s="6" t="s">
        <v>20</v>
      </c>
      <c r="C6477" s="6" t="s">
        <v>29</v>
      </c>
      <c r="D6477" s="5">
        <v>45748</v>
      </c>
      <c r="E6477" s="6" t="s">
        <v>15</v>
      </c>
      <c r="F6477" s="7">
        <v>7889</v>
      </c>
      <c r="G6477" s="7">
        <v>125435.0723792623</v>
      </c>
      <c r="H6477" s="7">
        <v>989557286</v>
      </c>
      <c r="I6477" s="7">
        <v>102608962</v>
      </c>
      <c r="J6477" s="7">
        <v>0</v>
      </c>
      <c r="K6477">
        <f t="shared" si="101"/>
        <v>30</v>
      </c>
      <c r="L6477" s="8" t="str" cm="1">
        <f t="array" ref="L6477">_xlfn.IFS(
 AND(K6477&gt;=89,K6477&lt;=92),"3개월",
 AND(K6477&gt;=58,K6477&lt;=62),"2개월",
 AND(K6477&gt;=28,K6477&lt;=32),"1개월",
 AND(K6477=0),"당월",
 TRUE,"그외"
)</f>
        <v>1개월</v>
      </c>
    </row>
    <row r="6478" spans="1:12" x14ac:dyDescent="0.3">
      <c r="A6478" s="5">
        <v>45778</v>
      </c>
      <c r="B6478" s="6" t="s">
        <v>20</v>
      </c>
      <c r="C6478" s="6" t="s">
        <v>29</v>
      </c>
      <c r="D6478" s="5">
        <v>45778</v>
      </c>
      <c r="E6478" s="6" t="s">
        <v>14</v>
      </c>
      <c r="F6478" s="7">
        <v>300</v>
      </c>
      <c r="G6478" s="7">
        <v>143457.33333333331</v>
      </c>
      <c r="H6478" s="7">
        <v>43037200</v>
      </c>
      <c r="I6478" s="7">
        <v>2201200</v>
      </c>
      <c r="J6478" s="7">
        <v>0</v>
      </c>
      <c r="K6478">
        <f t="shared" si="101"/>
        <v>0</v>
      </c>
      <c r="L6478" s="8" t="str" cm="1">
        <f t="array" ref="L6478">_xlfn.IFS(
 AND(K6478&gt;=89,K6478&lt;=92),"3개월",
 AND(K6478&gt;=58,K6478&lt;=62),"2개월",
 AND(K6478&gt;=28,K6478&lt;=32),"1개월",
 AND(K6478=0),"당월",
 TRUE,"그외"
)</f>
        <v>당월</v>
      </c>
    </row>
    <row r="6479" spans="1:12" x14ac:dyDescent="0.3">
      <c r="A6479" s="5">
        <v>45778</v>
      </c>
      <c r="B6479" s="6" t="s">
        <v>20</v>
      </c>
      <c r="C6479" s="6" t="s">
        <v>29</v>
      </c>
      <c r="D6479" s="5">
        <v>45778</v>
      </c>
      <c r="E6479" s="6" t="s">
        <v>15</v>
      </c>
      <c r="F6479" s="7">
        <v>1516</v>
      </c>
      <c r="G6479" s="7">
        <v>121439.919525066</v>
      </c>
      <c r="H6479" s="7">
        <v>184102918</v>
      </c>
      <c r="I6479" s="7">
        <v>18232669</v>
      </c>
      <c r="J6479" s="7">
        <v>0</v>
      </c>
      <c r="K6479">
        <f t="shared" si="101"/>
        <v>0</v>
      </c>
      <c r="L6479" s="8" t="str" cm="1">
        <f t="array" ref="L6479">_xlfn.IFS(
 AND(K6479&gt;=89,K6479&lt;=92),"3개월",
 AND(K6479&gt;=58,K6479&lt;=62),"2개월",
 AND(K6479&gt;=28,K6479&lt;=32),"1개월",
 AND(K6479=0),"당월",
 TRUE,"그외"
)</f>
        <v>당월</v>
      </c>
    </row>
    <row r="6480" spans="1:12" x14ac:dyDescent="0.3">
      <c r="A6480" s="5">
        <v>45778</v>
      </c>
      <c r="B6480" s="6" t="s">
        <v>20</v>
      </c>
      <c r="C6480" s="6" t="s">
        <v>30</v>
      </c>
      <c r="D6480" s="5">
        <v>45627</v>
      </c>
      <c r="E6480" s="6" t="s">
        <v>15</v>
      </c>
      <c r="F6480" s="7">
        <v>144</v>
      </c>
      <c r="G6480" s="7">
        <v>232215.27083333331</v>
      </c>
      <c r="H6480" s="7">
        <v>33438999</v>
      </c>
      <c r="I6480" s="7">
        <v>1616033</v>
      </c>
      <c r="J6480" s="7">
        <v>0</v>
      </c>
      <c r="K6480">
        <f t="shared" si="101"/>
        <v>151</v>
      </c>
      <c r="L6480" s="8" t="str" cm="1">
        <f t="array" ref="L6480">_xlfn.IFS(
 AND(K6480&gt;=89,K6480&lt;=92),"3개월",
 AND(K6480&gt;=58,K6480&lt;=62),"2개월",
 AND(K6480&gt;=28,K6480&lt;=32),"1개월",
 AND(K6480=0),"당월",
 TRUE,"그외"
)</f>
        <v>그외</v>
      </c>
    </row>
    <row r="6481" spans="1:12" x14ac:dyDescent="0.3">
      <c r="A6481" s="5">
        <v>45778</v>
      </c>
      <c r="B6481" s="6" t="s">
        <v>20</v>
      </c>
      <c r="C6481" s="6" t="s">
        <v>30</v>
      </c>
      <c r="D6481" s="5">
        <v>45658</v>
      </c>
      <c r="E6481" s="6" t="s">
        <v>15</v>
      </c>
      <c r="F6481" s="7">
        <v>469</v>
      </c>
      <c r="G6481" s="7">
        <v>185888.0405117271</v>
      </c>
      <c r="H6481" s="7">
        <v>87181491</v>
      </c>
      <c r="I6481" s="7">
        <v>6537129</v>
      </c>
      <c r="J6481" s="7">
        <v>0</v>
      </c>
      <c r="K6481">
        <f t="shared" si="101"/>
        <v>120</v>
      </c>
      <c r="L6481" s="8" t="str" cm="1">
        <f t="array" ref="L6481">_xlfn.IFS(
 AND(K6481&gt;=89,K6481&lt;=92),"3개월",
 AND(K6481&gt;=58,K6481&lt;=62),"2개월",
 AND(K6481&gt;=28,K6481&lt;=32),"1개월",
 AND(K6481=0),"당월",
 TRUE,"그외"
)</f>
        <v>그외</v>
      </c>
    </row>
    <row r="6482" spans="1:12" x14ac:dyDescent="0.3">
      <c r="A6482" s="5">
        <v>45778</v>
      </c>
      <c r="B6482" s="6" t="s">
        <v>20</v>
      </c>
      <c r="C6482" s="6" t="s">
        <v>30</v>
      </c>
      <c r="D6482" s="5">
        <v>45689</v>
      </c>
      <c r="E6482" s="6" t="s">
        <v>14</v>
      </c>
      <c r="F6482" s="7">
        <v>115</v>
      </c>
      <c r="G6482" s="7">
        <v>144917.39130434781</v>
      </c>
      <c r="H6482" s="7">
        <v>16665500</v>
      </c>
      <c r="I6482" s="7">
        <v>1345500</v>
      </c>
      <c r="J6482" s="7">
        <v>0</v>
      </c>
      <c r="K6482">
        <f t="shared" si="101"/>
        <v>89</v>
      </c>
      <c r="L6482" s="8" t="str" cm="1">
        <f t="array" ref="L6482">_xlfn.IFS(
 AND(K6482&gt;=89,K6482&lt;=92),"3개월",
 AND(K6482&gt;=58,K6482&lt;=62),"2개월",
 AND(K6482&gt;=28,K6482&lt;=32),"1개월",
 AND(K6482=0),"당월",
 TRUE,"그외"
)</f>
        <v>3개월</v>
      </c>
    </row>
    <row r="6483" spans="1:12" x14ac:dyDescent="0.3">
      <c r="A6483" s="5">
        <v>45778</v>
      </c>
      <c r="B6483" s="6" t="s">
        <v>20</v>
      </c>
      <c r="C6483" s="6" t="s">
        <v>30</v>
      </c>
      <c r="D6483" s="5">
        <v>45689</v>
      </c>
      <c r="E6483" s="6" t="s">
        <v>15</v>
      </c>
      <c r="F6483" s="7">
        <v>717</v>
      </c>
      <c r="G6483" s="7">
        <v>177273.75313807529</v>
      </c>
      <c r="H6483" s="7">
        <v>127105281</v>
      </c>
      <c r="I6483" s="7">
        <v>10475283</v>
      </c>
      <c r="J6483" s="7">
        <v>0</v>
      </c>
      <c r="K6483">
        <f t="shared" si="101"/>
        <v>89</v>
      </c>
      <c r="L6483" s="8" t="str" cm="1">
        <f t="array" ref="L6483">_xlfn.IFS(
 AND(K6483&gt;=89,K6483&lt;=92),"3개월",
 AND(K6483&gt;=58,K6483&lt;=62),"2개월",
 AND(K6483&gt;=28,K6483&lt;=32),"1개월",
 AND(K6483=0),"당월",
 TRUE,"그외"
)</f>
        <v>3개월</v>
      </c>
    </row>
    <row r="6484" spans="1:12" x14ac:dyDescent="0.3">
      <c r="A6484" s="5">
        <v>45778</v>
      </c>
      <c r="B6484" s="6" t="s">
        <v>20</v>
      </c>
      <c r="C6484" s="6" t="s">
        <v>30</v>
      </c>
      <c r="D6484" s="5">
        <v>45717</v>
      </c>
      <c r="E6484" s="6" t="s">
        <v>14</v>
      </c>
      <c r="F6484" s="7">
        <v>761</v>
      </c>
      <c r="G6484" s="7">
        <v>128321.9448094612</v>
      </c>
      <c r="H6484" s="7">
        <v>97653000</v>
      </c>
      <c r="I6484" s="7">
        <v>9893000</v>
      </c>
      <c r="J6484" s="7">
        <v>0</v>
      </c>
      <c r="K6484">
        <f t="shared" si="101"/>
        <v>61</v>
      </c>
      <c r="L6484" s="8" t="str" cm="1">
        <f t="array" ref="L6484">_xlfn.IFS(
 AND(K6484&gt;=89,K6484&lt;=92),"3개월",
 AND(K6484&gt;=58,K6484&lt;=62),"2개월",
 AND(K6484&gt;=28,K6484&lt;=32),"1개월",
 AND(K6484=0),"당월",
 TRUE,"그외"
)</f>
        <v>2개월</v>
      </c>
    </row>
    <row r="6485" spans="1:12" x14ac:dyDescent="0.3">
      <c r="A6485" s="5">
        <v>45778</v>
      </c>
      <c r="B6485" s="6" t="s">
        <v>20</v>
      </c>
      <c r="C6485" s="6" t="s">
        <v>30</v>
      </c>
      <c r="D6485" s="5">
        <v>45717</v>
      </c>
      <c r="E6485" s="6" t="s">
        <v>15</v>
      </c>
      <c r="F6485" s="7">
        <v>1606</v>
      </c>
      <c r="G6485" s="7">
        <v>145072.5504358655</v>
      </c>
      <c r="H6485" s="7">
        <v>232986516</v>
      </c>
      <c r="I6485" s="7">
        <v>23509174</v>
      </c>
      <c r="J6485" s="7">
        <v>0</v>
      </c>
      <c r="K6485">
        <f t="shared" si="101"/>
        <v>61</v>
      </c>
      <c r="L6485" s="8" t="str" cm="1">
        <f t="array" ref="L6485">_xlfn.IFS(
 AND(K6485&gt;=89,K6485&lt;=92),"3개월",
 AND(K6485&gt;=58,K6485&lt;=62),"2개월",
 AND(K6485&gt;=28,K6485&lt;=32),"1개월",
 AND(K6485=0),"당월",
 TRUE,"그외"
)</f>
        <v>2개월</v>
      </c>
    </row>
    <row r="6486" spans="1:12" x14ac:dyDescent="0.3">
      <c r="A6486" s="5">
        <v>45778</v>
      </c>
      <c r="B6486" s="6" t="s">
        <v>20</v>
      </c>
      <c r="C6486" s="6" t="s">
        <v>30</v>
      </c>
      <c r="D6486" s="5">
        <v>45748</v>
      </c>
      <c r="E6486" s="6" t="s">
        <v>14</v>
      </c>
      <c r="F6486" s="7">
        <v>1083</v>
      </c>
      <c r="G6486" s="7">
        <v>166625.85410895661</v>
      </c>
      <c r="H6486" s="7">
        <v>180455800</v>
      </c>
      <c r="I6486" s="7">
        <v>10952800</v>
      </c>
      <c r="J6486" s="7">
        <v>0</v>
      </c>
      <c r="K6486">
        <f t="shared" si="101"/>
        <v>30</v>
      </c>
      <c r="L6486" s="8" t="str" cm="1">
        <f t="array" ref="L6486">_xlfn.IFS(
 AND(K6486&gt;=89,K6486&lt;=92),"3개월",
 AND(K6486&gt;=58,K6486&lt;=62),"2개월",
 AND(K6486&gt;=28,K6486&lt;=32),"1개월",
 AND(K6486=0),"당월",
 TRUE,"그외"
)</f>
        <v>1개월</v>
      </c>
    </row>
    <row r="6487" spans="1:12" x14ac:dyDescent="0.3">
      <c r="A6487" s="5">
        <v>45778</v>
      </c>
      <c r="B6487" s="6" t="s">
        <v>20</v>
      </c>
      <c r="C6487" s="6" t="s">
        <v>30</v>
      </c>
      <c r="D6487" s="5">
        <v>45748</v>
      </c>
      <c r="E6487" s="6" t="s">
        <v>15</v>
      </c>
      <c r="F6487" s="7">
        <v>2904</v>
      </c>
      <c r="G6487" s="7">
        <v>127221.2097107438</v>
      </c>
      <c r="H6487" s="7">
        <v>369450393</v>
      </c>
      <c r="I6487" s="7">
        <v>36935744</v>
      </c>
      <c r="J6487" s="7">
        <v>0</v>
      </c>
      <c r="K6487">
        <f t="shared" si="101"/>
        <v>30</v>
      </c>
      <c r="L6487" s="8" t="str" cm="1">
        <f t="array" ref="L6487">_xlfn.IFS(
 AND(K6487&gt;=89,K6487&lt;=92),"3개월",
 AND(K6487&gt;=58,K6487&lt;=62),"2개월",
 AND(K6487&gt;=28,K6487&lt;=32),"1개월",
 AND(K6487=0),"당월",
 TRUE,"그외"
)</f>
        <v>1개월</v>
      </c>
    </row>
    <row r="6488" spans="1:12" x14ac:dyDescent="0.3">
      <c r="A6488" s="5">
        <v>45778</v>
      </c>
      <c r="B6488" s="6" t="s">
        <v>20</v>
      </c>
      <c r="C6488" s="6" t="s">
        <v>30</v>
      </c>
      <c r="D6488" s="5">
        <v>45778</v>
      </c>
      <c r="E6488" s="6" t="s">
        <v>14</v>
      </c>
      <c r="F6488" s="7">
        <v>378</v>
      </c>
      <c r="G6488" s="7">
        <v>110796.5608465609</v>
      </c>
      <c r="H6488" s="7">
        <v>41881100</v>
      </c>
      <c r="I6488" s="7">
        <v>2765100</v>
      </c>
      <c r="J6488" s="7">
        <v>0</v>
      </c>
      <c r="K6488">
        <f t="shared" si="101"/>
        <v>0</v>
      </c>
      <c r="L6488" s="8" t="str" cm="1">
        <f t="array" ref="L6488">_xlfn.IFS(
 AND(K6488&gt;=89,K6488&lt;=92),"3개월",
 AND(K6488&gt;=58,K6488&lt;=62),"2개월",
 AND(K6488&gt;=28,K6488&lt;=32),"1개월",
 AND(K6488=0),"당월",
 TRUE,"그외"
)</f>
        <v>당월</v>
      </c>
    </row>
    <row r="6489" spans="1:12" x14ac:dyDescent="0.3">
      <c r="A6489" s="5">
        <v>45778</v>
      </c>
      <c r="B6489" s="6" t="s">
        <v>20</v>
      </c>
      <c r="C6489" s="6" t="s">
        <v>30</v>
      </c>
      <c r="D6489" s="5">
        <v>45778</v>
      </c>
      <c r="E6489" s="6" t="s">
        <v>15</v>
      </c>
      <c r="F6489" s="7">
        <v>701</v>
      </c>
      <c r="G6489" s="7">
        <v>118890.1455064194</v>
      </c>
      <c r="H6489" s="7">
        <v>83341992</v>
      </c>
      <c r="I6489" s="7">
        <v>8179632</v>
      </c>
      <c r="J6489" s="7">
        <v>0</v>
      </c>
      <c r="K6489">
        <f t="shared" si="101"/>
        <v>0</v>
      </c>
      <c r="L6489" s="8" t="str" cm="1">
        <f t="array" ref="L6489">_xlfn.IFS(
 AND(K6489&gt;=89,K6489&lt;=92),"3개월",
 AND(K6489&gt;=58,K6489&lt;=62),"2개월",
 AND(K6489&gt;=28,K6489&lt;=32),"1개월",
 AND(K6489=0),"당월",
 TRUE,"그외"
)</f>
        <v>당월</v>
      </c>
    </row>
    <row r="6490" spans="1:12" x14ac:dyDescent="0.3">
      <c r="A6490" s="5">
        <v>45778</v>
      </c>
      <c r="B6490" s="6" t="s">
        <v>20</v>
      </c>
      <c r="C6490" s="6" t="s">
        <v>31</v>
      </c>
      <c r="D6490" s="5">
        <v>45627</v>
      </c>
      <c r="E6490" s="6" t="s">
        <v>15</v>
      </c>
      <c r="F6490" s="7">
        <v>192</v>
      </c>
      <c r="G6490" s="7">
        <v>200945.33333333331</v>
      </c>
      <c r="H6490" s="7">
        <v>38581504</v>
      </c>
      <c r="I6490" s="7">
        <v>4110485</v>
      </c>
      <c r="J6490" s="7">
        <v>0</v>
      </c>
      <c r="K6490">
        <f t="shared" si="101"/>
        <v>151</v>
      </c>
      <c r="L6490" s="8" t="str" cm="1">
        <f t="array" ref="L6490">_xlfn.IFS(
 AND(K6490&gt;=89,K6490&lt;=92),"3개월",
 AND(K6490&gt;=58,K6490&lt;=62),"2개월",
 AND(K6490&gt;=28,K6490&lt;=32),"1개월",
 AND(K6490=0),"당월",
 TRUE,"그외"
)</f>
        <v>그외</v>
      </c>
    </row>
    <row r="6491" spans="1:12" x14ac:dyDescent="0.3">
      <c r="A6491" s="5">
        <v>45778</v>
      </c>
      <c r="B6491" s="6" t="s">
        <v>20</v>
      </c>
      <c r="C6491" s="6" t="s">
        <v>31</v>
      </c>
      <c r="D6491" s="5">
        <v>45658</v>
      </c>
      <c r="E6491" s="6" t="s">
        <v>14</v>
      </c>
      <c r="F6491" s="7">
        <v>22</v>
      </c>
      <c r="G6491" s="7">
        <v>154183.5</v>
      </c>
      <c r="H6491" s="7">
        <v>3392037</v>
      </c>
      <c r="I6491" s="7">
        <v>633617</v>
      </c>
      <c r="J6491" s="7">
        <v>0</v>
      </c>
      <c r="K6491">
        <f t="shared" si="101"/>
        <v>120</v>
      </c>
      <c r="L6491" s="8" t="str" cm="1">
        <f t="array" ref="L6491">_xlfn.IFS(
 AND(K6491&gt;=89,K6491&lt;=92),"3개월",
 AND(K6491&gt;=58,K6491&lt;=62),"2개월",
 AND(K6491&gt;=28,K6491&lt;=32),"1개월",
 AND(K6491=0),"당월",
 TRUE,"그외"
)</f>
        <v>그외</v>
      </c>
    </row>
    <row r="6492" spans="1:12" x14ac:dyDescent="0.3">
      <c r="A6492" s="5">
        <v>45778</v>
      </c>
      <c r="B6492" s="6" t="s">
        <v>20</v>
      </c>
      <c r="C6492" s="6" t="s">
        <v>31</v>
      </c>
      <c r="D6492" s="5">
        <v>45658</v>
      </c>
      <c r="E6492" s="6" t="s">
        <v>15</v>
      </c>
      <c r="F6492" s="7">
        <v>810</v>
      </c>
      <c r="G6492" s="7">
        <v>193966.62222222221</v>
      </c>
      <c r="H6492" s="7">
        <v>157112964</v>
      </c>
      <c r="I6492" s="7">
        <v>16943529</v>
      </c>
      <c r="J6492" s="7">
        <v>0</v>
      </c>
      <c r="K6492">
        <f t="shared" si="101"/>
        <v>120</v>
      </c>
      <c r="L6492" s="8" t="str" cm="1">
        <f t="array" ref="L6492">_xlfn.IFS(
 AND(K6492&gt;=89,K6492&lt;=92),"3개월",
 AND(K6492&gt;=58,K6492&lt;=62),"2개월",
 AND(K6492&gt;=28,K6492&lt;=32),"1개월",
 AND(K6492=0),"당월",
 TRUE,"그외"
)</f>
        <v>그외</v>
      </c>
    </row>
    <row r="6493" spans="1:12" x14ac:dyDescent="0.3">
      <c r="A6493" s="5">
        <v>45778</v>
      </c>
      <c r="B6493" s="6" t="s">
        <v>20</v>
      </c>
      <c r="C6493" s="6" t="s">
        <v>31</v>
      </c>
      <c r="D6493" s="5">
        <v>45689</v>
      </c>
      <c r="E6493" s="6" t="s">
        <v>14</v>
      </c>
      <c r="F6493" s="7">
        <v>101</v>
      </c>
      <c r="G6493" s="7">
        <v>145948.82178217819</v>
      </c>
      <c r="H6493" s="7">
        <v>14740831</v>
      </c>
      <c r="I6493" s="7">
        <v>3540855</v>
      </c>
      <c r="J6493" s="7">
        <v>0</v>
      </c>
      <c r="K6493">
        <f t="shared" si="101"/>
        <v>89</v>
      </c>
      <c r="L6493" s="8" t="str" cm="1">
        <f t="array" ref="L6493">_xlfn.IFS(
 AND(K6493&gt;=89,K6493&lt;=92),"3개월",
 AND(K6493&gt;=58,K6493&lt;=62),"2개월",
 AND(K6493&gt;=28,K6493&lt;=32),"1개월",
 AND(K6493=0),"당월",
 TRUE,"그외"
)</f>
        <v>3개월</v>
      </c>
    </row>
    <row r="6494" spans="1:12" x14ac:dyDescent="0.3">
      <c r="A6494" s="5">
        <v>45778</v>
      </c>
      <c r="B6494" s="6" t="s">
        <v>20</v>
      </c>
      <c r="C6494" s="6" t="s">
        <v>31</v>
      </c>
      <c r="D6494" s="5">
        <v>45689</v>
      </c>
      <c r="E6494" s="6" t="s">
        <v>15</v>
      </c>
      <c r="F6494" s="7">
        <v>1184</v>
      </c>
      <c r="G6494" s="7">
        <v>167299.82601351349</v>
      </c>
      <c r="H6494" s="7">
        <v>198082994</v>
      </c>
      <c r="I6494" s="7">
        <v>24381779</v>
      </c>
      <c r="J6494" s="7">
        <v>0</v>
      </c>
      <c r="K6494">
        <f t="shared" si="101"/>
        <v>89</v>
      </c>
      <c r="L6494" s="8" t="str" cm="1">
        <f t="array" ref="L6494">_xlfn.IFS(
 AND(K6494&gt;=89,K6494&lt;=92),"3개월",
 AND(K6494&gt;=58,K6494&lt;=62),"2개월",
 AND(K6494&gt;=28,K6494&lt;=32),"1개월",
 AND(K6494=0),"당월",
 TRUE,"그외"
)</f>
        <v>3개월</v>
      </c>
    </row>
    <row r="6495" spans="1:12" x14ac:dyDescent="0.3">
      <c r="A6495" s="5">
        <v>45778</v>
      </c>
      <c r="B6495" s="6" t="s">
        <v>20</v>
      </c>
      <c r="C6495" s="6" t="s">
        <v>31</v>
      </c>
      <c r="D6495" s="5">
        <v>45717</v>
      </c>
      <c r="E6495" s="6" t="s">
        <v>14</v>
      </c>
      <c r="F6495" s="7">
        <v>208</v>
      </c>
      <c r="G6495" s="7">
        <v>170778.74519230769</v>
      </c>
      <c r="H6495" s="7">
        <v>35521979</v>
      </c>
      <c r="I6495" s="7">
        <v>7516680</v>
      </c>
      <c r="J6495" s="7">
        <v>0</v>
      </c>
      <c r="K6495">
        <f t="shared" si="101"/>
        <v>61</v>
      </c>
      <c r="L6495" s="8" t="str" cm="1">
        <f t="array" ref="L6495">_xlfn.IFS(
 AND(K6495&gt;=89,K6495&lt;=92),"3개월",
 AND(K6495&gt;=58,K6495&lt;=62),"2개월",
 AND(K6495&gt;=28,K6495&lt;=32),"1개월",
 AND(K6495=0),"당월",
 TRUE,"그외"
)</f>
        <v>2개월</v>
      </c>
    </row>
    <row r="6496" spans="1:12" x14ac:dyDescent="0.3">
      <c r="A6496" s="5">
        <v>45778</v>
      </c>
      <c r="B6496" s="6" t="s">
        <v>20</v>
      </c>
      <c r="C6496" s="6" t="s">
        <v>31</v>
      </c>
      <c r="D6496" s="5">
        <v>45717</v>
      </c>
      <c r="E6496" s="6" t="s">
        <v>15</v>
      </c>
      <c r="F6496" s="7">
        <v>2560</v>
      </c>
      <c r="G6496" s="7">
        <v>142032.61601562501</v>
      </c>
      <c r="H6496" s="7">
        <v>363603497</v>
      </c>
      <c r="I6496" s="7">
        <v>54518457</v>
      </c>
      <c r="J6496" s="7">
        <v>0</v>
      </c>
      <c r="K6496">
        <f t="shared" si="101"/>
        <v>61</v>
      </c>
      <c r="L6496" s="8" t="str" cm="1">
        <f t="array" ref="L6496">_xlfn.IFS(
 AND(K6496&gt;=89,K6496&lt;=92),"3개월",
 AND(K6496&gt;=58,K6496&lt;=62),"2개월",
 AND(K6496&gt;=28,K6496&lt;=32),"1개월",
 AND(K6496=0),"당월",
 TRUE,"그외"
)</f>
        <v>2개월</v>
      </c>
    </row>
    <row r="6497" spans="1:12" x14ac:dyDescent="0.3">
      <c r="A6497" s="5">
        <v>45778</v>
      </c>
      <c r="B6497" s="6" t="s">
        <v>20</v>
      </c>
      <c r="C6497" s="6" t="s">
        <v>31</v>
      </c>
      <c r="D6497" s="5">
        <v>45748</v>
      </c>
      <c r="E6497" s="6" t="s">
        <v>14</v>
      </c>
      <c r="F6497" s="7">
        <v>1211</v>
      </c>
      <c r="G6497" s="7">
        <v>166804.34434351779</v>
      </c>
      <c r="H6497" s="7">
        <v>202000061</v>
      </c>
      <c r="I6497" s="7">
        <v>39149334</v>
      </c>
      <c r="J6497" s="7">
        <v>0</v>
      </c>
      <c r="K6497">
        <f t="shared" si="101"/>
        <v>30</v>
      </c>
      <c r="L6497" s="8" t="str" cm="1">
        <f t="array" ref="L6497">_xlfn.IFS(
 AND(K6497&gt;=89,K6497&lt;=92),"3개월",
 AND(K6497&gt;=58,K6497&lt;=62),"2개월",
 AND(K6497&gt;=28,K6497&lt;=32),"1개월",
 AND(K6497=0),"당월",
 TRUE,"그외"
)</f>
        <v>1개월</v>
      </c>
    </row>
    <row r="6498" spans="1:12" x14ac:dyDescent="0.3">
      <c r="A6498" s="5">
        <v>45778</v>
      </c>
      <c r="B6498" s="6" t="s">
        <v>20</v>
      </c>
      <c r="C6498" s="6" t="s">
        <v>31</v>
      </c>
      <c r="D6498" s="5">
        <v>45748</v>
      </c>
      <c r="E6498" s="6" t="s">
        <v>15</v>
      </c>
      <c r="F6498" s="7">
        <v>3626</v>
      </c>
      <c r="G6498" s="7">
        <v>133969.7890237176</v>
      </c>
      <c r="H6498" s="7">
        <v>485774455</v>
      </c>
      <c r="I6498" s="7">
        <v>79895478</v>
      </c>
      <c r="J6498" s="7">
        <v>0</v>
      </c>
      <c r="K6498">
        <f t="shared" si="101"/>
        <v>30</v>
      </c>
      <c r="L6498" s="8" t="str" cm="1">
        <f t="array" ref="L6498">_xlfn.IFS(
 AND(K6498&gt;=89,K6498&lt;=92),"3개월",
 AND(K6498&gt;=58,K6498&lt;=62),"2개월",
 AND(K6498&gt;=28,K6498&lt;=32),"1개월",
 AND(K6498=0),"당월",
 TRUE,"그외"
)</f>
        <v>1개월</v>
      </c>
    </row>
    <row r="6499" spans="1:12" x14ac:dyDescent="0.3">
      <c r="A6499" s="5">
        <v>45778</v>
      </c>
      <c r="B6499" s="6" t="s">
        <v>20</v>
      </c>
      <c r="C6499" s="6" t="s">
        <v>31</v>
      </c>
      <c r="D6499" s="5">
        <v>45778</v>
      </c>
      <c r="E6499" s="6" t="s">
        <v>14</v>
      </c>
      <c r="F6499" s="7">
        <v>64</v>
      </c>
      <c r="G6499" s="7">
        <v>143477.21875</v>
      </c>
      <c r="H6499" s="7">
        <v>9182542</v>
      </c>
      <c r="I6499" s="7">
        <v>2475304</v>
      </c>
      <c r="J6499" s="7">
        <v>0</v>
      </c>
      <c r="K6499">
        <f t="shared" si="101"/>
        <v>0</v>
      </c>
      <c r="L6499" s="8" t="str" cm="1">
        <f t="array" ref="L6499">_xlfn.IFS(
 AND(K6499&gt;=89,K6499&lt;=92),"3개월",
 AND(K6499&gt;=58,K6499&lt;=62),"2개월",
 AND(K6499&gt;=28,K6499&lt;=32),"1개월",
 AND(K6499=0),"당월",
 TRUE,"그외"
)</f>
        <v>당월</v>
      </c>
    </row>
    <row r="6500" spans="1:12" x14ac:dyDescent="0.3">
      <c r="A6500" s="5">
        <v>45778</v>
      </c>
      <c r="B6500" s="6" t="s">
        <v>20</v>
      </c>
      <c r="C6500" s="6" t="s">
        <v>31</v>
      </c>
      <c r="D6500" s="5">
        <v>45778</v>
      </c>
      <c r="E6500" s="6" t="s">
        <v>15</v>
      </c>
      <c r="F6500" s="7">
        <v>607</v>
      </c>
      <c r="G6500" s="7">
        <v>151816.20263591429</v>
      </c>
      <c r="H6500" s="7">
        <v>92152435</v>
      </c>
      <c r="I6500" s="7">
        <v>14910787</v>
      </c>
      <c r="J6500" s="7">
        <v>0</v>
      </c>
      <c r="K6500">
        <f t="shared" si="101"/>
        <v>0</v>
      </c>
      <c r="L6500" s="8" t="str" cm="1">
        <f t="array" ref="L6500">_xlfn.IFS(
 AND(K6500&gt;=89,K6500&lt;=92),"3개월",
 AND(K6500&gt;=58,K6500&lt;=62),"2개월",
 AND(K6500&gt;=28,K6500&lt;=32),"1개월",
 AND(K6500=0),"당월",
 TRUE,"그외"
)</f>
        <v>당월</v>
      </c>
    </row>
    <row r="6501" spans="1:12" x14ac:dyDescent="0.3">
      <c r="A6501" s="5">
        <v>45778</v>
      </c>
      <c r="B6501" s="6" t="s">
        <v>20</v>
      </c>
      <c r="C6501" s="6" t="s">
        <v>32</v>
      </c>
      <c r="D6501" s="5">
        <v>45627</v>
      </c>
      <c r="E6501" s="6" t="s">
        <v>15</v>
      </c>
      <c r="F6501" s="7">
        <v>21</v>
      </c>
      <c r="G6501" s="7">
        <v>142244.33333333331</v>
      </c>
      <c r="H6501" s="7">
        <v>2987131</v>
      </c>
      <c r="I6501" s="7">
        <v>463860</v>
      </c>
      <c r="J6501" s="7">
        <v>0</v>
      </c>
      <c r="K6501">
        <f t="shared" si="101"/>
        <v>151</v>
      </c>
      <c r="L6501" s="8" t="str" cm="1">
        <f t="array" ref="L6501">_xlfn.IFS(
 AND(K6501&gt;=89,K6501&lt;=92),"3개월",
 AND(K6501&gt;=58,K6501&lt;=62),"2개월",
 AND(K6501&gt;=28,K6501&lt;=32),"1개월",
 AND(K6501=0),"당월",
 TRUE,"그외"
)</f>
        <v>그외</v>
      </c>
    </row>
    <row r="6502" spans="1:12" x14ac:dyDescent="0.3">
      <c r="A6502" s="5">
        <v>45778</v>
      </c>
      <c r="B6502" s="6" t="s">
        <v>20</v>
      </c>
      <c r="C6502" s="6" t="s">
        <v>32</v>
      </c>
      <c r="D6502" s="5">
        <v>45658</v>
      </c>
      <c r="E6502" s="6" t="s">
        <v>14</v>
      </c>
      <c r="F6502" s="7">
        <v>86</v>
      </c>
      <c r="G6502" s="7">
        <v>149694.7558139535</v>
      </c>
      <c r="H6502" s="7">
        <v>12873749</v>
      </c>
      <c r="I6502" s="7">
        <v>2436583</v>
      </c>
      <c r="J6502" s="7">
        <v>0</v>
      </c>
      <c r="K6502">
        <f t="shared" si="101"/>
        <v>120</v>
      </c>
      <c r="L6502" s="8" t="str" cm="1">
        <f t="array" ref="L6502">_xlfn.IFS(
 AND(K6502&gt;=89,K6502&lt;=92),"3개월",
 AND(K6502&gt;=58,K6502&lt;=62),"2개월",
 AND(K6502&gt;=28,K6502&lt;=32),"1개월",
 AND(K6502=0),"당월",
 TRUE,"그외"
)</f>
        <v>그외</v>
      </c>
    </row>
    <row r="6503" spans="1:12" x14ac:dyDescent="0.3">
      <c r="A6503" s="5">
        <v>45778</v>
      </c>
      <c r="B6503" s="6" t="s">
        <v>20</v>
      </c>
      <c r="C6503" s="6" t="s">
        <v>32</v>
      </c>
      <c r="D6503" s="5">
        <v>45658</v>
      </c>
      <c r="E6503" s="6" t="s">
        <v>15</v>
      </c>
      <c r="F6503" s="7">
        <v>1248</v>
      </c>
      <c r="G6503" s="7">
        <v>193821.1482371795</v>
      </c>
      <c r="H6503" s="7">
        <v>241888793</v>
      </c>
      <c r="I6503" s="7">
        <v>28975117</v>
      </c>
      <c r="J6503" s="7">
        <v>0</v>
      </c>
      <c r="K6503">
        <f t="shared" si="101"/>
        <v>120</v>
      </c>
      <c r="L6503" s="8" t="str" cm="1">
        <f t="array" ref="L6503">_xlfn.IFS(
 AND(K6503&gt;=89,K6503&lt;=92),"3개월",
 AND(K6503&gt;=58,K6503&lt;=62),"2개월",
 AND(K6503&gt;=28,K6503&lt;=32),"1개월",
 AND(K6503=0),"당월",
 TRUE,"그외"
)</f>
        <v>그외</v>
      </c>
    </row>
    <row r="6504" spans="1:12" x14ac:dyDescent="0.3">
      <c r="A6504" s="5">
        <v>45778</v>
      </c>
      <c r="B6504" s="6" t="s">
        <v>20</v>
      </c>
      <c r="C6504" s="6" t="s">
        <v>32</v>
      </c>
      <c r="D6504" s="5">
        <v>45689</v>
      </c>
      <c r="E6504" s="6" t="s">
        <v>14</v>
      </c>
      <c r="F6504" s="7">
        <v>285</v>
      </c>
      <c r="G6504" s="7">
        <v>164617.10175438601</v>
      </c>
      <c r="H6504" s="7">
        <v>46915874</v>
      </c>
      <c r="I6504" s="7">
        <v>9647294</v>
      </c>
      <c r="J6504" s="7">
        <v>0</v>
      </c>
      <c r="K6504">
        <f t="shared" si="101"/>
        <v>89</v>
      </c>
      <c r="L6504" s="8" t="str" cm="1">
        <f t="array" ref="L6504">_xlfn.IFS(
 AND(K6504&gt;=89,K6504&lt;=92),"3개월",
 AND(K6504&gt;=58,K6504&lt;=62),"2개월",
 AND(K6504&gt;=28,K6504&lt;=32),"1개월",
 AND(K6504=0),"당월",
 TRUE,"그외"
)</f>
        <v>3개월</v>
      </c>
    </row>
    <row r="6505" spans="1:12" x14ac:dyDescent="0.3">
      <c r="A6505" s="5">
        <v>45778</v>
      </c>
      <c r="B6505" s="6" t="s">
        <v>20</v>
      </c>
      <c r="C6505" s="6" t="s">
        <v>32</v>
      </c>
      <c r="D6505" s="5">
        <v>45689</v>
      </c>
      <c r="E6505" s="6" t="s">
        <v>15</v>
      </c>
      <c r="F6505" s="7">
        <v>4310</v>
      </c>
      <c r="G6505" s="7">
        <v>171367.4547563805</v>
      </c>
      <c r="H6505" s="7">
        <v>738593730</v>
      </c>
      <c r="I6505" s="7">
        <v>101662212</v>
      </c>
      <c r="J6505" s="7">
        <v>0</v>
      </c>
      <c r="K6505">
        <f t="shared" si="101"/>
        <v>89</v>
      </c>
      <c r="L6505" s="8" t="str" cm="1">
        <f t="array" ref="L6505">_xlfn.IFS(
 AND(K6505&gt;=89,K6505&lt;=92),"3개월",
 AND(K6505&gt;=58,K6505&lt;=62),"2개월",
 AND(K6505&gt;=28,K6505&lt;=32),"1개월",
 AND(K6505=0),"당월",
 TRUE,"그외"
)</f>
        <v>3개월</v>
      </c>
    </row>
    <row r="6506" spans="1:12" x14ac:dyDescent="0.3">
      <c r="A6506" s="5">
        <v>45778</v>
      </c>
      <c r="B6506" s="6" t="s">
        <v>20</v>
      </c>
      <c r="C6506" s="6" t="s">
        <v>32</v>
      </c>
      <c r="D6506" s="5">
        <v>45717</v>
      </c>
      <c r="E6506" s="6" t="s">
        <v>14</v>
      </c>
      <c r="F6506" s="7">
        <v>630</v>
      </c>
      <c r="G6506" s="7">
        <v>175955.28253968261</v>
      </c>
      <c r="H6506" s="7">
        <v>110851828</v>
      </c>
      <c r="I6506" s="7">
        <v>18991000</v>
      </c>
      <c r="J6506" s="7">
        <v>0</v>
      </c>
      <c r="K6506">
        <f t="shared" si="101"/>
        <v>61</v>
      </c>
      <c r="L6506" s="8" t="str" cm="1">
        <f t="array" ref="L6506">_xlfn.IFS(
 AND(K6506&gt;=89,K6506&lt;=92),"3개월",
 AND(K6506&gt;=58,K6506&lt;=62),"2개월",
 AND(K6506&gt;=28,K6506&lt;=32),"1개월",
 AND(K6506=0),"당월",
 TRUE,"그외"
)</f>
        <v>2개월</v>
      </c>
    </row>
    <row r="6507" spans="1:12" x14ac:dyDescent="0.3">
      <c r="A6507" s="5">
        <v>45778</v>
      </c>
      <c r="B6507" s="6" t="s">
        <v>20</v>
      </c>
      <c r="C6507" s="6" t="s">
        <v>32</v>
      </c>
      <c r="D6507" s="5">
        <v>45717</v>
      </c>
      <c r="E6507" s="6" t="s">
        <v>15</v>
      </c>
      <c r="F6507" s="7">
        <v>5074</v>
      </c>
      <c r="G6507" s="7">
        <v>152554.66633819469</v>
      </c>
      <c r="H6507" s="7">
        <v>774062377</v>
      </c>
      <c r="I6507" s="7">
        <v>130475301</v>
      </c>
      <c r="J6507" s="7">
        <v>0</v>
      </c>
      <c r="K6507">
        <f t="shared" si="101"/>
        <v>61</v>
      </c>
      <c r="L6507" s="8" t="str" cm="1">
        <f t="array" ref="L6507">_xlfn.IFS(
 AND(K6507&gt;=89,K6507&lt;=92),"3개월",
 AND(K6507&gt;=58,K6507&lt;=62),"2개월",
 AND(K6507&gt;=28,K6507&lt;=32),"1개월",
 AND(K6507=0),"당월",
 TRUE,"그외"
)</f>
        <v>2개월</v>
      </c>
    </row>
    <row r="6508" spans="1:12" x14ac:dyDescent="0.3">
      <c r="A6508" s="5">
        <v>45778</v>
      </c>
      <c r="B6508" s="6" t="s">
        <v>20</v>
      </c>
      <c r="C6508" s="6" t="s">
        <v>32</v>
      </c>
      <c r="D6508" s="5">
        <v>45748</v>
      </c>
      <c r="E6508" s="6" t="s">
        <v>14</v>
      </c>
      <c r="F6508" s="7">
        <v>2563</v>
      </c>
      <c r="G6508" s="7">
        <v>184953.95239953179</v>
      </c>
      <c r="H6508" s="7">
        <v>474036980</v>
      </c>
      <c r="I6508" s="7">
        <v>58754139</v>
      </c>
      <c r="J6508" s="7">
        <v>0</v>
      </c>
      <c r="K6508">
        <f t="shared" si="101"/>
        <v>30</v>
      </c>
      <c r="L6508" s="8" t="str" cm="1">
        <f t="array" ref="L6508">_xlfn.IFS(
 AND(K6508&gt;=89,K6508&lt;=92),"3개월",
 AND(K6508&gt;=58,K6508&lt;=62),"2개월",
 AND(K6508&gt;=28,K6508&lt;=32),"1개월",
 AND(K6508=0),"당월",
 TRUE,"그외"
)</f>
        <v>1개월</v>
      </c>
    </row>
    <row r="6509" spans="1:12" x14ac:dyDescent="0.3">
      <c r="A6509" s="5">
        <v>45778</v>
      </c>
      <c r="B6509" s="6" t="s">
        <v>20</v>
      </c>
      <c r="C6509" s="6" t="s">
        <v>32</v>
      </c>
      <c r="D6509" s="5">
        <v>45748</v>
      </c>
      <c r="E6509" s="6" t="s">
        <v>15</v>
      </c>
      <c r="F6509" s="7">
        <v>12152</v>
      </c>
      <c r="G6509" s="7">
        <v>133291.2482718894</v>
      </c>
      <c r="H6509" s="7">
        <v>1619755249</v>
      </c>
      <c r="I6509" s="7">
        <v>294138184</v>
      </c>
      <c r="J6509" s="7">
        <v>0</v>
      </c>
      <c r="K6509">
        <f t="shared" si="101"/>
        <v>30</v>
      </c>
      <c r="L6509" s="8" t="str" cm="1">
        <f t="array" ref="L6509">_xlfn.IFS(
 AND(K6509&gt;=89,K6509&lt;=92),"3개월",
 AND(K6509&gt;=58,K6509&lt;=62),"2개월",
 AND(K6509&gt;=28,K6509&lt;=32),"1개월",
 AND(K6509=0),"당월",
 TRUE,"그외"
)</f>
        <v>1개월</v>
      </c>
    </row>
    <row r="6510" spans="1:12" x14ac:dyDescent="0.3">
      <c r="A6510" s="5">
        <v>45778</v>
      </c>
      <c r="B6510" s="6" t="s">
        <v>20</v>
      </c>
      <c r="C6510" s="6" t="s">
        <v>32</v>
      </c>
      <c r="D6510" s="5">
        <v>45778</v>
      </c>
      <c r="E6510" s="6" t="s">
        <v>14</v>
      </c>
      <c r="F6510" s="7">
        <v>618</v>
      </c>
      <c r="G6510" s="7">
        <v>133088.5857605178</v>
      </c>
      <c r="H6510" s="7">
        <v>82248746</v>
      </c>
      <c r="I6510" s="7">
        <v>13135296</v>
      </c>
      <c r="J6510" s="7">
        <v>0</v>
      </c>
      <c r="K6510">
        <f t="shared" si="101"/>
        <v>0</v>
      </c>
      <c r="L6510" s="8" t="str" cm="1">
        <f t="array" ref="L6510">_xlfn.IFS(
 AND(K6510&gt;=89,K6510&lt;=92),"3개월",
 AND(K6510&gt;=58,K6510&lt;=62),"2개월",
 AND(K6510&gt;=28,K6510&lt;=32),"1개월",
 AND(K6510=0),"당월",
 TRUE,"그외"
)</f>
        <v>당월</v>
      </c>
    </row>
    <row r="6511" spans="1:12" x14ac:dyDescent="0.3">
      <c r="A6511" s="5">
        <v>45778</v>
      </c>
      <c r="B6511" s="6" t="s">
        <v>20</v>
      </c>
      <c r="C6511" s="6" t="s">
        <v>32</v>
      </c>
      <c r="D6511" s="5">
        <v>45778</v>
      </c>
      <c r="E6511" s="6" t="s">
        <v>15</v>
      </c>
      <c r="F6511" s="7">
        <v>2314</v>
      </c>
      <c r="G6511" s="7">
        <v>136550.1184096802</v>
      </c>
      <c r="H6511" s="7">
        <v>315976974</v>
      </c>
      <c r="I6511" s="7">
        <v>51757661</v>
      </c>
      <c r="J6511" s="7">
        <v>0</v>
      </c>
      <c r="K6511">
        <f t="shared" si="101"/>
        <v>0</v>
      </c>
      <c r="L6511" s="8" t="str" cm="1">
        <f t="array" ref="L6511">_xlfn.IFS(
 AND(K6511&gt;=89,K6511&lt;=92),"3개월",
 AND(K6511&gt;=58,K6511&lt;=62),"2개월",
 AND(K6511&gt;=28,K6511&lt;=32),"1개월",
 AND(K6511=0),"당월",
 TRUE,"그외"
)</f>
        <v>당월</v>
      </c>
    </row>
    <row r="6512" spans="1:12" x14ac:dyDescent="0.3">
      <c r="A6512" s="5">
        <v>45778</v>
      </c>
      <c r="B6512" s="6" t="s">
        <v>20</v>
      </c>
      <c r="C6512" s="6" t="s">
        <v>33</v>
      </c>
      <c r="D6512" s="5">
        <v>45627</v>
      </c>
      <c r="E6512" s="6" t="s">
        <v>15</v>
      </c>
      <c r="F6512" s="7">
        <v>141</v>
      </c>
      <c r="G6512" s="7">
        <v>213986.35460992911</v>
      </c>
      <c r="H6512" s="7">
        <v>30172076</v>
      </c>
      <c r="I6512" s="7">
        <v>2915037</v>
      </c>
      <c r="J6512" s="7">
        <v>0</v>
      </c>
      <c r="K6512">
        <f t="shared" si="101"/>
        <v>151</v>
      </c>
      <c r="L6512" s="8" t="str" cm="1">
        <f t="array" ref="L6512">_xlfn.IFS(
 AND(K6512&gt;=89,K6512&lt;=92),"3개월",
 AND(K6512&gt;=58,K6512&lt;=62),"2개월",
 AND(K6512&gt;=28,K6512&lt;=32),"1개월",
 AND(K6512=0),"당월",
 TRUE,"그외"
)</f>
        <v>그외</v>
      </c>
    </row>
    <row r="6513" spans="1:12" x14ac:dyDescent="0.3">
      <c r="A6513" s="5">
        <v>45778</v>
      </c>
      <c r="B6513" s="6" t="s">
        <v>20</v>
      </c>
      <c r="C6513" s="6" t="s">
        <v>33</v>
      </c>
      <c r="D6513" s="5">
        <v>45658</v>
      </c>
      <c r="E6513" s="6" t="s">
        <v>15</v>
      </c>
      <c r="F6513" s="7">
        <v>910</v>
      </c>
      <c r="G6513" s="7">
        <v>175162.40879120881</v>
      </c>
      <c r="H6513" s="7">
        <v>159397792</v>
      </c>
      <c r="I6513" s="7">
        <v>19353815</v>
      </c>
      <c r="J6513" s="7">
        <v>0</v>
      </c>
      <c r="K6513">
        <f t="shared" si="101"/>
        <v>120</v>
      </c>
      <c r="L6513" s="8" t="str" cm="1">
        <f t="array" ref="L6513">_xlfn.IFS(
 AND(K6513&gt;=89,K6513&lt;=92),"3개월",
 AND(K6513&gt;=58,K6513&lt;=62),"2개월",
 AND(K6513&gt;=28,K6513&lt;=32),"1개월",
 AND(K6513=0),"당월",
 TRUE,"그외"
)</f>
        <v>그외</v>
      </c>
    </row>
    <row r="6514" spans="1:12" x14ac:dyDescent="0.3">
      <c r="A6514" s="5">
        <v>45778</v>
      </c>
      <c r="B6514" s="6" t="s">
        <v>20</v>
      </c>
      <c r="C6514" s="6" t="s">
        <v>33</v>
      </c>
      <c r="D6514" s="5">
        <v>45689</v>
      </c>
      <c r="E6514" s="6" t="s">
        <v>14</v>
      </c>
      <c r="F6514" s="7">
        <v>10</v>
      </c>
      <c r="G6514" s="7">
        <v>251400</v>
      </c>
      <c r="H6514" s="7">
        <v>2514000</v>
      </c>
      <c r="I6514" s="7">
        <v>204000</v>
      </c>
      <c r="J6514" s="7">
        <v>0</v>
      </c>
      <c r="K6514">
        <f t="shared" si="101"/>
        <v>89</v>
      </c>
      <c r="L6514" s="8" t="str" cm="1">
        <f t="array" ref="L6514">_xlfn.IFS(
 AND(K6514&gt;=89,K6514&lt;=92),"3개월",
 AND(K6514&gt;=58,K6514&lt;=62),"2개월",
 AND(K6514&gt;=28,K6514&lt;=32),"1개월",
 AND(K6514=0),"당월",
 TRUE,"그외"
)</f>
        <v>3개월</v>
      </c>
    </row>
    <row r="6515" spans="1:12" x14ac:dyDescent="0.3">
      <c r="A6515" s="5">
        <v>45778</v>
      </c>
      <c r="B6515" s="6" t="s">
        <v>20</v>
      </c>
      <c r="C6515" s="6" t="s">
        <v>33</v>
      </c>
      <c r="D6515" s="5">
        <v>45689</v>
      </c>
      <c r="E6515" s="6" t="s">
        <v>15</v>
      </c>
      <c r="F6515" s="7">
        <v>1639</v>
      </c>
      <c r="G6515" s="7">
        <v>170271.10067114091</v>
      </c>
      <c r="H6515" s="7">
        <v>279074334</v>
      </c>
      <c r="I6515" s="7">
        <v>37094720</v>
      </c>
      <c r="J6515" s="7">
        <v>0</v>
      </c>
      <c r="K6515">
        <f t="shared" si="101"/>
        <v>89</v>
      </c>
      <c r="L6515" s="8" t="str" cm="1">
        <f t="array" ref="L6515">_xlfn.IFS(
 AND(K6515&gt;=89,K6515&lt;=92),"3개월",
 AND(K6515&gt;=58,K6515&lt;=62),"2개월",
 AND(K6515&gt;=28,K6515&lt;=32),"1개월",
 AND(K6515=0),"당월",
 TRUE,"그외"
)</f>
        <v>3개월</v>
      </c>
    </row>
    <row r="6516" spans="1:12" x14ac:dyDescent="0.3">
      <c r="A6516" s="5">
        <v>45778</v>
      </c>
      <c r="B6516" s="6" t="s">
        <v>20</v>
      </c>
      <c r="C6516" s="6" t="s">
        <v>33</v>
      </c>
      <c r="D6516" s="5">
        <v>45717</v>
      </c>
      <c r="E6516" s="6" t="s">
        <v>14</v>
      </c>
      <c r="F6516" s="7">
        <v>159</v>
      </c>
      <c r="G6516" s="7">
        <v>176219.5031446541</v>
      </c>
      <c r="H6516" s="7">
        <v>28018901</v>
      </c>
      <c r="I6516" s="7">
        <v>3763021</v>
      </c>
      <c r="J6516" s="7">
        <v>0</v>
      </c>
      <c r="K6516">
        <f t="shared" si="101"/>
        <v>61</v>
      </c>
      <c r="L6516" s="8" t="str" cm="1">
        <f t="array" ref="L6516">_xlfn.IFS(
 AND(K6516&gt;=89,K6516&lt;=92),"3개월",
 AND(K6516&gt;=58,K6516&lt;=62),"2개월",
 AND(K6516&gt;=28,K6516&lt;=32),"1개월",
 AND(K6516=0),"당월",
 TRUE,"그외"
)</f>
        <v>2개월</v>
      </c>
    </row>
    <row r="6517" spans="1:12" x14ac:dyDescent="0.3">
      <c r="A6517" s="5">
        <v>45778</v>
      </c>
      <c r="B6517" s="6" t="s">
        <v>20</v>
      </c>
      <c r="C6517" s="6" t="s">
        <v>33</v>
      </c>
      <c r="D6517" s="5">
        <v>45717</v>
      </c>
      <c r="E6517" s="6" t="s">
        <v>15</v>
      </c>
      <c r="F6517" s="7">
        <v>2118</v>
      </c>
      <c r="G6517" s="7">
        <v>209341.8706326723</v>
      </c>
      <c r="H6517" s="7">
        <v>443386082</v>
      </c>
      <c r="I6517" s="7">
        <v>53330700</v>
      </c>
      <c r="J6517" s="7">
        <v>0</v>
      </c>
      <c r="K6517">
        <f t="shared" si="101"/>
        <v>61</v>
      </c>
      <c r="L6517" s="8" t="str" cm="1">
        <f t="array" ref="L6517">_xlfn.IFS(
 AND(K6517&gt;=89,K6517&lt;=92),"3개월",
 AND(K6517&gt;=58,K6517&lt;=62),"2개월",
 AND(K6517&gt;=28,K6517&lt;=32),"1개월",
 AND(K6517=0),"당월",
 TRUE,"그외"
)</f>
        <v>2개월</v>
      </c>
    </row>
    <row r="6518" spans="1:12" x14ac:dyDescent="0.3">
      <c r="A6518" s="5">
        <v>45778</v>
      </c>
      <c r="B6518" s="6" t="s">
        <v>20</v>
      </c>
      <c r="C6518" s="6" t="s">
        <v>33</v>
      </c>
      <c r="D6518" s="5">
        <v>45748</v>
      </c>
      <c r="E6518" s="6" t="s">
        <v>14</v>
      </c>
      <c r="F6518" s="7">
        <v>523</v>
      </c>
      <c r="G6518" s="7">
        <v>209419.120458891</v>
      </c>
      <c r="H6518" s="7">
        <v>109526200</v>
      </c>
      <c r="I6518" s="7">
        <v>9100200</v>
      </c>
      <c r="J6518" s="7">
        <v>0</v>
      </c>
      <c r="K6518">
        <f t="shared" si="101"/>
        <v>30</v>
      </c>
      <c r="L6518" s="8" t="str" cm="1">
        <f t="array" ref="L6518">_xlfn.IFS(
 AND(K6518&gt;=89,K6518&lt;=92),"3개월",
 AND(K6518&gt;=58,K6518&lt;=62),"2개월",
 AND(K6518&gt;=28,K6518&lt;=32),"1개월",
 AND(K6518=0),"당월",
 TRUE,"그외"
)</f>
        <v>1개월</v>
      </c>
    </row>
    <row r="6519" spans="1:12" x14ac:dyDescent="0.3">
      <c r="A6519" s="5">
        <v>45778</v>
      </c>
      <c r="B6519" s="6" t="s">
        <v>20</v>
      </c>
      <c r="C6519" s="6" t="s">
        <v>33</v>
      </c>
      <c r="D6519" s="5">
        <v>45748</v>
      </c>
      <c r="E6519" s="6" t="s">
        <v>15</v>
      </c>
      <c r="F6519" s="7">
        <v>4028</v>
      </c>
      <c r="G6519" s="7">
        <v>162717.4977656405</v>
      </c>
      <c r="H6519" s="7">
        <v>655426081</v>
      </c>
      <c r="I6519" s="7">
        <v>89351121</v>
      </c>
      <c r="J6519" s="7">
        <v>0</v>
      </c>
      <c r="K6519">
        <f t="shared" si="101"/>
        <v>30</v>
      </c>
      <c r="L6519" s="8" t="str" cm="1">
        <f t="array" ref="L6519">_xlfn.IFS(
 AND(K6519&gt;=89,K6519&lt;=92),"3개월",
 AND(K6519&gt;=58,K6519&lt;=62),"2개월",
 AND(K6519&gt;=28,K6519&lt;=32),"1개월",
 AND(K6519=0),"당월",
 TRUE,"그외"
)</f>
        <v>1개월</v>
      </c>
    </row>
    <row r="6520" spans="1:12" x14ac:dyDescent="0.3">
      <c r="A6520" s="5">
        <v>45778</v>
      </c>
      <c r="B6520" s="6" t="s">
        <v>20</v>
      </c>
      <c r="C6520" s="6" t="s">
        <v>33</v>
      </c>
      <c r="D6520" s="5">
        <v>45778</v>
      </c>
      <c r="E6520" s="6" t="s">
        <v>14</v>
      </c>
      <c r="F6520" s="7">
        <v>175</v>
      </c>
      <c r="G6520" s="7">
        <v>154603.72</v>
      </c>
      <c r="H6520" s="7">
        <v>27055651</v>
      </c>
      <c r="I6520" s="7">
        <v>2697795</v>
      </c>
      <c r="J6520" s="7">
        <v>0</v>
      </c>
      <c r="K6520">
        <f t="shared" si="101"/>
        <v>0</v>
      </c>
      <c r="L6520" s="8" t="str" cm="1">
        <f t="array" ref="L6520">_xlfn.IFS(
 AND(K6520&gt;=89,K6520&lt;=92),"3개월",
 AND(K6520&gt;=58,K6520&lt;=62),"2개월",
 AND(K6520&gt;=28,K6520&lt;=32),"1개월",
 AND(K6520=0),"당월",
 TRUE,"그외"
)</f>
        <v>당월</v>
      </c>
    </row>
    <row r="6521" spans="1:12" x14ac:dyDescent="0.3">
      <c r="A6521" s="5">
        <v>45778</v>
      </c>
      <c r="B6521" s="6" t="s">
        <v>20</v>
      </c>
      <c r="C6521" s="6" t="s">
        <v>33</v>
      </c>
      <c r="D6521" s="5">
        <v>45778</v>
      </c>
      <c r="E6521" s="6" t="s">
        <v>15</v>
      </c>
      <c r="F6521" s="7">
        <v>502</v>
      </c>
      <c r="G6521" s="7">
        <v>182327.22310756971</v>
      </c>
      <c r="H6521" s="7">
        <v>91528266</v>
      </c>
      <c r="I6521" s="7">
        <v>10676820</v>
      </c>
      <c r="J6521" s="7">
        <v>0</v>
      </c>
      <c r="K6521">
        <f t="shared" si="101"/>
        <v>0</v>
      </c>
      <c r="L6521" s="8" t="str" cm="1">
        <f t="array" ref="L6521">_xlfn.IFS(
 AND(K6521&gt;=89,K6521&lt;=92),"3개월",
 AND(K6521&gt;=58,K6521&lt;=62),"2개월",
 AND(K6521&gt;=28,K6521&lt;=32),"1개월",
 AND(K6521=0),"당월",
 TRUE,"그외"
)</f>
        <v>당월</v>
      </c>
    </row>
    <row r="6522" spans="1:12" x14ac:dyDescent="0.3">
      <c r="A6522" s="5">
        <v>45778</v>
      </c>
      <c r="B6522" s="6" t="s">
        <v>20</v>
      </c>
      <c r="C6522" s="6" t="s">
        <v>35</v>
      </c>
      <c r="D6522" s="5">
        <v>45627</v>
      </c>
      <c r="E6522" s="6" t="s">
        <v>15</v>
      </c>
      <c r="F6522" s="7">
        <v>24</v>
      </c>
      <c r="G6522" s="7">
        <v>147965.41666666669</v>
      </c>
      <c r="H6522" s="7">
        <v>3551170</v>
      </c>
      <c r="I6522" s="7">
        <v>480584</v>
      </c>
      <c r="J6522" s="7">
        <v>0</v>
      </c>
      <c r="K6522">
        <f t="shared" si="101"/>
        <v>151</v>
      </c>
      <c r="L6522" s="8" t="str" cm="1">
        <f t="array" ref="L6522">_xlfn.IFS(
 AND(K6522&gt;=89,K6522&lt;=92),"3개월",
 AND(K6522&gt;=58,K6522&lt;=62),"2개월",
 AND(K6522&gt;=28,K6522&lt;=32),"1개월",
 AND(K6522=0),"당월",
 TRUE,"그외"
)</f>
        <v>그외</v>
      </c>
    </row>
    <row r="6523" spans="1:12" x14ac:dyDescent="0.3">
      <c r="A6523" s="5">
        <v>45778</v>
      </c>
      <c r="B6523" s="6" t="s">
        <v>20</v>
      </c>
      <c r="C6523" s="6" t="s">
        <v>35</v>
      </c>
      <c r="D6523" s="5">
        <v>45658</v>
      </c>
      <c r="E6523" s="6" t="s">
        <v>14</v>
      </c>
      <c r="F6523" s="7">
        <v>4</v>
      </c>
      <c r="G6523" s="7">
        <v>140609</v>
      </c>
      <c r="H6523" s="7">
        <v>562436</v>
      </c>
      <c r="I6523" s="7">
        <v>115476</v>
      </c>
      <c r="J6523" s="7">
        <v>0</v>
      </c>
      <c r="K6523">
        <f t="shared" si="101"/>
        <v>120</v>
      </c>
      <c r="L6523" s="8" t="str" cm="1">
        <f t="array" ref="L6523">_xlfn.IFS(
 AND(K6523&gt;=89,K6523&lt;=92),"3개월",
 AND(K6523&gt;=58,K6523&lt;=62),"2개월",
 AND(K6523&gt;=28,K6523&lt;=32),"1개월",
 AND(K6523=0),"당월",
 TRUE,"그외"
)</f>
        <v>그외</v>
      </c>
    </row>
    <row r="6524" spans="1:12" x14ac:dyDescent="0.3">
      <c r="A6524" s="5">
        <v>45778</v>
      </c>
      <c r="B6524" s="6" t="s">
        <v>20</v>
      </c>
      <c r="C6524" s="6" t="s">
        <v>35</v>
      </c>
      <c r="D6524" s="5">
        <v>45658</v>
      </c>
      <c r="E6524" s="6" t="s">
        <v>15</v>
      </c>
      <c r="F6524" s="7">
        <v>103</v>
      </c>
      <c r="G6524" s="7">
        <v>209375.6116504854</v>
      </c>
      <c r="H6524" s="7">
        <v>21565688</v>
      </c>
      <c r="I6524" s="7">
        <v>2377018</v>
      </c>
      <c r="J6524" s="7">
        <v>0</v>
      </c>
      <c r="K6524">
        <f t="shared" si="101"/>
        <v>120</v>
      </c>
      <c r="L6524" s="8" t="str" cm="1">
        <f t="array" ref="L6524">_xlfn.IFS(
 AND(K6524&gt;=89,K6524&lt;=92),"3개월",
 AND(K6524&gt;=58,K6524&lt;=62),"2개월",
 AND(K6524&gt;=28,K6524&lt;=32),"1개월",
 AND(K6524=0),"당월",
 TRUE,"그외"
)</f>
        <v>그외</v>
      </c>
    </row>
    <row r="6525" spans="1:12" x14ac:dyDescent="0.3">
      <c r="A6525" s="5">
        <v>45778</v>
      </c>
      <c r="B6525" s="6" t="s">
        <v>20</v>
      </c>
      <c r="C6525" s="6" t="s">
        <v>35</v>
      </c>
      <c r="D6525" s="5">
        <v>45689</v>
      </c>
      <c r="E6525" s="6" t="s">
        <v>14</v>
      </c>
      <c r="F6525" s="7">
        <v>6</v>
      </c>
      <c r="G6525" s="7">
        <v>150909</v>
      </c>
      <c r="H6525" s="7">
        <v>905454</v>
      </c>
      <c r="I6525" s="7">
        <v>213402</v>
      </c>
      <c r="J6525" s="7">
        <v>0</v>
      </c>
      <c r="K6525">
        <f t="shared" si="101"/>
        <v>89</v>
      </c>
      <c r="L6525" s="8" t="str" cm="1">
        <f t="array" ref="L6525">_xlfn.IFS(
 AND(K6525&gt;=89,K6525&lt;=92),"3개월",
 AND(K6525&gt;=58,K6525&lt;=62),"2개월",
 AND(K6525&gt;=28,K6525&lt;=32),"1개월",
 AND(K6525=0),"당월",
 TRUE,"그외"
)</f>
        <v>3개월</v>
      </c>
    </row>
    <row r="6526" spans="1:12" x14ac:dyDescent="0.3">
      <c r="A6526" s="5">
        <v>45778</v>
      </c>
      <c r="B6526" s="6" t="s">
        <v>20</v>
      </c>
      <c r="C6526" s="6" t="s">
        <v>35</v>
      </c>
      <c r="D6526" s="5">
        <v>45689</v>
      </c>
      <c r="E6526" s="6" t="s">
        <v>15</v>
      </c>
      <c r="F6526" s="7">
        <v>392</v>
      </c>
      <c r="G6526" s="7">
        <v>213789.35459183669</v>
      </c>
      <c r="H6526" s="7">
        <v>83805427</v>
      </c>
      <c r="I6526" s="7">
        <v>9042381</v>
      </c>
      <c r="J6526" s="7">
        <v>0</v>
      </c>
      <c r="K6526">
        <f t="shared" si="101"/>
        <v>89</v>
      </c>
      <c r="L6526" s="8" t="str" cm="1">
        <f t="array" ref="L6526">_xlfn.IFS(
 AND(K6526&gt;=89,K6526&lt;=92),"3개월",
 AND(K6526&gt;=58,K6526&lt;=62),"2개월",
 AND(K6526&gt;=28,K6526&lt;=32),"1개월",
 AND(K6526=0),"당월",
 TRUE,"그외"
)</f>
        <v>3개월</v>
      </c>
    </row>
    <row r="6527" spans="1:12" x14ac:dyDescent="0.3">
      <c r="A6527" s="5">
        <v>45778</v>
      </c>
      <c r="B6527" s="6" t="s">
        <v>20</v>
      </c>
      <c r="C6527" s="6" t="s">
        <v>35</v>
      </c>
      <c r="D6527" s="5">
        <v>45717</v>
      </c>
      <c r="E6527" s="6" t="s">
        <v>14</v>
      </c>
      <c r="F6527" s="7">
        <v>180</v>
      </c>
      <c r="G6527" s="7">
        <v>226095.99444444451</v>
      </c>
      <c r="H6527" s="7">
        <v>40697279</v>
      </c>
      <c r="I6527" s="7">
        <v>4288054</v>
      </c>
      <c r="J6527" s="7">
        <v>0</v>
      </c>
      <c r="K6527">
        <f t="shared" si="101"/>
        <v>61</v>
      </c>
      <c r="L6527" s="8" t="str" cm="1">
        <f t="array" ref="L6527">_xlfn.IFS(
 AND(K6527&gt;=89,K6527&lt;=92),"3개월",
 AND(K6527&gt;=58,K6527&lt;=62),"2개월",
 AND(K6527&gt;=28,K6527&lt;=32),"1개월",
 AND(K6527=0),"당월",
 TRUE,"그외"
)</f>
        <v>2개월</v>
      </c>
    </row>
    <row r="6528" spans="1:12" x14ac:dyDescent="0.3">
      <c r="A6528" s="5">
        <v>45778</v>
      </c>
      <c r="B6528" s="6" t="s">
        <v>20</v>
      </c>
      <c r="C6528" s="6" t="s">
        <v>35</v>
      </c>
      <c r="D6528" s="5">
        <v>45717</v>
      </c>
      <c r="E6528" s="6" t="s">
        <v>15</v>
      </c>
      <c r="F6528" s="7">
        <v>1490</v>
      </c>
      <c r="G6528" s="7">
        <v>149771.47315436241</v>
      </c>
      <c r="H6528" s="7">
        <v>223159495</v>
      </c>
      <c r="I6528" s="7">
        <v>38858876</v>
      </c>
      <c r="J6528" s="7">
        <v>0</v>
      </c>
      <c r="K6528">
        <f t="shared" si="101"/>
        <v>61</v>
      </c>
      <c r="L6528" s="8" t="str" cm="1">
        <f t="array" ref="L6528">_xlfn.IFS(
 AND(K6528&gt;=89,K6528&lt;=92),"3개월",
 AND(K6528&gt;=58,K6528&lt;=62),"2개월",
 AND(K6528&gt;=28,K6528&lt;=32),"1개월",
 AND(K6528=0),"당월",
 TRUE,"그외"
)</f>
        <v>2개월</v>
      </c>
    </row>
    <row r="6529" spans="1:12" x14ac:dyDescent="0.3">
      <c r="A6529" s="5">
        <v>45778</v>
      </c>
      <c r="B6529" s="6" t="s">
        <v>20</v>
      </c>
      <c r="C6529" s="6" t="s">
        <v>35</v>
      </c>
      <c r="D6529" s="5">
        <v>45748</v>
      </c>
      <c r="E6529" s="6" t="s">
        <v>14</v>
      </c>
      <c r="F6529" s="7">
        <v>2233</v>
      </c>
      <c r="G6529" s="7">
        <v>153869.28884908199</v>
      </c>
      <c r="H6529" s="7">
        <v>343590122</v>
      </c>
      <c r="I6529" s="7">
        <v>39338808</v>
      </c>
      <c r="J6529" s="7">
        <v>0</v>
      </c>
      <c r="K6529">
        <f t="shared" si="101"/>
        <v>30</v>
      </c>
      <c r="L6529" s="8" t="str" cm="1">
        <f t="array" ref="L6529">_xlfn.IFS(
 AND(K6529&gt;=89,K6529&lt;=92),"3개월",
 AND(K6529&gt;=58,K6529&lt;=62),"2개월",
 AND(K6529&gt;=28,K6529&lt;=32),"1개월",
 AND(K6529=0),"당월",
 TRUE,"그외"
)</f>
        <v>1개월</v>
      </c>
    </row>
    <row r="6530" spans="1:12" x14ac:dyDescent="0.3">
      <c r="A6530" s="5">
        <v>45778</v>
      </c>
      <c r="B6530" s="6" t="s">
        <v>20</v>
      </c>
      <c r="C6530" s="6" t="s">
        <v>35</v>
      </c>
      <c r="D6530" s="5">
        <v>45748</v>
      </c>
      <c r="E6530" s="6" t="s">
        <v>15</v>
      </c>
      <c r="F6530" s="7">
        <v>3526</v>
      </c>
      <c r="G6530" s="7">
        <v>123548.5584231424</v>
      </c>
      <c r="H6530" s="7">
        <v>435632217</v>
      </c>
      <c r="I6530" s="7">
        <v>75992400</v>
      </c>
      <c r="J6530" s="7">
        <v>0</v>
      </c>
      <c r="K6530">
        <f t="shared" si="101"/>
        <v>30</v>
      </c>
      <c r="L6530" s="8" t="str" cm="1">
        <f t="array" ref="L6530">_xlfn.IFS(
 AND(K6530&gt;=89,K6530&lt;=92),"3개월",
 AND(K6530&gt;=58,K6530&lt;=62),"2개월",
 AND(K6530&gt;=28,K6530&lt;=32),"1개월",
 AND(K6530=0),"당월",
 TRUE,"그외"
)</f>
        <v>1개월</v>
      </c>
    </row>
    <row r="6531" spans="1:12" x14ac:dyDescent="0.3">
      <c r="A6531" s="5">
        <v>45778</v>
      </c>
      <c r="B6531" s="6" t="s">
        <v>20</v>
      </c>
      <c r="C6531" s="6" t="s">
        <v>35</v>
      </c>
      <c r="D6531" s="5">
        <v>45778</v>
      </c>
      <c r="E6531" s="6" t="s">
        <v>14</v>
      </c>
      <c r="F6531" s="7">
        <v>319</v>
      </c>
      <c r="G6531" s="7">
        <v>120575.84952978059</v>
      </c>
      <c r="H6531" s="7">
        <v>38463696</v>
      </c>
      <c r="I6531" s="7">
        <v>4897072</v>
      </c>
      <c r="J6531" s="7">
        <v>0</v>
      </c>
      <c r="K6531">
        <f t="shared" si="101"/>
        <v>0</v>
      </c>
      <c r="L6531" s="8" t="str" cm="1">
        <f t="array" ref="L6531">_xlfn.IFS(
 AND(K6531&gt;=89,K6531&lt;=92),"3개월",
 AND(K6531&gt;=58,K6531&lt;=62),"2개월",
 AND(K6531&gt;=28,K6531&lt;=32),"1개월",
 AND(K6531=0),"당월",
 TRUE,"그외"
)</f>
        <v>당월</v>
      </c>
    </row>
    <row r="6532" spans="1:12" x14ac:dyDescent="0.3">
      <c r="A6532" s="5">
        <v>45778</v>
      </c>
      <c r="B6532" s="6" t="s">
        <v>20</v>
      </c>
      <c r="C6532" s="6" t="s">
        <v>35</v>
      </c>
      <c r="D6532" s="5">
        <v>45778</v>
      </c>
      <c r="E6532" s="6" t="s">
        <v>15</v>
      </c>
      <c r="F6532" s="7">
        <v>926</v>
      </c>
      <c r="G6532" s="7">
        <v>97389.927645788339</v>
      </c>
      <c r="H6532" s="7">
        <v>90183073</v>
      </c>
      <c r="I6532" s="7">
        <v>17729926</v>
      </c>
      <c r="J6532" s="7">
        <v>0</v>
      </c>
      <c r="K6532">
        <f t="shared" si="101"/>
        <v>0</v>
      </c>
      <c r="L6532" s="8" t="str" cm="1">
        <f t="array" ref="L6532">_xlfn.IFS(
 AND(K6532&gt;=89,K6532&lt;=92),"3개월",
 AND(K6532&gt;=58,K6532&lt;=62),"2개월",
 AND(K6532&gt;=28,K6532&lt;=32),"1개월",
 AND(K6532=0),"당월",
 TRUE,"그외"
)</f>
        <v>당월</v>
      </c>
    </row>
    <row r="6533" spans="1:12" x14ac:dyDescent="0.3">
      <c r="A6533" s="5">
        <v>45778</v>
      </c>
      <c r="B6533" s="6" t="s">
        <v>20</v>
      </c>
      <c r="C6533" s="6" t="s">
        <v>36</v>
      </c>
      <c r="D6533" s="5">
        <v>45627</v>
      </c>
      <c r="E6533" s="6" t="s">
        <v>15</v>
      </c>
      <c r="F6533" s="7">
        <v>52</v>
      </c>
      <c r="G6533" s="7">
        <v>275117.23076923081</v>
      </c>
      <c r="H6533" s="7">
        <v>14306096</v>
      </c>
      <c r="I6533" s="7">
        <v>1179260</v>
      </c>
      <c r="J6533" s="7">
        <v>0</v>
      </c>
      <c r="K6533">
        <f t="shared" si="101"/>
        <v>151</v>
      </c>
      <c r="L6533" s="8" t="str" cm="1">
        <f t="array" ref="L6533">_xlfn.IFS(
 AND(K6533&gt;=89,K6533&lt;=92),"3개월",
 AND(K6533&gt;=58,K6533&lt;=62),"2개월",
 AND(K6533&gt;=28,K6533&lt;=32),"1개월",
 AND(K6533=0),"당월",
 TRUE,"그외"
)</f>
        <v>그외</v>
      </c>
    </row>
    <row r="6534" spans="1:12" x14ac:dyDescent="0.3">
      <c r="A6534" s="5">
        <v>45778</v>
      </c>
      <c r="B6534" s="6" t="s">
        <v>20</v>
      </c>
      <c r="C6534" s="6" t="s">
        <v>36</v>
      </c>
      <c r="D6534" s="5">
        <v>45658</v>
      </c>
      <c r="E6534" s="6" t="s">
        <v>14</v>
      </c>
      <c r="F6534" s="7">
        <v>3</v>
      </c>
      <c r="G6534" s="7">
        <v>129700</v>
      </c>
      <c r="H6534" s="7">
        <v>389100</v>
      </c>
      <c r="I6534" s="7">
        <v>59100</v>
      </c>
      <c r="J6534" s="7">
        <v>0</v>
      </c>
      <c r="K6534">
        <f t="shared" si="101"/>
        <v>120</v>
      </c>
      <c r="L6534" s="8" t="str" cm="1">
        <f t="array" ref="L6534">_xlfn.IFS(
 AND(K6534&gt;=89,K6534&lt;=92),"3개월",
 AND(K6534&gt;=58,K6534&lt;=62),"2개월",
 AND(K6534&gt;=28,K6534&lt;=32),"1개월",
 AND(K6534=0),"당월",
 TRUE,"그외"
)</f>
        <v>그외</v>
      </c>
    </row>
    <row r="6535" spans="1:12" x14ac:dyDescent="0.3">
      <c r="A6535" s="5">
        <v>45778</v>
      </c>
      <c r="B6535" s="6" t="s">
        <v>20</v>
      </c>
      <c r="C6535" s="6" t="s">
        <v>36</v>
      </c>
      <c r="D6535" s="5">
        <v>45658</v>
      </c>
      <c r="E6535" s="6" t="s">
        <v>15</v>
      </c>
      <c r="F6535" s="7">
        <v>242</v>
      </c>
      <c r="G6535" s="7">
        <v>225461.94628099169</v>
      </c>
      <c r="H6535" s="7">
        <v>54561791</v>
      </c>
      <c r="I6535" s="7">
        <v>5495617</v>
      </c>
      <c r="J6535" s="7">
        <v>0</v>
      </c>
      <c r="K6535">
        <f t="shared" si="101"/>
        <v>120</v>
      </c>
      <c r="L6535" s="8" t="str" cm="1">
        <f t="array" ref="L6535">_xlfn.IFS(
 AND(K6535&gt;=89,K6535&lt;=92),"3개월",
 AND(K6535&gt;=58,K6535&lt;=62),"2개월",
 AND(K6535&gt;=28,K6535&lt;=32),"1개월",
 AND(K6535=0),"당월",
 TRUE,"그외"
)</f>
        <v>그외</v>
      </c>
    </row>
    <row r="6536" spans="1:12" x14ac:dyDescent="0.3">
      <c r="A6536" s="5">
        <v>45778</v>
      </c>
      <c r="B6536" s="6" t="s">
        <v>20</v>
      </c>
      <c r="C6536" s="6" t="s">
        <v>36</v>
      </c>
      <c r="D6536" s="5">
        <v>45689</v>
      </c>
      <c r="E6536" s="6" t="s">
        <v>14</v>
      </c>
      <c r="F6536" s="7">
        <v>50</v>
      </c>
      <c r="G6536" s="7">
        <v>285701.90000000002</v>
      </c>
      <c r="H6536" s="7">
        <v>14285095</v>
      </c>
      <c r="I6536" s="7">
        <v>1102062</v>
      </c>
      <c r="J6536" s="7">
        <v>0</v>
      </c>
      <c r="K6536">
        <f t="shared" si="101"/>
        <v>89</v>
      </c>
      <c r="L6536" s="8" t="str" cm="1">
        <f t="array" ref="L6536">_xlfn.IFS(
 AND(K6536&gt;=89,K6536&lt;=92),"3개월",
 AND(K6536&gt;=58,K6536&lt;=62),"2개월",
 AND(K6536&gt;=28,K6536&lt;=32),"1개월",
 AND(K6536=0),"당월",
 TRUE,"그외"
)</f>
        <v>3개월</v>
      </c>
    </row>
    <row r="6537" spans="1:12" x14ac:dyDescent="0.3">
      <c r="A6537" s="5">
        <v>45778</v>
      </c>
      <c r="B6537" s="6" t="s">
        <v>20</v>
      </c>
      <c r="C6537" s="6" t="s">
        <v>36</v>
      </c>
      <c r="D6537" s="5">
        <v>45689</v>
      </c>
      <c r="E6537" s="6" t="s">
        <v>15</v>
      </c>
      <c r="F6537" s="7">
        <v>819</v>
      </c>
      <c r="G6537" s="7">
        <v>183562.71062271061</v>
      </c>
      <c r="H6537" s="7">
        <v>150337860</v>
      </c>
      <c r="I6537" s="7">
        <v>17932466</v>
      </c>
      <c r="J6537" s="7">
        <v>0</v>
      </c>
      <c r="K6537">
        <f t="shared" si="101"/>
        <v>89</v>
      </c>
      <c r="L6537" s="8" t="str" cm="1">
        <f t="array" ref="L6537">_xlfn.IFS(
 AND(K6537&gt;=89,K6537&lt;=92),"3개월",
 AND(K6537&gt;=58,K6537&lt;=62),"2개월",
 AND(K6537&gt;=28,K6537&lt;=32),"1개월",
 AND(K6537=0),"당월",
 TRUE,"그외"
)</f>
        <v>3개월</v>
      </c>
    </row>
    <row r="6538" spans="1:12" x14ac:dyDescent="0.3">
      <c r="A6538" s="5">
        <v>45778</v>
      </c>
      <c r="B6538" s="6" t="s">
        <v>20</v>
      </c>
      <c r="C6538" s="6" t="s">
        <v>36</v>
      </c>
      <c r="D6538" s="5">
        <v>45717</v>
      </c>
      <c r="E6538" s="6" t="s">
        <v>14</v>
      </c>
      <c r="F6538" s="7">
        <v>86</v>
      </c>
      <c r="G6538" s="7">
        <v>144311.67441860461</v>
      </c>
      <c r="H6538" s="7">
        <v>12410804</v>
      </c>
      <c r="I6538" s="7">
        <v>2039336</v>
      </c>
      <c r="J6538" s="7">
        <v>0</v>
      </c>
      <c r="K6538">
        <f t="shared" ref="K6538:K6601" si="102">A6538-D6538</f>
        <v>61</v>
      </c>
      <c r="L6538" s="8" t="str" cm="1">
        <f t="array" ref="L6538">_xlfn.IFS(
 AND(K6538&gt;=89,K6538&lt;=92),"3개월",
 AND(K6538&gt;=58,K6538&lt;=62),"2개월",
 AND(K6538&gt;=28,K6538&lt;=32),"1개월",
 AND(K6538=0),"당월",
 TRUE,"그외"
)</f>
        <v>2개월</v>
      </c>
    </row>
    <row r="6539" spans="1:12" x14ac:dyDescent="0.3">
      <c r="A6539" s="5">
        <v>45778</v>
      </c>
      <c r="B6539" s="6" t="s">
        <v>20</v>
      </c>
      <c r="C6539" s="6" t="s">
        <v>36</v>
      </c>
      <c r="D6539" s="5">
        <v>45717</v>
      </c>
      <c r="E6539" s="6" t="s">
        <v>15</v>
      </c>
      <c r="F6539" s="7">
        <v>1828</v>
      </c>
      <c r="G6539" s="7">
        <v>149355.23194748361</v>
      </c>
      <c r="H6539" s="7">
        <v>273021364</v>
      </c>
      <c r="I6539" s="7">
        <v>45125820</v>
      </c>
      <c r="J6539" s="7">
        <v>0</v>
      </c>
      <c r="K6539">
        <f t="shared" si="102"/>
        <v>61</v>
      </c>
      <c r="L6539" s="8" t="str" cm="1">
        <f t="array" ref="L6539">_xlfn.IFS(
 AND(K6539&gt;=89,K6539&lt;=92),"3개월",
 AND(K6539&gt;=58,K6539&lt;=62),"2개월",
 AND(K6539&gt;=28,K6539&lt;=32),"1개월",
 AND(K6539=0),"당월",
 TRUE,"그외"
)</f>
        <v>2개월</v>
      </c>
    </row>
    <row r="6540" spans="1:12" x14ac:dyDescent="0.3">
      <c r="A6540" s="5">
        <v>45778</v>
      </c>
      <c r="B6540" s="6" t="s">
        <v>20</v>
      </c>
      <c r="C6540" s="6" t="s">
        <v>36</v>
      </c>
      <c r="D6540" s="5">
        <v>45748</v>
      </c>
      <c r="E6540" s="6" t="s">
        <v>14</v>
      </c>
      <c r="F6540" s="7">
        <v>1433</v>
      </c>
      <c r="G6540" s="7">
        <v>174855.26029309141</v>
      </c>
      <c r="H6540" s="7">
        <v>250567588</v>
      </c>
      <c r="I6540" s="7">
        <v>28632130</v>
      </c>
      <c r="J6540" s="7">
        <v>0</v>
      </c>
      <c r="K6540">
        <f t="shared" si="102"/>
        <v>30</v>
      </c>
      <c r="L6540" s="8" t="str" cm="1">
        <f t="array" ref="L6540">_xlfn.IFS(
 AND(K6540&gt;=89,K6540&lt;=92),"3개월",
 AND(K6540&gt;=58,K6540&lt;=62),"2개월",
 AND(K6540&gt;=28,K6540&lt;=32),"1개월",
 AND(K6540=0),"당월",
 TRUE,"그외"
)</f>
        <v>1개월</v>
      </c>
    </row>
    <row r="6541" spans="1:12" x14ac:dyDescent="0.3">
      <c r="A6541" s="5">
        <v>45778</v>
      </c>
      <c r="B6541" s="6" t="s">
        <v>20</v>
      </c>
      <c r="C6541" s="6" t="s">
        <v>36</v>
      </c>
      <c r="D6541" s="5">
        <v>45748</v>
      </c>
      <c r="E6541" s="6" t="s">
        <v>15</v>
      </c>
      <c r="F6541" s="7">
        <v>3933</v>
      </c>
      <c r="G6541" s="7">
        <v>124228.0050851767</v>
      </c>
      <c r="H6541" s="7">
        <v>488588744</v>
      </c>
      <c r="I6541" s="7">
        <v>81548254</v>
      </c>
      <c r="J6541" s="7">
        <v>0</v>
      </c>
      <c r="K6541">
        <f t="shared" si="102"/>
        <v>30</v>
      </c>
      <c r="L6541" s="8" t="str" cm="1">
        <f t="array" ref="L6541">_xlfn.IFS(
 AND(K6541&gt;=89,K6541&lt;=92),"3개월",
 AND(K6541&gt;=58,K6541&lt;=62),"2개월",
 AND(K6541&gt;=28,K6541&lt;=32),"1개월",
 AND(K6541=0),"당월",
 TRUE,"그외"
)</f>
        <v>1개월</v>
      </c>
    </row>
    <row r="6542" spans="1:12" x14ac:dyDescent="0.3">
      <c r="A6542" s="5">
        <v>45778</v>
      </c>
      <c r="B6542" s="6" t="s">
        <v>20</v>
      </c>
      <c r="C6542" s="6" t="s">
        <v>36</v>
      </c>
      <c r="D6542" s="5">
        <v>45778</v>
      </c>
      <c r="E6542" s="6" t="s">
        <v>14</v>
      </c>
      <c r="F6542" s="7">
        <v>228</v>
      </c>
      <c r="G6542" s="7">
        <v>116926.06140350879</v>
      </c>
      <c r="H6542" s="7">
        <v>26659142</v>
      </c>
      <c r="I6542" s="7">
        <v>3728626</v>
      </c>
      <c r="J6542" s="7">
        <v>0</v>
      </c>
      <c r="K6542">
        <f t="shared" si="102"/>
        <v>0</v>
      </c>
      <c r="L6542" s="8" t="str" cm="1">
        <f t="array" ref="L6542">_xlfn.IFS(
 AND(K6542&gt;=89,K6542&lt;=92),"3개월",
 AND(K6542&gt;=58,K6542&lt;=62),"2개월",
 AND(K6542&gt;=28,K6542&lt;=32),"1개월",
 AND(K6542=0),"당월",
 TRUE,"그외"
)</f>
        <v>당월</v>
      </c>
    </row>
    <row r="6543" spans="1:12" x14ac:dyDescent="0.3">
      <c r="A6543" s="5">
        <v>45778</v>
      </c>
      <c r="B6543" s="6" t="s">
        <v>20</v>
      </c>
      <c r="C6543" s="6" t="s">
        <v>36</v>
      </c>
      <c r="D6543" s="5">
        <v>45778</v>
      </c>
      <c r="E6543" s="6" t="s">
        <v>15</v>
      </c>
      <c r="F6543" s="7">
        <v>816</v>
      </c>
      <c r="G6543" s="7">
        <v>108376.78063725489</v>
      </c>
      <c r="H6543" s="7">
        <v>88435453</v>
      </c>
      <c r="I6543" s="7">
        <v>17083172</v>
      </c>
      <c r="J6543" s="7">
        <v>0</v>
      </c>
      <c r="K6543">
        <f t="shared" si="102"/>
        <v>0</v>
      </c>
      <c r="L6543" s="8" t="str" cm="1">
        <f t="array" ref="L6543">_xlfn.IFS(
 AND(K6543&gt;=89,K6543&lt;=92),"3개월",
 AND(K6543&gt;=58,K6543&lt;=62),"2개월",
 AND(K6543&gt;=28,K6543&lt;=32),"1개월",
 AND(K6543=0),"당월",
 TRUE,"그외"
)</f>
        <v>당월</v>
      </c>
    </row>
    <row r="6544" spans="1:12" x14ac:dyDescent="0.3">
      <c r="A6544" s="5">
        <v>45778</v>
      </c>
      <c r="B6544" s="6" t="s">
        <v>20</v>
      </c>
      <c r="C6544" s="6" t="s">
        <v>37</v>
      </c>
      <c r="D6544" s="5">
        <v>45627</v>
      </c>
      <c r="E6544" s="6" t="s">
        <v>15</v>
      </c>
      <c r="F6544" s="7">
        <v>127</v>
      </c>
      <c r="G6544" s="7">
        <v>176014.51181102361</v>
      </c>
      <c r="H6544" s="7">
        <v>22353843</v>
      </c>
      <c r="I6544" s="7">
        <v>1445197</v>
      </c>
      <c r="J6544" s="7">
        <v>0</v>
      </c>
      <c r="K6544">
        <f t="shared" si="102"/>
        <v>151</v>
      </c>
      <c r="L6544" s="8" t="str" cm="1">
        <f t="array" ref="L6544">_xlfn.IFS(
 AND(K6544&gt;=89,K6544&lt;=92),"3개월",
 AND(K6544&gt;=58,K6544&lt;=62),"2개월",
 AND(K6544&gt;=28,K6544&lt;=32),"1개월",
 AND(K6544=0),"당월",
 TRUE,"그외"
)</f>
        <v>그외</v>
      </c>
    </row>
    <row r="6545" spans="1:12" x14ac:dyDescent="0.3">
      <c r="A6545" s="5">
        <v>45778</v>
      </c>
      <c r="B6545" s="6" t="s">
        <v>20</v>
      </c>
      <c r="C6545" s="6" t="s">
        <v>37</v>
      </c>
      <c r="D6545" s="5">
        <v>45658</v>
      </c>
      <c r="E6545" s="6" t="s">
        <v>15</v>
      </c>
      <c r="F6545" s="7">
        <v>212</v>
      </c>
      <c r="G6545" s="7">
        <v>170746.30188679241</v>
      </c>
      <c r="H6545" s="7">
        <v>36198216</v>
      </c>
      <c r="I6545" s="7">
        <v>2711216</v>
      </c>
      <c r="J6545" s="7">
        <v>0</v>
      </c>
      <c r="K6545">
        <f t="shared" si="102"/>
        <v>120</v>
      </c>
      <c r="L6545" s="8" t="str" cm="1">
        <f t="array" ref="L6545">_xlfn.IFS(
 AND(K6545&gt;=89,K6545&lt;=92),"3개월",
 AND(K6545&gt;=58,K6545&lt;=62),"2개월",
 AND(K6545&gt;=28,K6545&lt;=32),"1개월",
 AND(K6545=0),"당월",
 TRUE,"그외"
)</f>
        <v>그외</v>
      </c>
    </row>
    <row r="6546" spans="1:12" x14ac:dyDescent="0.3">
      <c r="A6546" s="5">
        <v>45778</v>
      </c>
      <c r="B6546" s="6" t="s">
        <v>20</v>
      </c>
      <c r="C6546" s="6" t="s">
        <v>37</v>
      </c>
      <c r="D6546" s="5">
        <v>45689</v>
      </c>
      <c r="E6546" s="6" t="s">
        <v>14</v>
      </c>
      <c r="F6546" s="7">
        <v>55</v>
      </c>
      <c r="G6546" s="7">
        <v>170972.72727272729</v>
      </c>
      <c r="H6546" s="7">
        <v>9403500</v>
      </c>
      <c r="I6546" s="7">
        <v>643500</v>
      </c>
      <c r="J6546" s="7">
        <v>0</v>
      </c>
      <c r="K6546">
        <f t="shared" si="102"/>
        <v>89</v>
      </c>
      <c r="L6546" s="8" t="str" cm="1">
        <f t="array" ref="L6546">_xlfn.IFS(
 AND(K6546&gt;=89,K6546&lt;=92),"3개월",
 AND(K6546&gt;=58,K6546&lt;=62),"2개월",
 AND(K6546&gt;=28,K6546&lt;=32),"1개월",
 AND(K6546=0),"당월",
 TRUE,"그외"
)</f>
        <v>3개월</v>
      </c>
    </row>
    <row r="6547" spans="1:12" x14ac:dyDescent="0.3">
      <c r="A6547" s="5">
        <v>45778</v>
      </c>
      <c r="B6547" s="6" t="s">
        <v>20</v>
      </c>
      <c r="C6547" s="6" t="s">
        <v>37</v>
      </c>
      <c r="D6547" s="5">
        <v>45689</v>
      </c>
      <c r="E6547" s="6" t="s">
        <v>15</v>
      </c>
      <c r="F6547" s="7">
        <v>424</v>
      </c>
      <c r="G6547" s="7">
        <v>171210.0872641509</v>
      </c>
      <c r="H6547" s="7">
        <v>72593077</v>
      </c>
      <c r="I6547" s="7">
        <v>6763390</v>
      </c>
      <c r="J6547" s="7">
        <v>0</v>
      </c>
      <c r="K6547">
        <f t="shared" si="102"/>
        <v>89</v>
      </c>
      <c r="L6547" s="8" t="str" cm="1">
        <f t="array" ref="L6547">_xlfn.IFS(
 AND(K6547&gt;=89,K6547&lt;=92),"3개월",
 AND(K6547&gt;=58,K6547&lt;=62),"2개월",
 AND(K6547&gt;=28,K6547&lt;=32),"1개월",
 AND(K6547=0),"당월",
 TRUE,"그외"
)</f>
        <v>3개월</v>
      </c>
    </row>
    <row r="6548" spans="1:12" x14ac:dyDescent="0.3">
      <c r="A6548" s="5">
        <v>45778</v>
      </c>
      <c r="B6548" s="6" t="s">
        <v>20</v>
      </c>
      <c r="C6548" s="6" t="s">
        <v>37</v>
      </c>
      <c r="D6548" s="5">
        <v>45717</v>
      </c>
      <c r="E6548" s="6" t="s">
        <v>14</v>
      </c>
      <c r="F6548" s="7">
        <v>1308</v>
      </c>
      <c r="G6548" s="7">
        <v>151386.34327217119</v>
      </c>
      <c r="H6548" s="7">
        <v>198013337</v>
      </c>
      <c r="I6548" s="7">
        <v>17457584</v>
      </c>
      <c r="J6548" s="7">
        <v>0</v>
      </c>
      <c r="K6548">
        <f t="shared" si="102"/>
        <v>61</v>
      </c>
      <c r="L6548" s="8" t="str" cm="1">
        <f t="array" ref="L6548">_xlfn.IFS(
 AND(K6548&gt;=89,K6548&lt;=92),"3개월",
 AND(K6548&gt;=58,K6548&lt;=62),"2개월",
 AND(K6548&gt;=28,K6548&lt;=32),"1개월",
 AND(K6548=0),"당월",
 TRUE,"그외"
)</f>
        <v>2개월</v>
      </c>
    </row>
    <row r="6549" spans="1:12" x14ac:dyDescent="0.3">
      <c r="A6549" s="5">
        <v>45778</v>
      </c>
      <c r="B6549" s="6" t="s">
        <v>20</v>
      </c>
      <c r="C6549" s="6" t="s">
        <v>37</v>
      </c>
      <c r="D6549" s="5">
        <v>45717</v>
      </c>
      <c r="E6549" s="6" t="s">
        <v>15</v>
      </c>
      <c r="F6549" s="7">
        <v>886</v>
      </c>
      <c r="G6549" s="7">
        <v>139826.9525959368</v>
      </c>
      <c r="H6549" s="7">
        <v>123886680</v>
      </c>
      <c r="I6549" s="7">
        <v>16221417</v>
      </c>
      <c r="J6549" s="7">
        <v>0</v>
      </c>
      <c r="K6549">
        <f t="shared" si="102"/>
        <v>61</v>
      </c>
      <c r="L6549" s="8" t="str" cm="1">
        <f t="array" ref="L6549">_xlfn.IFS(
 AND(K6549&gt;=89,K6549&lt;=92),"3개월",
 AND(K6549&gt;=58,K6549&lt;=62),"2개월",
 AND(K6549&gt;=28,K6549&lt;=32),"1개월",
 AND(K6549=0),"당월",
 TRUE,"그외"
)</f>
        <v>2개월</v>
      </c>
    </row>
    <row r="6550" spans="1:12" x14ac:dyDescent="0.3">
      <c r="A6550" s="5">
        <v>45778</v>
      </c>
      <c r="B6550" s="6" t="s">
        <v>20</v>
      </c>
      <c r="C6550" s="6" t="s">
        <v>37</v>
      </c>
      <c r="D6550" s="5">
        <v>45748</v>
      </c>
      <c r="E6550" s="6" t="s">
        <v>14</v>
      </c>
      <c r="F6550" s="7">
        <v>1151</v>
      </c>
      <c r="G6550" s="7">
        <v>150079.99478714159</v>
      </c>
      <c r="H6550" s="7">
        <v>172742074</v>
      </c>
      <c r="I6550" s="7">
        <v>12840476</v>
      </c>
      <c r="J6550" s="7">
        <v>0</v>
      </c>
      <c r="K6550">
        <f t="shared" si="102"/>
        <v>30</v>
      </c>
      <c r="L6550" s="8" t="str" cm="1">
        <f t="array" ref="L6550">_xlfn.IFS(
 AND(K6550&gt;=89,K6550&lt;=92),"3개월",
 AND(K6550&gt;=58,K6550&lt;=62),"2개월",
 AND(K6550&gt;=28,K6550&lt;=32),"1개월",
 AND(K6550=0),"당월",
 TRUE,"그외"
)</f>
        <v>1개월</v>
      </c>
    </row>
    <row r="6551" spans="1:12" x14ac:dyDescent="0.3">
      <c r="A6551" s="5">
        <v>45778</v>
      </c>
      <c r="B6551" s="6" t="s">
        <v>20</v>
      </c>
      <c r="C6551" s="6" t="s">
        <v>37</v>
      </c>
      <c r="D6551" s="5">
        <v>45748</v>
      </c>
      <c r="E6551" s="6" t="s">
        <v>15</v>
      </c>
      <c r="F6551" s="7">
        <v>1510</v>
      </c>
      <c r="G6551" s="7">
        <v>124055.20066225161</v>
      </c>
      <c r="H6551" s="7">
        <v>187323353</v>
      </c>
      <c r="I6551" s="7">
        <v>26694826</v>
      </c>
      <c r="J6551" s="7">
        <v>0</v>
      </c>
      <c r="K6551">
        <f t="shared" si="102"/>
        <v>30</v>
      </c>
      <c r="L6551" s="8" t="str" cm="1">
        <f t="array" ref="L6551">_xlfn.IFS(
 AND(K6551&gt;=89,K6551&lt;=92),"3개월",
 AND(K6551&gt;=58,K6551&lt;=62),"2개월",
 AND(K6551&gt;=28,K6551&lt;=32),"1개월",
 AND(K6551=0),"당월",
 TRUE,"그외"
)</f>
        <v>1개월</v>
      </c>
    </row>
    <row r="6552" spans="1:12" x14ac:dyDescent="0.3">
      <c r="A6552" s="5">
        <v>45778</v>
      </c>
      <c r="B6552" s="6" t="s">
        <v>20</v>
      </c>
      <c r="C6552" s="6" t="s">
        <v>37</v>
      </c>
      <c r="D6552" s="5">
        <v>45778</v>
      </c>
      <c r="E6552" s="6" t="s">
        <v>14</v>
      </c>
      <c r="F6552" s="7">
        <v>866</v>
      </c>
      <c r="G6552" s="7">
        <v>139450.8083140878</v>
      </c>
      <c r="H6552" s="7">
        <v>120764400</v>
      </c>
      <c r="I6552" s="7">
        <v>6344400</v>
      </c>
      <c r="J6552" s="7">
        <v>0</v>
      </c>
      <c r="K6552">
        <f t="shared" si="102"/>
        <v>0</v>
      </c>
      <c r="L6552" s="8" t="str" cm="1">
        <f t="array" ref="L6552">_xlfn.IFS(
 AND(K6552&gt;=89,K6552&lt;=92),"3개월",
 AND(K6552&gt;=58,K6552&lt;=62),"2개월",
 AND(K6552&gt;=28,K6552&lt;=32),"1개월",
 AND(K6552=0),"당월",
 TRUE,"그외"
)</f>
        <v>당월</v>
      </c>
    </row>
    <row r="6553" spans="1:12" x14ac:dyDescent="0.3">
      <c r="A6553" s="5">
        <v>45778</v>
      </c>
      <c r="B6553" s="6" t="s">
        <v>20</v>
      </c>
      <c r="C6553" s="6" t="s">
        <v>37</v>
      </c>
      <c r="D6553" s="5">
        <v>45778</v>
      </c>
      <c r="E6553" s="6" t="s">
        <v>15</v>
      </c>
      <c r="F6553" s="7">
        <v>355</v>
      </c>
      <c r="G6553" s="7">
        <v>97143.498591549302</v>
      </c>
      <c r="H6553" s="7">
        <v>34485942</v>
      </c>
      <c r="I6553" s="7">
        <v>6140092</v>
      </c>
      <c r="J6553" s="7">
        <v>0</v>
      </c>
      <c r="K6553">
        <f t="shared" si="102"/>
        <v>0</v>
      </c>
      <c r="L6553" s="8" t="str" cm="1">
        <f t="array" ref="L6553">_xlfn.IFS(
 AND(K6553&gt;=89,K6553&lt;=92),"3개월",
 AND(K6553&gt;=58,K6553&lt;=62),"2개월",
 AND(K6553&gt;=28,K6553&lt;=32),"1개월",
 AND(K6553=0),"당월",
 TRUE,"그외"
)</f>
        <v>당월</v>
      </c>
    </row>
    <row r="6554" spans="1:12" x14ac:dyDescent="0.3">
      <c r="A6554" s="5">
        <v>45778</v>
      </c>
      <c r="B6554" s="6" t="s">
        <v>20</v>
      </c>
      <c r="C6554" s="6" t="s">
        <v>38</v>
      </c>
      <c r="D6554" s="5">
        <v>45627</v>
      </c>
      <c r="E6554" s="6" t="s">
        <v>15</v>
      </c>
      <c r="F6554" s="7">
        <v>6</v>
      </c>
      <c r="G6554" s="7">
        <v>226100</v>
      </c>
      <c r="H6554" s="7">
        <v>1356600</v>
      </c>
      <c r="I6554" s="7">
        <v>66600</v>
      </c>
      <c r="J6554" s="7">
        <v>0</v>
      </c>
      <c r="K6554">
        <f t="shared" si="102"/>
        <v>151</v>
      </c>
      <c r="L6554" s="8" t="str" cm="1">
        <f t="array" ref="L6554">_xlfn.IFS(
 AND(K6554&gt;=89,K6554&lt;=92),"3개월",
 AND(K6554&gt;=58,K6554&lt;=62),"2개월",
 AND(K6554&gt;=28,K6554&lt;=32),"1개월",
 AND(K6554=0),"당월",
 TRUE,"그외"
)</f>
        <v>그외</v>
      </c>
    </row>
    <row r="6555" spans="1:12" x14ac:dyDescent="0.3">
      <c r="A6555" s="5">
        <v>45778</v>
      </c>
      <c r="B6555" s="6" t="s">
        <v>20</v>
      </c>
      <c r="C6555" s="6" t="s">
        <v>38</v>
      </c>
      <c r="D6555" s="5">
        <v>45658</v>
      </c>
      <c r="E6555" s="6" t="s">
        <v>15</v>
      </c>
      <c r="F6555" s="7">
        <v>40</v>
      </c>
      <c r="G6555" s="7">
        <v>100657.47500000001</v>
      </c>
      <c r="H6555" s="7">
        <v>4026299</v>
      </c>
      <c r="I6555" s="7">
        <v>678667</v>
      </c>
      <c r="J6555" s="7">
        <v>0</v>
      </c>
      <c r="K6555">
        <f t="shared" si="102"/>
        <v>120</v>
      </c>
      <c r="L6555" s="8" t="str" cm="1">
        <f t="array" ref="L6555">_xlfn.IFS(
 AND(K6555&gt;=89,K6555&lt;=92),"3개월",
 AND(K6555&gt;=58,K6555&lt;=62),"2개월",
 AND(K6555&gt;=28,K6555&lt;=32),"1개월",
 AND(K6555=0),"당월",
 TRUE,"그외"
)</f>
        <v>그외</v>
      </c>
    </row>
    <row r="6556" spans="1:12" x14ac:dyDescent="0.3">
      <c r="A6556" s="5">
        <v>45778</v>
      </c>
      <c r="B6556" s="6" t="s">
        <v>20</v>
      </c>
      <c r="C6556" s="6" t="s">
        <v>38</v>
      </c>
      <c r="D6556" s="5">
        <v>45689</v>
      </c>
      <c r="E6556" s="6" t="s">
        <v>14</v>
      </c>
      <c r="F6556" s="7">
        <v>4</v>
      </c>
      <c r="G6556" s="7">
        <v>171700</v>
      </c>
      <c r="H6556" s="7">
        <v>686800</v>
      </c>
      <c r="I6556" s="7">
        <v>46800</v>
      </c>
      <c r="J6556" s="7">
        <v>0</v>
      </c>
      <c r="K6556">
        <f t="shared" si="102"/>
        <v>89</v>
      </c>
      <c r="L6556" s="8" t="str" cm="1">
        <f t="array" ref="L6556">_xlfn.IFS(
 AND(K6556&gt;=89,K6556&lt;=92),"3개월",
 AND(K6556&gt;=58,K6556&lt;=62),"2개월",
 AND(K6556&gt;=28,K6556&lt;=32),"1개월",
 AND(K6556=0),"당월",
 TRUE,"그외"
)</f>
        <v>3개월</v>
      </c>
    </row>
    <row r="6557" spans="1:12" x14ac:dyDescent="0.3">
      <c r="A6557" s="5">
        <v>45778</v>
      </c>
      <c r="B6557" s="6" t="s">
        <v>20</v>
      </c>
      <c r="C6557" s="6" t="s">
        <v>38</v>
      </c>
      <c r="D6557" s="5">
        <v>45689</v>
      </c>
      <c r="E6557" s="6" t="s">
        <v>15</v>
      </c>
      <c r="F6557" s="7">
        <v>143</v>
      </c>
      <c r="G6557" s="7">
        <v>122228.41958041961</v>
      </c>
      <c r="H6557" s="7">
        <v>17478664</v>
      </c>
      <c r="I6557" s="7">
        <v>2091281</v>
      </c>
      <c r="J6557" s="7">
        <v>0</v>
      </c>
      <c r="K6557">
        <f t="shared" si="102"/>
        <v>89</v>
      </c>
      <c r="L6557" s="8" t="str" cm="1">
        <f t="array" ref="L6557">_xlfn.IFS(
 AND(K6557&gt;=89,K6557&lt;=92),"3개월",
 AND(K6557&gt;=58,K6557&lt;=62),"2개월",
 AND(K6557&gt;=28,K6557&lt;=32),"1개월",
 AND(K6557=0),"당월",
 TRUE,"그외"
)</f>
        <v>3개월</v>
      </c>
    </row>
    <row r="6558" spans="1:12" x14ac:dyDescent="0.3">
      <c r="A6558" s="5">
        <v>45778</v>
      </c>
      <c r="B6558" s="6" t="s">
        <v>20</v>
      </c>
      <c r="C6558" s="6" t="s">
        <v>38</v>
      </c>
      <c r="D6558" s="5">
        <v>45717</v>
      </c>
      <c r="E6558" s="6" t="s">
        <v>14</v>
      </c>
      <c r="F6558" s="7">
        <v>2</v>
      </c>
      <c r="G6558" s="7">
        <v>78000</v>
      </c>
      <c r="H6558" s="7">
        <v>156000</v>
      </c>
      <c r="I6558" s="7">
        <v>26000</v>
      </c>
      <c r="J6558" s="7">
        <v>0</v>
      </c>
      <c r="K6558">
        <f t="shared" si="102"/>
        <v>61</v>
      </c>
      <c r="L6558" s="8" t="str" cm="1">
        <f t="array" ref="L6558">_xlfn.IFS(
 AND(K6558&gt;=89,K6558&lt;=92),"3개월",
 AND(K6558&gt;=58,K6558&lt;=62),"2개월",
 AND(K6558&gt;=28,K6558&lt;=32),"1개월",
 AND(K6558=0),"당월",
 TRUE,"그외"
)</f>
        <v>2개월</v>
      </c>
    </row>
    <row r="6559" spans="1:12" x14ac:dyDescent="0.3">
      <c r="A6559" s="5">
        <v>45778</v>
      </c>
      <c r="B6559" s="6" t="s">
        <v>20</v>
      </c>
      <c r="C6559" s="6" t="s">
        <v>38</v>
      </c>
      <c r="D6559" s="5">
        <v>45717</v>
      </c>
      <c r="E6559" s="6" t="s">
        <v>15</v>
      </c>
      <c r="F6559" s="7">
        <v>300</v>
      </c>
      <c r="G6559" s="7">
        <v>140882.70666666669</v>
      </c>
      <c r="H6559" s="7">
        <v>42264812</v>
      </c>
      <c r="I6559" s="7">
        <v>4839210</v>
      </c>
      <c r="J6559" s="7">
        <v>0</v>
      </c>
      <c r="K6559">
        <f t="shared" si="102"/>
        <v>61</v>
      </c>
      <c r="L6559" s="8" t="str" cm="1">
        <f t="array" ref="L6559">_xlfn.IFS(
 AND(K6559&gt;=89,K6559&lt;=92),"3개월",
 AND(K6559&gt;=58,K6559&lt;=62),"2개월",
 AND(K6559&gt;=28,K6559&lt;=32),"1개월",
 AND(K6559=0),"당월",
 TRUE,"그외"
)</f>
        <v>2개월</v>
      </c>
    </row>
    <row r="6560" spans="1:12" x14ac:dyDescent="0.3">
      <c r="A6560" s="5">
        <v>45778</v>
      </c>
      <c r="B6560" s="6" t="s">
        <v>20</v>
      </c>
      <c r="C6560" s="6" t="s">
        <v>38</v>
      </c>
      <c r="D6560" s="5">
        <v>45748</v>
      </c>
      <c r="E6560" s="6" t="s">
        <v>14</v>
      </c>
      <c r="F6560" s="7">
        <v>510</v>
      </c>
      <c r="G6560" s="7">
        <v>123178.43137254901</v>
      </c>
      <c r="H6560" s="7">
        <v>62821000</v>
      </c>
      <c r="I6560" s="7">
        <v>5151000</v>
      </c>
      <c r="J6560" s="7">
        <v>0</v>
      </c>
      <c r="K6560">
        <f t="shared" si="102"/>
        <v>30</v>
      </c>
      <c r="L6560" s="8" t="str" cm="1">
        <f t="array" ref="L6560">_xlfn.IFS(
 AND(K6560&gt;=89,K6560&lt;=92),"3개월",
 AND(K6560&gt;=58,K6560&lt;=62),"2개월",
 AND(K6560&gt;=28,K6560&lt;=32),"1개월",
 AND(K6560=0),"당월",
 TRUE,"그외"
)</f>
        <v>1개월</v>
      </c>
    </row>
    <row r="6561" spans="1:12" x14ac:dyDescent="0.3">
      <c r="A6561" s="5">
        <v>45778</v>
      </c>
      <c r="B6561" s="6" t="s">
        <v>20</v>
      </c>
      <c r="C6561" s="6" t="s">
        <v>38</v>
      </c>
      <c r="D6561" s="5">
        <v>45748</v>
      </c>
      <c r="E6561" s="6" t="s">
        <v>15</v>
      </c>
      <c r="F6561" s="7">
        <v>1140</v>
      </c>
      <c r="G6561" s="7">
        <v>79405.471929824562</v>
      </c>
      <c r="H6561" s="7">
        <v>90522238</v>
      </c>
      <c r="I6561" s="7">
        <v>17912617</v>
      </c>
      <c r="J6561" s="7">
        <v>0</v>
      </c>
      <c r="K6561">
        <f t="shared" si="102"/>
        <v>30</v>
      </c>
      <c r="L6561" s="8" t="str" cm="1">
        <f t="array" ref="L6561">_xlfn.IFS(
 AND(K6561&gt;=89,K6561&lt;=92),"3개월",
 AND(K6561&gt;=58,K6561&lt;=62),"2개월",
 AND(K6561&gt;=28,K6561&lt;=32),"1개월",
 AND(K6561=0),"당월",
 TRUE,"그외"
)</f>
        <v>1개월</v>
      </c>
    </row>
    <row r="6562" spans="1:12" x14ac:dyDescent="0.3">
      <c r="A6562" s="5">
        <v>45778</v>
      </c>
      <c r="B6562" s="6" t="s">
        <v>20</v>
      </c>
      <c r="C6562" s="6" t="s">
        <v>38</v>
      </c>
      <c r="D6562" s="5">
        <v>45778</v>
      </c>
      <c r="E6562" s="6" t="s">
        <v>14</v>
      </c>
      <c r="F6562" s="7">
        <v>349</v>
      </c>
      <c r="G6562" s="7">
        <v>53133.724928366762</v>
      </c>
      <c r="H6562" s="7">
        <v>18543670</v>
      </c>
      <c r="I6562" s="7">
        <v>2547700</v>
      </c>
      <c r="J6562" s="7">
        <v>0</v>
      </c>
      <c r="K6562">
        <f t="shared" si="102"/>
        <v>0</v>
      </c>
      <c r="L6562" s="8" t="str" cm="1">
        <f t="array" ref="L6562">_xlfn.IFS(
 AND(K6562&gt;=89,K6562&lt;=92),"3개월",
 AND(K6562&gt;=58,K6562&lt;=62),"2개월",
 AND(K6562&gt;=28,K6562&lt;=32),"1개월",
 AND(K6562=0),"당월",
 TRUE,"그외"
)</f>
        <v>당월</v>
      </c>
    </row>
    <row r="6563" spans="1:12" x14ac:dyDescent="0.3">
      <c r="A6563" s="5">
        <v>45778</v>
      </c>
      <c r="B6563" s="6" t="s">
        <v>20</v>
      </c>
      <c r="C6563" s="6" t="s">
        <v>38</v>
      </c>
      <c r="D6563" s="5">
        <v>45778</v>
      </c>
      <c r="E6563" s="6" t="s">
        <v>15</v>
      </c>
      <c r="F6563" s="7">
        <v>414</v>
      </c>
      <c r="G6563" s="7">
        <v>65445.777777777781</v>
      </c>
      <c r="H6563" s="7">
        <v>27094552</v>
      </c>
      <c r="I6563" s="7">
        <v>5307008</v>
      </c>
      <c r="J6563" s="7">
        <v>0</v>
      </c>
      <c r="K6563">
        <f t="shared" si="102"/>
        <v>0</v>
      </c>
      <c r="L6563" s="8" t="str" cm="1">
        <f t="array" ref="L6563">_xlfn.IFS(
 AND(K6563&gt;=89,K6563&lt;=92),"3개월",
 AND(K6563&gt;=58,K6563&lt;=62),"2개월",
 AND(K6563&gt;=28,K6563&lt;=32),"1개월",
 AND(K6563=0),"당월",
 TRUE,"그외"
)</f>
        <v>당월</v>
      </c>
    </row>
    <row r="6564" spans="1:12" x14ac:dyDescent="0.3">
      <c r="A6564" s="5">
        <v>45778</v>
      </c>
      <c r="B6564" s="6" t="s">
        <v>40</v>
      </c>
      <c r="C6564" s="6" t="s">
        <v>101</v>
      </c>
      <c r="D6564" s="5">
        <v>45717</v>
      </c>
      <c r="E6564" s="6" t="s">
        <v>14</v>
      </c>
      <c r="F6564" s="7">
        <v>2</v>
      </c>
      <c r="G6564" s="7">
        <v>8750000</v>
      </c>
      <c r="H6564" s="7">
        <v>17500000</v>
      </c>
      <c r="I6564" s="7">
        <v>0</v>
      </c>
      <c r="J6564" s="7">
        <v>0</v>
      </c>
      <c r="K6564">
        <f t="shared" si="102"/>
        <v>61</v>
      </c>
      <c r="L6564" s="8" t="str" cm="1">
        <f t="array" ref="L6564">_xlfn.IFS(
 AND(K6564&gt;=89,K6564&lt;=92),"3개월",
 AND(K6564&gt;=58,K6564&lt;=62),"2개월",
 AND(K6564&gt;=28,K6564&lt;=32),"1개월",
 AND(K6564=0),"당월",
 TRUE,"그외"
)</f>
        <v>2개월</v>
      </c>
    </row>
    <row r="6565" spans="1:12" x14ac:dyDescent="0.3">
      <c r="A6565" s="5">
        <v>45778</v>
      </c>
      <c r="B6565" s="6" t="s">
        <v>40</v>
      </c>
      <c r="C6565" s="6" t="s">
        <v>101</v>
      </c>
      <c r="D6565" s="5">
        <v>45717</v>
      </c>
      <c r="E6565" s="6" t="s">
        <v>15</v>
      </c>
      <c r="F6565" s="7">
        <v>3</v>
      </c>
      <c r="G6565" s="7">
        <v>534496</v>
      </c>
      <c r="H6565" s="7">
        <v>1603488</v>
      </c>
      <c r="I6565" s="7">
        <v>136740</v>
      </c>
      <c r="J6565" s="7">
        <v>0</v>
      </c>
      <c r="K6565">
        <f t="shared" si="102"/>
        <v>61</v>
      </c>
      <c r="L6565" s="8" t="str" cm="1">
        <f t="array" ref="L6565">_xlfn.IFS(
 AND(K6565&gt;=89,K6565&lt;=92),"3개월",
 AND(K6565&gt;=58,K6565&lt;=62),"2개월",
 AND(K6565&gt;=28,K6565&lt;=32),"1개월",
 AND(K6565=0),"당월",
 TRUE,"그외"
)</f>
        <v>2개월</v>
      </c>
    </row>
    <row r="6566" spans="1:12" x14ac:dyDescent="0.3">
      <c r="A6566" s="5">
        <v>45778</v>
      </c>
      <c r="B6566" s="6" t="s">
        <v>40</v>
      </c>
      <c r="C6566" s="6" t="s">
        <v>101</v>
      </c>
      <c r="D6566" s="5">
        <v>45748</v>
      </c>
      <c r="E6566" s="6" t="s">
        <v>14</v>
      </c>
      <c r="F6566" s="7">
        <v>780</v>
      </c>
      <c r="G6566" s="7">
        <v>241465.89743589741</v>
      </c>
      <c r="H6566" s="7">
        <v>188343400</v>
      </c>
      <c r="I6566" s="7">
        <v>43400</v>
      </c>
      <c r="J6566" s="7">
        <v>0</v>
      </c>
      <c r="K6566">
        <f t="shared" si="102"/>
        <v>30</v>
      </c>
      <c r="L6566" s="8" t="str" cm="1">
        <f t="array" ref="L6566">_xlfn.IFS(
 AND(K6566&gt;=89,K6566&lt;=92),"3개월",
 AND(K6566&gt;=58,K6566&lt;=62),"2개월",
 AND(K6566&gt;=28,K6566&lt;=32),"1개월",
 AND(K6566=0),"당월",
 TRUE,"그외"
)</f>
        <v>1개월</v>
      </c>
    </row>
    <row r="6567" spans="1:12" x14ac:dyDescent="0.3">
      <c r="A6567" s="5">
        <v>45778</v>
      </c>
      <c r="B6567" s="6" t="s">
        <v>40</v>
      </c>
      <c r="C6567" s="6" t="s">
        <v>101</v>
      </c>
      <c r="D6567" s="5">
        <v>45748</v>
      </c>
      <c r="E6567" s="6" t="s">
        <v>15</v>
      </c>
      <c r="F6567" s="7">
        <v>26</v>
      </c>
      <c r="G6567" s="7">
        <v>272488.5</v>
      </c>
      <c r="H6567" s="7">
        <v>7084701</v>
      </c>
      <c r="I6567" s="7">
        <v>840068</v>
      </c>
      <c r="J6567" s="7">
        <v>0</v>
      </c>
      <c r="K6567">
        <f t="shared" si="102"/>
        <v>30</v>
      </c>
      <c r="L6567" s="8" t="str" cm="1">
        <f t="array" ref="L6567">_xlfn.IFS(
 AND(K6567&gt;=89,K6567&lt;=92),"3개월",
 AND(K6567&gt;=58,K6567&lt;=62),"2개월",
 AND(K6567&gt;=28,K6567&lt;=32),"1개월",
 AND(K6567=0),"당월",
 TRUE,"그외"
)</f>
        <v>1개월</v>
      </c>
    </row>
    <row r="6568" spans="1:12" x14ac:dyDescent="0.3">
      <c r="A6568" s="5">
        <v>45778</v>
      </c>
      <c r="B6568" s="6" t="s">
        <v>40</v>
      </c>
      <c r="C6568" s="6" t="s">
        <v>101</v>
      </c>
      <c r="D6568" s="5">
        <v>45778</v>
      </c>
      <c r="E6568" s="6" t="s">
        <v>14</v>
      </c>
      <c r="F6568" s="7">
        <v>49</v>
      </c>
      <c r="G6568" s="7">
        <v>989176.20408163266</v>
      </c>
      <c r="H6568" s="7">
        <v>48469634</v>
      </c>
      <c r="I6568" s="7">
        <v>111674</v>
      </c>
      <c r="J6568" s="7">
        <v>0</v>
      </c>
      <c r="K6568">
        <f t="shared" si="102"/>
        <v>0</v>
      </c>
      <c r="L6568" s="8" t="str" cm="1">
        <f t="array" ref="L6568">_xlfn.IFS(
 AND(K6568&gt;=89,K6568&lt;=92),"3개월",
 AND(K6568&gt;=58,K6568&lt;=62),"2개월",
 AND(K6568&gt;=28,K6568&lt;=32),"1개월",
 AND(K6568=0),"당월",
 TRUE,"그외"
)</f>
        <v>당월</v>
      </c>
    </row>
    <row r="6569" spans="1:12" x14ac:dyDescent="0.3">
      <c r="A6569" s="5">
        <v>45778</v>
      </c>
      <c r="B6569" s="6" t="s">
        <v>40</v>
      </c>
      <c r="C6569" s="6" t="s">
        <v>101</v>
      </c>
      <c r="D6569" s="5">
        <v>45778</v>
      </c>
      <c r="E6569" s="6" t="s">
        <v>15</v>
      </c>
      <c r="F6569" s="7">
        <v>5</v>
      </c>
      <c r="G6569" s="7">
        <v>486745</v>
      </c>
      <c r="H6569" s="7">
        <v>2433725</v>
      </c>
      <c r="I6569" s="7">
        <v>324196</v>
      </c>
      <c r="J6569" s="7">
        <v>0</v>
      </c>
      <c r="K6569">
        <f t="shared" si="102"/>
        <v>0</v>
      </c>
      <c r="L6569" s="8" t="str" cm="1">
        <f t="array" ref="L6569">_xlfn.IFS(
 AND(K6569&gt;=89,K6569&lt;=92),"3개월",
 AND(K6569&gt;=58,K6569&lt;=62),"2개월",
 AND(K6569&gt;=28,K6569&lt;=32),"1개월",
 AND(K6569=0),"당월",
 TRUE,"그외"
)</f>
        <v>당월</v>
      </c>
    </row>
    <row r="6570" spans="1:12" x14ac:dyDescent="0.3">
      <c r="A6570" s="5">
        <v>45778</v>
      </c>
      <c r="B6570" s="6" t="s">
        <v>40</v>
      </c>
      <c r="C6570" s="6" t="s">
        <v>91</v>
      </c>
      <c r="D6570" s="5">
        <v>45717</v>
      </c>
      <c r="E6570" s="6" t="s">
        <v>14</v>
      </c>
      <c r="F6570" s="7">
        <v>18</v>
      </c>
      <c r="G6570" s="7">
        <v>93222.055555555562</v>
      </c>
      <c r="H6570" s="7">
        <v>1677997</v>
      </c>
      <c r="I6570" s="7">
        <v>1085496</v>
      </c>
      <c r="J6570" s="7">
        <v>0</v>
      </c>
      <c r="K6570">
        <f t="shared" si="102"/>
        <v>61</v>
      </c>
      <c r="L6570" s="8" t="str" cm="1">
        <f t="array" ref="L6570">_xlfn.IFS(
 AND(K6570&gt;=89,K6570&lt;=92),"3개월",
 AND(K6570&gt;=58,K6570&lt;=62),"2개월",
 AND(K6570&gt;=28,K6570&lt;=32),"1개월",
 AND(K6570=0),"당월",
 TRUE,"그외"
)</f>
        <v>2개월</v>
      </c>
    </row>
    <row r="6571" spans="1:12" x14ac:dyDescent="0.3">
      <c r="A6571" s="5">
        <v>45778</v>
      </c>
      <c r="B6571" s="6" t="s">
        <v>40</v>
      </c>
      <c r="C6571" s="6" t="s">
        <v>91</v>
      </c>
      <c r="D6571" s="5">
        <v>45717</v>
      </c>
      <c r="E6571" s="6" t="s">
        <v>15</v>
      </c>
      <c r="F6571" s="7">
        <v>238</v>
      </c>
      <c r="G6571" s="7">
        <v>104841.8865546218</v>
      </c>
      <c r="H6571" s="7">
        <v>24952369</v>
      </c>
      <c r="I6571" s="7">
        <v>3764096</v>
      </c>
      <c r="J6571" s="7">
        <v>0</v>
      </c>
      <c r="K6571">
        <f t="shared" si="102"/>
        <v>61</v>
      </c>
      <c r="L6571" s="8" t="str" cm="1">
        <f t="array" ref="L6571">_xlfn.IFS(
 AND(K6571&gt;=89,K6571&lt;=92),"3개월",
 AND(K6571&gt;=58,K6571&lt;=62),"2개월",
 AND(K6571&gt;=28,K6571&lt;=32),"1개월",
 AND(K6571=0),"당월",
 TRUE,"그외"
)</f>
        <v>2개월</v>
      </c>
    </row>
    <row r="6572" spans="1:12" x14ac:dyDescent="0.3">
      <c r="A6572" s="5">
        <v>45778</v>
      </c>
      <c r="B6572" s="6" t="s">
        <v>40</v>
      </c>
      <c r="C6572" s="6" t="s">
        <v>91</v>
      </c>
      <c r="D6572" s="5">
        <v>45748</v>
      </c>
      <c r="E6572" s="6" t="s">
        <v>14</v>
      </c>
      <c r="F6572" s="7">
        <v>653</v>
      </c>
      <c r="G6572" s="7">
        <v>93224.952526799389</v>
      </c>
      <c r="H6572" s="7">
        <v>60875894</v>
      </c>
      <c r="I6572" s="7">
        <v>29283153</v>
      </c>
      <c r="J6572" s="7">
        <v>0</v>
      </c>
      <c r="K6572">
        <f t="shared" si="102"/>
        <v>30</v>
      </c>
      <c r="L6572" s="8" t="str" cm="1">
        <f t="array" ref="L6572">_xlfn.IFS(
 AND(K6572&gt;=89,K6572&lt;=92),"3개월",
 AND(K6572&gt;=58,K6572&lt;=62),"2개월",
 AND(K6572&gt;=28,K6572&lt;=32),"1개월",
 AND(K6572=0),"당월",
 TRUE,"그외"
)</f>
        <v>1개월</v>
      </c>
    </row>
    <row r="6573" spans="1:12" x14ac:dyDescent="0.3">
      <c r="A6573" s="5">
        <v>45778</v>
      </c>
      <c r="B6573" s="6" t="s">
        <v>40</v>
      </c>
      <c r="C6573" s="6" t="s">
        <v>91</v>
      </c>
      <c r="D6573" s="5">
        <v>45748</v>
      </c>
      <c r="E6573" s="6" t="s">
        <v>15</v>
      </c>
      <c r="F6573" s="7">
        <v>823</v>
      </c>
      <c r="G6573" s="7">
        <v>99946.422843256383</v>
      </c>
      <c r="H6573" s="7">
        <v>82255906</v>
      </c>
      <c r="I6573" s="7">
        <v>15450530</v>
      </c>
      <c r="J6573" s="7">
        <v>0</v>
      </c>
      <c r="K6573">
        <f t="shared" si="102"/>
        <v>30</v>
      </c>
      <c r="L6573" s="8" t="str" cm="1">
        <f t="array" ref="L6573">_xlfn.IFS(
 AND(K6573&gt;=89,K6573&lt;=92),"3개월",
 AND(K6573&gt;=58,K6573&lt;=62),"2개월",
 AND(K6573&gt;=28,K6573&lt;=32),"1개월",
 AND(K6573=0),"당월",
 TRUE,"그외"
)</f>
        <v>1개월</v>
      </c>
    </row>
    <row r="6574" spans="1:12" x14ac:dyDescent="0.3">
      <c r="A6574" s="5">
        <v>45778</v>
      </c>
      <c r="B6574" s="6" t="s">
        <v>40</v>
      </c>
      <c r="C6574" s="6" t="s">
        <v>91</v>
      </c>
      <c r="D6574" s="5">
        <v>45778</v>
      </c>
      <c r="E6574" s="6" t="s">
        <v>14</v>
      </c>
      <c r="F6574" s="7">
        <v>557</v>
      </c>
      <c r="G6574" s="7">
        <v>83119.518850987428</v>
      </c>
      <c r="H6574" s="7">
        <v>46297572</v>
      </c>
      <c r="I6574" s="7">
        <v>23777078</v>
      </c>
      <c r="J6574" s="7">
        <v>0</v>
      </c>
      <c r="K6574">
        <f t="shared" si="102"/>
        <v>0</v>
      </c>
      <c r="L6574" s="8" t="str" cm="1">
        <f t="array" ref="L6574">_xlfn.IFS(
 AND(K6574&gt;=89,K6574&lt;=92),"3개월",
 AND(K6574&gt;=58,K6574&lt;=62),"2개월",
 AND(K6574&gt;=28,K6574&lt;=32),"1개월",
 AND(K6574=0),"당월",
 TRUE,"그외"
)</f>
        <v>당월</v>
      </c>
    </row>
    <row r="6575" spans="1:12" x14ac:dyDescent="0.3">
      <c r="A6575" s="5">
        <v>45778</v>
      </c>
      <c r="B6575" s="6" t="s">
        <v>40</v>
      </c>
      <c r="C6575" s="6" t="s">
        <v>91</v>
      </c>
      <c r="D6575" s="5">
        <v>45778</v>
      </c>
      <c r="E6575" s="6" t="s">
        <v>15</v>
      </c>
      <c r="F6575" s="7">
        <v>379</v>
      </c>
      <c r="G6575" s="7">
        <v>87397.817941952511</v>
      </c>
      <c r="H6575" s="7">
        <v>33123773</v>
      </c>
      <c r="I6575" s="7">
        <v>5691037</v>
      </c>
      <c r="J6575" s="7">
        <v>0</v>
      </c>
      <c r="K6575">
        <f t="shared" si="102"/>
        <v>0</v>
      </c>
      <c r="L6575" s="8" t="str" cm="1">
        <f t="array" ref="L6575">_xlfn.IFS(
 AND(K6575&gt;=89,K6575&lt;=92),"3개월",
 AND(K6575&gt;=58,K6575&lt;=62),"2개월",
 AND(K6575&gt;=28,K6575&lt;=32),"1개월",
 AND(K6575=0),"당월",
 TRUE,"그외"
)</f>
        <v>당월</v>
      </c>
    </row>
    <row r="6576" spans="1:12" x14ac:dyDescent="0.3">
      <c r="A6576" s="5">
        <v>45778</v>
      </c>
      <c r="B6576" s="6" t="s">
        <v>40</v>
      </c>
      <c r="C6576" s="6" t="s">
        <v>122</v>
      </c>
      <c r="D6576" s="5">
        <v>45689</v>
      </c>
      <c r="E6576" s="6" t="s">
        <v>14</v>
      </c>
      <c r="F6576" s="7">
        <v>14</v>
      </c>
      <c r="G6576" s="7">
        <v>170540.42857142861</v>
      </c>
      <c r="H6576" s="7">
        <v>2387566</v>
      </c>
      <c r="I6576" s="7">
        <v>1080926</v>
      </c>
      <c r="J6576" s="7">
        <v>0</v>
      </c>
      <c r="K6576">
        <f t="shared" si="102"/>
        <v>89</v>
      </c>
      <c r="L6576" s="8" t="str" cm="1">
        <f t="array" ref="L6576">_xlfn.IFS(
 AND(K6576&gt;=89,K6576&lt;=92),"3개월",
 AND(K6576&gt;=58,K6576&lt;=62),"2개월",
 AND(K6576&gt;=28,K6576&lt;=32),"1개월",
 AND(K6576=0),"당월",
 TRUE,"그외"
)</f>
        <v>3개월</v>
      </c>
    </row>
    <row r="6577" spans="1:12" x14ac:dyDescent="0.3">
      <c r="A6577" s="5">
        <v>45778</v>
      </c>
      <c r="B6577" s="6" t="s">
        <v>40</v>
      </c>
      <c r="C6577" s="6" t="s">
        <v>122</v>
      </c>
      <c r="D6577" s="5">
        <v>45689</v>
      </c>
      <c r="E6577" s="6" t="s">
        <v>15</v>
      </c>
      <c r="F6577" s="7">
        <v>9</v>
      </c>
      <c r="G6577" s="7">
        <v>192306</v>
      </c>
      <c r="H6577" s="7">
        <v>1730754</v>
      </c>
      <c r="I6577" s="7">
        <v>467897</v>
      </c>
      <c r="J6577" s="7">
        <v>0</v>
      </c>
      <c r="K6577">
        <f t="shared" si="102"/>
        <v>89</v>
      </c>
      <c r="L6577" s="8" t="str" cm="1">
        <f t="array" ref="L6577">_xlfn.IFS(
 AND(K6577&gt;=89,K6577&lt;=92),"3개월",
 AND(K6577&gt;=58,K6577&lt;=62),"2개월",
 AND(K6577&gt;=28,K6577&lt;=32),"1개월",
 AND(K6577=0),"당월",
 TRUE,"그외"
)</f>
        <v>3개월</v>
      </c>
    </row>
    <row r="6578" spans="1:12" x14ac:dyDescent="0.3">
      <c r="A6578" s="5">
        <v>45778</v>
      </c>
      <c r="B6578" s="6" t="s">
        <v>40</v>
      </c>
      <c r="C6578" s="6" t="s">
        <v>122</v>
      </c>
      <c r="D6578" s="5">
        <v>45717</v>
      </c>
      <c r="E6578" s="6" t="s">
        <v>14</v>
      </c>
      <c r="F6578" s="7">
        <v>136</v>
      </c>
      <c r="G6578" s="7">
        <v>116350.94852941181</v>
      </c>
      <c r="H6578" s="7">
        <v>15823729</v>
      </c>
      <c r="I6578" s="7">
        <v>8438864</v>
      </c>
      <c r="J6578" s="7">
        <v>0</v>
      </c>
      <c r="K6578">
        <f t="shared" si="102"/>
        <v>61</v>
      </c>
      <c r="L6578" s="8" t="str" cm="1">
        <f t="array" ref="L6578">_xlfn.IFS(
 AND(K6578&gt;=89,K6578&lt;=92),"3개월",
 AND(K6578&gt;=58,K6578&lt;=62),"2개월",
 AND(K6578&gt;=28,K6578&lt;=32),"1개월",
 AND(K6578=0),"당월",
 TRUE,"그외"
)</f>
        <v>2개월</v>
      </c>
    </row>
    <row r="6579" spans="1:12" x14ac:dyDescent="0.3">
      <c r="A6579" s="5">
        <v>45778</v>
      </c>
      <c r="B6579" s="6" t="s">
        <v>40</v>
      </c>
      <c r="C6579" s="6" t="s">
        <v>122</v>
      </c>
      <c r="D6579" s="5">
        <v>45717</v>
      </c>
      <c r="E6579" s="6" t="s">
        <v>15</v>
      </c>
      <c r="F6579" s="7">
        <v>126</v>
      </c>
      <c r="G6579" s="7">
        <v>161187.16666666669</v>
      </c>
      <c r="H6579" s="7">
        <v>20309583</v>
      </c>
      <c r="I6579" s="7">
        <v>4016588</v>
      </c>
      <c r="J6579" s="7">
        <v>0</v>
      </c>
      <c r="K6579">
        <f t="shared" si="102"/>
        <v>61</v>
      </c>
      <c r="L6579" s="8" t="str" cm="1">
        <f t="array" ref="L6579">_xlfn.IFS(
 AND(K6579&gt;=89,K6579&lt;=92),"3개월",
 AND(K6579&gt;=58,K6579&lt;=62),"2개월",
 AND(K6579&gt;=28,K6579&lt;=32),"1개월",
 AND(K6579=0),"당월",
 TRUE,"그외"
)</f>
        <v>2개월</v>
      </c>
    </row>
    <row r="6580" spans="1:12" x14ac:dyDescent="0.3">
      <c r="A6580" s="5">
        <v>45778</v>
      </c>
      <c r="B6580" s="6" t="s">
        <v>40</v>
      </c>
      <c r="C6580" s="6" t="s">
        <v>122</v>
      </c>
      <c r="D6580" s="5">
        <v>45748</v>
      </c>
      <c r="E6580" s="6" t="s">
        <v>14</v>
      </c>
      <c r="F6580" s="7">
        <v>449</v>
      </c>
      <c r="G6580" s="7">
        <v>80857.8285077951</v>
      </c>
      <c r="H6580" s="7">
        <v>36305165</v>
      </c>
      <c r="I6580" s="7">
        <v>19845329</v>
      </c>
      <c r="J6580" s="7">
        <v>0</v>
      </c>
      <c r="K6580">
        <f t="shared" si="102"/>
        <v>30</v>
      </c>
      <c r="L6580" s="8" t="str" cm="1">
        <f t="array" ref="L6580">_xlfn.IFS(
 AND(K6580&gt;=89,K6580&lt;=92),"3개월",
 AND(K6580&gt;=58,K6580&lt;=62),"2개월",
 AND(K6580&gt;=28,K6580&lt;=32),"1개월",
 AND(K6580=0),"당월",
 TRUE,"그외"
)</f>
        <v>1개월</v>
      </c>
    </row>
    <row r="6581" spans="1:12" x14ac:dyDescent="0.3">
      <c r="A6581" s="5">
        <v>45778</v>
      </c>
      <c r="B6581" s="6" t="s">
        <v>40</v>
      </c>
      <c r="C6581" s="6" t="s">
        <v>122</v>
      </c>
      <c r="D6581" s="5">
        <v>45748</v>
      </c>
      <c r="E6581" s="6" t="s">
        <v>15</v>
      </c>
      <c r="F6581" s="7">
        <v>147</v>
      </c>
      <c r="G6581" s="7">
        <v>155495.1632653061</v>
      </c>
      <c r="H6581" s="7">
        <v>22857789</v>
      </c>
      <c r="I6581" s="7">
        <v>3952614</v>
      </c>
      <c r="J6581" s="7">
        <v>0</v>
      </c>
      <c r="K6581">
        <f t="shared" si="102"/>
        <v>30</v>
      </c>
      <c r="L6581" s="8" t="str" cm="1">
        <f t="array" ref="L6581">_xlfn.IFS(
 AND(K6581&gt;=89,K6581&lt;=92),"3개월",
 AND(K6581&gt;=58,K6581&lt;=62),"2개월",
 AND(K6581&gt;=28,K6581&lt;=32),"1개월",
 AND(K6581=0),"당월",
 TRUE,"그외"
)</f>
        <v>1개월</v>
      </c>
    </row>
    <row r="6582" spans="1:12" x14ac:dyDescent="0.3">
      <c r="A6582" s="5">
        <v>45778</v>
      </c>
      <c r="B6582" s="6" t="s">
        <v>40</v>
      </c>
      <c r="C6582" s="6" t="s">
        <v>122</v>
      </c>
      <c r="D6582" s="5">
        <v>45778</v>
      </c>
      <c r="E6582" s="6" t="s">
        <v>14</v>
      </c>
      <c r="F6582" s="7">
        <v>69</v>
      </c>
      <c r="G6582" s="7">
        <v>89662.666666666672</v>
      </c>
      <c r="H6582" s="7">
        <v>6186724</v>
      </c>
      <c r="I6582" s="7">
        <v>3064900</v>
      </c>
      <c r="J6582" s="7">
        <v>0</v>
      </c>
      <c r="K6582">
        <f t="shared" si="102"/>
        <v>0</v>
      </c>
      <c r="L6582" s="8" t="str" cm="1">
        <f t="array" ref="L6582">_xlfn.IFS(
 AND(K6582&gt;=89,K6582&lt;=92),"3개월",
 AND(K6582&gt;=58,K6582&lt;=62),"2개월",
 AND(K6582&gt;=28,K6582&lt;=32),"1개월",
 AND(K6582=0),"당월",
 TRUE,"그외"
)</f>
        <v>당월</v>
      </c>
    </row>
    <row r="6583" spans="1:12" x14ac:dyDescent="0.3">
      <c r="A6583" s="5">
        <v>45778</v>
      </c>
      <c r="B6583" s="6" t="s">
        <v>40</v>
      </c>
      <c r="C6583" s="6" t="s">
        <v>122</v>
      </c>
      <c r="D6583" s="5">
        <v>45778</v>
      </c>
      <c r="E6583" s="6" t="s">
        <v>15</v>
      </c>
      <c r="F6583" s="7">
        <v>7</v>
      </c>
      <c r="G6583" s="7">
        <v>130526.1428571429</v>
      </c>
      <c r="H6583" s="7">
        <v>913683</v>
      </c>
      <c r="I6583" s="7">
        <v>226348</v>
      </c>
      <c r="J6583" s="7">
        <v>0</v>
      </c>
      <c r="K6583">
        <f t="shared" si="102"/>
        <v>0</v>
      </c>
      <c r="L6583" s="8" t="str" cm="1">
        <f t="array" ref="L6583">_xlfn.IFS(
 AND(K6583&gt;=89,K6583&lt;=92),"3개월",
 AND(K6583&gt;=58,K6583&lt;=62),"2개월",
 AND(K6583&gt;=28,K6583&lt;=32),"1개월",
 AND(K6583=0),"당월",
 TRUE,"그외"
)</f>
        <v>당월</v>
      </c>
    </row>
    <row r="6584" spans="1:12" x14ac:dyDescent="0.3">
      <c r="A6584" s="5">
        <v>45778</v>
      </c>
      <c r="B6584" s="6" t="s">
        <v>40</v>
      </c>
      <c r="C6584" s="6" t="s">
        <v>41</v>
      </c>
      <c r="D6584" s="5">
        <v>45658</v>
      </c>
      <c r="E6584" s="6" t="s">
        <v>15</v>
      </c>
      <c r="F6584" s="7">
        <v>1</v>
      </c>
      <c r="G6584" s="7">
        <v>99700</v>
      </c>
      <c r="H6584" s="7">
        <v>99700</v>
      </c>
      <c r="I6584" s="7">
        <v>19700</v>
      </c>
      <c r="J6584" s="7">
        <v>0</v>
      </c>
      <c r="K6584">
        <f t="shared" si="102"/>
        <v>120</v>
      </c>
      <c r="L6584" s="8" t="str" cm="1">
        <f t="array" ref="L6584">_xlfn.IFS(
 AND(K6584&gt;=89,K6584&lt;=92),"3개월",
 AND(K6584&gt;=58,K6584&lt;=62),"2개월",
 AND(K6584&gt;=28,K6584&lt;=32),"1개월",
 AND(K6584=0),"당월",
 TRUE,"그외"
)</f>
        <v>그외</v>
      </c>
    </row>
    <row r="6585" spans="1:12" x14ac:dyDescent="0.3">
      <c r="A6585" s="5">
        <v>45778</v>
      </c>
      <c r="B6585" s="6" t="s">
        <v>40</v>
      </c>
      <c r="C6585" s="6" t="s">
        <v>41</v>
      </c>
      <c r="D6585" s="5">
        <v>45689</v>
      </c>
      <c r="E6585" s="6" t="s">
        <v>15</v>
      </c>
      <c r="F6585" s="7">
        <v>16</v>
      </c>
      <c r="G6585" s="7">
        <v>144650</v>
      </c>
      <c r="H6585" s="7">
        <v>2314400</v>
      </c>
      <c r="I6585" s="7">
        <v>782350</v>
      </c>
      <c r="J6585" s="7">
        <v>0</v>
      </c>
      <c r="K6585">
        <f t="shared" si="102"/>
        <v>89</v>
      </c>
      <c r="L6585" s="8" t="str" cm="1">
        <f t="array" ref="L6585">_xlfn.IFS(
 AND(K6585&gt;=89,K6585&lt;=92),"3개월",
 AND(K6585&gt;=58,K6585&lt;=62),"2개월",
 AND(K6585&gt;=28,K6585&lt;=32),"1개월",
 AND(K6585=0),"당월",
 TRUE,"그외"
)</f>
        <v>3개월</v>
      </c>
    </row>
    <row r="6586" spans="1:12" x14ac:dyDescent="0.3">
      <c r="A6586" s="5">
        <v>45778</v>
      </c>
      <c r="B6586" s="6" t="s">
        <v>40</v>
      </c>
      <c r="C6586" s="6" t="s">
        <v>41</v>
      </c>
      <c r="D6586" s="5">
        <v>45717</v>
      </c>
      <c r="E6586" s="6" t="s">
        <v>14</v>
      </c>
      <c r="F6586" s="7">
        <v>49</v>
      </c>
      <c r="G6586" s="7">
        <v>101070.8979591837</v>
      </c>
      <c r="H6586" s="7">
        <v>4952474</v>
      </c>
      <c r="I6586" s="7">
        <v>2907316</v>
      </c>
      <c r="J6586" s="7">
        <v>0</v>
      </c>
      <c r="K6586">
        <f t="shared" si="102"/>
        <v>61</v>
      </c>
      <c r="L6586" s="8" t="str" cm="1">
        <f t="array" ref="L6586">_xlfn.IFS(
 AND(K6586&gt;=89,K6586&lt;=92),"3개월",
 AND(K6586&gt;=58,K6586&lt;=62),"2개월",
 AND(K6586&gt;=28,K6586&lt;=32),"1개월",
 AND(K6586=0),"당월",
 TRUE,"그외"
)</f>
        <v>2개월</v>
      </c>
    </row>
    <row r="6587" spans="1:12" x14ac:dyDescent="0.3">
      <c r="A6587" s="5">
        <v>45778</v>
      </c>
      <c r="B6587" s="6" t="s">
        <v>40</v>
      </c>
      <c r="C6587" s="6" t="s">
        <v>41</v>
      </c>
      <c r="D6587" s="5">
        <v>45717</v>
      </c>
      <c r="E6587" s="6" t="s">
        <v>15</v>
      </c>
      <c r="F6587" s="7">
        <v>21</v>
      </c>
      <c r="G6587" s="7">
        <v>142074.8095238095</v>
      </c>
      <c r="H6587" s="7">
        <v>2983571</v>
      </c>
      <c r="I6587" s="7">
        <v>972367</v>
      </c>
      <c r="J6587" s="7">
        <v>0</v>
      </c>
      <c r="K6587">
        <f t="shared" si="102"/>
        <v>61</v>
      </c>
      <c r="L6587" s="8" t="str" cm="1">
        <f t="array" ref="L6587">_xlfn.IFS(
 AND(K6587&gt;=89,K6587&lt;=92),"3개월",
 AND(K6587&gt;=58,K6587&lt;=62),"2개월",
 AND(K6587&gt;=28,K6587&lt;=32),"1개월",
 AND(K6587=0),"당월",
 TRUE,"그외"
)</f>
        <v>2개월</v>
      </c>
    </row>
    <row r="6588" spans="1:12" x14ac:dyDescent="0.3">
      <c r="A6588" s="5">
        <v>45778</v>
      </c>
      <c r="B6588" s="6" t="s">
        <v>40</v>
      </c>
      <c r="C6588" s="6" t="s">
        <v>41</v>
      </c>
      <c r="D6588" s="5">
        <v>45748</v>
      </c>
      <c r="E6588" s="6" t="s">
        <v>14</v>
      </c>
      <c r="F6588" s="7">
        <v>201</v>
      </c>
      <c r="G6588" s="7">
        <v>81581.412935323388</v>
      </c>
      <c r="H6588" s="7">
        <v>16397864</v>
      </c>
      <c r="I6588" s="7">
        <v>9281888</v>
      </c>
      <c r="J6588" s="7">
        <v>0</v>
      </c>
      <c r="K6588">
        <f t="shared" si="102"/>
        <v>30</v>
      </c>
      <c r="L6588" s="8" t="str" cm="1">
        <f t="array" ref="L6588">_xlfn.IFS(
 AND(K6588&gt;=89,K6588&lt;=92),"3개월",
 AND(K6588&gt;=58,K6588&lt;=62),"2개월",
 AND(K6588&gt;=28,K6588&lt;=32),"1개월",
 AND(K6588=0),"당월",
 TRUE,"그외"
)</f>
        <v>1개월</v>
      </c>
    </row>
    <row r="6589" spans="1:12" x14ac:dyDescent="0.3">
      <c r="A6589" s="5">
        <v>45778</v>
      </c>
      <c r="B6589" s="6" t="s">
        <v>40</v>
      </c>
      <c r="C6589" s="6" t="s">
        <v>41</v>
      </c>
      <c r="D6589" s="5">
        <v>45748</v>
      </c>
      <c r="E6589" s="6" t="s">
        <v>15</v>
      </c>
      <c r="F6589" s="7">
        <v>50</v>
      </c>
      <c r="G6589" s="7">
        <v>95198.28</v>
      </c>
      <c r="H6589" s="7">
        <v>4759914</v>
      </c>
      <c r="I6589" s="7">
        <v>1175464</v>
      </c>
      <c r="J6589" s="7">
        <v>0</v>
      </c>
      <c r="K6589">
        <f t="shared" si="102"/>
        <v>30</v>
      </c>
      <c r="L6589" s="8" t="str" cm="1">
        <f t="array" ref="L6589">_xlfn.IFS(
 AND(K6589&gt;=89,K6589&lt;=92),"3개월",
 AND(K6589&gt;=58,K6589&lt;=62),"2개월",
 AND(K6589&gt;=28,K6589&lt;=32),"1개월",
 AND(K6589=0),"당월",
 TRUE,"그외"
)</f>
        <v>1개월</v>
      </c>
    </row>
    <row r="6590" spans="1:12" x14ac:dyDescent="0.3">
      <c r="A6590" s="5">
        <v>45778</v>
      </c>
      <c r="B6590" s="6" t="s">
        <v>40</v>
      </c>
      <c r="C6590" s="6" t="s">
        <v>41</v>
      </c>
      <c r="D6590" s="5">
        <v>45778</v>
      </c>
      <c r="E6590" s="6" t="s">
        <v>14</v>
      </c>
      <c r="F6590" s="7">
        <v>72</v>
      </c>
      <c r="G6590" s="7">
        <v>83996.25</v>
      </c>
      <c r="H6590" s="7">
        <v>6047730</v>
      </c>
      <c r="I6590" s="7">
        <v>3782642</v>
      </c>
      <c r="J6590" s="7">
        <v>0</v>
      </c>
      <c r="K6590">
        <f t="shared" si="102"/>
        <v>0</v>
      </c>
      <c r="L6590" s="8" t="str" cm="1">
        <f t="array" ref="L6590">_xlfn.IFS(
 AND(K6590&gt;=89,K6590&lt;=92),"3개월",
 AND(K6590&gt;=58,K6590&lt;=62),"2개월",
 AND(K6590&gt;=28,K6590&lt;=32),"1개월",
 AND(K6590=0),"당월",
 TRUE,"그외"
)</f>
        <v>당월</v>
      </c>
    </row>
    <row r="6591" spans="1:12" x14ac:dyDescent="0.3">
      <c r="A6591" s="5">
        <v>45778</v>
      </c>
      <c r="B6591" s="6" t="s">
        <v>40</v>
      </c>
      <c r="C6591" s="6" t="s">
        <v>41</v>
      </c>
      <c r="D6591" s="5">
        <v>45778</v>
      </c>
      <c r="E6591" s="6" t="s">
        <v>15</v>
      </c>
      <c r="F6591" s="7">
        <v>17</v>
      </c>
      <c r="G6591" s="7">
        <v>111070.5882352941</v>
      </c>
      <c r="H6591" s="7">
        <v>1888200</v>
      </c>
      <c r="I6591" s="7">
        <v>248200</v>
      </c>
      <c r="J6591" s="7">
        <v>0</v>
      </c>
      <c r="K6591">
        <f t="shared" si="102"/>
        <v>0</v>
      </c>
      <c r="L6591" s="8" t="str" cm="1">
        <f t="array" ref="L6591">_xlfn.IFS(
 AND(K6591&gt;=89,K6591&lt;=92),"3개월",
 AND(K6591&gt;=58,K6591&lt;=62),"2개월",
 AND(K6591&gt;=28,K6591&lt;=32),"1개월",
 AND(K6591=0),"당월",
 TRUE,"그외"
)</f>
        <v>당월</v>
      </c>
    </row>
    <row r="6592" spans="1:12" x14ac:dyDescent="0.3">
      <c r="A6592" s="5">
        <v>45778</v>
      </c>
      <c r="B6592" s="6" t="s">
        <v>40</v>
      </c>
      <c r="C6592" s="6" t="s">
        <v>42</v>
      </c>
      <c r="D6592" s="5">
        <v>45717</v>
      </c>
      <c r="E6592" s="6" t="s">
        <v>14</v>
      </c>
      <c r="F6592" s="7">
        <v>26</v>
      </c>
      <c r="G6592" s="7">
        <v>197523.07692307691</v>
      </c>
      <c r="H6592" s="7">
        <v>5135600</v>
      </c>
      <c r="I6592" s="7">
        <v>600600</v>
      </c>
      <c r="J6592" s="7">
        <v>0</v>
      </c>
      <c r="K6592">
        <f t="shared" si="102"/>
        <v>61</v>
      </c>
      <c r="L6592" s="8" t="str" cm="1">
        <f t="array" ref="L6592">_xlfn.IFS(
 AND(K6592&gt;=89,K6592&lt;=92),"3개월",
 AND(K6592&gt;=58,K6592&lt;=62),"2개월",
 AND(K6592&gt;=28,K6592&lt;=32),"1개월",
 AND(K6592=0),"당월",
 TRUE,"그외"
)</f>
        <v>2개월</v>
      </c>
    </row>
    <row r="6593" spans="1:12" x14ac:dyDescent="0.3">
      <c r="A6593" s="5">
        <v>45778</v>
      </c>
      <c r="B6593" s="6" t="s">
        <v>40</v>
      </c>
      <c r="C6593" s="6" t="s">
        <v>42</v>
      </c>
      <c r="D6593" s="5">
        <v>45748</v>
      </c>
      <c r="E6593" s="6" t="s">
        <v>14</v>
      </c>
      <c r="F6593" s="7">
        <v>1490</v>
      </c>
      <c r="G6593" s="7">
        <v>215473.82550335571</v>
      </c>
      <c r="H6593" s="7">
        <v>321056000</v>
      </c>
      <c r="I6593" s="7">
        <v>25926000</v>
      </c>
      <c r="J6593" s="7">
        <v>0</v>
      </c>
      <c r="K6593">
        <f t="shared" si="102"/>
        <v>30</v>
      </c>
      <c r="L6593" s="8" t="str" cm="1">
        <f t="array" ref="L6593">_xlfn.IFS(
 AND(K6593&gt;=89,K6593&lt;=92),"3개월",
 AND(K6593&gt;=58,K6593&lt;=62),"2개월",
 AND(K6593&gt;=28,K6593&lt;=32),"1개월",
 AND(K6593=0),"당월",
 TRUE,"그외"
)</f>
        <v>1개월</v>
      </c>
    </row>
    <row r="6594" spans="1:12" x14ac:dyDescent="0.3">
      <c r="A6594" s="5">
        <v>45778</v>
      </c>
      <c r="B6594" s="6" t="s">
        <v>40</v>
      </c>
      <c r="C6594" s="6" t="s">
        <v>42</v>
      </c>
      <c r="D6594" s="5">
        <v>45748</v>
      </c>
      <c r="E6594" s="6" t="s">
        <v>15</v>
      </c>
      <c r="F6594" s="7">
        <v>34</v>
      </c>
      <c r="G6594" s="7">
        <v>0</v>
      </c>
      <c r="H6594" s="7">
        <v>0</v>
      </c>
      <c r="I6594" s="7">
        <v>0</v>
      </c>
      <c r="J6594" s="7">
        <v>0</v>
      </c>
      <c r="K6594">
        <f t="shared" si="102"/>
        <v>30</v>
      </c>
      <c r="L6594" s="8" t="str" cm="1">
        <f t="array" ref="L6594">_xlfn.IFS(
 AND(K6594&gt;=89,K6594&lt;=92),"3개월",
 AND(K6594&gt;=58,K6594&lt;=62),"2개월",
 AND(K6594&gt;=28,K6594&lt;=32),"1개월",
 AND(K6594=0),"당월",
 TRUE,"그외"
)</f>
        <v>1개월</v>
      </c>
    </row>
    <row r="6595" spans="1:12" x14ac:dyDescent="0.3">
      <c r="A6595" s="5">
        <v>45778</v>
      </c>
      <c r="B6595" s="6" t="s">
        <v>40</v>
      </c>
      <c r="C6595" s="6" t="s">
        <v>42</v>
      </c>
      <c r="D6595" s="5">
        <v>45778</v>
      </c>
      <c r="E6595" s="6" t="s">
        <v>14</v>
      </c>
      <c r="F6595" s="7">
        <v>1194</v>
      </c>
      <c r="G6595" s="7">
        <v>178275.04187604689</v>
      </c>
      <c r="H6595" s="7">
        <v>212860400</v>
      </c>
      <c r="I6595" s="7">
        <v>17432400</v>
      </c>
      <c r="J6595" s="7">
        <v>0</v>
      </c>
      <c r="K6595">
        <f t="shared" si="102"/>
        <v>0</v>
      </c>
      <c r="L6595" s="8" t="str" cm="1">
        <f t="array" ref="L6595">_xlfn.IFS(
 AND(K6595&gt;=89,K6595&lt;=92),"3개월",
 AND(K6595&gt;=58,K6595&lt;=62),"2개월",
 AND(K6595&gt;=28,K6595&lt;=32),"1개월",
 AND(K6595=0),"당월",
 TRUE,"그외"
)</f>
        <v>당월</v>
      </c>
    </row>
    <row r="6596" spans="1:12" x14ac:dyDescent="0.3">
      <c r="A6596" s="5">
        <v>45778</v>
      </c>
      <c r="B6596" s="6" t="s">
        <v>40</v>
      </c>
      <c r="C6596" s="6" t="s">
        <v>42</v>
      </c>
      <c r="D6596" s="5">
        <v>45778</v>
      </c>
      <c r="E6596" s="6" t="s">
        <v>15</v>
      </c>
      <c r="F6596" s="7">
        <v>2</v>
      </c>
      <c r="G6596" s="7">
        <v>0</v>
      </c>
      <c r="H6596" s="7">
        <v>0</v>
      </c>
      <c r="I6596" s="7">
        <v>0</v>
      </c>
      <c r="J6596" s="7">
        <v>0</v>
      </c>
      <c r="K6596">
        <f t="shared" si="102"/>
        <v>0</v>
      </c>
      <c r="L6596" s="8" t="str" cm="1">
        <f t="array" ref="L6596">_xlfn.IFS(
 AND(K6596&gt;=89,K6596&lt;=92),"3개월",
 AND(K6596&gt;=58,K6596&lt;=62),"2개월",
 AND(K6596&gt;=28,K6596&lt;=32),"1개월",
 AND(K6596=0),"당월",
 TRUE,"그외"
)</f>
        <v>당월</v>
      </c>
    </row>
    <row r="6597" spans="1:12" x14ac:dyDescent="0.3">
      <c r="A6597" s="5">
        <v>45778</v>
      </c>
      <c r="B6597" s="6" t="s">
        <v>40</v>
      </c>
      <c r="C6597" s="6" t="s">
        <v>92</v>
      </c>
      <c r="D6597" s="5">
        <v>45689</v>
      </c>
      <c r="E6597" s="6" t="s">
        <v>14</v>
      </c>
      <c r="F6597" s="7">
        <v>133</v>
      </c>
      <c r="G6597" s="7">
        <v>154106.01503759401</v>
      </c>
      <c r="H6597" s="7">
        <v>20496100</v>
      </c>
      <c r="I6597" s="7">
        <v>1556100</v>
      </c>
      <c r="J6597" s="7">
        <v>0</v>
      </c>
      <c r="K6597">
        <f t="shared" si="102"/>
        <v>89</v>
      </c>
      <c r="L6597" s="8" t="str" cm="1">
        <f t="array" ref="L6597">_xlfn.IFS(
 AND(K6597&gt;=89,K6597&lt;=92),"3개월",
 AND(K6597&gt;=58,K6597&lt;=62),"2개월",
 AND(K6597&gt;=28,K6597&lt;=32),"1개월",
 AND(K6597=0),"당월",
 TRUE,"그외"
)</f>
        <v>3개월</v>
      </c>
    </row>
    <row r="6598" spans="1:12" x14ac:dyDescent="0.3">
      <c r="A6598" s="5">
        <v>45778</v>
      </c>
      <c r="B6598" s="6" t="s">
        <v>40</v>
      </c>
      <c r="C6598" s="6" t="s">
        <v>92</v>
      </c>
      <c r="D6598" s="5">
        <v>45689</v>
      </c>
      <c r="E6598" s="6" t="s">
        <v>15</v>
      </c>
      <c r="F6598" s="7">
        <v>12</v>
      </c>
      <c r="G6598" s="7">
        <v>170973.16666666669</v>
      </c>
      <c r="H6598" s="7">
        <v>2051678</v>
      </c>
      <c r="I6598" s="7">
        <v>174275</v>
      </c>
      <c r="J6598" s="7">
        <v>0</v>
      </c>
      <c r="K6598">
        <f t="shared" si="102"/>
        <v>89</v>
      </c>
      <c r="L6598" s="8" t="str" cm="1">
        <f t="array" ref="L6598">_xlfn.IFS(
 AND(K6598&gt;=89,K6598&lt;=92),"3개월",
 AND(K6598&gt;=58,K6598&lt;=62),"2개월",
 AND(K6598&gt;=28,K6598&lt;=32),"1개월",
 AND(K6598=0),"당월",
 TRUE,"그외"
)</f>
        <v>3개월</v>
      </c>
    </row>
    <row r="6599" spans="1:12" x14ac:dyDescent="0.3">
      <c r="A6599" s="5">
        <v>45778</v>
      </c>
      <c r="B6599" s="6" t="s">
        <v>40</v>
      </c>
      <c r="C6599" s="6" t="s">
        <v>92</v>
      </c>
      <c r="D6599" s="5">
        <v>45717</v>
      </c>
      <c r="E6599" s="6" t="s">
        <v>14</v>
      </c>
      <c r="F6599" s="7">
        <v>10</v>
      </c>
      <c r="G6599" s="7">
        <v>78907.100000000006</v>
      </c>
      <c r="H6599" s="7">
        <v>789071</v>
      </c>
      <c r="I6599" s="7">
        <v>428233</v>
      </c>
      <c r="J6599" s="7">
        <v>0</v>
      </c>
      <c r="K6599">
        <f t="shared" si="102"/>
        <v>61</v>
      </c>
      <c r="L6599" s="8" t="str" cm="1">
        <f t="array" ref="L6599">_xlfn.IFS(
 AND(K6599&gt;=89,K6599&lt;=92),"3개월",
 AND(K6599&gt;=58,K6599&lt;=62),"2개월",
 AND(K6599&gt;=28,K6599&lt;=32),"1개월",
 AND(K6599=0),"당월",
 TRUE,"그외"
)</f>
        <v>2개월</v>
      </c>
    </row>
    <row r="6600" spans="1:12" x14ac:dyDescent="0.3">
      <c r="A6600" s="5">
        <v>45778</v>
      </c>
      <c r="B6600" s="6" t="s">
        <v>40</v>
      </c>
      <c r="C6600" s="6" t="s">
        <v>92</v>
      </c>
      <c r="D6600" s="5">
        <v>45717</v>
      </c>
      <c r="E6600" s="6" t="s">
        <v>15</v>
      </c>
      <c r="F6600" s="7">
        <v>63</v>
      </c>
      <c r="G6600" s="7">
        <v>150765.20634920639</v>
      </c>
      <c r="H6600" s="7">
        <v>9498208</v>
      </c>
      <c r="I6600" s="7">
        <v>989959</v>
      </c>
      <c r="J6600" s="7">
        <v>0</v>
      </c>
      <c r="K6600">
        <f t="shared" si="102"/>
        <v>61</v>
      </c>
      <c r="L6600" s="8" t="str" cm="1">
        <f t="array" ref="L6600">_xlfn.IFS(
 AND(K6600&gt;=89,K6600&lt;=92),"3개월",
 AND(K6600&gt;=58,K6600&lt;=62),"2개월",
 AND(K6600&gt;=28,K6600&lt;=32),"1개월",
 AND(K6600=0),"당월",
 TRUE,"그외"
)</f>
        <v>2개월</v>
      </c>
    </row>
    <row r="6601" spans="1:12" x14ac:dyDescent="0.3">
      <c r="A6601" s="5">
        <v>45778</v>
      </c>
      <c r="B6601" s="6" t="s">
        <v>40</v>
      </c>
      <c r="C6601" s="6" t="s">
        <v>92</v>
      </c>
      <c r="D6601" s="5">
        <v>45748</v>
      </c>
      <c r="E6601" s="6" t="s">
        <v>14</v>
      </c>
      <c r="F6601" s="7">
        <v>679</v>
      </c>
      <c r="G6601" s="7">
        <v>145477.41089838001</v>
      </c>
      <c r="H6601" s="7">
        <v>98779162</v>
      </c>
      <c r="I6601" s="7">
        <v>13043760</v>
      </c>
      <c r="J6601" s="7">
        <v>0</v>
      </c>
      <c r="K6601">
        <f t="shared" si="102"/>
        <v>30</v>
      </c>
      <c r="L6601" s="8" t="str" cm="1">
        <f t="array" ref="L6601">_xlfn.IFS(
 AND(K6601&gt;=89,K6601&lt;=92),"3개월",
 AND(K6601&gt;=58,K6601&lt;=62),"2개월",
 AND(K6601&gt;=28,K6601&lt;=32),"1개월",
 AND(K6601=0),"당월",
 TRUE,"그외"
)</f>
        <v>1개월</v>
      </c>
    </row>
    <row r="6602" spans="1:12" x14ac:dyDescent="0.3">
      <c r="A6602" s="5">
        <v>45778</v>
      </c>
      <c r="B6602" s="6" t="s">
        <v>40</v>
      </c>
      <c r="C6602" s="6" t="s">
        <v>92</v>
      </c>
      <c r="D6602" s="5">
        <v>45748</v>
      </c>
      <c r="E6602" s="6" t="s">
        <v>15</v>
      </c>
      <c r="F6602" s="7">
        <v>165</v>
      </c>
      <c r="G6602" s="7">
        <v>155944.94545454549</v>
      </c>
      <c r="H6602" s="7">
        <v>25730916</v>
      </c>
      <c r="I6602" s="7">
        <v>2322135</v>
      </c>
      <c r="J6602" s="7">
        <v>0</v>
      </c>
      <c r="K6602">
        <f t="shared" ref="K6602:K6665" si="103">A6602-D6602</f>
        <v>30</v>
      </c>
      <c r="L6602" s="8" t="str" cm="1">
        <f t="array" ref="L6602">_xlfn.IFS(
 AND(K6602&gt;=89,K6602&lt;=92),"3개월",
 AND(K6602&gt;=58,K6602&lt;=62),"2개월",
 AND(K6602&gt;=28,K6602&lt;=32),"1개월",
 AND(K6602=0),"당월",
 TRUE,"그외"
)</f>
        <v>1개월</v>
      </c>
    </row>
    <row r="6603" spans="1:12" x14ac:dyDescent="0.3">
      <c r="A6603" s="5">
        <v>45778</v>
      </c>
      <c r="B6603" s="6" t="s">
        <v>40</v>
      </c>
      <c r="C6603" s="6" t="s">
        <v>92</v>
      </c>
      <c r="D6603" s="5">
        <v>45778</v>
      </c>
      <c r="E6603" s="6" t="s">
        <v>14</v>
      </c>
      <c r="F6603" s="7">
        <v>259</v>
      </c>
      <c r="G6603" s="7">
        <v>101661.4749034749</v>
      </c>
      <c r="H6603" s="7">
        <v>26330322</v>
      </c>
      <c r="I6603" s="7">
        <v>5706642</v>
      </c>
      <c r="J6603" s="7">
        <v>0</v>
      </c>
      <c r="K6603">
        <f t="shared" si="103"/>
        <v>0</v>
      </c>
      <c r="L6603" s="8" t="str" cm="1">
        <f t="array" ref="L6603">_xlfn.IFS(
 AND(K6603&gt;=89,K6603&lt;=92),"3개월",
 AND(K6603&gt;=58,K6603&lt;=62),"2개월",
 AND(K6603&gt;=28,K6603&lt;=32),"1개월",
 AND(K6603=0),"당월",
 TRUE,"그외"
)</f>
        <v>당월</v>
      </c>
    </row>
    <row r="6604" spans="1:12" x14ac:dyDescent="0.3">
      <c r="A6604" s="5">
        <v>45778</v>
      </c>
      <c r="B6604" s="6" t="s">
        <v>40</v>
      </c>
      <c r="C6604" s="6" t="s">
        <v>92</v>
      </c>
      <c r="D6604" s="5">
        <v>45778</v>
      </c>
      <c r="E6604" s="6" t="s">
        <v>15</v>
      </c>
      <c r="F6604" s="7">
        <v>46</v>
      </c>
      <c r="G6604" s="7">
        <v>158478.80434782611</v>
      </c>
      <c r="H6604" s="7">
        <v>7290025</v>
      </c>
      <c r="I6604" s="7">
        <v>613358</v>
      </c>
      <c r="J6604" s="7">
        <v>0</v>
      </c>
      <c r="K6604">
        <f t="shared" si="103"/>
        <v>0</v>
      </c>
      <c r="L6604" s="8" t="str" cm="1">
        <f t="array" ref="L6604">_xlfn.IFS(
 AND(K6604&gt;=89,K6604&lt;=92),"3개월",
 AND(K6604&gt;=58,K6604&lt;=62),"2개월",
 AND(K6604&gt;=28,K6604&lt;=32),"1개월",
 AND(K6604=0),"당월",
 TRUE,"그외"
)</f>
        <v>당월</v>
      </c>
    </row>
    <row r="6605" spans="1:12" x14ac:dyDescent="0.3">
      <c r="A6605" s="5">
        <v>45778</v>
      </c>
      <c r="B6605" s="6" t="s">
        <v>40</v>
      </c>
      <c r="C6605" s="6" t="s">
        <v>93</v>
      </c>
      <c r="D6605" s="5">
        <v>45658</v>
      </c>
      <c r="E6605" s="6" t="s">
        <v>15</v>
      </c>
      <c r="F6605" s="7">
        <v>9</v>
      </c>
      <c r="G6605" s="7">
        <v>217966.66666666669</v>
      </c>
      <c r="H6605" s="7">
        <v>1961700</v>
      </c>
      <c r="I6605" s="7">
        <v>101700</v>
      </c>
      <c r="J6605" s="7">
        <v>0</v>
      </c>
      <c r="K6605">
        <f t="shared" si="103"/>
        <v>120</v>
      </c>
      <c r="L6605" s="8" t="str" cm="1">
        <f t="array" ref="L6605">_xlfn.IFS(
 AND(K6605&gt;=89,K6605&lt;=92),"3개월",
 AND(K6605&gt;=58,K6605&lt;=62),"2개월",
 AND(K6605&gt;=28,K6605&lt;=32),"1개월",
 AND(K6605=0),"당월",
 TRUE,"그외"
)</f>
        <v>그외</v>
      </c>
    </row>
    <row r="6606" spans="1:12" x14ac:dyDescent="0.3">
      <c r="A6606" s="5">
        <v>45778</v>
      </c>
      <c r="B6606" s="6" t="s">
        <v>40</v>
      </c>
      <c r="C6606" s="6" t="s">
        <v>93</v>
      </c>
      <c r="D6606" s="5">
        <v>45689</v>
      </c>
      <c r="E6606" s="6" t="s">
        <v>14</v>
      </c>
      <c r="F6606" s="7">
        <v>95</v>
      </c>
      <c r="G6606" s="7">
        <v>102594.7368421053</v>
      </c>
      <c r="H6606" s="7">
        <v>9746500</v>
      </c>
      <c r="I6606" s="7">
        <v>1111500</v>
      </c>
      <c r="J6606" s="7">
        <v>0</v>
      </c>
      <c r="K6606">
        <f t="shared" si="103"/>
        <v>89</v>
      </c>
      <c r="L6606" s="8" t="str" cm="1">
        <f t="array" ref="L6606">_xlfn.IFS(
 AND(K6606&gt;=89,K6606&lt;=92),"3개월",
 AND(K6606&gt;=58,K6606&lt;=62),"2개월",
 AND(K6606&gt;=28,K6606&lt;=32),"1개월",
 AND(K6606=0),"당월",
 TRUE,"그외"
)</f>
        <v>3개월</v>
      </c>
    </row>
    <row r="6607" spans="1:12" x14ac:dyDescent="0.3">
      <c r="A6607" s="5">
        <v>45778</v>
      </c>
      <c r="B6607" s="6" t="s">
        <v>40</v>
      </c>
      <c r="C6607" s="6" t="s">
        <v>93</v>
      </c>
      <c r="D6607" s="5">
        <v>45689</v>
      </c>
      <c r="E6607" s="6" t="s">
        <v>15</v>
      </c>
      <c r="F6607" s="7">
        <v>26</v>
      </c>
      <c r="G6607" s="7">
        <v>171315.3846153846</v>
      </c>
      <c r="H6607" s="7">
        <v>4454200</v>
      </c>
      <c r="I6607" s="7">
        <v>304200</v>
      </c>
      <c r="J6607" s="7">
        <v>0</v>
      </c>
      <c r="K6607">
        <f t="shared" si="103"/>
        <v>89</v>
      </c>
      <c r="L6607" s="8" t="str" cm="1">
        <f t="array" ref="L6607">_xlfn.IFS(
 AND(K6607&gt;=89,K6607&lt;=92),"3개월",
 AND(K6607&gt;=58,K6607&lt;=62),"2개월",
 AND(K6607&gt;=28,K6607&lt;=32),"1개월",
 AND(K6607=0),"당월",
 TRUE,"그외"
)</f>
        <v>3개월</v>
      </c>
    </row>
    <row r="6608" spans="1:12" x14ac:dyDescent="0.3">
      <c r="A6608" s="5">
        <v>45778</v>
      </c>
      <c r="B6608" s="6" t="s">
        <v>40</v>
      </c>
      <c r="C6608" s="6" t="s">
        <v>93</v>
      </c>
      <c r="D6608" s="5">
        <v>45717</v>
      </c>
      <c r="E6608" s="6" t="s">
        <v>14</v>
      </c>
      <c r="F6608" s="7">
        <v>9</v>
      </c>
      <c r="G6608" s="7">
        <v>133000</v>
      </c>
      <c r="H6608" s="7">
        <v>1197000</v>
      </c>
      <c r="I6608" s="7">
        <v>117000</v>
      </c>
      <c r="J6608" s="7">
        <v>0</v>
      </c>
      <c r="K6608">
        <f t="shared" si="103"/>
        <v>61</v>
      </c>
      <c r="L6608" s="8" t="str" cm="1">
        <f t="array" ref="L6608">_xlfn.IFS(
 AND(K6608&gt;=89,K6608&lt;=92),"3개월",
 AND(K6608&gt;=58,K6608&lt;=62),"2개월",
 AND(K6608&gt;=28,K6608&lt;=32),"1개월",
 AND(K6608=0),"당월",
 TRUE,"그외"
)</f>
        <v>2개월</v>
      </c>
    </row>
    <row r="6609" spans="1:12" x14ac:dyDescent="0.3">
      <c r="A6609" s="5">
        <v>45778</v>
      </c>
      <c r="B6609" s="6" t="s">
        <v>40</v>
      </c>
      <c r="C6609" s="6" t="s">
        <v>93</v>
      </c>
      <c r="D6609" s="5">
        <v>45717</v>
      </c>
      <c r="E6609" s="6" t="s">
        <v>15</v>
      </c>
      <c r="F6609" s="7">
        <v>28</v>
      </c>
      <c r="G6609" s="7">
        <v>157611.25</v>
      </c>
      <c r="H6609" s="7">
        <v>4413115</v>
      </c>
      <c r="I6609" s="7">
        <v>661418</v>
      </c>
      <c r="J6609" s="7">
        <v>0</v>
      </c>
      <c r="K6609">
        <f t="shared" si="103"/>
        <v>61</v>
      </c>
      <c r="L6609" s="8" t="str" cm="1">
        <f t="array" ref="L6609">_xlfn.IFS(
 AND(K6609&gt;=89,K6609&lt;=92),"3개월",
 AND(K6609&gt;=58,K6609&lt;=62),"2개월",
 AND(K6609&gt;=28,K6609&lt;=32),"1개월",
 AND(K6609=0),"당월",
 TRUE,"그외"
)</f>
        <v>2개월</v>
      </c>
    </row>
    <row r="6610" spans="1:12" x14ac:dyDescent="0.3">
      <c r="A6610" s="5">
        <v>45778</v>
      </c>
      <c r="B6610" s="6" t="s">
        <v>40</v>
      </c>
      <c r="C6610" s="6" t="s">
        <v>93</v>
      </c>
      <c r="D6610" s="5">
        <v>45748</v>
      </c>
      <c r="E6610" s="6" t="s">
        <v>14</v>
      </c>
      <c r="F6610" s="7">
        <v>1186</v>
      </c>
      <c r="G6610" s="7">
        <v>81837.806913996625</v>
      </c>
      <c r="H6610" s="7">
        <v>97059639</v>
      </c>
      <c r="I6610" s="7">
        <v>12641677</v>
      </c>
      <c r="J6610" s="7">
        <v>0</v>
      </c>
      <c r="K6610">
        <f t="shared" si="103"/>
        <v>30</v>
      </c>
      <c r="L6610" s="8" t="str" cm="1">
        <f t="array" ref="L6610">_xlfn.IFS(
 AND(K6610&gt;=89,K6610&lt;=92),"3개월",
 AND(K6610&gt;=58,K6610&lt;=62),"2개월",
 AND(K6610&gt;=28,K6610&lt;=32),"1개월",
 AND(K6610=0),"당월",
 TRUE,"그외"
)</f>
        <v>1개월</v>
      </c>
    </row>
    <row r="6611" spans="1:12" x14ac:dyDescent="0.3">
      <c r="A6611" s="5">
        <v>45778</v>
      </c>
      <c r="B6611" s="6" t="s">
        <v>40</v>
      </c>
      <c r="C6611" s="6" t="s">
        <v>93</v>
      </c>
      <c r="D6611" s="5">
        <v>45748</v>
      </c>
      <c r="E6611" s="6" t="s">
        <v>15</v>
      </c>
      <c r="F6611" s="7">
        <v>61</v>
      </c>
      <c r="G6611" s="7">
        <v>131054.9672131148</v>
      </c>
      <c r="H6611" s="7">
        <v>7994353</v>
      </c>
      <c r="I6611" s="7">
        <v>888919</v>
      </c>
      <c r="J6611" s="7">
        <v>0</v>
      </c>
      <c r="K6611">
        <f t="shared" si="103"/>
        <v>30</v>
      </c>
      <c r="L6611" s="8" t="str" cm="1">
        <f t="array" ref="L6611">_xlfn.IFS(
 AND(K6611&gt;=89,K6611&lt;=92),"3개월",
 AND(K6611&gt;=58,K6611&lt;=62),"2개월",
 AND(K6611&gt;=28,K6611&lt;=32),"1개월",
 AND(K6611=0),"당월",
 TRUE,"그외"
)</f>
        <v>1개월</v>
      </c>
    </row>
    <row r="6612" spans="1:12" x14ac:dyDescent="0.3">
      <c r="A6612" s="5">
        <v>45778</v>
      </c>
      <c r="B6612" s="6" t="s">
        <v>40</v>
      </c>
      <c r="C6612" s="6" t="s">
        <v>93</v>
      </c>
      <c r="D6612" s="5">
        <v>45778</v>
      </c>
      <c r="E6612" s="6" t="s">
        <v>14</v>
      </c>
      <c r="F6612" s="7">
        <v>818</v>
      </c>
      <c r="G6612" s="7">
        <v>84856.11980440098</v>
      </c>
      <c r="H6612" s="7">
        <v>69412306</v>
      </c>
      <c r="I6612" s="7">
        <v>6595828</v>
      </c>
      <c r="J6612" s="7">
        <v>0</v>
      </c>
      <c r="K6612">
        <f t="shared" si="103"/>
        <v>0</v>
      </c>
      <c r="L6612" s="8" t="str" cm="1">
        <f t="array" ref="L6612">_xlfn.IFS(
 AND(K6612&gt;=89,K6612&lt;=92),"3개월",
 AND(K6612&gt;=58,K6612&lt;=62),"2개월",
 AND(K6612&gt;=28,K6612&lt;=32),"1개월",
 AND(K6612=0),"당월",
 TRUE,"그외"
)</f>
        <v>당월</v>
      </c>
    </row>
    <row r="6613" spans="1:12" x14ac:dyDescent="0.3">
      <c r="A6613" s="5">
        <v>45778</v>
      </c>
      <c r="B6613" s="6" t="s">
        <v>40</v>
      </c>
      <c r="C6613" s="6" t="s">
        <v>93</v>
      </c>
      <c r="D6613" s="5">
        <v>45778</v>
      </c>
      <c r="E6613" s="6" t="s">
        <v>15</v>
      </c>
      <c r="F6613" s="7">
        <v>19</v>
      </c>
      <c r="G6613" s="7">
        <v>155701.26315789469</v>
      </c>
      <c r="H6613" s="7">
        <v>2958324</v>
      </c>
      <c r="I6613" s="7">
        <v>210874</v>
      </c>
      <c r="J6613" s="7">
        <v>0</v>
      </c>
      <c r="K6613">
        <f t="shared" si="103"/>
        <v>0</v>
      </c>
      <c r="L6613" s="8" t="str" cm="1">
        <f t="array" ref="L6613">_xlfn.IFS(
 AND(K6613&gt;=89,K6613&lt;=92),"3개월",
 AND(K6613&gt;=58,K6613&lt;=62),"2개월",
 AND(K6613&gt;=28,K6613&lt;=32),"1개월",
 AND(K6613=0),"당월",
 TRUE,"그외"
)</f>
        <v>당월</v>
      </c>
    </row>
    <row r="6614" spans="1:12" x14ac:dyDescent="0.3">
      <c r="A6614" s="5">
        <v>45778</v>
      </c>
      <c r="B6614" s="6" t="s">
        <v>40</v>
      </c>
      <c r="C6614" s="6" t="s">
        <v>47</v>
      </c>
      <c r="D6614" s="5">
        <v>45689</v>
      </c>
      <c r="E6614" s="6" t="s">
        <v>15</v>
      </c>
      <c r="F6614" s="7">
        <v>758</v>
      </c>
      <c r="G6614" s="7">
        <v>145906.84564643801</v>
      </c>
      <c r="H6614" s="7">
        <v>110597389</v>
      </c>
      <c r="I6614" s="7">
        <v>19953891</v>
      </c>
      <c r="J6614" s="7">
        <v>0</v>
      </c>
      <c r="K6614">
        <f t="shared" si="103"/>
        <v>89</v>
      </c>
      <c r="L6614" s="8" t="str" cm="1">
        <f t="array" ref="L6614">_xlfn.IFS(
 AND(K6614&gt;=89,K6614&lt;=92),"3개월",
 AND(K6614&gt;=58,K6614&lt;=62),"2개월",
 AND(K6614&gt;=28,K6614&lt;=32),"1개월",
 AND(K6614=0),"당월",
 TRUE,"그외"
)</f>
        <v>3개월</v>
      </c>
    </row>
    <row r="6615" spans="1:12" x14ac:dyDescent="0.3">
      <c r="A6615" s="5">
        <v>45778</v>
      </c>
      <c r="B6615" s="6" t="s">
        <v>40</v>
      </c>
      <c r="C6615" s="6" t="s">
        <v>47</v>
      </c>
      <c r="D6615" s="5">
        <v>45717</v>
      </c>
      <c r="E6615" s="6" t="s">
        <v>14</v>
      </c>
      <c r="F6615" s="7">
        <v>9</v>
      </c>
      <c r="G6615" s="7">
        <v>64455.555555555547</v>
      </c>
      <c r="H6615" s="7">
        <v>580100</v>
      </c>
      <c r="I6615" s="7">
        <v>260100</v>
      </c>
      <c r="J6615" s="7">
        <v>0</v>
      </c>
      <c r="K6615">
        <f t="shared" si="103"/>
        <v>61</v>
      </c>
      <c r="L6615" s="8" t="str" cm="1">
        <f t="array" ref="L6615">_xlfn.IFS(
 AND(K6615&gt;=89,K6615&lt;=92),"3개월",
 AND(K6615&gt;=58,K6615&lt;=62),"2개월",
 AND(K6615&gt;=28,K6615&lt;=32),"1개월",
 AND(K6615=0),"당월",
 TRUE,"그외"
)</f>
        <v>2개월</v>
      </c>
    </row>
    <row r="6616" spans="1:12" x14ac:dyDescent="0.3">
      <c r="A6616" s="5">
        <v>45778</v>
      </c>
      <c r="B6616" s="6" t="s">
        <v>40</v>
      </c>
      <c r="C6616" s="6" t="s">
        <v>47</v>
      </c>
      <c r="D6616" s="5">
        <v>45717</v>
      </c>
      <c r="E6616" s="6" t="s">
        <v>15</v>
      </c>
      <c r="F6616" s="7">
        <v>1231</v>
      </c>
      <c r="G6616" s="7">
        <v>142122.28675873269</v>
      </c>
      <c r="H6616" s="7">
        <v>174952535</v>
      </c>
      <c r="I6616" s="7">
        <v>35941915</v>
      </c>
      <c r="J6616" s="7">
        <v>0</v>
      </c>
      <c r="K6616">
        <f t="shared" si="103"/>
        <v>61</v>
      </c>
      <c r="L6616" s="8" t="str" cm="1">
        <f t="array" ref="L6616">_xlfn.IFS(
 AND(K6616&gt;=89,K6616&lt;=92),"3개월",
 AND(K6616&gt;=58,K6616&lt;=62),"2개월",
 AND(K6616&gt;=28,K6616&lt;=32),"1개월",
 AND(K6616=0),"당월",
 TRUE,"그외"
)</f>
        <v>2개월</v>
      </c>
    </row>
    <row r="6617" spans="1:12" x14ac:dyDescent="0.3">
      <c r="A6617" s="5">
        <v>45778</v>
      </c>
      <c r="B6617" s="6" t="s">
        <v>40</v>
      </c>
      <c r="C6617" s="6" t="s">
        <v>47</v>
      </c>
      <c r="D6617" s="5">
        <v>45748</v>
      </c>
      <c r="E6617" s="6" t="s">
        <v>14</v>
      </c>
      <c r="F6617" s="7">
        <v>1784</v>
      </c>
      <c r="G6617" s="7">
        <v>122301.5588565022</v>
      </c>
      <c r="H6617" s="7">
        <v>218185981</v>
      </c>
      <c r="I6617" s="7">
        <v>43928312</v>
      </c>
      <c r="J6617" s="7">
        <v>0</v>
      </c>
      <c r="K6617">
        <f t="shared" si="103"/>
        <v>30</v>
      </c>
      <c r="L6617" s="8" t="str" cm="1">
        <f t="array" ref="L6617">_xlfn.IFS(
 AND(K6617&gt;=89,K6617&lt;=92),"3개월",
 AND(K6617&gt;=58,K6617&lt;=62),"2개월",
 AND(K6617&gt;=28,K6617&lt;=32),"1개월",
 AND(K6617=0),"당월",
 TRUE,"그외"
)</f>
        <v>1개월</v>
      </c>
    </row>
    <row r="6618" spans="1:12" x14ac:dyDescent="0.3">
      <c r="A6618" s="5">
        <v>45778</v>
      </c>
      <c r="B6618" s="6" t="s">
        <v>40</v>
      </c>
      <c r="C6618" s="6" t="s">
        <v>47</v>
      </c>
      <c r="D6618" s="5">
        <v>45748</v>
      </c>
      <c r="E6618" s="6" t="s">
        <v>15</v>
      </c>
      <c r="F6618" s="7">
        <v>3526</v>
      </c>
      <c r="G6618" s="7">
        <v>123815.8814520703</v>
      </c>
      <c r="H6618" s="7">
        <v>436574798</v>
      </c>
      <c r="I6618" s="7">
        <v>90146342</v>
      </c>
      <c r="J6618" s="7">
        <v>0</v>
      </c>
      <c r="K6618">
        <f t="shared" si="103"/>
        <v>30</v>
      </c>
      <c r="L6618" s="8" t="str" cm="1">
        <f t="array" ref="L6618">_xlfn.IFS(
 AND(K6618&gt;=89,K6618&lt;=92),"3개월",
 AND(K6618&gt;=58,K6618&lt;=62),"2개월",
 AND(K6618&gt;=28,K6618&lt;=32),"1개월",
 AND(K6618=0),"당월",
 TRUE,"그외"
)</f>
        <v>1개월</v>
      </c>
    </row>
    <row r="6619" spans="1:12" x14ac:dyDescent="0.3">
      <c r="A6619" s="5">
        <v>45778</v>
      </c>
      <c r="B6619" s="6" t="s">
        <v>40</v>
      </c>
      <c r="C6619" s="6" t="s">
        <v>47</v>
      </c>
      <c r="D6619" s="5">
        <v>45778</v>
      </c>
      <c r="E6619" s="6" t="s">
        <v>14</v>
      </c>
      <c r="F6619" s="7">
        <v>483</v>
      </c>
      <c r="G6619" s="7">
        <v>85557.503105590062</v>
      </c>
      <c r="H6619" s="7">
        <v>41324274</v>
      </c>
      <c r="I6619" s="7">
        <v>13288056</v>
      </c>
      <c r="J6619" s="7">
        <v>0</v>
      </c>
      <c r="K6619">
        <f t="shared" si="103"/>
        <v>0</v>
      </c>
      <c r="L6619" s="8" t="str" cm="1">
        <f t="array" ref="L6619">_xlfn.IFS(
 AND(K6619&gt;=89,K6619&lt;=92),"3개월",
 AND(K6619&gt;=58,K6619&lt;=62),"2개월",
 AND(K6619&gt;=28,K6619&lt;=32),"1개월",
 AND(K6619=0),"당월",
 TRUE,"그외"
)</f>
        <v>당월</v>
      </c>
    </row>
    <row r="6620" spans="1:12" x14ac:dyDescent="0.3">
      <c r="A6620" s="5">
        <v>45778</v>
      </c>
      <c r="B6620" s="6" t="s">
        <v>40</v>
      </c>
      <c r="C6620" s="6" t="s">
        <v>47</v>
      </c>
      <c r="D6620" s="5">
        <v>45778</v>
      </c>
      <c r="E6620" s="6" t="s">
        <v>15</v>
      </c>
      <c r="F6620" s="7">
        <v>1470</v>
      </c>
      <c r="G6620" s="7">
        <v>114594.8741496599</v>
      </c>
      <c r="H6620" s="7">
        <v>168454465</v>
      </c>
      <c r="I6620" s="7">
        <v>34420354</v>
      </c>
      <c r="J6620" s="7">
        <v>0</v>
      </c>
      <c r="K6620">
        <f t="shared" si="103"/>
        <v>0</v>
      </c>
      <c r="L6620" s="8" t="str" cm="1">
        <f t="array" ref="L6620">_xlfn.IFS(
 AND(K6620&gt;=89,K6620&lt;=92),"3개월",
 AND(K6620&gt;=58,K6620&lt;=62),"2개월",
 AND(K6620&gt;=28,K6620&lt;=32),"1개월",
 AND(K6620=0),"당월",
 TRUE,"그외"
)</f>
        <v>당월</v>
      </c>
    </row>
    <row r="6621" spans="1:12" x14ac:dyDescent="0.3">
      <c r="A6621" s="5">
        <v>45778</v>
      </c>
      <c r="B6621" s="6" t="s">
        <v>50</v>
      </c>
      <c r="C6621" s="6" t="s">
        <v>51</v>
      </c>
      <c r="D6621" s="5">
        <v>45658</v>
      </c>
      <c r="E6621" s="6" t="s">
        <v>15</v>
      </c>
      <c r="F6621" s="7">
        <v>110</v>
      </c>
      <c r="G6621" s="7">
        <v>177831.70909090911</v>
      </c>
      <c r="H6621" s="7">
        <v>19561488</v>
      </c>
      <c r="I6621" s="7">
        <v>3169080</v>
      </c>
      <c r="J6621" s="7">
        <v>0</v>
      </c>
      <c r="K6621">
        <f t="shared" si="103"/>
        <v>120</v>
      </c>
      <c r="L6621" s="8" t="str" cm="1">
        <f t="array" ref="L6621">_xlfn.IFS(
 AND(K6621&gt;=89,K6621&lt;=92),"3개월",
 AND(K6621&gt;=58,K6621&lt;=62),"2개월",
 AND(K6621&gt;=28,K6621&lt;=32),"1개월",
 AND(K6621=0),"당월",
 TRUE,"그외"
)</f>
        <v>그외</v>
      </c>
    </row>
    <row r="6622" spans="1:12" x14ac:dyDescent="0.3">
      <c r="A6622" s="5">
        <v>45778</v>
      </c>
      <c r="B6622" s="6" t="s">
        <v>50</v>
      </c>
      <c r="C6622" s="6" t="s">
        <v>51</v>
      </c>
      <c r="D6622" s="5">
        <v>45689</v>
      </c>
      <c r="E6622" s="6" t="s">
        <v>15</v>
      </c>
      <c r="F6622" s="7">
        <v>331</v>
      </c>
      <c r="G6622" s="7">
        <v>198797.53776435039</v>
      </c>
      <c r="H6622" s="7">
        <v>65801985</v>
      </c>
      <c r="I6622" s="7">
        <v>9011531</v>
      </c>
      <c r="J6622" s="7">
        <v>0</v>
      </c>
      <c r="K6622">
        <f t="shared" si="103"/>
        <v>89</v>
      </c>
      <c r="L6622" s="8" t="str" cm="1">
        <f t="array" ref="L6622">_xlfn.IFS(
 AND(K6622&gt;=89,K6622&lt;=92),"3개월",
 AND(K6622&gt;=58,K6622&lt;=62),"2개월",
 AND(K6622&gt;=28,K6622&lt;=32),"1개월",
 AND(K6622=0),"당월",
 TRUE,"그외"
)</f>
        <v>3개월</v>
      </c>
    </row>
    <row r="6623" spans="1:12" x14ac:dyDescent="0.3">
      <c r="A6623" s="5">
        <v>45778</v>
      </c>
      <c r="B6623" s="6" t="s">
        <v>50</v>
      </c>
      <c r="C6623" s="6" t="s">
        <v>51</v>
      </c>
      <c r="D6623" s="5">
        <v>45717</v>
      </c>
      <c r="E6623" s="6" t="s">
        <v>15</v>
      </c>
      <c r="F6623" s="7">
        <v>1710</v>
      </c>
      <c r="G6623" s="7">
        <v>165907.99590643271</v>
      </c>
      <c r="H6623" s="7">
        <v>283702673</v>
      </c>
      <c r="I6623" s="7">
        <v>50120553</v>
      </c>
      <c r="J6623" s="7">
        <v>0</v>
      </c>
      <c r="K6623">
        <f t="shared" si="103"/>
        <v>61</v>
      </c>
      <c r="L6623" s="8" t="str" cm="1">
        <f t="array" ref="L6623">_xlfn.IFS(
 AND(K6623&gt;=89,K6623&lt;=92),"3개월",
 AND(K6623&gt;=58,K6623&lt;=62),"2개월",
 AND(K6623&gt;=28,K6623&lt;=32),"1개월",
 AND(K6623=0),"당월",
 TRUE,"그외"
)</f>
        <v>2개월</v>
      </c>
    </row>
    <row r="6624" spans="1:12" x14ac:dyDescent="0.3">
      <c r="A6624" s="5">
        <v>45778</v>
      </c>
      <c r="B6624" s="6" t="s">
        <v>50</v>
      </c>
      <c r="C6624" s="6" t="s">
        <v>51</v>
      </c>
      <c r="D6624" s="5">
        <v>45748</v>
      </c>
      <c r="E6624" s="6" t="s">
        <v>14</v>
      </c>
      <c r="F6624" s="7">
        <v>358</v>
      </c>
      <c r="G6624" s="7">
        <v>212205.43575418991</v>
      </c>
      <c r="H6624" s="7">
        <v>75969546</v>
      </c>
      <c r="I6624" s="7">
        <v>9578046</v>
      </c>
      <c r="J6624" s="7">
        <v>0</v>
      </c>
      <c r="K6624">
        <f t="shared" si="103"/>
        <v>30</v>
      </c>
      <c r="L6624" s="8" t="str" cm="1">
        <f t="array" ref="L6624">_xlfn.IFS(
 AND(K6624&gt;=89,K6624&lt;=92),"3개월",
 AND(K6624&gt;=58,K6624&lt;=62),"2개월",
 AND(K6624&gt;=28,K6624&lt;=32),"1개월",
 AND(K6624=0),"당월",
 TRUE,"그외"
)</f>
        <v>1개월</v>
      </c>
    </row>
    <row r="6625" spans="1:12" x14ac:dyDescent="0.3">
      <c r="A6625" s="5">
        <v>45778</v>
      </c>
      <c r="B6625" s="6" t="s">
        <v>50</v>
      </c>
      <c r="C6625" s="6" t="s">
        <v>51</v>
      </c>
      <c r="D6625" s="5">
        <v>45748</v>
      </c>
      <c r="E6625" s="6" t="s">
        <v>15</v>
      </c>
      <c r="F6625" s="7">
        <v>1934</v>
      </c>
      <c r="G6625" s="7">
        <v>182882.2693898656</v>
      </c>
      <c r="H6625" s="7">
        <v>353694309</v>
      </c>
      <c r="I6625" s="7">
        <v>49796322</v>
      </c>
      <c r="J6625" s="7">
        <v>0</v>
      </c>
      <c r="K6625">
        <f t="shared" si="103"/>
        <v>30</v>
      </c>
      <c r="L6625" s="8" t="str" cm="1">
        <f t="array" ref="L6625">_xlfn.IFS(
 AND(K6625&gt;=89,K6625&lt;=92),"3개월",
 AND(K6625&gt;=58,K6625&lt;=62),"2개월",
 AND(K6625&gt;=28,K6625&lt;=32),"1개월",
 AND(K6625=0),"당월",
 TRUE,"그외"
)</f>
        <v>1개월</v>
      </c>
    </row>
    <row r="6626" spans="1:12" x14ac:dyDescent="0.3">
      <c r="A6626" s="5">
        <v>45778</v>
      </c>
      <c r="B6626" s="6" t="s">
        <v>50</v>
      </c>
      <c r="C6626" s="6" t="s">
        <v>51</v>
      </c>
      <c r="D6626" s="5">
        <v>45778</v>
      </c>
      <c r="E6626" s="6" t="s">
        <v>14</v>
      </c>
      <c r="F6626" s="7">
        <v>68</v>
      </c>
      <c r="G6626" s="7">
        <v>139923</v>
      </c>
      <c r="H6626" s="7">
        <v>9514764</v>
      </c>
      <c r="I6626" s="7">
        <v>2718504</v>
      </c>
      <c r="J6626" s="7">
        <v>0</v>
      </c>
      <c r="K6626">
        <f t="shared" si="103"/>
        <v>0</v>
      </c>
      <c r="L6626" s="8" t="str" cm="1">
        <f t="array" ref="L6626">_xlfn.IFS(
 AND(K6626&gt;=89,K6626&lt;=92),"3개월",
 AND(K6626&gt;=58,K6626&lt;=62),"2개월",
 AND(K6626&gt;=28,K6626&lt;=32),"1개월",
 AND(K6626=0),"당월",
 TRUE,"그외"
)</f>
        <v>당월</v>
      </c>
    </row>
    <row r="6627" spans="1:12" x14ac:dyDescent="0.3">
      <c r="A6627" s="5">
        <v>45778</v>
      </c>
      <c r="B6627" s="6" t="s">
        <v>50</v>
      </c>
      <c r="C6627" s="6" t="s">
        <v>51</v>
      </c>
      <c r="D6627" s="5">
        <v>45778</v>
      </c>
      <c r="E6627" s="6" t="s">
        <v>15</v>
      </c>
      <c r="F6627" s="7">
        <v>501</v>
      </c>
      <c r="G6627" s="7">
        <v>171913.86227544909</v>
      </c>
      <c r="H6627" s="7">
        <v>86128845</v>
      </c>
      <c r="I6627" s="7">
        <v>12214578</v>
      </c>
      <c r="J6627" s="7">
        <v>0</v>
      </c>
      <c r="K6627">
        <f t="shared" si="103"/>
        <v>0</v>
      </c>
      <c r="L6627" s="8" t="str" cm="1">
        <f t="array" ref="L6627">_xlfn.IFS(
 AND(K6627&gt;=89,K6627&lt;=92),"3개월",
 AND(K6627&gt;=58,K6627&lt;=62),"2개월",
 AND(K6627&gt;=28,K6627&lt;=32),"1개월",
 AND(K6627=0),"당월",
 TRUE,"그외"
)</f>
        <v>당월</v>
      </c>
    </row>
    <row r="6628" spans="1:12" x14ac:dyDescent="0.3">
      <c r="A6628" s="5">
        <v>45778</v>
      </c>
      <c r="B6628" s="6" t="s">
        <v>50</v>
      </c>
      <c r="C6628" s="6" t="s">
        <v>52</v>
      </c>
      <c r="D6628" s="5">
        <v>45658</v>
      </c>
      <c r="E6628" s="6" t="s">
        <v>15</v>
      </c>
      <c r="F6628" s="7">
        <v>413</v>
      </c>
      <c r="G6628" s="7">
        <v>129092.37046004841</v>
      </c>
      <c r="H6628" s="7">
        <v>53315149</v>
      </c>
      <c r="I6628" s="7">
        <v>12183015</v>
      </c>
      <c r="J6628" s="7">
        <v>0</v>
      </c>
      <c r="K6628">
        <f t="shared" si="103"/>
        <v>120</v>
      </c>
      <c r="L6628" s="8" t="str" cm="1">
        <f t="array" ref="L6628">_xlfn.IFS(
 AND(K6628&gt;=89,K6628&lt;=92),"3개월",
 AND(K6628&gt;=58,K6628&lt;=62),"2개월",
 AND(K6628&gt;=28,K6628&lt;=32),"1개월",
 AND(K6628=0),"당월",
 TRUE,"그외"
)</f>
        <v>그외</v>
      </c>
    </row>
    <row r="6629" spans="1:12" x14ac:dyDescent="0.3">
      <c r="A6629" s="5">
        <v>45778</v>
      </c>
      <c r="B6629" s="6" t="s">
        <v>50</v>
      </c>
      <c r="C6629" s="6" t="s">
        <v>52</v>
      </c>
      <c r="D6629" s="5">
        <v>45689</v>
      </c>
      <c r="E6629" s="6" t="s">
        <v>14</v>
      </c>
      <c r="F6629" s="7">
        <v>12</v>
      </c>
      <c r="G6629" s="7">
        <v>250400</v>
      </c>
      <c r="H6629" s="7">
        <v>3004800</v>
      </c>
      <c r="I6629" s="7">
        <v>244800</v>
      </c>
      <c r="J6629" s="7">
        <v>0</v>
      </c>
      <c r="K6629">
        <f t="shared" si="103"/>
        <v>89</v>
      </c>
      <c r="L6629" s="8" t="str" cm="1">
        <f t="array" ref="L6629">_xlfn.IFS(
 AND(K6629&gt;=89,K6629&lt;=92),"3개월",
 AND(K6629&gt;=58,K6629&lt;=62),"2개월",
 AND(K6629&gt;=28,K6629&lt;=32),"1개월",
 AND(K6629=0),"당월",
 TRUE,"그외"
)</f>
        <v>3개월</v>
      </c>
    </row>
    <row r="6630" spans="1:12" x14ac:dyDescent="0.3">
      <c r="A6630" s="5">
        <v>45778</v>
      </c>
      <c r="B6630" s="6" t="s">
        <v>50</v>
      </c>
      <c r="C6630" s="6" t="s">
        <v>52</v>
      </c>
      <c r="D6630" s="5">
        <v>45689</v>
      </c>
      <c r="E6630" s="6" t="s">
        <v>15</v>
      </c>
      <c r="F6630" s="7">
        <v>536</v>
      </c>
      <c r="G6630" s="7">
        <v>128720.2108208955</v>
      </c>
      <c r="H6630" s="7">
        <v>68994033</v>
      </c>
      <c r="I6630" s="7">
        <v>16373108</v>
      </c>
      <c r="J6630" s="7">
        <v>0</v>
      </c>
      <c r="K6630">
        <f t="shared" si="103"/>
        <v>89</v>
      </c>
      <c r="L6630" s="8" t="str" cm="1">
        <f t="array" ref="L6630">_xlfn.IFS(
 AND(K6630&gt;=89,K6630&lt;=92),"3개월",
 AND(K6630&gt;=58,K6630&lt;=62),"2개월",
 AND(K6630&gt;=28,K6630&lt;=32),"1개월",
 AND(K6630=0),"당월",
 TRUE,"그외"
)</f>
        <v>3개월</v>
      </c>
    </row>
    <row r="6631" spans="1:12" x14ac:dyDescent="0.3">
      <c r="A6631" s="5">
        <v>45778</v>
      </c>
      <c r="B6631" s="6" t="s">
        <v>50</v>
      </c>
      <c r="C6631" s="6" t="s">
        <v>52</v>
      </c>
      <c r="D6631" s="5">
        <v>45717</v>
      </c>
      <c r="E6631" s="6" t="s">
        <v>14</v>
      </c>
      <c r="F6631" s="7">
        <v>1</v>
      </c>
      <c r="G6631" s="7">
        <v>106680</v>
      </c>
      <c r="H6631" s="7">
        <v>106680</v>
      </c>
      <c r="I6631" s="7">
        <v>40005</v>
      </c>
      <c r="J6631" s="7">
        <v>0</v>
      </c>
      <c r="K6631">
        <f t="shared" si="103"/>
        <v>61</v>
      </c>
      <c r="L6631" s="8" t="str" cm="1">
        <f t="array" ref="L6631">_xlfn.IFS(
 AND(K6631&gt;=89,K6631&lt;=92),"3개월",
 AND(K6631&gt;=58,K6631&lt;=62),"2개월",
 AND(K6631&gt;=28,K6631&lt;=32),"1개월",
 AND(K6631=0),"당월",
 TRUE,"그외"
)</f>
        <v>2개월</v>
      </c>
    </row>
    <row r="6632" spans="1:12" x14ac:dyDescent="0.3">
      <c r="A6632" s="5">
        <v>45778</v>
      </c>
      <c r="B6632" s="6" t="s">
        <v>50</v>
      </c>
      <c r="C6632" s="6" t="s">
        <v>52</v>
      </c>
      <c r="D6632" s="5">
        <v>45717</v>
      </c>
      <c r="E6632" s="6" t="s">
        <v>15</v>
      </c>
      <c r="F6632" s="7">
        <v>819</v>
      </c>
      <c r="G6632" s="7">
        <v>113567.3858363858</v>
      </c>
      <c r="H6632" s="7">
        <v>93011689</v>
      </c>
      <c r="I6632" s="7">
        <v>24470776</v>
      </c>
      <c r="J6632" s="7">
        <v>0</v>
      </c>
      <c r="K6632">
        <f t="shared" si="103"/>
        <v>61</v>
      </c>
      <c r="L6632" s="8" t="str" cm="1">
        <f t="array" ref="L6632">_xlfn.IFS(
 AND(K6632&gt;=89,K6632&lt;=92),"3개월",
 AND(K6632&gt;=58,K6632&lt;=62),"2개월",
 AND(K6632&gt;=28,K6632&lt;=32),"1개월",
 AND(K6632=0),"당월",
 TRUE,"그외"
)</f>
        <v>2개월</v>
      </c>
    </row>
    <row r="6633" spans="1:12" x14ac:dyDescent="0.3">
      <c r="A6633" s="5">
        <v>45778</v>
      </c>
      <c r="B6633" s="6" t="s">
        <v>50</v>
      </c>
      <c r="C6633" s="6" t="s">
        <v>52</v>
      </c>
      <c r="D6633" s="5">
        <v>45748</v>
      </c>
      <c r="E6633" s="6" t="s">
        <v>14</v>
      </c>
      <c r="F6633" s="7">
        <v>2792</v>
      </c>
      <c r="G6633" s="7">
        <v>119437.16547277939</v>
      </c>
      <c r="H6633" s="7">
        <v>333468566</v>
      </c>
      <c r="I6633" s="7">
        <v>97504683</v>
      </c>
      <c r="J6633" s="7">
        <v>0</v>
      </c>
      <c r="K6633">
        <f t="shared" si="103"/>
        <v>30</v>
      </c>
      <c r="L6633" s="8" t="str" cm="1">
        <f t="array" ref="L6633">_xlfn.IFS(
 AND(K6633&gt;=89,K6633&lt;=92),"3개월",
 AND(K6633&gt;=58,K6633&lt;=62),"2개월",
 AND(K6633&gt;=28,K6633&lt;=32),"1개월",
 AND(K6633=0),"당월",
 TRUE,"그외"
)</f>
        <v>1개월</v>
      </c>
    </row>
    <row r="6634" spans="1:12" x14ac:dyDescent="0.3">
      <c r="A6634" s="5">
        <v>45778</v>
      </c>
      <c r="B6634" s="6" t="s">
        <v>50</v>
      </c>
      <c r="C6634" s="6" t="s">
        <v>52</v>
      </c>
      <c r="D6634" s="5">
        <v>45748</v>
      </c>
      <c r="E6634" s="6" t="s">
        <v>15</v>
      </c>
      <c r="F6634" s="7">
        <v>1717</v>
      </c>
      <c r="G6634" s="7">
        <v>115093.6843331392</v>
      </c>
      <c r="H6634" s="7">
        <v>197615856</v>
      </c>
      <c r="I6634" s="7">
        <v>45191297</v>
      </c>
      <c r="J6634" s="7">
        <v>0</v>
      </c>
      <c r="K6634">
        <f t="shared" si="103"/>
        <v>30</v>
      </c>
      <c r="L6634" s="8" t="str" cm="1">
        <f t="array" ref="L6634">_xlfn.IFS(
 AND(K6634&gt;=89,K6634&lt;=92),"3개월",
 AND(K6634&gt;=58,K6634&lt;=62),"2개월",
 AND(K6634&gt;=28,K6634&lt;=32),"1개월",
 AND(K6634=0),"당월",
 TRUE,"그외"
)</f>
        <v>1개월</v>
      </c>
    </row>
    <row r="6635" spans="1:12" x14ac:dyDescent="0.3">
      <c r="A6635" s="5">
        <v>45778</v>
      </c>
      <c r="B6635" s="6" t="s">
        <v>50</v>
      </c>
      <c r="C6635" s="6" t="s">
        <v>52</v>
      </c>
      <c r="D6635" s="5">
        <v>45778</v>
      </c>
      <c r="E6635" s="6" t="s">
        <v>14</v>
      </c>
      <c r="F6635" s="7">
        <v>630</v>
      </c>
      <c r="G6635" s="7">
        <v>90324.584126984133</v>
      </c>
      <c r="H6635" s="7">
        <v>56904488</v>
      </c>
      <c r="I6635" s="7">
        <v>18486348</v>
      </c>
      <c r="J6635" s="7">
        <v>0</v>
      </c>
      <c r="K6635">
        <f t="shared" si="103"/>
        <v>0</v>
      </c>
      <c r="L6635" s="8" t="str" cm="1">
        <f t="array" ref="L6635">_xlfn.IFS(
 AND(K6635&gt;=89,K6635&lt;=92),"3개월",
 AND(K6635&gt;=58,K6635&lt;=62),"2개월",
 AND(K6635&gt;=28,K6635&lt;=32),"1개월",
 AND(K6635=0),"당월",
 TRUE,"그외"
)</f>
        <v>당월</v>
      </c>
    </row>
    <row r="6636" spans="1:12" x14ac:dyDescent="0.3">
      <c r="A6636" s="5">
        <v>45778</v>
      </c>
      <c r="B6636" s="6" t="s">
        <v>50</v>
      </c>
      <c r="C6636" s="6" t="s">
        <v>52</v>
      </c>
      <c r="D6636" s="5">
        <v>45778</v>
      </c>
      <c r="E6636" s="6" t="s">
        <v>15</v>
      </c>
      <c r="F6636" s="7">
        <v>574</v>
      </c>
      <c r="G6636" s="7">
        <v>87004.733449477353</v>
      </c>
      <c r="H6636" s="7">
        <v>49940717</v>
      </c>
      <c r="I6636" s="7">
        <v>14292940</v>
      </c>
      <c r="J6636" s="7">
        <v>0</v>
      </c>
      <c r="K6636">
        <f t="shared" si="103"/>
        <v>0</v>
      </c>
      <c r="L6636" s="8" t="str" cm="1">
        <f t="array" ref="L6636">_xlfn.IFS(
 AND(K6636&gt;=89,K6636&lt;=92),"3개월",
 AND(K6636&gt;=58,K6636&lt;=62),"2개월",
 AND(K6636&gt;=28,K6636&lt;=32),"1개월",
 AND(K6636=0),"당월",
 TRUE,"그외"
)</f>
        <v>당월</v>
      </c>
    </row>
    <row r="6637" spans="1:12" x14ac:dyDescent="0.3">
      <c r="A6637" s="5">
        <v>45778</v>
      </c>
      <c r="B6637" s="6" t="s">
        <v>50</v>
      </c>
      <c r="C6637" s="6" t="s">
        <v>53</v>
      </c>
      <c r="D6637" s="5">
        <v>45627</v>
      </c>
      <c r="E6637" s="6" t="s">
        <v>15</v>
      </c>
      <c r="F6637" s="7">
        <v>22</v>
      </c>
      <c r="G6637" s="7">
        <v>363579</v>
      </c>
      <c r="H6637" s="7">
        <v>7998738</v>
      </c>
      <c r="I6637" s="7">
        <v>756768</v>
      </c>
      <c r="J6637" s="7">
        <v>0</v>
      </c>
      <c r="K6637">
        <f t="shared" si="103"/>
        <v>151</v>
      </c>
      <c r="L6637" s="8" t="str" cm="1">
        <f t="array" ref="L6637">_xlfn.IFS(
 AND(K6637&gt;=89,K6637&lt;=92),"3개월",
 AND(K6637&gt;=58,K6637&lt;=62),"2개월",
 AND(K6637&gt;=28,K6637&lt;=32),"1개월",
 AND(K6637=0),"당월",
 TRUE,"그외"
)</f>
        <v>그외</v>
      </c>
    </row>
    <row r="6638" spans="1:12" x14ac:dyDescent="0.3">
      <c r="A6638" s="5">
        <v>45778</v>
      </c>
      <c r="B6638" s="6" t="s">
        <v>50</v>
      </c>
      <c r="C6638" s="6" t="s">
        <v>53</v>
      </c>
      <c r="D6638" s="5">
        <v>45658</v>
      </c>
      <c r="E6638" s="6" t="s">
        <v>14</v>
      </c>
      <c r="F6638" s="7">
        <v>2</v>
      </c>
      <c r="G6638" s="7">
        <v>139356</v>
      </c>
      <c r="H6638" s="7">
        <v>278712</v>
      </c>
      <c r="I6638" s="7">
        <v>79632</v>
      </c>
      <c r="J6638" s="7">
        <v>0</v>
      </c>
      <c r="K6638">
        <f t="shared" si="103"/>
        <v>120</v>
      </c>
      <c r="L6638" s="8" t="str" cm="1">
        <f t="array" ref="L6638">_xlfn.IFS(
 AND(K6638&gt;=89,K6638&lt;=92),"3개월",
 AND(K6638&gt;=58,K6638&lt;=62),"2개월",
 AND(K6638&gt;=28,K6638&lt;=32),"1개월",
 AND(K6638=0),"당월",
 TRUE,"그외"
)</f>
        <v>그외</v>
      </c>
    </row>
    <row r="6639" spans="1:12" x14ac:dyDescent="0.3">
      <c r="A6639" s="5">
        <v>45778</v>
      </c>
      <c r="B6639" s="6" t="s">
        <v>50</v>
      </c>
      <c r="C6639" s="6" t="s">
        <v>53</v>
      </c>
      <c r="D6639" s="5">
        <v>45658</v>
      </c>
      <c r="E6639" s="6" t="s">
        <v>15</v>
      </c>
      <c r="F6639" s="7">
        <v>924</v>
      </c>
      <c r="G6639" s="7">
        <v>145899.41125541131</v>
      </c>
      <c r="H6639" s="7">
        <v>134811056</v>
      </c>
      <c r="I6639" s="7">
        <v>28971469</v>
      </c>
      <c r="J6639" s="7">
        <v>0</v>
      </c>
      <c r="K6639">
        <f t="shared" si="103"/>
        <v>120</v>
      </c>
      <c r="L6639" s="8" t="str" cm="1">
        <f t="array" ref="L6639">_xlfn.IFS(
 AND(K6639&gt;=89,K6639&lt;=92),"3개월",
 AND(K6639&gt;=58,K6639&lt;=62),"2개월",
 AND(K6639&gt;=28,K6639&lt;=32),"1개월",
 AND(K6639=0),"당월",
 TRUE,"그외"
)</f>
        <v>그외</v>
      </c>
    </row>
    <row r="6640" spans="1:12" x14ac:dyDescent="0.3">
      <c r="A6640" s="5">
        <v>45778</v>
      </c>
      <c r="B6640" s="6" t="s">
        <v>50</v>
      </c>
      <c r="C6640" s="6" t="s">
        <v>53</v>
      </c>
      <c r="D6640" s="5">
        <v>45689</v>
      </c>
      <c r="E6640" s="6" t="s">
        <v>14</v>
      </c>
      <c r="F6640" s="7">
        <v>163</v>
      </c>
      <c r="G6640" s="7">
        <v>140002.5521472393</v>
      </c>
      <c r="H6640" s="7">
        <v>22820416</v>
      </c>
      <c r="I6640" s="7">
        <v>4719186</v>
      </c>
      <c r="J6640" s="7">
        <v>0</v>
      </c>
      <c r="K6640">
        <f t="shared" si="103"/>
        <v>89</v>
      </c>
      <c r="L6640" s="8" t="str" cm="1">
        <f t="array" ref="L6640">_xlfn.IFS(
 AND(K6640&gt;=89,K6640&lt;=92),"3개월",
 AND(K6640&gt;=58,K6640&lt;=62),"2개월",
 AND(K6640&gt;=28,K6640&lt;=32),"1개월",
 AND(K6640=0),"당월",
 TRUE,"그외"
)</f>
        <v>3개월</v>
      </c>
    </row>
    <row r="6641" spans="1:12" x14ac:dyDescent="0.3">
      <c r="A6641" s="5">
        <v>45778</v>
      </c>
      <c r="B6641" s="6" t="s">
        <v>50</v>
      </c>
      <c r="C6641" s="6" t="s">
        <v>53</v>
      </c>
      <c r="D6641" s="5">
        <v>45689</v>
      </c>
      <c r="E6641" s="6" t="s">
        <v>15</v>
      </c>
      <c r="F6641" s="7">
        <v>1329</v>
      </c>
      <c r="G6641" s="7">
        <v>186306.0684725357</v>
      </c>
      <c r="H6641" s="7">
        <v>247600765</v>
      </c>
      <c r="I6641" s="7">
        <v>41030751</v>
      </c>
      <c r="J6641" s="7">
        <v>0</v>
      </c>
      <c r="K6641">
        <f t="shared" si="103"/>
        <v>89</v>
      </c>
      <c r="L6641" s="8" t="str" cm="1">
        <f t="array" ref="L6641">_xlfn.IFS(
 AND(K6641&gt;=89,K6641&lt;=92),"3개월",
 AND(K6641&gt;=58,K6641&lt;=62),"2개월",
 AND(K6641&gt;=28,K6641&lt;=32),"1개월",
 AND(K6641=0),"당월",
 TRUE,"그외"
)</f>
        <v>3개월</v>
      </c>
    </row>
    <row r="6642" spans="1:12" x14ac:dyDescent="0.3">
      <c r="A6642" s="5">
        <v>45778</v>
      </c>
      <c r="B6642" s="6" t="s">
        <v>50</v>
      </c>
      <c r="C6642" s="6" t="s">
        <v>53</v>
      </c>
      <c r="D6642" s="5">
        <v>45717</v>
      </c>
      <c r="E6642" s="6" t="s">
        <v>14</v>
      </c>
      <c r="F6642" s="7">
        <v>174</v>
      </c>
      <c r="G6642" s="7">
        <v>119406.35632183911</v>
      </c>
      <c r="H6642" s="7">
        <v>20776706</v>
      </c>
      <c r="I6642" s="7">
        <v>6905826</v>
      </c>
      <c r="J6642" s="7">
        <v>0</v>
      </c>
      <c r="K6642">
        <f t="shared" si="103"/>
        <v>61</v>
      </c>
      <c r="L6642" s="8" t="str" cm="1">
        <f t="array" ref="L6642">_xlfn.IFS(
 AND(K6642&gt;=89,K6642&lt;=92),"3개월",
 AND(K6642&gt;=58,K6642&lt;=62),"2개월",
 AND(K6642&gt;=28,K6642&lt;=32),"1개월",
 AND(K6642=0),"당월",
 TRUE,"그외"
)</f>
        <v>2개월</v>
      </c>
    </row>
    <row r="6643" spans="1:12" x14ac:dyDescent="0.3">
      <c r="A6643" s="5">
        <v>45778</v>
      </c>
      <c r="B6643" s="6" t="s">
        <v>50</v>
      </c>
      <c r="C6643" s="6" t="s">
        <v>53</v>
      </c>
      <c r="D6643" s="5">
        <v>45717</v>
      </c>
      <c r="E6643" s="6" t="s">
        <v>15</v>
      </c>
      <c r="F6643" s="7">
        <v>732</v>
      </c>
      <c r="G6643" s="7">
        <v>214268.76775956279</v>
      </c>
      <c r="H6643" s="7">
        <v>156844738</v>
      </c>
      <c r="I6643" s="7">
        <v>22684582</v>
      </c>
      <c r="J6643" s="7">
        <v>0</v>
      </c>
      <c r="K6643">
        <f t="shared" si="103"/>
        <v>61</v>
      </c>
      <c r="L6643" s="8" t="str" cm="1">
        <f t="array" ref="L6643">_xlfn.IFS(
 AND(K6643&gt;=89,K6643&lt;=92),"3개월",
 AND(K6643&gt;=58,K6643&lt;=62),"2개월",
 AND(K6643&gt;=28,K6643&lt;=32),"1개월",
 AND(K6643=0),"당월",
 TRUE,"그외"
)</f>
        <v>2개월</v>
      </c>
    </row>
    <row r="6644" spans="1:12" x14ac:dyDescent="0.3">
      <c r="A6644" s="5">
        <v>45778</v>
      </c>
      <c r="B6644" s="6" t="s">
        <v>50</v>
      </c>
      <c r="C6644" s="6" t="s">
        <v>53</v>
      </c>
      <c r="D6644" s="5">
        <v>45748</v>
      </c>
      <c r="E6644" s="6" t="s">
        <v>14</v>
      </c>
      <c r="F6644" s="7">
        <v>4179</v>
      </c>
      <c r="G6644" s="7">
        <v>130133.5101698971</v>
      </c>
      <c r="H6644" s="7">
        <v>543827939</v>
      </c>
      <c r="I6644" s="7">
        <v>158597085</v>
      </c>
      <c r="J6644" s="7">
        <v>0</v>
      </c>
      <c r="K6644">
        <f t="shared" si="103"/>
        <v>30</v>
      </c>
      <c r="L6644" s="8" t="str" cm="1">
        <f t="array" ref="L6644">_xlfn.IFS(
 AND(K6644&gt;=89,K6644&lt;=92),"3개월",
 AND(K6644&gt;=58,K6644&lt;=62),"2개월",
 AND(K6644&gt;=28,K6644&lt;=32),"1개월",
 AND(K6644=0),"당월",
 TRUE,"그외"
)</f>
        <v>1개월</v>
      </c>
    </row>
    <row r="6645" spans="1:12" x14ac:dyDescent="0.3">
      <c r="A6645" s="5">
        <v>45778</v>
      </c>
      <c r="B6645" s="6" t="s">
        <v>50</v>
      </c>
      <c r="C6645" s="6" t="s">
        <v>53</v>
      </c>
      <c r="D6645" s="5">
        <v>45748</v>
      </c>
      <c r="E6645" s="6" t="s">
        <v>15</v>
      </c>
      <c r="F6645" s="7">
        <v>966</v>
      </c>
      <c r="G6645" s="7">
        <v>180276.60455486539</v>
      </c>
      <c r="H6645" s="7">
        <v>174147200</v>
      </c>
      <c r="I6645" s="7">
        <v>27255931</v>
      </c>
      <c r="J6645" s="7">
        <v>0</v>
      </c>
      <c r="K6645">
        <f t="shared" si="103"/>
        <v>30</v>
      </c>
      <c r="L6645" s="8" t="str" cm="1">
        <f t="array" ref="L6645">_xlfn.IFS(
 AND(K6645&gt;=89,K6645&lt;=92),"3개월",
 AND(K6645&gt;=58,K6645&lt;=62),"2개월",
 AND(K6645&gt;=28,K6645&lt;=32),"1개월",
 AND(K6645=0),"당월",
 TRUE,"그외"
)</f>
        <v>1개월</v>
      </c>
    </row>
    <row r="6646" spans="1:12" x14ac:dyDescent="0.3">
      <c r="A6646" s="5">
        <v>45778</v>
      </c>
      <c r="B6646" s="6" t="s">
        <v>50</v>
      </c>
      <c r="C6646" s="6" t="s">
        <v>53</v>
      </c>
      <c r="D6646" s="5">
        <v>45778</v>
      </c>
      <c r="E6646" s="6" t="s">
        <v>14</v>
      </c>
      <c r="F6646" s="7">
        <v>866</v>
      </c>
      <c r="G6646" s="7">
        <v>123386.21016166281</v>
      </c>
      <c r="H6646" s="7">
        <v>106852458</v>
      </c>
      <c r="I6646" s="7">
        <v>34113388</v>
      </c>
      <c r="J6646" s="7">
        <v>0</v>
      </c>
      <c r="K6646">
        <f t="shared" si="103"/>
        <v>0</v>
      </c>
      <c r="L6646" s="8" t="str" cm="1">
        <f t="array" ref="L6646">_xlfn.IFS(
 AND(K6646&gt;=89,K6646&lt;=92),"3개월",
 AND(K6646&gt;=58,K6646&lt;=62),"2개월",
 AND(K6646&gt;=28,K6646&lt;=32),"1개월",
 AND(K6646=0),"당월",
 TRUE,"그외"
)</f>
        <v>당월</v>
      </c>
    </row>
    <row r="6647" spans="1:12" x14ac:dyDescent="0.3">
      <c r="A6647" s="5">
        <v>45778</v>
      </c>
      <c r="B6647" s="6" t="s">
        <v>50</v>
      </c>
      <c r="C6647" s="6" t="s">
        <v>53</v>
      </c>
      <c r="D6647" s="5">
        <v>45778</v>
      </c>
      <c r="E6647" s="6" t="s">
        <v>15</v>
      </c>
      <c r="F6647" s="7">
        <v>278</v>
      </c>
      <c r="G6647" s="7">
        <v>197932.24820143881</v>
      </c>
      <c r="H6647" s="7">
        <v>55025165</v>
      </c>
      <c r="I6647" s="7">
        <v>8300150</v>
      </c>
      <c r="J6647" s="7">
        <v>0</v>
      </c>
      <c r="K6647">
        <f t="shared" si="103"/>
        <v>0</v>
      </c>
      <c r="L6647" s="8" t="str" cm="1">
        <f t="array" ref="L6647">_xlfn.IFS(
 AND(K6647&gt;=89,K6647&lt;=92),"3개월",
 AND(K6647&gt;=58,K6647&lt;=62),"2개월",
 AND(K6647&gt;=28,K6647&lt;=32),"1개월",
 AND(K6647=0),"당월",
 TRUE,"그외"
)</f>
        <v>당월</v>
      </c>
    </row>
    <row r="6648" spans="1:12" x14ac:dyDescent="0.3">
      <c r="A6648" s="5">
        <v>45778</v>
      </c>
      <c r="B6648" s="6" t="s">
        <v>50</v>
      </c>
      <c r="C6648" s="6" t="s">
        <v>54</v>
      </c>
      <c r="D6648" s="5">
        <v>45658</v>
      </c>
      <c r="E6648" s="6" t="s">
        <v>15</v>
      </c>
      <c r="F6648" s="7">
        <v>474</v>
      </c>
      <c r="G6648" s="7">
        <v>147537.74683544299</v>
      </c>
      <c r="H6648" s="7">
        <v>69932892</v>
      </c>
      <c r="I6648" s="7">
        <v>12034235</v>
      </c>
      <c r="J6648" s="7">
        <v>0</v>
      </c>
      <c r="K6648">
        <f t="shared" si="103"/>
        <v>120</v>
      </c>
      <c r="L6648" s="8" t="str" cm="1">
        <f t="array" ref="L6648">_xlfn.IFS(
 AND(K6648&gt;=89,K6648&lt;=92),"3개월",
 AND(K6648&gt;=58,K6648&lt;=62),"2개월",
 AND(K6648&gt;=28,K6648&lt;=32),"1개월",
 AND(K6648=0),"당월",
 TRUE,"그외"
)</f>
        <v>그외</v>
      </c>
    </row>
    <row r="6649" spans="1:12" x14ac:dyDescent="0.3">
      <c r="A6649" s="5">
        <v>45778</v>
      </c>
      <c r="B6649" s="6" t="s">
        <v>50</v>
      </c>
      <c r="C6649" s="6" t="s">
        <v>54</v>
      </c>
      <c r="D6649" s="5">
        <v>45689</v>
      </c>
      <c r="E6649" s="6" t="s">
        <v>15</v>
      </c>
      <c r="F6649" s="7">
        <v>619</v>
      </c>
      <c r="G6649" s="7">
        <v>142775.7948303716</v>
      </c>
      <c r="H6649" s="7">
        <v>88378217</v>
      </c>
      <c r="I6649" s="7">
        <v>19046179</v>
      </c>
      <c r="J6649" s="7">
        <v>0</v>
      </c>
      <c r="K6649">
        <f t="shared" si="103"/>
        <v>89</v>
      </c>
      <c r="L6649" s="8" t="str" cm="1">
        <f t="array" ref="L6649">_xlfn.IFS(
 AND(K6649&gt;=89,K6649&lt;=92),"3개월",
 AND(K6649&gt;=58,K6649&lt;=62),"2개월",
 AND(K6649&gt;=28,K6649&lt;=32),"1개월",
 AND(K6649=0),"당월",
 TRUE,"그외"
)</f>
        <v>3개월</v>
      </c>
    </row>
    <row r="6650" spans="1:12" x14ac:dyDescent="0.3">
      <c r="A6650" s="5">
        <v>45778</v>
      </c>
      <c r="B6650" s="6" t="s">
        <v>50</v>
      </c>
      <c r="C6650" s="6" t="s">
        <v>54</v>
      </c>
      <c r="D6650" s="5">
        <v>45717</v>
      </c>
      <c r="E6650" s="6" t="s">
        <v>14</v>
      </c>
      <c r="F6650" s="7">
        <v>201</v>
      </c>
      <c r="G6650" s="7">
        <v>158459.80099502491</v>
      </c>
      <c r="H6650" s="7">
        <v>31850420</v>
      </c>
      <c r="I6650" s="7">
        <v>4710720</v>
      </c>
      <c r="J6650" s="7">
        <v>0</v>
      </c>
      <c r="K6650">
        <f t="shared" si="103"/>
        <v>61</v>
      </c>
      <c r="L6650" s="8" t="str" cm="1">
        <f t="array" ref="L6650">_xlfn.IFS(
 AND(K6650&gt;=89,K6650&lt;=92),"3개월",
 AND(K6650&gt;=58,K6650&lt;=62),"2개월",
 AND(K6650&gt;=28,K6650&lt;=32),"1개월",
 AND(K6650=0),"당월",
 TRUE,"그외"
)</f>
        <v>2개월</v>
      </c>
    </row>
    <row r="6651" spans="1:12" x14ac:dyDescent="0.3">
      <c r="A6651" s="5">
        <v>45778</v>
      </c>
      <c r="B6651" s="6" t="s">
        <v>50</v>
      </c>
      <c r="C6651" s="6" t="s">
        <v>54</v>
      </c>
      <c r="D6651" s="5">
        <v>45717</v>
      </c>
      <c r="E6651" s="6" t="s">
        <v>15</v>
      </c>
      <c r="F6651" s="7">
        <v>1358</v>
      </c>
      <c r="G6651" s="7">
        <v>147941.20250368191</v>
      </c>
      <c r="H6651" s="7">
        <v>200904153</v>
      </c>
      <c r="I6651" s="7">
        <v>42778625</v>
      </c>
      <c r="J6651" s="7">
        <v>0</v>
      </c>
      <c r="K6651">
        <f t="shared" si="103"/>
        <v>61</v>
      </c>
      <c r="L6651" s="8" t="str" cm="1">
        <f t="array" ref="L6651">_xlfn.IFS(
 AND(K6651&gt;=89,K6651&lt;=92),"3개월",
 AND(K6651&gt;=58,K6651&lt;=62),"2개월",
 AND(K6651&gt;=28,K6651&lt;=32),"1개월",
 AND(K6651=0),"당월",
 TRUE,"그외"
)</f>
        <v>2개월</v>
      </c>
    </row>
    <row r="6652" spans="1:12" x14ac:dyDescent="0.3">
      <c r="A6652" s="5">
        <v>45778</v>
      </c>
      <c r="B6652" s="6" t="s">
        <v>50</v>
      </c>
      <c r="C6652" s="6" t="s">
        <v>54</v>
      </c>
      <c r="D6652" s="5">
        <v>45748</v>
      </c>
      <c r="E6652" s="6" t="s">
        <v>14</v>
      </c>
      <c r="F6652" s="7">
        <v>2185</v>
      </c>
      <c r="G6652" s="7">
        <v>121264.43432494281</v>
      </c>
      <c r="H6652" s="7">
        <v>264962789</v>
      </c>
      <c r="I6652" s="7">
        <v>77880846</v>
      </c>
      <c r="J6652" s="7">
        <v>0</v>
      </c>
      <c r="K6652">
        <f t="shared" si="103"/>
        <v>30</v>
      </c>
      <c r="L6652" s="8" t="str" cm="1">
        <f t="array" ref="L6652">_xlfn.IFS(
 AND(K6652&gt;=89,K6652&lt;=92),"3개월",
 AND(K6652&gt;=58,K6652&lt;=62),"2개월",
 AND(K6652&gt;=28,K6652&lt;=32),"1개월",
 AND(K6652=0),"당월",
 TRUE,"그외"
)</f>
        <v>1개월</v>
      </c>
    </row>
    <row r="6653" spans="1:12" x14ac:dyDescent="0.3">
      <c r="A6653" s="5">
        <v>45778</v>
      </c>
      <c r="B6653" s="6" t="s">
        <v>50</v>
      </c>
      <c r="C6653" s="6" t="s">
        <v>54</v>
      </c>
      <c r="D6653" s="5">
        <v>45748</v>
      </c>
      <c r="E6653" s="6" t="s">
        <v>15</v>
      </c>
      <c r="F6653" s="7">
        <v>2292</v>
      </c>
      <c r="G6653" s="7">
        <v>143907.1941535777</v>
      </c>
      <c r="H6653" s="7">
        <v>329835289</v>
      </c>
      <c r="I6653" s="7">
        <v>62067519</v>
      </c>
      <c r="J6653" s="7">
        <v>0</v>
      </c>
      <c r="K6653">
        <f t="shared" si="103"/>
        <v>30</v>
      </c>
      <c r="L6653" s="8" t="str" cm="1">
        <f t="array" ref="L6653">_xlfn.IFS(
 AND(K6653&gt;=89,K6653&lt;=92),"3개월",
 AND(K6653&gt;=58,K6653&lt;=62),"2개월",
 AND(K6653&gt;=28,K6653&lt;=32),"1개월",
 AND(K6653=0),"당월",
 TRUE,"그외"
)</f>
        <v>1개월</v>
      </c>
    </row>
    <row r="6654" spans="1:12" x14ac:dyDescent="0.3">
      <c r="A6654" s="5">
        <v>45778</v>
      </c>
      <c r="B6654" s="6" t="s">
        <v>50</v>
      </c>
      <c r="C6654" s="6" t="s">
        <v>54</v>
      </c>
      <c r="D6654" s="5">
        <v>45778</v>
      </c>
      <c r="E6654" s="6" t="s">
        <v>14</v>
      </c>
      <c r="F6654" s="7">
        <v>577</v>
      </c>
      <c r="G6654" s="7">
        <v>99263.327556325821</v>
      </c>
      <c r="H6654" s="7">
        <v>57274940</v>
      </c>
      <c r="I6654" s="7">
        <v>22508990</v>
      </c>
      <c r="J6654" s="7">
        <v>0</v>
      </c>
      <c r="K6654">
        <f t="shared" si="103"/>
        <v>0</v>
      </c>
      <c r="L6654" s="8" t="str" cm="1">
        <f t="array" ref="L6654">_xlfn.IFS(
 AND(K6654&gt;=89,K6654&lt;=92),"3개월",
 AND(K6654&gt;=58,K6654&lt;=62),"2개월",
 AND(K6654&gt;=28,K6654&lt;=32),"1개월",
 AND(K6654=0),"당월",
 TRUE,"그외"
)</f>
        <v>당월</v>
      </c>
    </row>
    <row r="6655" spans="1:12" x14ac:dyDescent="0.3">
      <c r="A6655" s="5">
        <v>45778</v>
      </c>
      <c r="B6655" s="6" t="s">
        <v>50</v>
      </c>
      <c r="C6655" s="6" t="s">
        <v>54</v>
      </c>
      <c r="D6655" s="5">
        <v>45778</v>
      </c>
      <c r="E6655" s="6" t="s">
        <v>15</v>
      </c>
      <c r="F6655" s="7">
        <v>716</v>
      </c>
      <c r="G6655" s="7">
        <v>113826.1648044693</v>
      </c>
      <c r="H6655" s="7">
        <v>81499534</v>
      </c>
      <c r="I6655" s="7">
        <v>21393435</v>
      </c>
      <c r="J6655" s="7">
        <v>0</v>
      </c>
      <c r="K6655">
        <f t="shared" si="103"/>
        <v>0</v>
      </c>
      <c r="L6655" s="8" t="str" cm="1">
        <f t="array" ref="L6655">_xlfn.IFS(
 AND(K6655&gt;=89,K6655&lt;=92),"3개월",
 AND(K6655&gt;=58,K6655&lt;=62),"2개월",
 AND(K6655&gt;=28,K6655&lt;=32),"1개월",
 AND(K6655=0),"당월",
 TRUE,"그외"
)</f>
        <v>당월</v>
      </c>
    </row>
    <row r="6656" spans="1:12" x14ac:dyDescent="0.3">
      <c r="A6656" s="5">
        <v>45778</v>
      </c>
      <c r="B6656" s="6" t="s">
        <v>50</v>
      </c>
      <c r="C6656" s="6" t="s">
        <v>56</v>
      </c>
      <c r="D6656" s="5">
        <v>45627</v>
      </c>
      <c r="E6656" s="6" t="s">
        <v>15</v>
      </c>
      <c r="F6656" s="7">
        <v>2</v>
      </c>
      <c r="G6656" s="7">
        <v>349400</v>
      </c>
      <c r="H6656" s="7">
        <v>698800</v>
      </c>
      <c r="I6656" s="7">
        <v>38800</v>
      </c>
      <c r="J6656" s="7">
        <v>0</v>
      </c>
      <c r="K6656">
        <f t="shared" si="103"/>
        <v>151</v>
      </c>
      <c r="L6656" s="8" t="str" cm="1">
        <f t="array" ref="L6656">_xlfn.IFS(
 AND(K6656&gt;=89,K6656&lt;=92),"3개월",
 AND(K6656&gt;=58,K6656&lt;=62),"2개월",
 AND(K6656&gt;=28,K6656&lt;=32),"1개월",
 AND(K6656=0),"당월",
 TRUE,"그외"
)</f>
        <v>그외</v>
      </c>
    </row>
    <row r="6657" spans="1:12" x14ac:dyDescent="0.3">
      <c r="A6657" s="5">
        <v>45778</v>
      </c>
      <c r="B6657" s="6" t="s">
        <v>50</v>
      </c>
      <c r="C6657" s="6" t="s">
        <v>56</v>
      </c>
      <c r="D6657" s="5">
        <v>45658</v>
      </c>
      <c r="E6657" s="6" t="s">
        <v>14</v>
      </c>
      <c r="F6657" s="7">
        <v>2</v>
      </c>
      <c r="G6657" s="7">
        <v>128296</v>
      </c>
      <c r="H6657" s="7">
        <v>256592</v>
      </c>
      <c r="I6657" s="7">
        <v>79632</v>
      </c>
      <c r="J6657" s="7">
        <v>0</v>
      </c>
      <c r="K6657">
        <f t="shared" si="103"/>
        <v>120</v>
      </c>
      <c r="L6657" s="8" t="str" cm="1">
        <f t="array" ref="L6657">_xlfn.IFS(
 AND(K6657&gt;=89,K6657&lt;=92),"3개월",
 AND(K6657&gt;=58,K6657&lt;=62),"2개월",
 AND(K6657&gt;=28,K6657&lt;=32),"1개월",
 AND(K6657=0),"당월",
 TRUE,"그외"
)</f>
        <v>그외</v>
      </c>
    </row>
    <row r="6658" spans="1:12" x14ac:dyDescent="0.3">
      <c r="A6658" s="5">
        <v>45778</v>
      </c>
      <c r="B6658" s="6" t="s">
        <v>50</v>
      </c>
      <c r="C6658" s="6" t="s">
        <v>56</v>
      </c>
      <c r="D6658" s="5">
        <v>45658</v>
      </c>
      <c r="E6658" s="6" t="s">
        <v>15</v>
      </c>
      <c r="F6658" s="7">
        <v>114</v>
      </c>
      <c r="G6658" s="7">
        <v>158378.30701754379</v>
      </c>
      <c r="H6658" s="7">
        <v>18055127</v>
      </c>
      <c r="I6658" s="7">
        <v>3269889</v>
      </c>
      <c r="J6658" s="7">
        <v>0</v>
      </c>
      <c r="K6658">
        <f t="shared" si="103"/>
        <v>120</v>
      </c>
      <c r="L6658" s="8" t="str" cm="1">
        <f t="array" ref="L6658">_xlfn.IFS(
 AND(K6658&gt;=89,K6658&lt;=92),"3개월",
 AND(K6658&gt;=58,K6658&lt;=62),"2개월",
 AND(K6658&gt;=28,K6658&lt;=32),"1개월",
 AND(K6658=0),"당월",
 TRUE,"그외"
)</f>
        <v>그외</v>
      </c>
    </row>
    <row r="6659" spans="1:12" x14ac:dyDescent="0.3">
      <c r="A6659" s="5">
        <v>45778</v>
      </c>
      <c r="B6659" s="6" t="s">
        <v>50</v>
      </c>
      <c r="C6659" s="6" t="s">
        <v>56</v>
      </c>
      <c r="D6659" s="5">
        <v>45689</v>
      </c>
      <c r="E6659" s="6" t="s">
        <v>15</v>
      </c>
      <c r="F6659" s="7">
        <v>398</v>
      </c>
      <c r="G6659" s="7">
        <v>154859.56783919601</v>
      </c>
      <c r="H6659" s="7">
        <v>61634108</v>
      </c>
      <c r="I6659" s="7">
        <v>12457185</v>
      </c>
      <c r="J6659" s="7">
        <v>0</v>
      </c>
      <c r="K6659">
        <f t="shared" si="103"/>
        <v>89</v>
      </c>
      <c r="L6659" s="8" t="str" cm="1">
        <f t="array" ref="L6659">_xlfn.IFS(
 AND(K6659&gt;=89,K6659&lt;=92),"3개월",
 AND(K6659&gt;=58,K6659&lt;=62),"2개월",
 AND(K6659&gt;=28,K6659&lt;=32),"1개월",
 AND(K6659=0),"당월",
 TRUE,"그외"
)</f>
        <v>3개월</v>
      </c>
    </row>
    <row r="6660" spans="1:12" x14ac:dyDescent="0.3">
      <c r="A6660" s="5">
        <v>45778</v>
      </c>
      <c r="B6660" s="6" t="s">
        <v>50</v>
      </c>
      <c r="C6660" s="6" t="s">
        <v>56</v>
      </c>
      <c r="D6660" s="5">
        <v>45717</v>
      </c>
      <c r="E6660" s="6" t="s">
        <v>15</v>
      </c>
      <c r="F6660" s="7">
        <v>1397</v>
      </c>
      <c r="G6660" s="7">
        <v>141462.09019327129</v>
      </c>
      <c r="H6660" s="7">
        <v>197622540</v>
      </c>
      <c r="I6660" s="7">
        <v>42654639</v>
      </c>
      <c r="J6660" s="7">
        <v>0</v>
      </c>
      <c r="K6660">
        <f t="shared" si="103"/>
        <v>61</v>
      </c>
      <c r="L6660" s="8" t="str" cm="1">
        <f t="array" ref="L6660">_xlfn.IFS(
 AND(K6660&gt;=89,K6660&lt;=92),"3개월",
 AND(K6660&gt;=58,K6660&lt;=62),"2개월",
 AND(K6660&gt;=28,K6660&lt;=32),"1개월",
 AND(K6660=0),"당월",
 TRUE,"그외"
)</f>
        <v>2개월</v>
      </c>
    </row>
    <row r="6661" spans="1:12" x14ac:dyDescent="0.3">
      <c r="A6661" s="5">
        <v>45778</v>
      </c>
      <c r="B6661" s="6" t="s">
        <v>50</v>
      </c>
      <c r="C6661" s="6" t="s">
        <v>56</v>
      </c>
      <c r="D6661" s="5">
        <v>45748</v>
      </c>
      <c r="E6661" s="6" t="s">
        <v>14</v>
      </c>
      <c r="F6661" s="7">
        <v>215</v>
      </c>
      <c r="G6661" s="7">
        <v>142804.89302325581</v>
      </c>
      <c r="H6661" s="7">
        <v>30703052</v>
      </c>
      <c r="I6661" s="7">
        <v>6809082</v>
      </c>
      <c r="J6661" s="7">
        <v>0</v>
      </c>
      <c r="K6661">
        <f t="shared" si="103"/>
        <v>30</v>
      </c>
      <c r="L6661" s="8" t="str" cm="1">
        <f t="array" ref="L6661">_xlfn.IFS(
 AND(K6661&gt;=89,K6661&lt;=92),"3개월",
 AND(K6661&gt;=58,K6661&lt;=62),"2개월",
 AND(K6661&gt;=28,K6661&lt;=32),"1개월",
 AND(K6661=0),"당월",
 TRUE,"그외"
)</f>
        <v>1개월</v>
      </c>
    </row>
    <row r="6662" spans="1:12" x14ac:dyDescent="0.3">
      <c r="A6662" s="5">
        <v>45778</v>
      </c>
      <c r="B6662" s="6" t="s">
        <v>50</v>
      </c>
      <c r="C6662" s="6" t="s">
        <v>56</v>
      </c>
      <c r="D6662" s="5">
        <v>45748</v>
      </c>
      <c r="E6662" s="6" t="s">
        <v>15</v>
      </c>
      <c r="F6662" s="7">
        <v>2129</v>
      </c>
      <c r="G6662" s="7">
        <v>131661.9408172851</v>
      </c>
      <c r="H6662" s="7">
        <v>280308272</v>
      </c>
      <c r="I6662" s="7">
        <v>55928817</v>
      </c>
      <c r="J6662" s="7">
        <v>0</v>
      </c>
      <c r="K6662">
        <f t="shared" si="103"/>
        <v>30</v>
      </c>
      <c r="L6662" s="8" t="str" cm="1">
        <f t="array" ref="L6662">_xlfn.IFS(
 AND(K6662&gt;=89,K6662&lt;=92),"3개월",
 AND(K6662&gt;=58,K6662&lt;=62),"2개월",
 AND(K6662&gt;=28,K6662&lt;=32),"1개월",
 AND(K6662=0),"당월",
 TRUE,"그외"
)</f>
        <v>1개월</v>
      </c>
    </row>
    <row r="6663" spans="1:12" x14ac:dyDescent="0.3">
      <c r="A6663" s="5">
        <v>45778</v>
      </c>
      <c r="B6663" s="6" t="s">
        <v>50</v>
      </c>
      <c r="C6663" s="6" t="s">
        <v>56</v>
      </c>
      <c r="D6663" s="5">
        <v>45778</v>
      </c>
      <c r="E6663" s="6" t="s">
        <v>14</v>
      </c>
      <c r="F6663" s="7">
        <v>274</v>
      </c>
      <c r="G6663" s="7">
        <v>103284.60583941609</v>
      </c>
      <c r="H6663" s="7">
        <v>28299982</v>
      </c>
      <c r="I6663" s="7">
        <v>10953972</v>
      </c>
      <c r="J6663" s="7">
        <v>0</v>
      </c>
      <c r="K6663">
        <f t="shared" si="103"/>
        <v>0</v>
      </c>
      <c r="L6663" s="8" t="str" cm="1">
        <f t="array" ref="L6663">_xlfn.IFS(
 AND(K6663&gt;=89,K6663&lt;=92),"3개월",
 AND(K6663&gt;=58,K6663&lt;=62),"2개월",
 AND(K6663&gt;=28,K6663&lt;=32),"1개월",
 AND(K6663=0),"당월",
 TRUE,"그외"
)</f>
        <v>당월</v>
      </c>
    </row>
    <row r="6664" spans="1:12" x14ac:dyDescent="0.3">
      <c r="A6664" s="5">
        <v>45778</v>
      </c>
      <c r="B6664" s="6" t="s">
        <v>50</v>
      </c>
      <c r="C6664" s="6" t="s">
        <v>56</v>
      </c>
      <c r="D6664" s="5">
        <v>45778</v>
      </c>
      <c r="E6664" s="6" t="s">
        <v>15</v>
      </c>
      <c r="F6664" s="7">
        <v>449</v>
      </c>
      <c r="G6664" s="7">
        <v>109767.710467706</v>
      </c>
      <c r="H6664" s="7">
        <v>49285702</v>
      </c>
      <c r="I6664" s="7">
        <v>12211832</v>
      </c>
      <c r="J6664" s="7">
        <v>0</v>
      </c>
      <c r="K6664">
        <f t="shared" si="103"/>
        <v>0</v>
      </c>
      <c r="L6664" s="8" t="str" cm="1">
        <f t="array" ref="L6664">_xlfn.IFS(
 AND(K6664&gt;=89,K6664&lt;=92),"3개월",
 AND(K6664&gt;=58,K6664&lt;=62),"2개월",
 AND(K6664&gt;=28,K6664&lt;=32),"1개월",
 AND(K6664=0),"당월",
 TRUE,"그외"
)</f>
        <v>당월</v>
      </c>
    </row>
    <row r="6665" spans="1:12" x14ac:dyDescent="0.3">
      <c r="A6665" s="5">
        <v>45778</v>
      </c>
      <c r="B6665" s="6" t="s">
        <v>50</v>
      </c>
      <c r="C6665" s="6" t="s">
        <v>57</v>
      </c>
      <c r="D6665" s="5">
        <v>45658</v>
      </c>
      <c r="E6665" s="6" t="s">
        <v>15</v>
      </c>
      <c r="F6665" s="7">
        <v>181</v>
      </c>
      <c r="G6665" s="7">
        <v>181250.8729281768</v>
      </c>
      <c r="H6665" s="7">
        <v>32806408</v>
      </c>
      <c r="I6665" s="7">
        <v>5041841</v>
      </c>
      <c r="J6665" s="7">
        <v>0</v>
      </c>
      <c r="K6665">
        <f t="shared" si="103"/>
        <v>120</v>
      </c>
      <c r="L6665" s="8" t="str" cm="1">
        <f t="array" ref="L6665">_xlfn.IFS(
 AND(K6665&gt;=89,K6665&lt;=92),"3개월",
 AND(K6665&gt;=58,K6665&lt;=62),"2개월",
 AND(K6665&gt;=28,K6665&lt;=32),"1개월",
 AND(K6665=0),"당월",
 TRUE,"그외"
)</f>
        <v>그외</v>
      </c>
    </row>
    <row r="6666" spans="1:12" x14ac:dyDescent="0.3">
      <c r="A6666" s="5">
        <v>45778</v>
      </c>
      <c r="B6666" s="6" t="s">
        <v>50</v>
      </c>
      <c r="C6666" s="6" t="s">
        <v>57</v>
      </c>
      <c r="D6666" s="5">
        <v>45689</v>
      </c>
      <c r="E6666" s="6" t="s">
        <v>15</v>
      </c>
      <c r="F6666" s="7">
        <v>693</v>
      </c>
      <c r="G6666" s="7">
        <v>160830.18326118329</v>
      </c>
      <c r="H6666" s="7">
        <v>111455317</v>
      </c>
      <c r="I6666" s="7">
        <v>19055504</v>
      </c>
      <c r="J6666" s="7">
        <v>0</v>
      </c>
      <c r="K6666">
        <f t="shared" ref="K6666:K6729" si="104">A6666-D6666</f>
        <v>89</v>
      </c>
      <c r="L6666" s="8" t="str" cm="1">
        <f t="array" ref="L6666">_xlfn.IFS(
 AND(K6666&gt;=89,K6666&lt;=92),"3개월",
 AND(K6666&gt;=58,K6666&lt;=62),"2개월",
 AND(K6666&gt;=28,K6666&lt;=32),"1개월",
 AND(K6666=0),"당월",
 TRUE,"그외"
)</f>
        <v>3개월</v>
      </c>
    </row>
    <row r="6667" spans="1:12" x14ac:dyDescent="0.3">
      <c r="A6667" s="5">
        <v>45778</v>
      </c>
      <c r="B6667" s="6" t="s">
        <v>50</v>
      </c>
      <c r="C6667" s="6" t="s">
        <v>57</v>
      </c>
      <c r="D6667" s="5">
        <v>45717</v>
      </c>
      <c r="E6667" s="6" t="s">
        <v>14</v>
      </c>
      <c r="F6667" s="7">
        <v>52</v>
      </c>
      <c r="G6667" s="7">
        <v>165211.80769230769</v>
      </c>
      <c r="H6667" s="7">
        <v>8591014</v>
      </c>
      <c r="I6667" s="7">
        <v>1367694</v>
      </c>
      <c r="J6667" s="7">
        <v>0</v>
      </c>
      <c r="K6667">
        <f t="shared" si="104"/>
        <v>61</v>
      </c>
      <c r="L6667" s="8" t="str" cm="1">
        <f t="array" ref="L6667">_xlfn.IFS(
 AND(K6667&gt;=89,K6667&lt;=92),"3개월",
 AND(K6667&gt;=58,K6667&lt;=62),"2개월",
 AND(K6667&gt;=28,K6667&lt;=32),"1개월",
 AND(K6667=0),"당월",
 TRUE,"그외"
)</f>
        <v>2개월</v>
      </c>
    </row>
    <row r="6668" spans="1:12" x14ac:dyDescent="0.3">
      <c r="A6668" s="5">
        <v>45778</v>
      </c>
      <c r="B6668" s="6" t="s">
        <v>50</v>
      </c>
      <c r="C6668" s="6" t="s">
        <v>57</v>
      </c>
      <c r="D6668" s="5">
        <v>45717</v>
      </c>
      <c r="E6668" s="6" t="s">
        <v>15</v>
      </c>
      <c r="F6668" s="7">
        <v>1490</v>
      </c>
      <c r="G6668" s="7">
        <v>170514.78456375841</v>
      </c>
      <c r="H6668" s="7">
        <v>254067029</v>
      </c>
      <c r="I6668" s="7">
        <v>40847213</v>
      </c>
      <c r="J6668" s="7">
        <v>0</v>
      </c>
      <c r="K6668">
        <f t="shared" si="104"/>
        <v>61</v>
      </c>
      <c r="L6668" s="8" t="str" cm="1">
        <f t="array" ref="L6668">_xlfn.IFS(
 AND(K6668&gt;=89,K6668&lt;=92),"3개월",
 AND(K6668&gt;=58,K6668&lt;=62),"2개월",
 AND(K6668&gt;=28,K6668&lt;=32),"1개월",
 AND(K6668=0),"당월",
 TRUE,"그외"
)</f>
        <v>2개월</v>
      </c>
    </row>
    <row r="6669" spans="1:12" x14ac:dyDescent="0.3">
      <c r="A6669" s="5">
        <v>45778</v>
      </c>
      <c r="B6669" s="6" t="s">
        <v>50</v>
      </c>
      <c r="C6669" s="6" t="s">
        <v>57</v>
      </c>
      <c r="D6669" s="5">
        <v>45748</v>
      </c>
      <c r="E6669" s="6" t="s">
        <v>14</v>
      </c>
      <c r="F6669" s="7">
        <v>1891</v>
      </c>
      <c r="G6669" s="7">
        <v>137370.4542570069</v>
      </c>
      <c r="H6669" s="7">
        <v>259767529</v>
      </c>
      <c r="I6669" s="7">
        <v>65892993</v>
      </c>
      <c r="J6669" s="7">
        <v>0</v>
      </c>
      <c r="K6669">
        <f t="shared" si="104"/>
        <v>30</v>
      </c>
      <c r="L6669" s="8" t="str" cm="1">
        <f t="array" ref="L6669">_xlfn.IFS(
 AND(K6669&gt;=89,K6669&lt;=92),"3개월",
 AND(K6669&gt;=58,K6669&lt;=62),"2개월",
 AND(K6669&gt;=28,K6669&lt;=32),"1개월",
 AND(K6669=0),"당월",
 TRUE,"그외"
)</f>
        <v>1개월</v>
      </c>
    </row>
    <row r="6670" spans="1:12" x14ac:dyDescent="0.3">
      <c r="A6670" s="5">
        <v>45778</v>
      </c>
      <c r="B6670" s="6" t="s">
        <v>50</v>
      </c>
      <c r="C6670" s="6" t="s">
        <v>57</v>
      </c>
      <c r="D6670" s="5">
        <v>45748</v>
      </c>
      <c r="E6670" s="6" t="s">
        <v>15</v>
      </c>
      <c r="F6670" s="7">
        <v>2938</v>
      </c>
      <c r="G6670" s="7">
        <v>138693.6950306331</v>
      </c>
      <c r="H6670" s="7">
        <v>407482076</v>
      </c>
      <c r="I6670" s="7">
        <v>70509323</v>
      </c>
      <c r="J6670" s="7">
        <v>0</v>
      </c>
      <c r="K6670">
        <f t="shared" si="104"/>
        <v>30</v>
      </c>
      <c r="L6670" s="8" t="str" cm="1">
        <f t="array" ref="L6670">_xlfn.IFS(
 AND(K6670&gt;=89,K6670&lt;=92),"3개월",
 AND(K6670&gt;=58,K6670&lt;=62),"2개월",
 AND(K6670&gt;=28,K6670&lt;=32),"1개월",
 AND(K6670=0),"당월",
 TRUE,"그외"
)</f>
        <v>1개월</v>
      </c>
    </row>
    <row r="6671" spans="1:12" x14ac:dyDescent="0.3">
      <c r="A6671" s="5">
        <v>45778</v>
      </c>
      <c r="B6671" s="6" t="s">
        <v>50</v>
      </c>
      <c r="C6671" s="6" t="s">
        <v>57</v>
      </c>
      <c r="D6671" s="5">
        <v>45778</v>
      </c>
      <c r="E6671" s="6" t="s">
        <v>14</v>
      </c>
      <c r="F6671" s="7">
        <v>912</v>
      </c>
      <c r="G6671" s="7">
        <v>108994.60087719301</v>
      </c>
      <c r="H6671" s="7">
        <v>99403076</v>
      </c>
      <c r="I6671" s="7">
        <v>36459936</v>
      </c>
      <c r="J6671" s="7">
        <v>0</v>
      </c>
      <c r="K6671">
        <f t="shared" si="104"/>
        <v>0</v>
      </c>
      <c r="L6671" s="8" t="str" cm="1">
        <f t="array" ref="L6671">_xlfn.IFS(
 AND(K6671&gt;=89,K6671&lt;=92),"3개월",
 AND(K6671&gt;=58,K6671&lt;=62),"2개월",
 AND(K6671&gt;=28,K6671&lt;=32),"1개월",
 AND(K6671=0),"당월",
 TRUE,"그외"
)</f>
        <v>당월</v>
      </c>
    </row>
    <row r="6672" spans="1:12" x14ac:dyDescent="0.3">
      <c r="A6672" s="5">
        <v>45778</v>
      </c>
      <c r="B6672" s="6" t="s">
        <v>50</v>
      </c>
      <c r="C6672" s="6" t="s">
        <v>57</v>
      </c>
      <c r="D6672" s="5">
        <v>45778</v>
      </c>
      <c r="E6672" s="6" t="s">
        <v>15</v>
      </c>
      <c r="F6672" s="7">
        <v>699</v>
      </c>
      <c r="G6672" s="7">
        <v>108758.1173104435</v>
      </c>
      <c r="H6672" s="7">
        <v>76021924</v>
      </c>
      <c r="I6672" s="7">
        <v>16587550</v>
      </c>
      <c r="J6672" s="7">
        <v>0</v>
      </c>
      <c r="K6672">
        <f t="shared" si="104"/>
        <v>0</v>
      </c>
      <c r="L6672" s="8" t="str" cm="1">
        <f t="array" ref="L6672">_xlfn.IFS(
 AND(K6672&gt;=89,K6672&lt;=92),"3개월",
 AND(K6672&gt;=58,K6672&lt;=62),"2개월",
 AND(K6672&gt;=28,K6672&lt;=32),"1개월",
 AND(K6672=0),"당월",
 TRUE,"그외"
)</f>
        <v>당월</v>
      </c>
    </row>
    <row r="6673" spans="1:12" x14ac:dyDescent="0.3">
      <c r="A6673" s="5">
        <v>45778</v>
      </c>
      <c r="B6673" s="6" t="s">
        <v>50</v>
      </c>
      <c r="C6673" s="6" t="s">
        <v>59</v>
      </c>
      <c r="D6673" s="5">
        <v>45717</v>
      </c>
      <c r="E6673" s="6" t="s">
        <v>14</v>
      </c>
      <c r="F6673" s="7">
        <v>68</v>
      </c>
      <c r="G6673" s="7">
        <v>127716</v>
      </c>
      <c r="H6673" s="7">
        <v>8684688</v>
      </c>
      <c r="I6673" s="7">
        <v>2695248</v>
      </c>
      <c r="J6673" s="7">
        <v>0</v>
      </c>
      <c r="K6673">
        <f t="shared" si="104"/>
        <v>61</v>
      </c>
      <c r="L6673" s="8" t="str" cm="1">
        <f t="array" ref="L6673">_xlfn.IFS(
 AND(K6673&gt;=89,K6673&lt;=92),"3개월",
 AND(K6673&gt;=58,K6673&lt;=62),"2개월",
 AND(K6673&gt;=28,K6673&lt;=32),"1개월",
 AND(K6673=0),"당월",
 TRUE,"그외"
)</f>
        <v>2개월</v>
      </c>
    </row>
    <row r="6674" spans="1:12" x14ac:dyDescent="0.3">
      <c r="A6674" s="5">
        <v>45778</v>
      </c>
      <c r="B6674" s="6" t="s">
        <v>50</v>
      </c>
      <c r="C6674" s="6" t="s">
        <v>59</v>
      </c>
      <c r="D6674" s="5">
        <v>45717</v>
      </c>
      <c r="E6674" s="6" t="s">
        <v>15</v>
      </c>
      <c r="F6674" s="7">
        <v>1389</v>
      </c>
      <c r="G6674" s="7">
        <v>146199.81353491719</v>
      </c>
      <c r="H6674" s="7">
        <v>203071541</v>
      </c>
      <c r="I6674" s="7">
        <v>49054188</v>
      </c>
      <c r="J6674" s="7">
        <v>0</v>
      </c>
      <c r="K6674">
        <f t="shared" si="104"/>
        <v>61</v>
      </c>
      <c r="L6674" s="8" t="str" cm="1">
        <f t="array" ref="L6674">_xlfn.IFS(
 AND(K6674&gt;=89,K6674&lt;=92),"3개월",
 AND(K6674&gt;=58,K6674&lt;=62),"2개월",
 AND(K6674&gt;=28,K6674&lt;=32),"1개월",
 AND(K6674=0),"당월",
 TRUE,"그외"
)</f>
        <v>2개월</v>
      </c>
    </row>
    <row r="6675" spans="1:12" x14ac:dyDescent="0.3">
      <c r="A6675" s="5">
        <v>45778</v>
      </c>
      <c r="B6675" s="6" t="s">
        <v>50</v>
      </c>
      <c r="C6675" s="6" t="s">
        <v>59</v>
      </c>
      <c r="D6675" s="5">
        <v>45748</v>
      </c>
      <c r="E6675" s="6" t="s">
        <v>14</v>
      </c>
      <c r="F6675" s="7">
        <v>2017</v>
      </c>
      <c r="G6675" s="7">
        <v>124376.0823004462</v>
      </c>
      <c r="H6675" s="7">
        <v>250866558</v>
      </c>
      <c r="I6675" s="7">
        <v>78113220</v>
      </c>
      <c r="J6675" s="7">
        <v>0</v>
      </c>
      <c r="K6675">
        <f t="shared" si="104"/>
        <v>30</v>
      </c>
      <c r="L6675" s="8" t="str" cm="1">
        <f t="array" ref="L6675">_xlfn.IFS(
 AND(K6675&gt;=89,K6675&lt;=92),"3개월",
 AND(K6675&gt;=58,K6675&lt;=62),"2개월",
 AND(K6675&gt;=28,K6675&lt;=32),"1개월",
 AND(K6675=0),"당월",
 TRUE,"그외"
)</f>
        <v>1개월</v>
      </c>
    </row>
    <row r="6676" spans="1:12" x14ac:dyDescent="0.3">
      <c r="A6676" s="5">
        <v>45778</v>
      </c>
      <c r="B6676" s="6" t="s">
        <v>50</v>
      </c>
      <c r="C6676" s="6" t="s">
        <v>59</v>
      </c>
      <c r="D6676" s="5">
        <v>45748</v>
      </c>
      <c r="E6676" s="6" t="s">
        <v>15</v>
      </c>
      <c r="F6676" s="7">
        <v>772</v>
      </c>
      <c r="G6676" s="7">
        <v>161982.53626943001</v>
      </c>
      <c r="H6676" s="7">
        <v>125050518</v>
      </c>
      <c r="I6676" s="7">
        <v>23499966</v>
      </c>
      <c r="J6676" s="7">
        <v>0</v>
      </c>
      <c r="K6676">
        <f t="shared" si="104"/>
        <v>30</v>
      </c>
      <c r="L6676" s="8" t="str" cm="1">
        <f t="array" ref="L6676">_xlfn.IFS(
 AND(K6676&gt;=89,K6676&lt;=92),"3개월",
 AND(K6676&gt;=58,K6676&lt;=62),"2개월",
 AND(K6676&gt;=28,K6676&lt;=32),"1개월",
 AND(K6676=0),"당월",
 TRUE,"그외"
)</f>
        <v>1개월</v>
      </c>
    </row>
    <row r="6677" spans="1:12" x14ac:dyDescent="0.3">
      <c r="A6677" s="5">
        <v>45778</v>
      </c>
      <c r="B6677" s="6" t="s">
        <v>50</v>
      </c>
      <c r="C6677" s="6" t="s">
        <v>59</v>
      </c>
      <c r="D6677" s="5">
        <v>45778</v>
      </c>
      <c r="E6677" s="6" t="s">
        <v>14</v>
      </c>
      <c r="F6677" s="7">
        <v>588</v>
      </c>
      <c r="G6677" s="7">
        <v>112538.2210884354</v>
      </c>
      <c r="H6677" s="7">
        <v>66172474</v>
      </c>
      <c r="I6677" s="7">
        <v>23507064</v>
      </c>
      <c r="J6677" s="7">
        <v>0</v>
      </c>
      <c r="K6677">
        <f t="shared" si="104"/>
        <v>0</v>
      </c>
      <c r="L6677" s="8" t="str" cm="1">
        <f t="array" ref="L6677">_xlfn.IFS(
 AND(K6677&gt;=89,K6677&lt;=92),"3개월",
 AND(K6677&gt;=58,K6677&lt;=62),"2개월",
 AND(K6677&gt;=28,K6677&lt;=32),"1개월",
 AND(K6677=0),"당월",
 TRUE,"그외"
)</f>
        <v>당월</v>
      </c>
    </row>
    <row r="6678" spans="1:12" x14ac:dyDescent="0.3">
      <c r="A6678" s="5">
        <v>45778</v>
      </c>
      <c r="B6678" s="6" t="s">
        <v>50</v>
      </c>
      <c r="C6678" s="6" t="s">
        <v>59</v>
      </c>
      <c r="D6678" s="5">
        <v>45778</v>
      </c>
      <c r="E6678" s="6" t="s">
        <v>15</v>
      </c>
      <c r="F6678" s="7">
        <v>45</v>
      </c>
      <c r="G6678" s="7">
        <v>160592.2888888889</v>
      </c>
      <c r="H6678" s="7">
        <v>7226653</v>
      </c>
      <c r="I6678" s="7">
        <v>1245142</v>
      </c>
      <c r="J6678" s="7">
        <v>0</v>
      </c>
      <c r="K6678">
        <f t="shared" si="104"/>
        <v>0</v>
      </c>
      <c r="L6678" s="8" t="str" cm="1">
        <f t="array" ref="L6678">_xlfn.IFS(
 AND(K6678&gt;=89,K6678&lt;=92),"3개월",
 AND(K6678&gt;=58,K6678&lt;=62),"2개월",
 AND(K6678&gt;=28,K6678&lt;=32),"1개월",
 AND(K6678=0),"당월",
 TRUE,"그외"
)</f>
        <v>당월</v>
      </c>
    </row>
    <row r="6679" spans="1:12" x14ac:dyDescent="0.3">
      <c r="A6679" s="5">
        <v>45778</v>
      </c>
      <c r="B6679" s="6" t="s">
        <v>60</v>
      </c>
      <c r="C6679" s="6" t="s">
        <v>61</v>
      </c>
      <c r="D6679" s="5">
        <v>45627</v>
      </c>
      <c r="E6679" s="6" t="s">
        <v>15</v>
      </c>
      <c r="F6679" s="7">
        <v>104</v>
      </c>
      <c r="G6679" s="7">
        <v>238050.52884615379</v>
      </c>
      <c r="H6679" s="7">
        <v>24757255</v>
      </c>
      <c r="I6679" s="7">
        <v>3877476</v>
      </c>
      <c r="J6679" s="7">
        <v>0</v>
      </c>
      <c r="K6679">
        <f t="shared" si="104"/>
        <v>151</v>
      </c>
      <c r="L6679" s="8" t="str" cm="1">
        <f t="array" ref="L6679">_xlfn.IFS(
 AND(K6679&gt;=89,K6679&lt;=92),"3개월",
 AND(K6679&gt;=58,K6679&lt;=62),"2개월",
 AND(K6679&gt;=28,K6679&lt;=32),"1개월",
 AND(K6679=0),"당월",
 TRUE,"그외"
)</f>
        <v>그외</v>
      </c>
    </row>
    <row r="6680" spans="1:12" x14ac:dyDescent="0.3">
      <c r="A6680" s="5">
        <v>45778</v>
      </c>
      <c r="B6680" s="6" t="s">
        <v>60</v>
      </c>
      <c r="C6680" s="6" t="s">
        <v>61</v>
      </c>
      <c r="D6680" s="5">
        <v>45658</v>
      </c>
      <c r="E6680" s="6" t="s">
        <v>15</v>
      </c>
      <c r="F6680" s="7">
        <v>310</v>
      </c>
      <c r="G6680" s="7">
        <v>209162.43225806451</v>
      </c>
      <c r="H6680" s="7">
        <v>64840354</v>
      </c>
      <c r="I6680" s="7">
        <v>13538122</v>
      </c>
      <c r="J6680" s="7">
        <v>0</v>
      </c>
      <c r="K6680">
        <f t="shared" si="104"/>
        <v>120</v>
      </c>
      <c r="L6680" s="8" t="str" cm="1">
        <f t="array" ref="L6680">_xlfn.IFS(
 AND(K6680&gt;=89,K6680&lt;=92),"3개월",
 AND(K6680&gt;=58,K6680&lt;=62),"2개월",
 AND(K6680&gt;=28,K6680&lt;=32),"1개월",
 AND(K6680=0),"당월",
 TRUE,"그외"
)</f>
        <v>그외</v>
      </c>
    </row>
    <row r="6681" spans="1:12" x14ac:dyDescent="0.3">
      <c r="A6681" s="5">
        <v>45778</v>
      </c>
      <c r="B6681" s="6" t="s">
        <v>60</v>
      </c>
      <c r="C6681" s="6" t="s">
        <v>61</v>
      </c>
      <c r="D6681" s="5">
        <v>45689</v>
      </c>
      <c r="E6681" s="6" t="s">
        <v>14</v>
      </c>
      <c r="F6681" s="7">
        <v>455</v>
      </c>
      <c r="G6681" s="7">
        <v>248794.50549450549</v>
      </c>
      <c r="H6681" s="7">
        <v>113201500</v>
      </c>
      <c r="I6681" s="7">
        <v>14605500</v>
      </c>
      <c r="J6681" s="7">
        <v>0</v>
      </c>
      <c r="K6681">
        <f t="shared" si="104"/>
        <v>89</v>
      </c>
      <c r="L6681" s="8" t="str" cm="1">
        <f t="array" ref="L6681">_xlfn.IFS(
 AND(K6681&gt;=89,K6681&lt;=92),"3개월",
 AND(K6681&gt;=58,K6681&lt;=62),"2개월",
 AND(K6681&gt;=28,K6681&lt;=32),"1개월",
 AND(K6681=0),"당월",
 TRUE,"그외"
)</f>
        <v>3개월</v>
      </c>
    </row>
    <row r="6682" spans="1:12" x14ac:dyDescent="0.3">
      <c r="A6682" s="5">
        <v>45778</v>
      </c>
      <c r="B6682" s="6" t="s">
        <v>60</v>
      </c>
      <c r="C6682" s="6" t="s">
        <v>61</v>
      </c>
      <c r="D6682" s="5">
        <v>45689</v>
      </c>
      <c r="E6682" s="6" t="s">
        <v>15</v>
      </c>
      <c r="F6682" s="7">
        <v>627</v>
      </c>
      <c r="G6682" s="7">
        <v>183778.03827751201</v>
      </c>
      <c r="H6682" s="7">
        <v>115228830</v>
      </c>
      <c r="I6682" s="7">
        <v>26905677</v>
      </c>
      <c r="J6682" s="7">
        <v>0</v>
      </c>
      <c r="K6682">
        <f t="shared" si="104"/>
        <v>89</v>
      </c>
      <c r="L6682" s="8" t="str" cm="1">
        <f t="array" ref="L6682">_xlfn.IFS(
 AND(K6682&gt;=89,K6682&lt;=92),"3개월",
 AND(K6682&gt;=58,K6682&lt;=62),"2개월",
 AND(K6682&gt;=28,K6682&lt;=32),"1개월",
 AND(K6682=0),"당월",
 TRUE,"그외"
)</f>
        <v>3개월</v>
      </c>
    </row>
    <row r="6683" spans="1:12" x14ac:dyDescent="0.3">
      <c r="A6683" s="5">
        <v>45778</v>
      </c>
      <c r="B6683" s="6" t="s">
        <v>60</v>
      </c>
      <c r="C6683" s="6" t="s">
        <v>61</v>
      </c>
      <c r="D6683" s="5">
        <v>45717</v>
      </c>
      <c r="E6683" s="6" t="s">
        <v>14</v>
      </c>
      <c r="F6683" s="7">
        <v>228</v>
      </c>
      <c r="G6683" s="7">
        <v>152867.5438596491</v>
      </c>
      <c r="H6683" s="7">
        <v>34853800</v>
      </c>
      <c r="I6683" s="7">
        <v>8561800</v>
      </c>
      <c r="J6683" s="7">
        <v>0</v>
      </c>
      <c r="K6683">
        <f t="shared" si="104"/>
        <v>61</v>
      </c>
      <c r="L6683" s="8" t="str" cm="1">
        <f t="array" ref="L6683">_xlfn.IFS(
 AND(K6683&gt;=89,K6683&lt;=92),"3개월",
 AND(K6683&gt;=58,K6683&lt;=62),"2개월",
 AND(K6683&gt;=28,K6683&lt;=32),"1개월",
 AND(K6683=0),"당월",
 TRUE,"그외"
)</f>
        <v>2개월</v>
      </c>
    </row>
    <row r="6684" spans="1:12" x14ac:dyDescent="0.3">
      <c r="A6684" s="5">
        <v>45778</v>
      </c>
      <c r="B6684" s="6" t="s">
        <v>60</v>
      </c>
      <c r="C6684" s="6" t="s">
        <v>61</v>
      </c>
      <c r="D6684" s="5">
        <v>45717</v>
      </c>
      <c r="E6684" s="6" t="s">
        <v>15</v>
      </c>
      <c r="F6684" s="7">
        <v>1072</v>
      </c>
      <c r="G6684" s="7">
        <v>188733.75373134331</v>
      </c>
      <c r="H6684" s="7">
        <v>202322584</v>
      </c>
      <c r="I6684" s="7">
        <v>53264918</v>
      </c>
      <c r="J6684" s="7">
        <v>0</v>
      </c>
      <c r="K6684">
        <f t="shared" si="104"/>
        <v>61</v>
      </c>
      <c r="L6684" s="8" t="str" cm="1">
        <f t="array" ref="L6684">_xlfn.IFS(
 AND(K6684&gt;=89,K6684&lt;=92),"3개월",
 AND(K6684&gt;=58,K6684&lt;=62),"2개월",
 AND(K6684&gt;=28,K6684&lt;=32),"1개월",
 AND(K6684=0),"당월",
 TRUE,"그외"
)</f>
        <v>2개월</v>
      </c>
    </row>
    <row r="6685" spans="1:12" x14ac:dyDescent="0.3">
      <c r="A6685" s="5">
        <v>45778</v>
      </c>
      <c r="B6685" s="6" t="s">
        <v>60</v>
      </c>
      <c r="C6685" s="6" t="s">
        <v>61</v>
      </c>
      <c r="D6685" s="5">
        <v>45748</v>
      </c>
      <c r="E6685" s="6" t="s">
        <v>14</v>
      </c>
      <c r="F6685" s="7">
        <v>756</v>
      </c>
      <c r="G6685" s="7">
        <v>103188.2275132275</v>
      </c>
      <c r="H6685" s="7">
        <v>78010300</v>
      </c>
      <c r="I6685" s="7">
        <v>20888300</v>
      </c>
      <c r="J6685" s="7">
        <v>0</v>
      </c>
      <c r="K6685">
        <f t="shared" si="104"/>
        <v>30</v>
      </c>
      <c r="L6685" s="8" t="str" cm="1">
        <f t="array" ref="L6685">_xlfn.IFS(
 AND(K6685&gt;=89,K6685&lt;=92),"3개월",
 AND(K6685&gt;=58,K6685&lt;=62),"2개월",
 AND(K6685&gt;=28,K6685&lt;=32),"1개월",
 AND(K6685=0),"당월",
 TRUE,"그외"
)</f>
        <v>1개월</v>
      </c>
    </row>
    <row r="6686" spans="1:12" x14ac:dyDescent="0.3">
      <c r="A6686" s="5">
        <v>45778</v>
      </c>
      <c r="B6686" s="6" t="s">
        <v>60</v>
      </c>
      <c r="C6686" s="6" t="s">
        <v>61</v>
      </c>
      <c r="D6686" s="5">
        <v>45748</v>
      </c>
      <c r="E6686" s="6" t="s">
        <v>15</v>
      </c>
      <c r="F6686" s="7">
        <v>4131</v>
      </c>
      <c r="G6686" s="7">
        <v>143976.61171629149</v>
      </c>
      <c r="H6686" s="7">
        <v>594767383</v>
      </c>
      <c r="I6686" s="7">
        <v>179632762</v>
      </c>
      <c r="J6686" s="7">
        <v>0</v>
      </c>
      <c r="K6686">
        <f t="shared" si="104"/>
        <v>30</v>
      </c>
      <c r="L6686" s="8" t="str" cm="1">
        <f t="array" ref="L6686">_xlfn.IFS(
 AND(K6686&gt;=89,K6686&lt;=92),"3개월",
 AND(K6686&gt;=58,K6686&lt;=62),"2개월",
 AND(K6686&gt;=28,K6686&lt;=32),"1개월",
 AND(K6686=0),"당월",
 TRUE,"그외"
)</f>
        <v>1개월</v>
      </c>
    </row>
    <row r="6687" spans="1:12" x14ac:dyDescent="0.3">
      <c r="A6687" s="5">
        <v>45778</v>
      </c>
      <c r="B6687" s="6" t="s">
        <v>60</v>
      </c>
      <c r="C6687" s="6" t="s">
        <v>61</v>
      </c>
      <c r="D6687" s="5">
        <v>45778</v>
      </c>
      <c r="E6687" s="6" t="s">
        <v>14</v>
      </c>
      <c r="F6687" s="7">
        <v>839</v>
      </c>
      <c r="G6687" s="7">
        <v>97113.063170441004</v>
      </c>
      <c r="H6687" s="7">
        <v>81477860</v>
      </c>
      <c r="I6687" s="7">
        <v>25939460</v>
      </c>
      <c r="J6687" s="7">
        <v>0</v>
      </c>
      <c r="K6687">
        <f t="shared" si="104"/>
        <v>0</v>
      </c>
      <c r="L6687" s="8" t="str" cm="1">
        <f t="array" ref="L6687">_xlfn.IFS(
 AND(K6687&gt;=89,K6687&lt;=92),"3개월",
 AND(K6687&gt;=58,K6687&lt;=62),"2개월",
 AND(K6687&gt;=28,K6687&lt;=32),"1개월",
 AND(K6687=0),"당월",
 TRUE,"그외"
)</f>
        <v>당월</v>
      </c>
    </row>
    <row r="6688" spans="1:12" x14ac:dyDescent="0.3">
      <c r="A6688" s="5">
        <v>45778</v>
      </c>
      <c r="B6688" s="6" t="s">
        <v>60</v>
      </c>
      <c r="C6688" s="6" t="s">
        <v>61</v>
      </c>
      <c r="D6688" s="5">
        <v>45778</v>
      </c>
      <c r="E6688" s="6" t="s">
        <v>15</v>
      </c>
      <c r="F6688" s="7">
        <v>1645</v>
      </c>
      <c r="G6688" s="7">
        <v>138182.83343465041</v>
      </c>
      <c r="H6688" s="7">
        <v>227310761</v>
      </c>
      <c r="I6688" s="7">
        <v>61422175</v>
      </c>
      <c r="J6688" s="7">
        <v>0</v>
      </c>
      <c r="K6688">
        <f t="shared" si="104"/>
        <v>0</v>
      </c>
      <c r="L6688" s="8" t="str" cm="1">
        <f t="array" ref="L6688">_xlfn.IFS(
 AND(K6688&gt;=89,K6688&lt;=92),"3개월",
 AND(K6688&gt;=58,K6688&lt;=62),"2개월",
 AND(K6688&gt;=28,K6688&lt;=32),"1개월",
 AND(K6688=0),"당월",
 TRUE,"그외"
)</f>
        <v>당월</v>
      </c>
    </row>
    <row r="6689" spans="1:12" x14ac:dyDescent="0.3">
      <c r="A6689" s="5">
        <v>45778</v>
      </c>
      <c r="B6689" s="6" t="s">
        <v>60</v>
      </c>
      <c r="C6689" s="6" t="s">
        <v>104</v>
      </c>
      <c r="D6689" s="5">
        <v>45627</v>
      </c>
      <c r="E6689" s="6" t="s">
        <v>15</v>
      </c>
      <c r="F6689" s="7">
        <v>25</v>
      </c>
      <c r="G6689" s="7">
        <v>334866.44</v>
      </c>
      <c r="H6689" s="7">
        <v>8371661</v>
      </c>
      <c r="I6689" s="7">
        <v>812541</v>
      </c>
      <c r="J6689" s="7">
        <v>0</v>
      </c>
      <c r="K6689">
        <f t="shared" si="104"/>
        <v>151</v>
      </c>
      <c r="L6689" s="8" t="str" cm="1">
        <f t="array" ref="L6689">_xlfn.IFS(
 AND(K6689&gt;=89,K6689&lt;=92),"3개월",
 AND(K6689&gt;=58,K6689&lt;=62),"2개월",
 AND(K6689&gt;=28,K6689&lt;=32),"1개월",
 AND(K6689=0),"당월",
 TRUE,"그외"
)</f>
        <v>그외</v>
      </c>
    </row>
    <row r="6690" spans="1:12" x14ac:dyDescent="0.3">
      <c r="A6690" s="5">
        <v>45778</v>
      </c>
      <c r="B6690" s="6" t="s">
        <v>60</v>
      </c>
      <c r="C6690" s="6" t="s">
        <v>104</v>
      </c>
      <c r="D6690" s="5">
        <v>45658</v>
      </c>
      <c r="E6690" s="6" t="s">
        <v>15</v>
      </c>
      <c r="F6690" s="7">
        <v>74</v>
      </c>
      <c r="G6690" s="7">
        <v>397880.31081081083</v>
      </c>
      <c r="H6690" s="7">
        <v>29443143</v>
      </c>
      <c r="I6690" s="7">
        <v>2591512</v>
      </c>
      <c r="J6690" s="7">
        <v>0</v>
      </c>
      <c r="K6690">
        <f t="shared" si="104"/>
        <v>120</v>
      </c>
      <c r="L6690" s="8" t="str" cm="1">
        <f t="array" ref="L6690">_xlfn.IFS(
 AND(K6690&gt;=89,K6690&lt;=92),"3개월",
 AND(K6690&gt;=58,K6690&lt;=62),"2개월",
 AND(K6690&gt;=28,K6690&lt;=32),"1개월",
 AND(K6690=0),"당월",
 TRUE,"그외"
)</f>
        <v>그외</v>
      </c>
    </row>
    <row r="6691" spans="1:12" x14ac:dyDescent="0.3">
      <c r="A6691" s="5">
        <v>45778</v>
      </c>
      <c r="B6691" s="6" t="s">
        <v>60</v>
      </c>
      <c r="C6691" s="6" t="s">
        <v>104</v>
      </c>
      <c r="D6691" s="5">
        <v>45689</v>
      </c>
      <c r="E6691" s="6" t="s">
        <v>14</v>
      </c>
      <c r="F6691" s="7">
        <v>45</v>
      </c>
      <c r="G6691" s="7">
        <v>202722.22222222219</v>
      </c>
      <c r="H6691" s="7">
        <v>9122500</v>
      </c>
      <c r="I6691" s="7">
        <v>1444500</v>
      </c>
      <c r="J6691" s="7">
        <v>0</v>
      </c>
      <c r="K6691">
        <f t="shared" si="104"/>
        <v>89</v>
      </c>
      <c r="L6691" s="8" t="str" cm="1">
        <f t="array" ref="L6691">_xlfn.IFS(
 AND(K6691&gt;=89,K6691&lt;=92),"3개월",
 AND(K6691&gt;=58,K6691&lt;=62),"2개월",
 AND(K6691&gt;=28,K6691&lt;=32),"1개월",
 AND(K6691=0),"당월",
 TRUE,"그외"
)</f>
        <v>3개월</v>
      </c>
    </row>
    <row r="6692" spans="1:12" x14ac:dyDescent="0.3">
      <c r="A6692" s="5">
        <v>45778</v>
      </c>
      <c r="B6692" s="6" t="s">
        <v>60</v>
      </c>
      <c r="C6692" s="6" t="s">
        <v>104</v>
      </c>
      <c r="D6692" s="5">
        <v>45689</v>
      </c>
      <c r="E6692" s="6" t="s">
        <v>15</v>
      </c>
      <c r="F6692" s="7">
        <v>77</v>
      </c>
      <c r="G6692" s="7">
        <v>357614.25974025967</v>
      </c>
      <c r="H6692" s="7">
        <v>27536298</v>
      </c>
      <c r="I6692" s="7">
        <v>3060461</v>
      </c>
      <c r="J6692" s="7">
        <v>0</v>
      </c>
      <c r="K6692">
        <f t="shared" si="104"/>
        <v>89</v>
      </c>
      <c r="L6692" s="8" t="str" cm="1">
        <f t="array" ref="L6692">_xlfn.IFS(
 AND(K6692&gt;=89,K6692&lt;=92),"3개월",
 AND(K6692&gt;=58,K6692&lt;=62),"2개월",
 AND(K6692&gt;=28,K6692&lt;=32),"1개월",
 AND(K6692=0),"당월",
 TRUE,"그외"
)</f>
        <v>3개월</v>
      </c>
    </row>
    <row r="6693" spans="1:12" x14ac:dyDescent="0.3">
      <c r="A6693" s="5">
        <v>45778</v>
      </c>
      <c r="B6693" s="6" t="s">
        <v>60</v>
      </c>
      <c r="C6693" s="6" t="s">
        <v>104</v>
      </c>
      <c r="D6693" s="5">
        <v>45717</v>
      </c>
      <c r="E6693" s="6" t="s">
        <v>14</v>
      </c>
      <c r="F6693" s="7">
        <v>249</v>
      </c>
      <c r="G6693" s="7">
        <v>336375.10040160641</v>
      </c>
      <c r="H6693" s="7">
        <v>83757400</v>
      </c>
      <c r="I6693" s="7">
        <v>9362400</v>
      </c>
      <c r="J6693" s="7">
        <v>0</v>
      </c>
      <c r="K6693">
        <f t="shared" si="104"/>
        <v>61</v>
      </c>
      <c r="L6693" s="8" t="str" cm="1">
        <f t="array" ref="L6693">_xlfn.IFS(
 AND(K6693&gt;=89,K6693&lt;=92),"3개월",
 AND(K6693&gt;=58,K6693&lt;=62),"2개월",
 AND(K6693&gt;=28,K6693&lt;=32),"1개월",
 AND(K6693=0),"당월",
 TRUE,"그외"
)</f>
        <v>2개월</v>
      </c>
    </row>
    <row r="6694" spans="1:12" x14ac:dyDescent="0.3">
      <c r="A6694" s="5">
        <v>45778</v>
      </c>
      <c r="B6694" s="6" t="s">
        <v>60</v>
      </c>
      <c r="C6694" s="6" t="s">
        <v>104</v>
      </c>
      <c r="D6694" s="5">
        <v>45717</v>
      </c>
      <c r="E6694" s="6" t="s">
        <v>15</v>
      </c>
      <c r="F6694" s="7">
        <v>250</v>
      </c>
      <c r="G6694" s="7">
        <v>326731.788</v>
      </c>
      <c r="H6694" s="7">
        <v>81682947</v>
      </c>
      <c r="I6694" s="7">
        <v>9881856</v>
      </c>
      <c r="J6694" s="7">
        <v>0</v>
      </c>
      <c r="K6694">
        <f t="shared" si="104"/>
        <v>61</v>
      </c>
      <c r="L6694" s="8" t="str" cm="1">
        <f t="array" ref="L6694">_xlfn.IFS(
 AND(K6694&gt;=89,K6694&lt;=92),"3개월",
 AND(K6694&gt;=58,K6694&lt;=62),"2개월",
 AND(K6694&gt;=28,K6694&lt;=32),"1개월",
 AND(K6694=0),"당월",
 TRUE,"그외"
)</f>
        <v>2개월</v>
      </c>
    </row>
    <row r="6695" spans="1:12" x14ac:dyDescent="0.3">
      <c r="A6695" s="5">
        <v>45778</v>
      </c>
      <c r="B6695" s="6" t="s">
        <v>60</v>
      </c>
      <c r="C6695" s="6" t="s">
        <v>104</v>
      </c>
      <c r="D6695" s="5">
        <v>45748</v>
      </c>
      <c r="E6695" s="6" t="s">
        <v>14</v>
      </c>
      <c r="F6695" s="7">
        <v>386</v>
      </c>
      <c r="G6695" s="7">
        <v>229954.92227979281</v>
      </c>
      <c r="H6695" s="7">
        <v>88762600</v>
      </c>
      <c r="I6695" s="7">
        <v>10653600</v>
      </c>
      <c r="J6695" s="7">
        <v>0</v>
      </c>
      <c r="K6695">
        <f t="shared" si="104"/>
        <v>30</v>
      </c>
      <c r="L6695" s="8" t="str" cm="1">
        <f t="array" ref="L6695">_xlfn.IFS(
 AND(K6695&gt;=89,K6695&lt;=92),"3개월",
 AND(K6695&gt;=58,K6695&lt;=62),"2개월",
 AND(K6695&gt;=28,K6695&lt;=32),"1개월",
 AND(K6695=0),"당월",
 TRUE,"그외"
)</f>
        <v>1개월</v>
      </c>
    </row>
    <row r="6696" spans="1:12" x14ac:dyDescent="0.3">
      <c r="A6696" s="5">
        <v>45778</v>
      </c>
      <c r="B6696" s="6" t="s">
        <v>60</v>
      </c>
      <c r="C6696" s="6" t="s">
        <v>104</v>
      </c>
      <c r="D6696" s="5">
        <v>45748</v>
      </c>
      <c r="E6696" s="6" t="s">
        <v>15</v>
      </c>
      <c r="F6696" s="7">
        <v>739</v>
      </c>
      <c r="G6696" s="7">
        <v>197520.4248985115</v>
      </c>
      <c r="H6696" s="7">
        <v>145967594</v>
      </c>
      <c r="I6696" s="7">
        <v>25133906</v>
      </c>
      <c r="J6696" s="7">
        <v>0</v>
      </c>
      <c r="K6696">
        <f t="shared" si="104"/>
        <v>30</v>
      </c>
      <c r="L6696" s="8" t="str" cm="1">
        <f t="array" ref="L6696">_xlfn.IFS(
 AND(K6696&gt;=89,K6696&lt;=92),"3개월",
 AND(K6696&gt;=58,K6696&lt;=62),"2개월",
 AND(K6696&gt;=28,K6696&lt;=32),"1개월",
 AND(K6696=0),"당월",
 TRUE,"그외"
)</f>
        <v>1개월</v>
      </c>
    </row>
    <row r="6697" spans="1:12" x14ac:dyDescent="0.3">
      <c r="A6697" s="5">
        <v>45778</v>
      </c>
      <c r="B6697" s="6" t="s">
        <v>60</v>
      </c>
      <c r="C6697" s="6" t="s">
        <v>104</v>
      </c>
      <c r="D6697" s="5">
        <v>45778</v>
      </c>
      <c r="E6697" s="6" t="s">
        <v>15</v>
      </c>
      <c r="F6697" s="7">
        <v>94</v>
      </c>
      <c r="G6697" s="7">
        <v>173200.3617021277</v>
      </c>
      <c r="H6697" s="7">
        <v>16280834</v>
      </c>
      <c r="I6697" s="7">
        <v>3699787</v>
      </c>
      <c r="J6697" s="7">
        <v>0</v>
      </c>
      <c r="K6697">
        <f t="shared" si="104"/>
        <v>0</v>
      </c>
      <c r="L6697" s="8" t="str" cm="1">
        <f t="array" ref="L6697">_xlfn.IFS(
 AND(K6697&gt;=89,K6697&lt;=92),"3개월",
 AND(K6697&gt;=58,K6697&lt;=62),"2개월",
 AND(K6697&gt;=28,K6697&lt;=32),"1개월",
 AND(K6697=0),"당월",
 TRUE,"그외"
)</f>
        <v>당월</v>
      </c>
    </row>
    <row r="6698" spans="1:12" x14ac:dyDescent="0.3">
      <c r="A6698" s="5">
        <v>45778</v>
      </c>
      <c r="B6698" s="6" t="s">
        <v>60</v>
      </c>
      <c r="C6698" s="6" t="s">
        <v>62</v>
      </c>
      <c r="D6698" s="5">
        <v>45627</v>
      </c>
      <c r="E6698" s="6" t="s">
        <v>15</v>
      </c>
      <c r="F6698" s="7">
        <v>168</v>
      </c>
      <c r="G6698" s="7">
        <v>254854.67857142861</v>
      </c>
      <c r="H6698" s="7">
        <v>42815586</v>
      </c>
      <c r="I6698" s="7">
        <v>7777309</v>
      </c>
      <c r="J6698" s="7">
        <v>0</v>
      </c>
      <c r="K6698">
        <f t="shared" si="104"/>
        <v>151</v>
      </c>
      <c r="L6698" s="8" t="str" cm="1">
        <f t="array" ref="L6698">_xlfn.IFS(
 AND(K6698&gt;=89,K6698&lt;=92),"3개월",
 AND(K6698&gt;=58,K6698&lt;=62),"2개월",
 AND(K6698&gt;=28,K6698&lt;=32),"1개월",
 AND(K6698=0),"당월",
 TRUE,"그외"
)</f>
        <v>그외</v>
      </c>
    </row>
    <row r="6699" spans="1:12" x14ac:dyDescent="0.3">
      <c r="A6699" s="5">
        <v>45778</v>
      </c>
      <c r="B6699" s="6" t="s">
        <v>60</v>
      </c>
      <c r="C6699" s="6" t="s">
        <v>62</v>
      </c>
      <c r="D6699" s="5">
        <v>45658</v>
      </c>
      <c r="E6699" s="6" t="s">
        <v>15</v>
      </c>
      <c r="F6699" s="7">
        <v>1230</v>
      </c>
      <c r="G6699" s="7">
        <v>238063.8422764228</v>
      </c>
      <c r="H6699" s="7">
        <v>292818526</v>
      </c>
      <c r="I6699" s="7">
        <v>52207439</v>
      </c>
      <c r="J6699" s="7">
        <v>0</v>
      </c>
      <c r="K6699">
        <f t="shared" si="104"/>
        <v>120</v>
      </c>
      <c r="L6699" s="8" t="str" cm="1">
        <f t="array" ref="L6699">_xlfn.IFS(
 AND(K6699&gt;=89,K6699&lt;=92),"3개월",
 AND(K6699&gt;=58,K6699&lt;=62),"2개월",
 AND(K6699&gt;=28,K6699&lt;=32),"1개월",
 AND(K6699=0),"당월",
 TRUE,"그외"
)</f>
        <v>그외</v>
      </c>
    </row>
    <row r="6700" spans="1:12" x14ac:dyDescent="0.3">
      <c r="A6700" s="5">
        <v>45778</v>
      </c>
      <c r="B6700" s="6" t="s">
        <v>60</v>
      </c>
      <c r="C6700" s="6" t="s">
        <v>62</v>
      </c>
      <c r="D6700" s="5">
        <v>45689</v>
      </c>
      <c r="E6700" s="6" t="s">
        <v>14</v>
      </c>
      <c r="F6700" s="7">
        <v>20</v>
      </c>
      <c r="G6700" s="7">
        <v>355000</v>
      </c>
      <c r="H6700" s="7">
        <v>7100000</v>
      </c>
      <c r="I6700" s="7">
        <v>700000</v>
      </c>
      <c r="J6700" s="7">
        <v>0</v>
      </c>
      <c r="K6700">
        <f t="shared" si="104"/>
        <v>89</v>
      </c>
      <c r="L6700" s="8" t="str" cm="1">
        <f t="array" ref="L6700">_xlfn.IFS(
 AND(K6700&gt;=89,K6700&lt;=92),"3개월",
 AND(K6700&gt;=58,K6700&lt;=62),"2개월",
 AND(K6700&gt;=28,K6700&lt;=32),"1개월",
 AND(K6700=0),"당월",
 TRUE,"그외"
)</f>
        <v>3개월</v>
      </c>
    </row>
    <row r="6701" spans="1:12" x14ac:dyDescent="0.3">
      <c r="A6701" s="5">
        <v>45778</v>
      </c>
      <c r="B6701" s="6" t="s">
        <v>60</v>
      </c>
      <c r="C6701" s="6" t="s">
        <v>62</v>
      </c>
      <c r="D6701" s="5">
        <v>45689</v>
      </c>
      <c r="E6701" s="6" t="s">
        <v>15</v>
      </c>
      <c r="F6701" s="7">
        <v>2763</v>
      </c>
      <c r="G6701" s="7">
        <v>241158.26710097719</v>
      </c>
      <c r="H6701" s="7">
        <v>666320292</v>
      </c>
      <c r="I6701" s="7">
        <v>121464149</v>
      </c>
      <c r="J6701" s="7">
        <v>0</v>
      </c>
      <c r="K6701">
        <f t="shared" si="104"/>
        <v>89</v>
      </c>
      <c r="L6701" s="8" t="str" cm="1">
        <f t="array" ref="L6701">_xlfn.IFS(
 AND(K6701&gt;=89,K6701&lt;=92),"3개월",
 AND(K6701&gt;=58,K6701&lt;=62),"2개월",
 AND(K6701&gt;=28,K6701&lt;=32),"1개월",
 AND(K6701=0),"당월",
 TRUE,"그외"
)</f>
        <v>3개월</v>
      </c>
    </row>
    <row r="6702" spans="1:12" x14ac:dyDescent="0.3">
      <c r="A6702" s="5">
        <v>45778</v>
      </c>
      <c r="B6702" s="6" t="s">
        <v>60</v>
      </c>
      <c r="C6702" s="6" t="s">
        <v>62</v>
      </c>
      <c r="D6702" s="5">
        <v>45717</v>
      </c>
      <c r="E6702" s="6" t="s">
        <v>14</v>
      </c>
      <c r="F6702" s="7">
        <v>307</v>
      </c>
      <c r="G6702" s="7">
        <v>190984.25732899021</v>
      </c>
      <c r="H6702" s="7">
        <v>58632167</v>
      </c>
      <c r="I6702" s="7">
        <v>12523730</v>
      </c>
      <c r="J6702" s="7">
        <v>0</v>
      </c>
      <c r="K6702">
        <f t="shared" si="104"/>
        <v>61</v>
      </c>
      <c r="L6702" s="8" t="str" cm="1">
        <f t="array" ref="L6702">_xlfn.IFS(
 AND(K6702&gt;=89,K6702&lt;=92),"3개월",
 AND(K6702&gt;=58,K6702&lt;=62),"2개월",
 AND(K6702&gt;=28,K6702&lt;=32),"1개월",
 AND(K6702=0),"당월",
 TRUE,"그외"
)</f>
        <v>2개월</v>
      </c>
    </row>
    <row r="6703" spans="1:12" x14ac:dyDescent="0.3">
      <c r="A6703" s="5">
        <v>45778</v>
      </c>
      <c r="B6703" s="6" t="s">
        <v>60</v>
      </c>
      <c r="C6703" s="6" t="s">
        <v>62</v>
      </c>
      <c r="D6703" s="5">
        <v>45717</v>
      </c>
      <c r="E6703" s="6" t="s">
        <v>15</v>
      </c>
      <c r="F6703" s="7">
        <v>7123</v>
      </c>
      <c r="G6703" s="7">
        <v>193016.41106275449</v>
      </c>
      <c r="H6703" s="7">
        <v>1374855896</v>
      </c>
      <c r="I6703" s="7">
        <v>339154205</v>
      </c>
      <c r="J6703" s="7">
        <v>0</v>
      </c>
      <c r="K6703">
        <f t="shared" si="104"/>
        <v>61</v>
      </c>
      <c r="L6703" s="8" t="str" cm="1">
        <f t="array" ref="L6703">_xlfn.IFS(
 AND(K6703&gt;=89,K6703&lt;=92),"3개월",
 AND(K6703&gt;=58,K6703&lt;=62),"2개월",
 AND(K6703&gt;=28,K6703&lt;=32),"1개월",
 AND(K6703=0),"당월",
 TRUE,"그외"
)</f>
        <v>2개월</v>
      </c>
    </row>
    <row r="6704" spans="1:12" x14ac:dyDescent="0.3">
      <c r="A6704" s="5">
        <v>45778</v>
      </c>
      <c r="B6704" s="6" t="s">
        <v>60</v>
      </c>
      <c r="C6704" s="6" t="s">
        <v>62</v>
      </c>
      <c r="D6704" s="5">
        <v>45748</v>
      </c>
      <c r="E6704" s="6" t="s">
        <v>14</v>
      </c>
      <c r="F6704" s="7">
        <v>2140</v>
      </c>
      <c r="G6704" s="7">
        <v>208383.77943925231</v>
      </c>
      <c r="H6704" s="7">
        <v>445941288</v>
      </c>
      <c r="I6704" s="7">
        <v>63962924</v>
      </c>
      <c r="J6704" s="7">
        <v>0</v>
      </c>
      <c r="K6704">
        <f t="shared" si="104"/>
        <v>30</v>
      </c>
      <c r="L6704" s="8" t="str" cm="1">
        <f t="array" ref="L6704">_xlfn.IFS(
 AND(K6704&gt;=89,K6704&lt;=92),"3개월",
 AND(K6704&gt;=58,K6704&lt;=62),"2개월",
 AND(K6704&gt;=28,K6704&lt;=32),"1개월",
 AND(K6704=0),"당월",
 TRUE,"그외"
)</f>
        <v>1개월</v>
      </c>
    </row>
    <row r="6705" spans="1:12" x14ac:dyDescent="0.3">
      <c r="A6705" s="5">
        <v>45778</v>
      </c>
      <c r="B6705" s="6" t="s">
        <v>60</v>
      </c>
      <c r="C6705" s="6" t="s">
        <v>62</v>
      </c>
      <c r="D6705" s="5">
        <v>45748</v>
      </c>
      <c r="E6705" s="6" t="s">
        <v>15</v>
      </c>
      <c r="F6705" s="7">
        <v>10855</v>
      </c>
      <c r="G6705" s="7">
        <v>183447.603316444</v>
      </c>
      <c r="H6705" s="7">
        <v>1991323734</v>
      </c>
      <c r="I6705" s="7">
        <v>446187665</v>
      </c>
      <c r="J6705" s="7">
        <v>0</v>
      </c>
      <c r="K6705">
        <f t="shared" si="104"/>
        <v>30</v>
      </c>
      <c r="L6705" s="8" t="str" cm="1">
        <f t="array" ref="L6705">_xlfn.IFS(
 AND(K6705&gt;=89,K6705&lt;=92),"3개월",
 AND(K6705&gt;=58,K6705&lt;=62),"2개월",
 AND(K6705&gt;=28,K6705&lt;=32),"1개월",
 AND(K6705=0),"당월",
 TRUE,"그외"
)</f>
        <v>1개월</v>
      </c>
    </row>
    <row r="6706" spans="1:12" x14ac:dyDescent="0.3">
      <c r="A6706" s="5">
        <v>45778</v>
      </c>
      <c r="B6706" s="6" t="s">
        <v>60</v>
      </c>
      <c r="C6706" s="6" t="s">
        <v>62</v>
      </c>
      <c r="D6706" s="5">
        <v>45778</v>
      </c>
      <c r="E6706" s="6" t="s">
        <v>14</v>
      </c>
      <c r="F6706" s="7">
        <v>477</v>
      </c>
      <c r="G6706" s="7">
        <v>59280.197064989523</v>
      </c>
      <c r="H6706" s="7">
        <v>28276654</v>
      </c>
      <c r="I6706" s="7">
        <v>11888812</v>
      </c>
      <c r="J6706" s="7">
        <v>0</v>
      </c>
      <c r="K6706">
        <f t="shared" si="104"/>
        <v>0</v>
      </c>
      <c r="L6706" s="8" t="str" cm="1">
        <f t="array" ref="L6706">_xlfn.IFS(
 AND(K6706&gt;=89,K6706&lt;=92),"3개월",
 AND(K6706&gt;=58,K6706&lt;=62),"2개월",
 AND(K6706&gt;=28,K6706&lt;=32),"1개월",
 AND(K6706=0),"당월",
 TRUE,"그외"
)</f>
        <v>당월</v>
      </c>
    </row>
    <row r="6707" spans="1:12" x14ac:dyDescent="0.3">
      <c r="A6707" s="5">
        <v>45778</v>
      </c>
      <c r="B6707" s="6" t="s">
        <v>60</v>
      </c>
      <c r="C6707" s="6" t="s">
        <v>62</v>
      </c>
      <c r="D6707" s="5">
        <v>45778</v>
      </c>
      <c r="E6707" s="6" t="s">
        <v>15</v>
      </c>
      <c r="F6707" s="7">
        <v>2634</v>
      </c>
      <c r="G6707" s="7">
        <v>184960.4274867122</v>
      </c>
      <c r="H6707" s="7">
        <v>487185766</v>
      </c>
      <c r="I6707" s="7">
        <v>104188073</v>
      </c>
      <c r="J6707" s="7">
        <v>0</v>
      </c>
      <c r="K6707">
        <f t="shared" si="104"/>
        <v>0</v>
      </c>
      <c r="L6707" s="8" t="str" cm="1">
        <f t="array" ref="L6707">_xlfn.IFS(
 AND(K6707&gt;=89,K6707&lt;=92),"3개월",
 AND(K6707&gt;=58,K6707&lt;=62),"2개월",
 AND(K6707&gt;=28,K6707&lt;=32),"1개월",
 AND(K6707=0),"당월",
 TRUE,"그외"
)</f>
        <v>당월</v>
      </c>
    </row>
    <row r="6708" spans="1:12" x14ac:dyDescent="0.3">
      <c r="A6708" s="5">
        <v>45778</v>
      </c>
      <c r="B6708" s="6" t="s">
        <v>60</v>
      </c>
      <c r="C6708" s="6" t="s">
        <v>64</v>
      </c>
      <c r="D6708" s="5">
        <v>45658</v>
      </c>
      <c r="E6708" s="6" t="s">
        <v>14</v>
      </c>
      <c r="F6708" s="7">
        <v>72</v>
      </c>
      <c r="G6708" s="7">
        <v>351222.22222222219</v>
      </c>
      <c r="H6708" s="7">
        <v>25288000</v>
      </c>
      <c r="I6708" s="7">
        <v>2232000</v>
      </c>
      <c r="J6708" s="7">
        <v>0</v>
      </c>
      <c r="K6708">
        <f t="shared" si="104"/>
        <v>120</v>
      </c>
      <c r="L6708" s="8" t="str" cm="1">
        <f t="array" ref="L6708">_xlfn.IFS(
 AND(K6708&gt;=89,K6708&lt;=92),"3개월",
 AND(K6708&gt;=58,K6708&lt;=62),"2개월",
 AND(K6708&gt;=28,K6708&lt;=32),"1개월",
 AND(K6708=0),"당월",
 TRUE,"그외"
)</f>
        <v>그외</v>
      </c>
    </row>
    <row r="6709" spans="1:12" x14ac:dyDescent="0.3">
      <c r="A6709" s="5">
        <v>45778</v>
      </c>
      <c r="B6709" s="6" t="s">
        <v>60</v>
      </c>
      <c r="C6709" s="6" t="s">
        <v>64</v>
      </c>
      <c r="D6709" s="5">
        <v>45658</v>
      </c>
      <c r="E6709" s="6" t="s">
        <v>15</v>
      </c>
      <c r="F6709" s="7">
        <v>38</v>
      </c>
      <c r="G6709" s="7">
        <v>239629.68421052629</v>
      </c>
      <c r="H6709" s="7">
        <v>9105928</v>
      </c>
      <c r="I6709" s="7">
        <v>1263447</v>
      </c>
      <c r="J6709" s="7">
        <v>0</v>
      </c>
      <c r="K6709">
        <f t="shared" si="104"/>
        <v>120</v>
      </c>
      <c r="L6709" s="8" t="str" cm="1">
        <f t="array" ref="L6709">_xlfn.IFS(
 AND(K6709&gt;=89,K6709&lt;=92),"3개월",
 AND(K6709&gt;=58,K6709&lt;=62),"2개월",
 AND(K6709&gt;=28,K6709&lt;=32),"1개월",
 AND(K6709=0),"당월",
 TRUE,"그외"
)</f>
        <v>그외</v>
      </c>
    </row>
    <row r="6710" spans="1:12" x14ac:dyDescent="0.3">
      <c r="A6710" s="5">
        <v>45778</v>
      </c>
      <c r="B6710" s="6" t="s">
        <v>60</v>
      </c>
      <c r="C6710" s="6" t="s">
        <v>64</v>
      </c>
      <c r="D6710" s="5">
        <v>45689</v>
      </c>
      <c r="E6710" s="6" t="s">
        <v>14</v>
      </c>
      <c r="F6710" s="7">
        <v>777</v>
      </c>
      <c r="G6710" s="7">
        <v>264442.34234234242</v>
      </c>
      <c r="H6710" s="7">
        <v>205471700</v>
      </c>
      <c r="I6710" s="7">
        <v>24633700</v>
      </c>
      <c r="J6710" s="7">
        <v>0</v>
      </c>
      <c r="K6710">
        <f t="shared" si="104"/>
        <v>89</v>
      </c>
      <c r="L6710" s="8" t="str" cm="1">
        <f t="array" ref="L6710">_xlfn.IFS(
 AND(K6710&gt;=89,K6710&lt;=92),"3개월",
 AND(K6710&gt;=58,K6710&lt;=62),"2개월",
 AND(K6710&gt;=28,K6710&lt;=32),"1개월",
 AND(K6710=0),"당월",
 TRUE,"그외"
)</f>
        <v>3개월</v>
      </c>
    </row>
    <row r="6711" spans="1:12" x14ac:dyDescent="0.3">
      <c r="A6711" s="5">
        <v>45778</v>
      </c>
      <c r="B6711" s="6" t="s">
        <v>60</v>
      </c>
      <c r="C6711" s="6" t="s">
        <v>64</v>
      </c>
      <c r="D6711" s="5">
        <v>45689</v>
      </c>
      <c r="E6711" s="6" t="s">
        <v>15</v>
      </c>
      <c r="F6711" s="7">
        <v>1927</v>
      </c>
      <c r="G6711" s="7">
        <v>268778.88998443168</v>
      </c>
      <c r="H6711" s="7">
        <v>517936921</v>
      </c>
      <c r="I6711" s="7">
        <v>61636838</v>
      </c>
      <c r="J6711" s="7">
        <v>0</v>
      </c>
      <c r="K6711">
        <f t="shared" si="104"/>
        <v>89</v>
      </c>
      <c r="L6711" s="8" t="str" cm="1">
        <f t="array" ref="L6711">_xlfn.IFS(
 AND(K6711&gt;=89,K6711&lt;=92),"3개월",
 AND(K6711&gt;=58,K6711&lt;=62),"2개월",
 AND(K6711&gt;=28,K6711&lt;=32),"1개월",
 AND(K6711=0),"당월",
 TRUE,"그외"
)</f>
        <v>3개월</v>
      </c>
    </row>
    <row r="6712" spans="1:12" x14ac:dyDescent="0.3">
      <c r="A6712" s="5">
        <v>45778</v>
      </c>
      <c r="B6712" s="6" t="s">
        <v>60</v>
      </c>
      <c r="C6712" s="6" t="s">
        <v>64</v>
      </c>
      <c r="D6712" s="5">
        <v>45717</v>
      </c>
      <c r="E6712" s="6" t="s">
        <v>14</v>
      </c>
      <c r="F6712" s="7">
        <v>616</v>
      </c>
      <c r="G6712" s="7">
        <v>225083.76623376619</v>
      </c>
      <c r="H6712" s="7">
        <v>138651600</v>
      </c>
      <c r="I6712" s="7">
        <v>23128600</v>
      </c>
      <c r="J6712" s="7">
        <v>0</v>
      </c>
      <c r="K6712">
        <f t="shared" si="104"/>
        <v>61</v>
      </c>
      <c r="L6712" s="8" t="str" cm="1">
        <f t="array" ref="L6712">_xlfn.IFS(
 AND(K6712&gt;=89,K6712&lt;=92),"3개월",
 AND(K6712&gt;=58,K6712&lt;=62),"2개월",
 AND(K6712&gt;=28,K6712&lt;=32),"1개월",
 AND(K6712=0),"당월",
 TRUE,"그외"
)</f>
        <v>2개월</v>
      </c>
    </row>
    <row r="6713" spans="1:12" x14ac:dyDescent="0.3">
      <c r="A6713" s="5">
        <v>45778</v>
      </c>
      <c r="B6713" s="6" t="s">
        <v>60</v>
      </c>
      <c r="C6713" s="6" t="s">
        <v>64</v>
      </c>
      <c r="D6713" s="5">
        <v>45717</v>
      </c>
      <c r="E6713" s="6" t="s">
        <v>15</v>
      </c>
      <c r="F6713" s="7">
        <v>3775</v>
      </c>
      <c r="G6713" s="7">
        <v>191618.5923178808</v>
      </c>
      <c r="H6713" s="7">
        <v>723360186</v>
      </c>
      <c r="I6713" s="7">
        <v>141764282</v>
      </c>
      <c r="J6713" s="7">
        <v>0</v>
      </c>
      <c r="K6713">
        <f t="shared" si="104"/>
        <v>61</v>
      </c>
      <c r="L6713" s="8" t="str" cm="1">
        <f t="array" ref="L6713">_xlfn.IFS(
 AND(K6713&gt;=89,K6713&lt;=92),"3개월",
 AND(K6713&gt;=58,K6713&lt;=62),"2개월",
 AND(K6713&gt;=28,K6713&lt;=32),"1개월",
 AND(K6713=0),"당월",
 TRUE,"그외"
)</f>
        <v>2개월</v>
      </c>
    </row>
    <row r="6714" spans="1:12" x14ac:dyDescent="0.3">
      <c r="A6714" s="5">
        <v>45778</v>
      </c>
      <c r="B6714" s="6" t="s">
        <v>60</v>
      </c>
      <c r="C6714" s="6" t="s">
        <v>64</v>
      </c>
      <c r="D6714" s="5">
        <v>45748</v>
      </c>
      <c r="E6714" s="6" t="s">
        <v>14</v>
      </c>
      <c r="F6714" s="7">
        <v>5069</v>
      </c>
      <c r="G6714" s="7">
        <v>126175.0838429671</v>
      </c>
      <c r="H6714" s="7">
        <v>639581500</v>
      </c>
      <c r="I6714" s="7">
        <v>139498500</v>
      </c>
      <c r="J6714" s="7">
        <v>0</v>
      </c>
      <c r="K6714">
        <f t="shared" si="104"/>
        <v>30</v>
      </c>
      <c r="L6714" s="8" t="str" cm="1">
        <f t="array" ref="L6714">_xlfn.IFS(
 AND(K6714&gt;=89,K6714&lt;=92),"3개월",
 AND(K6714&gt;=58,K6714&lt;=62),"2개월",
 AND(K6714&gt;=28,K6714&lt;=32),"1개월",
 AND(K6714=0),"당월",
 TRUE,"그외"
)</f>
        <v>1개월</v>
      </c>
    </row>
    <row r="6715" spans="1:12" x14ac:dyDescent="0.3">
      <c r="A6715" s="5">
        <v>45778</v>
      </c>
      <c r="B6715" s="6" t="s">
        <v>60</v>
      </c>
      <c r="C6715" s="6" t="s">
        <v>64</v>
      </c>
      <c r="D6715" s="5">
        <v>45748</v>
      </c>
      <c r="E6715" s="6" t="s">
        <v>15</v>
      </c>
      <c r="F6715" s="7">
        <v>9827</v>
      </c>
      <c r="G6715" s="7">
        <v>121537.7321664801</v>
      </c>
      <c r="H6715" s="7">
        <v>1194351294</v>
      </c>
      <c r="I6715" s="7">
        <v>283667510</v>
      </c>
      <c r="J6715" s="7">
        <v>0</v>
      </c>
      <c r="K6715">
        <f t="shared" si="104"/>
        <v>30</v>
      </c>
      <c r="L6715" s="8" t="str" cm="1">
        <f t="array" ref="L6715">_xlfn.IFS(
 AND(K6715&gt;=89,K6715&lt;=92),"3개월",
 AND(K6715&gt;=58,K6715&lt;=62),"2개월",
 AND(K6715&gt;=28,K6715&lt;=32),"1개월",
 AND(K6715=0),"당월",
 TRUE,"그외"
)</f>
        <v>1개월</v>
      </c>
    </row>
    <row r="6716" spans="1:12" x14ac:dyDescent="0.3">
      <c r="A6716" s="5">
        <v>45778</v>
      </c>
      <c r="B6716" s="6" t="s">
        <v>60</v>
      </c>
      <c r="C6716" s="6" t="s">
        <v>64</v>
      </c>
      <c r="D6716" s="5">
        <v>45778</v>
      </c>
      <c r="E6716" s="6" t="s">
        <v>14</v>
      </c>
      <c r="F6716" s="7">
        <v>998</v>
      </c>
      <c r="G6716" s="7">
        <v>84877.95591182365</v>
      </c>
      <c r="H6716" s="7">
        <v>84708200</v>
      </c>
      <c r="I6716" s="7">
        <v>21919200</v>
      </c>
      <c r="J6716" s="7">
        <v>0</v>
      </c>
      <c r="K6716">
        <f t="shared" si="104"/>
        <v>0</v>
      </c>
      <c r="L6716" s="8" t="str" cm="1">
        <f t="array" ref="L6716">_xlfn.IFS(
 AND(K6716&gt;=89,K6716&lt;=92),"3개월",
 AND(K6716&gt;=58,K6716&lt;=62),"2개월",
 AND(K6716&gt;=28,K6716&lt;=32),"1개월",
 AND(K6716=0),"당월",
 TRUE,"그외"
)</f>
        <v>당월</v>
      </c>
    </row>
    <row r="6717" spans="1:12" x14ac:dyDescent="0.3">
      <c r="A6717" s="5">
        <v>45778</v>
      </c>
      <c r="B6717" s="6" t="s">
        <v>60</v>
      </c>
      <c r="C6717" s="6" t="s">
        <v>64</v>
      </c>
      <c r="D6717" s="5">
        <v>45778</v>
      </c>
      <c r="E6717" s="6" t="s">
        <v>15</v>
      </c>
      <c r="F6717" s="7">
        <v>893</v>
      </c>
      <c r="G6717" s="7">
        <v>139699.17021276601</v>
      </c>
      <c r="H6717" s="7">
        <v>124751359</v>
      </c>
      <c r="I6717" s="7">
        <v>22956556</v>
      </c>
      <c r="J6717" s="7">
        <v>0</v>
      </c>
      <c r="K6717">
        <f t="shared" si="104"/>
        <v>0</v>
      </c>
      <c r="L6717" s="8" t="str" cm="1">
        <f t="array" ref="L6717">_xlfn.IFS(
 AND(K6717&gt;=89,K6717&lt;=92),"3개월",
 AND(K6717&gt;=58,K6717&lt;=62),"2개월",
 AND(K6717&gt;=28,K6717&lt;=32),"1개월",
 AND(K6717=0),"당월",
 TRUE,"그외"
)</f>
        <v>당월</v>
      </c>
    </row>
    <row r="6718" spans="1:12" x14ac:dyDescent="0.3">
      <c r="A6718" s="5">
        <v>45778</v>
      </c>
      <c r="B6718" s="6" t="s">
        <v>60</v>
      </c>
      <c r="C6718" s="6" t="s">
        <v>65</v>
      </c>
      <c r="D6718" s="5">
        <v>45658</v>
      </c>
      <c r="E6718" s="6" t="s">
        <v>14</v>
      </c>
      <c r="F6718" s="7">
        <v>28</v>
      </c>
      <c r="G6718" s="7">
        <v>312000</v>
      </c>
      <c r="H6718" s="7">
        <v>8736000</v>
      </c>
      <c r="I6718" s="7">
        <v>868000</v>
      </c>
      <c r="J6718" s="7">
        <v>0</v>
      </c>
      <c r="K6718">
        <f t="shared" si="104"/>
        <v>120</v>
      </c>
      <c r="L6718" s="8" t="str" cm="1">
        <f t="array" ref="L6718">_xlfn.IFS(
 AND(K6718&gt;=89,K6718&lt;=92),"3개월",
 AND(K6718&gt;=58,K6718&lt;=62),"2개월",
 AND(K6718&gt;=28,K6718&lt;=32),"1개월",
 AND(K6718=0),"당월",
 TRUE,"그외"
)</f>
        <v>그외</v>
      </c>
    </row>
    <row r="6719" spans="1:12" x14ac:dyDescent="0.3">
      <c r="A6719" s="5">
        <v>45778</v>
      </c>
      <c r="B6719" s="6" t="s">
        <v>60</v>
      </c>
      <c r="C6719" s="6" t="s">
        <v>65</v>
      </c>
      <c r="D6719" s="5">
        <v>45658</v>
      </c>
      <c r="E6719" s="6" t="s">
        <v>15</v>
      </c>
      <c r="F6719" s="7">
        <v>214</v>
      </c>
      <c r="G6719" s="7">
        <v>260243.9252336449</v>
      </c>
      <c r="H6719" s="7">
        <v>55692200</v>
      </c>
      <c r="I6719" s="7">
        <v>6634000</v>
      </c>
      <c r="J6719" s="7">
        <v>0</v>
      </c>
      <c r="K6719">
        <f t="shared" si="104"/>
        <v>120</v>
      </c>
      <c r="L6719" s="8" t="str" cm="1">
        <f t="array" ref="L6719">_xlfn.IFS(
 AND(K6719&gt;=89,K6719&lt;=92),"3개월",
 AND(K6719&gt;=58,K6719&lt;=62),"2개월",
 AND(K6719&gt;=28,K6719&lt;=32),"1개월",
 AND(K6719=0),"당월",
 TRUE,"그외"
)</f>
        <v>그외</v>
      </c>
    </row>
    <row r="6720" spans="1:12" x14ac:dyDescent="0.3">
      <c r="A6720" s="5">
        <v>45778</v>
      </c>
      <c r="B6720" s="6" t="s">
        <v>60</v>
      </c>
      <c r="C6720" s="6" t="s">
        <v>65</v>
      </c>
      <c r="D6720" s="5">
        <v>45689</v>
      </c>
      <c r="E6720" s="6" t="s">
        <v>14</v>
      </c>
      <c r="F6720" s="7">
        <v>192</v>
      </c>
      <c r="G6720" s="7">
        <v>307412.5</v>
      </c>
      <c r="H6720" s="7">
        <v>59023200</v>
      </c>
      <c r="I6720" s="7">
        <v>6163200</v>
      </c>
      <c r="J6720" s="7">
        <v>0</v>
      </c>
      <c r="K6720">
        <f t="shared" si="104"/>
        <v>89</v>
      </c>
      <c r="L6720" s="8" t="str" cm="1">
        <f t="array" ref="L6720">_xlfn.IFS(
 AND(K6720&gt;=89,K6720&lt;=92),"3개월",
 AND(K6720&gt;=58,K6720&lt;=62),"2개월",
 AND(K6720&gt;=28,K6720&lt;=32),"1개월",
 AND(K6720=0),"당월",
 TRUE,"그외"
)</f>
        <v>3개월</v>
      </c>
    </row>
    <row r="6721" spans="1:12" x14ac:dyDescent="0.3">
      <c r="A6721" s="5">
        <v>45778</v>
      </c>
      <c r="B6721" s="6" t="s">
        <v>60</v>
      </c>
      <c r="C6721" s="6" t="s">
        <v>65</v>
      </c>
      <c r="D6721" s="5">
        <v>45689</v>
      </c>
      <c r="E6721" s="6" t="s">
        <v>15</v>
      </c>
      <c r="F6721" s="7">
        <v>679</v>
      </c>
      <c r="G6721" s="7">
        <v>244450.5655375552</v>
      </c>
      <c r="H6721" s="7">
        <v>165981934</v>
      </c>
      <c r="I6721" s="7">
        <v>21885216</v>
      </c>
      <c r="J6721" s="7">
        <v>0</v>
      </c>
      <c r="K6721">
        <f t="shared" si="104"/>
        <v>89</v>
      </c>
      <c r="L6721" s="8" t="str" cm="1">
        <f t="array" ref="L6721">_xlfn.IFS(
 AND(K6721&gt;=89,K6721&lt;=92),"3개월",
 AND(K6721&gt;=58,K6721&lt;=62),"2개월",
 AND(K6721&gt;=28,K6721&lt;=32),"1개월",
 AND(K6721=0),"당월",
 TRUE,"그외"
)</f>
        <v>3개월</v>
      </c>
    </row>
    <row r="6722" spans="1:12" x14ac:dyDescent="0.3">
      <c r="A6722" s="5">
        <v>45778</v>
      </c>
      <c r="B6722" s="6" t="s">
        <v>60</v>
      </c>
      <c r="C6722" s="6" t="s">
        <v>65</v>
      </c>
      <c r="D6722" s="5">
        <v>45717</v>
      </c>
      <c r="E6722" s="6" t="s">
        <v>14</v>
      </c>
      <c r="F6722" s="7">
        <v>171</v>
      </c>
      <c r="G6722" s="7">
        <v>319108.77192982461</v>
      </c>
      <c r="H6722" s="7">
        <v>54567600</v>
      </c>
      <c r="I6722" s="7">
        <v>6429600</v>
      </c>
      <c r="J6722" s="7">
        <v>0</v>
      </c>
      <c r="K6722">
        <f t="shared" si="104"/>
        <v>61</v>
      </c>
      <c r="L6722" s="8" t="str" cm="1">
        <f t="array" ref="L6722">_xlfn.IFS(
 AND(K6722&gt;=89,K6722&lt;=92),"3개월",
 AND(K6722&gt;=58,K6722&lt;=62),"2개월",
 AND(K6722&gt;=28,K6722&lt;=32),"1개월",
 AND(K6722=0),"당월",
 TRUE,"그외"
)</f>
        <v>2개월</v>
      </c>
    </row>
    <row r="6723" spans="1:12" x14ac:dyDescent="0.3">
      <c r="A6723" s="5">
        <v>45778</v>
      </c>
      <c r="B6723" s="6" t="s">
        <v>60</v>
      </c>
      <c r="C6723" s="6" t="s">
        <v>65</v>
      </c>
      <c r="D6723" s="5">
        <v>45717</v>
      </c>
      <c r="E6723" s="6" t="s">
        <v>15</v>
      </c>
      <c r="F6723" s="7">
        <v>966</v>
      </c>
      <c r="G6723" s="7">
        <v>230617.53830227739</v>
      </c>
      <c r="H6723" s="7">
        <v>222776542</v>
      </c>
      <c r="I6723" s="7">
        <v>36293908</v>
      </c>
      <c r="J6723" s="7">
        <v>0</v>
      </c>
      <c r="K6723">
        <f t="shared" si="104"/>
        <v>61</v>
      </c>
      <c r="L6723" s="8" t="str" cm="1">
        <f t="array" ref="L6723">_xlfn.IFS(
 AND(K6723&gt;=89,K6723&lt;=92),"3개월",
 AND(K6723&gt;=58,K6723&lt;=62),"2개월",
 AND(K6723&gt;=28,K6723&lt;=32),"1개월",
 AND(K6723=0),"당월",
 TRUE,"그외"
)</f>
        <v>2개월</v>
      </c>
    </row>
    <row r="6724" spans="1:12" x14ac:dyDescent="0.3">
      <c r="A6724" s="5">
        <v>45778</v>
      </c>
      <c r="B6724" s="6" t="s">
        <v>60</v>
      </c>
      <c r="C6724" s="6" t="s">
        <v>65</v>
      </c>
      <c r="D6724" s="5">
        <v>45748</v>
      </c>
      <c r="E6724" s="6" t="s">
        <v>14</v>
      </c>
      <c r="F6724" s="7">
        <v>1152</v>
      </c>
      <c r="G6724" s="7">
        <v>126007.11805555561</v>
      </c>
      <c r="H6724" s="7">
        <v>145160200</v>
      </c>
      <c r="I6724" s="7">
        <v>31689200</v>
      </c>
      <c r="J6724" s="7">
        <v>0</v>
      </c>
      <c r="K6724">
        <f t="shared" si="104"/>
        <v>30</v>
      </c>
      <c r="L6724" s="8" t="str" cm="1">
        <f t="array" ref="L6724">_xlfn.IFS(
 AND(K6724&gt;=89,K6724&lt;=92),"3개월",
 AND(K6724&gt;=58,K6724&lt;=62),"2개월",
 AND(K6724&gt;=28,K6724&lt;=32),"1개월",
 AND(K6724=0),"당월",
 TRUE,"그외"
)</f>
        <v>1개월</v>
      </c>
    </row>
    <row r="6725" spans="1:12" x14ac:dyDescent="0.3">
      <c r="A6725" s="5">
        <v>45778</v>
      </c>
      <c r="B6725" s="6" t="s">
        <v>60</v>
      </c>
      <c r="C6725" s="6" t="s">
        <v>65</v>
      </c>
      <c r="D6725" s="5">
        <v>45748</v>
      </c>
      <c r="E6725" s="6" t="s">
        <v>15</v>
      </c>
      <c r="F6725" s="7">
        <v>1739</v>
      </c>
      <c r="G6725" s="7">
        <v>145248.201840138</v>
      </c>
      <c r="H6725" s="7">
        <v>252586623</v>
      </c>
      <c r="I6725" s="7">
        <v>49072029</v>
      </c>
      <c r="J6725" s="7">
        <v>0</v>
      </c>
      <c r="K6725">
        <f t="shared" si="104"/>
        <v>30</v>
      </c>
      <c r="L6725" s="8" t="str" cm="1">
        <f t="array" ref="L6725">_xlfn.IFS(
 AND(K6725&gt;=89,K6725&lt;=92),"3개월",
 AND(K6725&gt;=58,K6725&lt;=62),"2개월",
 AND(K6725&gt;=28,K6725&lt;=32),"1개월",
 AND(K6725=0),"당월",
 TRUE,"그외"
)</f>
        <v>1개월</v>
      </c>
    </row>
    <row r="6726" spans="1:12" x14ac:dyDescent="0.3">
      <c r="A6726" s="5">
        <v>45778</v>
      </c>
      <c r="B6726" s="6" t="s">
        <v>60</v>
      </c>
      <c r="C6726" s="6" t="s">
        <v>65</v>
      </c>
      <c r="D6726" s="5">
        <v>45778</v>
      </c>
      <c r="E6726" s="6" t="s">
        <v>14</v>
      </c>
      <c r="F6726" s="7">
        <v>305</v>
      </c>
      <c r="G6726" s="7">
        <v>101024.59016393439</v>
      </c>
      <c r="H6726" s="7">
        <v>30812500</v>
      </c>
      <c r="I6726" s="7">
        <v>6679500</v>
      </c>
      <c r="J6726" s="7">
        <v>0</v>
      </c>
      <c r="K6726">
        <f t="shared" si="104"/>
        <v>0</v>
      </c>
      <c r="L6726" s="8" t="str" cm="1">
        <f t="array" ref="L6726">_xlfn.IFS(
 AND(K6726&gt;=89,K6726&lt;=92),"3개월",
 AND(K6726&gt;=58,K6726&lt;=62),"2개월",
 AND(K6726&gt;=28,K6726&lt;=32),"1개월",
 AND(K6726=0),"당월",
 TRUE,"그외"
)</f>
        <v>당월</v>
      </c>
    </row>
    <row r="6727" spans="1:12" x14ac:dyDescent="0.3">
      <c r="A6727" s="5">
        <v>45778</v>
      </c>
      <c r="B6727" s="6" t="s">
        <v>60</v>
      </c>
      <c r="C6727" s="6" t="s">
        <v>65</v>
      </c>
      <c r="D6727" s="5">
        <v>45778</v>
      </c>
      <c r="E6727" s="6" t="s">
        <v>15</v>
      </c>
      <c r="F6727" s="7">
        <v>424</v>
      </c>
      <c r="G6727" s="7">
        <v>134569.16037735849</v>
      </c>
      <c r="H6727" s="7">
        <v>57057324</v>
      </c>
      <c r="I6727" s="7">
        <v>9922630</v>
      </c>
      <c r="J6727" s="7">
        <v>0</v>
      </c>
      <c r="K6727">
        <f t="shared" si="104"/>
        <v>0</v>
      </c>
      <c r="L6727" s="8" t="str" cm="1">
        <f t="array" ref="L6727">_xlfn.IFS(
 AND(K6727&gt;=89,K6727&lt;=92),"3개월",
 AND(K6727&gt;=58,K6727&lt;=62),"2개월",
 AND(K6727&gt;=28,K6727&lt;=32),"1개월",
 AND(K6727=0),"당월",
 TRUE,"그외"
)</f>
        <v>당월</v>
      </c>
    </row>
    <row r="6728" spans="1:12" x14ac:dyDescent="0.3">
      <c r="A6728" s="5">
        <v>45778</v>
      </c>
      <c r="B6728" s="6" t="s">
        <v>60</v>
      </c>
      <c r="C6728" s="6" t="s">
        <v>66</v>
      </c>
      <c r="D6728" s="5">
        <v>45717</v>
      </c>
      <c r="E6728" s="6" t="s">
        <v>14</v>
      </c>
      <c r="F6728" s="7">
        <v>50</v>
      </c>
      <c r="G6728" s="7">
        <v>153620</v>
      </c>
      <c r="H6728" s="7">
        <v>7681000</v>
      </c>
      <c r="I6728" s="7">
        <v>1759000</v>
      </c>
      <c r="J6728" s="7">
        <v>0</v>
      </c>
      <c r="K6728">
        <f t="shared" si="104"/>
        <v>61</v>
      </c>
      <c r="L6728" s="8" t="str" cm="1">
        <f t="array" ref="L6728">_xlfn.IFS(
 AND(K6728&gt;=89,K6728&lt;=92),"3개월",
 AND(K6728&gt;=58,K6728&lt;=62),"2개월",
 AND(K6728&gt;=28,K6728&lt;=32),"1개월",
 AND(K6728=0),"당월",
 TRUE,"그외"
)</f>
        <v>2개월</v>
      </c>
    </row>
    <row r="6729" spans="1:12" x14ac:dyDescent="0.3">
      <c r="A6729" s="5">
        <v>45778</v>
      </c>
      <c r="B6729" s="6" t="s">
        <v>60</v>
      </c>
      <c r="C6729" s="6" t="s">
        <v>66</v>
      </c>
      <c r="D6729" s="5">
        <v>45717</v>
      </c>
      <c r="E6729" s="6" t="s">
        <v>15</v>
      </c>
      <c r="F6729" s="7">
        <v>106</v>
      </c>
      <c r="G6729" s="7">
        <v>190487.34905660379</v>
      </c>
      <c r="H6729" s="7">
        <v>20191659</v>
      </c>
      <c r="I6729" s="7">
        <v>3771893</v>
      </c>
      <c r="J6729" s="7">
        <v>0</v>
      </c>
      <c r="K6729">
        <f t="shared" si="104"/>
        <v>61</v>
      </c>
      <c r="L6729" s="8" t="str" cm="1">
        <f t="array" ref="L6729">_xlfn.IFS(
 AND(K6729&gt;=89,K6729&lt;=92),"3개월",
 AND(K6729&gt;=58,K6729&lt;=62),"2개월",
 AND(K6729&gt;=28,K6729&lt;=32),"1개월",
 AND(K6729=0),"당월",
 TRUE,"그외"
)</f>
        <v>2개월</v>
      </c>
    </row>
    <row r="6730" spans="1:12" x14ac:dyDescent="0.3">
      <c r="A6730" s="5">
        <v>45778</v>
      </c>
      <c r="B6730" s="6" t="s">
        <v>60</v>
      </c>
      <c r="C6730" s="6" t="s">
        <v>66</v>
      </c>
      <c r="D6730" s="5">
        <v>45748</v>
      </c>
      <c r="E6730" s="6" t="s">
        <v>14</v>
      </c>
      <c r="F6730" s="7">
        <v>1310</v>
      </c>
      <c r="G6730" s="7">
        <v>220616.64122137401</v>
      </c>
      <c r="H6730" s="7">
        <v>289007800</v>
      </c>
      <c r="I6730" s="7">
        <v>41059800</v>
      </c>
      <c r="J6730" s="7">
        <v>0</v>
      </c>
      <c r="K6730">
        <f t="shared" ref="K6730:K6793" si="105">A6730-D6730</f>
        <v>30</v>
      </c>
      <c r="L6730" s="8" t="str" cm="1">
        <f t="array" ref="L6730">_xlfn.IFS(
 AND(K6730&gt;=89,K6730&lt;=92),"3개월",
 AND(K6730&gt;=58,K6730&lt;=62),"2개월",
 AND(K6730&gt;=28,K6730&lt;=32),"1개월",
 AND(K6730=0),"당월",
 TRUE,"그외"
)</f>
        <v>1개월</v>
      </c>
    </row>
    <row r="6731" spans="1:12" x14ac:dyDescent="0.3">
      <c r="A6731" s="5">
        <v>45778</v>
      </c>
      <c r="B6731" s="6" t="s">
        <v>60</v>
      </c>
      <c r="C6731" s="6" t="s">
        <v>66</v>
      </c>
      <c r="D6731" s="5">
        <v>45748</v>
      </c>
      <c r="E6731" s="6" t="s">
        <v>15</v>
      </c>
      <c r="F6731" s="7">
        <v>3454</v>
      </c>
      <c r="G6731" s="7">
        <v>148622.79328315001</v>
      </c>
      <c r="H6731" s="7">
        <v>513343128</v>
      </c>
      <c r="I6731" s="7">
        <v>103160798</v>
      </c>
      <c r="J6731" s="7">
        <v>0</v>
      </c>
      <c r="K6731">
        <f t="shared" si="105"/>
        <v>30</v>
      </c>
      <c r="L6731" s="8" t="str" cm="1">
        <f t="array" ref="L6731">_xlfn.IFS(
 AND(K6731&gt;=89,K6731&lt;=92),"3개월",
 AND(K6731&gt;=58,K6731&lt;=62),"2개월",
 AND(K6731&gt;=28,K6731&lt;=32),"1개월",
 AND(K6731=0),"당월",
 TRUE,"그외"
)</f>
        <v>1개월</v>
      </c>
    </row>
    <row r="6732" spans="1:12" x14ac:dyDescent="0.3">
      <c r="A6732" s="5">
        <v>45778</v>
      </c>
      <c r="B6732" s="6" t="s">
        <v>60</v>
      </c>
      <c r="C6732" s="6" t="s">
        <v>66</v>
      </c>
      <c r="D6732" s="5">
        <v>45778</v>
      </c>
      <c r="E6732" s="6" t="s">
        <v>14</v>
      </c>
      <c r="F6732" s="7">
        <v>940</v>
      </c>
      <c r="G6732" s="7">
        <v>98563.829787234048</v>
      </c>
      <c r="H6732" s="7">
        <v>92650000</v>
      </c>
      <c r="I6732" s="7">
        <v>20642000</v>
      </c>
      <c r="J6732" s="7">
        <v>0</v>
      </c>
      <c r="K6732">
        <f t="shared" si="105"/>
        <v>0</v>
      </c>
      <c r="L6732" s="8" t="str" cm="1">
        <f t="array" ref="L6732">_xlfn.IFS(
 AND(K6732&gt;=89,K6732&lt;=92),"3개월",
 AND(K6732&gt;=58,K6732&lt;=62),"2개월",
 AND(K6732&gt;=28,K6732&lt;=32),"1개월",
 AND(K6732=0),"당월",
 TRUE,"그외"
)</f>
        <v>당월</v>
      </c>
    </row>
    <row r="6733" spans="1:12" x14ac:dyDescent="0.3">
      <c r="A6733" s="5">
        <v>45778</v>
      </c>
      <c r="B6733" s="6" t="s">
        <v>60</v>
      </c>
      <c r="C6733" s="6" t="s">
        <v>66</v>
      </c>
      <c r="D6733" s="5">
        <v>45778</v>
      </c>
      <c r="E6733" s="6" t="s">
        <v>15</v>
      </c>
      <c r="F6733" s="7">
        <v>496</v>
      </c>
      <c r="G6733" s="7">
        <v>126600.40120967739</v>
      </c>
      <c r="H6733" s="7">
        <v>62793799</v>
      </c>
      <c r="I6733" s="7">
        <v>12028930</v>
      </c>
      <c r="J6733" s="7">
        <v>0</v>
      </c>
      <c r="K6733">
        <f t="shared" si="105"/>
        <v>0</v>
      </c>
      <c r="L6733" s="8" t="str" cm="1">
        <f t="array" ref="L6733">_xlfn.IFS(
 AND(K6733&gt;=89,K6733&lt;=92),"3개월",
 AND(K6733&gt;=58,K6733&lt;=62),"2개월",
 AND(K6733&gt;=28,K6733&lt;=32),"1개월",
 AND(K6733=0),"당월",
 TRUE,"그외"
)</f>
        <v>당월</v>
      </c>
    </row>
    <row r="6734" spans="1:12" x14ac:dyDescent="0.3">
      <c r="A6734" s="5">
        <v>45778</v>
      </c>
      <c r="B6734" s="6" t="s">
        <v>60</v>
      </c>
      <c r="C6734" s="6" t="s">
        <v>67</v>
      </c>
      <c r="D6734" s="5">
        <v>45658</v>
      </c>
      <c r="E6734" s="6" t="s">
        <v>14</v>
      </c>
      <c r="F6734" s="7">
        <v>140</v>
      </c>
      <c r="G6734" s="7">
        <v>352857.14285714278</v>
      </c>
      <c r="H6734" s="7">
        <v>49400000</v>
      </c>
      <c r="I6734" s="7">
        <v>4340000</v>
      </c>
      <c r="J6734" s="7">
        <v>0</v>
      </c>
      <c r="K6734">
        <f t="shared" si="105"/>
        <v>120</v>
      </c>
      <c r="L6734" s="8" t="str" cm="1">
        <f t="array" ref="L6734">_xlfn.IFS(
 AND(K6734&gt;=89,K6734&lt;=92),"3개월",
 AND(K6734&gt;=58,K6734&lt;=62),"2개월",
 AND(K6734&gt;=28,K6734&lt;=32),"1개월",
 AND(K6734=0),"당월",
 TRUE,"그외"
)</f>
        <v>그외</v>
      </c>
    </row>
    <row r="6735" spans="1:12" x14ac:dyDescent="0.3">
      <c r="A6735" s="5">
        <v>45778</v>
      </c>
      <c r="B6735" s="6" t="s">
        <v>60</v>
      </c>
      <c r="C6735" s="6" t="s">
        <v>67</v>
      </c>
      <c r="D6735" s="5">
        <v>45658</v>
      </c>
      <c r="E6735" s="6" t="s">
        <v>15</v>
      </c>
      <c r="F6735" s="7">
        <v>623</v>
      </c>
      <c r="G6735" s="7">
        <v>275181.69020866771</v>
      </c>
      <c r="H6735" s="7">
        <v>171438193</v>
      </c>
      <c r="I6735" s="7">
        <v>19363914</v>
      </c>
      <c r="J6735" s="7">
        <v>0</v>
      </c>
      <c r="K6735">
        <f t="shared" si="105"/>
        <v>120</v>
      </c>
      <c r="L6735" s="8" t="str" cm="1">
        <f t="array" ref="L6735">_xlfn.IFS(
 AND(K6735&gt;=89,K6735&lt;=92),"3개월",
 AND(K6735&gt;=58,K6735&lt;=62),"2개월",
 AND(K6735&gt;=28,K6735&lt;=32),"1개월",
 AND(K6735=0),"당월",
 TRUE,"그외"
)</f>
        <v>그외</v>
      </c>
    </row>
    <row r="6736" spans="1:12" x14ac:dyDescent="0.3">
      <c r="A6736" s="5">
        <v>45778</v>
      </c>
      <c r="B6736" s="6" t="s">
        <v>60</v>
      </c>
      <c r="C6736" s="6" t="s">
        <v>67</v>
      </c>
      <c r="D6736" s="5">
        <v>45689</v>
      </c>
      <c r="E6736" s="6" t="s">
        <v>14</v>
      </c>
      <c r="F6736" s="7">
        <v>527</v>
      </c>
      <c r="G6736" s="7">
        <v>142912.14421252371</v>
      </c>
      <c r="H6736" s="7">
        <v>75314700</v>
      </c>
      <c r="I6736" s="7">
        <v>16916700</v>
      </c>
      <c r="J6736" s="7">
        <v>0</v>
      </c>
      <c r="K6736">
        <f t="shared" si="105"/>
        <v>89</v>
      </c>
      <c r="L6736" s="8" t="str" cm="1">
        <f t="array" ref="L6736">_xlfn.IFS(
 AND(K6736&gt;=89,K6736&lt;=92),"3개월",
 AND(K6736&gt;=58,K6736&lt;=62),"2개월",
 AND(K6736&gt;=28,K6736&lt;=32),"1개월",
 AND(K6736=0),"당월",
 TRUE,"그외"
)</f>
        <v>3개월</v>
      </c>
    </row>
    <row r="6737" spans="1:12" x14ac:dyDescent="0.3">
      <c r="A6737" s="5">
        <v>45778</v>
      </c>
      <c r="B6737" s="6" t="s">
        <v>60</v>
      </c>
      <c r="C6737" s="6" t="s">
        <v>67</v>
      </c>
      <c r="D6737" s="5">
        <v>45689</v>
      </c>
      <c r="E6737" s="6" t="s">
        <v>15</v>
      </c>
      <c r="F6737" s="7">
        <v>939</v>
      </c>
      <c r="G6737" s="7">
        <v>212679.93716719921</v>
      </c>
      <c r="H6737" s="7">
        <v>199706461</v>
      </c>
      <c r="I6737" s="7">
        <v>29737901</v>
      </c>
      <c r="J6737" s="7">
        <v>0</v>
      </c>
      <c r="K6737">
        <f t="shared" si="105"/>
        <v>89</v>
      </c>
      <c r="L6737" s="8" t="str" cm="1">
        <f t="array" ref="L6737">_xlfn.IFS(
 AND(K6737&gt;=89,K6737&lt;=92),"3개월",
 AND(K6737&gt;=58,K6737&lt;=62),"2개월",
 AND(K6737&gt;=28,K6737&lt;=32),"1개월",
 AND(K6737=0),"당월",
 TRUE,"그외"
)</f>
        <v>3개월</v>
      </c>
    </row>
    <row r="6738" spans="1:12" x14ac:dyDescent="0.3">
      <c r="A6738" s="5">
        <v>45778</v>
      </c>
      <c r="B6738" s="6" t="s">
        <v>60</v>
      </c>
      <c r="C6738" s="6" t="s">
        <v>67</v>
      </c>
      <c r="D6738" s="5">
        <v>45717</v>
      </c>
      <c r="E6738" s="6" t="s">
        <v>14</v>
      </c>
      <c r="F6738" s="7">
        <v>119</v>
      </c>
      <c r="G6738" s="7">
        <v>136717.6470588235</v>
      </c>
      <c r="H6738" s="7">
        <v>16269400</v>
      </c>
      <c r="I6738" s="7">
        <v>4474400</v>
      </c>
      <c r="J6738" s="7">
        <v>0</v>
      </c>
      <c r="K6738">
        <f t="shared" si="105"/>
        <v>61</v>
      </c>
      <c r="L6738" s="8" t="str" cm="1">
        <f t="array" ref="L6738">_xlfn.IFS(
 AND(K6738&gt;=89,K6738&lt;=92),"3개월",
 AND(K6738&gt;=58,K6738&lt;=62),"2개월",
 AND(K6738&gt;=28,K6738&lt;=32),"1개월",
 AND(K6738=0),"당월",
 TRUE,"그외"
)</f>
        <v>2개월</v>
      </c>
    </row>
    <row r="6739" spans="1:12" x14ac:dyDescent="0.3">
      <c r="A6739" s="5">
        <v>45778</v>
      </c>
      <c r="B6739" s="6" t="s">
        <v>60</v>
      </c>
      <c r="C6739" s="6" t="s">
        <v>67</v>
      </c>
      <c r="D6739" s="5">
        <v>45717</v>
      </c>
      <c r="E6739" s="6" t="s">
        <v>15</v>
      </c>
      <c r="F6739" s="7">
        <v>1041</v>
      </c>
      <c r="G6739" s="7">
        <v>207039.8338136407</v>
      </c>
      <c r="H6739" s="7">
        <v>215528467</v>
      </c>
      <c r="I6739" s="7">
        <v>39040423</v>
      </c>
      <c r="J6739" s="7">
        <v>0</v>
      </c>
      <c r="K6739">
        <f t="shared" si="105"/>
        <v>61</v>
      </c>
      <c r="L6739" s="8" t="str" cm="1">
        <f t="array" ref="L6739">_xlfn.IFS(
 AND(K6739&gt;=89,K6739&lt;=92),"3개월",
 AND(K6739&gt;=58,K6739&lt;=62),"2개월",
 AND(K6739&gt;=28,K6739&lt;=32),"1개월",
 AND(K6739=0),"당월",
 TRUE,"그외"
)</f>
        <v>2개월</v>
      </c>
    </row>
    <row r="6740" spans="1:12" x14ac:dyDescent="0.3">
      <c r="A6740" s="5">
        <v>45778</v>
      </c>
      <c r="B6740" s="6" t="s">
        <v>60</v>
      </c>
      <c r="C6740" s="6" t="s">
        <v>67</v>
      </c>
      <c r="D6740" s="5">
        <v>45748</v>
      </c>
      <c r="E6740" s="6" t="s">
        <v>14</v>
      </c>
      <c r="F6740" s="7">
        <v>2338</v>
      </c>
      <c r="G6740" s="7">
        <v>112390.54747647561</v>
      </c>
      <c r="H6740" s="7">
        <v>262769100</v>
      </c>
      <c r="I6740" s="7">
        <v>64305100</v>
      </c>
      <c r="J6740" s="7">
        <v>0</v>
      </c>
      <c r="K6740">
        <f t="shared" si="105"/>
        <v>30</v>
      </c>
      <c r="L6740" s="8" t="str" cm="1">
        <f t="array" ref="L6740">_xlfn.IFS(
 AND(K6740&gt;=89,K6740&lt;=92),"3개월",
 AND(K6740&gt;=58,K6740&lt;=62),"2개월",
 AND(K6740&gt;=28,K6740&lt;=32),"1개월",
 AND(K6740=0),"당월",
 TRUE,"그외"
)</f>
        <v>1개월</v>
      </c>
    </row>
    <row r="6741" spans="1:12" x14ac:dyDescent="0.3">
      <c r="A6741" s="5">
        <v>45778</v>
      </c>
      <c r="B6741" s="6" t="s">
        <v>60</v>
      </c>
      <c r="C6741" s="6" t="s">
        <v>67</v>
      </c>
      <c r="D6741" s="5">
        <v>45748</v>
      </c>
      <c r="E6741" s="6" t="s">
        <v>15</v>
      </c>
      <c r="F6741" s="7">
        <v>2041</v>
      </c>
      <c r="G6741" s="7">
        <v>158931.65017148459</v>
      </c>
      <c r="H6741" s="7">
        <v>324379498</v>
      </c>
      <c r="I6741" s="7">
        <v>58759720</v>
      </c>
      <c r="J6741" s="7">
        <v>0</v>
      </c>
      <c r="K6741">
        <f t="shared" si="105"/>
        <v>30</v>
      </c>
      <c r="L6741" s="8" t="str" cm="1">
        <f t="array" ref="L6741">_xlfn.IFS(
 AND(K6741&gt;=89,K6741&lt;=92),"3개월",
 AND(K6741&gt;=58,K6741&lt;=62),"2개월",
 AND(K6741&gt;=28,K6741&lt;=32),"1개월",
 AND(K6741=0),"당월",
 TRUE,"그외"
)</f>
        <v>1개월</v>
      </c>
    </row>
    <row r="6742" spans="1:12" x14ac:dyDescent="0.3">
      <c r="A6742" s="5">
        <v>45778</v>
      </c>
      <c r="B6742" s="6" t="s">
        <v>60</v>
      </c>
      <c r="C6742" s="6" t="s">
        <v>67</v>
      </c>
      <c r="D6742" s="5">
        <v>45778</v>
      </c>
      <c r="E6742" s="6" t="s">
        <v>14</v>
      </c>
      <c r="F6742" s="7">
        <v>258</v>
      </c>
      <c r="G6742" s="7">
        <v>85636.43410852713</v>
      </c>
      <c r="H6742" s="7">
        <v>22094200</v>
      </c>
      <c r="I6742" s="7">
        <v>5650200</v>
      </c>
      <c r="J6742" s="7">
        <v>0</v>
      </c>
      <c r="K6742">
        <f t="shared" si="105"/>
        <v>0</v>
      </c>
      <c r="L6742" s="8" t="str" cm="1">
        <f t="array" ref="L6742">_xlfn.IFS(
 AND(K6742&gt;=89,K6742&lt;=92),"3개월",
 AND(K6742&gt;=58,K6742&lt;=62),"2개월",
 AND(K6742&gt;=28,K6742&lt;=32),"1개월",
 AND(K6742=0),"당월",
 TRUE,"그외"
)</f>
        <v>당월</v>
      </c>
    </row>
    <row r="6743" spans="1:12" x14ac:dyDescent="0.3">
      <c r="A6743" s="5">
        <v>45778</v>
      </c>
      <c r="B6743" s="6" t="s">
        <v>60</v>
      </c>
      <c r="C6743" s="6" t="s">
        <v>67</v>
      </c>
      <c r="D6743" s="5">
        <v>45778</v>
      </c>
      <c r="E6743" s="6" t="s">
        <v>15</v>
      </c>
      <c r="F6743" s="7">
        <v>714</v>
      </c>
      <c r="G6743" s="7">
        <v>116175.2521008403</v>
      </c>
      <c r="H6743" s="7">
        <v>82949130</v>
      </c>
      <c r="I6743" s="7">
        <v>16545381</v>
      </c>
      <c r="J6743" s="7">
        <v>0</v>
      </c>
      <c r="K6743">
        <f t="shared" si="105"/>
        <v>0</v>
      </c>
      <c r="L6743" s="8" t="str" cm="1">
        <f t="array" ref="L6743">_xlfn.IFS(
 AND(K6743&gt;=89,K6743&lt;=92),"3개월",
 AND(K6743&gt;=58,K6743&lt;=62),"2개월",
 AND(K6743&gt;=28,K6743&lt;=32),"1개월",
 AND(K6743=0),"당월",
 TRUE,"그외"
)</f>
        <v>당월</v>
      </c>
    </row>
    <row r="6744" spans="1:12" x14ac:dyDescent="0.3">
      <c r="A6744" s="5">
        <v>45778</v>
      </c>
      <c r="B6744" s="6" t="s">
        <v>60</v>
      </c>
      <c r="C6744" s="6" t="s">
        <v>68</v>
      </c>
      <c r="D6744" s="5">
        <v>45717</v>
      </c>
      <c r="E6744" s="6" t="s">
        <v>14</v>
      </c>
      <c r="F6744" s="7">
        <v>457</v>
      </c>
      <c r="G6744" s="7">
        <v>294057.33041575493</v>
      </c>
      <c r="H6744" s="7">
        <v>134384200</v>
      </c>
      <c r="I6744" s="7">
        <v>15621200</v>
      </c>
      <c r="J6744" s="7">
        <v>0</v>
      </c>
      <c r="K6744">
        <f t="shared" si="105"/>
        <v>61</v>
      </c>
      <c r="L6744" s="8" t="str" cm="1">
        <f t="array" ref="L6744">_xlfn.IFS(
 AND(K6744&gt;=89,K6744&lt;=92),"3개월",
 AND(K6744&gt;=58,K6744&lt;=62),"2개월",
 AND(K6744&gt;=28,K6744&lt;=32),"1개월",
 AND(K6744=0),"당월",
 TRUE,"그외"
)</f>
        <v>2개월</v>
      </c>
    </row>
    <row r="6745" spans="1:12" x14ac:dyDescent="0.3">
      <c r="A6745" s="5">
        <v>45778</v>
      </c>
      <c r="B6745" s="6" t="s">
        <v>60</v>
      </c>
      <c r="C6745" s="6" t="s">
        <v>68</v>
      </c>
      <c r="D6745" s="5">
        <v>45717</v>
      </c>
      <c r="E6745" s="6" t="s">
        <v>15</v>
      </c>
      <c r="F6745" s="7">
        <v>2351</v>
      </c>
      <c r="G6745" s="7">
        <v>215791.34155678429</v>
      </c>
      <c r="H6745" s="7">
        <v>507325444</v>
      </c>
      <c r="I6745" s="7">
        <v>81099188</v>
      </c>
      <c r="J6745" s="7">
        <v>0</v>
      </c>
      <c r="K6745">
        <f t="shared" si="105"/>
        <v>61</v>
      </c>
      <c r="L6745" s="8" t="str" cm="1">
        <f t="array" ref="L6745">_xlfn.IFS(
 AND(K6745&gt;=89,K6745&lt;=92),"3개월",
 AND(K6745&gt;=58,K6745&lt;=62),"2개월",
 AND(K6745&gt;=28,K6745&lt;=32),"1개월",
 AND(K6745=0),"당월",
 TRUE,"그외"
)</f>
        <v>2개월</v>
      </c>
    </row>
    <row r="6746" spans="1:12" x14ac:dyDescent="0.3">
      <c r="A6746" s="5">
        <v>45778</v>
      </c>
      <c r="B6746" s="6" t="s">
        <v>60</v>
      </c>
      <c r="C6746" s="6" t="s">
        <v>68</v>
      </c>
      <c r="D6746" s="5">
        <v>45748</v>
      </c>
      <c r="E6746" s="6" t="s">
        <v>14</v>
      </c>
      <c r="F6746" s="7">
        <v>1157</v>
      </c>
      <c r="G6746" s="7">
        <v>148462.40276577359</v>
      </c>
      <c r="H6746" s="7">
        <v>171771000</v>
      </c>
      <c r="I6746" s="7">
        <v>31868000</v>
      </c>
      <c r="J6746" s="7">
        <v>0</v>
      </c>
      <c r="K6746">
        <f t="shared" si="105"/>
        <v>30</v>
      </c>
      <c r="L6746" s="8" t="str" cm="1">
        <f t="array" ref="L6746">_xlfn.IFS(
 AND(K6746&gt;=89,K6746&lt;=92),"3개월",
 AND(K6746&gt;=58,K6746&lt;=62),"2개월",
 AND(K6746&gt;=28,K6746&lt;=32),"1개월",
 AND(K6746=0),"당월",
 TRUE,"그외"
)</f>
        <v>1개월</v>
      </c>
    </row>
    <row r="6747" spans="1:12" x14ac:dyDescent="0.3">
      <c r="A6747" s="5">
        <v>45778</v>
      </c>
      <c r="B6747" s="6" t="s">
        <v>60</v>
      </c>
      <c r="C6747" s="6" t="s">
        <v>68</v>
      </c>
      <c r="D6747" s="5">
        <v>45748</v>
      </c>
      <c r="E6747" s="6" t="s">
        <v>15</v>
      </c>
      <c r="F6747" s="7">
        <v>2584</v>
      </c>
      <c r="G6747" s="7">
        <v>161191.02708978331</v>
      </c>
      <c r="H6747" s="7">
        <v>416517614</v>
      </c>
      <c r="I6747" s="7">
        <v>72604070</v>
      </c>
      <c r="J6747" s="7">
        <v>0</v>
      </c>
      <c r="K6747">
        <f t="shared" si="105"/>
        <v>30</v>
      </c>
      <c r="L6747" s="8" t="str" cm="1">
        <f t="array" ref="L6747">_xlfn.IFS(
 AND(K6747&gt;=89,K6747&lt;=92),"3개월",
 AND(K6747&gt;=58,K6747&lt;=62),"2개월",
 AND(K6747&gt;=28,K6747&lt;=32),"1개월",
 AND(K6747=0),"당월",
 TRUE,"그외"
)</f>
        <v>1개월</v>
      </c>
    </row>
    <row r="6748" spans="1:12" x14ac:dyDescent="0.3">
      <c r="A6748" s="5">
        <v>45778</v>
      </c>
      <c r="B6748" s="6" t="s">
        <v>60</v>
      </c>
      <c r="C6748" s="6" t="s">
        <v>68</v>
      </c>
      <c r="D6748" s="5">
        <v>45778</v>
      </c>
      <c r="E6748" s="6" t="s">
        <v>14</v>
      </c>
      <c r="F6748" s="7">
        <v>44</v>
      </c>
      <c r="G6748" s="7">
        <v>92636.363636363632</v>
      </c>
      <c r="H6748" s="7">
        <v>4076000</v>
      </c>
      <c r="I6748" s="7">
        <v>984000</v>
      </c>
      <c r="J6748" s="7">
        <v>0</v>
      </c>
      <c r="K6748">
        <f t="shared" si="105"/>
        <v>0</v>
      </c>
      <c r="L6748" s="8" t="str" cm="1">
        <f t="array" ref="L6748">_xlfn.IFS(
 AND(K6748&gt;=89,K6748&lt;=92),"3개월",
 AND(K6748&gt;=58,K6748&lt;=62),"2개월",
 AND(K6748&gt;=28,K6748&lt;=32),"1개월",
 AND(K6748=0),"당월",
 TRUE,"그외"
)</f>
        <v>당월</v>
      </c>
    </row>
    <row r="6749" spans="1:12" x14ac:dyDescent="0.3">
      <c r="A6749" s="5">
        <v>45778</v>
      </c>
      <c r="B6749" s="6" t="s">
        <v>60</v>
      </c>
      <c r="C6749" s="6" t="s">
        <v>68</v>
      </c>
      <c r="D6749" s="5">
        <v>45778</v>
      </c>
      <c r="E6749" s="6" t="s">
        <v>15</v>
      </c>
      <c r="F6749" s="7">
        <v>520</v>
      </c>
      <c r="G6749" s="7">
        <v>125816.9903846154</v>
      </c>
      <c r="H6749" s="7">
        <v>65424835</v>
      </c>
      <c r="I6749" s="7">
        <v>12122043</v>
      </c>
      <c r="J6749" s="7">
        <v>0</v>
      </c>
      <c r="K6749">
        <f t="shared" si="105"/>
        <v>0</v>
      </c>
      <c r="L6749" s="8" t="str" cm="1">
        <f t="array" ref="L6749">_xlfn.IFS(
 AND(K6749&gt;=89,K6749&lt;=92),"3개월",
 AND(K6749&gt;=58,K6749&lt;=62),"2개월",
 AND(K6749&gt;=28,K6749&lt;=32),"1개월",
 AND(K6749=0),"당월",
 TRUE,"그외"
)</f>
        <v>당월</v>
      </c>
    </row>
    <row r="6750" spans="1:12" x14ac:dyDescent="0.3">
      <c r="A6750" s="5">
        <v>45778</v>
      </c>
      <c r="B6750" s="6" t="s">
        <v>60</v>
      </c>
      <c r="C6750" s="6" t="s">
        <v>69</v>
      </c>
      <c r="D6750" s="5">
        <v>45717</v>
      </c>
      <c r="E6750" s="6" t="s">
        <v>14</v>
      </c>
      <c r="F6750" s="7">
        <v>349</v>
      </c>
      <c r="G6750" s="7">
        <v>265091.4040114613</v>
      </c>
      <c r="H6750" s="7">
        <v>92516900</v>
      </c>
      <c r="I6750" s="7">
        <v>12049900</v>
      </c>
      <c r="J6750" s="7">
        <v>0</v>
      </c>
      <c r="K6750">
        <f t="shared" si="105"/>
        <v>61</v>
      </c>
      <c r="L6750" s="8" t="str" cm="1">
        <f t="array" ref="L6750">_xlfn.IFS(
 AND(K6750&gt;=89,K6750&lt;=92),"3개월",
 AND(K6750&gt;=58,K6750&lt;=62),"2개월",
 AND(K6750&gt;=28,K6750&lt;=32),"1개월",
 AND(K6750=0),"당월",
 TRUE,"그외"
)</f>
        <v>2개월</v>
      </c>
    </row>
    <row r="6751" spans="1:12" x14ac:dyDescent="0.3">
      <c r="A6751" s="5">
        <v>45778</v>
      </c>
      <c r="B6751" s="6" t="s">
        <v>60</v>
      </c>
      <c r="C6751" s="6" t="s">
        <v>69</v>
      </c>
      <c r="D6751" s="5">
        <v>45717</v>
      </c>
      <c r="E6751" s="6" t="s">
        <v>15</v>
      </c>
      <c r="F6751" s="7">
        <v>586</v>
      </c>
      <c r="G6751" s="7">
        <v>211551.13993174059</v>
      </c>
      <c r="H6751" s="7">
        <v>123968968</v>
      </c>
      <c r="I6751" s="7">
        <v>21479612</v>
      </c>
      <c r="J6751" s="7">
        <v>0</v>
      </c>
      <c r="K6751">
        <f t="shared" si="105"/>
        <v>61</v>
      </c>
      <c r="L6751" s="8" t="str" cm="1">
        <f t="array" ref="L6751">_xlfn.IFS(
 AND(K6751&gt;=89,K6751&lt;=92),"3개월",
 AND(K6751&gt;=58,K6751&lt;=62),"2개월",
 AND(K6751&gt;=28,K6751&lt;=32),"1개월",
 AND(K6751=0),"당월",
 TRUE,"그외"
)</f>
        <v>2개월</v>
      </c>
    </row>
    <row r="6752" spans="1:12" x14ac:dyDescent="0.3">
      <c r="A6752" s="5">
        <v>45778</v>
      </c>
      <c r="B6752" s="6" t="s">
        <v>60</v>
      </c>
      <c r="C6752" s="6" t="s">
        <v>69</v>
      </c>
      <c r="D6752" s="5">
        <v>45748</v>
      </c>
      <c r="E6752" s="6" t="s">
        <v>14</v>
      </c>
      <c r="F6752" s="7">
        <v>409</v>
      </c>
      <c r="G6752" s="7">
        <v>167957.2127139364</v>
      </c>
      <c r="H6752" s="7">
        <v>68694500</v>
      </c>
      <c r="I6752" s="7">
        <v>11752500</v>
      </c>
      <c r="J6752" s="7">
        <v>0</v>
      </c>
      <c r="K6752">
        <f t="shared" si="105"/>
        <v>30</v>
      </c>
      <c r="L6752" s="8" t="str" cm="1">
        <f t="array" ref="L6752">_xlfn.IFS(
 AND(K6752&gt;=89,K6752&lt;=92),"3개월",
 AND(K6752&gt;=58,K6752&lt;=62),"2개월",
 AND(K6752&gt;=28,K6752&lt;=32),"1개월",
 AND(K6752=0),"당월",
 TRUE,"그외"
)</f>
        <v>1개월</v>
      </c>
    </row>
    <row r="6753" spans="1:12" x14ac:dyDescent="0.3">
      <c r="A6753" s="5">
        <v>45778</v>
      </c>
      <c r="B6753" s="6" t="s">
        <v>60</v>
      </c>
      <c r="C6753" s="6" t="s">
        <v>69</v>
      </c>
      <c r="D6753" s="5">
        <v>45748</v>
      </c>
      <c r="E6753" s="6" t="s">
        <v>15</v>
      </c>
      <c r="F6753" s="7">
        <v>1672</v>
      </c>
      <c r="G6753" s="7">
        <v>127717.66866028711</v>
      </c>
      <c r="H6753" s="7">
        <v>213543942</v>
      </c>
      <c r="I6753" s="7">
        <v>48659115</v>
      </c>
      <c r="J6753" s="7">
        <v>0</v>
      </c>
      <c r="K6753">
        <f t="shared" si="105"/>
        <v>30</v>
      </c>
      <c r="L6753" s="8" t="str" cm="1">
        <f t="array" ref="L6753">_xlfn.IFS(
 AND(K6753&gt;=89,K6753&lt;=92),"3개월",
 AND(K6753&gt;=58,K6753&lt;=62),"2개월",
 AND(K6753&gt;=28,K6753&lt;=32),"1개월",
 AND(K6753=0),"당월",
 TRUE,"그외"
)</f>
        <v>1개월</v>
      </c>
    </row>
    <row r="6754" spans="1:12" x14ac:dyDescent="0.3">
      <c r="A6754" s="5">
        <v>45778</v>
      </c>
      <c r="B6754" s="6" t="s">
        <v>60</v>
      </c>
      <c r="C6754" s="6" t="s">
        <v>69</v>
      </c>
      <c r="D6754" s="5">
        <v>45778</v>
      </c>
      <c r="E6754" s="6" t="s">
        <v>14</v>
      </c>
      <c r="F6754" s="7">
        <v>106</v>
      </c>
      <c r="G6754" s="7">
        <v>117007.5471698113</v>
      </c>
      <c r="H6754" s="7">
        <v>12402800</v>
      </c>
      <c r="I6754" s="7">
        <v>2352800</v>
      </c>
      <c r="J6754" s="7">
        <v>0</v>
      </c>
      <c r="K6754">
        <f t="shared" si="105"/>
        <v>0</v>
      </c>
      <c r="L6754" s="8" t="str" cm="1">
        <f t="array" ref="L6754">_xlfn.IFS(
 AND(K6754&gt;=89,K6754&lt;=92),"3개월",
 AND(K6754&gt;=58,K6754&lt;=62),"2개월",
 AND(K6754&gt;=28,K6754&lt;=32),"1개월",
 AND(K6754=0),"당월",
 TRUE,"그외"
)</f>
        <v>당월</v>
      </c>
    </row>
    <row r="6755" spans="1:12" x14ac:dyDescent="0.3">
      <c r="A6755" s="5">
        <v>45778</v>
      </c>
      <c r="B6755" s="6" t="s">
        <v>60</v>
      </c>
      <c r="C6755" s="6" t="s">
        <v>69</v>
      </c>
      <c r="D6755" s="5">
        <v>45778</v>
      </c>
      <c r="E6755" s="6" t="s">
        <v>15</v>
      </c>
      <c r="F6755" s="7">
        <v>495</v>
      </c>
      <c r="G6755" s="7">
        <v>86845.391919191912</v>
      </c>
      <c r="H6755" s="7">
        <v>42988469</v>
      </c>
      <c r="I6755" s="7">
        <v>11658565</v>
      </c>
      <c r="J6755" s="7">
        <v>0</v>
      </c>
      <c r="K6755">
        <f t="shared" si="105"/>
        <v>0</v>
      </c>
      <c r="L6755" s="8" t="str" cm="1">
        <f t="array" ref="L6755">_xlfn.IFS(
 AND(K6755&gt;=89,K6755&lt;=92),"3개월",
 AND(K6755&gt;=58,K6755&lt;=62),"2개월",
 AND(K6755&gt;=28,K6755&lt;=32),"1개월",
 AND(K6755=0),"당월",
 TRUE,"그외"
)</f>
        <v>당월</v>
      </c>
    </row>
    <row r="6756" spans="1:12" x14ac:dyDescent="0.3">
      <c r="A6756" s="5">
        <v>45778</v>
      </c>
      <c r="B6756" s="6" t="s">
        <v>60</v>
      </c>
      <c r="C6756" s="6" t="s">
        <v>70</v>
      </c>
      <c r="D6756" s="5">
        <v>45717</v>
      </c>
      <c r="E6756" s="6" t="s">
        <v>14</v>
      </c>
      <c r="F6756" s="7">
        <v>332</v>
      </c>
      <c r="G6756" s="7">
        <v>333363.55421686749</v>
      </c>
      <c r="H6756" s="7">
        <v>110676700</v>
      </c>
      <c r="I6756" s="7">
        <v>10937700</v>
      </c>
      <c r="J6756" s="7">
        <v>0</v>
      </c>
      <c r="K6756">
        <f t="shared" si="105"/>
        <v>61</v>
      </c>
      <c r="L6756" s="8" t="str" cm="1">
        <f t="array" ref="L6756">_xlfn.IFS(
 AND(K6756&gt;=89,K6756&lt;=92),"3개월",
 AND(K6756&gt;=58,K6756&lt;=62),"2개월",
 AND(K6756&gt;=28,K6756&lt;=32),"1개월",
 AND(K6756=0),"당월",
 TRUE,"그외"
)</f>
        <v>2개월</v>
      </c>
    </row>
    <row r="6757" spans="1:12" x14ac:dyDescent="0.3">
      <c r="A6757" s="5">
        <v>45778</v>
      </c>
      <c r="B6757" s="6" t="s">
        <v>60</v>
      </c>
      <c r="C6757" s="6" t="s">
        <v>70</v>
      </c>
      <c r="D6757" s="5">
        <v>45717</v>
      </c>
      <c r="E6757" s="6" t="s">
        <v>15</v>
      </c>
      <c r="F6757" s="7">
        <v>493</v>
      </c>
      <c r="G6757" s="7">
        <v>304279.65720081137</v>
      </c>
      <c r="H6757" s="7">
        <v>150009871</v>
      </c>
      <c r="I6757" s="7">
        <v>17337160</v>
      </c>
      <c r="J6757" s="7">
        <v>0</v>
      </c>
      <c r="K6757">
        <f t="shared" si="105"/>
        <v>61</v>
      </c>
      <c r="L6757" s="8" t="str" cm="1">
        <f t="array" ref="L6757">_xlfn.IFS(
 AND(K6757&gt;=89,K6757&lt;=92),"3개월",
 AND(K6757&gt;=58,K6757&lt;=62),"2개월",
 AND(K6757&gt;=28,K6757&lt;=32),"1개월",
 AND(K6757=0),"당월",
 TRUE,"그외"
)</f>
        <v>2개월</v>
      </c>
    </row>
    <row r="6758" spans="1:12" x14ac:dyDescent="0.3">
      <c r="A6758" s="5">
        <v>45778</v>
      </c>
      <c r="B6758" s="6" t="s">
        <v>60</v>
      </c>
      <c r="C6758" s="6" t="s">
        <v>70</v>
      </c>
      <c r="D6758" s="5">
        <v>45748</v>
      </c>
      <c r="E6758" s="6" t="s">
        <v>14</v>
      </c>
      <c r="F6758" s="7">
        <v>266</v>
      </c>
      <c r="G6758" s="7">
        <v>182354.13533834589</v>
      </c>
      <c r="H6758" s="7">
        <v>48506200</v>
      </c>
      <c r="I6758" s="7">
        <v>7481200</v>
      </c>
      <c r="J6758" s="7">
        <v>0</v>
      </c>
      <c r="K6758">
        <f t="shared" si="105"/>
        <v>30</v>
      </c>
      <c r="L6758" s="8" t="str" cm="1">
        <f t="array" ref="L6758">_xlfn.IFS(
 AND(K6758&gt;=89,K6758&lt;=92),"3개월",
 AND(K6758&gt;=58,K6758&lt;=62),"2개월",
 AND(K6758&gt;=28,K6758&lt;=32),"1개월",
 AND(K6758=0),"당월",
 TRUE,"그외"
)</f>
        <v>1개월</v>
      </c>
    </row>
    <row r="6759" spans="1:12" x14ac:dyDescent="0.3">
      <c r="A6759" s="5">
        <v>45778</v>
      </c>
      <c r="B6759" s="6" t="s">
        <v>60</v>
      </c>
      <c r="C6759" s="6" t="s">
        <v>70</v>
      </c>
      <c r="D6759" s="5">
        <v>45748</v>
      </c>
      <c r="E6759" s="6" t="s">
        <v>15</v>
      </c>
      <c r="F6759" s="7">
        <v>623</v>
      </c>
      <c r="G6759" s="7">
        <v>245645.54253611559</v>
      </c>
      <c r="H6759" s="7">
        <v>153037173</v>
      </c>
      <c r="I6759" s="7">
        <v>18210963</v>
      </c>
      <c r="J6759" s="7">
        <v>0</v>
      </c>
      <c r="K6759">
        <f t="shared" si="105"/>
        <v>30</v>
      </c>
      <c r="L6759" s="8" t="str" cm="1">
        <f t="array" ref="L6759">_xlfn.IFS(
 AND(K6759&gt;=89,K6759&lt;=92),"3개월",
 AND(K6759&gt;=58,K6759&lt;=62),"2개월",
 AND(K6759&gt;=28,K6759&lt;=32),"1개월",
 AND(K6759=0),"당월",
 TRUE,"그외"
)</f>
        <v>1개월</v>
      </c>
    </row>
    <row r="6760" spans="1:12" x14ac:dyDescent="0.3">
      <c r="A6760" s="5">
        <v>45778</v>
      </c>
      <c r="B6760" s="6" t="s">
        <v>60</v>
      </c>
      <c r="C6760" s="6" t="s">
        <v>70</v>
      </c>
      <c r="D6760" s="5">
        <v>45778</v>
      </c>
      <c r="E6760" s="6" t="s">
        <v>15</v>
      </c>
      <c r="F6760" s="7">
        <v>25</v>
      </c>
      <c r="G6760" s="7">
        <v>253485.44</v>
      </c>
      <c r="H6760" s="7">
        <v>6337136</v>
      </c>
      <c r="I6760" s="7">
        <v>621421</v>
      </c>
      <c r="J6760" s="7">
        <v>0</v>
      </c>
      <c r="K6760">
        <f t="shared" si="105"/>
        <v>0</v>
      </c>
      <c r="L6760" s="8" t="str" cm="1">
        <f t="array" ref="L6760">_xlfn.IFS(
 AND(K6760&gt;=89,K6760&lt;=92),"3개월",
 AND(K6760&gt;=58,K6760&lt;=62),"2개월",
 AND(K6760&gt;=28,K6760&lt;=32),"1개월",
 AND(K6760=0),"당월",
 TRUE,"그외"
)</f>
        <v>당월</v>
      </c>
    </row>
    <row r="6761" spans="1:12" x14ac:dyDescent="0.3">
      <c r="A6761" s="5">
        <v>45778</v>
      </c>
      <c r="B6761" s="6" t="s">
        <v>60</v>
      </c>
      <c r="C6761" s="6" t="s">
        <v>112</v>
      </c>
      <c r="D6761" s="5">
        <v>45627</v>
      </c>
      <c r="E6761" s="6" t="s">
        <v>15</v>
      </c>
      <c r="F6761" s="7">
        <v>56</v>
      </c>
      <c r="G6761" s="7">
        <v>175645.8928571429</v>
      </c>
      <c r="H6761" s="7">
        <v>9836170</v>
      </c>
      <c r="I6761" s="7">
        <v>2587186</v>
      </c>
      <c r="J6761" s="7">
        <v>0</v>
      </c>
      <c r="K6761">
        <f t="shared" si="105"/>
        <v>151</v>
      </c>
      <c r="L6761" s="8" t="str" cm="1">
        <f t="array" ref="L6761">_xlfn.IFS(
 AND(K6761&gt;=89,K6761&lt;=92),"3개월",
 AND(K6761&gt;=58,K6761&lt;=62),"2개월",
 AND(K6761&gt;=28,K6761&lt;=32),"1개월",
 AND(K6761=0),"당월",
 TRUE,"그외"
)</f>
        <v>그외</v>
      </c>
    </row>
    <row r="6762" spans="1:12" x14ac:dyDescent="0.3">
      <c r="A6762" s="5">
        <v>45778</v>
      </c>
      <c r="B6762" s="6" t="s">
        <v>60</v>
      </c>
      <c r="C6762" s="6" t="s">
        <v>112</v>
      </c>
      <c r="D6762" s="5">
        <v>45658</v>
      </c>
      <c r="E6762" s="6" t="s">
        <v>15</v>
      </c>
      <c r="F6762" s="7">
        <v>292</v>
      </c>
      <c r="G6762" s="7">
        <v>231037.78767123289</v>
      </c>
      <c r="H6762" s="7">
        <v>67463034</v>
      </c>
      <c r="I6762" s="7">
        <v>11283806</v>
      </c>
      <c r="J6762" s="7">
        <v>0</v>
      </c>
      <c r="K6762">
        <f t="shared" si="105"/>
        <v>120</v>
      </c>
      <c r="L6762" s="8" t="str" cm="1">
        <f t="array" ref="L6762">_xlfn.IFS(
 AND(K6762&gt;=89,K6762&lt;=92),"3개월",
 AND(K6762&gt;=58,K6762&lt;=62),"2개월",
 AND(K6762&gt;=28,K6762&lt;=32),"1개월",
 AND(K6762=0),"당월",
 TRUE,"그외"
)</f>
        <v>그외</v>
      </c>
    </row>
    <row r="6763" spans="1:12" x14ac:dyDescent="0.3">
      <c r="A6763" s="5">
        <v>45778</v>
      </c>
      <c r="B6763" s="6" t="s">
        <v>60</v>
      </c>
      <c r="C6763" s="6" t="s">
        <v>112</v>
      </c>
      <c r="D6763" s="5">
        <v>45689</v>
      </c>
      <c r="E6763" s="6" t="s">
        <v>14</v>
      </c>
      <c r="F6763" s="7">
        <v>367</v>
      </c>
      <c r="G6763" s="7">
        <v>282565.94005449588</v>
      </c>
      <c r="H6763" s="7">
        <v>103701700</v>
      </c>
      <c r="I6763" s="7">
        <v>11780700</v>
      </c>
      <c r="J6763" s="7">
        <v>0</v>
      </c>
      <c r="K6763">
        <f t="shared" si="105"/>
        <v>89</v>
      </c>
      <c r="L6763" s="8" t="str" cm="1">
        <f t="array" ref="L6763">_xlfn.IFS(
 AND(K6763&gt;=89,K6763&lt;=92),"3개월",
 AND(K6763&gt;=58,K6763&lt;=62),"2개월",
 AND(K6763&gt;=28,K6763&lt;=32),"1개월",
 AND(K6763=0),"당월",
 TRUE,"그외"
)</f>
        <v>3개월</v>
      </c>
    </row>
    <row r="6764" spans="1:12" x14ac:dyDescent="0.3">
      <c r="A6764" s="5">
        <v>45778</v>
      </c>
      <c r="B6764" s="6" t="s">
        <v>60</v>
      </c>
      <c r="C6764" s="6" t="s">
        <v>112</v>
      </c>
      <c r="D6764" s="5">
        <v>45689</v>
      </c>
      <c r="E6764" s="6" t="s">
        <v>15</v>
      </c>
      <c r="F6764" s="7">
        <v>810</v>
      </c>
      <c r="G6764" s="7">
        <v>219722.59753086421</v>
      </c>
      <c r="H6764" s="7">
        <v>177975304</v>
      </c>
      <c r="I6764" s="7">
        <v>29090520</v>
      </c>
      <c r="J6764" s="7">
        <v>0</v>
      </c>
      <c r="K6764">
        <f t="shared" si="105"/>
        <v>89</v>
      </c>
      <c r="L6764" s="8" t="str" cm="1">
        <f t="array" ref="L6764">_xlfn.IFS(
 AND(K6764&gt;=89,K6764&lt;=92),"3개월",
 AND(K6764&gt;=58,K6764&lt;=62),"2개월",
 AND(K6764&gt;=28,K6764&lt;=32),"1개월",
 AND(K6764=0),"당월",
 TRUE,"그외"
)</f>
        <v>3개월</v>
      </c>
    </row>
    <row r="6765" spans="1:12" x14ac:dyDescent="0.3">
      <c r="A6765" s="5">
        <v>45778</v>
      </c>
      <c r="B6765" s="6" t="s">
        <v>60</v>
      </c>
      <c r="C6765" s="6" t="s">
        <v>112</v>
      </c>
      <c r="D6765" s="5">
        <v>45717</v>
      </c>
      <c r="E6765" s="6" t="s">
        <v>14</v>
      </c>
      <c r="F6765" s="7">
        <v>606</v>
      </c>
      <c r="G6765" s="7">
        <v>226208.91089108909</v>
      </c>
      <c r="H6765" s="7">
        <v>137082600</v>
      </c>
      <c r="I6765" s="7">
        <v>22763600</v>
      </c>
      <c r="J6765" s="7">
        <v>0</v>
      </c>
      <c r="K6765">
        <f t="shared" si="105"/>
        <v>61</v>
      </c>
      <c r="L6765" s="8" t="str" cm="1">
        <f t="array" ref="L6765">_xlfn.IFS(
 AND(K6765&gt;=89,K6765&lt;=92),"3개월",
 AND(K6765&gt;=58,K6765&lt;=62),"2개월",
 AND(K6765&gt;=28,K6765&lt;=32),"1개월",
 AND(K6765=0),"당월",
 TRUE,"그외"
)</f>
        <v>2개월</v>
      </c>
    </row>
    <row r="6766" spans="1:12" x14ac:dyDescent="0.3">
      <c r="A6766" s="5">
        <v>45778</v>
      </c>
      <c r="B6766" s="6" t="s">
        <v>60</v>
      </c>
      <c r="C6766" s="6" t="s">
        <v>112</v>
      </c>
      <c r="D6766" s="5">
        <v>45717</v>
      </c>
      <c r="E6766" s="6" t="s">
        <v>15</v>
      </c>
      <c r="F6766" s="7">
        <v>1441</v>
      </c>
      <c r="G6766" s="7">
        <v>173239.67938931301</v>
      </c>
      <c r="H6766" s="7">
        <v>249638378</v>
      </c>
      <c r="I6766" s="7">
        <v>62388773</v>
      </c>
      <c r="J6766" s="7">
        <v>0</v>
      </c>
      <c r="K6766">
        <f t="shared" si="105"/>
        <v>61</v>
      </c>
      <c r="L6766" s="8" t="str" cm="1">
        <f t="array" ref="L6766">_xlfn.IFS(
 AND(K6766&gt;=89,K6766&lt;=92),"3개월",
 AND(K6766&gt;=58,K6766&lt;=62),"2개월",
 AND(K6766&gt;=28,K6766&lt;=32),"1개월",
 AND(K6766=0),"당월",
 TRUE,"그외"
)</f>
        <v>2개월</v>
      </c>
    </row>
    <row r="6767" spans="1:12" x14ac:dyDescent="0.3">
      <c r="A6767" s="5">
        <v>45778</v>
      </c>
      <c r="B6767" s="6" t="s">
        <v>60</v>
      </c>
      <c r="C6767" s="6" t="s">
        <v>112</v>
      </c>
      <c r="D6767" s="5">
        <v>45748</v>
      </c>
      <c r="E6767" s="6" t="s">
        <v>14</v>
      </c>
      <c r="F6767" s="7">
        <v>1538</v>
      </c>
      <c r="G6767" s="7">
        <v>99818.075422626789</v>
      </c>
      <c r="H6767" s="7">
        <v>153520200</v>
      </c>
      <c r="I6767" s="7">
        <v>42315200</v>
      </c>
      <c r="J6767" s="7">
        <v>0</v>
      </c>
      <c r="K6767">
        <f t="shared" si="105"/>
        <v>30</v>
      </c>
      <c r="L6767" s="8" t="str" cm="1">
        <f t="array" ref="L6767">_xlfn.IFS(
 AND(K6767&gt;=89,K6767&lt;=92),"3개월",
 AND(K6767&gt;=58,K6767&lt;=62),"2개월",
 AND(K6767&gt;=28,K6767&lt;=32),"1개월",
 AND(K6767=0),"당월",
 TRUE,"그외"
)</f>
        <v>1개월</v>
      </c>
    </row>
    <row r="6768" spans="1:12" x14ac:dyDescent="0.3">
      <c r="A6768" s="5">
        <v>45778</v>
      </c>
      <c r="B6768" s="6" t="s">
        <v>60</v>
      </c>
      <c r="C6768" s="6" t="s">
        <v>112</v>
      </c>
      <c r="D6768" s="5">
        <v>45748</v>
      </c>
      <c r="E6768" s="6" t="s">
        <v>15</v>
      </c>
      <c r="F6768" s="7">
        <v>2558</v>
      </c>
      <c r="G6768" s="7">
        <v>112907.4061767005</v>
      </c>
      <c r="H6768" s="7">
        <v>288817145</v>
      </c>
      <c r="I6768" s="7">
        <v>84149401</v>
      </c>
      <c r="J6768" s="7">
        <v>0</v>
      </c>
      <c r="K6768">
        <f t="shared" si="105"/>
        <v>30</v>
      </c>
      <c r="L6768" s="8" t="str" cm="1">
        <f t="array" ref="L6768">_xlfn.IFS(
 AND(K6768&gt;=89,K6768&lt;=92),"3개월",
 AND(K6768&gt;=58,K6768&lt;=62),"2개월",
 AND(K6768&gt;=28,K6768&lt;=32),"1개월",
 AND(K6768=0),"당월",
 TRUE,"그외"
)</f>
        <v>1개월</v>
      </c>
    </row>
    <row r="6769" spans="1:12" x14ac:dyDescent="0.3">
      <c r="A6769" s="5">
        <v>45778</v>
      </c>
      <c r="B6769" s="6" t="s">
        <v>60</v>
      </c>
      <c r="C6769" s="6" t="s">
        <v>112</v>
      </c>
      <c r="D6769" s="5">
        <v>45778</v>
      </c>
      <c r="E6769" s="6" t="s">
        <v>14</v>
      </c>
      <c r="F6769" s="7">
        <v>578</v>
      </c>
      <c r="G6769" s="7">
        <v>78370.588235294112</v>
      </c>
      <c r="H6769" s="7">
        <v>45298200</v>
      </c>
      <c r="I6769" s="7">
        <v>12658200</v>
      </c>
      <c r="J6769" s="7">
        <v>0</v>
      </c>
      <c r="K6769">
        <f t="shared" si="105"/>
        <v>0</v>
      </c>
      <c r="L6769" s="8" t="str" cm="1">
        <f t="array" ref="L6769">_xlfn.IFS(
 AND(K6769&gt;=89,K6769&lt;=92),"3개월",
 AND(K6769&gt;=58,K6769&lt;=62),"2개월",
 AND(K6769&gt;=28,K6769&lt;=32),"1개월",
 AND(K6769=0),"당월",
 TRUE,"그외"
)</f>
        <v>당월</v>
      </c>
    </row>
    <row r="6770" spans="1:12" x14ac:dyDescent="0.3">
      <c r="A6770" s="5">
        <v>45778</v>
      </c>
      <c r="B6770" s="6" t="s">
        <v>60</v>
      </c>
      <c r="C6770" s="6" t="s">
        <v>112</v>
      </c>
      <c r="D6770" s="5">
        <v>45778</v>
      </c>
      <c r="E6770" s="6" t="s">
        <v>15</v>
      </c>
      <c r="F6770" s="7">
        <v>396</v>
      </c>
      <c r="G6770" s="7">
        <v>105055.57323232319</v>
      </c>
      <c r="H6770" s="7">
        <v>41602007</v>
      </c>
      <c r="I6770" s="7">
        <v>12168262</v>
      </c>
      <c r="J6770" s="7">
        <v>0</v>
      </c>
      <c r="K6770">
        <f t="shared" si="105"/>
        <v>0</v>
      </c>
      <c r="L6770" s="8" t="str" cm="1">
        <f t="array" ref="L6770">_xlfn.IFS(
 AND(K6770&gt;=89,K6770&lt;=92),"3개월",
 AND(K6770&gt;=58,K6770&lt;=62),"2개월",
 AND(K6770&gt;=28,K6770&lt;=32),"1개월",
 AND(K6770=0),"당월",
 TRUE,"그외"
)</f>
        <v>당월</v>
      </c>
    </row>
    <row r="6771" spans="1:12" x14ac:dyDescent="0.3">
      <c r="A6771" s="5">
        <v>45778</v>
      </c>
      <c r="B6771" s="6" t="s">
        <v>60</v>
      </c>
      <c r="C6771" s="6" t="s">
        <v>72</v>
      </c>
      <c r="D6771" s="5">
        <v>45627</v>
      </c>
      <c r="E6771" s="6" t="s">
        <v>15</v>
      </c>
      <c r="F6771" s="7">
        <v>89</v>
      </c>
      <c r="G6771" s="7">
        <v>284960.67415730341</v>
      </c>
      <c r="H6771" s="7">
        <v>25361500</v>
      </c>
      <c r="I6771" s="7">
        <v>2091500</v>
      </c>
      <c r="J6771" s="7">
        <v>0</v>
      </c>
      <c r="K6771">
        <f t="shared" si="105"/>
        <v>151</v>
      </c>
      <c r="L6771" s="8" t="str" cm="1">
        <f t="array" ref="L6771">_xlfn.IFS(
 AND(K6771&gt;=89,K6771&lt;=92),"3개월",
 AND(K6771&gt;=58,K6771&lt;=62),"2개월",
 AND(K6771&gt;=28,K6771&lt;=32),"1개월",
 AND(K6771=0),"당월",
 TRUE,"그외"
)</f>
        <v>그외</v>
      </c>
    </row>
    <row r="6772" spans="1:12" x14ac:dyDescent="0.3">
      <c r="A6772" s="5">
        <v>45778</v>
      </c>
      <c r="B6772" s="6" t="s">
        <v>60</v>
      </c>
      <c r="C6772" s="6" t="s">
        <v>72</v>
      </c>
      <c r="D6772" s="5">
        <v>45658</v>
      </c>
      <c r="E6772" s="6" t="s">
        <v>15</v>
      </c>
      <c r="F6772" s="7">
        <v>432</v>
      </c>
      <c r="G6772" s="7">
        <v>234606.16203703711</v>
      </c>
      <c r="H6772" s="7">
        <v>101349862</v>
      </c>
      <c r="I6772" s="7">
        <v>10349482</v>
      </c>
      <c r="J6772" s="7">
        <v>0</v>
      </c>
      <c r="K6772">
        <f t="shared" si="105"/>
        <v>120</v>
      </c>
      <c r="L6772" s="8" t="str" cm="1">
        <f t="array" ref="L6772">_xlfn.IFS(
 AND(K6772&gt;=89,K6772&lt;=92),"3개월",
 AND(K6772&gt;=58,K6772&lt;=62),"2개월",
 AND(K6772&gt;=28,K6772&lt;=32),"1개월",
 AND(K6772=0),"당월",
 TRUE,"그외"
)</f>
        <v>그외</v>
      </c>
    </row>
    <row r="6773" spans="1:12" x14ac:dyDescent="0.3">
      <c r="A6773" s="5">
        <v>45778</v>
      </c>
      <c r="B6773" s="6" t="s">
        <v>60</v>
      </c>
      <c r="C6773" s="6" t="s">
        <v>72</v>
      </c>
      <c r="D6773" s="5">
        <v>45689</v>
      </c>
      <c r="E6773" s="6" t="s">
        <v>14</v>
      </c>
      <c r="F6773" s="7">
        <v>162</v>
      </c>
      <c r="G6773" s="7">
        <v>358960.49382716051</v>
      </c>
      <c r="H6773" s="7">
        <v>58151600</v>
      </c>
      <c r="I6773" s="7">
        <v>4017600</v>
      </c>
      <c r="J6773" s="7">
        <v>0</v>
      </c>
      <c r="K6773">
        <f t="shared" si="105"/>
        <v>89</v>
      </c>
      <c r="L6773" s="8" t="str" cm="1">
        <f t="array" ref="L6773">_xlfn.IFS(
 AND(K6773&gt;=89,K6773&lt;=92),"3개월",
 AND(K6773&gt;=58,K6773&lt;=62),"2개월",
 AND(K6773&gt;=28,K6773&lt;=32),"1개월",
 AND(K6773=0),"당월",
 TRUE,"그외"
)</f>
        <v>3개월</v>
      </c>
    </row>
    <row r="6774" spans="1:12" x14ac:dyDescent="0.3">
      <c r="A6774" s="5">
        <v>45778</v>
      </c>
      <c r="B6774" s="6" t="s">
        <v>60</v>
      </c>
      <c r="C6774" s="6" t="s">
        <v>72</v>
      </c>
      <c r="D6774" s="5">
        <v>45689</v>
      </c>
      <c r="E6774" s="6" t="s">
        <v>15</v>
      </c>
      <c r="F6774" s="7">
        <v>959</v>
      </c>
      <c r="G6774" s="7">
        <v>255248.01459854009</v>
      </c>
      <c r="H6774" s="7">
        <v>244782846</v>
      </c>
      <c r="I6774" s="7">
        <v>23697635</v>
      </c>
      <c r="J6774" s="7">
        <v>0</v>
      </c>
      <c r="K6774">
        <f t="shared" si="105"/>
        <v>89</v>
      </c>
      <c r="L6774" s="8" t="str" cm="1">
        <f t="array" ref="L6774">_xlfn.IFS(
 AND(K6774&gt;=89,K6774&lt;=92),"3개월",
 AND(K6774&gt;=58,K6774&lt;=62),"2개월",
 AND(K6774&gt;=28,K6774&lt;=32),"1개월",
 AND(K6774=0),"당월",
 TRUE,"그외"
)</f>
        <v>3개월</v>
      </c>
    </row>
    <row r="6775" spans="1:12" x14ac:dyDescent="0.3">
      <c r="A6775" s="5">
        <v>45778</v>
      </c>
      <c r="B6775" s="6" t="s">
        <v>60</v>
      </c>
      <c r="C6775" s="6" t="s">
        <v>72</v>
      </c>
      <c r="D6775" s="5">
        <v>45717</v>
      </c>
      <c r="E6775" s="6" t="s">
        <v>14</v>
      </c>
      <c r="F6775" s="7">
        <v>142</v>
      </c>
      <c r="G6775" s="7">
        <v>240294.36619718309</v>
      </c>
      <c r="H6775" s="7">
        <v>34121800</v>
      </c>
      <c r="I6775" s="7">
        <v>4103800</v>
      </c>
      <c r="J6775" s="7">
        <v>0</v>
      </c>
      <c r="K6775">
        <f t="shared" si="105"/>
        <v>61</v>
      </c>
      <c r="L6775" s="8" t="str" cm="1">
        <f t="array" ref="L6775">_xlfn.IFS(
 AND(K6775&gt;=89,K6775&lt;=92),"3개월",
 AND(K6775&gt;=58,K6775&lt;=62),"2개월",
 AND(K6775&gt;=28,K6775&lt;=32),"1개월",
 AND(K6775=0),"당월",
 TRUE,"그외"
)</f>
        <v>2개월</v>
      </c>
    </row>
    <row r="6776" spans="1:12" x14ac:dyDescent="0.3">
      <c r="A6776" s="5">
        <v>45778</v>
      </c>
      <c r="B6776" s="6" t="s">
        <v>60</v>
      </c>
      <c r="C6776" s="6" t="s">
        <v>72</v>
      </c>
      <c r="D6776" s="5">
        <v>45717</v>
      </c>
      <c r="E6776" s="6" t="s">
        <v>15</v>
      </c>
      <c r="F6776" s="7">
        <v>1722</v>
      </c>
      <c r="G6776" s="7">
        <v>230069.95702671309</v>
      </c>
      <c r="H6776" s="7">
        <v>396180466</v>
      </c>
      <c r="I6776" s="7">
        <v>49365192</v>
      </c>
      <c r="J6776" s="7">
        <v>0</v>
      </c>
      <c r="K6776">
        <f t="shared" si="105"/>
        <v>61</v>
      </c>
      <c r="L6776" s="8" t="str" cm="1">
        <f t="array" ref="L6776">_xlfn.IFS(
 AND(K6776&gt;=89,K6776&lt;=92),"3개월",
 AND(K6776&gt;=58,K6776&lt;=62),"2개월",
 AND(K6776&gt;=28,K6776&lt;=32),"1개월",
 AND(K6776=0),"당월",
 TRUE,"그외"
)</f>
        <v>2개월</v>
      </c>
    </row>
    <row r="6777" spans="1:12" x14ac:dyDescent="0.3">
      <c r="A6777" s="5">
        <v>45778</v>
      </c>
      <c r="B6777" s="6" t="s">
        <v>60</v>
      </c>
      <c r="C6777" s="6" t="s">
        <v>72</v>
      </c>
      <c r="D6777" s="5">
        <v>45748</v>
      </c>
      <c r="E6777" s="6" t="s">
        <v>14</v>
      </c>
      <c r="F6777" s="7">
        <v>1506</v>
      </c>
      <c r="G6777" s="7">
        <v>173079.08366533861</v>
      </c>
      <c r="H6777" s="7">
        <v>260657100</v>
      </c>
      <c r="I6777" s="7">
        <v>32181100</v>
      </c>
      <c r="J6777" s="7">
        <v>0</v>
      </c>
      <c r="K6777">
        <f t="shared" si="105"/>
        <v>30</v>
      </c>
      <c r="L6777" s="8" t="str" cm="1">
        <f t="array" ref="L6777">_xlfn.IFS(
 AND(K6777&gt;=89,K6777&lt;=92),"3개월",
 AND(K6777&gt;=58,K6777&lt;=62),"2개월",
 AND(K6777&gt;=28,K6777&lt;=32),"1개월",
 AND(K6777=0),"당월",
 TRUE,"그외"
)</f>
        <v>1개월</v>
      </c>
    </row>
    <row r="6778" spans="1:12" x14ac:dyDescent="0.3">
      <c r="A6778" s="5">
        <v>45778</v>
      </c>
      <c r="B6778" s="6" t="s">
        <v>60</v>
      </c>
      <c r="C6778" s="6" t="s">
        <v>72</v>
      </c>
      <c r="D6778" s="5">
        <v>45748</v>
      </c>
      <c r="E6778" s="6" t="s">
        <v>15</v>
      </c>
      <c r="F6778" s="7">
        <v>2345</v>
      </c>
      <c r="G6778" s="7">
        <v>171473.16247334759</v>
      </c>
      <c r="H6778" s="7">
        <v>402104566</v>
      </c>
      <c r="I6778" s="7">
        <v>50206098</v>
      </c>
      <c r="J6778" s="7">
        <v>0</v>
      </c>
      <c r="K6778">
        <f t="shared" si="105"/>
        <v>30</v>
      </c>
      <c r="L6778" s="8" t="str" cm="1">
        <f t="array" ref="L6778">_xlfn.IFS(
 AND(K6778&gt;=89,K6778&lt;=92),"3개월",
 AND(K6778&gt;=58,K6778&lt;=62),"2개월",
 AND(K6778&gt;=28,K6778&lt;=32),"1개월",
 AND(K6778=0),"당월",
 TRUE,"그외"
)</f>
        <v>1개월</v>
      </c>
    </row>
    <row r="6779" spans="1:12" x14ac:dyDescent="0.3">
      <c r="A6779" s="5">
        <v>45778</v>
      </c>
      <c r="B6779" s="6" t="s">
        <v>60</v>
      </c>
      <c r="C6779" s="6" t="s">
        <v>72</v>
      </c>
      <c r="D6779" s="5">
        <v>45778</v>
      </c>
      <c r="E6779" s="6" t="s">
        <v>14</v>
      </c>
      <c r="F6779" s="7">
        <v>332</v>
      </c>
      <c r="G6779" s="7">
        <v>38648.493975903613</v>
      </c>
      <c r="H6779" s="7">
        <v>12831300</v>
      </c>
      <c r="I6779" s="7">
        <v>5817300</v>
      </c>
      <c r="J6779" s="7">
        <v>0</v>
      </c>
      <c r="K6779">
        <f t="shared" si="105"/>
        <v>0</v>
      </c>
      <c r="L6779" s="8" t="str" cm="1">
        <f t="array" ref="L6779">_xlfn.IFS(
 AND(K6779&gt;=89,K6779&lt;=92),"3개월",
 AND(K6779&gt;=58,K6779&lt;=62),"2개월",
 AND(K6779&gt;=28,K6779&lt;=32),"1개월",
 AND(K6779=0),"당월",
 TRUE,"그외"
)</f>
        <v>당월</v>
      </c>
    </row>
    <row r="6780" spans="1:12" x14ac:dyDescent="0.3">
      <c r="A6780" s="5">
        <v>45778</v>
      </c>
      <c r="B6780" s="6" t="s">
        <v>60</v>
      </c>
      <c r="C6780" s="6" t="s">
        <v>72</v>
      </c>
      <c r="D6780" s="5">
        <v>45778</v>
      </c>
      <c r="E6780" s="6" t="s">
        <v>15</v>
      </c>
      <c r="F6780" s="7">
        <v>534</v>
      </c>
      <c r="G6780" s="7">
        <v>144552.79962546821</v>
      </c>
      <c r="H6780" s="7">
        <v>77191195</v>
      </c>
      <c r="I6780" s="7">
        <v>9313555</v>
      </c>
      <c r="J6780" s="7">
        <v>0</v>
      </c>
      <c r="K6780">
        <f t="shared" si="105"/>
        <v>0</v>
      </c>
      <c r="L6780" s="8" t="str" cm="1">
        <f t="array" ref="L6780">_xlfn.IFS(
 AND(K6780&gt;=89,K6780&lt;=92),"3개월",
 AND(K6780&gt;=58,K6780&lt;=62),"2개월",
 AND(K6780&gt;=28,K6780&lt;=32),"1개월",
 AND(K6780=0),"당월",
 TRUE,"그외"
)</f>
        <v>당월</v>
      </c>
    </row>
    <row r="6781" spans="1:12" x14ac:dyDescent="0.3">
      <c r="A6781" s="5">
        <v>45778</v>
      </c>
      <c r="B6781" s="6" t="s">
        <v>75</v>
      </c>
      <c r="C6781" s="6" t="s">
        <v>124</v>
      </c>
      <c r="D6781" s="5">
        <v>45627</v>
      </c>
      <c r="E6781" s="6" t="s">
        <v>15</v>
      </c>
      <c r="F6781" s="7">
        <v>78</v>
      </c>
      <c r="G6781" s="7">
        <v>224891.02564102571</v>
      </c>
      <c r="H6781" s="7">
        <v>17541500</v>
      </c>
      <c r="I6781" s="7">
        <v>2379000</v>
      </c>
      <c r="J6781" s="7">
        <v>0</v>
      </c>
      <c r="K6781">
        <f t="shared" si="105"/>
        <v>151</v>
      </c>
      <c r="L6781" s="8" t="str" cm="1">
        <f t="array" ref="L6781">_xlfn.IFS(
 AND(K6781&gt;=89,K6781&lt;=92),"3개월",
 AND(K6781&gt;=58,K6781&lt;=62),"2개월",
 AND(K6781&gt;=28,K6781&lt;=32),"1개월",
 AND(K6781=0),"당월",
 TRUE,"그외"
)</f>
        <v>그외</v>
      </c>
    </row>
    <row r="6782" spans="1:12" x14ac:dyDescent="0.3">
      <c r="A6782" s="5">
        <v>45778</v>
      </c>
      <c r="B6782" s="6" t="s">
        <v>75</v>
      </c>
      <c r="C6782" s="6" t="s">
        <v>124</v>
      </c>
      <c r="D6782" s="5">
        <v>45658</v>
      </c>
      <c r="E6782" s="6" t="s">
        <v>14</v>
      </c>
      <c r="F6782" s="7">
        <v>256</v>
      </c>
      <c r="G6782" s="7">
        <v>275000</v>
      </c>
      <c r="H6782" s="7">
        <v>70400000</v>
      </c>
      <c r="I6782" s="7">
        <v>7936000</v>
      </c>
      <c r="J6782" s="7">
        <v>0</v>
      </c>
      <c r="K6782">
        <f t="shared" si="105"/>
        <v>120</v>
      </c>
      <c r="L6782" s="8" t="str" cm="1">
        <f t="array" ref="L6782">_xlfn.IFS(
 AND(K6782&gt;=89,K6782&lt;=92),"3개월",
 AND(K6782&gt;=58,K6782&lt;=62),"2개월",
 AND(K6782&gt;=28,K6782&lt;=32),"1개월",
 AND(K6782=0),"당월",
 TRUE,"그외"
)</f>
        <v>그외</v>
      </c>
    </row>
    <row r="6783" spans="1:12" x14ac:dyDescent="0.3">
      <c r="A6783" s="5">
        <v>45778</v>
      </c>
      <c r="B6783" s="6" t="s">
        <v>75</v>
      </c>
      <c r="C6783" s="6" t="s">
        <v>124</v>
      </c>
      <c r="D6783" s="5">
        <v>45658</v>
      </c>
      <c r="E6783" s="6" t="s">
        <v>15</v>
      </c>
      <c r="F6783" s="7">
        <v>434</v>
      </c>
      <c r="G6783" s="7">
        <v>231459.8525345622</v>
      </c>
      <c r="H6783" s="7">
        <v>100453576</v>
      </c>
      <c r="I6783" s="7">
        <v>13750769</v>
      </c>
      <c r="J6783" s="7">
        <v>0</v>
      </c>
      <c r="K6783">
        <f t="shared" si="105"/>
        <v>120</v>
      </c>
      <c r="L6783" s="8" t="str" cm="1">
        <f t="array" ref="L6783">_xlfn.IFS(
 AND(K6783&gt;=89,K6783&lt;=92),"3개월",
 AND(K6783&gt;=58,K6783&lt;=62),"2개월",
 AND(K6783&gt;=28,K6783&lt;=32),"1개월",
 AND(K6783=0),"당월",
 TRUE,"그외"
)</f>
        <v>그외</v>
      </c>
    </row>
    <row r="6784" spans="1:12" x14ac:dyDescent="0.3">
      <c r="A6784" s="5">
        <v>45778</v>
      </c>
      <c r="B6784" s="6" t="s">
        <v>75</v>
      </c>
      <c r="C6784" s="6" t="s">
        <v>124</v>
      </c>
      <c r="D6784" s="5">
        <v>45689</v>
      </c>
      <c r="E6784" s="6" t="s">
        <v>14</v>
      </c>
      <c r="F6784" s="7">
        <v>341</v>
      </c>
      <c r="G6784" s="7">
        <v>220853.66568914961</v>
      </c>
      <c r="H6784" s="7">
        <v>75311100</v>
      </c>
      <c r="I6784" s="7">
        <v>10946100</v>
      </c>
      <c r="J6784" s="7">
        <v>0</v>
      </c>
      <c r="K6784">
        <f t="shared" si="105"/>
        <v>89</v>
      </c>
      <c r="L6784" s="8" t="str" cm="1">
        <f t="array" ref="L6784">_xlfn.IFS(
 AND(K6784&gt;=89,K6784&lt;=92),"3개월",
 AND(K6784&gt;=58,K6784&lt;=62),"2개월",
 AND(K6784&gt;=28,K6784&lt;=32),"1개월",
 AND(K6784=0),"당월",
 TRUE,"그외"
)</f>
        <v>3개월</v>
      </c>
    </row>
    <row r="6785" spans="1:12" x14ac:dyDescent="0.3">
      <c r="A6785" s="5">
        <v>45778</v>
      </c>
      <c r="B6785" s="6" t="s">
        <v>75</v>
      </c>
      <c r="C6785" s="6" t="s">
        <v>124</v>
      </c>
      <c r="D6785" s="5">
        <v>45689</v>
      </c>
      <c r="E6785" s="6" t="s">
        <v>15</v>
      </c>
      <c r="F6785" s="7">
        <v>515</v>
      </c>
      <c r="G6785" s="7">
        <v>205671.43883495149</v>
      </c>
      <c r="H6785" s="7">
        <v>105920791</v>
      </c>
      <c r="I6785" s="7">
        <v>17383946</v>
      </c>
      <c r="J6785" s="7">
        <v>0</v>
      </c>
      <c r="K6785">
        <f t="shared" si="105"/>
        <v>89</v>
      </c>
      <c r="L6785" s="8" t="str" cm="1">
        <f t="array" ref="L6785">_xlfn.IFS(
 AND(K6785&gt;=89,K6785&lt;=92),"3개월",
 AND(K6785&gt;=58,K6785&lt;=62),"2개월",
 AND(K6785&gt;=28,K6785&lt;=32),"1개월",
 AND(K6785=0),"당월",
 TRUE,"그외"
)</f>
        <v>3개월</v>
      </c>
    </row>
    <row r="6786" spans="1:12" x14ac:dyDescent="0.3">
      <c r="A6786" s="5">
        <v>45778</v>
      </c>
      <c r="B6786" s="6" t="s">
        <v>75</v>
      </c>
      <c r="C6786" s="6" t="s">
        <v>124</v>
      </c>
      <c r="D6786" s="5">
        <v>45717</v>
      </c>
      <c r="E6786" s="6" t="s">
        <v>14</v>
      </c>
      <c r="F6786" s="7">
        <v>318</v>
      </c>
      <c r="G6786" s="7">
        <v>245625.47169811319</v>
      </c>
      <c r="H6786" s="7">
        <v>78108900</v>
      </c>
      <c r="I6786" s="7">
        <v>11924900</v>
      </c>
      <c r="J6786" s="7">
        <v>0</v>
      </c>
      <c r="K6786">
        <f t="shared" si="105"/>
        <v>61</v>
      </c>
      <c r="L6786" s="8" t="str" cm="1">
        <f t="array" ref="L6786">_xlfn.IFS(
 AND(K6786&gt;=89,K6786&lt;=92),"3개월",
 AND(K6786&gt;=58,K6786&lt;=62),"2개월",
 AND(K6786&gt;=28,K6786&lt;=32),"1개월",
 AND(K6786=0),"당월",
 TRUE,"그외"
)</f>
        <v>2개월</v>
      </c>
    </row>
    <row r="6787" spans="1:12" x14ac:dyDescent="0.3">
      <c r="A6787" s="5">
        <v>45778</v>
      </c>
      <c r="B6787" s="6" t="s">
        <v>75</v>
      </c>
      <c r="C6787" s="6" t="s">
        <v>124</v>
      </c>
      <c r="D6787" s="5">
        <v>45717</v>
      </c>
      <c r="E6787" s="6" t="s">
        <v>15</v>
      </c>
      <c r="F6787" s="7">
        <v>507</v>
      </c>
      <c r="G6787" s="7">
        <v>259007.00591715981</v>
      </c>
      <c r="H6787" s="7">
        <v>131316552</v>
      </c>
      <c r="I6787" s="7">
        <v>18933305</v>
      </c>
      <c r="J6787" s="7">
        <v>0</v>
      </c>
      <c r="K6787">
        <f t="shared" si="105"/>
        <v>61</v>
      </c>
      <c r="L6787" s="8" t="str" cm="1">
        <f t="array" ref="L6787">_xlfn.IFS(
 AND(K6787&gt;=89,K6787&lt;=92),"3개월",
 AND(K6787&gt;=58,K6787&lt;=62),"2개월",
 AND(K6787&gt;=28,K6787&lt;=32),"1개월",
 AND(K6787=0),"당월",
 TRUE,"그외"
)</f>
        <v>2개월</v>
      </c>
    </row>
    <row r="6788" spans="1:12" x14ac:dyDescent="0.3">
      <c r="A6788" s="5">
        <v>45778</v>
      </c>
      <c r="B6788" s="6" t="s">
        <v>75</v>
      </c>
      <c r="C6788" s="6" t="s">
        <v>124</v>
      </c>
      <c r="D6788" s="5">
        <v>45748</v>
      </c>
      <c r="E6788" s="6" t="s">
        <v>14</v>
      </c>
      <c r="F6788" s="7">
        <v>1532</v>
      </c>
      <c r="G6788" s="7">
        <v>85477.610966057444</v>
      </c>
      <c r="H6788" s="7">
        <v>130951700</v>
      </c>
      <c r="I6788" s="7">
        <v>42150200</v>
      </c>
      <c r="J6788" s="7">
        <v>0</v>
      </c>
      <c r="K6788">
        <f t="shared" si="105"/>
        <v>30</v>
      </c>
      <c r="L6788" s="8" t="str" cm="1">
        <f t="array" ref="L6788">_xlfn.IFS(
 AND(K6788&gt;=89,K6788&lt;=92),"3개월",
 AND(K6788&gt;=58,K6788&lt;=62),"2개월",
 AND(K6788&gt;=28,K6788&lt;=32),"1개월",
 AND(K6788=0),"당월",
 TRUE,"그외"
)</f>
        <v>1개월</v>
      </c>
    </row>
    <row r="6789" spans="1:12" x14ac:dyDescent="0.3">
      <c r="A6789" s="5">
        <v>45778</v>
      </c>
      <c r="B6789" s="6" t="s">
        <v>75</v>
      </c>
      <c r="C6789" s="6" t="s">
        <v>124</v>
      </c>
      <c r="D6789" s="5">
        <v>45748</v>
      </c>
      <c r="E6789" s="6" t="s">
        <v>15</v>
      </c>
      <c r="F6789" s="7">
        <v>4233</v>
      </c>
      <c r="G6789" s="7">
        <v>115123.6697377746</v>
      </c>
      <c r="H6789" s="7">
        <v>487318494</v>
      </c>
      <c r="I6789" s="7">
        <v>129185824</v>
      </c>
      <c r="J6789" s="7">
        <v>0</v>
      </c>
      <c r="K6789">
        <f t="shared" si="105"/>
        <v>30</v>
      </c>
      <c r="L6789" s="8" t="str" cm="1">
        <f t="array" ref="L6789">_xlfn.IFS(
 AND(K6789&gt;=89,K6789&lt;=92),"3개월",
 AND(K6789&gt;=58,K6789&lt;=62),"2개월",
 AND(K6789&gt;=28,K6789&lt;=32),"1개월",
 AND(K6789=0),"당월",
 TRUE,"그외"
)</f>
        <v>1개월</v>
      </c>
    </row>
    <row r="6790" spans="1:12" x14ac:dyDescent="0.3">
      <c r="A6790" s="5">
        <v>45778</v>
      </c>
      <c r="B6790" s="6" t="s">
        <v>75</v>
      </c>
      <c r="C6790" s="6" t="s">
        <v>124</v>
      </c>
      <c r="D6790" s="5">
        <v>45778</v>
      </c>
      <c r="E6790" s="6" t="s">
        <v>14</v>
      </c>
      <c r="F6790" s="7">
        <v>500</v>
      </c>
      <c r="G6790" s="7">
        <v>73229.399999999994</v>
      </c>
      <c r="H6790" s="7">
        <v>36614700</v>
      </c>
      <c r="I6790" s="7">
        <v>10961200</v>
      </c>
      <c r="J6790" s="7">
        <v>0</v>
      </c>
      <c r="K6790">
        <f t="shared" si="105"/>
        <v>0</v>
      </c>
      <c r="L6790" s="8" t="str" cm="1">
        <f t="array" ref="L6790">_xlfn.IFS(
 AND(K6790&gt;=89,K6790&lt;=92),"3개월",
 AND(K6790&gt;=58,K6790&lt;=62),"2개월",
 AND(K6790&gt;=28,K6790&lt;=32),"1개월",
 AND(K6790=0),"당월",
 TRUE,"그외"
)</f>
        <v>당월</v>
      </c>
    </row>
    <row r="6791" spans="1:12" x14ac:dyDescent="0.3">
      <c r="A6791" s="5">
        <v>45778</v>
      </c>
      <c r="B6791" s="6" t="s">
        <v>75</v>
      </c>
      <c r="C6791" s="6" t="s">
        <v>124</v>
      </c>
      <c r="D6791" s="5">
        <v>45778</v>
      </c>
      <c r="E6791" s="6" t="s">
        <v>15</v>
      </c>
      <c r="F6791" s="7">
        <v>583</v>
      </c>
      <c r="G6791" s="7">
        <v>136733.62950257291</v>
      </c>
      <c r="H6791" s="7">
        <v>79715706</v>
      </c>
      <c r="I6791" s="7">
        <v>16385870</v>
      </c>
      <c r="J6791" s="7">
        <v>0</v>
      </c>
      <c r="K6791">
        <f t="shared" si="105"/>
        <v>0</v>
      </c>
      <c r="L6791" s="8" t="str" cm="1">
        <f t="array" ref="L6791">_xlfn.IFS(
 AND(K6791&gt;=89,K6791&lt;=92),"3개월",
 AND(K6791&gt;=58,K6791&lt;=62),"2개월",
 AND(K6791&gt;=28,K6791&lt;=32),"1개월",
 AND(K6791=0),"당월",
 TRUE,"그외"
)</f>
        <v>당월</v>
      </c>
    </row>
    <row r="6792" spans="1:12" x14ac:dyDescent="0.3">
      <c r="A6792" s="5">
        <v>45778</v>
      </c>
      <c r="B6792" s="6" t="s">
        <v>75</v>
      </c>
      <c r="C6792" s="6" t="s">
        <v>79</v>
      </c>
      <c r="D6792" s="5">
        <v>45627</v>
      </c>
      <c r="E6792" s="6" t="s">
        <v>15</v>
      </c>
      <c r="F6792" s="7">
        <v>36</v>
      </c>
      <c r="G6792" s="7">
        <v>256671</v>
      </c>
      <c r="H6792" s="7">
        <v>9240156</v>
      </c>
      <c r="I6792" s="7">
        <v>1199152</v>
      </c>
      <c r="J6792" s="7">
        <v>0</v>
      </c>
      <c r="K6792">
        <f t="shared" si="105"/>
        <v>151</v>
      </c>
      <c r="L6792" s="8" t="str" cm="1">
        <f t="array" ref="L6792">_xlfn.IFS(
 AND(K6792&gt;=89,K6792&lt;=92),"3개월",
 AND(K6792&gt;=58,K6792&lt;=62),"2개월",
 AND(K6792&gt;=28,K6792&lt;=32),"1개월",
 AND(K6792=0),"당월",
 TRUE,"그외"
)</f>
        <v>그외</v>
      </c>
    </row>
    <row r="6793" spans="1:12" x14ac:dyDescent="0.3">
      <c r="A6793" s="5">
        <v>45778</v>
      </c>
      <c r="B6793" s="6" t="s">
        <v>75</v>
      </c>
      <c r="C6793" s="6" t="s">
        <v>79</v>
      </c>
      <c r="D6793" s="5">
        <v>45658</v>
      </c>
      <c r="E6793" s="6" t="s">
        <v>14</v>
      </c>
      <c r="F6793" s="7">
        <v>208</v>
      </c>
      <c r="G6793" s="7">
        <v>244875</v>
      </c>
      <c r="H6793" s="7">
        <v>50934000</v>
      </c>
      <c r="I6793" s="7">
        <v>6448000</v>
      </c>
      <c r="J6793" s="7">
        <v>0</v>
      </c>
      <c r="K6793">
        <f t="shared" si="105"/>
        <v>120</v>
      </c>
      <c r="L6793" s="8" t="str" cm="1">
        <f t="array" ref="L6793">_xlfn.IFS(
 AND(K6793&gt;=89,K6793&lt;=92),"3개월",
 AND(K6793&gt;=58,K6793&lt;=62),"2개월",
 AND(K6793&gt;=28,K6793&lt;=32),"1개월",
 AND(K6793=0),"당월",
 TRUE,"그외"
)</f>
        <v>그외</v>
      </c>
    </row>
    <row r="6794" spans="1:12" x14ac:dyDescent="0.3">
      <c r="A6794" s="5">
        <v>45778</v>
      </c>
      <c r="B6794" s="6" t="s">
        <v>75</v>
      </c>
      <c r="C6794" s="6" t="s">
        <v>79</v>
      </c>
      <c r="D6794" s="5">
        <v>45658</v>
      </c>
      <c r="E6794" s="6" t="s">
        <v>15</v>
      </c>
      <c r="F6794" s="7">
        <v>187</v>
      </c>
      <c r="G6794" s="7">
        <v>186658.15508021391</v>
      </c>
      <c r="H6794" s="7">
        <v>34905075</v>
      </c>
      <c r="I6794" s="7">
        <v>6332699</v>
      </c>
      <c r="J6794" s="7">
        <v>0</v>
      </c>
      <c r="K6794">
        <f t="shared" ref="K6794:K6857" si="106">A6794-D6794</f>
        <v>120</v>
      </c>
      <c r="L6794" s="8" t="str" cm="1">
        <f t="array" ref="L6794">_xlfn.IFS(
 AND(K6794&gt;=89,K6794&lt;=92),"3개월",
 AND(K6794&gt;=58,K6794&lt;=62),"2개월",
 AND(K6794&gt;=28,K6794&lt;=32),"1개월",
 AND(K6794=0),"당월",
 TRUE,"그외"
)</f>
        <v>그외</v>
      </c>
    </row>
    <row r="6795" spans="1:12" x14ac:dyDescent="0.3">
      <c r="A6795" s="5">
        <v>45778</v>
      </c>
      <c r="B6795" s="6" t="s">
        <v>75</v>
      </c>
      <c r="C6795" s="6" t="s">
        <v>79</v>
      </c>
      <c r="D6795" s="5">
        <v>45689</v>
      </c>
      <c r="E6795" s="6" t="s">
        <v>14</v>
      </c>
      <c r="F6795" s="7">
        <v>623</v>
      </c>
      <c r="G6795" s="7">
        <v>175640.93097913321</v>
      </c>
      <c r="H6795" s="7">
        <v>109424300</v>
      </c>
      <c r="I6795" s="7">
        <v>19998300</v>
      </c>
      <c r="J6795" s="7">
        <v>0</v>
      </c>
      <c r="K6795">
        <f t="shared" si="106"/>
        <v>89</v>
      </c>
      <c r="L6795" s="8" t="str" cm="1">
        <f t="array" ref="L6795">_xlfn.IFS(
 AND(K6795&gt;=89,K6795&lt;=92),"3개월",
 AND(K6795&gt;=58,K6795&lt;=62),"2개월",
 AND(K6795&gt;=28,K6795&lt;=32),"1개월",
 AND(K6795=0),"당월",
 TRUE,"그외"
)</f>
        <v>3개월</v>
      </c>
    </row>
    <row r="6796" spans="1:12" x14ac:dyDescent="0.3">
      <c r="A6796" s="5">
        <v>45778</v>
      </c>
      <c r="B6796" s="6" t="s">
        <v>75</v>
      </c>
      <c r="C6796" s="6" t="s">
        <v>79</v>
      </c>
      <c r="D6796" s="5">
        <v>45689</v>
      </c>
      <c r="E6796" s="6" t="s">
        <v>15</v>
      </c>
      <c r="F6796" s="7">
        <v>381</v>
      </c>
      <c r="G6796" s="7">
        <v>211166.99737532809</v>
      </c>
      <c r="H6796" s="7">
        <v>80454626</v>
      </c>
      <c r="I6796" s="7">
        <v>13422627</v>
      </c>
      <c r="J6796" s="7">
        <v>0</v>
      </c>
      <c r="K6796">
        <f t="shared" si="106"/>
        <v>89</v>
      </c>
      <c r="L6796" s="8" t="str" cm="1">
        <f t="array" ref="L6796">_xlfn.IFS(
 AND(K6796&gt;=89,K6796&lt;=92),"3개월",
 AND(K6796&gt;=58,K6796&lt;=62),"2개월",
 AND(K6796&gt;=28,K6796&lt;=32),"1개월",
 AND(K6796=0),"당월",
 TRUE,"그외"
)</f>
        <v>3개월</v>
      </c>
    </row>
    <row r="6797" spans="1:12" x14ac:dyDescent="0.3">
      <c r="A6797" s="5">
        <v>45778</v>
      </c>
      <c r="B6797" s="6" t="s">
        <v>75</v>
      </c>
      <c r="C6797" s="6" t="s">
        <v>79</v>
      </c>
      <c r="D6797" s="5">
        <v>45717</v>
      </c>
      <c r="E6797" s="6" t="s">
        <v>14</v>
      </c>
      <c r="F6797" s="7">
        <v>561</v>
      </c>
      <c r="G6797" s="7">
        <v>217204.27807486631</v>
      </c>
      <c r="H6797" s="7">
        <v>121851600</v>
      </c>
      <c r="I6797" s="7">
        <v>21093600</v>
      </c>
      <c r="J6797" s="7">
        <v>0</v>
      </c>
      <c r="K6797">
        <f t="shared" si="106"/>
        <v>61</v>
      </c>
      <c r="L6797" s="8" t="str" cm="1">
        <f t="array" ref="L6797">_xlfn.IFS(
 AND(K6797&gt;=89,K6797&lt;=92),"3개월",
 AND(K6797&gt;=58,K6797&lt;=62),"2개월",
 AND(K6797&gt;=28,K6797&lt;=32),"1개월",
 AND(K6797=0),"당월",
 TRUE,"그외"
)</f>
        <v>2개월</v>
      </c>
    </row>
    <row r="6798" spans="1:12" x14ac:dyDescent="0.3">
      <c r="A6798" s="5">
        <v>45778</v>
      </c>
      <c r="B6798" s="6" t="s">
        <v>75</v>
      </c>
      <c r="C6798" s="6" t="s">
        <v>79</v>
      </c>
      <c r="D6798" s="5">
        <v>45717</v>
      </c>
      <c r="E6798" s="6" t="s">
        <v>15</v>
      </c>
      <c r="F6798" s="7">
        <v>475</v>
      </c>
      <c r="G6798" s="7">
        <v>271012.73052631581</v>
      </c>
      <c r="H6798" s="7">
        <v>128731047</v>
      </c>
      <c r="I6798" s="7">
        <v>20498452</v>
      </c>
      <c r="J6798" s="7">
        <v>0</v>
      </c>
      <c r="K6798">
        <f t="shared" si="106"/>
        <v>61</v>
      </c>
      <c r="L6798" s="8" t="str" cm="1">
        <f t="array" ref="L6798">_xlfn.IFS(
 AND(K6798&gt;=89,K6798&lt;=92),"3개월",
 AND(K6798&gt;=58,K6798&lt;=62),"2개월",
 AND(K6798&gt;=28,K6798&lt;=32),"1개월",
 AND(K6798=0),"당월",
 TRUE,"그외"
)</f>
        <v>2개월</v>
      </c>
    </row>
    <row r="6799" spans="1:12" x14ac:dyDescent="0.3">
      <c r="A6799" s="5">
        <v>45778</v>
      </c>
      <c r="B6799" s="6" t="s">
        <v>75</v>
      </c>
      <c r="C6799" s="6" t="s">
        <v>79</v>
      </c>
      <c r="D6799" s="5">
        <v>45748</v>
      </c>
      <c r="E6799" s="6" t="s">
        <v>14</v>
      </c>
      <c r="F6799" s="7">
        <v>1646</v>
      </c>
      <c r="G6799" s="7">
        <v>88080.255164034024</v>
      </c>
      <c r="H6799" s="7">
        <v>144980100</v>
      </c>
      <c r="I6799" s="7">
        <v>45370600</v>
      </c>
      <c r="J6799" s="7">
        <v>0</v>
      </c>
      <c r="K6799">
        <f t="shared" si="106"/>
        <v>30</v>
      </c>
      <c r="L6799" s="8" t="str" cm="1">
        <f t="array" ref="L6799">_xlfn.IFS(
 AND(K6799&gt;=89,K6799&lt;=92),"3개월",
 AND(K6799&gt;=58,K6799&lt;=62),"2개월",
 AND(K6799&gt;=28,K6799&lt;=32),"1개월",
 AND(K6799=0),"당월",
 TRUE,"그외"
)</f>
        <v>1개월</v>
      </c>
    </row>
    <row r="6800" spans="1:12" x14ac:dyDescent="0.3">
      <c r="A6800" s="5">
        <v>45778</v>
      </c>
      <c r="B6800" s="6" t="s">
        <v>75</v>
      </c>
      <c r="C6800" s="6" t="s">
        <v>79</v>
      </c>
      <c r="D6800" s="5">
        <v>45748</v>
      </c>
      <c r="E6800" s="6" t="s">
        <v>15</v>
      </c>
      <c r="F6800" s="7">
        <v>1839</v>
      </c>
      <c r="G6800" s="7">
        <v>124591.3692224035</v>
      </c>
      <c r="H6800" s="7">
        <v>229123528</v>
      </c>
      <c r="I6800" s="7">
        <v>64640575</v>
      </c>
      <c r="J6800" s="7">
        <v>0</v>
      </c>
      <c r="K6800">
        <f t="shared" si="106"/>
        <v>30</v>
      </c>
      <c r="L6800" s="8" t="str" cm="1">
        <f t="array" ref="L6800">_xlfn.IFS(
 AND(K6800&gt;=89,K6800&lt;=92),"3개월",
 AND(K6800&gt;=58,K6800&lt;=62),"2개월",
 AND(K6800&gt;=28,K6800&lt;=32),"1개월",
 AND(K6800=0),"당월",
 TRUE,"그외"
)</f>
        <v>1개월</v>
      </c>
    </row>
    <row r="6801" spans="1:12" x14ac:dyDescent="0.3">
      <c r="A6801" s="5">
        <v>45778</v>
      </c>
      <c r="B6801" s="6" t="s">
        <v>75</v>
      </c>
      <c r="C6801" s="6" t="s">
        <v>79</v>
      </c>
      <c r="D6801" s="5">
        <v>45778</v>
      </c>
      <c r="E6801" s="6" t="s">
        <v>14</v>
      </c>
      <c r="F6801" s="7">
        <v>520</v>
      </c>
      <c r="G6801" s="7">
        <v>64823.653846153837</v>
      </c>
      <c r="H6801" s="7">
        <v>33708300</v>
      </c>
      <c r="I6801" s="7">
        <v>11428800</v>
      </c>
      <c r="J6801" s="7">
        <v>0</v>
      </c>
      <c r="K6801">
        <f t="shared" si="106"/>
        <v>0</v>
      </c>
      <c r="L6801" s="8" t="str" cm="1">
        <f t="array" ref="L6801">_xlfn.IFS(
 AND(K6801&gt;=89,K6801&lt;=92),"3개월",
 AND(K6801&gt;=58,K6801&lt;=62),"2개월",
 AND(K6801&gt;=28,K6801&lt;=32),"1개월",
 AND(K6801=0),"당월",
 TRUE,"그외"
)</f>
        <v>당월</v>
      </c>
    </row>
    <row r="6802" spans="1:12" x14ac:dyDescent="0.3">
      <c r="A6802" s="5">
        <v>45778</v>
      </c>
      <c r="B6802" s="6" t="s">
        <v>75</v>
      </c>
      <c r="C6802" s="6" t="s">
        <v>79</v>
      </c>
      <c r="D6802" s="5">
        <v>45778</v>
      </c>
      <c r="E6802" s="6" t="s">
        <v>15</v>
      </c>
      <c r="F6802" s="7">
        <v>717</v>
      </c>
      <c r="G6802" s="7">
        <v>102651.6206415621</v>
      </c>
      <c r="H6802" s="7">
        <v>73601212</v>
      </c>
      <c r="I6802" s="7">
        <v>23719367</v>
      </c>
      <c r="J6802" s="7">
        <v>0</v>
      </c>
      <c r="K6802">
        <f t="shared" si="106"/>
        <v>0</v>
      </c>
      <c r="L6802" s="8" t="str" cm="1">
        <f t="array" ref="L6802">_xlfn.IFS(
 AND(K6802&gt;=89,K6802&lt;=92),"3개월",
 AND(K6802&gt;=58,K6802&lt;=62),"2개월",
 AND(K6802&gt;=28,K6802&lt;=32),"1개월",
 AND(K6802=0),"당월",
 TRUE,"그외"
)</f>
        <v>당월</v>
      </c>
    </row>
    <row r="6803" spans="1:12" x14ac:dyDescent="0.3">
      <c r="A6803" s="5">
        <v>45778</v>
      </c>
      <c r="B6803" s="6" t="s">
        <v>75</v>
      </c>
      <c r="C6803" s="6" t="s">
        <v>80</v>
      </c>
      <c r="D6803" s="5">
        <v>45627</v>
      </c>
      <c r="E6803" s="6" t="s">
        <v>15</v>
      </c>
      <c r="F6803" s="7">
        <v>24</v>
      </c>
      <c r="G6803" s="7">
        <v>226742.83333333331</v>
      </c>
      <c r="H6803" s="7">
        <v>5441828</v>
      </c>
      <c r="I6803" s="7">
        <v>523600</v>
      </c>
      <c r="J6803" s="7">
        <v>0</v>
      </c>
      <c r="K6803">
        <f t="shared" si="106"/>
        <v>151</v>
      </c>
      <c r="L6803" s="8" t="str" cm="1">
        <f t="array" ref="L6803">_xlfn.IFS(
 AND(K6803&gt;=89,K6803&lt;=92),"3개월",
 AND(K6803&gt;=58,K6803&lt;=62),"2개월",
 AND(K6803&gt;=28,K6803&lt;=32),"1개월",
 AND(K6803=0),"당월",
 TRUE,"그외"
)</f>
        <v>그외</v>
      </c>
    </row>
    <row r="6804" spans="1:12" x14ac:dyDescent="0.3">
      <c r="A6804" s="5">
        <v>45778</v>
      </c>
      <c r="B6804" s="6" t="s">
        <v>75</v>
      </c>
      <c r="C6804" s="6" t="s">
        <v>80</v>
      </c>
      <c r="D6804" s="5">
        <v>45658</v>
      </c>
      <c r="E6804" s="6" t="s">
        <v>14</v>
      </c>
      <c r="F6804" s="7">
        <v>76</v>
      </c>
      <c r="G6804" s="7">
        <v>301100</v>
      </c>
      <c r="H6804" s="7">
        <v>22883600</v>
      </c>
      <c r="I6804" s="7">
        <v>5783600</v>
      </c>
      <c r="J6804" s="7">
        <v>0</v>
      </c>
      <c r="K6804">
        <f t="shared" si="106"/>
        <v>120</v>
      </c>
      <c r="L6804" s="8" t="str" cm="1">
        <f t="array" ref="L6804">_xlfn.IFS(
 AND(K6804&gt;=89,K6804&lt;=92),"3개월",
 AND(K6804&gt;=58,K6804&lt;=62),"2개월",
 AND(K6804&gt;=28,K6804&lt;=32),"1개월",
 AND(K6804=0),"당월",
 TRUE,"그외"
)</f>
        <v>그외</v>
      </c>
    </row>
    <row r="6805" spans="1:12" x14ac:dyDescent="0.3">
      <c r="A6805" s="5">
        <v>45778</v>
      </c>
      <c r="B6805" s="6" t="s">
        <v>75</v>
      </c>
      <c r="C6805" s="6" t="s">
        <v>80</v>
      </c>
      <c r="D6805" s="5">
        <v>45658</v>
      </c>
      <c r="E6805" s="6" t="s">
        <v>15</v>
      </c>
      <c r="F6805" s="7">
        <v>303</v>
      </c>
      <c r="G6805" s="7">
        <v>323272.50165016501</v>
      </c>
      <c r="H6805" s="7">
        <v>97951568</v>
      </c>
      <c r="I6805" s="7">
        <v>6740606</v>
      </c>
      <c r="J6805" s="7">
        <v>0</v>
      </c>
      <c r="K6805">
        <f t="shared" si="106"/>
        <v>120</v>
      </c>
      <c r="L6805" s="8" t="str" cm="1">
        <f t="array" ref="L6805">_xlfn.IFS(
 AND(K6805&gt;=89,K6805&lt;=92),"3개월",
 AND(K6805&gt;=58,K6805&lt;=62),"2개월",
 AND(K6805&gt;=28,K6805&lt;=32),"1개월",
 AND(K6805=0),"당월",
 TRUE,"그외"
)</f>
        <v>그외</v>
      </c>
    </row>
    <row r="6806" spans="1:12" x14ac:dyDescent="0.3">
      <c r="A6806" s="5">
        <v>45778</v>
      </c>
      <c r="B6806" s="6" t="s">
        <v>75</v>
      </c>
      <c r="C6806" s="6" t="s">
        <v>80</v>
      </c>
      <c r="D6806" s="5">
        <v>45689</v>
      </c>
      <c r="E6806" s="6" t="s">
        <v>15</v>
      </c>
      <c r="F6806" s="7">
        <v>551</v>
      </c>
      <c r="G6806" s="7">
        <v>380569.71687840292</v>
      </c>
      <c r="H6806" s="7">
        <v>209693914</v>
      </c>
      <c r="I6806" s="7">
        <v>18726657</v>
      </c>
      <c r="J6806" s="7">
        <v>0</v>
      </c>
      <c r="K6806">
        <f t="shared" si="106"/>
        <v>89</v>
      </c>
      <c r="L6806" s="8" t="str" cm="1">
        <f t="array" ref="L6806">_xlfn.IFS(
 AND(K6806&gt;=89,K6806&lt;=92),"3개월",
 AND(K6806&gt;=58,K6806&lt;=62),"2개월",
 AND(K6806&gt;=28,K6806&lt;=32),"1개월",
 AND(K6806=0),"당월",
 TRUE,"그외"
)</f>
        <v>3개월</v>
      </c>
    </row>
    <row r="6807" spans="1:12" x14ac:dyDescent="0.3">
      <c r="A6807" s="5">
        <v>45778</v>
      </c>
      <c r="B6807" s="6" t="s">
        <v>75</v>
      </c>
      <c r="C6807" s="6" t="s">
        <v>80</v>
      </c>
      <c r="D6807" s="5">
        <v>45717</v>
      </c>
      <c r="E6807" s="6" t="s">
        <v>14</v>
      </c>
      <c r="F6807" s="7">
        <v>102</v>
      </c>
      <c r="G6807" s="7">
        <v>829035.29411764711</v>
      </c>
      <c r="H6807" s="7">
        <v>84561600</v>
      </c>
      <c r="I6807" s="7">
        <v>8601600</v>
      </c>
      <c r="J6807" s="7">
        <v>0</v>
      </c>
      <c r="K6807">
        <f t="shared" si="106"/>
        <v>61</v>
      </c>
      <c r="L6807" s="8" t="str" cm="1">
        <f t="array" ref="L6807">_xlfn.IFS(
 AND(K6807&gt;=89,K6807&lt;=92),"3개월",
 AND(K6807&gt;=58,K6807&lt;=62),"2개월",
 AND(K6807&gt;=28,K6807&lt;=32),"1개월",
 AND(K6807=0),"당월",
 TRUE,"그외"
)</f>
        <v>2개월</v>
      </c>
    </row>
    <row r="6808" spans="1:12" x14ac:dyDescent="0.3">
      <c r="A6808" s="5">
        <v>45778</v>
      </c>
      <c r="B6808" s="6" t="s">
        <v>75</v>
      </c>
      <c r="C6808" s="6" t="s">
        <v>80</v>
      </c>
      <c r="D6808" s="5">
        <v>45717</v>
      </c>
      <c r="E6808" s="6" t="s">
        <v>15</v>
      </c>
      <c r="F6808" s="7">
        <v>826</v>
      </c>
      <c r="G6808" s="7">
        <v>396203.95036319608</v>
      </c>
      <c r="H6808" s="7">
        <v>327264463</v>
      </c>
      <c r="I6808" s="7">
        <v>30228923</v>
      </c>
      <c r="J6808" s="7">
        <v>0</v>
      </c>
      <c r="K6808">
        <f t="shared" si="106"/>
        <v>61</v>
      </c>
      <c r="L6808" s="8" t="str" cm="1">
        <f t="array" ref="L6808">_xlfn.IFS(
 AND(K6808&gt;=89,K6808&lt;=92),"3개월",
 AND(K6808&gt;=58,K6808&lt;=62),"2개월",
 AND(K6808&gt;=28,K6808&lt;=32),"1개월",
 AND(K6808=0),"당월",
 TRUE,"그외"
)</f>
        <v>2개월</v>
      </c>
    </row>
    <row r="6809" spans="1:12" x14ac:dyDescent="0.3">
      <c r="A6809" s="5">
        <v>45778</v>
      </c>
      <c r="B6809" s="6" t="s">
        <v>75</v>
      </c>
      <c r="C6809" s="6" t="s">
        <v>80</v>
      </c>
      <c r="D6809" s="5">
        <v>45748</v>
      </c>
      <c r="E6809" s="6" t="s">
        <v>14</v>
      </c>
      <c r="F6809" s="7">
        <v>1698</v>
      </c>
      <c r="G6809" s="7">
        <v>412404.00471142522</v>
      </c>
      <c r="H6809" s="7">
        <v>700262000</v>
      </c>
      <c r="I6809" s="7">
        <v>110242000</v>
      </c>
      <c r="J6809" s="7">
        <v>0</v>
      </c>
      <c r="K6809">
        <f t="shared" si="106"/>
        <v>30</v>
      </c>
      <c r="L6809" s="8" t="str" cm="1">
        <f t="array" ref="L6809">_xlfn.IFS(
 AND(K6809&gt;=89,K6809&lt;=92),"3개월",
 AND(K6809&gt;=58,K6809&lt;=62),"2개월",
 AND(K6809&gt;=28,K6809&lt;=32),"1개월",
 AND(K6809=0),"당월",
 TRUE,"그외"
)</f>
        <v>1개월</v>
      </c>
    </row>
    <row r="6810" spans="1:12" x14ac:dyDescent="0.3">
      <c r="A6810" s="5">
        <v>45778</v>
      </c>
      <c r="B6810" s="6" t="s">
        <v>75</v>
      </c>
      <c r="C6810" s="6" t="s">
        <v>80</v>
      </c>
      <c r="D6810" s="5">
        <v>45748</v>
      </c>
      <c r="E6810" s="6" t="s">
        <v>15</v>
      </c>
      <c r="F6810" s="7">
        <v>2485</v>
      </c>
      <c r="G6810" s="7">
        <v>295096.70784708252</v>
      </c>
      <c r="H6810" s="7">
        <v>733315319</v>
      </c>
      <c r="I6810" s="7">
        <v>69246922</v>
      </c>
      <c r="J6810" s="7">
        <v>0</v>
      </c>
      <c r="K6810">
        <f t="shared" si="106"/>
        <v>30</v>
      </c>
      <c r="L6810" s="8" t="str" cm="1">
        <f t="array" ref="L6810">_xlfn.IFS(
 AND(K6810&gt;=89,K6810&lt;=92),"3개월",
 AND(K6810&gt;=58,K6810&lt;=62),"2개월",
 AND(K6810&gt;=28,K6810&lt;=32),"1개월",
 AND(K6810=0),"당월",
 TRUE,"그외"
)</f>
        <v>1개월</v>
      </c>
    </row>
    <row r="6811" spans="1:12" x14ac:dyDescent="0.3">
      <c r="A6811" s="5">
        <v>45778</v>
      </c>
      <c r="B6811" s="6" t="s">
        <v>75</v>
      </c>
      <c r="C6811" s="6" t="s">
        <v>80</v>
      </c>
      <c r="D6811" s="5">
        <v>45778</v>
      </c>
      <c r="E6811" s="6" t="s">
        <v>14</v>
      </c>
      <c r="F6811" s="7">
        <v>312</v>
      </c>
      <c r="G6811" s="7">
        <v>108130.76923076921</v>
      </c>
      <c r="H6811" s="7">
        <v>33736800</v>
      </c>
      <c r="I6811" s="7">
        <v>16816800</v>
      </c>
      <c r="J6811" s="7">
        <v>0</v>
      </c>
      <c r="K6811">
        <f t="shared" si="106"/>
        <v>0</v>
      </c>
      <c r="L6811" s="8" t="str" cm="1">
        <f t="array" ref="L6811">_xlfn.IFS(
 AND(K6811&gt;=89,K6811&lt;=92),"3개월",
 AND(K6811&gt;=58,K6811&lt;=62),"2개월",
 AND(K6811&gt;=28,K6811&lt;=32),"1개월",
 AND(K6811=0),"당월",
 TRUE,"그외"
)</f>
        <v>당월</v>
      </c>
    </row>
    <row r="6812" spans="1:12" x14ac:dyDescent="0.3">
      <c r="A6812" s="5">
        <v>45778</v>
      </c>
      <c r="B6812" s="6" t="s">
        <v>75</v>
      </c>
      <c r="C6812" s="6" t="s">
        <v>80</v>
      </c>
      <c r="D6812" s="5">
        <v>45778</v>
      </c>
      <c r="E6812" s="6" t="s">
        <v>15</v>
      </c>
      <c r="F6812" s="7">
        <v>546</v>
      </c>
      <c r="G6812" s="7">
        <v>280468.95054945053</v>
      </c>
      <c r="H6812" s="7">
        <v>153136047</v>
      </c>
      <c r="I6812" s="7">
        <v>12745748</v>
      </c>
      <c r="J6812" s="7">
        <v>0</v>
      </c>
      <c r="K6812">
        <f t="shared" si="106"/>
        <v>0</v>
      </c>
      <c r="L6812" s="8" t="str" cm="1">
        <f t="array" ref="L6812">_xlfn.IFS(
 AND(K6812&gt;=89,K6812&lt;=92),"3개월",
 AND(K6812&gt;=58,K6812&lt;=62),"2개월",
 AND(K6812&gt;=28,K6812&lt;=32),"1개월",
 AND(K6812=0),"당월",
 TRUE,"그외"
)</f>
        <v>당월</v>
      </c>
    </row>
    <row r="6813" spans="1:12" x14ac:dyDescent="0.3">
      <c r="A6813" s="5">
        <v>45778</v>
      </c>
      <c r="B6813" s="6" t="s">
        <v>81</v>
      </c>
      <c r="C6813" s="6" t="s">
        <v>82</v>
      </c>
      <c r="D6813" s="5">
        <v>45658</v>
      </c>
      <c r="E6813" s="6" t="s">
        <v>15</v>
      </c>
      <c r="F6813" s="7">
        <v>27</v>
      </c>
      <c r="G6813" s="7">
        <v>246007.03703703711</v>
      </c>
      <c r="H6813" s="7">
        <v>6642190</v>
      </c>
      <c r="I6813" s="7">
        <v>648000</v>
      </c>
      <c r="J6813" s="7">
        <v>0</v>
      </c>
      <c r="K6813">
        <f t="shared" si="106"/>
        <v>120</v>
      </c>
      <c r="L6813" s="8" t="str" cm="1">
        <f t="array" ref="L6813">_xlfn.IFS(
 AND(K6813&gt;=89,K6813&lt;=92),"3개월",
 AND(K6813&gt;=58,K6813&lt;=62),"2개월",
 AND(K6813&gt;=28,K6813&lt;=32),"1개월",
 AND(K6813=0),"당월",
 TRUE,"그외"
)</f>
        <v>그외</v>
      </c>
    </row>
    <row r="6814" spans="1:12" x14ac:dyDescent="0.3">
      <c r="A6814" s="5">
        <v>45778</v>
      </c>
      <c r="B6814" s="6" t="s">
        <v>81</v>
      </c>
      <c r="C6814" s="6" t="s">
        <v>82</v>
      </c>
      <c r="D6814" s="5">
        <v>45689</v>
      </c>
      <c r="E6814" s="6" t="s">
        <v>14</v>
      </c>
      <c r="F6814" s="7">
        <v>130</v>
      </c>
      <c r="G6814" s="7">
        <v>88646.153846153844</v>
      </c>
      <c r="H6814" s="7">
        <v>11524000</v>
      </c>
      <c r="I6814" s="7">
        <v>3224000</v>
      </c>
      <c r="J6814" s="7">
        <v>0</v>
      </c>
      <c r="K6814">
        <f t="shared" si="106"/>
        <v>89</v>
      </c>
      <c r="L6814" s="8" t="str" cm="1">
        <f t="array" ref="L6814">_xlfn.IFS(
 AND(K6814&gt;=89,K6814&lt;=92),"3개월",
 AND(K6814&gt;=58,K6814&lt;=62),"2개월",
 AND(K6814&gt;=28,K6814&lt;=32),"1개월",
 AND(K6814=0),"당월",
 TRUE,"그외"
)</f>
        <v>3개월</v>
      </c>
    </row>
    <row r="6815" spans="1:12" x14ac:dyDescent="0.3">
      <c r="A6815" s="5">
        <v>45778</v>
      </c>
      <c r="B6815" s="6" t="s">
        <v>81</v>
      </c>
      <c r="C6815" s="6" t="s">
        <v>82</v>
      </c>
      <c r="D6815" s="5">
        <v>45689</v>
      </c>
      <c r="E6815" s="6" t="s">
        <v>15</v>
      </c>
      <c r="F6815" s="7">
        <v>99</v>
      </c>
      <c r="G6815" s="7">
        <v>122008.6868686869</v>
      </c>
      <c r="H6815" s="7">
        <v>12078860</v>
      </c>
      <c r="I6815" s="7">
        <v>2633319</v>
      </c>
      <c r="J6815" s="7">
        <v>0</v>
      </c>
      <c r="K6815">
        <f t="shared" si="106"/>
        <v>89</v>
      </c>
      <c r="L6815" s="8" t="str" cm="1">
        <f t="array" ref="L6815">_xlfn.IFS(
 AND(K6815&gt;=89,K6815&lt;=92),"3개월",
 AND(K6815&gt;=58,K6815&lt;=62),"2개월",
 AND(K6815&gt;=28,K6815&lt;=32),"1개월",
 AND(K6815=0),"당월",
 TRUE,"그외"
)</f>
        <v>3개월</v>
      </c>
    </row>
    <row r="6816" spans="1:12" x14ac:dyDescent="0.3">
      <c r="A6816" s="5">
        <v>45778</v>
      </c>
      <c r="B6816" s="6" t="s">
        <v>81</v>
      </c>
      <c r="C6816" s="6" t="s">
        <v>82</v>
      </c>
      <c r="D6816" s="5">
        <v>45717</v>
      </c>
      <c r="E6816" s="6" t="s">
        <v>14</v>
      </c>
      <c r="F6816" s="7">
        <v>15</v>
      </c>
      <c r="G6816" s="7">
        <v>104233.3333333333</v>
      </c>
      <c r="H6816" s="7">
        <v>1563500</v>
      </c>
      <c r="I6816" s="7">
        <v>433500</v>
      </c>
      <c r="J6816" s="7">
        <v>0</v>
      </c>
      <c r="K6816">
        <f t="shared" si="106"/>
        <v>61</v>
      </c>
      <c r="L6816" s="8" t="str" cm="1">
        <f t="array" ref="L6816">_xlfn.IFS(
 AND(K6816&gt;=89,K6816&lt;=92),"3개월",
 AND(K6816&gt;=58,K6816&lt;=62),"2개월",
 AND(K6816&gt;=28,K6816&lt;=32),"1개월",
 AND(K6816=0),"당월",
 TRUE,"그외"
)</f>
        <v>2개월</v>
      </c>
    </row>
    <row r="6817" spans="1:12" x14ac:dyDescent="0.3">
      <c r="A6817" s="5">
        <v>45778</v>
      </c>
      <c r="B6817" s="6" t="s">
        <v>81</v>
      </c>
      <c r="C6817" s="6" t="s">
        <v>82</v>
      </c>
      <c r="D6817" s="5">
        <v>45717</v>
      </c>
      <c r="E6817" s="6" t="s">
        <v>15</v>
      </c>
      <c r="F6817" s="7">
        <v>73</v>
      </c>
      <c r="G6817" s="7">
        <v>124067.1643835616</v>
      </c>
      <c r="H6817" s="7">
        <v>9056903</v>
      </c>
      <c r="I6817" s="7">
        <v>2193717</v>
      </c>
      <c r="J6817" s="7">
        <v>0</v>
      </c>
      <c r="K6817">
        <f t="shared" si="106"/>
        <v>61</v>
      </c>
      <c r="L6817" s="8" t="str" cm="1">
        <f t="array" ref="L6817">_xlfn.IFS(
 AND(K6817&gt;=89,K6817&lt;=92),"3개월",
 AND(K6817&gt;=58,K6817&lt;=62),"2개월",
 AND(K6817&gt;=28,K6817&lt;=32),"1개월",
 AND(K6817=0),"당월",
 TRUE,"그외"
)</f>
        <v>2개월</v>
      </c>
    </row>
    <row r="6818" spans="1:12" x14ac:dyDescent="0.3">
      <c r="A6818" s="5">
        <v>45778</v>
      </c>
      <c r="B6818" s="6" t="s">
        <v>81</v>
      </c>
      <c r="C6818" s="6" t="s">
        <v>82</v>
      </c>
      <c r="D6818" s="5">
        <v>45748</v>
      </c>
      <c r="E6818" s="6" t="s">
        <v>14</v>
      </c>
      <c r="F6818" s="7">
        <v>632</v>
      </c>
      <c r="G6818" s="7">
        <v>117202.5316455696</v>
      </c>
      <c r="H6818" s="7">
        <v>74072000</v>
      </c>
      <c r="I6818" s="7">
        <v>13889000</v>
      </c>
      <c r="J6818" s="7">
        <v>0</v>
      </c>
      <c r="K6818">
        <f t="shared" si="106"/>
        <v>30</v>
      </c>
      <c r="L6818" s="8" t="str" cm="1">
        <f t="array" ref="L6818">_xlfn.IFS(
 AND(K6818&gt;=89,K6818&lt;=92),"3개월",
 AND(K6818&gt;=58,K6818&lt;=62),"2개월",
 AND(K6818&gt;=28,K6818&lt;=32),"1개월",
 AND(K6818=0),"당월",
 TRUE,"그외"
)</f>
        <v>1개월</v>
      </c>
    </row>
    <row r="6819" spans="1:12" x14ac:dyDescent="0.3">
      <c r="A6819" s="5">
        <v>45778</v>
      </c>
      <c r="B6819" s="6" t="s">
        <v>81</v>
      </c>
      <c r="C6819" s="6" t="s">
        <v>82</v>
      </c>
      <c r="D6819" s="5">
        <v>45748</v>
      </c>
      <c r="E6819" s="6" t="s">
        <v>15</v>
      </c>
      <c r="F6819" s="7">
        <v>213</v>
      </c>
      <c r="G6819" s="7">
        <v>128812.0422535211</v>
      </c>
      <c r="H6819" s="7">
        <v>27436965</v>
      </c>
      <c r="I6819" s="7">
        <v>5278737</v>
      </c>
      <c r="J6819" s="7">
        <v>0</v>
      </c>
      <c r="K6819">
        <f t="shared" si="106"/>
        <v>30</v>
      </c>
      <c r="L6819" s="8" t="str" cm="1">
        <f t="array" ref="L6819">_xlfn.IFS(
 AND(K6819&gt;=89,K6819&lt;=92),"3개월",
 AND(K6819&gt;=58,K6819&lt;=62),"2개월",
 AND(K6819&gt;=28,K6819&lt;=32),"1개월",
 AND(K6819=0),"당월",
 TRUE,"그외"
)</f>
        <v>1개월</v>
      </c>
    </row>
    <row r="6820" spans="1:12" x14ac:dyDescent="0.3">
      <c r="A6820" s="5">
        <v>45778</v>
      </c>
      <c r="B6820" s="6" t="s">
        <v>81</v>
      </c>
      <c r="C6820" s="6" t="s">
        <v>82</v>
      </c>
      <c r="D6820" s="5">
        <v>45778</v>
      </c>
      <c r="E6820" s="6" t="s">
        <v>14</v>
      </c>
      <c r="F6820" s="7">
        <v>416</v>
      </c>
      <c r="G6820" s="7">
        <v>88302.88461538461</v>
      </c>
      <c r="H6820" s="7">
        <v>36734000</v>
      </c>
      <c r="I6820" s="7">
        <v>7280000</v>
      </c>
      <c r="J6820" s="7">
        <v>0</v>
      </c>
      <c r="K6820">
        <f t="shared" si="106"/>
        <v>0</v>
      </c>
      <c r="L6820" s="8" t="str" cm="1">
        <f t="array" ref="L6820">_xlfn.IFS(
 AND(K6820&gt;=89,K6820&lt;=92),"3개월",
 AND(K6820&gt;=58,K6820&lt;=62),"2개월",
 AND(K6820&gt;=28,K6820&lt;=32),"1개월",
 AND(K6820=0),"당월",
 TRUE,"그외"
)</f>
        <v>당월</v>
      </c>
    </row>
    <row r="6821" spans="1:12" x14ac:dyDescent="0.3">
      <c r="A6821" s="5">
        <v>45778</v>
      </c>
      <c r="B6821" s="6" t="s">
        <v>81</v>
      </c>
      <c r="C6821" s="6" t="s">
        <v>82</v>
      </c>
      <c r="D6821" s="5">
        <v>45778</v>
      </c>
      <c r="E6821" s="6" t="s">
        <v>15</v>
      </c>
      <c r="F6821" s="7">
        <v>63</v>
      </c>
      <c r="G6821" s="7">
        <v>164256.25396825399</v>
      </c>
      <c r="H6821" s="7">
        <v>10348144</v>
      </c>
      <c r="I6821" s="7">
        <v>1896144</v>
      </c>
      <c r="J6821" s="7">
        <v>0</v>
      </c>
      <c r="K6821">
        <f t="shared" si="106"/>
        <v>0</v>
      </c>
      <c r="L6821" s="8" t="str" cm="1">
        <f t="array" ref="L6821">_xlfn.IFS(
 AND(K6821&gt;=89,K6821&lt;=92),"3개월",
 AND(K6821&gt;=58,K6821&lt;=62),"2개월",
 AND(K6821&gt;=28,K6821&lt;=32),"1개월",
 AND(K6821=0),"당월",
 TRUE,"그외"
)</f>
        <v>당월</v>
      </c>
    </row>
    <row r="6822" spans="1:12" x14ac:dyDescent="0.3">
      <c r="A6822" s="5">
        <v>45778</v>
      </c>
      <c r="B6822" s="6" t="s">
        <v>81</v>
      </c>
      <c r="C6822" s="6" t="s">
        <v>83</v>
      </c>
      <c r="D6822" s="5">
        <v>45717</v>
      </c>
      <c r="E6822" s="6" t="s">
        <v>15</v>
      </c>
      <c r="F6822" s="7">
        <v>37</v>
      </c>
      <c r="G6822" s="7">
        <v>188928.78378378379</v>
      </c>
      <c r="H6822" s="7">
        <v>6990365</v>
      </c>
      <c r="I6822" s="7">
        <v>1187105</v>
      </c>
      <c r="J6822" s="7">
        <v>0</v>
      </c>
      <c r="K6822">
        <f t="shared" si="106"/>
        <v>61</v>
      </c>
      <c r="L6822" s="8" t="str" cm="1">
        <f t="array" ref="L6822">_xlfn.IFS(
 AND(K6822&gt;=89,K6822&lt;=92),"3개월",
 AND(K6822&gt;=58,K6822&lt;=62),"2개월",
 AND(K6822&gt;=28,K6822&lt;=32),"1개월",
 AND(K6822=0),"당월",
 TRUE,"그외"
)</f>
        <v>2개월</v>
      </c>
    </row>
    <row r="6823" spans="1:12" x14ac:dyDescent="0.3">
      <c r="A6823" s="5">
        <v>45778</v>
      </c>
      <c r="B6823" s="6" t="s">
        <v>81</v>
      </c>
      <c r="C6823" s="6" t="s">
        <v>83</v>
      </c>
      <c r="D6823" s="5">
        <v>45748</v>
      </c>
      <c r="E6823" s="6" t="s">
        <v>14</v>
      </c>
      <c r="F6823" s="7">
        <v>109</v>
      </c>
      <c r="G6823" s="7">
        <v>194492.88073394491</v>
      </c>
      <c r="H6823" s="7">
        <v>21199724</v>
      </c>
      <c r="I6823" s="7">
        <v>2452596</v>
      </c>
      <c r="J6823" s="7">
        <v>0</v>
      </c>
      <c r="K6823">
        <f t="shared" si="106"/>
        <v>30</v>
      </c>
      <c r="L6823" s="8" t="str" cm="1">
        <f t="array" ref="L6823">_xlfn.IFS(
 AND(K6823&gt;=89,K6823&lt;=92),"3개월",
 AND(K6823&gt;=58,K6823&lt;=62),"2개월",
 AND(K6823&gt;=28,K6823&lt;=32),"1개월",
 AND(K6823=0),"당월",
 TRUE,"그외"
)</f>
        <v>1개월</v>
      </c>
    </row>
    <row r="6824" spans="1:12" x14ac:dyDescent="0.3">
      <c r="A6824" s="5">
        <v>45778</v>
      </c>
      <c r="B6824" s="6" t="s">
        <v>81</v>
      </c>
      <c r="C6824" s="6" t="s">
        <v>83</v>
      </c>
      <c r="D6824" s="5">
        <v>45748</v>
      </c>
      <c r="E6824" s="6" t="s">
        <v>15</v>
      </c>
      <c r="F6824" s="7">
        <v>148</v>
      </c>
      <c r="G6824" s="7">
        <v>178017</v>
      </c>
      <c r="H6824" s="7">
        <v>26346516</v>
      </c>
      <c r="I6824" s="7">
        <v>4338547</v>
      </c>
      <c r="J6824" s="7">
        <v>0</v>
      </c>
      <c r="K6824">
        <f t="shared" si="106"/>
        <v>30</v>
      </c>
      <c r="L6824" s="8" t="str" cm="1">
        <f t="array" ref="L6824">_xlfn.IFS(
 AND(K6824&gt;=89,K6824&lt;=92),"3개월",
 AND(K6824&gt;=58,K6824&lt;=62),"2개월",
 AND(K6824&gt;=28,K6824&lt;=32),"1개월",
 AND(K6824=0),"당월",
 TRUE,"그외"
)</f>
        <v>1개월</v>
      </c>
    </row>
    <row r="6825" spans="1:12" x14ac:dyDescent="0.3">
      <c r="A6825" s="5">
        <v>45778</v>
      </c>
      <c r="B6825" s="6" t="s">
        <v>81</v>
      </c>
      <c r="C6825" s="6" t="s">
        <v>83</v>
      </c>
      <c r="D6825" s="5">
        <v>45778</v>
      </c>
      <c r="E6825" s="6" t="s">
        <v>15</v>
      </c>
      <c r="F6825" s="7">
        <v>26</v>
      </c>
      <c r="G6825" s="7">
        <v>197584.3846153846</v>
      </c>
      <c r="H6825" s="7">
        <v>5137194</v>
      </c>
      <c r="I6825" s="7">
        <v>770084</v>
      </c>
      <c r="J6825" s="7">
        <v>0</v>
      </c>
      <c r="K6825">
        <f t="shared" si="106"/>
        <v>0</v>
      </c>
      <c r="L6825" s="8" t="str" cm="1">
        <f t="array" ref="L6825">_xlfn.IFS(
 AND(K6825&gt;=89,K6825&lt;=92),"3개월",
 AND(K6825&gt;=58,K6825&lt;=62),"2개월",
 AND(K6825&gt;=28,K6825&lt;=32),"1개월",
 AND(K6825=0),"당월",
 TRUE,"그외"
)</f>
        <v>당월</v>
      </c>
    </row>
    <row r="6826" spans="1:12" x14ac:dyDescent="0.3">
      <c r="A6826" s="5">
        <v>45778</v>
      </c>
      <c r="B6826" s="6" t="s">
        <v>81</v>
      </c>
      <c r="C6826" s="6" t="s">
        <v>125</v>
      </c>
      <c r="D6826" s="5">
        <v>45658</v>
      </c>
      <c r="E6826" s="6" t="s">
        <v>15</v>
      </c>
      <c r="F6826" s="7">
        <v>31</v>
      </c>
      <c r="G6826" s="7">
        <v>399509.03225806449</v>
      </c>
      <c r="H6826" s="7">
        <v>12384780</v>
      </c>
      <c r="I6826" s="7">
        <v>1232665</v>
      </c>
      <c r="J6826" s="7">
        <v>0</v>
      </c>
      <c r="K6826">
        <f t="shared" si="106"/>
        <v>120</v>
      </c>
      <c r="L6826" s="8" t="str" cm="1">
        <f t="array" ref="L6826">_xlfn.IFS(
 AND(K6826&gt;=89,K6826&lt;=92),"3개월",
 AND(K6826&gt;=58,K6826&lt;=62),"2개월",
 AND(K6826&gt;=28,K6826&lt;=32),"1개월",
 AND(K6826=0),"당월",
 TRUE,"그외"
)</f>
        <v>그외</v>
      </c>
    </row>
    <row r="6827" spans="1:12" x14ac:dyDescent="0.3">
      <c r="A6827" s="5">
        <v>45778</v>
      </c>
      <c r="B6827" s="6" t="s">
        <v>81</v>
      </c>
      <c r="C6827" s="6" t="s">
        <v>125</v>
      </c>
      <c r="D6827" s="5">
        <v>45689</v>
      </c>
      <c r="E6827" s="6" t="s">
        <v>15</v>
      </c>
      <c r="F6827" s="7">
        <v>137</v>
      </c>
      <c r="G6827" s="7">
        <v>400992.50364963501</v>
      </c>
      <c r="H6827" s="7">
        <v>54935973</v>
      </c>
      <c r="I6827" s="7">
        <v>5405115</v>
      </c>
      <c r="J6827" s="7">
        <v>0</v>
      </c>
      <c r="K6827">
        <f t="shared" si="106"/>
        <v>89</v>
      </c>
      <c r="L6827" s="8" t="str" cm="1">
        <f t="array" ref="L6827">_xlfn.IFS(
 AND(K6827&gt;=89,K6827&lt;=92),"3개월",
 AND(K6827&gt;=58,K6827&lt;=62),"2개월",
 AND(K6827&gt;=28,K6827&lt;=32),"1개월",
 AND(K6827=0),"당월",
 TRUE,"그외"
)</f>
        <v>3개월</v>
      </c>
    </row>
    <row r="6828" spans="1:12" x14ac:dyDescent="0.3">
      <c r="A6828" s="5">
        <v>45778</v>
      </c>
      <c r="B6828" s="6" t="s">
        <v>81</v>
      </c>
      <c r="C6828" s="6" t="s">
        <v>125</v>
      </c>
      <c r="D6828" s="5">
        <v>45717</v>
      </c>
      <c r="E6828" s="6" t="s">
        <v>14</v>
      </c>
      <c r="F6828" s="7">
        <v>65</v>
      </c>
      <c r="G6828" s="7">
        <v>381599.61538461538</v>
      </c>
      <c r="H6828" s="7">
        <v>24803975</v>
      </c>
      <c r="I6828" s="7">
        <v>3402935</v>
      </c>
      <c r="J6828" s="7">
        <v>0</v>
      </c>
      <c r="K6828">
        <f t="shared" si="106"/>
        <v>61</v>
      </c>
      <c r="L6828" s="8" t="str" cm="1">
        <f t="array" ref="L6828">_xlfn.IFS(
 AND(K6828&gt;=89,K6828&lt;=92),"3개월",
 AND(K6828&gt;=58,K6828&lt;=62),"2개월",
 AND(K6828&gt;=28,K6828&lt;=32),"1개월",
 AND(K6828=0),"당월",
 TRUE,"그외"
)</f>
        <v>2개월</v>
      </c>
    </row>
    <row r="6829" spans="1:12" x14ac:dyDescent="0.3">
      <c r="A6829" s="5">
        <v>45778</v>
      </c>
      <c r="B6829" s="6" t="s">
        <v>81</v>
      </c>
      <c r="C6829" s="6" t="s">
        <v>125</v>
      </c>
      <c r="D6829" s="5">
        <v>45717</v>
      </c>
      <c r="E6829" s="6" t="s">
        <v>15</v>
      </c>
      <c r="F6829" s="7">
        <v>244</v>
      </c>
      <c r="G6829" s="7">
        <v>381307.60655737697</v>
      </c>
      <c r="H6829" s="7">
        <v>93039056</v>
      </c>
      <c r="I6829" s="7">
        <v>11226742</v>
      </c>
      <c r="J6829" s="7">
        <v>0</v>
      </c>
      <c r="K6829">
        <f t="shared" si="106"/>
        <v>61</v>
      </c>
      <c r="L6829" s="8" t="str" cm="1">
        <f t="array" ref="L6829">_xlfn.IFS(
 AND(K6829&gt;=89,K6829&lt;=92),"3개월",
 AND(K6829&gt;=58,K6829&lt;=62),"2개월",
 AND(K6829&gt;=28,K6829&lt;=32),"1개월",
 AND(K6829=0),"당월",
 TRUE,"그외"
)</f>
        <v>2개월</v>
      </c>
    </row>
    <row r="6830" spans="1:12" x14ac:dyDescent="0.3">
      <c r="A6830" s="5">
        <v>45778</v>
      </c>
      <c r="B6830" s="6" t="s">
        <v>81</v>
      </c>
      <c r="C6830" s="6" t="s">
        <v>125</v>
      </c>
      <c r="D6830" s="5">
        <v>45748</v>
      </c>
      <c r="E6830" s="6" t="s">
        <v>14</v>
      </c>
      <c r="F6830" s="7">
        <v>193</v>
      </c>
      <c r="G6830" s="7">
        <v>379339.28497409332</v>
      </c>
      <c r="H6830" s="7">
        <v>73212482</v>
      </c>
      <c r="I6830" s="7">
        <v>6768260</v>
      </c>
      <c r="J6830" s="7">
        <v>0</v>
      </c>
      <c r="K6830">
        <f t="shared" si="106"/>
        <v>30</v>
      </c>
      <c r="L6830" s="8" t="str" cm="1">
        <f t="array" ref="L6830">_xlfn.IFS(
 AND(K6830&gt;=89,K6830&lt;=92),"3개월",
 AND(K6830&gt;=58,K6830&lt;=62),"2개월",
 AND(K6830&gt;=28,K6830&lt;=32),"1개월",
 AND(K6830=0),"당월",
 TRUE,"그외"
)</f>
        <v>1개월</v>
      </c>
    </row>
    <row r="6831" spans="1:12" x14ac:dyDescent="0.3">
      <c r="A6831" s="5">
        <v>45778</v>
      </c>
      <c r="B6831" s="6" t="s">
        <v>81</v>
      </c>
      <c r="C6831" s="6" t="s">
        <v>125</v>
      </c>
      <c r="D6831" s="5">
        <v>45748</v>
      </c>
      <c r="E6831" s="6" t="s">
        <v>15</v>
      </c>
      <c r="F6831" s="7">
        <v>611</v>
      </c>
      <c r="G6831" s="7">
        <v>394507.27659574471</v>
      </c>
      <c r="H6831" s="7">
        <v>241043946</v>
      </c>
      <c r="I6831" s="7">
        <v>24045671</v>
      </c>
      <c r="J6831" s="7">
        <v>0</v>
      </c>
      <c r="K6831">
        <f t="shared" si="106"/>
        <v>30</v>
      </c>
      <c r="L6831" s="8" t="str" cm="1">
        <f t="array" ref="L6831">_xlfn.IFS(
 AND(K6831&gt;=89,K6831&lt;=92),"3개월",
 AND(K6831&gt;=58,K6831&lt;=62),"2개월",
 AND(K6831&gt;=28,K6831&lt;=32),"1개월",
 AND(K6831=0),"당월",
 TRUE,"그외"
)</f>
        <v>1개월</v>
      </c>
    </row>
    <row r="6832" spans="1:12" x14ac:dyDescent="0.3">
      <c r="A6832" s="5">
        <v>45778</v>
      </c>
      <c r="B6832" s="6" t="s">
        <v>81</v>
      </c>
      <c r="C6832" s="6" t="s">
        <v>125</v>
      </c>
      <c r="D6832" s="5">
        <v>45778</v>
      </c>
      <c r="E6832" s="6" t="s">
        <v>14</v>
      </c>
      <c r="F6832" s="7">
        <v>90</v>
      </c>
      <c r="G6832" s="7">
        <v>378053.4</v>
      </c>
      <c r="H6832" s="7">
        <v>34024806</v>
      </c>
      <c r="I6832" s="7">
        <v>5121890</v>
      </c>
      <c r="J6832" s="7">
        <v>0</v>
      </c>
      <c r="K6832">
        <f t="shared" si="106"/>
        <v>0</v>
      </c>
      <c r="L6832" s="8" t="str" cm="1">
        <f t="array" ref="L6832">_xlfn.IFS(
 AND(K6832&gt;=89,K6832&lt;=92),"3개월",
 AND(K6832&gt;=58,K6832&lt;=62),"2개월",
 AND(K6832&gt;=28,K6832&lt;=32),"1개월",
 AND(K6832=0),"당월",
 TRUE,"그외"
)</f>
        <v>당월</v>
      </c>
    </row>
    <row r="6833" spans="1:12" x14ac:dyDescent="0.3">
      <c r="A6833" s="5">
        <v>45778</v>
      </c>
      <c r="B6833" s="6" t="s">
        <v>81</v>
      </c>
      <c r="C6833" s="6" t="s">
        <v>125</v>
      </c>
      <c r="D6833" s="5">
        <v>45778</v>
      </c>
      <c r="E6833" s="6" t="s">
        <v>15</v>
      </c>
      <c r="F6833" s="7">
        <v>195</v>
      </c>
      <c r="G6833" s="7">
        <v>400972.94871794869</v>
      </c>
      <c r="H6833" s="7">
        <v>78189725</v>
      </c>
      <c r="I6833" s="7">
        <v>6953376</v>
      </c>
      <c r="J6833" s="7">
        <v>0</v>
      </c>
      <c r="K6833">
        <f t="shared" si="106"/>
        <v>0</v>
      </c>
      <c r="L6833" s="8" t="str" cm="1">
        <f t="array" ref="L6833">_xlfn.IFS(
 AND(K6833&gt;=89,K6833&lt;=92),"3개월",
 AND(K6833&gt;=58,K6833&lt;=62),"2개월",
 AND(K6833&gt;=28,K6833&lt;=32),"1개월",
 AND(K6833=0),"당월",
 TRUE,"그외"
)</f>
        <v>당월</v>
      </c>
    </row>
    <row r="6834" spans="1:12" x14ac:dyDescent="0.3">
      <c r="A6834" s="5">
        <v>45778</v>
      </c>
      <c r="B6834" s="6" t="s">
        <v>81</v>
      </c>
      <c r="C6834" s="6" t="s">
        <v>118</v>
      </c>
      <c r="D6834" s="5">
        <v>45717</v>
      </c>
      <c r="E6834" s="6" t="s">
        <v>15</v>
      </c>
      <c r="F6834" s="7">
        <v>15</v>
      </c>
      <c r="G6834" s="7">
        <v>396102.86666666658</v>
      </c>
      <c r="H6834" s="7">
        <v>5941543</v>
      </c>
      <c r="I6834" s="7">
        <v>615981</v>
      </c>
      <c r="J6834" s="7">
        <v>0</v>
      </c>
      <c r="K6834">
        <f t="shared" si="106"/>
        <v>61</v>
      </c>
      <c r="L6834" s="8" t="str" cm="1">
        <f t="array" ref="L6834">_xlfn.IFS(
 AND(K6834&gt;=89,K6834&lt;=92),"3개월",
 AND(K6834&gt;=58,K6834&lt;=62),"2개월",
 AND(K6834&gt;=28,K6834&lt;=32),"1개월",
 AND(K6834=0),"당월",
 TRUE,"그외"
)</f>
        <v>2개월</v>
      </c>
    </row>
    <row r="6835" spans="1:12" x14ac:dyDescent="0.3">
      <c r="A6835" s="5">
        <v>45778</v>
      </c>
      <c r="B6835" s="6" t="s">
        <v>81</v>
      </c>
      <c r="C6835" s="6" t="s">
        <v>118</v>
      </c>
      <c r="D6835" s="5">
        <v>45748</v>
      </c>
      <c r="E6835" s="6" t="s">
        <v>14</v>
      </c>
      <c r="F6835" s="7">
        <v>10</v>
      </c>
      <c r="G6835" s="7">
        <v>246955.9</v>
      </c>
      <c r="H6835" s="7">
        <v>2469559</v>
      </c>
      <c r="I6835" s="7">
        <v>309352</v>
      </c>
      <c r="J6835" s="7">
        <v>0</v>
      </c>
      <c r="K6835">
        <f t="shared" si="106"/>
        <v>30</v>
      </c>
      <c r="L6835" s="8" t="str" cm="1">
        <f t="array" ref="L6835">_xlfn.IFS(
 AND(K6835&gt;=89,K6835&lt;=92),"3개월",
 AND(K6835&gt;=58,K6835&lt;=62),"2개월",
 AND(K6835&gt;=28,K6835&lt;=32),"1개월",
 AND(K6835=0),"당월",
 TRUE,"그외"
)</f>
        <v>1개월</v>
      </c>
    </row>
    <row r="6836" spans="1:12" x14ac:dyDescent="0.3">
      <c r="A6836" s="5">
        <v>45778</v>
      </c>
      <c r="B6836" s="6" t="s">
        <v>81</v>
      </c>
      <c r="C6836" s="6" t="s">
        <v>118</v>
      </c>
      <c r="D6836" s="5">
        <v>45748</v>
      </c>
      <c r="E6836" s="6" t="s">
        <v>15</v>
      </c>
      <c r="F6836" s="7">
        <v>584</v>
      </c>
      <c r="G6836" s="7">
        <v>318696.82705479453</v>
      </c>
      <c r="H6836" s="7">
        <v>186118947</v>
      </c>
      <c r="I6836" s="7">
        <v>16835291</v>
      </c>
      <c r="J6836" s="7">
        <v>0</v>
      </c>
      <c r="K6836">
        <f t="shared" si="106"/>
        <v>30</v>
      </c>
      <c r="L6836" s="8" t="str" cm="1">
        <f t="array" ref="L6836">_xlfn.IFS(
 AND(K6836&gt;=89,K6836&lt;=92),"3개월",
 AND(K6836&gt;=58,K6836&lt;=62),"2개월",
 AND(K6836&gt;=28,K6836&lt;=32),"1개월",
 AND(K6836=0),"당월",
 TRUE,"그외"
)</f>
        <v>1개월</v>
      </c>
    </row>
    <row r="6837" spans="1:12" x14ac:dyDescent="0.3">
      <c r="A6837" s="5">
        <v>45778</v>
      </c>
      <c r="B6837" s="6" t="s">
        <v>81</v>
      </c>
      <c r="C6837" s="6" t="s">
        <v>118</v>
      </c>
      <c r="D6837" s="5">
        <v>45778</v>
      </c>
      <c r="E6837" s="6" t="s">
        <v>14</v>
      </c>
      <c r="F6837" s="7">
        <v>9</v>
      </c>
      <c r="G6837" s="7">
        <v>268053.88888888888</v>
      </c>
      <c r="H6837" s="7">
        <v>2412485</v>
      </c>
      <c r="I6837" s="7">
        <v>229380</v>
      </c>
      <c r="J6837" s="7">
        <v>0</v>
      </c>
      <c r="K6837">
        <f t="shared" si="106"/>
        <v>0</v>
      </c>
      <c r="L6837" s="8" t="str" cm="1">
        <f t="array" ref="L6837">_xlfn.IFS(
 AND(K6837&gt;=89,K6837&lt;=92),"3개월",
 AND(K6837&gt;=58,K6837&lt;=62),"2개월",
 AND(K6837&gt;=28,K6837&lt;=32),"1개월",
 AND(K6837=0),"당월",
 TRUE,"그외"
)</f>
        <v>당월</v>
      </c>
    </row>
    <row r="6838" spans="1:12" x14ac:dyDescent="0.3">
      <c r="A6838" s="5">
        <v>45778</v>
      </c>
      <c r="B6838" s="6" t="s">
        <v>81</v>
      </c>
      <c r="C6838" s="6" t="s">
        <v>118</v>
      </c>
      <c r="D6838" s="5">
        <v>45778</v>
      </c>
      <c r="E6838" s="6" t="s">
        <v>15</v>
      </c>
      <c r="F6838" s="7">
        <v>140</v>
      </c>
      <c r="G6838" s="7">
        <v>331959.22142857139</v>
      </c>
      <c r="H6838" s="7">
        <v>46474291</v>
      </c>
      <c r="I6838" s="7">
        <v>3230433</v>
      </c>
      <c r="J6838" s="7">
        <v>0</v>
      </c>
      <c r="K6838">
        <f t="shared" si="106"/>
        <v>0</v>
      </c>
      <c r="L6838" s="8" t="str" cm="1">
        <f t="array" ref="L6838">_xlfn.IFS(
 AND(K6838&gt;=89,K6838&lt;=92),"3개월",
 AND(K6838&gt;=58,K6838&lt;=62),"2개월",
 AND(K6838&gt;=28,K6838&lt;=32),"1개월",
 AND(K6838=0),"당월",
 TRUE,"그외"
)</f>
        <v>당월</v>
      </c>
    </row>
    <row r="6839" spans="1:12" x14ac:dyDescent="0.3">
      <c r="A6839" s="5">
        <v>45778</v>
      </c>
      <c r="B6839" s="6" t="s">
        <v>84</v>
      </c>
      <c r="C6839" s="6" t="s">
        <v>85</v>
      </c>
      <c r="D6839" s="5">
        <v>45566</v>
      </c>
      <c r="E6839" s="6" t="s">
        <v>15</v>
      </c>
      <c r="F6839" s="7">
        <v>89</v>
      </c>
      <c r="G6839" s="7">
        <v>793804.4719101123</v>
      </c>
      <c r="H6839" s="7">
        <v>70648598</v>
      </c>
      <c r="I6839" s="7">
        <v>7946734</v>
      </c>
      <c r="J6839" s="7">
        <v>0</v>
      </c>
      <c r="K6839">
        <f t="shared" si="106"/>
        <v>212</v>
      </c>
      <c r="L6839" s="8" t="str" cm="1">
        <f t="array" ref="L6839">_xlfn.IFS(
 AND(K6839&gt;=89,K6839&lt;=92),"3개월",
 AND(K6839&gt;=58,K6839&lt;=62),"2개월",
 AND(K6839&gt;=28,K6839&lt;=32),"1개월",
 AND(K6839=0),"당월",
 TRUE,"그외"
)</f>
        <v>그외</v>
      </c>
    </row>
    <row r="6840" spans="1:12" x14ac:dyDescent="0.3">
      <c r="A6840" s="5">
        <v>45778</v>
      </c>
      <c r="B6840" s="6" t="s">
        <v>84</v>
      </c>
      <c r="C6840" s="6" t="s">
        <v>85</v>
      </c>
      <c r="D6840" s="5">
        <v>45597</v>
      </c>
      <c r="E6840" s="6" t="s">
        <v>15</v>
      </c>
      <c r="F6840" s="7">
        <v>370</v>
      </c>
      <c r="G6840" s="7">
        <v>860238.78108108114</v>
      </c>
      <c r="H6840" s="7">
        <v>318288349</v>
      </c>
      <c r="I6840" s="7">
        <v>29727642</v>
      </c>
      <c r="J6840" s="7">
        <v>0</v>
      </c>
      <c r="K6840">
        <f t="shared" si="106"/>
        <v>181</v>
      </c>
      <c r="L6840" s="8" t="str" cm="1">
        <f t="array" ref="L6840">_xlfn.IFS(
 AND(K6840&gt;=89,K6840&lt;=92),"3개월",
 AND(K6840&gt;=58,K6840&lt;=62),"2개월",
 AND(K6840&gt;=28,K6840&lt;=32),"1개월",
 AND(K6840=0),"당월",
 TRUE,"그외"
)</f>
        <v>그외</v>
      </c>
    </row>
    <row r="6841" spans="1:12" x14ac:dyDescent="0.3">
      <c r="A6841" s="5">
        <v>45778</v>
      </c>
      <c r="B6841" s="6" t="s">
        <v>84</v>
      </c>
      <c r="C6841" s="6" t="s">
        <v>85</v>
      </c>
      <c r="D6841" s="5">
        <v>45627</v>
      </c>
      <c r="E6841" s="6" t="s">
        <v>15</v>
      </c>
      <c r="F6841" s="7">
        <v>326</v>
      </c>
      <c r="G6841" s="7">
        <v>837535.39263803686</v>
      </c>
      <c r="H6841" s="7">
        <v>273036538</v>
      </c>
      <c r="I6841" s="7">
        <v>31248196</v>
      </c>
      <c r="J6841" s="7">
        <v>0</v>
      </c>
      <c r="K6841">
        <f t="shared" si="106"/>
        <v>151</v>
      </c>
      <c r="L6841" s="8" t="str" cm="1">
        <f t="array" ref="L6841">_xlfn.IFS(
 AND(K6841&gt;=89,K6841&lt;=92),"3개월",
 AND(K6841&gt;=58,K6841&lt;=62),"2개월",
 AND(K6841&gt;=28,K6841&lt;=32),"1개월",
 AND(K6841=0),"당월",
 TRUE,"그외"
)</f>
        <v>그외</v>
      </c>
    </row>
    <row r="6842" spans="1:12" x14ac:dyDescent="0.3">
      <c r="A6842" s="5">
        <v>45778</v>
      </c>
      <c r="B6842" s="6" t="s">
        <v>84</v>
      </c>
      <c r="C6842" s="6" t="s">
        <v>85</v>
      </c>
      <c r="D6842" s="5">
        <v>45658</v>
      </c>
      <c r="E6842" s="6" t="s">
        <v>15</v>
      </c>
      <c r="F6842" s="7">
        <v>292</v>
      </c>
      <c r="G6842" s="7">
        <v>780648.00684931502</v>
      </c>
      <c r="H6842" s="7">
        <v>227949218</v>
      </c>
      <c r="I6842" s="7">
        <v>27472952</v>
      </c>
      <c r="J6842" s="7">
        <v>0</v>
      </c>
      <c r="K6842">
        <f t="shared" si="106"/>
        <v>120</v>
      </c>
      <c r="L6842" s="8" t="str" cm="1">
        <f t="array" ref="L6842">_xlfn.IFS(
 AND(K6842&gt;=89,K6842&lt;=92),"3개월",
 AND(K6842&gt;=58,K6842&lt;=62),"2개월",
 AND(K6842&gt;=28,K6842&lt;=32),"1개월",
 AND(K6842=0),"당월",
 TRUE,"그외"
)</f>
        <v>그외</v>
      </c>
    </row>
    <row r="6843" spans="1:12" x14ac:dyDescent="0.3">
      <c r="A6843" s="5">
        <v>45778</v>
      </c>
      <c r="B6843" s="6" t="s">
        <v>84</v>
      </c>
      <c r="C6843" s="6" t="s">
        <v>85</v>
      </c>
      <c r="D6843" s="5">
        <v>45689</v>
      </c>
      <c r="E6843" s="6" t="s">
        <v>15</v>
      </c>
      <c r="F6843" s="7">
        <v>759</v>
      </c>
      <c r="G6843" s="7">
        <v>833128.25296442688</v>
      </c>
      <c r="H6843" s="7">
        <v>632344344</v>
      </c>
      <c r="I6843" s="7">
        <v>65309736</v>
      </c>
      <c r="J6843" s="7">
        <v>0</v>
      </c>
      <c r="K6843">
        <f t="shared" si="106"/>
        <v>89</v>
      </c>
      <c r="L6843" s="8" t="str" cm="1">
        <f t="array" ref="L6843">_xlfn.IFS(
 AND(K6843&gt;=89,K6843&lt;=92),"3개월",
 AND(K6843&gt;=58,K6843&lt;=62),"2개월",
 AND(K6843&gt;=28,K6843&lt;=32),"1개월",
 AND(K6843=0),"당월",
 TRUE,"그외"
)</f>
        <v>3개월</v>
      </c>
    </row>
    <row r="6844" spans="1:12" x14ac:dyDescent="0.3">
      <c r="A6844" s="5">
        <v>45778</v>
      </c>
      <c r="B6844" s="6" t="s">
        <v>84</v>
      </c>
      <c r="C6844" s="6" t="s">
        <v>85</v>
      </c>
      <c r="D6844" s="5">
        <v>45717</v>
      </c>
      <c r="E6844" s="6" t="s">
        <v>15</v>
      </c>
      <c r="F6844" s="7">
        <v>1111</v>
      </c>
      <c r="G6844" s="7">
        <v>844406.3357335733</v>
      </c>
      <c r="H6844" s="7">
        <v>938135439</v>
      </c>
      <c r="I6844" s="7">
        <v>110742982</v>
      </c>
      <c r="J6844" s="7">
        <v>0</v>
      </c>
      <c r="K6844">
        <f t="shared" si="106"/>
        <v>61</v>
      </c>
      <c r="L6844" s="8" t="str" cm="1">
        <f t="array" ref="L6844">_xlfn.IFS(
 AND(K6844&gt;=89,K6844&lt;=92),"3개월",
 AND(K6844&gt;=58,K6844&lt;=62),"2개월",
 AND(K6844&gt;=28,K6844&lt;=32),"1개월",
 AND(K6844=0),"당월",
 TRUE,"그외"
)</f>
        <v>2개월</v>
      </c>
    </row>
    <row r="6845" spans="1:12" x14ac:dyDescent="0.3">
      <c r="A6845" s="5">
        <v>45778</v>
      </c>
      <c r="B6845" s="6" t="s">
        <v>84</v>
      </c>
      <c r="C6845" s="6" t="s">
        <v>85</v>
      </c>
      <c r="D6845" s="5">
        <v>45748</v>
      </c>
      <c r="E6845" s="6" t="s">
        <v>14</v>
      </c>
      <c r="F6845" s="7">
        <v>672</v>
      </c>
      <c r="G6845" s="7">
        <v>668328.27380952379</v>
      </c>
      <c r="H6845" s="7">
        <v>449116600</v>
      </c>
      <c r="I6845" s="7">
        <v>8391600</v>
      </c>
      <c r="J6845" s="7">
        <v>0</v>
      </c>
      <c r="K6845">
        <f t="shared" si="106"/>
        <v>30</v>
      </c>
      <c r="L6845" s="8" t="str" cm="1">
        <f t="array" ref="L6845">_xlfn.IFS(
 AND(K6845&gt;=89,K6845&lt;=92),"3개월",
 AND(K6845&gt;=58,K6845&lt;=62),"2개월",
 AND(K6845&gt;=28,K6845&lt;=32),"1개월",
 AND(K6845=0),"당월",
 TRUE,"그외"
)</f>
        <v>1개월</v>
      </c>
    </row>
    <row r="6846" spans="1:12" x14ac:dyDescent="0.3">
      <c r="A6846" s="5">
        <v>45778</v>
      </c>
      <c r="B6846" s="6" t="s">
        <v>84</v>
      </c>
      <c r="C6846" s="6" t="s">
        <v>85</v>
      </c>
      <c r="D6846" s="5">
        <v>45748</v>
      </c>
      <c r="E6846" s="6" t="s">
        <v>15</v>
      </c>
      <c r="F6846" s="7">
        <v>1238</v>
      </c>
      <c r="G6846" s="7">
        <v>780121.17932148627</v>
      </c>
      <c r="H6846" s="7">
        <v>965790020</v>
      </c>
      <c r="I6846" s="7">
        <v>98810131</v>
      </c>
      <c r="J6846" s="7">
        <v>0</v>
      </c>
      <c r="K6846">
        <f t="shared" si="106"/>
        <v>30</v>
      </c>
      <c r="L6846" s="8" t="str" cm="1">
        <f t="array" ref="L6846">_xlfn.IFS(
 AND(K6846&gt;=89,K6846&lt;=92),"3개월",
 AND(K6846&gt;=58,K6846&lt;=62),"2개월",
 AND(K6846&gt;=28,K6846&lt;=32),"1개월",
 AND(K6846=0),"당월",
 TRUE,"그외"
)</f>
        <v>1개월</v>
      </c>
    </row>
    <row r="6847" spans="1:12" x14ac:dyDescent="0.3">
      <c r="A6847" s="5">
        <v>45778</v>
      </c>
      <c r="B6847" s="6" t="s">
        <v>84</v>
      </c>
      <c r="C6847" s="6" t="s">
        <v>85</v>
      </c>
      <c r="D6847" s="5">
        <v>45778</v>
      </c>
      <c r="E6847" s="6" t="s">
        <v>14</v>
      </c>
      <c r="F6847" s="7">
        <v>344</v>
      </c>
      <c r="G6847" s="7">
        <v>631395.34883720928</v>
      </c>
      <c r="H6847" s="7">
        <v>217200000</v>
      </c>
      <c r="I6847" s="7">
        <v>0</v>
      </c>
      <c r="J6847" s="7">
        <v>0</v>
      </c>
      <c r="K6847">
        <f t="shared" si="106"/>
        <v>0</v>
      </c>
      <c r="L6847" s="8" t="str" cm="1">
        <f t="array" ref="L6847">_xlfn.IFS(
 AND(K6847&gt;=89,K6847&lt;=92),"3개월",
 AND(K6847&gt;=58,K6847&lt;=62),"2개월",
 AND(K6847&gt;=28,K6847&lt;=32),"1개월",
 AND(K6847=0),"당월",
 TRUE,"그외"
)</f>
        <v>당월</v>
      </c>
    </row>
    <row r="6848" spans="1:12" x14ac:dyDescent="0.3">
      <c r="A6848" s="5">
        <v>45778</v>
      </c>
      <c r="B6848" s="6" t="s">
        <v>84</v>
      </c>
      <c r="C6848" s="6" t="s">
        <v>85</v>
      </c>
      <c r="D6848" s="5">
        <v>45778</v>
      </c>
      <c r="E6848" s="6" t="s">
        <v>15</v>
      </c>
      <c r="F6848" s="7">
        <v>319</v>
      </c>
      <c r="G6848" s="7">
        <v>705167.42006269598</v>
      </c>
      <c r="H6848" s="7">
        <v>224948407</v>
      </c>
      <c r="I6848" s="7">
        <v>24740934</v>
      </c>
      <c r="J6848" s="7">
        <v>0</v>
      </c>
      <c r="K6848">
        <f t="shared" si="106"/>
        <v>0</v>
      </c>
      <c r="L6848" s="8" t="str" cm="1">
        <f t="array" ref="L6848">_xlfn.IFS(
 AND(K6848&gt;=89,K6848&lt;=92),"3개월",
 AND(K6848&gt;=58,K6848&lt;=62),"2개월",
 AND(K6848&gt;=28,K6848&lt;=32),"1개월",
 AND(K6848=0),"당월",
 TRUE,"그외"
)</f>
        <v>당월</v>
      </c>
    </row>
    <row r="6849" spans="1:12" x14ac:dyDescent="0.3">
      <c r="A6849" s="5">
        <v>45778</v>
      </c>
      <c r="B6849" s="6" t="s">
        <v>84</v>
      </c>
      <c r="C6849" s="6" t="s">
        <v>86</v>
      </c>
      <c r="D6849" s="5">
        <v>45566</v>
      </c>
      <c r="E6849" s="6" t="s">
        <v>15</v>
      </c>
      <c r="F6849" s="7">
        <v>109</v>
      </c>
      <c r="G6849" s="7">
        <v>814462.21100917435</v>
      </c>
      <c r="H6849" s="7">
        <v>88776381</v>
      </c>
      <c r="I6849" s="7">
        <v>7796601</v>
      </c>
      <c r="J6849" s="7">
        <v>0</v>
      </c>
      <c r="K6849">
        <f t="shared" si="106"/>
        <v>212</v>
      </c>
      <c r="L6849" s="8" t="str" cm="1">
        <f t="array" ref="L6849">_xlfn.IFS(
 AND(K6849&gt;=89,K6849&lt;=92),"3개월",
 AND(K6849&gt;=58,K6849&lt;=62),"2개월",
 AND(K6849&gt;=28,K6849&lt;=32),"1개월",
 AND(K6849=0),"당월",
 TRUE,"그외"
)</f>
        <v>그외</v>
      </c>
    </row>
    <row r="6850" spans="1:12" x14ac:dyDescent="0.3">
      <c r="A6850" s="5">
        <v>45778</v>
      </c>
      <c r="B6850" s="6" t="s">
        <v>84</v>
      </c>
      <c r="C6850" s="6" t="s">
        <v>86</v>
      </c>
      <c r="D6850" s="5">
        <v>45597</v>
      </c>
      <c r="E6850" s="6" t="s">
        <v>15</v>
      </c>
      <c r="F6850" s="7">
        <v>540</v>
      </c>
      <c r="G6850" s="7">
        <v>726613.12037037034</v>
      </c>
      <c r="H6850" s="7">
        <v>392371085</v>
      </c>
      <c r="I6850" s="7">
        <v>40603442</v>
      </c>
      <c r="J6850" s="7">
        <v>0</v>
      </c>
      <c r="K6850">
        <f t="shared" si="106"/>
        <v>181</v>
      </c>
      <c r="L6850" s="8" t="str" cm="1">
        <f t="array" ref="L6850">_xlfn.IFS(
 AND(K6850&gt;=89,K6850&lt;=92),"3개월",
 AND(K6850&gt;=58,K6850&lt;=62),"2개월",
 AND(K6850&gt;=28,K6850&lt;=32),"1개월",
 AND(K6850=0),"당월",
 TRUE,"그외"
)</f>
        <v>그외</v>
      </c>
    </row>
    <row r="6851" spans="1:12" x14ac:dyDescent="0.3">
      <c r="A6851" s="5">
        <v>45778</v>
      </c>
      <c r="B6851" s="6" t="s">
        <v>84</v>
      </c>
      <c r="C6851" s="6" t="s">
        <v>86</v>
      </c>
      <c r="D6851" s="5">
        <v>45627</v>
      </c>
      <c r="E6851" s="6" t="s">
        <v>15</v>
      </c>
      <c r="F6851" s="7">
        <v>737</v>
      </c>
      <c r="G6851" s="7">
        <v>726944.73134328355</v>
      </c>
      <c r="H6851" s="7">
        <v>535758267</v>
      </c>
      <c r="I6851" s="7">
        <v>61568050</v>
      </c>
      <c r="J6851" s="7">
        <v>0</v>
      </c>
      <c r="K6851">
        <f t="shared" si="106"/>
        <v>151</v>
      </c>
      <c r="L6851" s="8" t="str" cm="1">
        <f t="array" ref="L6851">_xlfn.IFS(
 AND(K6851&gt;=89,K6851&lt;=92),"3개월",
 AND(K6851&gt;=58,K6851&lt;=62),"2개월",
 AND(K6851&gt;=28,K6851&lt;=32),"1개월",
 AND(K6851=0),"당월",
 TRUE,"그외"
)</f>
        <v>그외</v>
      </c>
    </row>
    <row r="6852" spans="1:12" x14ac:dyDescent="0.3">
      <c r="A6852" s="5">
        <v>45778</v>
      </c>
      <c r="B6852" s="6" t="s">
        <v>84</v>
      </c>
      <c r="C6852" s="6" t="s">
        <v>86</v>
      </c>
      <c r="D6852" s="5">
        <v>45658</v>
      </c>
      <c r="E6852" s="6" t="s">
        <v>14</v>
      </c>
      <c r="F6852" s="7">
        <v>20</v>
      </c>
      <c r="G6852" s="7">
        <v>822669.8</v>
      </c>
      <c r="H6852" s="7">
        <v>16453396</v>
      </c>
      <c r="I6852" s="7">
        <v>1522000</v>
      </c>
      <c r="J6852" s="7">
        <v>0</v>
      </c>
      <c r="K6852">
        <f t="shared" si="106"/>
        <v>120</v>
      </c>
      <c r="L6852" s="8" t="str" cm="1">
        <f t="array" ref="L6852">_xlfn.IFS(
 AND(K6852&gt;=89,K6852&lt;=92),"3개월",
 AND(K6852&gt;=58,K6852&lt;=62),"2개월",
 AND(K6852&gt;=28,K6852&lt;=32),"1개월",
 AND(K6852=0),"당월",
 TRUE,"그외"
)</f>
        <v>그외</v>
      </c>
    </row>
    <row r="6853" spans="1:12" x14ac:dyDescent="0.3">
      <c r="A6853" s="5">
        <v>45778</v>
      </c>
      <c r="B6853" s="6" t="s">
        <v>84</v>
      </c>
      <c r="C6853" s="6" t="s">
        <v>86</v>
      </c>
      <c r="D6853" s="5">
        <v>45658</v>
      </c>
      <c r="E6853" s="6" t="s">
        <v>15</v>
      </c>
      <c r="F6853" s="7">
        <v>990</v>
      </c>
      <c r="G6853" s="7">
        <v>745146.1555555556</v>
      </c>
      <c r="H6853" s="7">
        <v>737694694</v>
      </c>
      <c r="I6853" s="7">
        <v>85206728</v>
      </c>
      <c r="J6853" s="7">
        <v>0</v>
      </c>
      <c r="K6853">
        <f t="shared" si="106"/>
        <v>120</v>
      </c>
      <c r="L6853" s="8" t="str" cm="1">
        <f t="array" ref="L6853">_xlfn.IFS(
 AND(K6853&gt;=89,K6853&lt;=92),"3개월",
 AND(K6853&gt;=58,K6853&lt;=62),"2개월",
 AND(K6853&gt;=28,K6853&lt;=32),"1개월",
 AND(K6853=0),"당월",
 TRUE,"그외"
)</f>
        <v>그외</v>
      </c>
    </row>
    <row r="6854" spans="1:12" x14ac:dyDescent="0.3">
      <c r="A6854" s="5">
        <v>45778</v>
      </c>
      <c r="B6854" s="6" t="s">
        <v>84</v>
      </c>
      <c r="C6854" s="6" t="s">
        <v>86</v>
      </c>
      <c r="D6854" s="5">
        <v>45689</v>
      </c>
      <c r="E6854" s="6" t="s">
        <v>14</v>
      </c>
      <c r="F6854" s="7">
        <v>73</v>
      </c>
      <c r="G6854" s="7">
        <v>866764.76712328766</v>
      </c>
      <c r="H6854" s="7">
        <v>63273828</v>
      </c>
      <c r="I6854" s="7">
        <v>5759700</v>
      </c>
      <c r="J6854" s="7">
        <v>0</v>
      </c>
      <c r="K6854">
        <f t="shared" si="106"/>
        <v>89</v>
      </c>
      <c r="L6854" s="8" t="str" cm="1">
        <f t="array" ref="L6854">_xlfn.IFS(
 AND(K6854&gt;=89,K6854&lt;=92),"3개월",
 AND(K6854&gt;=58,K6854&lt;=62),"2개월",
 AND(K6854&gt;=28,K6854&lt;=32),"1개월",
 AND(K6854=0),"당월",
 TRUE,"그외"
)</f>
        <v>3개월</v>
      </c>
    </row>
    <row r="6855" spans="1:12" x14ac:dyDescent="0.3">
      <c r="A6855" s="5">
        <v>45778</v>
      </c>
      <c r="B6855" s="6" t="s">
        <v>84</v>
      </c>
      <c r="C6855" s="6" t="s">
        <v>86</v>
      </c>
      <c r="D6855" s="5">
        <v>45689</v>
      </c>
      <c r="E6855" s="6" t="s">
        <v>15</v>
      </c>
      <c r="F6855" s="7">
        <v>1476</v>
      </c>
      <c r="G6855" s="7">
        <v>729617.35094850953</v>
      </c>
      <c r="H6855" s="7">
        <v>1076915210</v>
      </c>
      <c r="I6855" s="7">
        <v>124929555</v>
      </c>
      <c r="J6855" s="7">
        <v>0</v>
      </c>
      <c r="K6855">
        <f t="shared" si="106"/>
        <v>89</v>
      </c>
      <c r="L6855" s="8" t="str" cm="1">
        <f t="array" ref="L6855">_xlfn.IFS(
 AND(K6855&gt;=89,K6855&lt;=92),"3개월",
 AND(K6855&gt;=58,K6855&lt;=62),"2개월",
 AND(K6855&gt;=28,K6855&lt;=32),"1개월",
 AND(K6855=0),"당월",
 TRUE,"그외"
)</f>
        <v>3개월</v>
      </c>
    </row>
    <row r="6856" spans="1:12" x14ac:dyDescent="0.3">
      <c r="A6856" s="5">
        <v>45778</v>
      </c>
      <c r="B6856" s="6" t="s">
        <v>84</v>
      </c>
      <c r="C6856" s="6" t="s">
        <v>86</v>
      </c>
      <c r="D6856" s="5">
        <v>45717</v>
      </c>
      <c r="E6856" s="6" t="s">
        <v>14</v>
      </c>
      <c r="F6856" s="7">
        <v>14</v>
      </c>
      <c r="G6856" s="7">
        <v>808103.14285714284</v>
      </c>
      <c r="H6856" s="7">
        <v>11313444</v>
      </c>
      <c r="I6856" s="7">
        <v>1254400</v>
      </c>
      <c r="J6856" s="7">
        <v>0</v>
      </c>
      <c r="K6856">
        <f t="shared" si="106"/>
        <v>61</v>
      </c>
      <c r="L6856" s="8" t="str" cm="1">
        <f t="array" ref="L6856">_xlfn.IFS(
 AND(K6856&gt;=89,K6856&lt;=92),"3개월",
 AND(K6856&gt;=58,K6856&lt;=62),"2개월",
 AND(K6856&gt;=28,K6856&lt;=32),"1개월",
 AND(K6856=0),"당월",
 TRUE,"그외"
)</f>
        <v>2개월</v>
      </c>
    </row>
    <row r="6857" spans="1:12" x14ac:dyDescent="0.3">
      <c r="A6857" s="5">
        <v>45778</v>
      </c>
      <c r="B6857" s="6" t="s">
        <v>84</v>
      </c>
      <c r="C6857" s="6" t="s">
        <v>86</v>
      </c>
      <c r="D6857" s="5">
        <v>45717</v>
      </c>
      <c r="E6857" s="6" t="s">
        <v>15</v>
      </c>
      <c r="F6857" s="7">
        <v>1267</v>
      </c>
      <c r="G6857" s="7">
        <v>742805.38358326757</v>
      </c>
      <c r="H6857" s="7">
        <v>941134421</v>
      </c>
      <c r="I6857" s="7">
        <v>121370659</v>
      </c>
      <c r="J6857" s="7">
        <v>0</v>
      </c>
      <c r="K6857">
        <f t="shared" si="106"/>
        <v>61</v>
      </c>
      <c r="L6857" s="8" t="str" cm="1">
        <f t="array" ref="L6857">_xlfn.IFS(
 AND(K6857&gt;=89,K6857&lt;=92),"3개월",
 AND(K6857&gt;=58,K6857&lt;=62),"2개월",
 AND(K6857&gt;=28,K6857&lt;=32),"1개월",
 AND(K6857=0),"당월",
 TRUE,"그외"
)</f>
        <v>2개월</v>
      </c>
    </row>
    <row r="6858" spans="1:12" x14ac:dyDescent="0.3">
      <c r="A6858" s="5">
        <v>45778</v>
      </c>
      <c r="B6858" s="6" t="s">
        <v>84</v>
      </c>
      <c r="C6858" s="6" t="s">
        <v>86</v>
      </c>
      <c r="D6858" s="5">
        <v>45748</v>
      </c>
      <c r="E6858" s="6" t="s">
        <v>14</v>
      </c>
      <c r="F6858" s="7">
        <v>1412</v>
      </c>
      <c r="G6858" s="7">
        <v>599942.18838526914</v>
      </c>
      <c r="H6858" s="7">
        <v>847118370</v>
      </c>
      <c r="I6858" s="7">
        <v>94063800</v>
      </c>
      <c r="J6858" s="7">
        <v>0</v>
      </c>
      <c r="K6858">
        <f t="shared" ref="K6858:K6921" si="107">A6858-D6858</f>
        <v>30</v>
      </c>
      <c r="L6858" s="8" t="str" cm="1">
        <f t="array" ref="L6858">_xlfn.IFS(
 AND(K6858&gt;=89,K6858&lt;=92),"3개월",
 AND(K6858&gt;=58,K6858&lt;=62),"2개월",
 AND(K6858&gt;=28,K6858&lt;=32),"1개월",
 AND(K6858=0),"당월",
 TRUE,"그외"
)</f>
        <v>1개월</v>
      </c>
    </row>
    <row r="6859" spans="1:12" x14ac:dyDescent="0.3">
      <c r="A6859" s="5">
        <v>45778</v>
      </c>
      <c r="B6859" s="6" t="s">
        <v>84</v>
      </c>
      <c r="C6859" s="6" t="s">
        <v>86</v>
      </c>
      <c r="D6859" s="5">
        <v>45748</v>
      </c>
      <c r="E6859" s="6" t="s">
        <v>15</v>
      </c>
      <c r="F6859" s="7">
        <v>2402</v>
      </c>
      <c r="G6859" s="7">
        <v>686692.43796835968</v>
      </c>
      <c r="H6859" s="7">
        <v>1649435236</v>
      </c>
      <c r="I6859" s="7">
        <v>183468849</v>
      </c>
      <c r="J6859" s="7">
        <v>0</v>
      </c>
      <c r="K6859">
        <f t="shared" si="107"/>
        <v>30</v>
      </c>
      <c r="L6859" s="8" t="str" cm="1">
        <f t="array" ref="L6859">_xlfn.IFS(
 AND(K6859&gt;=89,K6859&lt;=92),"3개월",
 AND(K6859&gt;=58,K6859&lt;=62),"2개월",
 AND(K6859&gt;=28,K6859&lt;=32),"1개월",
 AND(K6859=0),"당월",
 TRUE,"그외"
)</f>
        <v>1개월</v>
      </c>
    </row>
    <row r="6860" spans="1:12" x14ac:dyDescent="0.3">
      <c r="A6860" s="5">
        <v>45778</v>
      </c>
      <c r="B6860" s="6" t="s">
        <v>84</v>
      </c>
      <c r="C6860" s="6" t="s">
        <v>86</v>
      </c>
      <c r="D6860" s="5">
        <v>45778</v>
      </c>
      <c r="E6860" s="6" t="s">
        <v>14</v>
      </c>
      <c r="F6860" s="7">
        <v>711</v>
      </c>
      <c r="G6860" s="7">
        <v>491035.83684950782</v>
      </c>
      <c r="H6860" s="7">
        <v>349126480</v>
      </c>
      <c r="I6860" s="7">
        <v>38322900</v>
      </c>
      <c r="J6860" s="7">
        <v>0</v>
      </c>
      <c r="K6860">
        <f t="shared" si="107"/>
        <v>0</v>
      </c>
      <c r="L6860" s="8" t="str" cm="1">
        <f t="array" ref="L6860">_xlfn.IFS(
 AND(K6860&gt;=89,K6860&lt;=92),"3개월",
 AND(K6860&gt;=58,K6860&lt;=62),"2개월",
 AND(K6860&gt;=28,K6860&lt;=32),"1개월",
 AND(K6860=0),"당월",
 TRUE,"그외"
)</f>
        <v>당월</v>
      </c>
    </row>
    <row r="6861" spans="1:12" x14ac:dyDescent="0.3">
      <c r="A6861" s="5">
        <v>45778</v>
      </c>
      <c r="B6861" s="6" t="s">
        <v>84</v>
      </c>
      <c r="C6861" s="6" t="s">
        <v>86</v>
      </c>
      <c r="D6861" s="5">
        <v>45778</v>
      </c>
      <c r="E6861" s="6" t="s">
        <v>15</v>
      </c>
      <c r="F6861" s="7">
        <v>530</v>
      </c>
      <c r="G6861" s="7">
        <v>705503.27169811318</v>
      </c>
      <c r="H6861" s="7">
        <v>373916734</v>
      </c>
      <c r="I6861" s="7">
        <v>39966111</v>
      </c>
      <c r="J6861" s="7">
        <v>0</v>
      </c>
      <c r="K6861">
        <f t="shared" si="107"/>
        <v>0</v>
      </c>
      <c r="L6861" s="8" t="str" cm="1">
        <f t="array" ref="L6861">_xlfn.IFS(
 AND(K6861&gt;=89,K6861&lt;=92),"3개월",
 AND(K6861&gt;=58,K6861&lt;=62),"2개월",
 AND(K6861&gt;=28,K6861&lt;=32),"1개월",
 AND(K6861=0),"당월",
 TRUE,"그외"
)</f>
        <v>당월</v>
      </c>
    </row>
    <row r="6862" spans="1:12" x14ac:dyDescent="0.3">
      <c r="A6862" s="5">
        <v>45778</v>
      </c>
      <c r="B6862" s="6" t="s">
        <v>84</v>
      </c>
      <c r="C6862" s="6" t="s">
        <v>87</v>
      </c>
      <c r="D6862" s="5">
        <v>45566</v>
      </c>
      <c r="E6862" s="6" t="s">
        <v>15</v>
      </c>
      <c r="F6862" s="7">
        <v>56</v>
      </c>
      <c r="G6862" s="7">
        <v>480235.71428571432</v>
      </c>
      <c r="H6862" s="7">
        <v>26893200</v>
      </c>
      <c r="I6862" s="7">
        <v>3444000</v>
      </c>
      <c r="J6862" s="7">
        <v>0</v>
      </c>
      <c r="K6862">
        <f t="shared" si="107"/>
        <v>212</v>
      </c>
      <c r="L6862" s="8" t="str" cm="1">
        <f t="array" ref="L6862">_xlfn.IFS(
 AND(K6862&gt;=89,K6862&lt;=92),"3개월",
 AND(K6862&gt;=58,K6862&lt;=62),"2개월",
 AND(K6862&gt;=28,K6862&lt;=32),"1개월",
 AND(K6862=0),"당월",
 TRUE,"그외"
)</f>
        <v>그외</v>
      </c>
    </row>
    <row r="6863" spans="1:12" x14ac:dyDescent="0.3">
      <c r="A6863" s="5">
        <v>45778</v>
      </c>
      <c r="B6863" s="6" t="s">
        <v>84</v>
      </c>
      <c r="C6863" s="6" t="s">
        <v>87</v>
      </c>
      <c r="D6863" s="5">
        <v>45597</v>
      </c>
      <c r="E6863" s="6" t="s">
        <v>15</v>
      </c>
      <c r="F6863" s="7">
        <v>162</v>
      </c>
      <c r="G6863" s="7">
        <v>521471.12962962961</v>
      </c>
      <c r="H6863" s="7">
        <v>84478323</v>
      </c>
      <c r="I6863" s="7">
        <v>12124003</v>
      </c>
      <c r="J6863" s="7">
        <v>0</v>
      </c>
      <c r="K6863">
        <f t="shared" si="107"/>
        <v>181</v>
      </c>
      <c r="L6863" s="8" t="str" cm="1">
        <f t="array" ref="L6863">_xlfn.IFS(
 AND(K6863&gt;=89,K6863&lt;=92),"3개월",
 AND(K6863&gt;=58,K6863&lt;=62),"2개월",
 AND(K6863&gt;=28,K6863&lt;=32),"1개월",
 AND(K6863=0),"당월",
 TRUE,"그외"
)</f>
        <v>그외</v>
      </c>
    </row>
    <row r="6864" spans="1:12" x14ac:dyDescent="0.3">
      <c r="A6864" s="5">
        <v>45778</v>
      </c>
      <c r="B6864" s="6" t="s">
        <v>84</v>
      </c>
      <c r="C6864" s="6" t="s">
        <v>87</v>
      </c>
      <c r="D6864" s="5">
        <v>45627</v>
      </c>
      <c r="E6864" s="6" t="s">
        <v>15</v>
      </c>
      <c r="F6864" s="7">
        <v>263</v>
      </c>
      <c r="G6864" s="7">
        <v>464501.52851711027</v>
      </c>
      <c r="H6864" s="7">
        <v>122163902</v>
      </c>
      <c r="I6864" s="7">
        <v>23315989</v>
      </c>
      <c r="J6864" s="7">
        <v>0</v>
      </c>
      <c r="K6864">
        <f t="shared" si="107"/>
        <v>151</v>
      </c>
      <c r="L6864" s="8" t="str" cm="1">
        <f t="array" ref="L6864">_xlfn.IFS(
 AND(K6864&gt;=89,K6864&lt;=92),"3개월",
 AND(K6864&gt;=58,K6864&lt;=62),"2개월",
 AND(K6864&gt;=28,K6864&lt;=32),"1개월",
 AND(K6864=0),"당월",
 TRUE,"그외"
)</f>
        <v>그외</v>
      </c>
    </row>
    <row r="6865" spans="1:12" x14ac:dyDescent="0.3">
      <c r="A6865" s="5">
        <v>45778</v>
      </c>
      <c r="B6865" s="6" t="s">
        <v>84</v>
      </c>
      <c r="C6865" s="6" t="s">
        <v>87</v>
      </c>
      <c r="D6865" s="5">
        <v>45658</v>
      </c>
      <c r="E6865" s="6" t="s">
        <v>15</v>
      </c>
      <c r="F6865" s="7">
        <v>343</v>
      </c>
      <c r="G6865" s="7">
        <v>560053.13994169096</v>
      </c>
      <c r="H6865" s="7">
        <v>192098227</v>
      </c>
      <c r="I6865" s="7">
        <v>31153171</v>
      </c>
      <c r="J6865" s="7">
        <v>0</v>
      </c>
      <c r="K6865">
        <f t="shared" si="107"/>
        <v>120</v>
      </c>
      <c r="L6865" s="8" t="str" cm="1">
        <f t="array" ref="L6865">_xlfn.IFS(
 AND(K6865&gt;=89,K6865&lt;=92),"3개월",
 AND(K6865&gt;=58,K6865&lt;=62),"2개월",
 AND(K6865&gt;=28,K6865&lt;=32),"1개월",
 AND(K6865=0),"당월",
 TRUE,"그외"
)</f>
        <v>그외</v>
      </c>
    </row>
    <row r="6866" spans="1:12" x14ac:dyDescent="0.3">
      <c r="A6866" s="5">
        <v>45778</v>
      </c>
      <c r="B6866" s="6" t="s">
        <v>84</v>
      </c>
      <c r="C6866" s="6" t="s">
        <v>87</v>
      </c>
      <c r="D6866" s="5">
        <v>45689</v>
      </c>
      <c r="E6866" s="6" t="s">
        <v>15</v>
      </c>
      <c r="F6866" s="7">
        <v>762</v>
      </c>
      <c r="G6866" s="7">
        <v>508577.02755905507</v>
      </c>
      <c r="H6866" s="7">
        <v>387535695</v>
      </c>
      <c r="I6866" s="7">
        <v>68541146</v>
      </c>
      <c r="J6866" s="7">
        <v>0</v>
      </c>
      <c r="K6866">
        <f t="shared" si="107"/>
        <v>89</v>
      </c>
      <c r="L6866" s="8" t="str" cm="1">
        <f t="array" ref="L6866">_xlfn.IFS(
 AND(K6866&gt;=89,K6866&lt;=92),"3개월",
 AND(K6866&gt;=58,K6866&lt;=62),"2개월",
 AND(K6866&gt;=28,K6866&lt;=32),"1개월",
 AND(K6866=0),"당월",
 TRUE,"그외"
)</f>
        <v>3개월</v>
      </c>
    </row>
    <row r="6867" spans="1:12" x14ac:dyDescent="0.3">
      <c r="A6867" s="5">
        <v>45778</v>
      </c>
      <c r="B6867" s="6" t="s">
        <v>84</v>
      </c>
      <c r="C6867" s="6" t="s">
        <v>87</v>
      </c>
      <c r="D6867" s="5">
        <v>45717</v>
      </c>
      <c r="E6867" s="6" t="s">
        <v>14</v>
      </c>
      <c r="F6867" s="7">
        <v>8</v>
      </c>
      <c r="G6867" s="7">
        <v>414600</v>
      </c>
      <c r="H6867" s="7">
        <v>3316800</v>
      </c>
      <c r="I6867" s="7">
        <v>716800</v>
      </c>
      <c r="J6867" s="7">
        <v>0</v>
      </c>
      <c r="K6867">
        <f t="shared" si="107"/>
        <v>61</v>
      </c>
      <c r="L6867" s="8" t="str" cm="1">
        <f t="array" ref="L6867">_xlfn.IFS(
 AND(K6867&gt;=89,K6867&lt;=92),"3개월",
 AND(K6867&gt;=58,K6867&lt;=62),"2개월",
 AND(K6867&gt;=28,K6867&lt;=32),"1개월",
 AND(K6867=0),"당월",
 TRUE,"그외"
)</f>
        <v>2개월</v>
      </c>
    </row>
    <row r="6868" spans="1:12" x14ac:dyDescent="0.3">
      <c r="A6868" s="5">
        <v>45778</v>
      </c>
      <c r="B6868" s="6" t="s">
        <v>84</v>
      </c>
      <c r="C6868" s="6" t="s">
        <v>87</v>
      </c>
      <c r="D6868" s="5">
        <v>45717</v>
      </c>
      <c r="E6868" s="6" t="s">
        <v>15</v>
      </c>
      <c r="F6868" s="7">
        <v>1205</v>
      </c>
      <c r="G6868" s="7">
        <v>537514.00414937758</v>
      </c>
      <c r="H6868" s="7">
        <v>647704375</v>
      </c>
      <c r="I6868" s="7">
        <v>126167307</v>
      </c>
      <c r="J6868" s="7">
        <v>0</v>
      </c>
      <c r="K6868">
        <f t="shared" si="107"/>
        <v>61</v>
      </c>
      <c r="L6868" s="8" t="str" cm="1">
        <f t="array" ref="L6868">_xlfn.IFS(
 AND(K6868&gt;=89,K6868&lt;=92),"3개월",
 AND(K6868&gt;=58,K6868&lt;=62),"2개월",
 AND(K6868&gt;=28,K6868&lt;=32),"1개월",
 AND(K6868=0),"당월",
 TRUE,"그외"
)</f>
        <v>2개월</v>
      </c>
    </row>
    <row r="6869" spans="1:12" x14ac:dyDescent="0.3">
      <c r="A6869" s="5">
        <v>45778</v>
      </c>
      <c r="B6869" s="6" t="s">
        <v>84</v>
      </c>
      <c r="C6869" s="6" t="s">
        <v>87</v>
      </c>
      <c r="D6869" s="5">
        <v>45748</v>
      </c>
      <c r="E6869" s="6" t="s">
        <v>14</v>
      </c>
      <c r="F6869" s="7">
        <v>1236</v>
      </c>
      <c r="G6869" s="7">
        <v>447842.99110032362</v>
      </c>
      <c r="H6869" s="7">
        <v>553533937</v>
      </c>
      <c r="I6869" s="7">
        <v>82317600</v>
      </c>
      <c r="J6869" s="7">
        <v>0</v>
      </c>
      <c r="K6869">
        <f t="shared" si="107"/>
        <v>30</v>
      </c>
      <c r="L6869" s="8" t="str" cm="1">
        <f t="array" ref="L6869">_xlfn.IFS(
 AND(K6869&gt;=89,K6869&lt;=92),"3개월",
 AND(K6869&gt;=58,K6869&lt;=62),"2개월",
 AND(K6869&gt;=28,K6869&lt;=32),"1개월",
 AND(K6869=0),"당월",
 TRUE,"그외"
)</f>
        <v>1개월</v>
      </c>
    </row>
    <row r="6870" spans="1:12" x14ac:dyDescent="0.3">
      <c r="A6870" s="5">
        <v>45778</v>
      </c>
      <c r="B6870" s="6" t="s">
        <v>84</v>
      </c>
      <c r="C6870" s="6" t="s">
        <v>87</v>
      </c>
      <c r="D6870" s="5">
        <v>45748</v>
      </c>
      <c r="E6870" s="6" t="s">
        <v>15</v>
      </c>
      <c r="F6870" s="7">
        <v>2199</v>
      </c>
      <c r="G6870" s="7">
        <v>542835.72305593453</v>
      </c>
      <c r="H6870" s="7">
        <v>1193695755</v>
      </c>
      <c r="I6870" s="7">
        <v>200736571</v>
      </c>
      <c r="J6870" s="7">
        <v>0</v>
      </c>
      <c r="K6870">
        <f t="shared" si="107"/>
        <v>30</v>
      </c>
      <c r="L6870" s="8" t="str" cm="1">
        <f t="array" ref="L6870">_xlfn.IFS(
 AND(K6870&gt;=89,K6870&lt;=92),"3개월",
 AND(K6870&gt;=58,K6870&lt;=62),"2개월",
 AND(K6870&gt;=28,K6870&lt;=32),"1개월",
 AND(K6870=0),"당월",
 TRUE,"그외"
)</f>
        <v>1개월</v>
      </c>
    </row>
    <row r="6871" spans="1:12" x14ac:dyDescent="0.3">
      <c r="A6871" s="5">
        <v>45778</v>
      </c>
      <c r="B6871" s="6" t="s">
        <v>84</v>
      </c>
      <c r="C6871" s="6" t="s">
        <v>87</v>
      </c>
      <c r="D6871" s="5">
        <v>45778</v>
      </c>
      <c r="E6871" s="6" t="s">
        <v>14</v>
      </c>
      <c r="F6871" s="7">
        <v>194</v>
      </c>
      <c r="G6871" s="7">
        <v>277869.07216494839</v>
      </c>
      <c r="H6871" s="7">
        <v>53906600</v>
      </c>
      <c r="I6871" s="7">
        <v>10456600</v>
      </c>
      <c r="J6871" s="7">
        <v>0</v>
      </c>
      <c r="K6871">
        <f t="shared" si="107"/>
        <v>0</v>
      </c>
      <c r="L6871" s="8" t="str" cm="1">
        <f t="array" ref="L6871">_xlfn.IFS(
 AND(K6871&gt;=89,K6871&lt;=92),"3개월",
 AND(K6871&gt;=58,K6871&lt;=62),"2개월",
 AND(K6871&gt;=28,K6871&lt;=32),"1개월",
 AND(K6871=0),"당월",
 TRUE,"그외"
)</f>
        <v>당월</v>
      </c>
    </row>
    <row r="6872" spans="1:12" x14ac:dyDescent="0.3">
      <c r="A6872" s="5">
        <v>45778</v>
      </c>
      <c r="B6872" s="6" t="s">
        <v>84</v>
      </c>
      <c r="C6872" s="6" t="s">
        <v>87</v>
      </c>
      <c r="D6872" s="5">
        <v>45778</v>
      </c>
      <c r="E6872" s="6" t="s">
        <v>15</v>
      </c>
      <c r="F6872" s="7">
        <v>565</v>
      </c>
      <c r="G6872" s="7">
        <v>495298.98938053101</v>
      </c>
      <c r="H6872" s="7">
        <v>279843929</v>
      </c>
      <c r="I6872" s="7">
        <v>51034599</v>
      </c>
      <c r="J6872" s="7">
        <v>0</v>
      </c>
      <c r="K6872">
        <f t="shared" si="107"/>
        <v>0</v>
      </c>
      <c r="L6872" s="8" t="str" cm="1">
        <f t="array" ref="L6872">_xlfn.IFS(
 AND(K6872&gt;=89,K6872&lt;=92),"3개월",
 AND(K6872&gt;=58,K6872&lt;=62),"2개월",
 AND(K6872&gt;=28,K6872&lt;=32),"1개월",
 AND(K6872=0),"당월",
 TRUE,"그외"
)</f>
        <v>당월</v>
      </c>
    </row>
    <row r="6873" spans="1:12" x14ac:dyDescent="0.3">
      <c r="A6873" s="5">
        <v>45778</v>
      </c>
      <c r="B6873" s="6" t="s">
        <v>84</v>
      </c>
      <c r="C6873" s="6" t="s">
        <v>88</v>
      </c>
      <c r="D6873" s="5">
        <v>45566</v>
      </c>
      <c r="E6873" s="6" t="s">
        <v>15</v>
      </c>
      <c r="F6873" s="7">
        <v>119</v>
      </c>
      <c r="G6873" s="7">
        <v>575844.42016806721</v>
      </c>
      <c r="H6873" s="7">
        <v>68525486</v>
      </c>
      <c r="I6873" s="7">
        <v>8118134</v>
      </c>
      <c r="J6873" s="7">
        <v>0</v>
      </c>
      <c r="K6873">
        <f t="shared" si="107"/>
        <v>212</v>
      </c>
      <c r="L6873" s="8" t="str" cm="1">
        <f t="array" ref="L6873">_xlfn.IFS(
 AND(K6873&gt;=89,K6873&lt;=92),"3개월",
 AND(K6873&gt;=58,K6873&lt;=62),"2개월",
 AND(K6873&gt;=28,K6873&lt;=32),"1개월",
 AND(K6873=0),"당월",
 TRUE,"그외"
)</f>
        <v>그외</v>
      </c>
    </row>
    <row r="6874" spans="1:12" x14ac:dyDescent="0.3">
      <c r="A6874" s="5">
        <v>45778</v>
      </c>
      <c r="B6874" s="6" t="s">
        <v>84</v>
      </c>
      <c r="C6874" s="6" t="s">
        <v>88</v>
      </c>
      <c r="D6874" s="5">
        <v>45597</v>
      </c>
      <c r="E6874" s="6" t="s">
        <v>15</v>
      </c>
      <c r="F6874" s="7">
        <v>640</v>
      </c>
      <c r="G6874" s="7">
        <v>590398.71250000002</v>
      </c>
      <c r="H6874" s="7">
        <v>377855176</v>
      </c>
      <c r="I6874" s="7">
        <v>46047851</v>
      </c>
      <c r="J6874" s="7">
        <v>0</v>
      </c>
      <c r="K6874">
        <f t="shared" si="107"/>
        <v>181</v>
      </c>
      <c r="L6874" s="8" t="str" cm="1">
        <f t="array" ref="L6874">_xlfn.IFS(
 AND(K6874&gt;=89,K6874&lt;=92),"3개월",
 AND(K6874&gt;=58,K6874&lt;=62),"2개월",
 AND(K6874&gt;=28,K6874&lt;=32),"1개월",
 AND(K6874=0),"당월",
 TRUE,"그외"
)</f>
        <v>그외</v>
      </c>
    </row>
    <row r="6875" spans="1:12" x14ac:dyDescent="0.3">
      <c r="A6875" s="5">
        <v>45778</v>
      </c>
      <c r="B6875" s="6" t="s">
        <v>84</v>
      </c>
      <c r="C6875" s="6" t="s">
        <v>88</v>
      </c>
      <c r="D6875" s="5">
        <v>45627</v>
      </c>
      <c r="E6875" s="6" t="s">
        <v>15</v>
      </c>
      <c r="F6875" s="7">
        <v>526</v>
      </c>
      <c r="G6875" s="7">
        <v>694707.76425855514</v>
      </c>
      <c r="H6875" s="7">
        <v>365416284</v>
      </c>
      <c r="I6875" s="7">
        <v>46891731</v>
      </c>
      <c r="J6875" s="7">
        <v>0</v>
      </c>
      <c r="K6875">
        <f t="shared" si="107"/>
        <v>151</v>
      </c>
      <c r="L6875" s="8" t="str" cm="1">
        <f t="array" ref="L6875">_xlfn.IFS(
 AND(K6875&gt;=89,K6875&lt;=92),"3개월",
 AND(K6875&gt;=58,K6875&lt;=62),"2개월",
 AND(K6875&gt;=28,K6875&lt;=32),"1개월",
 AND(K6875=0),"당월",
 TRUE,"그외"
)</f>
        <v>그외</v>
      </c>
    </row>
    <row r="6876" spans="1:12" x14ac:dyDescent="0.3">
      <c r="A6876" s="5">
        <v>45778</v>
      </c>
      <c r="B6876" s="6" t="s">
        <v>84</v>
      </c>
      <c r="C6876" s="6" t="s">
        <v>88</v>
      </c>
      <c r="D6876" s="5">
        <v>45658</v>
      </c>
      <c r="E6876" s="6" t="s">
        <v>14</v>
      </c>
      <c r="F6876" s="7">
        <v>18</v>
      </c>
      <c r="G6876" s="7">
        <v>896578</v>
      </c>
      <c r="H6876" s="7">
        <v>16138404</v>
      </c>
      <c r="I6876" s="7">
        <v>1369800</v>
      </c>
      <c r="J6876" s="7">
        <v>0</v>
      </c>
      <c r="K6876">
        <f t="shared" si="107"/>
        <v>120</v>
      </c>
      <c r="L6876" s="8" t="str" cm="1">
        <f t="array" ref="L6876">_xlfn.IFS(
 AND(K6876&gt;=89,K6876&lt;=92),"3개월",
 AND(K6876&gt;=58,K6876&lt;=62),"2개월",
 AND(K6876&gt;=28,K6876&lt;=32),"1개월",
 AND(K6876=0),"당월",
 TRUE,"그외"
)</f>
        <v>그외</v>
      </c>
    </row>
    <row r="6877" spans="1:12" x14ac:dyDescent="0.3">
      <c r="A6877" s="5">
        <v>45778</v>
      </c>
      <c r="B6877" s="6" t="s">
        <v>84</v>
      </c>
      <c r="C6877" s="6" t="s">
        <v>88</v>
      </c>
      <c r="D6877" s="5">
        <v>45658</v>
      </c>
      <c r="E6877" s="6" t="s">
        <v>15</v>
      </c>
      <c r="F6877" s="7">
        <v>513</v>
      </c>
      <c r="G6877" s="7">
        <v>636566.96686159843</v>
      </c>
      <c r="H6877" s="7">
        <v>326558854</v>
      </c>
      <c r="I6877" s="7">
        <v>46339069</v>
      </c>
      <c r="J6877" s="7">
        <v>0</v>
      </c>
      <c r="K6877">
        <f t="shared" si="107"/>
        <v>120</v>
      </c>
      <c r="L6877" s="8" t="str" cm="1">
        <f t="array" ref="L6877">_xlfn.IFS(
 AND(K6877&gt;=89,K6877&lt;=92),"3개월",
 AND(K6877&gt;=58,K6877&lt;=62),"2개월",
 AND(K6877&gt;=28,K6877&lt;=32),"1개월",
 AND(K6877=0),"당월",
 TRUE,"그외"
)</f>
        <v>그외</v>
      </c>
    </row>
    <row r="6878" spans="1:12" x14ac:dyDescent="0.3">
      <c r="A6878" s="5">
        <v>45778</v>
      </c>
      <c r="B6878" s="6" t="s">
        <v>84</v>
      </c>
      <c r="C6878" s="6" t="s">
        <v>88</v>
      </c>
      <c r="D6878" s="5">
        <v>45689</v>
      </c>
      <c r="E6878" s="6" t="s">
        <v>14</v>
      </c>
      <c r="F6878" s="7">
        <v>73</v>
      </c>
      <c r="G6878" s="7">
        <v>908158.52054794517</v>
      </c>
      <c r="H6878" s="7">
        <v>66295572</v>
      </c>
      <c r="I6878" s="7">
        <v>5759700</v>
      </c>
      <c r="J6878" s="7">
        <v>0</v>
      </c>
      <c r="K6878">
        <f t="shared" si="107"/>
        <v>89</v>
      </c>
      <c r="L6878" s="8" t="str" cm="1">
        <f t="array" ref="L6878">_xlfn.IFS(
 AND(K6878&gt;=89,K6878&lt;=92),"3개월",
 AND(K6878&gt;=58,K6878&lt;=62),"2개월",
 AND(K6878&gt;=28,K6878&lt;=32),"1개월",
 AND(K6878=0),"당월",
 TRUE,"그외"
)</f>
        <v>3개월</v>
      </c>
    </row>
    <row r="6879" spans="1:12" x14ac:dyDescent="0.3">
      <c r="A6879" s="5">
        <v>45778</v>
      </c>
      <c r="B6879" s="6" t="s">
        <v>84</v>
      </c>
      <c r="C6879" s="6" t="s">
        <v>88</v>
      </c>
      <c r="D6879" s="5">
        <v>45689</v>
      </c>
      <c r="E6879" s="6" t="s">
        <v>15</v>
      </c>
      <c r="F6879" s="7">
        <v>1018</v>
      </c>
      <c r="G6879" s="7">
        <v>693694.79862475442</v>
      </c>
      <c r="H6879" s="7">
        <v>706181305</v>
      </c>
      <c r="I6879" s="7">
        <v>91613327</v>
      </c>
      <c r="J6879" s="7">
        <v>0</v>
      </c>
      <c r="K6879">
        <f t="shared" si="107"/>
        <v>89</v>
      </c>
      <c r="L6879" s="8" t="str" cm="1">
        <f t="array" ref="L6879">_xlfn.IFS(
 AND(K6879&gt;=89,K6879&lt;=92),"3개월",
 AND(K6879&gt;=58,K6879&lt;=62),"2개월",
 AND(K6879&gt;=28,K6879&lt;=32),"1개월",
 AND(K6879=0),"당월",
 TRUE,"그외"
)</f>
        <v>3개월</v>
      </c>
    </row>
    <row r="6880" spans="1:12" x14ac:dyDescent="0.3">
      <c r="A6880" s="5">
        <v>45778</v>
      </c>
      <c r="B6880" s="6" t="s">
        <v>84</v>
      </c>
      <c r="C6880" s="6" t="s">
        <v>88</v>
      </c>
      <c r="D6880" s="5">
        <v>45717</v>
      </c>
      <c r="E6880" s="6" t="s">
        <v>14</v>
      </c>
      <c r="F6880" s="7">
        <v>2</v>
      </c>
      <c r="G6880" s="7">
        <v>910078</v>
      </c>
      <c r="H6880" s="7">
        <v>1820156</v>
      </c>
      <c r="I6880" s="7">
        <v>179200</v>
      </c>
      <c r="J6880" s="7">
        <v>0</v>
      </c>
      <c r="K6880">
        <f t="shared" si="107"/>
        <v>61</v>
      </c>
      <c r="L6880" s="8" t="str" cm="1">
        <f t="array" ref="L6880">_xlfn.IFS(
 AND(K6880&gt;=89,K6880&lt;=92),"3개월",
 AND(K6880&gt;=58,K6880&lt;=62),"2개월",
 AND(K6880&gt;=28,K6880&lt;=32),"1개월",
 AND(K6880=0),"당월",
 TRUE,"그외"
)</f>
        <v>2개월</v>
      </c>
    </row>
    <row r="6881" spans="1:12" x14ac:dyDescent="0.3">
      <c r="A6881" s="5">
        <v>45778</v>
      </c>
      <c r="B6881" s="6" t="s">
        <v>84</v>
      </c>
      <c r="C6881" s="6" t="s">
        <v>88</v>
      </c>
      <c r="D6881" s="5">
        <v>45717</v>
      </c>
      <c r="E6881" s="6" t="s">
        <v>15</v>
      </c>
      <c r="F6881" s="7">
        <v>1131</v>
      </c>
      <c r="G6881" s="7">
        <v>715894.8832891247</v>
      </c>
      <c r="H6881" s="7">
        <v>809677113</v>
      </c>
      <c r="I6881" s="7">
        <v>108883029</v>
      </c>
      <c r="J6881" s="7">
        <v>0</v>
      </c>
      <c r="K6881">
        <f t="shared" si="107"/>
        <v>61</v>
      </c>
      <c r="L6881" s="8" t="str" cm="1">
        <f t="array" ref="L6881">_xlfn.IFS(
 AND(K6881&gt;=89,K6881&lt;=92),"3개월",
 AND(K6881&gt;=58,K6881&lt;=62),"2개월",
 AND(K6881&gt;=28,K6881&lt;=32),"1개월",
 AND(K6881=0),"당월",
 TRUE,"그외"
)</f>
        <v>2개월</v>
      </c>
    </row>
    <row r="6882" spans="1:12" x14ac:dyDescent="0.3">
      <c r="A6882" s="5">
        <v>45778</v>
      </c>
      <c r="B6882" s="6" t="s">
        <v>84</v>
      </c>
      <c r="C6882" s="6" t="s">
        <v>88</v>
      </c>
      <c r="D6882" s="5">
        <v>45748</v>
      </c>
      <c r="E6882" s="6" t="s">
        <v>14</v>
      </c>
      <c r="F6882" s="7">
        <v>951</v>
      </c>
      <c r="G6882" s="7">
        <v>606407.9831756046</v>
      </c>
      <c r="H6882" s="7">
        <v>576693992</v>
      </c>
      <c r="I6882" s="7">
        <v>63361200</v>
      </c>
      <c r="J6882" s="7">
        <v>0</v>
      </c>
      <c r="K6882">
        <f t="shared" si="107"/>
        <v>30</v>
      </c>
      <c r="L6882" s="8" t="str" cm="1">
        <f t="array" ref="L6882">_xlfn.IFS(
 AND(K6882&gt;=89,K6882&lt;=92),"3개월",
 AND(K6882&gt;=58,K6882&lt;=62),"2개월",
 AND(K6882&gt;=28,K6882&lt;=32),"1개월",
 AND(K6882=0),"당월",
 TRUE,"그외"
)</f>
        <v>1개월</v>
      </c>
    </row>
    <row r="6883" spans="1:12" x14ac:dyDescent="0.3">
      <c r="A6883" s="5">
        <v>45778</v>
      </c>
      <c r="B6883" s="6" t="s">
        <v>84</v>
      </c>
      <c r="C6883" s="6" t="s">
        <v>88</v>
      </c>
      <c r="D6883" s="5">
        <v>45748</v>
      </c>
      <c r="E6883" s="6" t="s">
        <v>15</v>
      </c>
      <c r="F6883" s="7">
        <v>1340</v>
      </c>
      <c r="G6883" s="7">
        <v>656160.34850746265</v>
      </c>
      <c r="H6883" s="7">
        <v>879254867</v>
      </c>
      <c r="I6883" s="7">
        <v>113483184</v>
      </c>
      <c r="J6883" s="7">
        <v>0</v>
      </c>
      <c r="K6883">
        <f t="shared" si="107"/>
        <v>30</v>
      </c>
      <c r="L6883" s="8" t="str" cm="1">
        <f t="array" ref="L6883">_xlfn.IFS(
 AND(K6883&gt;=89,K6883&lt;=92),"3개월",
 AND(K6883&gt;=58,K6883&lt;=62),"2개월",
 AND(K6883&gt;=28,K6883&lt;=32),"1개월",
 AND(K6883=0),"당월",
 TRUE,"그외"
)</f>
        <v>1개월</v>
      </c>
    </row>
    <row r="6884" spans="1:12" x14ac:dyDescent="0.3">
      <c r="A6884" s="5">
        <v>45778</v>
      </c>
      <c r="B6884" s="6" t="s">
        <v>84</v>
      </c>
      <c r="C6884" s="6" t="s">
        <v>88</v>
      </c>
      <c r="D6884" s="5">
        <v>45778</v>
      </c>
      <c r="E6884" s="6" t="s">
        <v>14</v>
      </c>
      <c r="F6884" s="7">
        <v>279</v>
      </c>
      <c r="G6884" s="7">
        <v>498160.10035842302</v>
      </c>
      <c r="H6884" s="7">
        <v>138986668</v>
      </c>
      <c r="I6884" s="7">
        <v>15038100</v>
      </c>
      <c r="J6884" s="7">
        <v>0</v>
      </c>
      <c r="K6884">
        <f t="shared" si="107"/>
        <v>0</v>
      </c>
      <c r="L6884" s="8" t="str" cm="1">
        <f t="array" ref="L6884">_xlfn.IFS(
 AND(K6884&gt;=89,K6884&lt;=92),"3개월",
 AND(K6884&gt;=58,K6884&lt;=62),"2개월",
 AND(K6884&gt;=28,K6884&lt;=32),"1개월",
 AND(K6884=0),"당월",
 TRUE,"그외"
)</f>
        <v>당월</v>
      </c>
    </row>
    <row r="6885" spans="1:12" x14ac:dyDescent="0.3">
      <c r="A6885" s="5">
        <v>45778</v>
      </c>
      <c r="B6885" s="6" t="s">
        <v>84</v>
      </c>
      <c r="C6885" s="6" t="s">
        <v>88</v>
      </c>
      <c r="D6885" s="5">
        <v>45778</v>
      </c>
      <c r="E6885" s="6" t="s">
        <v>15</v>
      </c>
      <c r="F6885" s="7">
        <v>347</v>
      </c>
      <c r="G6885" s="7">
        <v>662416.38616714696</v>
      </c>
      <c r="H6885" s="7">
        <v>229858486</v>
      </c>
      <c r="I6885" s="7">
        <v>28853184</v>
      </c>
      <c r="J6885" s="7">
        <v>0</v>
      </c>
      <c r="K6885">
        <f t="shared" si="107"/>
        <v>0</v>
      </c>
      <c r="L6885" s="8" t="str" cm="1">
        <f t="array" ref="L6885">_xlfn.IFS(
 AND(K6885&gt;=89,K6885&lt;=92),"3개월",
 AND(K6885&gt;=58,K6885&lt;=62),"2개월",
 AND(K6885&gt;=28,K6885&lt;=32),"1개월",
 AND(K6885=0),"당월",
 TRUE,"그외"
)</f>
        <v>당월</v>
      </c>
    </row>
    <row r="6886" spans="1:12" x14ac:dyDescent="0.3">
      <c r="A6886" s="5">
        <v>45809</v>
      </c>
      <c r="B6886" s="6" t="s">
        <v>12</v>
      </c>
      <c r="C6886" s="6" t="s">
        <v>13</v>
      </c>
      <c r="D6886" s="5">
        <v>45658</v>
      </c>
      <c r="E6886" s="6" t="s">
        <v>14</v>
      </c>
      <c r="F6886" s="7">
        <v>168</v>
      </c>
      <c r="G6886" s="7">
        <v>104147.57142857141</v>
      </c>
      <c r="H6886" s="7">
        <v>17496792</v>
      </c>
      <c r="I6886" s="7">
        <v>1478400</v>
      </c>
      <c r="J6886" s="7">
        <v>134400</v>
      </c>
      <c r="K6886">
        <f t="shared" si="107"/>
        <v>151</v>
      </c>
      <c r="L6886" s="8" t="str" cm="1">
        <f t="array" ref="L6886">_xlfn.IFS(
 AND(K6886&gt;=89,K6886&lt;=92),"3개월",
 AND(K6886&gt;=58,K6886&lt;=62),"2개월",
 AND(K6886&gt;=28,K6886&lt;=32),"1개월",
 AND(K6886=0),"당월",
 TRUE,"그외"
)</f>
        <v>그외</v>
      </c>
    </row>
    <row r="6887" spans="1:12" x14ac:dyDescent="0.3">
      <c r="A6887" s="5">
        <v>45809</v>
      </c>
      <c r="B6887" s="6" t="s">
        <v>12</v>
      </c>
      <c r="C6887" s="6" t="s">
        <v>13</v>
      </c>
      <c r="D6887" s="5">
        <v>45658</v>
      </c>
      <c r="E6887" s="6" t="s">
        <v>15</v>
      </c>
      <c r="F6887" s="7">
        <v>2992</v>
      </c>
      <c r="G6887" s="7">
        <v>68757.988970588238</v>
      </c>
      <c r="H6887" s="7">
        <v>205723903</v>
      </c>
      <c r="I6887" s="7">
        <v>26327400</v>
      </c>
      <c r="J6887" s="7">
        <v>2393400</v>
      </c>
      <c r="K6887">
        <f t="shared" si="107"/>
        <v>151</v>
      </c>
      <c r="L6887" s="8" t="str" cm="1">
        <f t="array" ref="L6887">_xlfn.IFS(
 AND(K6887&gt;=89,K6887&lt;=92),"3개월",
 AND(K6887&gt;=58,K6887&lt;=62),"2개월",
 AND(K6887&gt;=28,K6887&lt;=32),"1개월",
 AND(K6887=0),"당월",
 TRUE,"그외"
)</f>
        <v>그외</v>
      </c>
    </row>
    <row r="6888" spans="1:12" x14ac:dyDescent="0.3">
      <c r="A6888" s="5">
        <v>45809</v>
      </c>
      <c r="B6888" s="6" t="s">
        <v>12</v>
      </c>
      <c r="C6888" s="6" t="s">
        <v>13</v>
      </c>
      <c r="D6888" s="5">
        <v>45689</v>
      </c>
      <c r="E6888" s="6" t="s">
        <v>14</v>
      </c>
      <c r="F6888" s="7">
        <v>58</v>
      </c>
      <c r="G6888" s="7">
        <v>104364</v>
      </c>
      <c r="H6888" s="7">
        <v>6053112</v>
      </c>
      <c r="I6888" s="7">
        <v>510400</v>
      </c>
      <c r="J6888" s="7">
        <v>46400</v>
      </c>
      <c r="K6888">
        <f t="shared" si="107"/>
        <v>120</v>
      </c>
      <c r="L6888" s="8" t="str" cm="1">
        <f t="array" ref="L6888">_xlfn.IFS(
 AND(K6888&gt;=89,K6888&lt;=92),"3개월",
 AND(K6888&gt;=58,K6888&lt;=62),"2개월",
 AND(K6888&gt;=28,K6888&lt;=32),"1개월",
 AND(K6888=0),"당월",
 TRUE,"그외"
)</f>
        <v>그외</v>
      </c>
    </row>
    <row r="6889" spans="1:12" x14ac:dyDescent="0.3">
      <c r="A6889" s="5">
        <v>45809</v>
      </c>
      <c r="B6889" s="6" t="s">
        <v>12</v>
      </c>
      <c r="C6889" s="6" t="s">
        <v>13</v>
      </c>
      <c r="D6889" s="5">
        <v>45689</v>
      </c>
      <c r="E6889" s="6" t="s">
        <v>15</v>
      </c>
      <c r="F6889" s="7">
        <v>6257</v>
      </c>
      <c r="G6889" s="7">
        <v>59137.922646635758</v>
      </c>
      <c r="H6889" s="7">
        <v>370025982</v>
      </c>
      <c r="I6889" s="7">
        <v>55061600</v>
      </c>
      <c r="J6889" s="7">
        <v>5005600</v>
      </c>
      <c r="K6889">
        <f t="shared" si="107"/>
        <v>120</v>
      </c>
      <c r="L6889" s="8" t="str" cm="1">
        <f t="array" ref="L6889">_xlfn.IFS(
 AND(K6889&gt;=89,K6889&lt;=92),"3개월",
 AND(K6889&gt;=58,K6889&lt;=62),"2개월",
 AND(K6889&gt;=28,K6889&lt;=32),"1개월",
 AND(K6889=0),"당월",
 TRUE,"그외"
)</f>
        <v>그외</v>
      </c>
    </row>
    <row r="6890" spans="1:12" x14ac:dyDescent="0.3">
      <c r="A6890" s="5">
        <v>45809</v>
      </c>
      <c r="B6890" s="6" t="s">
        <v>12</v>
      </c>
      <c r="C6890" s="6" t="s">
        <v>13</v>
      </c>
      <c r="D6890" s="5">
        <v>45717</v>
      </c>
      <c r="E6890" s="6" t="s">
        <v>14</v>
      </c>
      <c r="F6890" s="7">
        <v>198</v>
      </c>
      <c r="G6890" s="7">
        <v>68861.969696969696</v>
      </c>
      <c r="H6890" s="7">
        <v>13634670</v>
      </c>
      <c r="I6890" s="7">
        <v>2178000</v>
      </c>
      <c r="J6890" s="7">
        <v>198000</v>
      </c>
      <c r="K6890">
        <f t="shared" si="107"/>
        <v>92</v>
      </c>
      <c r="L6890" s="8" t="str" cm="1">
        <f t="array" ref="L6890">_xlfn.IFS(
 AND(K6890&gt;=89,K6890&lt;=92),"3개월",
 AND(K6890&gt;=58,K6890&lt;=62),"2개월",
 AND(K6890&gt;=28,K6890&lt;=32),"1개월",
 AND(K6890=0),"당월",
 TRUE,"그외"
)</f>
        <v>3개월</v>
      </c>
    </row>
    <row r="6891" spans="1:12" x14ac:dyDescent="0.3">
      <c r="A6891" s="5">
        <v>45809</v>
      </c>
      <c r="B6891" s="6" t="s">
        <v>12</v>
      </c>
      <c r="C6891" s="6" t="s">
        <v>13</v>
      </c>
      <c r="D6891" s="5">
        <v>45717</v>
      </c>
      <c r="E6891" s="6" t="s">
        <v>15</v>
      </c>
      <c r="F6891" s="7">
        <v>10348</v>
      </c>
      <c r="G6891" s="7">
        <v>64871.559528411293</v>
      </c>
      <c r="H6891" s="7">
        <v>671290898</v>
      </c>
      <c r="I6891" s="7">
        <v>113300000</v>
      </c>
      <c r="J6891" s="7">
        <v>10300000</v>
      </c>
      <c r="K6891">
        <f t="shared" si="107"/>
        <v>92</v>
      </c>
      <c r="L6891" s="8" t="str" cm="1">
        <f t="array" ref="L6891">_xlfn.IFS(
 AND(K6891&gt;=89,K6891&lt;=92),"3개월",
 AND(K6891&gt;=58,K6891&lt;=62),"2개월",
 AND(K6891&gt;=28,K6891&lt;=32),"1개월",
 AND(K6891=0),"당월",
 TRUE,"그외"
)</f>
        <v>3개월</v>
      </c>
    </row>
    <row r="6892" spans="1:12" x14ac:dyDescent="0.3">
      <c r="A6892" s="5">
        <v>45809</v>
      </c>
      <c r="B6892" s="6" t="s">
        <v>12</v>
      </c>
      <c r="C6892" s="6" t="s">
        <v>13</v>
      </c>
      <c r="D6892" s="5">
        <v>45748</v>
      </c>
      <c r="E6892" s="6" t="s">
        <v>14</v>
      </c>
      <c r="F6892" s="7">
        <v>506</v>
      </c>
      <c r="G6892" s="7">
        <v>64884.553359683792</v>
      </c>
      <c r="H6892" s="7">
        <v>32831584</v>
      </c>
      <c r="I6892" s="7">
        <v>4455000</v>
      </c>
      <c r="J6892" s="7">
        <v>405000</v>
      </c>
      <c r="K6892">
        <f t="shared" si="107"/>
        <v>61</v>
      </c>
      <c r="L6892" s="8" t="str" cm="1">
        <f t="array" ref="L6892">_xlfn.IFS(
 AND(K6892&gt;=89,K6892&lt;=92),"3개월",
 AND(K6892&gt;=58,K6892&lt;=62),"2개월",
 AND(K6892&gt;=28,K6892&lt;=32),"1개월",
 AND(K6892=0),"당월",
 TRUE,"그외"
)</f>
        <v>2개월</v>
      </c>
    </row>
    <row r="6893" spans="1:12" x14ac:dyDescent="0.3">
      <c r="A6893" s="5">
        <v>45809</v>
      </c>
      <c r="B6893" s="6" t="s">
        <v>12</v>
      </c>
      <c r="C6893" s="6" t="s">
        <v>13</v>
      </c>
      <c r="D6893" s="5">
        <v>45748</v>
      </c>
      <c r="E6893" s="6" t="s">
        <v>15</v>
      </c>
      <c r="F6893" s="7">
        <v>11503</v>
      </c>
      <c r="G6893" s="7">
        <v>64935.81283143528</v>
      </c>
      <c r="H6893" s="7">
        <v>746956655</v>
      </c>
      <c r="I6893" s="7">
        <v>100155000</v>
      </c>
      <c r="J6893" s="7">
        <v>9105000</v>
      </c>
      <c r="K6893">
        <f t="shared" si="107"/>
        <v>61</v>
      </c>
      <c r="L6893" s="8" t="str" cm="1">
        <f t="array" ref="L6893">_xlfn.IFS(
 AND(K6893&gt;=89,K6893&lt;=92),"3개월",
 AND(K6893&gt;=58,K6893&lt;=62),"2개월",
 AND(K6893&gt;=28,K6893&lt;=32),"1개월",
 AND(K6893=0),"당월",
 TRUE,"그외"
)</f>
        <v>2개월</v>
      </c>
    </row>
    <row r="6894" spans="1:12" x14ac:dyDescent="0.3">
      <c r="A6894" s="5">
        <v>45809</v>
      </c>
      <c r="B6894" s="6" t="s">
        <v>12</v>
      </c>
      <c r="C6894" s="6" t="s">
        <v>13</v>
      </c>
      <c r="D6894" s="5">
        <v>45778</v>
      </c>
      <c r="E6894" s="6" t="s">
        <v>14</v>
      </c>
      <c r="F6894" s="7">
        <v>342</v>
      </c>
      <c r="G6894" s="7">
        <v>78869.719298245618</v>
      </c>
      <c r="H6894" s="7">
        <v>26973444</v>
      </c>
      <c r="I6894" s="7">
        <v>3009600</v>
      </c>
      <c r="J6894" s="7">
        <v>273600</v>
      </c>
      <c r="K6894">
        <f t="shared" si="107"/>
        <v>31</v>
      </c>
      <c r="L6894" s="8" t="str" cm="1">
        <f t="array" ref="L6894">_xlfn.IFS(
 AND(K6894&gt;=89,K6894&lt;=92),"3개월",
 AND(K6894&gt;=58,K6894&lt;=62),"2개월",
 AND(K6894&gt;=28,K6894&lt;=32),"1개월",
 AND(K6894=0),"당월",
 TRUE,"그외"
)</f>
        <v>1개월</v>
      </c>
    </row>
    <row r="6895" spans="1:12" x14ac:dyDescent="0.3">
      <c r="A6895" s="5">
        <v>45809</v>
      </c>
      <c r="B6895" s="6" t="s">
        <v>12</v>
      </c>
      <c r="C6895" s="6" t="s">
        <v>13</v>
      </c>
      <c r="D6895" s="5">
        <v>45778</v>
      </c>
      <c r="E6895" s="6" t="s">
        <v>15</v>
      </c>
      <c r="F6895" s="7">
        <v>4929</v>
      </c>
      <c r="G6895" s="7">
        <v>54657.632988435791</v>
      </c>
      <c r="H6895" s="7">
        <v>269407473</v>
      </c>
      <c r="I6895" s="7">
        <v>40134600</v>
      </c>
      <c r="J6895" s="7">
        <v>3648600</v>
      </c>
      <c r="K6895">
        <f t="shared" si="107"/>
        <v>31</v>
      </c>
      <c r="L6895" s="8" t="str" cm="1">
        <f t="array" ref="L6895">_xlfn.IFS(
 AND(K6895&gt;=89,K6895&lt;=92),"3개월",
 AND(K6895&gt;=58,K6895&lt;=62),"2개월",
 AND(K6895&gt;=28,K6895&lt;=32),"1개월",
 AND(K6895=0),"당월",
 TRUE,"그외"
)</f>
        <v>1개월</v>
      </c>
    </row>
    <row r="6896" spans="1:12" x14ac:dyDescent="0.3">
      <c r="A6896" s="5">
        <v>45809</v>
      </c>
      <c r="B6896" s="6" t="s">
        <v>12</v>
      </c>
      <c r="C6896" s="6" t="s">
        <v>16</v>
      </c>
      <c r="D6896" s="5">
        <v>45658</v>
      </c>
      <c r="E6896" s="6" t="s">
        <v>14</v>
      </c>
      <c r="F6896" s="7">
        <v>103</v>
      </c>
      <c r="G6896" s="7">
        <v>86129.757281553393</v>
      </c>
      <c r="H6896" s="7">
        <v>8871365</v>
      </c>
      <c r="I6896" s="7">
        <v>906400</v>
      </c>
      <c r="J6896" s="7">
        <v>82400</v>
      </c>
      <c r="K6896">
        <f t="shared" si="107"/>
        <v>151</v>
      </c>
      <c r="L6896" s="8" t="str" cm="1">
        <f t="array" ref="L6896">_xlfn.IFS(
 AND(K6896&gt;=89,K6896&lt;=92),"3개월",
 AND(K6896&gt;=58,K6896&lt;=62),"2개월",
 AND(K6896&gt;=28,K6896&lt;=32),"1개월",
 AND(K6896=0),"당월",
 TRUE,"그외"
)</f>
        <v>그외</v>
      </c>
    </row>
    <row r="6897" spans="1:12" x14ac:dyDescent="0.3">
      <c r="A6897" s="5">
        <v>45809</v>
      </c>
      <c r="B6897" s="6" t="s">
        <v>12</v>
      </c>
      <c r="C6897" s="6" t="s">
        <v>16</v>
      </c>
      <c r="D6897" s="5">
        <v>45658</v>
      </c>
      <c r="E6897" s="6" t="s">
        <v>15</v>
      </c>
      <c r="F6897" s="7">
        <v>932</v>
      </c>
      <c r="G6897" s="7">
        <v>83504.25</v>
      </c>
      <c r="H6897" s="7">
        <v>77825961</v>
      </c>
      <c r="I6897" s="7">
        <v>8201600</v>
      </c>
      <c r="J6897" s="7">
        <v>745600</v>
      </c>
      <c r="K6897">
        <f t="shared" si="107"/>
        <v>151</v>
      </c>
      <c r="L6897" s="8" t="str" cm="1">
        <f t="array" ref="L6897">_xlfn.IFS(
 AND(K6897&gt;=89,K6897&lt;=92),"3개월",
 AND(K6897&gt;=58,K6897&lt;=62),"2개월",
 AND(K6897&gt;=28,K6897&lt;=32),"1개월",
 AND(K6897=0),"당월",
 TRUE,"그외"
)</f>
        <v>그외</v>
      </c>
    </row>
    <row r="6898" spans="1:12" x14ac:dyDescent="0.3">
      <c r="A6898" s="5">
        <v>45809</v>
      </c>
      <c r="B6898" s="6" t="s">
        <v>12</v>
      </c>
      <c r="C6898" s="6" t="s">
        <v>16</v>
      </c>
      <c r="D6898" s="5">
        <v>45689</v>
      </c>
      <c r="E6898" s="6" t="s">
        <v>14</v>
      </c>
      <c r="F6898" s="7">
        <v>144</v>
      </c>
      <c r="G6898" s="7">
        <v>82173.798611111109</v>
      </c>
      <c r="H6898" s="7">
        <v>11833027</v>
      </c>
      <c r="I6898" s="7">
        <v>1267200</v>
      </c>
      <c r="J6898" s="7">
        <v>115200</v>
      </c>
      <c r="K6898">
        <f t="shared" si="107"/>
        <v>120</v>
      </c>
      <c r="L6898" s="8" t="str" cm="1">
        <f t="array" ref="L6898">_xlfn.IFS(
 AND(K6898&gt;=89,K6898&lt;=92),"3개월",
 AND(K6898&gt;=58,K6898&lt;=62),"2개월",
 AND(K6898&gt;=28,K6898&lt;=32),"1개월",
 AND(K6898=0),"당월",
 TRUE,"그외"
)</f>
        <v>그외</v>
      </c>
    </row>
    <row r="6899" spans="1:12" x14ac:dyDescent="0.3">
      <c r="A6899" s="5">
        <v>45809</v>
      </c>
      <c r="B6899" s="6" t="s">
        <v>12</v>
      </c>
      <c r="C6899" s="6" t="s">
        <v>16</v>
      </c>
      <c r="D6899" s="5">
        <v>45689</v>
      </c>
      <c r="E6899" s="6" t="s">
        <v>15</v>
      </c>
      <c r="F6899" s="7">
        <v>1393</v>
      </c>
      <c r="G6899" s="7">
        <v>75791.17085427136</v>
      </c>
      <c r="H6899" s="7">
        <v>105577101</v>
      </c>
      <c r="I6899" s="7">
        <v>12261996</v>
      </c>
      <c r="J6899" s="7">
        <v>1112800</v>
      </c>
      <c r="K6899">
        <f t="shared" si="107"/>
        <v>120</v>
      </c>
      <c r="L6899" s="8" t="str" cm="1">
        <f t="array" ref="L6899">_xlfn.IFS(
 AND(K6899&gt;=89,K6899&lt;=92),"3개월",
 AND(K6899&gt;=58,K6899&lt;=62),"2개월",
 AND(K6899&gt;=28,K6899&lt;=32),"1개월",
 AND(K6899=0),"당월",
 TRUE,"그외"
)</f>
        <v>그외</v>
      </c>
    </row>
    <row r="6900" spans="1:12" x14ac:dyDescent="0.3">
      <c r="A6900" s="5">
        <v>45809</v>
      </c>
      <c r="B6900" s="6" t="s">
        <v>12</v>
      </c>
      <c r="C6900" s="6" t="s">
        <v>16</v>
      </c>
      <c r="D6900" s="5">
        <v>45717</v>
      </c>
      <c r="E6900" s="6" t="s">
        <v>14</v>
      </c>
      <c r="F6900" s="7">
        <v>32</v>
      </c>
      <c r="G6900" s="7">
        <v>90199.75</v>
      </c>
      <c r="H6900" s="7">
        <v>2886392</v>
      </c>
      <c r="I6900" s="7">
        <v>352000</v>
      </c>
      <c r="J6900" s="7">
        <v>32000</v>
      </c>
      <c r="K6900">
        <f t="shared" si="107"/>
        <v>92</v>
      </c>
      <c r="L6900" s="8" t="str" cm="1">
        <f t="array" ref="L6900">_xlfn.IFS(
 AND(K6900&gt;=89,K6900&lt;=92),"3개월",
 AND(K6900&gt;=58,K6900&lt;=62),"2개월",
 AND(K6900&gt;=28,K6900&lt;=32),"1개월",
 AND(K6900=0),"당월",
 TRUE,"그외"
)</f>
        <v>3개월</v>
      </c>
    </row>
    <row r="6901" spans="1:12" x14ac:dyDescent="0.3">
      <c r="A6901" s="5">
        <v>45809</v>
      </c>
      <c r="B6901" s="6" t="s">
        <v>12</v>
      </c>
      <c r="C6901" s="6" t="s">
        <v>16</v>
      </c>
      <c r="D6901" s="5">
        <v>45717</v>
      </c>
      <c r="E6901" s="6" t="s">
        <v>15</v>
      </c>
      <c r="F6901" s="7">
        <v>2970</v>
      </c>
      <c r="G6901" s="7">
        <v>75897.529629629629</v>
      </c>
      <c r="H6901" s="7">
        <v>225415663</v>
      </c>
      <c r="I6901" s="7">
        <v>32469800</v>
      </c>
      <c r="J6901" s="7">
        <v>2951800</v>
      </c>
      <c r="K6901">
        <f t="shared" si="107"/>
        <v>92</v>
      </c>
      <c r="L6901" s="8" t="str" cm="1">
        <f t="array" ref="L6901">_xlfn.IFS(
 AND(K6901&gt;=89,K6901&lt;=92),"3개월",
 AND(K6901&gt;=58,K6901&lt;=62),"2개월",
 AND(K6901&gt;=28,K6901&lt;=32),"1개월",
 AND(K6901=0),"당월",
 TRUE,"그외"
)</f>
        <v>3개월</v>
      </c>
    </row>
    <row r="6902" spans="1:12" x14ac:dyDescent="0.3">
      <c r="A6902" s="5">
        <v>45809</v>
      </c>
      <c r="B6902" s="6" t="s">
        <v>12</v>
      </c>
      <c r="C6902" s="6" t="s">
        <v>16</v>
      </c>
      <c r="D6902" s="5">
        <v>45748</v>
      </c>
      <c r="E6902" s="6" t="s">
        <v>14</v>
      </c>
      <c r="F6902" s="7">
        <v>780</v>
      </c>
      <c r="G6902" s="7">
        <v>69673.274358974362</v>
      </c>
      <c r="H6902" s="7">
        <v>54345154</v>
      </c>
      <c r="I6902" s="7">
        <v>6864000</v>
      </c>
      <c r="J6902" s="7">
        <v>624000</v>
      </c>
      <c r="K6902">
        <f t="shared" si="107"/>
        <v>61</v>
      </c>
      <c r="L6902" s="8" t="str" cm="1">
        <f t="array" ref="L6902">_xlfn.IFS(
 AND(K6902&gt;=89,K6902&lt;=92),"3개월",
 AND(K6902&gt;=58,K6902&lt;=62),"2개월",
 AND(K6902&gt;=28,K6902&lt;=32),"1개월",
 AND(K6902=0),"당월",
 TRUE,"그외"
)</f>
        <v>2개월</v>
      </c>
    </row>
    <row r="6903" spans="1:12" x14ac:dyDescent="0.3">
      <c r="A6903" s="5">
        <v>45809</v>
      </c>
      <c r="B6903" s="6" t="s">
        <v>12</v>
      </c>
      <c r="C6903" s="6" t="s">
        <v>16</v>
      </c>
      <c r="D6903" s="5">
        <v>45748</v>
      </c>
      <c r="E6903" s="6" t="s">
        <v>15</v>
      </c>
      <c r="F6903" s="7">
        <v>6969</v>
      </c>
      <c r="G6903" s="7">
        <v>65288.043334768263</v>
      </c>
      <c r="H6903" s="7">
        <v>454992374</v>
      </c>
      <c r="I6903" s="7">
        <v>61206200</v>
      </c>
      <c r="J6903" s="7">
        <v>5564200</v>
      </c>
      <c r="K6903">
        <f t="shared" si="107"/>
        <v>61</v>
      </c>
      <c r="L6903" s="8" t="str" cm="1">
        <f t="array" ref="L6903">_xlfn.IFS(
 AND(K6903&gt;=89,K6903&lt;=92),"3개월",
 AND(K6903&gt;=58,K6903&lt;=62),"2개월",
 AND(K6903&gt;=28,K6903&lt;=32),"1개월",
 AND(K6903=0),"당월",
 TRUE,"그외"
)</f>
        <v>2개월</v>
      </c>
    </row>
    <row r="6904" spans="1:12" x14ac:dyDescent="0.3">
      <c r="A6904" s="5">
        <v>45809</v>
      </c>
      <c r="B6904" s="6" t="s">
        <v>12</v>
      </c>
      <c r="C6904" s="6" t="s">
        <v>16</v>
      </c>
      <c r="D6904" s="5">
        <v>45778</v>
      </c>
      <c r="E6904" s="6" t="s">
        <v>14</v>
      </c>
      <c r="F6904" s="7">
        <v>303</v>
      </c>
      <c r="G6904" s="7">
        <v>69846</v>
      </c>
      <c r="H6904" s="7">
        <v>21163338</v>
      </c>
      <c r="I6904" s="7">
        <v>2666400</v>
      </c>
      <c r="J6904" s="7">
        <v>242400</v>
      </c>
      <c r="K6904">
        <f t="shared" si="107"/>
        <v>31</v>
      </c>
      <c r="L6904" s="8" t="str" cm="1">
        <f t="array" ref="L6904">_xlfn.IFS(
 AND(K6904&gt;=89,K6904&lt;=92),"3개월",
 AND(K6904&gt;=58,K6904&lt;=62),"2개월",
 AND(K6904&gt;=28,K6904&lt;=32),"1개월",
 AND(K6904=0),"당월",
 TRUE,"그외"
)</f>
        <v>1개월</v>
      </c>
    </row>
    <row r="6905" spans="1:12" x14ac:dyDescent="0.3">
      <c r="A6905" s="5">
        <v>45809</v>
      </c>
      <c r="B6905" s="6" t="s">
        <v>12</v>
      </c>
      <c r="C6905" s="6" t="s">
        <v>16</v>
      </c>
      <c r="D6905" s="5">
        <v>45778</v>
      </c>
      <c r="E6905" s="6" t="s">
        <v>15</v>
      </c>
      <c r="F6905" s="7">
        <v>2496</v>
      </c>
      <c r="G6905" s="7">
        <v>53783.020032051281</v>
      </c>
      <c r="H6905" s="7">
        <v>134242418</v>
      </c>
      <c r="I6905" s="7">
        <v>21386043</v>
      </c>
      <c r="J6905" s="7">
        <v>1943000</v>
      </c>
      <c r="K6905">
        <f t="shared" si="107"/>
        <v>31</v>
      </c>
      <c r="L6905" s="8" t="str" cm="1">
        <f t="array" ref="L6905">_xlfn.IFS(
 AND(K6905&gt;=89,K6905&lt;=92),"3개월",
 AND(K6905&gt;=58,K6905&lt;=62),"2개월",
 AND(K6905&gt;=28,K6905&lt;=32),"1개월",
 AND(K6905=0),"당월",
 TRUE,"그외"
)</f>
        <v>1개월</v>
      </c>
    </row>
    <row r="6906" spans="1:12" x14ac:dyDescent="0.3">
      <c r="A6906" s="5">
        <v>45809</v>
      </c>
      <c r="B6906" s="6" t="s">
        <v>12</v>
      </c>
      <c r="C6906" s="6" t="s">
        <v>17</v>
      </c>
      <c r="D6906" s="5">
        <v>45658</v>
      </c>
      <c r="E6906" s="6" t="s">
        <v>14</v>
      </c>
      <c r="F6906" s="7">
        <v>23</v>
      </c>
      <c r="G6906" s="7">
        <v>72546</v>
      </c>
      <c r="H6906" s="7">
        <v>1668558</v>
      </c>
      <c r="I6906" s="7">
        <v>202400</v>
      </c>
      <c r="J6906" s="7">
        <v>18400</v>
      </c>
      <c r="K6906">
        <f t="shared" si="107"/>
        <v>151</v>
      </c>
      <c r="L6906" s="8" t="str" cm="1">
        <f t="array" ref="L6906">_xlfn.IFS(
 AND(K6906&gt;=89,K6906&lt;=92),"3개월",
 AND(K6906&gt;=58,K6906&lt;=62),"2개월",
 AND(K6906&gt;=28,K6906&lt;=32),"1개월",
 AND(K6906=0),"당월",
 TRUE,"그외"
)</f>
        <v>그외</v>
      </c>
    </row>
    <row r="6907" spans="1:12" x14ac:dyDescent="0.3">
      <c r="A6907" s="5">
        <v>45809</v>
      </c>
      <c r="B6907" s="6" t="s">
        <v>12</v>
      </c>
      <c r="C6907" s="6" t="s">
        <v>17</v>
      </c>
      <c r="D6907" s="5">
        <v>45658</v>
      </c>
      <c r="E6907" s="6" t="s">
        <v>15</v>
      </c>
      <c r="F6907" s="7">
        <v>502</v>
      </c>
      <c r="G6907" s="7">
        <v>70251.898406374501</v>
      </c>
      <c r="H6907" s="7">
        <v>35266453</v>
      </c>
      <c r="I6907" s="7">
        <v>4417600</v>
      </c>
      <c r="J6907" s="7">
        <v>401600</v>
      </c>
      <c r="K6907">
        <f t="shared" si="107"/>
        <v>151</v>
      </c>
      <c r="L6907" s="8" t="str" cm="1">
        <f t="array" ref="L6907">_xlfn.IFS(
 AND(K6907&gt;=89,K6907&lt;=92),"3개월",
 AND(K6907&gt;=58,K6907&lt;=62),"2개월",
 AND(K6907&gt;=28,K6907&lt;=32),"1개월",
 AND(K6907=0),"당월",
 TRUE,"그외"
)</f>
        <v>그외</v>
      </c>
    </row>
    <row r="6908" spans="1:12" x14ac:dyDescent="0.3">
      <c r="A6908" s="5">
        <v>45809</v>
      </c>
      <c r="B6908" s="6" t="s">
        <v>12</v>
      </c>
      <c r="C6908" s="6" t="s">
        <v>17</v>
      </c>
      <c r="D6908" s="5">
        <v>45689</v>
      </c>
      <c r="E6908" s="6" t="s">
        <v>14</v>
      </c>
      <c r="F6908" s="7">
        <v>33</v>
      </c>
      <c r="G6908" s="7">
        <v>70590.060606060608</v>
      </c>
      <c r="H6908" s="7">
        <v>2329472</v>
      </c>
      <c r="I6908" s="7">
        <v>290400</v>
      </c>
      <c r="J6908" s="7">
        <v>26400</v>
      </c>
      <c r="K6908">
        <f t="shared" si="107"/>
        <v>120</v>
      </c>
      <c r="L6908" s="8" t="str" cm="1">
        <f t="array" ref="L6908">_xlfn.IFS(
 AND(K6908&gt;=89,K6908&lt;=92),"3개월",
 AND(K6908&gt;=58,K6908&lt;=62),"2개월",
 AND(K6908&gt;=28,K6908&lt;=32),"1개월",
 AND(K6908=0),"당월",
 TRUE,"그외"
)</f>
        <v>그외</v>
      </c>
    </row>
    <row r="6909" spans="1:12" x14ac:dyDescent="0.3">
      <c r="A6909" s="5">
        <v>45809</v>
      </c>
      <c r="B6909" s="6" t="s">
        <v>12</v>
      </c>
      <c r="C6909" s="6" t="s">
        <v>17</v>
      </c>
      <c r="D6909" s="5">
        <v>45689</v>
      </c>
      <c r="E6909" s="6" t="s">
        <v>15</v>
      </c>
      <c r="F6909" s="7">
        <v>984</v>
      </c>
      <c r="G6909" s="7">
        <v>68591.684959349586</v>
      </c>
      <c r="H6909" s="7">
        <v>67494218</v>
      </c>
      <c r="I6909" s="7">
        <v>8659200</v>
      </c>
      <c r="J6909" s="7">
        <v>787200</v>
      </c>
      <c r="K6909">
        <f t="shared" si="107"/>
        <v>120</v>
      </c>
      <c r="L6909" s="8" t="str" cm="1">
        <f t="array" ref="L6909">_xlfn.IFS(
 AND(K6909&gt;=89,K6909&lt;=92),"3개월",
 AND(K6909&gt;=58,K6909&lt;=62),"2개월",
 AND(K6909&gt;=28,K6909&lt;=32),"1개월",
 AND(K6909=0),"당월",
 TRUE,"그외"
)</f>
        <v>그외</v>
      </c>
    </row>
    <row r="6910" spans="1:12" x14ac:dyDescent="0.3">
      <c r="A6910" s="5">
        <v>45809</v>
      </c>
      <c r="B6910" s="6" t="s">
        <v>12</v>
      </c>
      <c r="C6910" s="6" t="s">
        <v>17</v>
      </c>
      <c r="D6910" s="5">
        <v>45717</v>
      </c>
      <c r="E6910" s="6" t="s">
        <v>14</v>
      </c>
      <c r="F6910" s="7">
        <v>83</v>
      </c>
      <c r="G6910" s="7">
        <v>71917.204819277104</v>
      </c>
      <c r="H6910" s="7">
        <v>5969128</v>
      </c>
      <c r="I6910" s="7">
        <v>913000</v>
      </c>
      <c r="J6910" s="7">
        <v>83000</v>
      </c>
      <c r="K6910">
        <f t="shared" si="107"/>
        <v>92</v>
      </c>
      <c r="L6910" s="8" t="str" cm="1">
        <f t="array" ref="L6910">_xlfn.IFS(
 AND(K6910&gt;=89,K6910&lt;=92),"3개월",
 AND(K6910&gt;=58,K6910&lt;=62),"2개월",
 AND(K6910&gt;=28,K6910&lt;=32),"1개월",
 AND(K6910=0),"당월",
 TRUE,"그외"
)</f>
        <v>3개월</v>
      </c>
    </row>
    <row r="6911" spans="1:12" x14ac:dyDescent="0.3">
      <c r="A6911" s="5">
        <v>45809</v>
      </c>
      <c r="B6911" s="6" t="s">
        <v>12</v>
      </c>
      <c r="C6911" s="6" t="s">
        <v>17</v>
      </c>
      <c r="D6911" s="5">
        <v>45717</v>
      </c>
      <c r="E6911" s="6" t="s">
        <v>15</v>
      </c>
      <c r="F6911" s="7">
        <v>1559</v>
      </c>
      <c r="G6911" s="7">
        <v>64983.17511225144</v>
      </c>
      <c r="H6911" s="7">
        <v>101308770</v>
      </c>
      <c r="I6911" s="7">
        <v>17122558</v>
      </c>
      <c r="J6911" s="7">
        <v>1555000</v>
      </c>
      <c r="K6911">
        <f t="shared" si="107"/>
        <v>92</v>
      </c>
      <c r="L6911" s="8" t="str" cm="1">
        <f t="array" ref="L6911">_xlfn.IFS(
 AND(K6911&gt;=89,K6911&lt;=92),"3개월",
 AND(K6911&gt;=58,K6911&lt;=62),"2개월",
 AND(K6911&gt;=28,K6911&lt;=32),"1개월",
 AND(K6911=0),"당월",
 TRUE,"그외"
)</f>
        <v>3개월</v>
      </c>
    </row>
    <row r="6912" spans="1:12" x14ac:dyDescent="0.3">
      <c r="A6912" s="5">
        <v>45809</v>
      </c>
      <c r="B6912" s="6" t="s">
        <v>12</v>
      </c>
      <c r="C6912" s="6" t="s">
        <v>17</v>
      </c>
      <c r="D6912" s="5">
        <v>45748</v>
      </c>
      <c r="E6912" s="6" t="s">
        <v>14</v>
      </c>
      <c r="F6912" s="7">
        <v>789</v>
      </c>
      <c r="G6912" s="7">
        <v>60309.936628643853</v>
      </c>
      <c r="H6912" s="7">
        <v>47584540</v>
      </c>
      <c r="I6912" s="7">
        <v>6943200</v>
      </c>
      <c r="J6912" s="7">
        <v>631200</v>
      </c>
      <c r="K6912">
        <f t="shared" si="107"/>
        <v>61</v>
      </c>
      <c r="L6912" s="8" t="str" cm="1">
        <f t="array" ref="L6912">_xlfn.IFS(
 AND(K6912&gt;=89,K6912&lt;=92),"3개월",
 AND(K6912&gt;=58,K6912&lt;=62),"2개월",
 AND(K6912&gt;=28,K6912&lt;=32),"1개월",
 AND(K6912=0),"당월",
 TRUE,"그외"
)</f>
        <v>2개월</v>
      </c>
    </row>
    <row r="6913" spans="1:12" x14ac:dyDescent="0.3">
      <c r="A6913" s="5">
        <v>45809</v>
      </c>
      <c r="B6913" s="6" t="s">
        <v>12</v>
      </c>
      <c r="C6913" s="6" t="s">
        <v>17</v>
      </c>
      <c r="D6913" s="5">
        <v>45748</v>
      </c>
      <c r="E6913" s="6" t="s">
        <v>15</v>
      </c>
      <c r="F6913" s="7">
        <v>3609</v>
      </c>
      <c r="G6913" s="7">
        <v>56966.247991133278</v>
      </c>
      <c r="H6913" s="7">
        <v>205591189</v>
      </c>
      <c r="I6913" s="7">
        <v>31750400</v>
      </c>
      <c r="J6913" s="7">
        <v>2886400</v>
      </c>
      <c r="K6913">
        <f t="shared" si="107"/>
        <v>61</v>
      </c>
      <c r="L6913" s="8" t="str" cm="1">
        <f t="array" ref="L6913">_xlfn.IFS(
 AND(K6913&gt;=89,K6913&lt;=92),"3개월",
 AND(K6913&gt;=58,K6913&lt;=62),"2개월",
 AND(K6913&gt;=28,K6913&lt;=32),"1개월",
 AND(K6913=0),"당월",
 TRUE,"그외"
)</f>
        <v>2개월</v>
      </c>
    </row>
    <row r="6914" spans="1:12" x14ac:dyDescent="0.3">
      <c r="A6914" s="5">
        <v>45809</v>
      </c>
      <c r="B6914" s="6" t="s">
        <v>12</v>
      </c>
      <c r="C6914" s="6" t="s">
        <v>17</v>
      </c>
      <c r="D6914" s="5">
        <v>45778</v>
      </c>
      <c r="E6914" s="6" t="s">
        <v>14</v>
      </c>
      <c r="F6914" s="7">
        <v>593</v>
      </c>
      <c r="G6914" s="7">
        <v>58291.549747048914</v>
      </c>
      <c r="H6914" s="7">
        <v>34566889</v>
      </c>
      <c r="I6914" s="7">
        <v>5218400</v>
      </c>
      <c r="J6914" s="7">
        <v>474400</v>
      </c>
      <c r="K6914">
        <f t="shared" si="107"/>
        <v>31</v>
      </c>
      <c r="L6914" s="8" t="str" cm="1">
        <f t="array" ref="L6914">_xlfn.IFS(
 AND(K6914&gt;=89,K6914&lt;=92),"3개월",
 AND(K6914&gt;=58,K6914&lt;=62),"2개월",
 AND(K6914&gt;=28,K6914&lt;=32),"1개월",
 AND(K6914=0),"당월",
 TRUE,"그외"
)</f>
        <v>1개월</v>
      </c>
    </row>
    <row r="6915" spans="1:12" x14ac:dyDescent="0.3">
      <c r="A6915" s="5">
        <v>45809</v>
      </c>
      <c r="B6915" s="6" t="s">
        <v>12</v>
      </c>
      <c r="C6915" s="6" t="s">
        <v>17</v>
      </c>
      <c r="D6915" s="5">
        <v>45778</v>
      </c>
      <c r="E6915" s="6" t="s">
        <v>15</v>
      </c>
      <c r="F6915" s="7">
        <v>1581</v>
      </c>
      <c r="G6915" s="7">
        <v>49087.605945604053</v>
      </c>
      <c r="H6915" s="7">
        <v>77607505</v>
      </c>
      <c r="I6915" s="7">
        <v>13912800</v>
      </c>
      <c r="J6915" s="7">
        <v>1264800</v>
      </c>
      <c r="K6915">
        <f t="shared" si="107"/>
        <v>31</v>
      </c>
      <c r="L6915" s="8" t="str" cm="1">
        <f t="array" ref="L6915">_xlfn.IFS(
 AND(K6915&gt;=89,K6915&lt;=92),"3개월",
 AND(K6915&gt;=58,K6915&lt;=62),"2개월",
 AND(K6915&gt;=28,K6915&lt;=32),"1개월",
 AND(K6915=0),"당월",
 TRUE,"그외"
)</f>
        <v>1개월</v>
      </c>
    </row>
    <row r="6916" spans="1:12" x14ac:dyDescent="0.3">
      <c r="A6916" s="5">
        <v>45809</v>
      </c>
      <c r="B6916" s="6" t="s">
        <v>12</v>
      </c>
      <c r="C6916" s="6" t="s">
        <v>18</v>
      </c>
      <c r="D6916" s="5">
        <v>45658</v>
      </c>
      <c r="E6916" s="6" t="s">
        <v>15</v>
      </c>
      <c r="F6916" s="7">
        <v>356</v>
      </c>
      <c r="G6916" s="7">
        <v>89382.8904494382</v>
      </c>
      <c r="H6916" s="7">
        <v>31820309</v>
      </c>
      <c r="I6916" s="7">
        <v>3132800</v>
      </c>
      <c r="J6916" s="7">
        <v>284800</v>
      </c>
      <c r="K6916">
        <f t="shared" si="107"/>
        <v>151</v>
      </c>
      <c r="L6916" s="8" t="str" cm="1">
        <f t="array" ref="L6916">_xlfn.IFS(
 AND(K6916&gt;=89,K6916&lt;=92),"3개월",
 AND(K6916&gt;=58,K6916&lt;=62),"2개월",
 AND(K6916&gt;=28,K6916&lt;=32),"1개월",
 AND(K6916=0),"당월",
 TRUE,"그외"
)</f>
        <v>그외</v>
      </c>
    </row>
    <row r="6917" spans="1:12" x14ac:dyDescent="0.3">
      <c r="A6917" s="5">
        <v>45809</v>
      </c>
      <c r="B6917" s="6" t="s">
        <v>12</v>
      </c>
      <c r="C6917" s="6" t="s">
        <v>18</v>
      </c>
      <c r="D6917" s="5">
        <v>45689</v>
      </c>
      <c r="E6917" s="6" t="s">
        <v>15</v>
      </c>
      <c r="F6917" s="7">
        <v>901</v>
      </c>
      <c r="G6917" s="7">
        <v>83297.953385127636</v>
      </c>
      <c r="H6917" s="7">
        <v>75051456</v>
      </c>
      <c r="I6917" s="7">
        <v>7928800</v>
      </c>
      <c r="J6917" s="7">
        <v>720800</v>
      </c>
      <c r="K6917">
        <f t="shared" si="107"/>
        <v>120</v>
      </c>
      <c r="L6917" s="8" t="str" cm="1">
        <f t="array" ref="L6917">_xlfn.IFS(
 AND(K6917&gt;=89,K6917&lt;=92),"3개월",
 AND(K6917&gt;=58,K6917&lt;=62),"2개월",
 AND(K6917&gt;=28,K6917&lt;=32),"1개월",
 AND(K6917=0),"당월",
 TRUE,"그외"
)</f>
        <v>그외</v>
      </c>
    </row>
    <row r="6918" spans="1:12" x14ac:dyDescent="0.3">
      <c r="A6918" s="5">
        <v>45809</v>
      </c>
      <c r="B6918" s="6" t="s">
        <v>12</v>
      </c>
      <c r="C6918" s="6" t="s">
        <v>18</v>
      </c>
      <c r="D6918" s="5">
        <v>45717</v>
      </c>
      <c r="E6918" s="6" t="s">
        <v>14</v>
      </c>
      <c r="F6918" s="7">
        <v>124</v>
      </c>
      <c r="G6918" s="7">
        <v>91862.548387096773</v>
      </c>
      <c r="H6918" s="7">
        <v>11390956</v>
      </c>
      <c r="I6918" s="7">
        <v>1364000</v>
      </c>
      <c r="J6918" s="7">
        <v>124000</v>
      </c>
      <c r="K6918">
        <f t="shared" si="107"/>
        <v>92</v>
      </c>
      <c r="L6918" s="8" t="str" cm="1">
        <f t="array" ref="L6918">_xlfn.IFS(
 AND(K6918&gt;=89,K6918&lt;=92),"3개월",
 AND(K6918&gt;=58,K6918&lt;=62),"2개월",
 AND(K6918&gt;=28,K6918&lt;=32),"1개월",
 AND(K6918=0),"당월",
 TRUE,"그외"
)</f>
        <v>3개월</v>
      </c>
    </row>
    <row r="6919" spans="1:12" x14ac:dyDescent="0.3">
      <c r="A6919" s="5">
        <v>45809</v>
      </c>
      <c r="B6919" s="6" t="s">
        <v>12</v>
      </c>
      <c r="C6919" s="6" t="s">
        <v>18</v>
      </c>
      <c r="D6919" s="5">
        <v>45717</v>
      </c>
      <c r="E6919" s="6" t="s">
        <v>15</v>
      </c>
      <c r="F6919" s="7">
        <v>2834</v>
      </c>
      <c r="G6919" s="7">
        <v>74334.122794636554</v>
      </c>
      <c r="H6919" s="7">
        <v>210662904</v>
      </c>
      <c r="I6919" s="7">
        <v>31152000</v>
      </c>
      <c r="J6919" s="7">
        <v>2832000</v>
      </c>
      <c r="K6919">
        <f t="shared" si="107"/>
        <v>92</v>
      </c>
      <c r="L6919" s="8" t="str" cm="1">
        <f t="array" ref="L6919">_xlfn.IFS(
 AND(K6919&gt;=89,K6919&lt;=92),"3개월",
 AND(K6919&gt;=58,K6919&lt;=62),"2개월",
 AND(K6919&gt;=28,K6919&lt;=32),"1개월",
 AND(K6919=0),"당월",
 TRUE,"그외"
)</f>
        <v>3개월</v>
      </c>
    </row>
    <row r="6920" spans="1:12" x14ac:dyDescent="0.3">
      <c r="A6920" s="5">
        <v>45809</v>
      </c>
      <c r="B6920" s="6" t="s">
        <v>12</v>
      </c>
      <c r="C6920" s="6" t="s">
        <v>18</v>
      </c>
      <c r="D6920" s="5">
        <v>45748</v>
      </c>
      <c r="E6920" s="6" t="s">
        <v>14</v>
      </c>
      <c r="F6920" s="7">
        <v>209</v>
      </c>
      <c r="G6920" s="7">
        <v>67863.062200956934</v>
      </c>
      <c r="H6920" s="7">
        <v>14183380</v>
      </c>
      <c r="I6920" s="7">
        <v>1843600</v>
      </c>
      <c r="J6920" s="7">
        <v>167600</v>
      </c>
      <c r="K6920">
        <f t="shared" si="107"/>
        <v>61</v>
      </c>
      <c r="L6920" s="8" t="str" cm="1">
        <f t="array" ref="L6920">_xlfn.IFS(
 AND(K6920&gt;=89,K6920&lt;=92),"3개월",
 AND(K6920&gt;=58,K6920&lt;=62),"2개월",
 AND(K6920&gt;=28,K6920&lt;=32),"1개월",
 AND(K6920=0),"당월",
 TRUE,"그외"
)</f>
        <v>2개월</v>
      </c>
    </row>
    <row r="6921" spans="1:12" x14ac:dyDescent="0.3">
      <c r="A6921" s="5">
        <v>45809</v>
      </c>
      <c r="B6921" s="6" t="s">
        <v>12</v>
      </c>
      <c r="C6921" s="6" t="s">
        <v>18</v>
      </c>
      <c r="D6921" s="5">
        <v>45748</v>
      </c>
      <c r="E6921" s="6" t="s">
        <v>15</v>
      </c>
      <c r="F6921" s="7">
        <v>6929</v>
      </c>
      <c r="G6921" s="7">
        <v>65264.903016308272</v>
      </c>
      <c r="H6921" s="7">
        <v>452220513</v>
      </c>
      <c r="I6921" s="7">
        <v>61056600</v>
      </c>
      <c r="J6921" s="7">
        <v>5550600</v>
      </c>
      <c r="K6921">
        <f t="shared" si="107"/>
        <v>61</v>
      </c>
      <c r="L6921" s="8" t="str" cm="1">
        <f t="array" ref="L6921">_xlfn.IFS(
 AND(K6921&gt;=89,K6921&lt;=92),"3개월",
 AND(K6921&gt;=58,K6921&lt;=62),"2개월",
 AND(K6921&gt;=28,K6921&lt;=32),"1개월",
 AND(K6921=0),"당월",
 TRUE,"그외"
)</f>
        <v>2개월</v>
      </c>
    </row>
    <row r="6922" spans="1:12" x14ac:dyDescent="0.3">
      <c r="A6922" s="5">
        <v>45809</v>
      </c>
      <c r="B6922" s="6" t="s">
        <v>12</v>
      </c>
      <c r="C6922" s="6" t="s">
        <v>18</v>
      </c>
      <c r="D6922" s="5">
        <v>45778</v>
      </c>
      <c r="E6922" s="6" t="s">
        <v>14</v>
      </c>
      <c r="F6922" s="7">
        <v>28</v>
      </c>
      <c r="G6922" s="7">
        <v>48065.035714285717</v>
      </c>
      <c r="H6922" s="7">
        <v>1345821</v>
      </c>
      <c r="I6922" s="7">
        <v>246400</v>
      </c>
      <c r="J6922" s="7">
        <v>22400</v>
      </c>
      <c r="K6922">
        <f t="shared" ref="K6922:K6985" si="108">A6922-D6922</f>
        <v>31</v>
      </c>
      <c r="L6922" s="8" t="str" cm="1">
        <f t="array" ref="L6922">_xlfn.IFS(
 AND(K6922&gt;=89,K6922&lt;=92),"3개월",
 AND(K6922&gt;=58,K6922&lt;=62),"2개월",
 AND(K6922&gt;=28,K6922&lt;=32),"1개월",
 AND(K6922=0),"당월",
 TRUE,"그외"
)</f>
        <v>1개월</v>
      </c>
    </row>
    <row r="6923" spans="1:12" x14ac:dyDescent="0.3">
      <c r="A6923" s="5">
        <v>45809</v>
      </c>
      <c r="B6923" s="6" t="s">
        <v>12</v>
      </c>
      <c r="C6923" s="6" t="s">
        <v>18</v>
      </c>
      <c r="D6923" s="5">
        <v>45778</v>
      </c>
      <c r="E6923" s="6" t="s">
        <v>15</v>
      </c>
      <c r="F6923" s="7">
        <v>2125</v>
      </c>
      <c r="G6923" s="7">
        <v>65634.338823529411</v>
      </c>
      <c r="H6923" s="7">
        <v>139472970</v>
      </c>
      <c r="I6923" s="7">
        <v>18673600</v>
      </c>
      <c r="J6923" s="7">
        <v>1697600</v>
      </c>
      <c r="K6923">
        <f t="shared" si="108"/>
        <v>31</v>
      </c>
      <c r="L6923" s="8" t="str" cm="1">
        <f t="array" ref="L6923">_xlfn.IFS(
 AND(K6923&gt;=89,K6923&lt;=92),"3개월",
 AND(K6923&gt;=58,K6923&lt;=62),"2개월",
 AND(K6923&gt;=28,K6923&lt;=32),"1개월",
 AND(K6923=0),"당월",
 TRUE,"그외"
)</f>
        <v>1개월</v>
      </c>
    </row>
    <row r="6924" spans="1:12" x14ac:dyDescent="0.3">
      <c r="A6924" s="5">
        <v>45809</v>
      </c>
      <c r="B6924" s="6" t="s">
        <v>12</v>
      </c>
      <c r="C6924" s="6" t="s">
        <v>19</v>
      </c>
      <c r="D6924" s="5">
        <v>45658</v>
      </c>
      <c r="E6924" s="6" t="s">
        <v>15</v>
      </c>
      <c r="F6924" s="7">
        <v>4</v>
      </c>
      <c r="G6924" s="7">
        <v>65954.75</v>
      </c>
      <c r="H6924" s="7">
        <v>263819</v>
      </c>
      <c r="I6924" s="7">
        <v>35200</v>
      </c>
      <c r="J6924" s="7">
        <v>3200</v>
      </c>
      <c r="K6924">
        <f t="shared" si="108"/>
        <v>151</v>
      </c>
      <c r="L6924" s="8" t="str" cm="1">
        <f t="array" ref="L6924">_xlfn.IFS(
 AND(K6924&gt;=89,K6924&lt;=92),"3개월",
 AND(K6924&gt;=58,K6924&lt;=62),"2개월",
 AND(K6924&gt;=28,K6924&lt;=32),"1개월",
 AND(K6924=0),"당월",
 TRUE,"그외"
)</f>
        <v>그외</v>
      </c>
    </row>
    <row r="6925" spans="1:12" x14ac:dyDescent="0.3">
      <c r="A6925" s="5">
        <v>45809</v>
      </c>
      <c r="B6925" s="6" t="s">
        <v>12</v>
      </c>
      <c r="C6925" s="6" t="s">
        <v>19</v>
      </c>
      <c r="D6925" s="5">
        <v>45689</v>
      </c>
      <c r="E6925" s="6" t="s">
        <v>15</v>
      </c>
      <c r="F6925" s="7">
        <v>2</v>
      </c>
      <c r="G6925" s="7">
        <v>78910</v>
      </c>
      <c r="H6925" s="7">
        <v>157820</v>
      </c>
      <c r="I6925" s="7">
        <v>17600</v>
      </c>
      <c r="J6925" s="7">
        <v>1600</v>
      </c>
      <c r="K6925">
        <f t="shared" si="108"/>
        <v>120</v>
      </c>
      <c r="L6925" s="8" t="str" cm="1">
        <f t="array" ref="L6925">_xlfn.IFS(
 AND(K6925&gt;=89,K6925&lt;=92),"3개월",
 AND(K6925&gt;=58,K6925&lt;=62),"2개월",
 AND(K6925&gt;=28,K6925&lt;=32),"1개월",
 AND(K6925=0),"당월",
 TRUE,"그외"
)</f>
        <v>그외</v>
      </c>
    </row>
    <row r="6926" spans="1:12" x14ac:dyDescent="0.3">
      <c r="A6926" s="5">
        <v>45809</v>
      </c>
      <c r="B6926" s="6" t="s">
        <v>12</v>
      </c>
      <c r="C6926" s="6" t="s">
        <v>19</v>
      </c>
      <c r="D6926" s="5">
        <v>45717</v>
      </c>
      <c r="E6926" s="6" t="s">
        <v>15</v>
      </c>
      <c r="F6926" s="7">
        <v>42</v>
      </c>
      <c r="G6926" s="7">
        <v>76169.142857142855</v>
      </c>
      <c r="H6926" s="7">
        <v>3199104</v>
      </c>
      <c r="I6926" s="7">
        <v>462000</v>
      </c>
      <c r="J6926" s="7">
        <v>42000</v>
      </c>
      <c r="K6926">
        <f t="shared" si="108"/>
        <v>92</v>
      </c>
      <c r="L6926" s="8" t="str" cm="1">
        <f t="array" ref="L6926">_xlfn.IFS(
 AND(K6926&gt;=89,K6926&lt;=92),"3개월",
 AND(K6926&gt;=58,K6926&lt;=62),"2개월",
 AND(K6926&gt;=28,K6926&lt;=32),"1개월",
 AND(K6926=0),"당월",
 TRUE,"그외"
)</f>
        <v>3개월</v>
      </c>
    </row>
    <row r="6927" spans="1:12" x14ac:dyDescent="0.3">
      <c r="A6927" s="5">
        <v>45809</v>
      </c>
      <c r="B6927" s="6" t="s">
        <v>12</v>
      </c>
      <c r="C6927" s="6" t="s">
        <v>19</v>
      </c>
      <c r="D6927" s="5">
        <v>45748</v>
      </c>
      <c r="E6927" s="6" t="s">
        <v>15</v>
      </c>
      <c r="F6927" s="7">
        <v>395</v>
      </c>
      <c r="G6927" s="7">
        <v>53416.103797468357</v>
      </c>
      <c r="H6927" s="7">
        <v>21099361</v>
      </c>
      <c r="I6927" s="7">
        <v>3379200</v>
      </c>
      <c r="J6927" s="7">
        <v>307200</v>
      </c>
      <c r="K6927">
        <f t="shared" si="108"/>
        <v>61</v>
      </c>
      <c r="L6927" s="8" t="str" cm="1">
        <f t="array" ref="L6927">_xlfn.IFS(
 AND(K6927&gt;=89,K6927&lt;=92),"3개월",
 AND(K6927&gt;=58,K6927&lt;=62),"2개월",
 AND(K6927&gt;=28,K6927&lt;=32),"1개월",
 AND(K6927=0),"당월",
 TRUE,"그외"
)</f>
        <v>2개월</v>
      </c>
    </row>
    <row r="6928" spans="1:12" x14ac:dyDescent="0.3">
      <c r="A6928" s="5">
        <v>45809</v>
      </c>
      <c r="B6928" s="6" t="s">
        <v>12</v>
      </c>
      <c r="C6928" s="6" t="s">
        <v>19</v>
      </c>
      <c r="D6928" s="5">
        <v>45778</v>
      </c>
      <c r="E6928" s="6" t="s">
        <v>15</v>
      </c>
      <c r="F6928" s="7">
        <v>321</v>
      </c>
      <c r="G6928" s="7">
        <v>43330.348909657318</v>
      </c>
      <c r="H6928" s="7">
        <v>13909042</v>
      </c>
      <c r="I6928" s="7">
        <v>2261600</v>
      </c>
      <c r="J6928" s="7">
        <v>205600</v>
      </c>
      <c r="K6928">
        <f t="shared" si="108"/>
        <v>31</v>
      </c>
      <c r="L6928" s="8" t="str" cm="1">
        <f t="array" ref="L6928">_xlfn.IFS(
 AND(K6928&gt;=89,K6928&lt;=92),"3개월",
 AND(K6928&gt;=58,K6928&lt;=62),"2개월",
 AND(K6928&gt;=28,K6928&lt;=32),"1개월",
 AND(K6928=0),"당월",
 TRUE,"그외"
)</f>
        <v>1개월</v>
      </c>
    </row>
    <row r="6929" spans="1:12" x14ac:dyDescent="0.3">
      <c r="A6929" s="5">
        <v>45809</v>
      </c>
      <c r="B6929" s="6" t="s">
        <v>20</v>
      </c>
      <c r="C6929" s="6" t="s">
        <v>22</v>
      </c>
      <c r="D6929" s="5">
        <v>45627</v>
      </c>
      <c r="E6929" s="6" t="s">
        <v>15</v>
      </c>
      <c r="F6929" s="7">
        <v>8</v>
      </c>
      <c r="G6929" s="7">
        <v>226100</v>
      </c>
      <c r="H6929" s="7">
        <v>1808800</v>
      </c>
      <c r="I6929" s="7">
        <v>88800</v>
      </c>
      <c r="J6929" s="7">
        <v>0</v>
      </c>
      <c r="K6929">
        <f t="shared" si="108"/>
        <v>182</v>
      </c>
      <c r="L6929" s="8" t="str" cm="1">
        <f t="array" ref="L6929">_xlfn.IFS(
 AND(K6929&gt;=89,K6929&lt;=92),"3개월",
 AND(K6929&gt;=58,K6929&lt;=62),"2개월",
 AND(K6929&gt;=28,K6929&lt;=32),"1개월",
 AND(K6929=0),"당월",
 TRUE,"그외"
)</f>
        <v>그외</v>
      </c>
    </row>
    <row r="6930" spans="1:12" x14ac:dyDescent="0.3">
      <c r="A6930" s="5">
        <v>45809</v>
      </c>
      <c r="B6930" s="6" t="s">
        <v>20</v>
      </c>
      <c r="C6930" s="6" t="s">
        <v>22</v>
      </c>
      <c r="D6930" s="5">
        <v>45658</v>
      </c>
      <c r="E6930" s="6" t="s">
        <v>14</v>
      </c>
      <c r="F6930" s="7">
        <v>4</v>
      </c>
      <c r="G6930" s="7">
        <v>103369</v>
      </c>
      <c r="H6930" s="7">
        <v>413476</v>
      </c>
      <c r="I6930" s="7">
        <v>115476</v>
      </c>
      <c r="J6930" s="7">
        <v>0</v>
      </c>
      <c r="K6930">
        <f t="shared" si="108"/>
        <v>151</v>
      </c>
      <c r="L6930" s="8" t="str" cm="1">
        <f t="array" ref="L6930">_xlfn.IFS(
 AND(K6930&gt;=89,K6930&lt;=92),"3개월",
 AND(K6930&gt;=58,K6930&lt;=62),"2개월",
 AND(K6930&gt;=28,K6930&lt;=32),"1개월",
 AND(K6930=0),"당월",
 TRUE,"그외"
)</f>
        <v>그외</v>
      </c>
    </row>
    <row r="6931" spans="1:12" x14ac:dyDescent="0.3">
      <c r="A6931" s="5">
        <v>45809</v>
      </c>
      <c r="B6931" s="6" t="s">
        <v>20</v>
      </c>
      <c r="C6931" s="6" t="s">
        <v>22</v>
      </c>
      <c r="D6931" s="5">
        <v>45658</v>
      </c>
      <c r="E6931" s="6" t="s">
        <v>15</v>
      </c>
      <c r="F6931" s="7">
        <v>749</v>
      </c>
      <c r="G6931" s="7">
        <v>119287.476635514</v>
      </c>
      <c r="H6931" s="7">
        <v>89346320</v>
      </c>
      <c r="I6931" s="7">
        <v>12176051</v>
      </c>
      <c r="J6931" s="7">
        <v>0</v>
      </c>
      <c r="K6931">
        <f t="shared" si="108"/>
        <v>151</v>
      </c>
      <c r="L6931" s="8" t="str" cm="1">
        <f t="array" ref="L6931">_xlfn.IFS(
 AND(K6931&gt;=89,K6931&lt;=92),"3개월",
 AND(K6931&gt;=58,K6931&lt;=62),"2개월",
 AND(K6931&gt;=28,K6931&lt;=32),"1개월",
 AND(K6931=0),"당월",
 TRUE,"그외"
)</f>
        <v>그외</v>
      </c>
    </row>
    <row r="6932" spans="1:12" x14ac:dyDescent="0.3">
      <c r="A6932" s="5">
        <v>45809</v>
      </c>
      <c r="B6932" s="6" t="s">
        <v>20</v>
      </c>
      <c r="C6932" s="6" t="s">
        <v>22</v>
      </c>
      <c r="D6932" s="5">
        <v>45689</v>
      </c>
      <c r="E6932" s="6" t="s">
        <v>14</v>
      </c>
      <c r="F6932" s="7">
        <v>6</v>
      </c>
      <c r="G6932" s="7">
        <v>102353</v>
      </c>
      <c r="H6932" s="7">
        <v>614118</v>
      </c>
      <c r="I6932" s="7">
        <v>212404</v>
      </c>
      <c r="J6932" s="7">
        <v>0</v>
      </c>
      <c r="K6932">
        <f t="shared" si="108"/>
        <v>120</v>
      </c>
      <c r="L6932" s="8" t="str" cm="1">
        <f t="array" ref="L6932">_xlfn.IFS(
 AND(K6932&gt;=89,K6932&lt;=92),"3개월",
 AND(K6932&gt;=58,K6932&lt;=62),"2개월",
 AND(K6932&gt;=28,K6932&lt;=32),"1개월",
 AND(K6932=0),"당월",
 TRUE,"그외"
)</f>
        <v>그외</v>
      </c>
    </row>
    <row r="6933" spans="1:12" x14ac:dyDescent="0.3">
      <c r="A6933" s="5">
        <v>45809</v>
      </c>
      <c r="B6933" s="6" t="s">
        <v>20</v>
      </c>
      <c r="C6933" s="6" t="s">
        <v>22</v>
      </c>
      <c r="D6933" s="5">
        <v>45689</v>
      </c>
      <c r="E6933" s="6" t="s">
        <v>15</v>
      </c>
      <c r="F6933" s="7">
        <v>1255</v>
      </c>
      <c r="G6933" s="7">
        <v>118676.02231075701</v>
      </c>
      <c r="H6933" s="7">
        <v>148938408</v>
      </c>
      <c r="I6933" s="7">
        <v>20191801</v>
      </c>
      <c r="J6933" s="7">
        <v>0</v>
      </c>
      <c r="K6933">
        <f t="shared" si="108"/>
        <v>120</v>
      </c>
      <c r="L6933" s="8" t="str" cm="1">
        <f t="array" ref="L6933">_xlfn.IFS(
 AND(K6933&gt;=89,K6933&lt;=92),"3개월",
 AND(K6933&gt;=58,K6933&lt;=62),"2개월",
 AND(K6933&gt;=28,K6933&lt;=32),"1개월",
 AND(K6933=0),"당월",
 TRUE,"그외"
)</f>
        <v>그외</v>
      </c>
    </row>
    <row r="6934" spans="1:12" x14ac:dyDescent="0.3">
      <c r="A6934" s="5">
        <v>45809</v>
      </c>
      <c r="B6934" s="6" t="s">
        <v>20</v>
      </c>
      <c r="C6934" s="6" t="s">
        <v>22</v>
      </c>
      <c r="D6934" s="5">
        <v>45717</v>
      </c>
      <c r="E6934" s="6" t="s">
        <v>14</v>
      </c>
      <c r="F6934" s="7">
        <v>44</v>
      </c>
      <c r="G6934" s="7">
        <v>89257.568181818177</v>
      </c>
      <c r="H6934" s="7">
        <v>3927333</v>
      </c>
      <c r="I6934" s="7">
        <v>1011339</v>
      </c>
      <c r="J6934" s="7">
        <v>0</v>
      </c>
      <c r="K6934">
        <f t="shared" si="108"/>
        <v>92</v>
      </c>
      <c r="L6934" s="8" t="str" cm="1">
        <f t="array" ref="L6934">_xlfn.IFS(
 AND(K6934&gt;=89,K6934&lt;=92),"3개월",
 AND(K6934&gt;=58,K6934&lt;=62),"2개월",
 AND(K6934&gt;=28,K6934&lt;=32),"1개월",
 AND(K6934=0),"당월",
 TRUE,"그외"
)</f>
        <v>3개월</v>
      </c>
    </row>
    <row r="6935" spans="1:12" x14ac:dyDescent="0.3">
      <c r="A6935" s="5">
        <v>45809</v>
      </c>
      <c r="B6935" s="6" t="s">
        <v>20</v>
      </c>
      <c r="C6935" s="6" t="s">
        <v>22</v>
      </c>
      <c r="D6935" s="5">
        <v>45717</v>
      </c>
      <c r="E6935" s="6" t="s">
        <v>15</v>
      </c>
      <c r="F6935" s="7">
        <v>1429</v>
      </c>
      <c r="G6935" s="7">
        <v>145782.66550034989</v>
      </c>
      <c r="H6935" s="7">
        <v>208323429</v>
      </c>
      <c r="I6935" s="7">
        <v>26443973</v>
      </c>
      <c r="J6935" s="7">
        <v>0</v>
      </c>
      <c r="K6935">
        <f t="shared" si="108"/>
        <v>92</v>
      </c>
      <c r="L6935" s="8" t="str" cm="1">
        <f t="array" ref="L6935">_xlfn.IFS(
 AND(K6935&gt;=89,K6935&lt;=92),"3개월",
 AND(K6935&gt;=58,K6935&lt;=62),"2개월",
 AND(K6935&gt;=28,K6935&lt;=32),"1개월",
 AND(K6935=0),"당월",
 TRUE,"그외"
)</f>
        <v>3개월</v>
      </c>
    </row>
    <row r="6936" spans="1:12" x14ac:dyDescent="0.3">
      <c r="A6936" s="5">
        <v>45809</v>
      </c>
      <c r="B6936" s="6" t="s">
        <v>20</v>
      </c>
      <c r="C6936" s="6" t="s">
        <v>22</v>
      </c>
      <c r="D6936" s="5">
        <v>45748</v>
      </c>
      <c r="E6936" s="6" t="s">
        <v>14</v>
      </c>
      <c r="F6936" s="7">
        <v>81</v>
      </c>
      <c r="G6936" s="7">
        <v>126437.56790123459</v>
      </c>
      <c r="H6936" s="7">
        <v>10241443</v>
      </c>
      <c r="I6936" s="7">
        <v>1256072</v>
      </c>
      <c r="J6936" s="7">
        <v>0</v>
      </c>
      <c r="K6936">
        <f t="shared" si="108"/>
        <v>61</v>
      </c>
      <c r="L6936" s="8" t="str" cm="1">
        <f t="array" ref="L6936">_xlfn.IFS(
 AND(K6936&gt;=89,K6936&lt;=92),"3개월",
 AND(K6936&gt;=58,K6936&lt;=62),"2개월",
 AND(K6936&gt;=28,K6936&lt;=32),"1개월",
 AND(K6936=0),"당월",
 TRUE,"그외"
)</f>
        <v>2개월</v>
      </c>
    </row>
    <row r="6937" spans="1:12" x14ac:dyDescent="0.3">
      <c r="A6937" s="5">
        <v>45809</v>
      </c>
      <c r="B6937" s="6" t="s">
        <v>20</v>
      </c>
      <c r="C6937" s="6" t="s">
        <v>22</v>
      </c>
      <c r="D6937" s="5">
        <v>45748</v>
      </c>
      <c r="E6937" s="6" t="s">
        <v>15</v>
      </c>
      <c r="F6937" s="7">
        <v>3223</v>
      </c>
      <c r="G6937" s="7">
        <v>112265.5494880546</v>
      </c>
      <c r="H6937" s="7">
        <v>361831866</v>
      </c>
      <c r="I6937" s="7">
        <v>48492320</v>
      </c>
      <c r="J6937" s="7">
        <v>0</v>
      </c>
      <c r="K6937">
        <f t="shared" si="108"/>
        <v>61</v>
      </c>
      <c r="L6937" s="8" t="str" cm="1">
        <f t="array" ref="L6937">_xlfn.IFS(
 AND(K6937&gt;=89,K6937&lt;=92),"3개월",
 AND(K6937&gt;=58,K6937&lt;=62),"2개월",
 AND(K6937&gt;=28,K6937&lt;=32),"1개월",
 AND(K6937=0),"당월",
 TRUE,"그외"
)</f>
        <v>2개월</v>
      </c>
    </row>
    <row r="6938" spans="1:12" x14ac:dyDescent="0.3">
      <c r="A6938" s="5">
        <v>45809</v>
      </c>
      <c r="B6938" s="6" t="s">
        <v>20</v>
      </c>
      <c r="C6938" s="6" t="s">
        <v>22</v>
      </c>
      <c r="D6938" s="5">
        <v>45778</v>
      </c>
      <c r="E6938" s="6" t="s">
        <v>14</v>
      </c>
      <c r="F6938" s="7">
        <v>2</v>
      </c>
      <c r="G6938" s="7">
        <v>106915</v>
      </c>
      <c r="H6938" s="7">
        <v>213830</v>
      </c>
      <c r="I6938" s="7">
        <v>86318</v>
      </c>
      <c r="J6938" s="7">
        <v>0</v>
      </c>
      <c r="K6938">
        <f t="shared" si="108"/>
        <v>31</v>
      </c>
      <c r="L6938" s="8" t="str" cm="1">
        <f t="array" ref="L6938">_xlfn.IFS(
 AND(K6938&gt;=89,K6938&lt;=92),"3개월",
 AND(K6938&gt;=58,K6938&lt;=62),"2개월",
 AND(K6938&gt;=28,K6938&lt;=32),"1개월",
 AND(K6938=0),"당월",
 TRUE,"그외"
)</f>
        <v>1개월</v>
      </c>
    </row>
    <row r="6939" spans="1:12" x14ac:dyDescent="0.3">
      <c r="A6939" s="5">
        <v>45809</v>
      </c>
      <c r="B6939" s="6" t="s">
        <v>20</v>
      </c>
      <c r="C6939" s="6" t="s">
        <v>22</v>
      </c>
      <c r="D6939" s="5">
        <v>45778</v>
      </c>
      <c r="E6939" s="6" t="s">
        <v>15</v>
      </c>
      <c r="F6939" s="7">
        <v>1490</v>
      </c>
      <c r="G6939" s="7">
        <v>89072.043624161073</v>
      </c>
      <c r="H6939" s="7">
        <v>132717345</v>
      </c>
      <c r="I6939" s="7">
        <v>18098313</v>
      </c>
      <c r="J6939" s="7">
        <v>0</v>
      </c>
      <c r="K6939">
        <f t="shared" si="108"/>
        <v>31</v>
      </c>
      <c r="L6939" s="8" t="str" cm="1">
        <f t="array" ref="L6939">_xlfn.IFS(
 AND(K6939&gt;=89,K6939&lt;=92),"3개월",
 AND(K6939&gt;=58,K6939&lt;=62),"2개월",
 AND(K6939&gt;=28,K6939&lt;=32),"1개월",
 AND(K6939=0),"당월",
 TRUE,"그외"
)</f>
        <v>1개월</v>
      </c>
    </row>
    <row r="6940" spans="1:12" x14ac:dyDescent="0.3">
      <c r="A6940" s="5">
        <v>45809</v>
      </c>
      <c r="B6940" s="6" t="s">
        <v>20</v>
      </c>
      <c r="C6940" s="6" t="s">
        <v>23</v>
      </c>
      <c r="D6940" s="5">
        <v>45658</v>
      </c>
      <c r="E6940" s="6" t="s">
        <v>15</v>
      </c>
      <c r="F6940" s="7">
        <v>37</v>
      </c>
      <c r="G6940" s="7">
        <v>164200.75675675669</v>
      </c>
      <c r="H6940" s="7">
        <v>6075428</v>
      </c>
      <c r="I6940" s="7">
        <v>488471</v>
      </c>
      <c r="J6940" s="7">
        <v>0</v>
      </c>
      <c r="K6940">
        <f t="shared" si="108"/>
        <v>151</v>
      </c>
      <c r="L6940" s="8" t="str" cm="1">
        <f t="array" ref="L6940">_xlfn.IFS(
 AND(K6940&gt;=89,K6940&lt;=92),"3개월",
 AND(K6940&gt;=58,K6940&lt;=62),"2개월",
 AND(K6940&gt;=28,K6940&lt;=32),"1개월",
 AND(K6940=0),"당월",
 TRUE,"그외"
)</f>
        <v>그외</v>
      </c>
    </row>
    <row r="6941" spans="1:12" x14ac:dyDescent="0.3">
      <c r="A6941" s="5">
        <v>45809</v>
      </c>
      <c r="B6941" s="6" t="s">
        <v>20</v>
      </c>
      <c r="C6941" s="6" t="s">
        <v>23</v>
      </c>
      <c r="D6941" s="5">
        <v>45689</v>
      </c>
      <c r="E6941" s="6" t="s">
        <v>15</v>
      </c>
      <c r="F6941" s="7">
        <v>206</v>
      </c>
      <c r="G6941" s="7">
        <v>151585.99514563111</v>
      </c>
      <c r="H6941" s="7">
        <v>31226715</v>
      </c>
      <c r="I6941" s="7">
        <v>2686878</v>
      </c>
      <c r="J6941" s="7">
        <v>0</v>
      </c>
      <c r="K6941">
        <f t="shared" si="108"/>
        <v>120</v>
      </c>
      <c r="L6941" s="8" t="str" cm="1">
        <f t="array" ref="L6941">_xlfn.IFS(
 AND(K6941&gt;=89,K6941&lt;=92),"3개월",
 AND(K6941&gt;=58,K6941&lt;=62),"2개월",
 AND(K6941&gt;=28,K6941&lt;=32),"1개월",
 AND(K6941=0),"당월",
 TRUE,"그외"
)</f>
        <v>그외</v>
      </c>
    </row>
    <row r="6942" spans="1:12" x14ac:dyDescent="0.3">
      <c r="A6942" s="5">
        <v>45809</v>
      </c>
      <c r="B6942" s="6" t="s">
        <v>20</v>
      </c>
      <c r="C6942" s="6" t="s">
        <v>23</v>
      </c>
      <c r="D6942" s="5">
        <v>45717</v>
      </c>
      <c r="E6942" s="6" t="s">
        <v>14</v>
      </c>
      <c r="F6942" s="7">
        <v>26</v>
      </c>
      <c r="G6942" s="7">
        <v>98000</v>
      </c>
      <c r="H6942" s="7">
        <v>2548000</v>
      </c>
      <c r="I6942" s="7">
        <v>338000</v>
      </c>
      <c r="J6942" s="7">
        <v>0</v>
      </c>
      <c r="K6942">
        <f t="shared" si="108"/>
        <v>92</v>
      </c>
      <c r="L6942" s="8" t="str" cm="1">
        <f t="array" ref="L6942">_xlfn.IFS(
 AND(K6942&gt;=89,K6942&lt;=92),"3개월",
 AND(K6942&gt;=58,K6942&lt;=62),"2개월",
 AND(K6942&gt;=28,K6942&lt;=32),"1개월",
 AND(K6942=0),"당월",
 TRUE,"그외"
)</f>
        <v>3개월</v>
      </c>
    </row>
    <row r="6943" spans="1:12" x14ac:dyDescent="0.3">
      <c r="A6943" s="5">
        <v>45809</v>
      </c>
      <c r="B6943" s="6" t="s">
        <v>20</v>
      </c>
      <c r="C6943" s="6" t="s">
        <v>23</v>
      </c>
      <c r="D6943" s="5">
        <v>45717</v>
      </c>
      <c r="E6943" s="6" t="s">
        <v>15</v>
      </c>
      <c r="F6943" s="7">
        <v>1158</v>
      </c>
      <c r="G6943" s="7">
        <v>105655.8937823834</v>
      </c>
      <c r="H6943" s="7">
        <v>122349525</v>
      </c>
      <c r="I6943" s="7">
        <v>21439697</v>
      </c>
      <c r="J6943" s="7">
        <v>0</v>
      </c>
      <c r="K6943">
        <f t="shared" si="108"/>
        <v>92</v>
      </c>
      <c r="L6943" s="8" t="str" cm="1">
        <f t="array" ref="L6943">_xlfn.IFS(
 AND(K6943&gt;=89,K6943&lt;=92),"3개월",
 AND(K6943&gt;=58,K6943&lt;=62),"2개월",
 AND(K6943&gt;=28,K6943&lt;=32),"1개월",
 AND(K6943=0),"당월",
 TRUE,"그외"
)</f>
        <v>3개월</v>
      </c>
    </row>
    <row r="6944" spans="1:12" x14ac:dyDescent="0.3">
      <c r="A6944" s="5">
        <v>45809</v>
      </c>
      <c r="B6944" s="6" t="s">
        <v>20</v>
      </c>
      <c r="C6944" s="6" t="s">
        <v>23</v>
      </c>
      <c r="D6944" s="5">
        <v>45748</v>
      </c>
      <c r="E6944" s="6" t="s">
        <v>14</v>
      </c>
      <c r="F6944" s="7">
        <v>64</v>
      </c>
      <c r="G6944" s="7">
        <v>66506.25</v>
      </c>
      <c r="H6944" s="7">
        <v>4256400</v>
      </c>
      <c r="I6944" s="7">
        <v>646400</v>
      </c>
      <c r="J6944" s="7">
        <v>0</v>
      </c>
      <c r="K6944">
        <f t="shared" si="108"/>
        <v>61</v>
      </c>
      <c r="L6944" s="8" t="str" cm="1">
        <f t="array" ref="L6944">_xlfn.IFS(
 AND(K6944&gt;=89,K6944&lt;=92),"3개월",
 AND(K6944&gt;=58,K6944&lt;=62),"2개월",
 AND(K6944&gt;=28,K6944&lt;=32),"1개월",
 AND(K6944=0),"당월",
 TRUE,"그외"
)</f>
        <v>2개월</v>
      </c>
    </row>
    <row r="6945" spans="1:12" x14ac:dyDescent="0.3">
      <c r="A6945" s="5">
        <v>45809</v>
      </c>
      <c r="B6945" s="6" t="s">
        <v>20</v>
      </c>
      <c r="C6945" s="6" t="s">
        <v>23</v>
      </c>
      <c r="D6945" s="5">
        <v>45748</v>
      </c>
      <c r="E6945" s="6" t="s">
        <v>15</v>
      </c>
      <c r="F6945" s="7">
        <v>1877</v>
      </c>
      <c r="G6945" s="7">
        <v>88506.759190197117</v>
      </c>
      <c r="H6945" s="7">
        <v>166127187</v>
      </c>
      <c r="I6945" s="7">
        <v>34918551</v>
      </c>
      <c r="J6945" s="7">
        <v>0</v>
      </c>
      <c r="K6945">
        <f t="shared" si="108"/>
        <v>61</v>
      </c>
      <c r="L6945" s="8" t="str" cm="1">
        <f t="array" ref="L6945">_xlfn.IFS(
 AND(K6945&gt;=89,K6945&lt;=92),"3개월",
 AND(K6945&gt;=58,K6945&lt;=62),"2개월",
 AND(K6945&gt;=28,K6945&lt;=32),"1개월",
 AND(K6945=0),"당월",
 TRUE,"그외"
)</f>
        <v>2개월</v>
      </c>
    </row>
    <row r="6946" spans="1:12" x14ac:dyDescent="0.3">
      <c r="A6946" s="5">
        <v>45809</v>
      </c>
      <c r="B6946" s="6" t="s">
        <v>20</v>
      </c>
      <c r="C6946" s="6" t="s">
        <v>23</v>
      </c>
      <c r="D6946" s="5">
        <v>45778</v>
      </c>
      <c r="E6946" s="6" t="s">
        <v>14</v>
      </c>
      <c r="F6946" s="7">
        <v>14</v>
      </c>
      <c r="G6946" s="7">
        <v>58014.285714285717</v>
      </c>
      <c r="H6946" s="7">
        <v>812200</v>
      </c>
      <c r="I6946" s="7">
        <v>102200</v>
      </c>
      <c r="J6946" s="7">
        <v>0</v>
      </c>
      <c r="K6946">
        <f t="shared" si="108"/>
        <v>31</v>
      </c>
      <c r="L6946" s="8" t="str" cm="1">
        <f t="array" ref="L6946">_xlfn.IFS(
 AND(K6946&gt;=89,K6946&lt;=92),"3개월",
 AND(K6946&gt;=58,K6946&lt;=62),"2개월",
 AND(K6946&gt;=28,K6946&lt;=32),"1개월",
 AND(K6946=0),"당월",
 TRUE,"그외"
)</f>
        <v>1개월</v>
      </c>
    </row>
    <row r="6947" spans="1:12" x14ac:dyDescent="0.3">
      <c r="A6947" s="5">
        <v>45809</v>
      </c>
      <c r="B6947" s="6" t="s">
        <v>20</v>
      </c>
      <c r="C6947" s="6" t="s">
        <v>23</v>
      </c>
      <c r="D6947" s="5">
        <v>45778</v>
      </c>
      <c r="E6947" s="6" t="s">
        <v>15</v>
      </c>
      <c r="F6947" s="7">
        <v>629</v>
      </c>
      <c r="G6947" s="7">
        <v>76871.869634340226</v>
      </c>
      <c r="H6947" s="7">
        <v>48352406</v>
      </c>
      <c r="I6947" s="7">
        <v>8956607</v>
      </c>
      <c r="J6947" s="7">
        <v>0</v>
      </c>
      <c r="K6947">
        <f t="shared" si="108"/>
        <v>31</v>
      </c>
      <c r="L6947" s="8" t="str" cm="1">
        <f t="array" ref="L6947">_xlfn.IFS(
 AND(K6947&gt;=89,K6947&lt;=92),"3개월",
 AND(K6947&gt;=58,K6947&lt;=62),"2개월",
 AND(K6947&gt;=28,K6947&lt;=32),"1개월",
 AND(K6947=0),"당월",
 TRUE,"그외"
)</f>
        <v>1개월</v>
      </c>
    </row>
    <row r="6948" spans="1:12" x14ac:dyDescent="0.3">
      <c r="A6948" s="5">
        <v>45809</v>
      </c>
      <c r="B6948" s="6" t="s">
        <v>20</v>
      </c>
      <c r="C6948" s="6" t="s">
        <v>24</v>
      </c>
      <c r="D6948" s="5">
        <v>45627</v>
      </c>
      <c r="E6948" s="6" t="s">
        <v>15</v>
      </c>
      <c r="F6948" s="7">
        <v>105</v>
      </c>
      <c r="G6948" s="7">
        <v>156239.56190476191</v>
      </c>
      <c r="H6948" s="7">
        <v>16405154</v>
      </c>
      <c r="I6948" s="7">
        <v>1253665</v>
      </c>
      <c r="J6948" s="7">
        <v>0</v>
      </c>
      <c r="K6948">
        <f t="shared" si="108"/>
        <v>182</v>
      </c>
      <c r="L6948" s="8" t="str" cm="1">
        <f t="array" ref="L6948">_xlfn.IFS(
 AND(K6948&gt;=89,K6948&lt;=92),"3개월",
 AND(K6948&gt;=58,K6948&lt;=62),"2개월",
 AND(K6948&gt;=28,K6948&lt;=32),"1개월",
 AND(K6948=0),"당월",
 TRUE,"그외"
)</f>
        <v>그외</v>
      </c>
    </row>
    <row r="6949" spans="1:12" x14ac:dyDescent="0.3">
      <c r="A6949" s="5">
        <v>45809</v>
      </c>
      <c r="B6949" s="6" t="s">
        <v>20</v>
      </c>
      <c r="C6949" s="6" t="s">
        <v>24</v>
      </c>
      <c r="D6949" s="5">
        <v>45658</v>
      </c>
      <c r="E6949" s="6" t="s">
        <v>15</v>
      </c>
      <c r="F6949" s="7">
        <v>353</v>
      </c>
      <c r="G6949" s="7">
        <v>130849.8016997167</v>
      </c>
      <c r="H6949" s="7">
        <v>46189980</v>
      </c>
      <c r="I6949" s="7">
        <v>4532795</v>
      </c>
      <c r="J6949" s="7">
        <v>0</v>
      </c>
      <c r="K6949">
        <f t="shared" si="108"/>
        <v>151</v>
      </c>
      <c r="L6949" s="8" t="str" cm="1">
        <f t="array" ref="L6949">_xlfn.IFS(
 AND(K6949&gt;=89,K6949&lt;=92),"3개월",
 AND(K6949&gt;=58,K6949&lt;=62),"2개월",
 AND(K6949&gt;=28,K6949&lt;=32),"1개월",
 AND(K6949=0),"당월",
 TRUE,"그외"
)</f>
        <v>그외</v>
      </c>
    </row>
    <row r="6950" spans="1:12" x14ac:dyDescent="0.3">
      <c r="A6950" s="5">
        <v>45809</v>
      </c>
      <c r="B6950" s="6" t="s">
        <v>20</v>
      </c>
      <c r="C6950" s="6" t="s">
        <v>24</v>
      </c>
      <c r="D6950" s="5">
        <v>45689</v>
      </c>
      <c r="E6950" s="6" t="s">
        <v>15</v>
      </c>
      <c r="F6950" s="7">
        <v>767</v>
      </c>
      <c r="G6950" s="7">
        <v>115250.4837027379</v>
      </c>
      <c r="H6950" s="7">
        <v>88397121</v>
      </c>
      <c r="I6950" s="7">
        <v>10640334</v>
      </c>
      <c r="J6950" s="7">
        <v>0</v>
      </c>
      <c r="K6950">
        <f t="shared" si="108"/>
        <v>120</v>
      </c>
      <c r="L6950" s="8" t="str" cm="1">
        <f t="array" ref="L6950">_xlfn.IFS(
 AND(K6950&gt;=89,K6950&lt;=92),"3개월",
 AND(K6950&gt;=58,K6950&lt;=62),"2개월",
 AND(K6950&gt;=28,K6950&lt;=32),"1개월",
 AND(K6950=0),"당월",
 TRUE,"그외"
)</f>
        <v>그외</v>
      </c>
    </row>
    <row r="6951" spans="1:12" x14ac:dyDescent="0.3">
      <c r="A6951" s="5">
        <v>45809</v>
      </c>
      <c r="B6951" s="6" t="s">
        <v>20</v>
      </c>
      <c r="C6951" s="6" t="s">
        <v>24</v>
      </c>
      <c r="D6951" s="5">
        <v>45717</v>
      </c>
      <c r="E6951" s="6" t="s">
        <v>15</v>
      </c>
      <c r="F6951" s="7">
        <v>926</v>
      </c>
      <c r="G6951" s="7">
        <v>128802.1393088553</v>
      </c>
      <c r="H6951" s="7">
        <v>119270781</v>
      </c>
      <c r="I6951" s="7">
        <v>14567390</v>
      </c>
      <c r="J6951" s="7">
        <v>0</v>
      </c>
      <c r="K6951">
        <f t="shared" si="108"/>
        <v>92</v>
      </c>
      <c r="L6951" s="8" t="str" cm="1">
        <f t="array" ref="L6951">_xlfn.IFS(
 AND(K6951&gt;=89,K6951&lt;=92),"3개월",
 AND(K6951&gt;=58,K6951&lt;=62),"2개월",
 AND(K6951&gt;=28,K6951&lt;=32),"1개월",
 AND(K6951=0),"당월",
 TRUE,"그외"
)</f>
        <v>3개월</v>
      </c>
    </row>
    <row r="6952" spans="1:12" x14ac:dyDescent="0.3">
      <c r="A6952" s="5">
        <v>45809</v>
      </c>
      <c r="B6952" s="6" t="s">
        <v>20</v>
      </c>
      <c r="C6952" s="6" t="s">
        <v>24</v>
      </c>
      <c r="D6952" s="5">
        <v>45748</v>
      </c>
      <c r="E6952" s="6" t="s">
        <v>14</v>
      </c>
      <c r="F6952" s="7">
        <v>62</v>
      </c>
      <c r="G6952" s="7">
        <v>150100</v>
      </c>
      <c r="H6952" s="7">
        <v>9306200</v>
      </c>
      <c r="I6952" s="7">
        <v>626200</v>
      </c>
      <c r="J6952" s="7">
        <v>0</v>
      </c>
      <c r="K6952">
        <f t="shared" si="108"/>
        <v>61</v>
      </c>
      <c r="L6952" s="8" t="str" cm="1">
        <f t="array" ref="L6952">_xlfn.IFS(
 AND(K6952&gt;=89,K6952&lt;=92),"3개월",
 AND(K6952&gt;=58,K6952&lt;=62),"2개월",
 AND(K6952&gt;=28,K6952&lt;=32),"1개월",
 AND(K6952=0),"당월",
 TRUE,"그외"
)</f>
        <v>2개월</v>
      </c>
    </row>
    <row r="6953" spans="1:12" x14ac:dyDescent="0.3">
      <c r="A6953" s="5">
        <v>45809</v>
      </c>
      <c r="B6953" s="6" t="s">
        <v>20</v>
      </c>
      <c r="C6953" s="6" t="s">
        <v>24</v>
      </c>
      <c r="D6953" s="5">
        <v>45748</v>
      </c>
      <c r="E6953" s="6" t="s">
        <v>15</v>
      </c>
      <c r="F6953" s="7">
        <v>1364</v>
      </c>
      <c r="G6953" s="7">
        <v>121233.1906158358</v>
      </c>
      <c r="H6953" s="7">
        <v>165362072</v>
      </c>
      <c r="I6953" s="7">
        <v>18737445</v>
      </c>
      <c r="J6953" s="7">
        <v>0</v>
      </c>
      <c r="K6953">
        <f t="shared" si="108"/>
        <v>61</v>
      </c>
      <c r="L6953" s="8" t="str" cm="1">
        <f t="array" ref="L6953">_xlfn.IFS(
 AND(K6953&gt;=89,K6953&lt;=92),"3개월",
 AND(K6953&gt;=58,K6953&lt;=62),"2개월",
 AND(K6953&gt;=28,K6953&lt;=32),"1개월",
 AND(K6953=0),"당월",
 TRUE,"그외"
)</f>
        <v>2개월</v>
      </c>
    </row>
    <row r="6954" spans="1:12" x14ac:dyDescent="0.3">
      <c r="A6954" s="5">
        <v>45809</v>
      </c>
      <c r="B6954" s="6" t="s">
        <v>20</v>
      </c>
      <c r="C6954" s="6" t="s">
        <v>24</v>
      </c>
      <c r="D6954" s="5">
        <v>45778</v>
      </c>
      <c r="E6954" s="6" t="s">
        <v>14</v>
      </c>
      <c r="F6954" s="7">
        <v>202</v>
      </c>
      <c r="G6954" s="7">
        <v>168686.1386138614</v>
      </c>
      <c r="H6954" s="7">
        <v>34074600</v>
      </c>
      <c r="I6954" s="7">
        <v>1474600</v>
      </c>
      <c r="J6954" s="7">
        <v>0</v>
      </c>
      <c r="K6954">
        <f t="shared" si="108"/>
        <v>31</v>
      </c>
      <c r="L6954" s="8" t="str" cm="1">
        <f t="array" ref="L6954">_xlfn.IFS(
 AND(K6954&gt;=89,K6954&lt;=92),"3개월",
 AND(K6954&gt;=58,K6954&lt;=62),"2개월",
 AND(K6954&gt;=28,K6954&lt;=32),"1개월",
 AND(K6954=0),"당월",
 TRUE,"그외"
)</f>
        <v>1개월</v>
      </c>
    </row>
    <row r="6955" spans="1:12" x14ac:dyDescent="0.3">
      <c r="A6955" s="5">
        <v>45809</v>
      </c>
      <c r="B6955" s="6" t="s">
        <v>20</v>
      </c>
      <c r="C6955" s="6" t="s">
        <v>24</v>
      </c>
      <c r="D6955" s="5">
        <v>45778</v>
      </c>
      <c r="E6955" s="6" t="s">
        <v>15</v>
      </c>
      <c r="F6955" s="7">
        <v>442</v>
      </c>
      <c r="G6955" s="7">
        <v>123733.6877828054</v>
      </c>
      <c r="H6955" s="7">
        <v>54690290</v>
      </c>
      <c r="I6955" s="7">
        <v>4732575</v>
      </c>
      <c r="J6955" s="7">
        <v>0</v>
      </c>
      <c r="K6955">
        <f t="shared" si="108"/>
        <v>31</v>
      </c>
      <c r="L6955" s="8" t="str" cm="1">
        <f t="array" ref="L6955">_xlfn.IFS(
 AND(K6955&gt;=89,K6955&lt;=92),"3개월",
 AND(K6955&gt;=58,K6955&lt;=62),"2개월",
 AND(K6955&gt;=28,K6955&lt;=32),"1개월",
 AND(K6955=0),"당월",
 TRUE,"그외"
)</f>
        <v>1개월</v>
      </c>
    </row>
    <row r="6956" spans="1:12" x14ac:dyDescent="0.3">
      <c r="A6956" s="5">
        <v>45809</v>
      </c>
      <c r="B6956" s="6" t="s">
        <v>20</v>
      </c>
      <c r="C6956" s="6" t="s">
        <v>27</v>
      </c>
      <c r="D6956" s="5">
        <v>45627</v>
      </c>
      <c r="E6956" s="6" t="s">
        <v>15</v>
      </c>
      <c r="F6956" s="7">
        <v>14</v>
      </c>
      <c r="G6956" s="7">
        <v>212574.1428571429</v>
      </c>
      <c r="H6956" s="7">
        <v>2976038</v>
      </c>
      <c r="I6956" s="7">
        <v>190666</v>
      </c>
      <c r="J6956" s="7">
        <v>0</v>
      </c>
      <c r="K6956">
        <f t="shared" si="108"/>
        <v>182</v>
      </c>
      <c r="L6956" s="8" t="str" cm="1">
        <f t="array" ref="L6956">_xlfn.IFS(
 AND(K6956&gt;=89,K6956&lt;=92),"3개월",
 AND(K6956&gt;=58,K6956&lt;=62),"2개월",
 AND(K6956&gt;=28,K6956&lt;=32),"1개월",
 AND(K6956=0),"당월",
 TRUE,"그외"
)</f>
        <v>그외</v>
      </c>
    </row>
    <row r="6957" spans="1:12" x14ac:dyDescent="0.3">
      <c r="A6957" s="5">
        <v>45809</v>
      </c>
      <c r="B6957" s="6" t="s">
        <v>20</v>
      </c>
      <c r="C6957" s="6" t="s">
        <v>27</v>
      </c>
      <c r="D6957" s="5">
        <v>45658</v>
      </c>
      <c r="E6957" s="6" t="s">
        <v>14</v>
      </c>
      <c r="F6957" s="7">
        <v>10</v>
      </c>
      <c r="G6957" s="7">
        <v>118377.60000000001</v>
      </c>
      <c r="H6957" s="7">
        <v>1183776</v>
      </c>
      <c r="I6957" s="7">
        <v>286782</v>
      </c>
      <c r="J6957" s="7">
        <v>0</v>
      </c>
      <c r="K6957">
        <f t="shared" si="108"/>
        <v>151</v>
      </c>
      <c r="L6957" s="8" t="str" cm="1">
        <f t="array" ref="L6957">_xlfn.IFS(
 AND(K6957&gt;=89,K6957&lt;=92),"3개월",
 AND(K6957&gt;=58,K6957&lt;=62),"2개월",
 AND(K6957&gt;=28,K6957&lt;=32),"1개월",
 AND(K6957=0),"당월",
 TRUE,"그외"
)</f>
        <v>그외</v>
      </c>
    </row>
    <row r="6958" spans="1:12" x14ac:dyDescent="0.3">
      <c r="A6958" s="5">
        <v>45809</v>
      </c>
      <c r="B6958" s="6" t="s">
        <v>20</v>
      </c>
      <c r="C6958" s="6" t="s">
        <v>27</v>
      </c>
      <c r="D6958" s="5">
        <v>45658</v>
      </c>
      <c r="E6958" s="6" t="s">
        <v>15</v>
      </c>
      <c r="F6958" s="7">
        <v>283</v>
      </c>
      <c r="G6958" s="7">
        <v>129398.9469964664</v>
      </c>
      <c r="H6958" s="7">
        <v>36619902</v>
      </c>
      <c r="I6958" s="7">
        <v>5379038</v>
      </c>
      <c r="J6958" s="7">
        <v>0</v>
      </c>
      <c r="K6958">
        <f t="shared" si="108"/>
        <v>151</v>
      </c>
      <c r="L6958" s="8" t="str" cm="1">
        <f t="array" ref="L6958">_xlfn.IFS(
 AND(K6958&gt;=89,K6958&lt;=92),"3개월",
 AND(K6958&gt;=58,K6958&lt;=62),"2개월",
 AND(K6958&gt;=28,K6958&lt;=32),"1개월",
 AND(K6958=0),"당월",
 TRUE,"그외"
)</f>
        <v>그외</v>
      </c>
    </row>
    <row r="6959" spans="1:12" x14ac:dyDescent="0.3">
      <c r="A6959" s="5">
        <v>45809</v>
      </c>
      <c r="B6959" s="6" t="s">
        <v>20</v>
      </c>
      <c r="C6959" s="6" t="s">
        <v>27</v>
      </c>
      <c r="D6959" s="5">
        <v>45689</v>
      </c>
      <c r="E6959" s="6" t="s">
        <v>14</v>
      </c>
      <c r="F6959" s="7">
        <v>104</v>
      </c>
      <c r="G6959" s="7">
        <v>113189.9615384615</v>
      </c>
      <c r="H6959" s="7">
        <v>11771756</v>
      </c>
      <c r="I6959" s="7">
        <v>2539744</v>
      </c>
      <c r="J6959" s="7">
        <v>0</v>
      </c>
      <c r="K6959">
        <f t="shared" si="108"/>
        <v>120</v>
      </c>
      <c r="L6959" s="8" t="str" cm="1">
        <f t="array" ref="L6959">_xlfn.IFS(
 AND(K6959&gt;=89,K6959&lt;=92),"3개월",
 AND(K6959&gt;=58,K6959&lt;=62),"2개월",
 AND(K6959&gt;=28,K6959&lt;=32),"1개월",
 AND(K6959=0),"당월",
 TRUE,"그외"
)</f>
        <v>그외</v>
      </c>
    </row>
    <row r="6960" spans="1:12" x14ac:dyDescent="0.3">
      <c r="A6960" s="5">
        <v>45809</v>
      </c>
      <c r="B6960" s="6" t="s">
        <v>20</v>
      </c>
      <c r="C6960" s="6" t="s">
        <v>27</v>
      </c>
      <c r="D6960" s="5">
        <v>45689</v>
      </c>
      <c r="E6960" s="6" t="s">
        <v>15</v>
      </c>
      <c r="F6960" s="7">
        <v>623</v>
      </c>
      <c r="G6960" s="7">
        <v>127967.34670947029</v>
      </c>
      <c r="H6960" s="7">
        <v>79723657</v>
      </c>
      <c r="I6960" s="7">
        <v>11498273</v>
      </c>
      <c r="J6960" s="7">
        <v>0</v>
      </c>
      <c r="K6960">
        <f t="shared" si="108"/>
        <v>120</v>
      </c>
      <c r="L6960" s="8" t="str" cm="1">
        <f t="array" ref="L6960">_xlfn.IFS(
 AND(K6960&gt;=89,K6960&lt;=92),"3개월",
 AND(K6960&gt;=58,K6960&lt;=62),"2개월",
 AND(K6960&gt;=28,K6960&lt;=32),"1개월",
 AND(K6960=0),"당월",
 TRUE,"그외"
)</f>
        <v>그외</v>
      </c>
    </row>
    <row r="6961" spans="1:12" x14ac:dyDescent="0.3">
      <c r="A6961" s="5">
        <v>45809</v>
      </c>
      <c r="B6961" s="6" t="s">
        <v>20</v>
      </c>
      <c r="C6961" s="6" t="s">
        <v>27</v>
      </c>
      <c r="D6961" s="5">
        <v>45717</v>
      </c>
      <c r="E6961" s="6" t="s">
        <v>14</v>
      </c>
      <c r="F6961" s="7">
        <v>93</v>
      </c>
      <c r="G6961" s="7">
        <v>119805.70967741931</v>
      </c>
      <c r="H6961" s="7">
        <v>11141931</v>
      </c>
      <c r="I6961" s="7">
        <v>3015284</v>
      </c>
      <c r="J6961" s="7">
        <v>0</v>
      </c>
      <c r="K6961">
        <f t="shared" si="108"/>
        <v>92</v>
      </c>
      <c r="L6961" s="8" t="str" cm="1">
        <f t="array" ref="L6961">_xlfn.IFS(
 AND(K6961&gt;=89,K6961&lt;=92),"3개월",
 AND(K6961&gt;=58,K6961&lt;=62),"2개월",
 AND(K6961&gt;=28,K6961&lt;=32),"1개월",
 AND(K6961=0),"당월",
 TRUE,"그외"
)</f>
        <v>3개월</v>
      </c>
    </row>
    <row r="6962" spans="1:12" x14ac:dyDescent="0.3">
      <c r="A6962" s="5">
        <v>45809</v>
      </c>
      <c r="B6962" s="6" t="s">
        <v>20</v>
      </c>
      <c r="C6962" s="6" t="s">
        <v>27</v>
      </c>
      <c r="D6962" s="5">
        <v>45717</v>
      </c>
      <c r="E6962" s="6" t="s">
        <v>15</v>
      </c>
      <c r="F6962" s="7">
        <v>1258</v>
      </c>
      <c r="G6962" s="7">
        <v>110816.67170111289</v>
      </c>
      <c r="H6962" s="7">
        <v>139407373</v>
      </c>
      <c r="I6962" s="7">
        <v>21539682</v>
      </c>
      <c r="J6962" s="7">
        <v>0</v>
      </c>
      <c r="K6962">
        <f t="shared" si="108"/>
        <v>92</v>
      </c>
      <c r="L6962" s="8" t="str" cm="1">
        <f t="array" ref="L6962">_xlfn.IFS(
 AND(K6962&gt;=89,K6962&lt;=92),"3개월",
 AND(K6962&gt;=58,K6962&lt;=62),"2개월",
 AND(K6962&gt;=28,K6962&lt;=32),"1개월",
 AND(K6962=0),"당월",
 TRUE,"그외"
)</f>
        <v>3개월</v>
      </c>
    </row>
    <row r="6963" spans="1:12" x14ac:dyDescent="0.3">
      <c r="A6963" s="5">
        <v>45809</v>
      </c>
      <c r="B6963" s="6" t="s">
        <v>20</v>
      </c>
      <c r="C6963" s="6" t="s">
        <v>27</v>
      </c>
      <c r="D6963" s="5">
        <v>45748</v>
      </c>
      <c r="E6963" s="6" t="s">
        <v>14</v>
      </c>
      <c r="F6963" s="7">
        <v>69</v>
      </c>
      <c r="G6963" s="7">
        <v>159813.24637681161</v>
      </c>
      <c r="H6963" s="7">
        <v>11027114</v>
      </c>
      <c r="I6963" s="7">
        <v>1070757</v>
      </c>
      <c r="J6963" s="7">
        <v>0</v>
      </c>
      <c r="K6963">
        <f t="shared" si="108"/>
        <v>61</v>
      </c>
      <c r="L6963" s="8" t="str" cm="1">
        <f t="array" ref="L6963">_xlfn.IFS(
 AND(K6963&gt;=89,K6963&lt;=92),"3개월",
 AND(K6963&gt;=58,K6963&lt;=62),"2개월",
 AND(K6963&gt;=28,K6963&lt;=32),"1개월",
 AND(K6963=0),"당월",
 TRUE,"그외"
)</f>
        <v>2개월</v>
      </c>
    </row>
    <row r="6964" spans="1:12" x14ac:dyDescent="0.3">
      <c r="A6964" s="5">
        <v>45809</v>
      </c>
      <c r="B6964" s="6" t="s">
        <v>20</v>
      </c>
      <c r="C6964" s="6" t="s">
        <v>27</v>
      </c>
      <c r="D6964" s="5">
        <v>45748</v>
      </c>
      <c r="E6964" s="6" t="s">
        <v>15</v>
      </c>
      <c r="F6964" s="7">
        <v>6755</v>
      </c>
      <c r="G6964" s="7">
        <v>91856.86069578091</v>
      </c>
      <c r="H6964" s="7">
        <v>620493094</v>
      </c>
      <c r="I6964" s="7">
        <v>100922741</v>
      </c>
      <c r="J6964" s="7">
        <v>0</v>
      </c>
      <c r="K6964">
        <f t="shared" si="108"/>
        <v>61</v>
      </c>
      <c r="L6964" s="8" t="str" cm="1">
        <f t="array" ref="L6964">_xlfn.IFS(
 AND(K6964&gt;=89,K6964&lt;=92),"3개월",
 AND(K6964&gt;=58,K6964&lt;=62),"2개월",
 AND(K6964&gt;=28,K6964&lt;=32),"1개월",
 AND(K6964=0),"당월",
 TRUE,"그외"
)</f>
        <v>2개월</v>
      </c>
    </row>
    <row r="6965" spans="1:12" x14ac:dyDescent="0.3">
      <c r="A6965" s="5">
        <v>45809</v>
      </c>
      <c r="B6965" s="6" t="s">
        <v>20</v>
      </c>
      <c r="C6965" s="6" t="s">
        <v>27</v>
      </c>
      <c r="D6965" s="5">
        <v>45778</v>
      </c>
      <c r="E6965" s="6" t="s">
        <v>14</v>
      </c>
      <c r="F6965" s="7">
        <v>89</v>
      </c>
      <c r="G6965" s="7">
        <v>167673.07865168541</v>
      </c>
      <c r="H6965" s="7">
        <v>14922904</v>
      </c>
      <c r="I6965" s="7">
        <v>1617893</v>
      </c>
      <c r="J6965" s="7">
        <v>0</v>
      </c>
      <c r="K6965">
        <f t="shared" si="108"/>
        <v>31</v>
      </c>
      <c r="L6965" s="8" t="str" cm="1">
        <f t="array" ref="L6965">_xlfn.IFS(
 AND(K6965&gt;=89,K6965&lt;=92),"3개월",
 AND(K6965&gt;=58,K6965&lt;=62),"2개월",
 AND(K6965&gt;=28,K6965&lt;=32),"1개월",
 AND(K6965=0),"당월",
 TRUE,"그외"
)</f>
        <v>1개월</v>
      </c>
    </row>
    <row r="6966" spans="1:12" x14ac:dyDescent="0.3">
      <c r="A6966" s="5">
        <v>45809</v>
      </c>
      <c r="B6966" s="6" t="s">
        <v>20</v>
      </c>
      <c r="C6966" s="6" t="s">
        <v>27</v>
      </c>
      <c r="D6966" s="5">
        <v>45778</v>
      </c>
      <c r="E6966" s="6" t="s">
        <v>15</v>
      </c>
      <c r="F6966" s="7">
        <v>2948</v>
      </c>
      <c r="G6966" s="7">
        <v>77886.623812754406</v>
      </c>
      <c r="H6966" s="7">
        <v>229609767</v>
      </c>
      <c r="I6966" s="7">
        <v>37703238</v>
      </c>
      <c r="J6966" s="7">
        <v>0</v>
      </c>
      <c r="K6966">
        <f t="shared" si="108"/>
        <v>31</v>
      </c>
      <c r="L6966" s="8" t="str" cm="1">
        <f t="array" ref="L6966">_xlfn.IFS(
 AND(K6966&gt;=89,K6966&lt;=92),"3개월",
 AND(K6966&gt;=58,K6966&lt;=62),"2개월",
 AND(K6966&gt;=28,K6966&lt;=32),"1개월",
 AND(K6966=0),"당월",
 TRUE,"그외"
)</f>
        <v>1개월</v>
      </c>
    </row>
    <row r="6967" spans="1:12" x14ac:dyDescent="0.3">
      <c r="A6967" s="5">
        <v>45809</v>
      </c>
      <c r="B6967" s="6" t="s">
        <v>20</v>
      </c>
      <c r="C6967" s="6" t="s">
        <v>28</v>
      </c>
      <c r="D6967" s="5">
        <v>45627</v>
      </c>
      <c r="E6967" s="6" t="s">
        <v>15</v>
      </c>
      <c r="F6967" s="7">
        <v>2</v>
      </c>
      <c r="G6967" s="7">
        <v>130687.5</v>
      </c>
      <c r="H6967" s="7">
        <v>261375</v>
      </c>
      <c r="I6967" s="7">
        <v>57466</v>
      </c>
      <c r="J6967" s="7">
        <v>0</v>
      </c>
      <c r="K6967">
        <f t="shared" si="108"/>
        <v>182</v>
      </c>
      <c r="L6967" s="8" t="str" cm="1">
        <f t="array" ref="L6967">_xlfn.IFS(
 AND(K6967&gt;=89,K6967&lt;=92),"3개월",
 AND(K6967&gt;=58,K6967&lt;=62),"2개월",
 AND(K6967&gt;=28,K6967&lt;=32),"1개월",
 AND(K6967=0),"당월",
 TRUE,"그외"
)</f>
        <v>그외</v>
      </c>
    </row>
    <row r="6968" spans="1:12" x14ac:dyDescent="0.3">
      <c r="A6968" s="5">
        <v>45809</v>
      </c>
      <c r="B6968" s="6" t="s">
        <v>20</v>
      </c>
      <c r="C6968" s="6" t="s">
        <v>28</v>
      </c>
      <c r="D6968" s="5">
        <v>45658</v>
      </c>
      <c r="E6968" s="6" t="s">
        <v>15</v>
      </c>
      <c r="F6968" s="7">
        <v>113</v>
      </c>
      <c r="G6968" s="7">
        <v>187777.08849557521</v>
      </c>
      <c r="H6968" s="7">
        <v>21218811</v>
      </c>
      <c r="I6968" s="7">
        <v>1363445</v>
      </c>
      <c r="J6968" s="7">
        <v>0</v>
      </c>
      <c r="K6968">
        <f t="shared" si="108"/>
        <v>151</v>
      </c>
      <c r="L6968" s="8" t="str" cm="1">
        <f t="array" ref="L6968">_xlfn.IFS(
 AND(K6968&gt;=89,K6968&lt;=92),"3개월",
 AND(K6968&gt;=58,K6968&lt;=62),"2개월",
 AND(K6968&gt;=28,K6968&lt;=32),"1개월",
 AND(K6968=0),"당월",
 TRUE,"그외"
)</f>
        <v>그외</v>
      </c>
    </row>
    <row r="6969" spans="1:12" x14ac:dyDescent="0.3">
      <c r="A6969" s="5">
        <v>45809</v>
      </c>
      <c r="B6969" s="6" t="s">
        <v>20</v>
      </c>
      <c r="C6969" s="6" t="s">
        <v>28</v>
      </c>
      <c r="D6969" s="5">
        <v>45689</v>
      </c>
      <c r="E6969" s="6" t="s">
        <v>15</v>
      </c>
      <c r="F6969" s="7">
        <v>251</v>
      </c>
      <c r="G6969" s="7">
        <v>149373.25099601591</v>
      </c>
      <c r="H6969" s="7">
        <v>37492686</v>
      </c>
      <c r="I6969" s="7">
        <v>2983926</v>
      </c>
      <c r="J6969" s="7">
        <v>0</v>
      </c>
      <c r="K6969">
        <f t="shared" si="108"/>
        <v>120</v>
      </c>
      <c r="L6969" s="8" t="str" cm="1">
        <f t="array" ref="L6969">_xlfn.IFS(
 AND(K6969&gt;=89,K6969&lt;=92),"3개월",
 AND(K6969&gt;=58,K6969&lt;=62),"2개월",
 AND(K6969&gt;=28,K6969&lt;=32),"1개월",
 AND(K6969=0),"당월",
 TRUE,"그외"
)</f>
        <v>그외</v>
      </c>
    </row>
    <row r="6970" spans="1:12" x14ac:dyDescent="0.3">
      <c r="A6970" s="5">
        <v>45809</v>
      </c>
      <c r="B6970" s="6" t="s">
        <v>20</v>
      </c>
      <c r="C6970" s="6" t="s">
        <v>28</v>
      </c>
      <c r="D6970" s="5">
        <v>45717</v>
      </c>
      <c r="E6970" s="6" t="s">
        <v>15</v>
      </c>
      <c r="F6970" s="7">
        <v>1294</v>
      </c>
      <c r="G6970" s="7">
        <v>111366.8369397218</v>
      </c>
      <c r="H6970" s="7">
        <v>144108687</v>
      </c>
      <c r="I6970" s="7">
        <v>18291610</v>
      </c>
      <c r="J6970" s="7">
        <v>0</v>
      </c>
      <c r="K6970">
        <f t="shared" si="108"/>
        <v>92</v>
      </c>
      <c r="L6970" s="8" t="str" cm="1">
        <f t="array" ref="L6970">_xlfn.IFS(
 AND(K6970&gt;=89,K6970&lt;=92),"3개월",
 AND(K6970&gt;=58,K6970&lt;=62),"2개월",
 AND(K6970&gt;=28,K6970&lt;=32),"1개월",
 AND(K6970=0),"당월",
 TRUE,"그외"
)</f>
        <v>3개월</v>
      </c>
    </row>
    <row r="6971" spans="1:12" x14ac:dyDescent="0.3">
      <c r="A6971" s="5">
        <v>45809</v>
      </c>
      <c r="B6971" s="6" t="s">
        <v>20</v>
      </c>
      <c r="C6971" s="6" t="s">
        <v>28</v>
      </c>
      <c r="D6971" s="5">
        <v>45748</v>
      </c>
      <c r="E6971" s="6" t="s">
        <v>14</v>
      </c>
      <c r="F6971" s="7">
        <v>261</v>
      </c>
      <c r="G6971" s="7">
        <v>120789.6551724138</v>
      </c>
      <c r="H6971" s="7">
        <v>31526100</v>
      </c>
      <c r="I6971" s="7">
        <v>2636100</v>
      </c>
      <c r="J6971" s="7">
        <v>0</v>
      </c>
      <c r="K6971">
        <f t="shared" si="108"/>
        <v>61</v>
      </c>
      <c r="L6971" s="8" t="str" cm="1">
        <f t="array" ref="L6971">_xlfn.IFS(
 AND(K6971&gt;=89,K6971&lt;=92),"3개월",
 AND(K6971&gt;=58,K6971&lt;=62),"2개월",
 AND(K6971&gt;=28,K6971&lt;=32),"1개월",
 AND(K6971=0),"당월",
 TRUE,"그외"
)</f>
        <v>2개월</v>
      </c>
    </row>
    <row r="6972" spans="1:12" x14ac:dyDescent="0.3">
      <c r="A6972" s="5">
        <v>45809</v>
      </c>
      <c r="B6972" s="6" t="s">
        <v>20</v>
      </c>
      <c r="C6972" s="6" t="s">
        <v>28</v>
      </c>
      <c r="D6972" s="5">
        <v>45748</v>
      </c>
      <c r="E6972" s="6" t="s">
        <v>15</v>
      </c>
      <c r="F6972" s="7">
        <v>2556</v>
      </c>
      <c r="G6972" s="7">
        <v>83302.951095461656</v>
      </c>
      <c r="H6972" s="7">
        <v>212922343</v>
      </c>
      <c r="I6972" s="7">
        <v>30148974</v>
      </c>
      <c r="J6972" s="7">
        <v>0</v>
      </c>
      <c r="K6972">
        <f t="shared" si="108"/>
        <v>61</v>
      </c>
      <c r="L6972" s="8" t="str" cm="1">
        <f t="array" ref="L6972">_xlfn.IFS(
 AND(K6972&gt;=89,K6972&lt;=92),"3개월",
 AND(K6972&gt;=58,K6972&lt;=62),"2개월",
 AND(K6972&gt;=28,K6972&lt;=32),"1개월",
 AND(K6972=0),"당월",
 TRUE,"그외"
)</f>
        <v>2개월</v>
      </c>
    </row>
    <row r="6973" spans="1:12" x14ac:dyDescent="0.3">
      <c r="A6973" s="5">
        <v>45809</v>
      </c>
      <c r="B6973" s="6" t="s">
        <v>20</v>
      </c>
      <c r="C6973" s="6" t="s">
        <v>28</v>
      </c>
      <c r="D6973" s="5">
        <v>45778</v>
      </c>
      <c r="E6973" s="6" t="s">
        <v>14</v>
      </c>
      <c r="F6973" s="7">
        <v>225</v>
      </c>
      <c r="G6973" s="7">
        <v>133788.88888888891</v>
      </c>
      <c r="H6973" s="7">
        <v>30102500</v>
      </c>
      <c r="I6973" s="7">
        <v>1642500</v>
      </c>
      <c r="J6973" s="7">
        <v>0</v>
      </c>
      <c r="K6973">
        <f t="shared" si="108"/>
        <v>31</v>
      </c>
      <c r="L6973" s="8" t="str" cm="1">
        <f t="array" ref="L6973">_xlfn.IFS(
 AND(K6973&gt;=89,K6973&lt;=92),"3개월",
 AND(K6973&gt;=58,K6973&lt;=62),"2개월",
 AND(K6973&gt;=28,K6973&lt;=32),"1개월",
 AND(K6973=0),"당월",
 TRUE,"그외"
)</f>
        <v>1개월</v>
      </c>
    </row>
    <row r="6974" spans="1:12" x14ac:dyDescent="0.3">
      <c r="A6974" s="5">
        <v>45809</v>
      </c>
      <c r="B6974" s="6" t="s">
        <v>20</v>
      </c>
      <c r="C6974" s="6" t="s">
        <v>28</v>
      </c>
      <c r="D6974" s="5">
        <v>45778</v>
      </c>
      <c r="E6974" s="6" t="s">
        <v>15</v>
      </c>
      <c r="F6974" s="7">
        <v>664</v>
      </c>
      <c r="G6974" s="7">
        <v>80660.41114457832</v>
      </c>
      <c r="H6974" s="7">
        <v>53558513</v>
      </c>
      <c r="I6974" s="7">
        <v>6054239</v>
      </c>
      <c r="J6974" s="7">
        <v>0</v>
      </c>
      <c r="K6974">
        <f t="shared" si="108"/>
        <v>31</v>
      </c>
      <c r="L6974" s="8" t="str" cm="1">
        <f t="array" ref="L6974">_xlfn.IFS(
 AND(K6974&gt;=89,K6974&lt;=92),"3개월",
 AND(K6974&gt;=58,K6974&lt;=62),"2개월",
 AND(K6974&gt;=28,K6974&lt;=32),"1개월",
 AND(K6974=0),"당월",
 TRUE,"그외"
)</f>
        <v>1개월</v>
      </c>
    </row>
    <row r="6975" spans="1:12" x14ac:dyDescent="0.3">
      <c r="A6975" s="5">
        <v>45809</v>
      </c>
      <c r="B6975" s="6" t="s">
        <v>20</v>
      </c>
      <c r="C6975" s="6" t="s">
        <v>29</v>
      </c>
      <c r="D6975" s="5">
        <v>45627</v>
      </c>
      <c r="E6975" s="6" t="s">
        <v>15</v>
      </c>
      <c r="F6975" s="7">
        <v>53</v>
      </c>
      <c r="G6975" s="7">
        <v>154795.28301886789</v>
      </c>
      <c r="H6975" s="7">
        <v>8204150</v>
      </c>
      <c r="I6975" s="7">
        <v>658832</v>
      </c>
      <c r="J6975" s="7">
        <v>0</v>
      </c>
      <c r="K6975">
        <f t="shared" si="108"/>
        <v>182</v>
      </c>
      <c r="L6975" s="8" t="str" cm="1">
        <f t="array" ref="L6975">_xlfn.IFS(
 AND(K6975&gt;=89,K6975&lt;=92),"3개월",
 AND(K6975&gt;=58,K6975&lt;=62),"2개월",
 AND(K6975&gt;=28,K6975&lt;=32),"1개월",
 AND(K6975=0),"당월",
 TRUE,"그외"
)</f>
        <v>그외</v>
      </c>
    </row>
    <row r="6976" spans="1:12" x14ac:dyDescent="0.3">
      <c r="A6976" s="5">
        <v>45809</v>
      </c>
      <c r="B6976" s="6" t="s">
        <v>20</v>
      </c>
      <c r="C6976" s="6" t="s">
        <v>29</v>
      </c>
      <c r="D6976" s="5">
        <v>45658</v>
      </c>
      <c r="E6976" s="6" t="s">
        <v>15</v>
      </c>
      <c r="F6976" s="7">
        <v>642</v>
      </c>
      <c r="G6976" s="7">
        <v>168361.31619937689</v>
      </c>
      <c r="H6976" s="7">
        <v>108087965</v>
      </c>
      <c r="I6976" s="7">
        <v>7784074</v>
      </c>
      <c r="J6976" s="7">
        <v>0</v>
      </c>
      <c r="K6976">
        <f t="shared" si="108"/>
        <v>151</v>
      </c>
      <c r="L6976" s="8" t="str" cm="1">
        <f t="array" ref="L6976">_xlfn.IFS(
 AND(K6976&gt;=89,K6976&lt;=92),"3개월",
 AND(K6976&gt;=58,K6976&lt;=62),"2개월",
 AND(K6976&gt;=28,K6976&lt;=32),"1개월",
 AND(K6976=0),"당월",
 TRUE,"그외"
)</f>
        <v>그외</v>
      </c>
    </row>
    <row r="6977" spans="1:12" x14ac:dyDescent="0.3">
      <c r="A6977" s="5">
        <v>45809</v>
      </c>
      <c r="B6977" s="6" t="s">
        <v>20</v>
      </c>
      <c r="C6977" s="6" t="s">
        <v>29</v>
      </c>
      <c r="D6977" s="5">
        <v>45689</v>
      </c>
      <c r="E6977" s="6" t="s">
        <v>14</v>
      </c>
      <c r="F6977" s="7">
        <v>8</v>
      </c>
      <c r="G6977" s="7">
        <v>158950</v>
      </c>
      <c r="H6977" s="7">
        <v>1271600</v>
      </c>
      <c r="I6977" s="7">
        <v>93600</v>
      </c>
      <c r="J6977" s="7">
        <v>0</v>
      </c>
      <c r="K6977">
        <f t="shared" si="108"/>
        <v>120</v>
      </c>
      <c r="L6977" s="8" t="str" cm="1">
        <f t="array" ref="L6977">_xlfn.IFS(
 AND(K6977&gt;=89,K6977&lt;=92),"3개월",
 AND(K6977&gt;=58,K6977&lt;=62),"2개월",
 AND(K6977&gt;=28,K6977&lt;=32),"1개월",
 AND(K6977=0),"당월",
 TRUE,"그외"
)</f>
        <v>그외</v>
      </c>
    </row>
    <row r="6978" spans="1:12" x14ac:dyDescent="0.3">
      <c r="A6978" s="5">
        <v>45809</v>
      </c>
      <c r="B6978" s="6" t="s">
        <v>20</v>
      </c>
      <c r="C6978" s="6" t="s">
        <v>29</v>
      </c>
      <c r="D6978" s="5">
        <v>45689</v>
      </c>
      <c r="E6978" s="6" t="s">
        <v>15</v>
      </c>
      <c r="F6978" s="7">
        <v>1195</v>
      </c>
      <c r="G6978" s="7">
        <v>140896.67196652721</v>
      </c>
      <c r="H6978" s="7">
        <v>168371523</v>
      </c>
      <c r="I6978" s="7">
        <v>15459687</v>
      </c>
      <c r="J6978" s="7">
        <v>0</v>
      </c>
      <c r="K6978">
        <f t="shared" si="108"/>
        <v>120</v>
      </c>
      <c r="L6978" s="8" t="str" cm="1">
        <f t="array" ref="L6978">_xlfn.IFS(
 AND(K6978&gt;=89,K6978&lt;=92),"3개월",
 AND(K6978&gt;=58,K6978&lt;=62),"2개월",
 AND(K6978&gt;=28,K6978&lt;=32),"1개월",
 AND(K6978=0),"당월",
 TRUE,"그외"
)</f>
        <v>그외</v>
      </c>
    </row>
    <row r="6979" spans="1:12" x14ac:dyDescent="0.3">
      <c r="A6979" s="5">
        <v>45809</v>
      </c>
      <c r="B6979" s="6" t="s">
        <v>20</v>
      </c>
      <c r="C6979" s="6" t="s">
        <v>29</v>
      </c>
      <c r="D6979" s="5">
        <v>45717</v>
      </c>
      <c r="E6979" s="6" t="s">
        <v>14</v>
      </c>
      <c r="F6979" s="7">
        <v>48</v>
      </c>
      <c r="G6979" s="7">
        <v>147437.5</v>
      </c>
      <c r="H6979" s="7">
        <v>7077000</v>
      </c>
      <c r="I6979" s="7">
        <v>624000</v>
      </c>
      <c r="J6979" s="7">
        <v>0</v>
      </c>
      <c r="K6979">
        <f t="shared" si="108"/>
        <v>92</v>
      </c>
      <c r="L6979" s="8" t="str" cm="1">
        <f t="array" ref="L6979">_xlfn.IFS(
 AND(K6979&gt;=89,K6979&lt;=92),"3개월",
 AND(K6979&gt;=58,K6979&lt;=62),"2개월",
 AND(K6979&gt;=28,K6979&lt;=32),"1개월",
 AND(K6979=0),"당월",
 TRUE,"그외"
)</f>
        <v>3개월</v>
      </c>
    </row>
    <row r="6980" spans="1:12" x14ac:dyDescent="0.3">
      <c r="A6980" s="5">
        <v>45809</v>
      </c>
      <c r="B6980" s="6" t="s">
        <v>20</v>
      </c>
      <c r="C6980" s="6" t="s">
        <v>29</v>
      </c>
      <c r="D6980" s="5">
        <v>45717</v>
      </c>
      <c r="E6980" s="6" t="s">
        <v>15</v>
      </c>
      <c r="F6980" s="7">
        <v>1437</v>
      </c>
      <c r="G6980" s="7">
        <v>148796.509394572</v>
      </c>
      <c r="H6980" s="7">
        <v>213820584</v>
      </c>
      <c r="I6980" s="7">
        <v>20645174</v>
      </c>
      <c r="J6980" s="7">
        <v>0</v>
      </c>
      <c r="K6980">
        <f t="shared" si="108"/>
        <v>92</v>
      </c>
      <c r="L6980" s="8" t="str" cm="1">
        <f t="array" ref="L6980">_xlfn.IFS(
 AND(K6980&gt;=89,K6980&lt;=92),"3개월",
 AND(K6980&gt;=58,K6980&lt;=62),"2개월",
 AND(K6980&gt;=28,K6980&lt;=32),"1개월",
 AND(K6980=0),"당월",
 TRUE,"그외"
)</f>
        <v>3개월</v>
      </c>
    </row>
    <row r="6981" spans="1:12" x14ac:dyDescent="0.3">
      <c r="A6981" s="5">
        <v>45809</v>
      </c>
      <c r="B6981" s="6" t="s">
        <v>20</v>
      </c>
      <c r="C6981" s="6" t="s">
        <v>29</v>
      </c>
      <c r="D6981" s="5">
        <v>45748</v>
      </c>
      <c r="E6981" s="6" t="s">
        <v>14</v>
      </c>
      <c r="F6981" s="7">
        <v>44</v>
      </c>
      <c r="G6981" s="7">
        <v>215487.31818181821</v>
      </c>
      <c r="H6981" s="7">
        <v>9481442</v>
      </c>
      <c r="I6981" s="7">
        <v>653580</v>
      </c>
      <c r="J6981" s="7">
        <v>0</v>
      </c>
      <c r="K6981">
        <f t="shared" si="108"/>
        <v>61</v>
      </c>
      <c r="L6981" s="8" t="str" cm="1">
        <f t="array" ref="L6981">_xlfn.IFS(
 AND(K6981&gt;=89,K6981&lt;=92),"3개월",
 AND(K6981&gt;=58,K6981&lt;=62),"2개월",
 AND(K6981&gt;=28,K6981&lt;=32),"1개월",
 AND(K6981=0),"당월",
 TRUE,"그외"
)</f>
        <v>2개월</v>
      </c>
    </row>
    <row r="6982" spans="1:12" x14ac:dyDescent="0.3">
      <c r="A6982" s="5">
        <v>45809</v>
      </c>
      <c r="B6982" s="6" t="s">
        <v>20</v>
      </c>
      <c r="C6982" s="6" t="s">
        <v>29</v>
      </c>
      <c r="D6982" s="5">
        <v>45748</v>
      </c>
      <c r="E6982" s="6" t="s">
        <v>15</v>
      </c>
      <c r="F6982" s="7">
        <v>2851</v>
      </c>
      <c r="G6982" s="7">
        <v>126728.6239915819</v>
      </c>
      <c r="H6982" s="7">
        <v>361303307</v>
      </c>
      <c r="I6982" s="7">
        <v>36442962</v>
      </c>
      <c r="J6982" s="7">
        <v>0</v>
      </c>
      <c r="K6982">
        <f t="shared" si="108"/>
        <v>61</v>
      </c>
      <c r="L6982" s="8" t="str" cm="1">
        <f t="array" ref="L6982">_xlfn.IFS(
 AND(K6982&gt;=89,K6982&lt;=92),"3개월",
 AND(K6982&gt;=58,K6982&lt;=62),"2개월",
 AND(K6982&gt;=28,K6982&lt;=32),"1개월",
 AND(K6982=0),"당월",
 TRUE,"그외"
)</f>
        <v>2개월</v>
      </c>
    </row>
    <row r="6983" spans="1:12" x14ac:dyDescent="0.3">
      <c r="A6983" s="5">
        <v>45809</v>
      </c>
      <c r="B6983" s="6" t="s">
        <v>20</v>
      </c>
      <c r="C6983" s="6" t="s">
        <v>29</v>
      </c>
      <c r="D6983" s="5">
        <v>45778</v>
      </c>
      <c r="E6983" s="6" t="s">
        <v>14</v>
      </c>
      <c r="F6983" s="7">
        <v>406</v>
      </c>
      <c r="G6983" s="7">
        <v>181521.6748768473</v>
      </c>
      <c r="H6983" s="7">
        <v>73697800</v>
      </c>
      <c r="I6983" s="7">
        <v>2963800</v>
      </c>
      <c r="J6983" s="7">
        <v>0</v>
      </c>
      <c r="K6983">
        <f t="shared" si="108"/>
        <v>31</v>
      </c>
      <c r="L6983" s="8" t="str" cm="1">
        <f t="array" ref="L6983">_xlfn.IFS(
 AND(K6983&gt;=89,K6983&lt;=92),"3개월",
 AND(K6983&gt;=58,K6983&lt;=62),"2개월",
 AND(K6983&gt;=28,K6983&lt;=32),"1개월",
 AND(K6983=0),"당월",
 TRUE,"그외"
)</f>
        <v>1개월</v>
      </c>
    </row>
    <row r="6984" spans="1:12" x14ac:dyDescent="0.3">
      <c r="A6984" s="5">
        <v>45809</v>
      </c>
      <c r="B6984" s="6" t="s">
        <v>20</v>
      </c>
      <c r="C6984" s="6" t="s">
        <v>29</v>
      </c>
      <c r="D6984" s="5">
        <v>45778</v>
      </c>
      <c r="E6984" s="6" t="s">
        <v>15</v>
      </c>
      <c r="F6984" s="7">
        <v>1125</v>
      </c>
      <c r="G6984" s="7">
        <v>110249.8133333333</v>
      </c>
      <c r="H6984" s="7">
        <v>124031040</v>
      </c>
      <c r="I6984" s="7">
        <v>11263215</v>
      </c>
      <c r="J6984" s="7">
        <v>0</v>
      </c>
      <c r="K6984">
        <f t="shared" si="108"/>
        <v>31</v>
      </c>
      <c r="L6984" s="8" t="str" cm="1">
        <f t="array" ref="L6984">_xlfn.IFS(
 AND(K6984&gt;=89,K6984&lt;=92),"3개월",
 AND(K6984&gt;=58,K6984&lt;=62),"2개월",
 AND(K6984&gt;=28,K6984&lt;=32),"1개월",
 AND(K6984=0),"당월",
 TRUE,"그외"
)</f>
        <v>1개월</v>
      </c>
    </row>
    <row r="6985" spans="1:12" x14ac:dyDescent="0.3">
      <c r="A6985" s="5">
        <v>45809</v>
      </c>
      <c r="B6985" s="6" t="s">
        <v>20</v>
      </c>
      <c r="C6985" s="6" t="s">
        <v>30</v>
      </c>
      <c r="D6985" s="5">
        <v>45627</v>
      </c>
      <c r="E6985" s="6" t="s">
        <v>15</v>
      </c>
      <c r="F6985" s="7">
        <v>14</v>
      </c>
      <c r="G6985" s="7">
        <v>188146.92857142861</v>
      </c>
      <c r="H6985" s="7">
        <v>2634057</v>
      </c>
      <c r="I6985" s="7">
        <v>279293</v>
      </c>
      <c r="J6985" s="7">
        <v>0</v>
      </c>
      <c r="K6985">
        <f t="shared" si="108"/>
        <v>182</v>
      </c>
      <c r="L6985" s="8" t="str" cm="1">
        <f t="array" ref="L6985">_xlfn.IFS(
 AND(K6985&gt;=89,K6985&lt;=92),"3개월",
 AND(K6985&gt;=58,K6985&lt;=62),"2개월",
 AND(K6985&gt;=28,K6985&lt;=32),"1개월",
 AND(K6985=0),"당월",
 TRUE,"그외"
)</f>
        <v>그외</v>
      </c>
    </row>
    <row r="6986" spans="1:12" x14ac:dyDescent="0.3">
      <c r="A6986" s="5">
        <v>45809</v>
      </c>
      <c r="B6986" s="6" t="s">
        <v>20</v>
      </c>
      <c r="C6986" s="6" t="s">
        <v>30</v>
      </c>
      <c r="D6986" s="5">
        <v>45658</v>
      </c>
      <c r="E6986" s="6" t="s">
        <v>15</v>
      </c>
      <c r="F6986" s="7">
        <v>211</v>
      </c>
      <c r="G6986" s="7">
        <v>187204.2890995261</v>
      </c>
      <c r="H6986" s="7">
        <v>39500105</v>
      </c>
      <c r="I6986" s="7">
        <v>2664769</v>
      </c>
      <c r="J6986" s="7">
        <v>0</v>
      </c>
      <c r="K6986">
        <f t="shared" ref="K6986:K7049" si="109">A6986-D6986</f>
        <v>151</v>
      </c>
      <c r="L6986" s="8" t="str" cm="1">
        <f t="array" ref="L6986">_xlfn.IFS(
 AND(K6986&gt;=89,K6986&lt;=92),"3개월",
 AND(K6986&gt;=58,K6986&lt;=62),"2개월",
 AND(K6986&gt;=28,K6986&lt;=32),"1개월",
 AND(K6986=0),"당월",
 TRUE,"그외"
)</f>
        <v>그외</v>
      </c>
    </row>
    <row r="6987" spans="1:12" x14ac:dyDescent="0.3">
      <c r="A6987" s="5">
        <v>45809</v>
      </c>
      <c r="B6987" s="6" t="s">
        <v>20</v>
      </c>
      <c r="C6987" s="6" t="s">
        <v>30</v>
      </c>
      <c r="D6987" s="5">
        <v>45689</v>
      </c>
      <c r="E6987" s="6" t="s">
        <v>14</v>
      </c>
      <c r="F6987" s="7">
        <v>27</v>
      </c>
      <c r="G6987" s="7">
        <v>125848.1481481481</v>
      </c>
      <c r="H6987" s="7">
        <v>3397900</v>
      </c>
      <c r="I6987" s="7">
        <v>315900</v>
      </c>
      <c r="J6987" s="7">
        <v>0</v>
      </c>
      <c r="K6987">
        <f t="shared" si="109"/>
        <v>120</v>
      </c>
      <c r="L6987" s="8" t="str" cm="1">
        <f t="array" ref="L6987">_xlfn.IFS(
 AND(K6987&gt;=89,K6987&lt;=92),"3개월",
 AND(K6987&gt;=58,K6987&lt;=62),"2개월",
 AND(K6987&gt;=28,K6987&lt;=32),"1개월",
 AND(K6987=0),"당월",
 TRUE,"그외"
)</f>
        <v>그외</v>
      </c>
    </row>
    <row r="6988" spans="1:12" x14ac:dyDescent="0.3">
      <c r="A6988" s="5">
        <v>45809</v>
      </c>
      <c r="B6988" s="6" t="s">
        <v>20</v>
      </c>
      <c r="C6988" s="6" t="s">
        <v>30</v>
      </c>
      <c r="D6988" s="5">
        <v>45689</v>
      </c>
      <c r="E6988" s="6" t="s">
        <v>15</v>
      </c>
      <c r="F6988" s="7">
        <v>240</v>
      </c>
      <c r="G6988" s="7">
        <v>152928.27083333331</v>
      </c>
      <c r="H6988" s="7">
        <v>36702785</v>
      </c>
      <c r="I6988" s="7">
        <v>3442649</v>
      </c>
      <c r="J6988" s="7">
        <v>0</v>
      </c>
      <c r="K6988">
        <f t="shared" si="109"/>
        <v>120</v>
      </c>
      <c r="L6988" s="8" t="str" cm="1">
        <f t="array" ref="L6988">_xlfn.IFS(
 AND(K6988&gt;=89,K6988&lt;=92),"3개월",
 AND(K6988&gt;=58,K6988&lt;=62),"2개월",
 AND(K6988&gt;=28,K6988&lt;=32),"1개월",
 AND(K6988=0),"당월",
 TRUE,"그외"
)</f>
        <v>그외</v>
      </c>
    </row>
    <row r="6989" spans="1:12" x14ac:dyDescent="0.3">
      <c r="A6989" s="5">
        <v>45809</v>
      </c>
      <c r="B6989" s="6" t="s">
        <v>20</v>
      </c>
      <c r="C6989" s="6" t="s">
        <v>30</v>
      </c>
      <c r="D6989" s="5">
        <v>45717</v>
      </c>
      <c r="E6989" s="6" t="s">
        <v>14</v>
      </c>
      <c r="F6989" s="7">
        <v>178</v>
      </c>
      <c r="G6989" s="7">
        <v>126078.6516853933</v>
      </c>
      <c r="H6989" s="7">
        <v>22442000</v>
      </c>
      <c r="I6989" s="7">
        <v>2314000</v>
      </c>
      <c r="J6989" s="7">
        <v>0</v>
      </c>
      <c r="K6989">
        <f t="shared" si="109"/>
        <v>92</v>
      </c>
      <c r="L6989" s="8" t="str" cm="1">
        <f t="array" ref="L6989">_xlfn.IFS(
 AND(K6989&gt;=89,K6989&lt;=92),"3개월",
 AND(K6989&gt;=58,K6989&lt;=62),"2개월",
 AND(K6989&gt;=28,K6989&lt;=32),"1개월",
 AND(K6989=0),"당월",
 TRUE,"그외"
)</f>
        <v>3개월</v>
      </c>
    </row>
    <row r="6990" spans="1:12" x14ac:dyDescent="0.3">
      <c r="A6990" s="5">
        <v>45809</v>
      </c>
      <c r="B6990" s="6" t="s">
        <v>20</v>
      </c>
      <c r="C6990" s="6" t="s">
        <v>30</v>
      </c>
      <c r="D6990" s="5">
        <v>45717</v>
      </c>
      <c r="E6990" s="6" t="s">
        <v>15</v>
      </c>
      <c r="F6990" s="7">
        <v>299</v>
      </c>
      <c r="G6990" s="7">
        <v>146676.48494983281</v>
      </c>
      <c r="H6990" s="7">
        <v>43856269</v>
      </c>
      <c r="I6990" s="7">
        <v>4461788</v>
      </c>
      <c r="J6990" s="7">
        <v>0</v>
      </c>
      <c r="K6990">
        <f t="shared" si="109"/>
        <v>92</v>
      </c>
      <c r="L6990" s="8" t="str" cm="1">
        <f t="array" ref="L6990">_xlfn.IFS(
 AND(K6990&gt;=89,K6990&lt;=92),"3개월",
 AND(K6990&gt;=58,K6990&lt;=62),"2개월",
 AND(K6990&gt;=28,K6990&lt;=32),"1개월",
 AND(K6990=0),"당월",
 TRUE,"그외"
)</f>
        <v>3개월</v>
      </c>
    </row>
    <row r="6991" spans="1:12" x14ac:dyDescent="0.3">
      <c r="A6991" s="5">
        <v>45809</v>
      </c>
      <c r="B6991" s="6" t="s">
        <v>20</v>
      </c>
      <c r="C6991" s="6" t="s">
        <v>30</v>
      </c>
      <c r="D6991" s="5">
        <v>45748</v>
      </c>
      <c r="E6991" s="6" t="s">
        <v>14</v>
      </c>
      <c r="F6991" s="7">
        <v>357</v>
      </c>
      <c r="G6991" s="7">
        <v>210060.78431372551</v>
      </c>
      <c r="H6991" s="7">
        <v>74991700</v>
      </c>
      <c r="I6991" s="7">
        <v>3605700</v>
      </c>
      <c r="J6991" s="7">
        <v>0</v>
      </c>
      <c r="K6991">
        <f t="shared" si="109"/>
        <v>61</v>
      </c>
      <c r="L6991" s="8" t="str" cm="1">
        <f t="array" ref="L6991">_xlfn.IFS(
 AND(K6991&gt;=89,K6991&lt;=92),"3개월",
 AND(K6991&gt;=58,K6991&lt;=62),"2개월",
 AND(K6991&gt;=28,K6991&lt;=32),"1개월",
 AND(K6991=0),"당월",
 TRUE,"그외"
)</f>
        <v>2개월</v>
      </c>
    </row>
    <row r="6992" spans="1:12" x14ac:dyDescent="0.3">
      <c r="A6992" s="5">
        <v>45809</v>
      </c>
      <c r="B6992" s="6" t="s">
        <v>20</v>
      </c>
      <c r="C6992" s="6" t="s">
        <v>30</v>
      </c>
      <c r="D6992" s="5">
        <v>45748</v>
      </c>
      <c r="E6992" s="6" t="s">
        <v>15</v>
      </c>
      <c r="F6992" s="7">
        <v>1386</v>
      </c>
      <c r="G6992" s="7">
        <v>106203.8463203463</v>
      </c>
      <c r="H6992" s="7">
        <v>147198531</v>
      </c>
      <c r="I6992" s="7">
        <v>15986082</v>
      </c>
      <c r="J6992" s="7">
        <v>0</v>
      </c>
      <c r="K6992">
        <f t="shared" si="109"/>
        <v>61</v>
      </c>
      <c r="L6992" s="8" t="str" cm="1">
        <f t="array" ref="L6992">_xlfn.IFS(
 AND(K6992&gt;=89,K6992&lt;=92),"3개월",
 AND(K6992&gt;=58,K6992&lt;=62),"2개월",
 AND(K6992&gt;=28,K6992&lt;=32),"1개월",
 AND(K6992=0),"당월",
 TRUE,"그외"
)</f>
        <v>2개월</v>
      </c>
    </row>
    <row r="6993" spans="1:12" x14ac:dyDescent="0.3">
      <c r="A6993" s="5">
        <v>45809</v>
      </c>
      <c r="B6993" s="6" t="s">
        <v>20</v>
      </c>
      <c r="C6993" s="6" t="s">
        <v>30</v>
      </c>
      <c r="D6993" s="5">
        <v>45778</v>
      </c>
      <c r="E6993" s="6" t="s">
        <v>15</v>
      </c>
      <c r="F6993" s="7">
        <v>578</v>
      </c>
      <c r="G6993" s="7">
        <v>88462.548442906569</v>
      </c>
      <c r="H6993" s="7">
        <v>51131353</v>
      </c>
      <c r="I6993" s="7">
        <v>5057601</v>
      </c>
      <c r="J6993" s="7">
        <v>0</v>
      </c>
      <c r="K6993">
        <f t="shared" si="109"/>
        <v>31</v>
      </c>
      <c r="L6993" s="8" t="str" cm="1">
        <f t="array" ref="L6993">_xlfn.IFS(
 AND(K6993&gt;=89,K6993&lt;=92),"3개월",
 AND(K6993&gt;=58,K6993&lt;=62),"2개월",
 AND(K6993&gt;=28,K6993&lt;=32),"1개월",
 AND(K6993=0),"당월",
 TRUE,"그외"
)</f>
        <v>1개월</v>
      </c>
    </row>
    <row r="6994" spans="1:12" x14ac:dyDescent="0.3">
      <c r="A6994" s="5">
        <v>45809</v>
      </c>
      <c r="B6994" s="6" t="s">
        <v>20</v>
      </c>
      <c r="C6994" s="6" t="s">
        <v>31</v>
      </c>
      <c r="D6994" s="5">
        <v>45627</v>
      </c>
      <c r="E6994" s="6" t="s">
        <v>15</v>
      </c>
      <c r="F6994" s="7">
        <v>26</v>
      </c>
      <c r="G6994" s="7">
        <v>154984.92307692309</v>
      </c>
      <c r="H6994" s="7">
        <v>4029608</v>
      </c>
      <c r="I6994" s="7">
        <v>517829</v>
      </c>
      <c r="J6994" s="7">
        <v>0</v>
      </c>
      <c r="K6994">
        <f t="shared" si="109"/>
        <v>182</v>
      </c>
      <c r="L6994" s="8" t="str" cm="1">
        <f t="array" ref="L6994">_xlfn.IFS(
 AND(K6994&gt;=89,K6994&lt;=92),"3개월",
 AND(K6994&gt;=58,K6994&lt;=62),"2개월",
 AND(K6994&gt;=28,K6994&lt;=32),"1개월",
 AND(K6994=0),"당월",
 TRUE,"그외"
)</f>
        <v>그외</v>
      </c>
    </row>
    <row r="6995" spans="1:12" x14ac:dyDescent="0.3">
      <c r="A6995" s="5">
        <v>45809</v>
      </c>
      <c r="B6995" s="6" t="s">
        <v>20</v>
      </c>
      <c r="C6995" s="6" t="s">
        <v>31</v>
      </c>
      <c r="D6995" s="5">
        <v>45658</v>
      </c>
      <c r="E6995" s="6" t="s">
        <v>15</v>
      </c>
      <c r="F6995" s="7">
        <v>297</v>
      </c>
      <c r="G6995" s="7">
        <v>151869.60606060599</v>
      </c>
      <c r="H6995" s="7">
        <v>45105273</v>
      </c>
      <c r="I6995" s="7">
        <v>5493232</v>
      </c>
      <c r="J6995" s="7">
        <v>0</v>
      </c>
      <c r="K6995">
        <f t="shared" si="109"/>
        <v>151</v>
      </c>
      <c r="L6995" s="8" t="str" cm="1">
        <f t="array" ref="L6995">_xlfn.IFS(
 AND(K6995&gt;=89,K6995&lt;=92),"3개월",
 AND(K6995&gt;=58,K6995&lt;=62),"2개월",
 AND(K6995&gt;=28,K6995&lt;=32),"1개월",
 AND(K6995=0),"당월",
 TRUE,"그외"
)</f>
        <v>그외</v>
      </c>
    </row>
    <row r="6996" spans="1:12" x14ac:dyDescent="0.3">
      <c r="A6996" s="5">
        <v>45809</v>
      </c>
      <c r="B6996" s="6" t="s">
        <v>20</v>
      </c>
      <c r="C6996" s="6" t="s">
        <v>31</v>
      </c>
      <c r="D6996" s="5">
        <v>45689</v>
      </c>
      <c r="E6996" s="6" t="s">
        <v>14</v>
      </c>
      <c r="F6996" s="7">
        <v>40</v>
      </c>
      <c r="G6996" s="7">
        <v>153350.375</v>
      </c>
      <c r="H6996" s="7">
        <v>6134015</v>
      </c>
      <c r="I6996" s="7">
        <v>1108728</v>
      </c>
      <c r="J6996" s="7">
        <v>0</v>
      </c>
      <c r="K6996">
        <f t="shared" si="109"/>
        <v>120</v>
      </c>
      <c r="L6996" s="8" t="str" cm="1">
        <f t="array" ref="L6996">_xlfn.IFS(
 AND(K6996&gt;=89,K6996&lt;=92),"3개월",
 AND(K6996&gt;=58,K6996&lt;=62),"2개월",
 AND(K6996&gt;=28,K6996&lt;=32),"1개월",
 AND(K6996=0),"당월",
 TRUE,"그외"
)</f>
        <v>그외</v>
      </c>
    </row>
    <row r="6997" spans="1:12" x14ac:dyDescent="0.3">
      <c r="A6997" s="5">
        <v>45809</v>
      </c>
      <c r="B6997" s="6" t="s">
        <v>20</v>
      </c>
      <c r="C6997" s="6" t="s">
        <v>31</v>
      </c>
      <c r="D6997" s="5">
        <v>45689</v>
      </c>
      <c r="E6997" s="6" t="s">
        <v>15</v>
      </c>
      <c r="F6997" s="7">
        <v>440</v>
      </c>
      <c r="G6997" s="7">
        <v>154991.38409090909</v>
      </c>
      <c r="H6997" s="7">
        <v>68196209</v>
      </c>
      <c r="I6997" s="7">
        <v>9282568</v>
      </c>
      <c r="J6997" s="7">
        <v>0</v>
      </c>
      <c r="K6997">
        <f t="shared" si="109"/>
        <v>120</v>
      </c>
      <c r="L6997" s="8" t="str" cm="1">
        <f t="array" ref="L6997">_xlfn.IFS(
 AND(K6997&gt;=89,K6997&lt;=92),"3개월",
 AND(K6997&gt;=58,K6997&lt;=62),"2개월",
 AND(K6997&gt;=28,K6997&lt;=32),"1개월",
 AND(K6997=0),"당월",
 TRUE,"그외"
)</f>
        <v>그외</v>
      </c>
    </row>
    <row r="6998" spans="1:12" x14ac:dyDescent="0.3">
      <c r="A6998" s="5">
        <v>45809</v>
      </c>
      <c r="B6998" s="6" t="s">
        <v>20</v>
      </c>
      <c r="C6998" s="6" t="s">
        <v>31</v>
      </c>
      <c r="D6998" s="5">
        <v>45717</v>
      </c>
      <c r="E6998" s="6" t="s">
        <v>14</v>
      </c>
      <c r="F6998" s="7">
        <v>55</v>
      </c>
      <c r="G6998" s="7">
        <v>144772.05454545451</v>
      </c>
      <c r="H6998" s="7">
        <v>7962463</v>
      </c>
      <c r="I6998" s="7">
        <v>1989442</v>
      </c>
      <c r="J6998" s="7">
        <v>0</v>
      </c>
      <c r="K6998">
        <f t="shared" si="109"/>
        <v>92</v>
      </c>
      <c r="L6998" s="8" t="str" cm="1">
        <f t="array" ref="L6998">_xlfn.IFS(
 AND(K6998&gt;=89,K6998&lt;=92),"3개월",
 AND(K6998&gt;=58,K6998&lt;=62),"2개월",
 AND(K6998&gt;=28,K6998&lt;=32),"1개월",
 AND(K6998=0),"당월",
 TRUE,"그외"
)</f>
        <v>3개월</v>
      </c>
    </row>
    <row r="6999" spans="1:12" x14ac:dyDescent="0.3">
      <c r="A6999" s="5">
        <v>45809</v>
      </c>
      <c r="B6999" s="6" t="s">
        <v>20</v>
      </c>
      <c r="C6999" s="6" t="s">
        <v>31</v>
      </c>
      <c r="D6999" s="5">
        <v>45717</v>
      </c>
      <c r="E6999" s="6" t="s">
        <v>15</v>
      </c>
      <c r="F6999" s="7">
        <v>1278</v>
      </c>
      <c r="G6999" s="7">
        <v>128469.32003129891</v>
      </c>
      <c r="H6999" s="7">
        <v>164183791</v>
      </c>
      <c r="I6999" s="7">
        <v>29707304</v>
      </c>
      <c r="J6999" s="7">
        <v>0</v>
      </c>
      <c r="K6999">
        <f t="shared" si="109"/>
        <v>92</v>
      </c>
      <c r="L6999" s="8" t="str" cm="1">
        <f t="array" ref="L6999">_xlfn.IFS(
 AND(K6999&gt;=89,K6999&lt;=92),"3개월",
 AND(K6999&gt;=58,K6999&lt;=62),"2개월",
 AND(K6999&gt;=28,K6999&lt;=32),"1개월",
 AND(K6999=0),"당월",
 TRUE,"그외"
)</f>
        <v>3개월</v>
      </c>
    </row>
    <row r="7000" spans="1:12" x14ac:dyDescent="0.3">
      <c r="A7000" s="5">
        <v>45809</v>
      </c>
      <c r="B7000" s="6" t="s">
        <v>20</v>
      </c>
      <c r="C7000" s="6" t="s">
        <v>31</v>
      </c>
      <c r="D7000" s="5">
        <v>45748</v>
      </c>
      <c r="E7000" s="6" t="s">
        <v>14</v>
      </c>
      <c r="F7000" s="7">
        <v>310</v>
      </c>
      <c r="G7000" s="7">
        <v>153786.85161290321</v>
      </c>
      <c r="H7000" s="7">
        <v>47673924</v>
      </c>
      <c r="I7000" s="7">
        <v>9875443</v>
      </c>
      <c r="J7000" s="7">
        <v>0</v>
      </c>
      <c r="K7000">
        <f t="shared" si="109"/>
        <v>61</v>
      </c>
      <c r="L7000" s="8" t="str" cm="1">
        <f t="array" ref="L7000">_xlfn.IFS(
 AND(K7000&gt;=89,K7000&lt;=92),"3개월",
 AND(K7000&gt;=58,K7000&lt;=62),"2개월",
 AND(K7000&gt;=28,K7000&lt;=32),"1개월",
 AND(K7000=0),"당월",
 TRUE,"그외"
)</f>
        <v>2개월</v>
      </c>
    </row>
    <row r="7001" spans="1:12" x14ac:dyDescent="0.3">
      <c r="A7001" s="5">
        <v>45809</v>
      </c>
      <c r="B7001" s="6" t="s">
        <v>20</v>
      </c>
      <c r="C7001" s="6" t="s">
        <v>31</v>
      </c>
      <c r="D7001" s="5">
        <v>45748</v>
      </c>
      <c r="E7001" s="6" t="s">
        <v>15</v>
      </c>
      <c r="F7001" s="7">
        <v>2542</v>
      </c>
      <c r="G7001" s="7">
        <v>115274.5440597954</v>
      </c>
      <c r="H7001" s="7">
        <v>293027891</v>
      </c>
      <c r="I7001" s="7">
        <v>55207511</v>
      </c>
      <c r="J7001" s="7">
        <v>0</v>
      </c>
      <c r="K7001">
        <f t="shared" si="109"/>
        <v>61</v>
      </c>
      <c r="L7001" s="8" t="str" cm="1">
        <f t="array" ref="L7001">_xlfn.IFS(
 AND(K7001&gt;=89,K7001&lt;=92),"3개월",
 AND(K7001&gt;=58,K7001&lt;=62),"2개월",
 AND(K7001&gt;=28,K7001&lt;=32),"1개월",
 AND(K7001=0),"당월",
 TRUE,"그외"
)</f>
        <v>2개월</v>
      </c>
    </row>
    <row r="7002" spans="1:12" x14ac:dyDescent="0.3">
      <c r="A7002" s="5">
        <v>45809</v>
      </c>
      <c r="B7002" s="6" t="s">
        <v>20</v>
      </c>
      <c r="C7002" s="6" t="s">
        <v>31</v>
      </c>
      <c r="D7002" s="5">
        <v>45778</v>
      </c>
      <c r="E7002" s="6" t="s">
        <v>14</v>
      </c>
      <c r="F7002" s="7">
        <v>62</v>
      </c>
      <c r="G7002" s="7">
        <v>177140.40322580651</v>
      </c>
      <c r="H7002" s="7">
        <v>10982705</v>
      </c>
      <c r="I7002" s="7">
        <v>2245550</v>
      </c>
      <c r="J7002" s="7">
        <v>0</v>
      </c>
      <c r="K7002">
        <f t="shared" si="109"/>
        <v>31</v>
      </c>
      <c r="L7002" s="8" t="str" cm="1">
        <f t="array" ref="L7002">_xlfn.IFS(
 AND(K7002&gt;=89,K7002&lt;=92),"3개월",
 AND(K7002&gt;=58,K7002&lt;=62),"2개월",
 AND(K7002&gt;=28,K7002&lt;=32),"1개월",
 AND(K7002=0),"당월",
 TRUE,"그외"
)</f>
        <v>1개월</v>
      </c>
    </row>
    <row r="7003" spans="1:12" x14ac:dyDescent="0.3">
      <c r="A7003" s="5">
        <v>45809</v>
      </c>
      <c r="B7003" s="6" t="s">
        <v>20</v>
      </c>
      <c r="C7003" s="6" t="s">
        <v>31</v>
      </c>
      <c r="D7003" s="5">
        <v>45778</v>
      </c>
      <c r="E7003" s="6" t="s">
        <v>15</v>
      </c>
      <c r="F7003" s="7">
        <v>568</v>
      </c>
      <c r="G7003" s="7">
        <v>129062.7588028169</v>
      </c>
      <c r="H7003" s="7">
        <v>73307647</v>
      </c>
      <c r="I7003" s="7">
        <v>10802403</v>
      </c>
      <c r="J7003" s="7">
        <v>0</v>
      </c>
      <c r="K7003">
        <f t="shared" si="109"/>
        <v>31</v>
      </c>
      <c r="L7003" s="8" t="str" cm="1">
        <f t="array" ref="L7003">_xlfn.IFS(
 AND(K7003&gt;=89,K7003&lt;=92),"3개월",
 AND(K7003&gt;=58,K7003&lt;=62),"2개월",
 AND(K7003&gt;=28,K7003&lt;=32),"1개월",
 AND(K7003=0),"당월",
 TRUE,"그외"
)</f>
        <v>1개월</v>
      </c>
    </row>
    <row r="7004" spans="1:12" x14ac:dyDescent="0.3">
      <c r="A7004" s="5">
        <v>45809</v>
      </c>
      <c r="B7004" s="6" t="s">
        <v>20</v>
      </c>
      <c r="C7004" s="6" t="s">
        <v>32</v>
      </c>
      <c r="D7004" s="5">
        <v>45627</v>
      </c>
      <c r="E7004" s="6" t="s">
        <v>15</v>
      </c>
      <c r="F7004" s="7">
        <v>55</v>
      </c>
      <c r="G7004" s="7">
        <v>128922.9090909091</v>
      </c>
      <c r="H7004" s="7">
        <v>7090760</v>
      </c>
      <c r="I7004" s="7">
        <v>1236149</v>
      </c>
      <c r="J7004" s="7">
        <v>0</v>
      </c>
      <c r="K7004">
        <f t="shared" si="109"/>
        <v>182</v>
      </c>
      <c r="L7004" s="8" t="str" cm="1">
        <f t="array" ref="L7004">_xlfn.IFS(
 AND(K7004&gt;=89,K7004&lt;=92),"3개월",
 AND(K7004&gt;=58,K7004&lt;=62),"2개월",
 AND(K7004&gt;=28,K7004&lt;=32),"1개월",
 AND(K7004=0),"당월",
 TRUE,"그외"
)</f>
        <v>그외</v>
      </c>
    </row>
    <row r="7005" spans="1:12" x14ac:dyDescent="0.3">
      <c r="A7005" s="5">
        <v>45809</v>
      </c>
      <c r="B7005" s="6" t="s">
        <v>20</v>
      </c>
      <c r="C7005" s="6" t="s">
        <v>32</v>
      </c>
      <c r="D7005" s="5">
        <v>45658</v>
      </c>
      <c r="E7005" s="6" t="s">
        <v>14</v>
      </c>
      <c r="F7005" s="7">
        <v>3</v>
      </c>
      <c r="G7005" s="7">
        <v>120649</v>
      </c>
      <c r="H7005" s="7">
        <v>361947</v>
      </c>
      <c r="I7005" s="7">
        <v>85653</v>
      </c>
      <c r="J7005" s="7">
        <v>0</v>
      </c>
      <c r="K7005">
        <f t="shared" si="109"/>
        <v>151</v>
      </c>
      <c r="L7005" s="8" t="str" cm="1">
        <f t="array" ref="L7005">_xlfn.IFS(
 AND(K7005&gt;=89,K7005&lt;=92),"3개월",
 AND(K7005&gt;=58,K7005&lt;=62),"2개월",
 AND(K7005&gt;=28,K7005&lt;=32),"1개월",
 AND(K7005=0),"당월",
 TRUE,"그외"
)</f>
        <v>그외</v>
      </c>
    </row>
    <row r="7006" spans="1:12" x14ac:dyDescent="0.3">
      <c r="A7006" s="5">
        <v>45809</v>
      </c>
      <c r="B7006" s="6" t="s">
        <v>20</v>
      </c>
      <c r="C7006" s="6" t="s">
        <v>32</v>
      </c>
      <c r="D7006" s="5">
        <v>45658</v>
      </c>
      <c r="E7006" s="6" t="s">
        <v>15</v>
      </c>
      <c r="F7006" s="7">
        <v>741</v>
      </c>
      <c r="G7006" s="7">
        <v>130439.4750337382</v>
      </c>
      <c r="H7006" s="7">
        <v>96655651</v>
      </c>
      <c r="I7006" s="7">
        <v>16204194</v>
      </c>
      <c r="J7006" s="7">
        <v>0</v>
      </c>
      <c r="K7006">
        <f t="shared" si="109"/>
        <v>151</v>
      </c>
      <c r="L7006" s="8" t="str" cm="1">
        <f t="array" ref="L7006">_xlfn.IFS(
 AND(K7006&gt;=89,K7006&lt;=92),"3개월",
 AND(K7006&gt;=58,K7006&lt;=62),"2개월",
 AND(K7006&gt;=28,K7006&lt;=32),"1개월",
 AND(K7006=0),"당월",
 TRUE,"그외"
)</f>
        <v>그외</v>
      </c>
    </row>
    <row r="7007" spans="1:12" x14ac:dyDescent="0.3">
      <c r="A7007" s="5">
        <v>45809</v>
      </c>
      <c r="B7007" s="6" t="s">
        <v>20</v>
      </c>
      <c r="C7007" s="6" t="s">
        <v>32</v>
      </c>
      <c r="D7007" s="5">
        <v>45689</v>
      </c>
      <c r="E7007" s="6" t="s">
        <v>14</v>
      </c>
      <c r="F7007" s="7">
        <v>61</v>
      </c>
      <c r="G7007" s="7">
        <v>122015.7540983607</v>
      </c>
      <c r="H7007" s="7">
        <v>7442961</v>
      </c>
      <c r="I7007" s="7">
        <v>2144028</v>
      </c>
      <c r="J7007" s="7">
        <v>0</v>
      </c>
      <c r="K7007">
        <f t="shared" si="109"/>
        <v>120</v>
      </c>
      <c r="L7007" s="8" t="str" cm="1">
        <f t="array" ref="L7007">_xlfn.IFS(
 AND(K7007&gt;=89,K7007&lt;=92),"3개월",
 AND(K7007&gt;=58,K7007&lt;=62),"2개월",
 AND(K7007&gt;=28,K7007&lt;=32),"1개월",
 AND(K7007=0),"당월",
 TRUE,"그외"
)</f>
        <v>그외</v>
      </c>
    </row>
    <row r="7008" spans="1:12" x14ac:dyDescent="0.3">
      <c r="A7008" s="5">
        <v>45809</v>
      </c>
      <c r="B7008" s="6" t="s">
        <v>20</v>
      </c>
      <c r="C7008" s="6" t="s">
        <v>32</v>
      </c>
      <c r="D7008" s="5">
        <v>45689</v>
      </c>
      <c r="E7008" s="6" t="s">
        <v>15</v>
      </c>
      <c r="F7008" s="7">
        <v>1814</v>
      </c>
      <c r="G7008" s="7">
        <v>133204.59812568911</v>
      </c>
      <c r="H7008" s="7">
        <v>241633141</v>
      </c>
      <c r="I7008" s="7">
        <v>43600766</v>
      </c>
      <c r="J7008" s="7">
        <v>0</v>
      </c>
      <c r="K7008">
        <f t="shared" si="109"/>
        <v>120</v>
      </c>
      <c r="L7008" s="8" t="str" cm="1">
        <f t="array" ref="L7008">_xlfn.IFS(
 AND(K7008&gt;=89,K7008&lt;=92),"3개월",
 AND(K7008&gt;=58,K7008&lt;=62),"2개월",
 AND(K7008&gt;=28,K7008&lt;=32),"1개월",
 AND(K7008=0),"당월",
 TRUE,"그외"
)</f>
        <v>그외</v>
      </c>
    </row>
    <row r="7009" spans="1:12" x14ac:dyDescent="0.3">
      <c r="A7009" s="5">
        <v>45809</v>
      </c>
      <c r="B7009" s="6" t="s">
        <v>20</v>
      </c>
      <c r="C7009" s="6" t="s">
        <v>32</v>
      </c>
      <c r="D7009" s="5">
        <v>45717</v>
      </c>
      <c r="E7009" s="6" t="s">
        <v>14</v>
      </c>
      <c r="F7009" s="7">
        <v>171</v>
      </c>
      <c r="G7009" s="7">
        <v>128803.9064327485</v>
      </c>
      <c r="H7009" s="7">
        <v>22025468</v>
      </c>
      <c r="I7009" s="7">
        <v>5796089</v>
      </c>
      <c r="J7009" s="7">
        <v>0</v>
      </c>
      <c r="K7009">
        <f t="shared" si="109"/>
        <v>92</v>
      </c>
      <c r="L7009" s="8" t="str" cm="1">
        <f t="array" ref="L7009">_xlfn.IFS(
 AND(K7009&gt;=89,K7009&lt;=92),"3개월",
 AND(K7009&gt;=58,K7009&lt;=62),"2개월",
 AND(K7009&gt;=28,K7009&lt;=32),"1개월",
 AND(K7009=0),"당월",
 TRUE,"그외"
)</f>
        <v>3개월</v>
      </c>
    </row>
    <row r="7010" spans="1:12" x14ac:dyDescent="0.3">
      <c r="A7010" s="5">
        <v>45809</v>
      </c>
      <c r="B7010" s="6" t="s">
        <v>20</v>
      </c>
      <c r="C7010" s="6" t="s">
        <v>32</v>
      </c>
      <c r="D7010" s="5">
        <v>45717</v>
      </c>
      <c r="E7010" s="6" t="s">
        <v>15</v>
      </c>
      <c r="F7010" s="7">
        <v>2433</v>
      </c>
      <c r="G7010" s="7">
        <v>129616.8561446774</v>
      </c>
      <c r="H7010" s="7">
        <v>315357811</v>
      </c>
      <c r="I7010" s="7">
        <v>64472504</v>
      </c>
      <c r="J7010" s="7">
        <v>0</v>
      </c>
      <c r="K7010">
        <f t="shared" si="109"/>
        <v>92</v>
      </c>
      <c r="L7010" s="8" t="str" cm="1">
        <f t="array" ref="L7010">_xlfn.IFS(
 AND(K7010&gt;=89,K7010&lt;=92),"3개월",
 AND(K7010&gt;=58,K7010&lt;=62),"2개월",
 AND(K7010&gt;=28,K7010&lt;=32),"1개월",
 AND(K7010=0),"당월",
 TRUE,"그외"
)</f>
        <v>3개월</v>
      </c>
    </row>
    <row r="7011" spans="1:12" x14ac:dyDescent="0.3">
      <c r="A7011" s="5">
        <v>45809</v>
      </c>
      <c r="B7011" s="6" t="s">
        <v>20</v>
      </c>
      <c r="C7011" s="6" t="s">
        <v>32</v>
      </c>
      <c r="D7011" s="5">
        <v>45748</v>
      </c>
      <c r="E7011" s="6" t="s">
        <v>14</v>
      </c>
      <c r="F7011" s="7">
        <v>250</v>
      </c>
      <c r="G7011" s="7">
        <v>119583.948</v>
      </c>
      <c r="H7011" s="7">
        <v>29895987</v>
      </c>
      <c r="I7011" s="7">
        <v>5519089</v>
      </c>
      <c r="J7011" s="7">
        <v>0</v>
      </c>
      <c r="K7011">
        <f t="shared" si="109"/>
        <v>61</v>
      </c>
      <c r="L7011" s="8" t="str" cm="1">
        <f t="array" ref="L7011">_xlfn.IFS(
 AND(K7011&gt;=89,K7011&lt;=92),"3개월",
 AND(K7011&gt;=58,K7011&lt;=62),"2개월",
 AND(K7011&gt;=28,K7011&lt;=32),"1개월",
 AND(K7011=0),"당월",
 TRUE,"그외"
)</f>
        <v>2개월</v>
      </c>
    </row>
    <row r="7012" spans="1:12" x14ac:dyDescent="0.3">
      <c r="A7012" s="5">
        <v>45809</v>
      </c>
      <c r="B7012" s="6" t="s">
        <v>20</v>
      </c>
      <c r="C7012" s="6" t="s">
        <v>32</v>
      </c>
      <c r="D7012" s="5">
        <v>45748</v>
      </c>
      <c r="E7012" s="6" t="s">
        <v>15</v>
      </c>
      <c r="F7012" s="7">
        <v>5492</v>
      </c>
      <c r="G7012" s="7">
        <v>114200.5924981792</v>
      </c>
      <c r="H7012" s="7">
        <v>627189654</v>
      </c>
      <c r="I7012" s="7">
        <v>126937778</v>
      </c>
      <c r="J7012" s="7">
        <v>0</v>
      </c>
      <c r="K7012">
        <f t="shared" si="109"/>
        <v>61</v>
      </c>
      <c r="L7012" s="8" t="str" cm="1">
        <f t="array" ref="L7012">_xlfn.IFS(
 AND(K7012&gt;=89,K7012&lt;=92),"3개월",
 AND(K7012&gt;=58,K7012&lt;=62),"2개월",
 AND(K7012&gt;=28,K7012&lt;=32),"1개월",
 AND(K7012=0),"당월",
 TRUE,"그외"
)</f>
        <v>2개월</v>
      </c>
    </row>
    <row r="7013" spans="1:12" x14ac:dyDescent="0.3">
      <c r="A7013" s="5">
        <v>45809</v>
      </c>
      <c r="B7013" s="6" t="s">
        <v>20</v>
      </c>
      <c r="C7013" s="6" t="s">
        <v>32</v>
      </c>
      <c r="D7013" s="5">
        <v>45778</v>
      </c>
      <c r="E7013" s="6" t="s">
        <v>14</v>
      </c>
      <c r="F7013" s="7">
        <v>233</v>
      </c>
      <c r="G7013" s="7">
        <v>129181.2875536481</v>
      </c>
      <c r="H7013" s="7">
        <v>30099240</v>
      </c>
      <c r="I7013" s="7">
        <v>7143029</v>
      </c>
      <c r="J7013" s="7">
        <v>0</v>
      </c>
      <c r="K7013">
        <f t="shared" si="109"/>
        <v>31</v>
      </c>
      <c r="L7013" s="8" t="str" cm="1">
        <f t="array" ref="L7013">_xlfn.IFS(
 AND(K7013&gt;=89,K7013&lt;=92),"3개월",
 AND(K7013&gt;=58,K7013&lt;=62),"2개월",
 AND(K7013&gt;=28,K7013&lt;=32),"1개월",
 AND(K7013=0),"당월",
 TRUE,"그외"
)</f>
        <v>1개월</v>
      </c>
    </row>
    <row r="7014" spans="1:12" x14ac:dyDescent="0.3">
      <c r="A7014" s="5">
        <v>45809</v>
      </c>
      <c r="B7014" s="6" t="s">
        <v>20</v>
      </c>
      <c r="C7014" s="6" t="s">
        <v>32</v>
      </c>
      <c r="D7014" s="5">
        <v>45778</v>
      </c>
      <c r="E7014" s="6" t="s">
        <v>15</v>
      </c>
      <c r="F7014" s="7">
        <v>2064</v>
      </c>
      <c r="G7014" s="7">
        <v>120449.234496124</v>
      </c>
      <c r="H7014" s="7">
        <v>248607220</v>
      </c>
      <c r="I7014" s="7">
        <v>41789519</v>
      </c>
      <c r="J7014" s="7">
        <v>0</v>
      </c>
      <c r="K7014">
        <f t="shared" si="109"/>
        <v>31</v>
      </c>
      <c r="L7014" s="8" t="str" cm="1">
        <f t="array" ref="L7014">_xlfn.IFS(
 AND(K7014&gt;=89,K7014&lt;=92),"3개월",
 AND(K7014&gt;=58,K7014&lt;=62),"2개월",
 AND(K7014&gt;=28,K7014&lt;=32),"1개월",
 AND(K7014=0),"당월",
 TRUE,"그외"
)</f>
        <v>1개월</v>
      </c>
    </row>
    <row r="7015" spans="1:12" x14ac:dyDescent="0.3">
      <c r="A7015" s="5">
        <v>45809</v>
      </c>
      <c r="B7015" s="6" t="s">
        <v>20</v>
      </c>
      <c r="C7015" s="6" t="s">
        <v>33</v>
      </c>
      <c r="D7015" s="5">
        <v>45627</v>
      </c>
      <c r="E7015" s="6" t="s">
        <v>15</v>
      </c>
      <c r="F7015" s="7">
        <v>31</v>
      </c>
      <c r="G7015" s="7">
        <v>137674.87096774191</v>
      </c>
      <c r="H7015" s="7">
        <v>4267921</v>
      </c>
      <c r="I7015" s="7">
        <v>657398</v>
      </c>
      <c r="J7015" s="7">
        <v>0</v>
      </c>
      <c r="K7015">
        <f t="shared" si="109"/>
        <v>182</v>
      </c>
      <c r="L7015" s="8" t="str" cm="1">
        <f t="array" ref="L7015">_xlfn.IFS(
 AND(K7015&gt;=89,K7015&lt;=92),"3개월",
 AND(K7015&gt;=58,K7015&lt;=62),"2개월",
 AND(K7015&gt;=28,K7015&lt;=32),"1개월",
 AND(K7015=0),"당월",
 TRUE,"그외"
)</f>
        <v>그외</v>
      </c>
    </row>
    <row r="7016" spans="1:12" x14ac:dyDescent="0.3">
      <c r="A7016" s="5">
        <v>45809</v>
      </c>
      <c r="B7016" s="6" t="s">
        <v>20</v>
      </c>
      <c r="C7016" s="6" t="s">
        <v>33</v>
      </c>
      <c r="D7016" s="5">
        <v>45658</v>
      </c>
      <c r="E7016" s="6" t="s">
        <v>15</v>
      </c>
      <c r="F7016" s="7">
        <v>401</v>
      </c>
      <c r="G7016" s="7">
        <v>132365.77057356609</v>
      </c>
      <c r="H7016" s="7">
        <v>53078674</v>
      </c>
      <c r="I7016" s="7">
        <v>8499822</v>
      </c>
      <c r="J7016" s="7">
        <v>0</v>
      </c>
      <c r="K7016">
        <f t="shared" si="109"/>
        <v>151</v>
      </c>
      <c r="L7016" s="8" t="str" cm="1">
        <f t="array" ref="L7016">_xlfn.IFS(
 AND(K7016&gt;=89,K7016&lt;=92),"3개월",
 AND(K7016&gt;=58,K7016&lt;=62),"2개월",
 AND(K7016&gt;=28,K7016&lt;=32),"1개월",
 AND(K7016=0),"당월",
 TRUE,"그외"
)</f>
        <v>그외</v>
      </c>
    </row>
    <row r="7017" spans="1:12" x14ac:dyDescent="0.3">
      <c r="A7017" s="5">
        <v>45809</v>
      </c>
      <c r="B7017" s="6" t="s">
        <v>20</v>
      </c>
      <c r="C7017" s="6" t="s">
        <v>33</v>
      </c>
      <c r="D7017" s="5">
        <v>45689</v>
      </c>
      <c r="E7017" s="6" t="s">
        <v>14</v>
      </c>
      <c r="F7017" s="7">
        <v>2</v>
      </c>
      <c r="G7017" s="7">
        <v>186400</v>
      </c>
      <c r="H7017" s="7">
        <v>372800</v>
      </c>
      <c r="I7017" s="7">
        <v>40800</v>
      </c>
      <c r="J7017" s="7">
        <v>0</v>
      </c>
      <c r="K7017">
        <f t="shared" si="109"/>
        <v>120</v>
      </c>
      <c r="L7017" s="8" t="str" cm="1">
        <f t="array" ref="L7017">_xlfn.IFS(
 AND(K7017&gt;=89,K7017&lt;=92),"3개월",
 AND(K7017&gt;=58,K7017&lt;=62),"2개월",
 AND(K7017&gt;=28,K7017&lt;=32),"1개월",
 AND(K7017=0),"당월",
 TRUE,"그외"
)</f>
        <v>그외</v>
      </c>
    </row>
    <row r="7018" spans="1:12" x14ac:dyDescent="0.3">
      <c r="A7018" s="5">
        <v>45809</v>
      </c>
      <c r="B7018" s="6" t="s">
        <v>20</v>
      </c>
      <c r="C7018" s="6" t="s">
        <v>33</v>
      </c>
      <c r="D7018" s="5">
        <v>45689</v>
      </c>
      <c r="E7018" s="6" t="s">
        <v>15</v>
      </c>
      <c r="F7018" s="7">
        <v>899</v>
      </c>
      <c r="G7018" s="7">
        <v>153872.02558398221</v>
      </c>
      <c r="H7018" s="7">
        <v>138330951</v>
      </c>
      <c r="I7018" s="7">
        <v>19638841</v>
      </c>
      <c r="J7018" s="7">
        <v>0</v>
      </c>
      <c r="K7018">
        <f t="shared" si="109"/>
        <v>120</v>
      </c>
      <c r="L7018" s="8" t="str" cm="1">
        <f t="array" ref="L7018">_xlfn.IFS(
 AND(K7018&gt;=89,K7018&lt;=92),"3개월",
 AND(K7018&gt;=58,K7018&lt;=62),"2개월",
 AND(K7018&gt;=28,K7018&lt;=32),"1개월",
 AND(K7018=0),"당월",
 TRUE,"그외"
)</f>
        <v>그외</v>
      </c>
    </row>
    <row r="7019" spans="1:12" x14ac:dyDescent="0.3">
      <c r="A7019" s="5">
        <v>45809</v>
      </c>
      <c r="B7019" s="6" t="s">
        <v>20</v>
      </c>
      <c r="C7019" s="6" t="s">
        <v>33</v>
      </c>
      <c r="D7019" s="5">
        <v>45717</v>
      </c>
      <c r="E7019" s="6" t="s">
        <v>15</v>
      </c>
      <c r="F7019" s="7">
        <v>999</v>
      </c>
      <c r="G7019" s="7">
        <v>163786.7067067067</v>
      </c>
      <c r="H7019" s="7">
        <v>163622920</v>
      </c>
      <c r="I7019" s="7">
        <v>24917888</v>
      </c>
      <c r="J7019" s="7">
        <v>0</v>
      </c>
      <c r="K7019">
        <f t="shared" si="109"/>
        <v>92</v>
      </c>
      <c r="L7019" s="8" t="str" cm="1">
        <f t="array" ref="L7019">_xlfn.IFS(
 AND(K7019&gt;=89,K7019&lt;=92),"3개월",
 AND(K7019&gt;=58,K7019&lt;=62),"2개월",
 AND(K7019&gt;=28,K7019&lt;=32),"1개월",
 AND(K7019=0),"당월",
 TRUE,"그외"
)</f>
        <v>3개월</v>
      </c>
    </row>
    <row r="7020" spans="1:12" x14ac:dyDescent="0.3">
      <c r="A7020" s="5">
        <v>45809</v>
      </c>
      <c r="B7020" s="6" t="s">
        <v>20</v>
      </c>
      <c r="C7020" s="6" t="s">
        <v>33</v>
      </c>
      <c r="D7020" s="5">
        <v>45748</v>
      </c>
      <c r="E7020" s="6" t="s">
        <v>14</v>
      </c>
      <c r="F7020" s="7">
        <v>89</v>
      </c>
      <c r="G7020" s="7">
        <v>256360.53932584269</v>
      </c>
      <c r="H7020" s="7">
        <v>22816088</v>
      </c>
      <c r="I7020" s="7">
        <v>1656760</v>
      </c>
      <c r="J7020" s="7">
        <v>0</v>
      </c>
      <c r="K7020">
        <f t="shared" si="109"/>
        <v>61</v>
      </c>
      <c r="L7020" s="8" t="str" cm="1">
        <f t="array" ref="L7020">_xlfn.IFS(
 AND(K7020&gt;=89,K7020&lt;=92),"3개월",
 AND(K7020&gt;=58,K7020&lt;=62),"2개월",
 AND(K7020&gt;=28,K7020&lt;=32),"1개월",
 AND(K7020=0),"당월",
 TRUE,"그외"
)</f>
        <v>2개월</v>
      </c>
    </row>
    <row r="7021" spans="1:12" x14ac:dyDescent="0.3">
      <c r="A7021" s="5">
        <v>45809</v>
      </c>
      <c r="B7021" s="6" t="s">
        <v>20</v>
      </c>
      <c r="C7021" s="6" t="s">
        <v>33</v>
      </c>
      <c r="D7021" s="5">
        <v>45748</v>
      </c>
      <c r="E7021" s="6" t="s">
        <v>15</v>
      </c>
      <c r="F7021" s="7">
        <v>1680</v>
      </c>
      <c r="G7021" s="7">
        <v>151294.69404761901</v>
      </c>
      <c r="H7021" s="7">
        <v>254175086</v>
      </c>
      <c r="I7021" s="7">
        <v>35011705</v>
      </c>
      <c r="J7021" s="7">
        <v>0</v>
      </c>
      <c r="K7021">
        <f t="shared" si="109"/>
        <v>61</v>
      </c>
      <c r="L7021" s="8" t="str" cm="1">
        <f t="array" ref="L7021">_xlfn.IFS(
 AND(K7021&gt;=89,K7021&lt;=92),"3개월",
 AND(K7021&gt;=58,K7021&lt;=62),"2개월",
 AND(K7021&gt;=28,K7021&lt;=32),"1개월",
 AND(K7021=0),"당월",
 TRUE,"그외"
)</f>
        <v>2개월</v>
      </c>
    </row>
    <row r="7022" spans="1:12" x14ac:dyDescent="0.3">
      <c r="A7022" s="5">
        <v>45809</v>
      </c>
      <c r="B7022" s="6" t="s">
        <v>20</v>
      </c>
      <c r="C7022" s="6" t="s">
        <v>33</v>
      </c>
      <c r="D7022" s="5">
        <v>45778</v>
      </c>
      <c r="E7022" s="6" t="s">
        <v>14</v>
      </c>
      <c r="F7022" s="7">
        <v>111</v>
      </c>
      <c r="G7022" s="7">
        <v>217902.65765765769</v>
      </c>
      <c r="H7022" s="7">
        <v>24187195</v>
      </c>
      <c r="I7022" s="7">
        <v>1706277</v>
      </c>
      <c r="J7022" s="7">
        <v>0</v>
      </c>
      <c r="K7022">
        <f t="shared" si="109"/>
        <v>31</v>
      </c>
      <c r="L7022" s="8" t="str" cm="1">
        <f t="array" ref="L7022">_xlfn.IFS(
 AND(K7022&gt;=89,K7022&lt;=92),"3개월",
 AND(K7022&gt;=58,K7022&lt;=62),"2개월",
 AND(K7022&gt;=28,K7022&lt;=32),"1개월",
 AND(K7022=0),"당월",
 TRUE,"그외"
)</f>
        <v>1개월</v>
      </c>
    </row>
    <row r="7023" spans="1:12" x14ac:dyDescent="0.3">
      <c r="A7023" s="5">
        <v>45809</v>
      </c>
      <c r="B7023" s="6" t="s">
        <v>20</v>
      </c>
      <c r="C7023" s="6" t="s">
        <v>33</v>
      </c>
      <c r="D7023" s="5">
        <v>45778</v>
      </c>
      <c r="E7023" s="6" t="s">
        <v>15</v>
      </c>
      <c r="F7023" s="7">
        <v>605</v>
      </c>
      <c r="G7023" s="7">
        <v>143357.5338842975</v>
      </c>
      <c r="H7023" s="7">
        <v>86731308</v>
      </c>
      <c r="I7023" s="7">
        <v>12386388</v>
      </c>
      <c r="J7023" s="7">
        <v>0</v>
      </c>
      <c r="K7023">
        <f t="shared" si="109"/>
        <v>31</v>
      </c>
      <c r="L7023" s="8" t="str" cm="1">
        <f t="array" ref="L7023">_xlfn.IFS(
 AND(K7023&gt;=89,K7023&lt;=92),"3개월",
 AND(K7023&gt;=58,K7023&lt;=62),"2개월",
 AND(K7023&gt;=28,K7023&lt;=32),"1개월",
 AND(K7023=0),"당월",
 TRUE,"그외"
)</f>
        <v>1개월</v>
      </c>
    </row>
    <row r="7024" spans="1:12" x14ac:dyDescent="0.3">
      <c r="A7024" s="5">
        <v>45809</v>
      </c>
      <c r="B7024" s="6" t="s">
        <v>20</v>
      </c>
      <c r="C7024" s="6" t="s">
        <v>35</v>
      </c>
      <c r="D7024" s="5">
        <v>45658</v>
      </c>
      <c r="E7024" s="6" t="s">
        <v>14</v>
      </c>
      <c r="F7024" s="7">
        <v>8</v>
      </c>
      <c r="G7024" s="7">
        <v>139417.5</v>
      </c>
      <c r="H7024" s="7">
        <v>1115340</v>
      </c>
      <c r="I7024" s="7">
        <v>228988</v>
      </c>
      <c r="J7024" s="7">
        <v>0</v>
      </c>
      <c r="K7024">
        <f t="shared" si="109"/>
        <v>151</v>
      </c>
      <c r="L7024" s="8" t="str" cm="1">
        <f t="array" ref="L7024">_xlfn.IFS(
 AND(K7024&gt;=89,K7024&lt;=92),"3개월",
 AND(K7024&gt;=58,K7024&lt;=62),"2개월",
 AND(K7024&gt;=28,K7024&lt;=32),"1개월",
 AND(K7024=0),"당월",
 TRUE,"그외"
)</f>
        <v>그외</v>
      </c>
    </row>
    <row r="7025" spans="1:12" x14ac:dyDescent="0.3">
      <c r="A7025" s="5">
        <v>45809</v>
      </c>
      <c r="B7025" s="6" t="s">
        <v>20</v>
      </c>
      <c r="C7025" s="6" t="s">
        <v>35</v>
      </c>
      <c r="D7025" s="5">
        <v>45658</v>
      </c>
      <c r="E7025" s="6" t="s">
        <v>15</v>
      </c>
      <c r="F7025" s="7">
        <v>132</v>
      </c>
      <c r="G7025" s="7">
        <v>152080.43939393939</v>
      </c>
      <c r="H7025" s="7">
        <v>20074618</v>
      </c>
      <c r="I7025" s="7">
        <v>2726177</v>
      </c>
      <c r="J7025" s="7">
        <v>0</v>
      </c>
      <c r="K7025">
        <f t="shared" si="109"/>
        <v>151</v>
      </c>
      <c r="L7025" s="8" t="str" cm="1">
        <f t="array" ref="L7025">_xlfn.IFS(
 AND(K7025&gt;=89,K7025&lt;=92),"3개월",
 AND(K7025&gt;=58,K7025&lt;=62),"2개월",
 AND(K7025&gt;=28,K7025&lt;=32),"1개월",
 AND(K7025=0),"당월",
 TRUE,"그외"
)</f>
        <v>그외</v>
      </c>
    </row>
    <row r="7026" spans="1:12" x14ac:dyDescent="0.3">
      <c r="A7026" s="5">
        <v>45809</v>
      </c>
      <c r="B7026" s="6" t="s">
        <v>20</v>
      </c>
      <c r="C7026" s="6" t="s">
        <v>35</v>
      </c>
      <c r="D7026" s="5">
        <v>45689</v>
      </c>
      <c r="E7026" s="6" t="s">
        <v>14</v>
      </c>
      <c r="F7026" s="7">
        <v>6</v>
      </c>
      <c r="G7026" s="7">
        <v>156294.5</v>
      </c>
      <c r="H7026" s="7">
        <v>937767</v>
      </c>
      <c r="I7026" s="7">
        <v>207774</v>
      </c>
      <c r="J7026" s="7">
        <v>0</v>
      </c>
      <c r="K7026">
        <f t="shared" si="109"/>
        <v>120</v>
      </c>
      <c r="L7026" s="8" t="str" cm="1">
        <f t="array" ref="L7026">_xlfn.IFS(
 AND(K7026&gt;=89,K7026&lt;=92),"3개월",
 AND(K7026&gt;=58,K7026&lt;=62),"2개월",
 AND(K7026&gt;=28,K7026&lt;=32),"1개월",
 AND(K7026=0),"당월",
 TRUE,"그외"
)</f>
        <v>그외</v>
      </c>
    </row>
    <row r="7027" spans="1:12" x14ac:dyDescent="0.3">
      <c r="A7027" s="5">
        <v>45809</v>
      </c>
      <c r="B7027" s="6" t="s">
        <v>20</v>
      </c>
      <c r="C7027" s="6" t="s">
        <v>35</v>
      </c>
      <c r="D7027" s="5">
        <v>45689</v>
      </c>
      <c r="E7027" s="6" t="s">
        <v>15</v>
      </c>
      <c r="F7027" s="7">
        <v>358</v>
      </c>
      <c r="G7027" s="7">
        <v>164431.62290502791</v>
      </c>
      <c r="H7027" s="7">
        <v>58866521</v>
      </c>
      <c r="I7027" s="7">
        <v>8130928</v>
      </c>
      <c r="J7027" s="7">
        <v>0</v>
      </c>
      <c r="K7027">
        <f t="shared" si="109"/>
        <v>120</v>
      </c>
      <c r="L7027" s="8" t="str" cm="1">
        <f t="array" ref="L7027">_xlfn.IFS(
 AND(K7027&gt;=89,K7027&lt;=92),"3개월",
 AND(K7027&gt;=58,K7027&lt;=62),"2개월",
 AND(K7027&gt;=28,K7027&lt;=32),"1개월",
 AND(K7027=0),"당월",
 TRUE,"그외"
)</f>
        <v>그외</v>
      </c>
    </row>
    <row r="7028" spans="1:12" x14ac:dyDescent="0.3">
      <c r="A7028" s="5">
        <v>45809</v>
      </c>
      <c r="B7028" s="6" t="s">
        <v>20</v>
      </c>
      <c r="C7028" s="6" t="s">
        <v>35</v>
      </c>
      <c r="D7028" s="5">
        <v>45717</v>
      </c>
      <c r="E7028" s="6" t="s">
        <v>14</v>
      </c>
      <c r="F7028" s="7">
        <v>25</v>
      </c>
      <c r="G7028" s="7">
        <v>174344.84</v>
      </c>
      <c r="H7028" s="7">
        <v>4358621</v>
      </c>
      <c r="I7028" s="7">
        <v>822077</v>
      </c>
      <c r="J7028" s="7">
        <v>0</v>
      </c>
      <c r="K7028">
        <f t="shared" si="109"/>
        <v>92</v>
      </c>
      <c r="L7028" s="8" t="str" cm="1">
        <f t="array" ref="L7028">_xlfn.IFS(
 AND(K7028&gt;=89,K7028&lt;=92),"3개월",
 AND(K7028&gt;=58,K7028&lt;=62),"2개월",
 AND(K7028&gt;=28,K7028&lt;=32),"1개월",
 AND(K7028=0),"당월",
 TRUE,"그외"
)</f>
        <v>3개월</v>
      </c>
    </row>
    <row r="7029" spans="1:12" x14ac:dyDescent="0.3">
      <c r="A7029" s="5">
        <v>45809</v>
      </c>
      <c r="B7029" s="6" t="s">
        <v>20</v>
      </c>
      <c r="C7029" s="6" t="s">
        <v>35</v>
      </c>
      <c r="D7029" s="5">
        <v>45717</v>
      </c>
      <c r="E7029" s="6" t="s">
        <v>15</v>
      </c>
      <c r="F7029" s="7">
        <v>797</v>
      </c>
      <c r="G7029" s="7">
        <v>177488.02634880799</v>
      </c>
      <c r="H7029" s="7">
        <v>141457957</v>
      </c>
      <c r="I7029" s="7">
        <v>19732321</v>
      </c>
      <c r="J7029" s="7">
        <v>0</v>
      </c>
      <c r="K7029">
        <f t="shared" si="109"/>
        <v>92</v>
      </c>
      <c r="L7029" s="8" t="str" cm="1">
        <f t="array" ref="L7029">_xlfn.IFS(
 AND(K7029&gt;=89,K7029&lt;=92),"3개월",
 AND(K7029&gt;=58,K7029&lt;=62),"2개월",
 AND(K7029&gt;=28,K7029&lt;=32),"1개월",
 AND(K7029=0),"당월",
 TRUE,"그외"
)</f>
        <v>3개월</v>
      </c>
    </row>
    <row r="7030" spans="1:12" x14ac:dyDescent="0.3">
      <c r="A7030" s="5">
        <v>45809</v>
      </c>
      <c r="B7030" s="6" t="s">
        <v>20</v>
      </c>
      <c r="C7030" s="6" t="s">
        <v>35</v>
      </c>
      <c r="D7030" s="5">
        <v>45748</v>
      </c>
      <c r="E7030" s="6" t="s">
        <v>14</v>
      </c>
      <c r="F7030" s="7">
        <v>536</v>
      </c>
      <c r="G7030" s="7">
        <v>154035.11940298509</v>
      </c>
      <c r="H7030" s="7">
        <v>82562824</v>
      </c>
      <c r="I7030" s="7">
        <v>9431472</v>
      </c>
      <c r="J7030" s="7">
        <v>0</v>
      </c>
      <c r="K7030">
        <f t="shared" si="109"/>
        <v>61</v>
      </c>
      <c r="L7030" s="8" t="str" cm="1">
        <f t="array" ref="L7030">_xlfn.IFS(
 AND(K7030&gt;=89,K7030&lt;=92),"3개월",
 AND(K7030&gt;=58,K7030&lt;=62),"2개월",
 AND(K7030&gt;=28,K7030&lt;=32),"1개월",
 AND(K7030=0),"당월",
 TRUE,"그외"
)</f>
        <v>2개월</v>
      </c>
    </row>
    <row r="7031" spans="1:12" x14ac:dyDescent="0.3">
      <c r="A7031" s="5">
        <v>45809</v>
      </c>
      <c r="B7031" s="6" t="s">
        <v>20</v>
      </c>
      <c r="C7031" s="6" t="s">
        <v>35</v>
      </c>
      <c r="D7031" s="5">
        <v>45748</v>
      </c>
      <c r="E7031" s="6" t="s">
        <v>15</v>
      </c>
      <c r="F7031" s="7">
        <v>3898</v>
      </c>
      <c r="G7031" s="7">
        <v>138522.3814776809</v>
      </c>
      <c r="H7031" s="7">
        <v>539960243</v>
      </c>
      <c r="I7031" s="7">
        <v>76216365</v>
      </c>
      <c r="J7031" s="7">
        <v>0</v>
      </c>
      <c r="K7031">
        <f t="shared" si="109"/>
        <v>61</v>
      </c>
      <c r="L7031" s="8" t="str" cm="1">
        <f t="array" ref="L7031">_xlfn.IFS(
 AND(K7031&gt;=89,K7031&lt;=92),"3개월",
 AND(K7031&gt;=58,K7031&lt;=62),"2개월",
 AND(K7031&gt;=28,K7031&lt;=32),"1개월",
 AND(K7031=0),"당월",
 TRUE,"그외"
)</f>
        <v>2개월</v>
      </c>
    </row>
    <row r="7032" spans="1:12" x14ac:dyDescent="0.3">
      <c r="A7032" s="5">
        <v>45809</v>
      </c>
      <c r="B7032" s="6" t="s">
        <v>20</v>
      </c>
      <c r="C7032" s="6" t="s">
        <v>35</v>
      </c>
      <c r="D7032" s="5">
        <v>45778</v>
      </c>
      <c r="E7032" s="6" t="s">
        <v>14</v>
      </c>
      <c r="F7032" s="7">
        <v>361</v>
      </c>
      <c r="G7032" s="7">
        <v>127744.04432132959</v>
      </c>
      <c r="H7032" s="7">
        <v>46115600</v>
      </c>
      <c r="I7032" s="7">
        <v>5270600</v>
      </c>
      <c r="J7032" s="7">
        <v>0</v>
      </c>
      <c r="K7032">
        <f t="shared" si="109"/>
        <v>31</v>
      </c>
      <c r="L7032" s="8" t="str" cm="1">
        <f t="array" ref="L7032">_xlfn.IFS(
 AND(K7032&gt;=89,K7032&lt;=92),"3개월",
 AND(K7032&gt;=58,K7032&lt;=62),"2개월",
 AND(K7032&gt;=28,K7032&lt;=32),"1개월",
 AND(K7032=0),"당월",
 TRUE,"그외"
)</f>
        <v>1개월</v>
      </c>
    </row>
    <row r="7033" spans="1:12" x14ac:dyDescent="0.3">
      <c r="A7033" s="5">
        <v>45809</v>
      </c>
      <c r="B7033" s="6" t="s">
        <v>20</v>
      </c>
      <c r="C7033" s="6" t="s">
        <v>35</v>
      </c>
      <c r="D7033" s="5">
        <v>45778</v>
      </c>
      <c r="E7033" s="6" t="s">
        <v>15</v>
      </c>
      <c r="F7033" s="7">
        <v>1633</v>
      </c>
      <c r="G7033" s="7">
        <v>127246.9320269443</v>
      </c>
      <c r="H7033" s="7">
        <v>207794240</v>
      </c>
      <c r="I7033" s="7">
        <v>28800891</v>
      </c>
      <c r="J7033" s="7">
        <v>0</v>
      </c>
      <c r="K7033">
        <f t="shared" si="109"/>
        <v>31</v>
      </c>
      <c r="L7033" s="8" t="str" cm="1">
        <f t="array" ref="L7033">_xlfn.IFS(
 AND(K7033&gt;=89,K7033&lt;=92),"3개월",
 AND(K7033&gt;=58,K7033&lt;=62),"2개월",
 AND(K7033&gt;=28,K7033&lt;=32),"1개월",
 AND(K7033=0),"당월",
 TRUE,"그외"
)</f>
        <v>1개월</v>
      </c>
    </row>
    <row r="7034" spans="1:12" x14ac:dyDescent="0.3">
      <c r="A7034" s="5">
        <v>45809</v>
      </c>
      <c r="B7034" s="6" t="s">
        <v>20</v>
      </c>
      <c r="C7034" s="6" t="s">
        <v>36</v>
      </c>
      <c r="D7034" s="5">
        <v>45658</v>
      </c>
      <c r="E7034" s="6" t="s">
        <v>14</v>
      </c>
      <c r="F7034" s="7">
        <v>5</v>
      </c>
      <c r="G7034" s="7">
        <v>129862</v>
      </c>
      <c r="H7034" s="7">
        <v>649310</v>
      </c>
      <c r="I7034" s="7">
        <v>142755</v>
      </c>
      <c r="J7034" s="7">
        <v>0</v>
      </c>
      <c r="K7034">
        <f t="shared" si="109"/>
        <v>151</v>
      </c>
      <c r="L7034" s="8" t="str" cm="1">
        <f t="array" ref="L7034">_xlfn.IFS(
 AND(K7034&gt;=89,K7034&lt;=92),"3개월",
 AND(K7034&gt;=58,K7034&lt;=62),"2개월",
 AND(K7034&gt;=28,K7034&lt;=32),"1개월",
 AND(K7034=0),"당월",
 TRUE,"그외"
)</f>
        <v>그외</v>
      </c>
    </row>
    <row r="7035" spans="1:12" x14ac:dyDescent="0.3">
      <c r="A7035" s="5">
        <v>45809</v>
      </c>
      <c r="B7035" s="6" t="s">
        <v>20</v>
      </c>
      <c r="C7035" s="6" t="s">
        <v>36</v>
      </c>
      <c r="D7035" s="5">
        <v>45658</v>
      </c>
      <c r="E7035" s="6" t="s">
        <v>15</v>
      </c>
      <c r="F7035" s="7">
        <v>136</v>
      </c>
      <c r="G7035" s="7">
        <v>185824.04411764699</v>
      </c>
      <c r="H7035" s="7">
        <v>25272070</v>
      </c>
      <c r="I7035" s="7">
        <v>3088702</v>
      </c>
      <c r="J7035" s="7">
        <v>0</v>
      </c>
      <c r="K7035">
        <f t="shared" si="109"/>
        <v>151</v>
      </c>
      <c r="L7035" s="8" t="str" cm="1">
        <f t="array" ref="L7035">_xlfn.IFS(
 AND(K7035&gt;=89,K7035&lt;=92),"3개월",
 AND(K7035&gt;=58,K7035&lt;=62),"2개월",
 AND(K7035&gt;=28,K7035&lt;=32),"1개월",
 AND(K7035=0),"당월",
 TRUE,"그외"
)</f>
        <v>그외</v>
      </c>
    </row>
    <row r="7036" spans="1:12" x14ac:dyDescent="0.3">
      <c r="A7036" s="5">
        <v>45809</v>
      </c>
      <c r="B7036" s="6" t="s">
        <v>20</v>
      </c>
      <c r="C7036" s="6" t="s">
        <v>36</v>
      </c>
      <c r="D7036" s="5">
        <v>45689</v>
      </c>
      <c r="E7036" s="6" t="s">
        <v>15</v>
      </c>
      <c r="F7036" s="7">
        <v>222</v>
      </c>
      <c r="G7036" s="7">
        <v>175371.86036036041</v>
      </c>
      <c r="H7036" s="7">
        <v>38932553</v>
      </c>
      <c r="I7036" s="7">
        <v>5340075</v>
      </c>
      <c r="J7036" s="7">
        <v>0</v>
      </c>
      <c r="K7036">
        <f t="shared" si="109"/>
        <v>120</v>
      </c>
      <c r="L7036" s="8" t="str" cm="1">
        <f t="array" ref="L7036">_xlfn.IFS(
 AND(K7036&gt;=89,K7036&lt;=92),"3개월",
 AND(K7036&gt;=58,K7036&lt;=62),"2개월",
 AND(K7036&gt;=28,K7036&lt;=32),"1개월",
 AND(K7036=0),"당월",
 TRUE,"그외"
)</f>
        <v>그외</v>
      </c>
    </row>
    <row r="7037" spans="1:12" x14ac:dyDescent="0.3">
      <c r="A7037" s="5">
        <v>45809</v>
      </c>
      <c r="B7037" s="6" t="s">
        <v>20</v>
      </c>
      <c r="C7037" s="6" t="s">
        <v>36</v>
      </c>
      <c r="D7037" s="5">
        <v>45717</v>
      </c>
      <c r="E7037" s="6" t="s">
        <v>14</v>
      </c>
      <c r="F7037" s="7">
        <v>8</v>
      </c>
      <c r="G7037" s="7">
        <v>195600</v>
      </c>
      <c r="H7037" s="7">
        <v>1564800</v>
      </c>
      <c r="I7037" s="7">
        <v>184800</v>
      </c>
      <c r="J7037" s="7">
        <v>0</v>
      </c>
      <c r="K7037">
        <f t="shared" si="109"/>
        <v>92</v>
      </c>
      <c r="L7037" s="8" t="str" cm="1">
        <f t="array" ref="L7037">_xlfn.IFS(
 AND(K7037&gt;=89,K7037&lt;=92),"3개월",
 AND(K7037&gt;=58,K7037&lt;=62),"2개월",
 AND(K7037&gt;=28,K7037&lt;=32),"1개월",
 AND(K7037=0),"당월",
 TRUE,"그외"
)</f>
        <v>3개월</v>
      </c>
    </row>
    <row r="7038" spans="1:12" x14ac:dyDescent="0.3">
      <c r="A7038" s="5">
        <v>45809</v>
      </c>
      <c r="B7038" s="6" t="s">
        <v>20</v>
      </c>
      <c r="C7038" s="6" t="s">
        <v>36</v>
      </c>
      <c r="D7038" s="5">
        <v>45717</v>
      </c>
      <c r="E7038" s="6" t="s">
        <v>15</v>
      </c>
      <c r="F7038" s="7">
        <v>864</v>
      </c>
      <c r="G7038" s="7">
        <v>139251.6273148148</v>
      </c>
      <c r="H7038" s="7">
        <v>120313406</v>
      </c>
      <c r="I7038" s="7">
        <v>21303571</v>
      </c>
      <c r="J7038" s="7">
        <v>0</v>
      </c>
      <c r="K7038">
        <f t="shared" si="109"/>
        <v>92</v>
      </c>
      <c r="L7038" s="8" t="str" cm="1">
        <f t="array" ref="L7038">_xlfn.IFS(
 AND(K7038&gt;=89,K7038&lt;=92),"3개월",
 AND(K7038&gt;=58,K7038&lt;=62),"2개월",
 AND(K7038&gt;=28,K7038&lt;=32),"1개월",
 AND(K7038=0),"당월",
 TRUE,"그외"
)</f>
        <v>3개월</v>
      </c>
    </row>
    <row r="7039" spans="1:12" x14ac:dyDescent="0.3">
      <c r="A7039" s="5">
        <v>45809</v>
      </c>
      <c r="B7039" s="6" t="s">
        <v>20</v>
      </c>
      <c r="C7039" s="6" t="s">
        <v>36</v>
      </c>
      <c r="D7039" s="5">
        <v>45748</v>
      </c>
      <c r="E7039" s="6" t="s">
        <v>14</v>
      </c>
      <c r="F7039" s="7">
        <v>12</v>
      </c>
      <c r="G7039" s="7">
        <v>130733.3333333333</v>
      </c>
      <c r="H7039" s="7">
        <v>1568800</v>
      </c>
      <c r="I7039" s="7">
        <v>208800</v>
      </c>
      <c r="J7039" s="7">
        <v>0</v>
      </c>
      <c r="K7039">
        <f t="shared" si="109"/>
        <v>61</v>
      </c>
      <c r="L7039" s="8" t="str" cm="1">
        <f t="array" ref="L7039">_xlfn.IFS(
 AND(K7039&gt;=89,K7039&lt;=92),"3개월",
 AND(K7039&gt;=58,K7039&lt;=62),"2개월",
 AND(K7039&gt;=28,K7039&lt;=32),"1개월",
 AND(K7039=0),"당월",
 TRUE,"그외"
)</f>
        <v>2개월</v>
      </c>
    </row>
    <row r="7040" spans="1:12" x14ac:dyDescent="0.3">
      <c r="A7040" s="5">
        <v>45809</v>
      </c>
      <c r="B7040" s="6" t="s">
        <v>20</v>
      </c>
      <c r="C7040" s="6" t="s">
        <v>36</v>
      </c>
      <c r="D7040" s="5">
        <v>45748</v>
      </c>
      <c r="E7040" s="6" t="s">
        <v>15</v>
      </c>
      <c r="F7040" s="7">
        <v>2225</v>
      </c>
      <c r="G7040" s="7">
        <v>125395.2791011236</v>
      </c>
      <c r="H7040" s="7">
        <v>279004496</v>
      </c>
      <c r="I7040" s="7">
        <v>46198347</v>
      </c>
      <c r="J7040" s="7">
        <v>0</v>
      </c>
      <c r="K7040">
        <f t="shared" si="109"/>
        <v>61</v>
      </c>
      <c r="L7040" s="8" t="str" cm="1">
        <f t="array" ref="L7040">_xlfn.IFS(
 AND(K7040&gt;=89,K7040&lt;=92),"3개월",
 AND(K7040&gt;=58,K7040&lt;=62),"2개월",
 AND(K7040&gt;=28,K7040&lt;=32),"1개월",
 AND(K7040=0),"당월",
 TRUE,"그외"
)</f>
        <v>2개월</v>
      </c>
    </row>
    <row r="7041" spans="1:12" x14ac:dyDescent="0.3">
      <c r="A7041" s="5">
        <v>45809</v>
      </c>
      <c r="B7041" s="6" t="s">
        <v>20</v>
      </c>
      <c r="C7041" s="6" t="s">
        <v>36</v>
      </c>
      <c r="D7041" s="5">
        <v>45778</v>
      </c>
      <c r="E7041" s="6" t="s">
        <v>14</v>
      </c>
      <c r="F7041" s="7">
        <v>8</v>
      </c>
      <c r="G7041" s="7">
        <v>84600</v>
      </c>
      <c r="H7041" s="7">
        <v>676800</v>
      </c>
      <c r="I7041" s="7">
        <v>116800</v>
      </c>
      <c r="J7041" s="7">
        <v>0</v>
      </c>
      <c r="K7041">
        <f t="shared" si="109"/>
        <v>31</v>
      </c>
      <c r="L7041" s="8" t="str" cm="1">
        <f t="array" ref="L7041">_xlfn.IFS(
 AND(K7041&gt;=89,K7041&lt;=92),"3개월",
 AND(K7041&gt;=58,K7041&lt;=62),"2개월",
 AND(K7041&gt;=28,K7041&lt;=32),"1개월",
 AND(K7041=0),"당월",
 TRUE,"그외"
)</f>
        <v>1개월</v>
      </c>
    </row>
    <row r="7042" spans="1:12" x14ac:dyDescent="0.3">
      <c r="A7042" s="5">
        <v>45809</v>
      </c>
      <c r="B7042" s="6" t="s">
        <v>20</v>
      </c>
      <c r="C7042" s="6" t="s">
        <v>36</v>
      </c>
      <c r="D7042" s="5">
        <v>45778</v>
      </c>
      <c r="E7042" s="6" t="s">
        <v>15</v>
      </c>
      <c r="F7042" s="7">
        <v>1039</v>
      </c>
      <c r="G7042" s="7">
        <v>116226.14148219441</v>
      </c>
      <c r="H7042" s="7">
        <v>120758961</v>
      </c>
      <c r="I7042" s="7">
        <v>18378745</v>
      </c>
      <c r="J7042" s="7">
        <v>0</v>
      </c>
      <c r="K7042">
        <f t="shared" si="109"/>
        <v>31</v>
      </c>
      <c r="L7042" s="8" t="str" cm="1">
        <f t="array" ref="L7042">_xlfn.IFS(
 AND(K7042&gt;=89,K7042&lt;=92),"3개월",
 AND(K7042&gt;=58,K7042&lt;=62),"2개월",
 AND(K7042&gt;=28,K7042&lt;=32),"1개월",
 AND(K7042=0),"당월",
 TRUE,"그외"
)</f>
        <v>1개월</v>
      </c>
    </row>
    <row r="7043" spans="1:12" x14ac:dyDescent="0.3">
      <c r="A7043" s="5">
        <v>45809</v>
      </c>
      <c r="B7043" s="6" t="s">
        <v>20</v>
      </c>
      <c r="C7043" s="6" t="s">
        <v>37</v>
      </c>
      <c r="D7043" s="5">
        <v>45627</v>
      </c>
      <c r="E7043" s="6" t="s">
        <v>15</v>
      </c>
      <c r="F7043" s="7">
        <v>8</v>
      </c>
      <c r="G7043" s="7">
        <v>236100</v>
      </c>
      <c r="H7043" s="7">
        <v>1888800</v>
      </c>
      <c r="I7043" s="7">
        <v>88800</v>
      </c>
      <c r="J7043" s="7">
        <v>0</v>
      </c>
      <c r="K7043">
        <f t="shared" si="109"/>
        <v>182</v>
      </c>
      <c r="L7043" s="8" t="str" cm="1">
        <f t="array" ref="L7043">_xlfn.IFS(
 AND(K7043&gt;=89,K7043&lt;=92),"3개월",
 AND(K7043&gt;=58,K7043&lt;=62),"2개월",
 AND(K7043&gt;=28,K7043&lt;=32),"1개월",
 AND(K7043=0),"당월",
 TRUE,"그외"
)</f>
        <v>그외</v>
      </c>
    </row>
    <row r="7044" spans="1:12" x14ac:dyDescent="0.3">
      <c r="A7044" s="5">
        <v>45809</v>
      </c>
      <c r="B7044" s="6" t="s">
        <v>20</v>
      </c>
      <c r="C7044" s="6" t="s">
        <v>37</v>
      </c>
      <c r="D7044" s="5">
        <v>45658</v>
      </c>
      <c r="E7044" s="6" t="s">
        <v>15</v>
      </c>
      <c r="F7044" s="7">
        <v>91</v>
      </c>
      <c r="G7044" s="7">
        <v>125857.8131868132</v>
      </c>
      <c r="H7044" s="7">
        <v>11453061</v>
      </c>
      <c r="I7044" s="7">
        <v>1254639</v>
      </c>
      <c r="J7044" s="7">
        <v>0</v>
      </c>
      <c r="K7044">
        <f t="shared" si="109"/>
        <v>151</v>
      </c>
      <c r="L7044" s="8" t="str" cm="1">
        <f t="array" ref="L7044">_xlfn.IFS(
 AND(K7044&gt;=89,K7044&lt;=92),"3개월",
 AND(K7044&gt;=58,K7044&lt;=62),"2개월",
 AND(K7044&gt;=28,K7044&lt;=32),"1개월",
 AND(K7044=0),"당월",
 TRUE,"그외"
)</f>
        <v>그외</v>
      </c>
    </row>
    <row r="7045" spans="1:12" x14ac:dyDescent="0.3">
      <c r="A7045" s="5">
        <v>45809</v>
      </c>
      <c r="B7045" s="6" t="s">
        <v>20</v>
      </c>
      <c r="C7045" s="6" t="s">
        <v>37</v>
      </c>
      <c r="D7045" s="5">
        <v>45689</v>
      </c>
      <c r="E7045" s="6" t="s">
        <v>14</v>
      </c>
      <c r="F7045" s="7">
        <v>20</v>
      </c>
      <c r="G7045" s="7">
        <v>98092.05</v>
      </c>
      <c r="H7045" s="7">
        <v>1961841</v>
      </c>
      <c r="I7045" s="7">
        <v>701360</v>
      </c>
      <c r="J7045" s="7">
        <v>0</v>
      </c>
      <c r="K7045">
        <f t="shared" si="109"/>
        <v>120</v>
      </c>
      <c r="L7045" s="8" t="str" cm="1">
        <f t="array" ref="L7045">_xlfn.IFS(
 AND(K7045&gt;=89,K7045&lt;=92),"3개월",
 AND(K7045&gt;=58,K7045&lt;=62),"2개월",
 AND(K7045&gt;=28,K7045&lt;=32),"1개월",
 AND(K7045=0),"당월",
 TRUE,"그외"
)</f>
        <v>그외</v>
      </c>
    </row>
    <row r="7046" spans="1:12" x14ac:dyDescent="0.3">
      <c r="A7046" s="5">
        <v>45809</v>
      </c>
      <c r="B7046" s="6" t="s">
        <v>20</v>
      </c>
      <c r="C7046" s="6" t="s">
        <v>37</v>
      </c>
      <c r="D7046" s="5">
        <v>45689</v>
      </c>
      <c r="E7046" s="6" t="s">
        <v>15</v>
      </c>
      <c r="F7046" s="7">
        <v>177</v>
      </c>
      <c r="G7046" s="7">
        <v>131547.89830508479</v>
      </c>
      <c r="H7046" s="7">
        <v>23283978</v>
      </c>
      <c r="I7046" s="7">
        <v>2442256</v>
      </c>
      <c r="J7046" s="7">
        <v>0</v>
      </c>
      <c r="K7046">
        <f t="shared" si="109"/>
        <v>120</v>
      </c>
      <c r="L7046" s="8" t="str" cm="1">
        <f t="array" ref="L7046">_xlfn.IFS(
 AND(K7046&gt;=89,K7046&lt;=92),"3개월",
 AND(K7046&gt;=58,K7046&lt;=62),"2개월",
 AND(K7046&gt;=28,K7046&lt;=32),"1개월",
 AND(K7046=0),"당월",
 TRUE,"그외"
)</f>
        <v>그외</v>
      </c>
    </row>
    <row r="7047" spans="1:12" x14ac:dyDescent="0.3">
      <c r="A7047" s="5">
        <v>45809</v>
      </c>
      <c r="B7047" s="6" t="s">
        <v>20</v>
      </c>
      <c r="C7047" s="6" t="s">
        <v>37</v>
      </c>
      <c r="D7047" s="5">
        <v>45717</v>
      </c>
      <c r="E7047" s="6" t="s">
        <v>14</v>
      </c>
      <c r="F7047" s="7">
        <v>502</v>
      </c>
      <c r="G7047" s="7">
        <v>135471.55179282869</v>
      </c>
      <c r="H7047" s="7">
        <v>68006719</v>
      </c>
      <c r="I7047" s="7">
        <v>6805400</v>
      </c>
      <c r="J7047" s="7">
        <v>0</v>
      </c>
      <c r="K7047">
        <f t="shared" si="109"/>
        <v>92</v>
      </c>
      <c r="L7047" s="8" t="str" cm="1">
        <f t="array" ref="L7047">_xlfn.IFS(
 AND(K7047&gt;=89,K7047&lt;=92),"3개월",
 AND(K7047&gt;=58,K7047&lt;=62),"2개월",
 AND(K7047&gt;=28,K7047&lt;=32),"1개월",
 AND(K7047=0),"당월",
 TRUE,"그외"
)</f>
        <v>3개월</v>
      </c>
    </row>
    <row r="7048" spans="1:12" x14ac:dyDescent="0.3">
      <c r="A7048" s="5">
        <v>45809</v>
      </c>
      <c r="B7048" s="6" t="s">
        <v>20</v>
      </c>
      <c r="C7048" s="6" t="s">
        <v>37</v>
      </c>
      <c r="D7048" s="5">
        <v>45717</v>
      </c>
      <c r="E7048" s="6" t="s">
        <v>15</v>
      </c>
      <c r="F7048" s="7">
        <v>353</v>
      </c>
      <c r="G7048" s="7">
        <v>134923.59490084989</v>
      </c>
      <c r="H7048" s="7">
        <v>47628029</v>
      </c>
      <c r="I7048" s="7">
        <v>6707843</v>
      </c>
      <c r="J7048" s="7">
        <v>0</v>
      </c>
      <c r="K7048">
        <f t="shared" si="109"/>
        <v>92</v>
      </c>
      <c r="L7048" s="8" t="str" cm="1">
        <f t="array" ref="L7048">_xlfn.IFS(
 AND(K7048&gt;=89,K7048&lt;=92),"3개월",
 AND(K7048&gt;=58,K7048&lt;=62),"2개월",
 AND(K7048&gt;=28,K7048&lt;=32),"1개월",
 AND(K7048=0),"당월",
 TRUE,"그외"
)</f>
        <v>3개월</v>
      </c>
    </row>
    <row r="7049" spans="1:12" x14ac:dyDescent="0.3">
      <c r="A7049" s="5">
        <v>45809</v>
      </c>
      <c r="B7049" s="6" t="s">
        <v>20</v>
      </c>
      <c r="C7049" s="6" t="s">
        <v>37</v>
      </c>
      <c r="D7049" s="5">
        <v>45748</v>
      </c>
      <c r="E7049" s="6" t="s">
        <v>14</v>
      </c>
      <c r="F7049" s="7">
        <v>173</v>
      </c>
      <c r="G7049" s="7">
        <v>103366.387283237</v>
      </c>
      <c r="H7049" s="7">
        <v>17882385</v>
      </c>
      <c r="I7049" s="7">
        <v>2042206</v>
      </c>
      <c r="J7049" s="7">
        <v>0</v>
      </c>
      <c r="K7049">
        <f t="shared" si="109"/>
        <v>61</v>
      </c>
      <c r="L7049" s="8" t="str" cm="1">
        <f t="array" ref="L7049">_xlfn.IFS(
 AND(K7049&gt;=89,K7049&lt;=92),"3개월",
 AND(K7049&gt;=58,K7049&lt;=62),"2개월",
 AND(K7049&gt;=28,K7049&lt;=32),"1개월",
 AND(K7049=0),"당월",
 TRUE,"그외"
)</f>
        <v>2개월</v>
      </c>
    </row>
    <row r="7050" spans="1:12" x14ac:dyDescent="0.3">
      <c r="A7050" s="5">
        <v>45809</v>
      </c>
      <c r="B7050" s="6" t="s">
        <v>20</v>
      </c>
      <c r="C7050" s="6" t="s">
        <v>37</v>
      </c>
      <c r="D7050" s="5">
        <v>45748</v>
      </c>
      <c r="E7050" s="6" t="s">
        <v>15</v>
      </c>
      <c r="F7050" s="7">
        <v>687</v>
      </c>
      <c r="G7050" s="7">
        <v>106410.26637554581</v>
      </c>
      <c r="H7050" s="7">
        <v>73103853</v>
      </c>
      <c r="I7050" s="7">
        <v>12163028</v>
      </c>
      <c r="J7050" s="7">
        <v>0</v>
      </c>
      <c r="K7050">
        <f t="shared" ref="K7050:K7113" si="110">A7050-D7050</f>
        <v>61</v>
      </c>
      <c r="L7050" s="8" t="str" cm="1">
        <f t="array" ref="L7050">_xlfn.IFS(
 AND(K7050&gt;=89,K7050&lt;=92),"3개월",
 AND(K7050&gt;=58,K7050&lt;=62),"2개월",
 AND(K7050&gt;=28,K7050&lt;=32),"1개월",
 AND(K7050=0),"당월",
 TRUE,"그외"
)</f>
        <v>2개월</v>
      </c>
    </row>
    <row r="7051" spans="1:12" x14ac:dyDescent="0.3">
      <c r="A7051" s="5">
        <v>45809</v>
      </c>
      <c r="B7051" s="6" t="s">
        <v>20</v>
      </c>
      <c r="C7051" s="6" t="s">
        <v>37</v>
      </c>
      <c r="D7051" s="5">
        <v>45778</v>
      </c>
      <c r="E7051" s="6" t="s">
        <v>14</v>
      </c>
      <c r="F7051" s="7">
        <v>10</v>
      </c>
      <c r="G7051" s="7">
        <v>77860</v>
      </c>
      <c r="H7051" s="7">
        <v>778600</v>
      </c>
      <c r="I7051" s="7">
        <v>78600</v>
      </c>
      <c r="J7051" s="7">
        <v>0</v>
      </c>
      <c r="K7051">
        <f t="shared" si="110"/>
        <v>31</v>
      </c>
      <c r="L7051" s="8" t="str" cm="1">
        <f t="array" ref="L7051">_xlfn.IFS(
 AND(K7051&gt;=89,K7051&lt;=92),"3개월",
 AND(K7051&gt;=58,K7051&lt;=62),"2개월",
 AND(K7051&gt;=28,K7051&lt;=32),"1개월",
 AND(K7051=0),"당월",
 TRUE,"그외"
)</f>
        <v>1개월</v>
      </c>
    </row>
    <row r="7052" spans="1:12" x14ac:dyDescent="0.3">
      <c r="A7052" s="5">
        <v>45809</v>
      </c>
      <c r="B7052" s="6" t="s">
        <v>20</v>
      </c>
      <c r="C7052" s="6" t="s">
        <v>37</v>
      </c>
      <c r="D7052" s="5">
        <v>45778</v>
      </c>
      <c r="E7052" s="6" t="s">
        <v>15</v>
      </c>
      <c r="F7052" s="7">
        <v>259</v>
      </c>
      <c r="G7052" s="7">
        <v>94467.362934362929</v>
      </c>
      <c r="H7052" s="7">
        <v>24467047</v>
      </c>
      <c r="I7052" s="7">
        <v>4475540</v>
      </c>
      <c r="J7052" s="7">
        <v>0</v>
      </c>
      <c r="K7052">
        <f t="shared" si="110"/>
        <v>31</v>
      </c>
      <c r="L7052" s="8" t="str" cm="1">
        <f t="array" ref="L7052">_xlfn.IFS(
 AND(K7052&gt;=89,K7052&lt;=92),"3개월",
 AND(K7052&gt;=58,K7052&lt;=62),"2개월",
 AND(K7052&gt;=28,K7052&lt;=32),"1개월",
 AND(K7052=0),"당월",
 TRUE,"그외"
)</f>
        <v>1개월</v>
      </c>
    </row>
    <row r="7053" spans="1:12" x14ac:dyDescent="0.3">
      <c r="A7053" s="5">
        <v>45809</v>
      </c>
      <c r="B7053" s="6" t="s">
        <v>20</v>
      </c>
      <c r="C7053" s="6" t="s">
        <v>38</v>
      </c>
      <c r="D7053" s="5">
        <v>45658</v>
      </c>
      <c r="E7053" s="6" t="s">
        <v>15</v>
      </c>
      <c r="F7053" s="7">
        <v>9</v>
      </c>
      <c r="G7053" s="7">
        <v>79003.555555555562</v>
      </c>
      <c r="H7053" s="7">
        <v>711032</v>
      </c>
      <c r="I7053" s="7">
        <v>137028</v>
      </c>
      <c r="J7053" s="7">
        <v>0</v>
      </c>
      <c r="K7053">
        <f t="shared" si="110"/>
        <v>151</v>
      </c>
      <c r="L7053" s="8" t="str" cm="1">
        <f t="array" ref="L7053">_xlfn.IFS(
 AND(K7053&gt;=89,K7053&lt;=92),"3개월",
 AND(K7053&gt;=58,K7053&lt;=62),"2개월",
 AND(K7053&gt;=28,K7053&lt;=32),"1개월",
 AND(K7053=0),"당월",
 TRUE,"그외"
)</f>
        <v>그외</v>
      </c>
    </row>
    <row r="7054" spans="1:12" x14ac:dyDescent="0.3">
      <c r="A7054" s="5">
        <v>45809</v>
      </c>
      <c r="B7054" s="6" t="s">
        <v>20</v>
      </c>
      <c r="C7054" s="6" t="s">
        <v>38</v>
      </c>
      <c r="D7054" s="5">
        <v>45689</v>
      </c>
      <c r="E7054" s="6" t="s">
        <v>15</v>
      </c>
      <c r="F7054" s="7">
        <v>59</v>
      </c>
      <c r="G7054" s="7">
        <v>113766.1355932203</v>
      </c>
      <c r="H7054" s="7">
        <v>6712202</v>
      </c>
      <c r="I7054" s="7">
        <v>1248840</v>
      </c>
      <c r="J7054" s="7">
        <v>0</v>
      </c>
      <c r="K7054">
        <f t="shared" si="110"/>
        <v>120</v>
      </c>
      <c r="L7054" s="8" t="str" cm="1">
        <f t="array" ref="L7054">_xlfn.IFS(
 AND(K7054&gt;=89,K7054&lt;=92),"3개월",
 AND(K7054&gt;=58,K7054&lt;=62),"2개월",
 AND(K7054&gt;=28,K7054&lt;=32),"1개월",
 AND(K7054=0),"당월",
 TRUE,"그외"
)</f>
        <v>그외</v>
      </c>
    </row>
    <row r="7055" spans="1:12" x14ac:dyDescent="0.3">
      <c r="A7055" s="5">
        <v>45809</v>
      </c>
      <c r="B7055" s="6" t="s">
        <v>20</v>
      </c>
      <c r="C7055" s="6" t="s">
        <v>38</v>
      </c>
      <c r="D7055" s="5">
        <v>45717</v>
      </c>
      <c r="E7055" s="6" t="s">
        <v>14</v>
      </c>
      <c r="F7055" s="7">
        <v>8</v>
      </c>
      <c r="G7055" s="7">
        <v>101500.5</v>
      </c>
      <c r="H7055" s="7">
        <v>812004</v>
      </c>
      <c r="I7055" s="7">
        <v>197120</v>
      </c>
      <c r="J7055" s="7">
        <v>0</v>
      </c>
      <c r="K7055">
        <f t="shared" si="110"/>
        <v>92</v>
      </c>
      <c r="L7055" s="8" t="str" cm="1">
        <f t="array" ref="L7055">_xlfn.IFS(
 AND(K7055&gt;=89,K7055&lt;=92),"3개월",
 AND(K7055&gt;=58,K7055&lt;=62),"2개월",
 AND(K7055&gt;=28,K7055&lt;=32),"1개월",
 AND(K7055=0),"당월",
 TRUE,"그외"
)</f>
        <v>3개월</v>
      </c>
    </row>
    <row r="7056" spans="1:12" x14ac:dyDescent="0.3">
      <c r="A7056" s="5">
        <v>45809</v>
      </c>
      <c r="B7056" s="6" t="s">
        <v>20</v>
      </c>
      <c r="C7056" s="6" t="s">
        <v>38</v>
      </c>
      <c r="D7056" s="5">
        <v>45717</v>
      </c>
      <c r="E7056" s="6" t="s">
        <v>15</v>
      </c>
      <c r="F7056" s="7">
        <v>158</v>
      </c>
      <c r="G7056" s="7">
        <v>126580.7341772152</v>
      </c>
      <c r="H7056" s="7">
        <v>19999756</v>
      </c>
      <c r="I7056" s="7">
        <v>2829587</v>
      </c>
      <c r="J7056" s="7">
        <v>0</v>
      </c>
      <c r="K7056">
        <f t="shared" si="110"/>
        <v>92</v>
      </c>
      <c r="L7056" s="8" t="str" cm="1">
        <f t="array" ref="L7056">_xlfn.IFS(
 AND(K7056&gt;=89,K7056&lt;=92),"3개월",
 AND(K7056&gt;=58,K7056&lt;=62),"2개월",
 AND(K7056&gt;=28,K7056&lt;=32),"1개월",
 AND(K7056=0),"당월",
 TRUE,"그외"
)</f>
        <v>3개월</v>
      </c>
    </row>
    <row r="7057" spans="1:12" x14ac:dyDescent="0.3">
      <c r="A7057" s="5">
        <v>45809</v>
      </c>
      <c r="B7057" s="6" t="s">
        <v>20</v>
      </c>
      <c r="C7057" s="6" t="s">
        <v>38</v>
      </c>
      <c r="D7057" s="5">
        <v>45748</v>
      </c>
      <c r="E7057" s="6" t="s">
        <v>14</v>
      </c>
      <c r="F7057" s="7">
        <v>34</v>
      </c>
      <c r="G7057" s="7">
        <v>185100</v>
      </c>
      <c r="H7057" s="7">
        <v>6293400</v>
      </c>
      <c r="I7057" s="7">
        <v>343400</v>
      </c>
      <c r="J7057" s="7">
        <v>0</v>
      </c>
      <c r="K7057">
        <f t="shared" si="110"/>
        <v>61</v>
      </c>
      <c r="L7057" s="8" t="str" cm="1">
        <f t="array" ref="L7057">_xlfn.IFS(
 AND(K7057&gt;=89,K7057&lt;=92),"3개월",
 AND(K7057&gt;=58,K7057&lt;=62),"2개월",
 AND(K7057&gt;=28,K7057&lt;=32),"1개월",
 AND(K7057=0),"당월",
 TRUE,"그외"
)</f>
        <v>2개월</v>
      </c>
    </row>
    <row r="7058" spans="1:12" x14ac:dyDescent="0.3">
      <c r="A7058" s="5">
        <v>45809</v>
      </c>
      <c r="B7058" s="6" t="s">
        <v>20</v>
      </c>
      <c r="C7058" s="6" t="s">
        <v>38</v>
      </c>
      <c r="D7058" s="5">
        <v>45748</v>
      </c>
      <c r="E7058" s="6" t="s">
        <v>15</v>
      </c>
      <c r="F7058" s="7">
        <v>208</v>
      </c>
      <c r="G7058" s="7">
        <v>69766.495192307688</v>
      </c>
      <c r="H7058" s="7">
        <v>14511431</v>
      </c>
      <c r="I7058" s="7">
        <v>3724024</v>
      </c>
      <c r="J7058" s="7">
        <v>0</v>
      </c>
      <c r="K7058">
        <f t="shared" si="110"/>
        <v>61</v>
      </c>
      <c r="L7058" s="8" t="str" cm="1">
        <f t="array" ref="L7058">_xlfn.IFS(
 AND(K7058&gt;=89,K7058&lt;=92),"3개월",
 AND(K7058&gt;=58,K7058&lt;=62),"2개월",
 AND(K7058&gt;=28,K7058&lt;=32),"1개월",
 AND(K7058=0),"당월",
 TRUE,"그외"
)</f>
        <v>2개월</v>
      </c>
    </row>
    <row r="7059" spans="1:12" x14ac:dyDescent="0.3">
      <c r="A7059" s="5">
        <v>45809</v>
      </c>
      <c r="B7059" s="6" t="s">
        <v>20</v>
      </c>
      <c r="C7059" s="6" t="s">
        <v>38</v>
      </c>
      <c r="D7059" s="5">
        <v>45778</v>
      </c>
      <c r="E7059" s="6" t="s">
        <v>15</v>
      </c>
      <c r="F7059" s="7">
        <v>172</v>
      </c>
      <c r="G7059" s="7">
        <v>49639.33139534884</v>
      </c>
      <c r="H7059" s="7">
        <v>8537965</v>
      </c>
      <c r="I7059" s="7">
        <v>1994907</v>
      </c>
      <c r="J7059" s="7">
        <v>0</v>
      </c>
      <c r="K7059">
        <f t="shared" si="110"/>
        <v>31</v>
      </c>
      <c r="L7059" s="8" t="str" cm="1">
        <f t="array" ref="L7059">_xlfn.IFS(
 AND(K7059&gt;=89,K7059&lt;=92),"3개월",
 AND(K7059&gt;=58,K7059&lt;=62),"2개월",
 AND(K7059&gt;=28,K7059&lt;=32),"1개월",
 AND(K7059=0),"당월",
 TRUE,"그외"
)</f>
        <v>1개월</v>
      </c>
    </row>
    <row r="7060" spans="1:12" x14ac:dyDescent="0.3">
      <c r="A7060" s="5">
        <v>45809</v>
      </c>
      <c r="B7060" s="6" t="s">
        <v>40</v>
      </c>
      <c r="C7060" s="6" t="s">
        <v>101</v>
      </c>
      <c r="D7060" s="5">
        <v>45748</v>
      </c>
      <c r="E7060" s="6" t="s">
        <v>14</v>
      </c>
      <c r="F7060" s="7">
        <v>38</v>
      </c>
      <c r="G7060" s="7">
        <v>460526.31578947371</v>
      </c>
      <c r="H7060" s="7">
        <v>17500000</v>
      </c>
      <c r="I7060" s="7">
        <v>0</v>
      </c>
      <c r="J7060" s="7">
        <v>0</v>
      </c>
      <c r="K7060">
        <f t="shared" si="110"/>
        <v>61</v>
      </c>
      <c r="L7060" s="8" t="str" cm="1">
        <f t="array" ref="L7060">_xlfn.IFS(
 AND(K7060&gt;=89,K7060&lt;=92),"3개월",
 AND(K7060&gt;=58,K7060&lt;=62),"2개월",
 AND(K7060&gt;=28,K7060&lt;=32),"1개월",
 AND(K7060=0),"당월",
 TRUE,"그외"
)</f>
        <v>2개월</v>
      </c>
    </row>
    <row r="7061" spans="1:12" x14ac:dyDescent="0.3">
      <c r="A7061" s="5">
        <v>45809</v>
      </c>
      <c r="B7061" s="6" t="s">
        <v>40</v>
      </c>
      <c r="C7061" s="6" t="s">
        <v>101</v>
      </c>
      <c r="D7061" s="5">
        <v>45748</v>
      </c>
      <c r="E7061" s="6" t="s">
        <v>15</v>
      </c>
      <c r="F7061" s="7">
        <v>117</v>
      </c>
      <c r="G7061" s="7">
        <v>30510.358974358969</v>
      </c>
      <c r="H7061" s="7">
        <v>3569712</v>
      </c>
      <c r="I7061" s="7">
        <v>374432</v>
      </c>
      <c r="J7061" s="7">
        <v>0</v>
      </c>
      <c r="K7061">
        <f t="shared" si="110"/>
        <v>61</v>
      </c>
      <c r="L7061" s="8" t="str" cm="1">
        <f t="array" ref="L7061">_xlfn.IFS(
 AND(K7061&gt;=89,K7061&lt;=92),"3개월",
 AND(K7061&gt;=58,K7061&lt;=62),"2개월",
 AND(K7061&gt;=28,K7061&lt;=32),"1개월",
 AND(K7061=0),"당월",
 TRUE,"그외"
)</f>
        <v>2개월</v>
      </c>
    </row>
    <row r="7062" spans="1:12" x14ac:dyDescent="0.3">
      <c r="A7062" s="5">
        <v>45809</v>
      </c>
      <c r="B7062" s="6" t="s">
        <v>40</v>
      </c>
      <c r="C7062" s="6" t="s">
        <v>101</v>
      </c>
      <c r="D7062" s="5">
        <v>45778</v>
      </c>
      <c r="E7062" s="6" t="s">
        <v>14</v>
      </c>
      <c r="F7062" s="7">
        <v>1</v>
      </c>
      <c r="G7062" s="7">
        <v>137500</v>
      </c>
      <c r="H7062" s="7">
        <v>137500</v>
      </c>
      <c r="I7062" s="7">
        <v>17500</v>
      </c>
      <c r="J7062" s="7">
        <v>0</v>
      </c>
      <c r="K7062">
        <f t="shared" si="110"/>
        <v>31</v>
      </c>
      <c r="L7062" s="8" t="str" cm="1">
        <f t="array" ref="L7062">_xlfn.IFS(
 AND(K7062&gt;=89,K7062&lt;=92),"3개월",
 AND(K7062&gt;=58,K7062&lt;=62),"2개월",
 AND(K7062&gt;=28,K7062&lt;=32),"1개월",
 AND(K7062=0),"당월",
 TRUE,"그외"
)</f>
        <v>1개월</v>
      </c>
    </row>
    <row r="7063" spans="1:12" x14ac:dyDescent="0.3">
      <c r="A7063" s="5">
        <v>45809</v>
      </c>
      <c r="B7063" s="6" t="s">
        <v>40</v>
      </c>
      <c r="C7063" s="6" t="s">
        <v>101</v>
      </c>
      <c r="D7063" s="5">
        <v>45778</v>
      </c>
      <c r="E7063" s="6" t="s">
        <v>15</v>
      </c>
      <c r="F7063" s="7">
        <v>1</v>
      </c>
      <c r="G7063" s="7">
        <v>367500</v>
      </c>
      <c r="H7063" s="7">
        <v>367500</v>
      </c>
      <c r="I7063" s="7">
        <v>17500</v>
      </c>
      <c r="J7063" s="7">
        <v>0</v>
      </c>
      <c r="K7063">
        <f t="shared" si="110"/>
        <v>31</v>
      </c>
      <c r="L7063" s="8" t="str" cm="1">
        <f t="array" ref="L7063">_xlfn.IFS(
 AND(K7063&gt;=89,K7063&lt;=92),"3개월",
 AND(K7063&gt;=58,K7063&lt;=62),"2개월",
 AND(K7063&gt;=28,K7063&lt;=32),"1개월",
 AND(K7063=0),"당월",
 TRUE,"그외"
)</f>
        <v>1개월</v>
      </c>
    </row>
    <row r="7064" spans="1:12" x14ac:dyDescent="0.3">
      <c r="A7064" s="5">
        <v>45809</v>
      </c>
      <c r="B7064" s="6" t="s">
        <v>40</v>
      </c>
      <c r="C7064" s="6" t="s">
        <v>91</v>
      </c>
      <c r="D7064" s="5">
        <v>45717</v>
      </c>
      <c r="E7064" s="6" t="s">
        <v>15</v>
      </c>
      <c r="F7064" s="7">
        <v>11</v>
      </c>
      <c r="G7064" s="7">
        <v>79611.363636363632</v>
      </c>
      <c r="H7064" s="7">
        <v>875725</v>
      </c>
      <c r="I7064" s="7">
        <v>143000</v>
      </c>
      <c r="J7064" s="7">
        <v>0</v>
      </c>
      <c r="K7064">
        <f t="shared" si="110"/>
        <v>92</v>
      </c>
      <c r="L7064" s="8" t="str" cm="1">
        <f t="array" ref="L7064">_xlfn.IFS(
 AND(K7064&gt;=89,K7064&lt;=92),"3개월",
 AND(K7064&gt;=58,K7064&lt;=62),"2개월",
 AND(K7064&gt;=28,K7064&lt;=32),"1개월",
 AND(K7064=0),"당월",
 TRUE,"그외"
)</f>
        <v>3개월</v>
      </c>
    </row>
    <row r="7065" spans="1:12" x14ac:dyDescent="0.3">
      <c r="A7065" s="5">
        <v>45809</v>
      </c>
      <c r="B7065" s="6" t="s">
        <v>40</v>
      </c>
      <c r="C7065" s="6" t="s">
        <v>91</v>
      </c>
      <c r="D7065" s="5">
        <v>45748</v>
      </c>
      <c r="E7065" s="6" t="s">
        <v>14</v>
      </c>
      <c r="F7065" s="7">
        <v>187</v>
      </c>
      <c r="G7065" s="7">
        <v>89002.898395721932</v>
      </c>
      <c r="H7065" s="7">
        <v>16643542</v>
      </c>
      <c r="I7065" s="7">
        <v>4671808</v>
      </c>
      <c r="J7065" s="7">
        <v>0</v>
      </c>
      <c r="K7065">
        <f t="shared" si="110"/>
        <v>61</v>
      </c>
      <c r="L7065" s="8" t="str" cm="1">
        <f t="array" ref="L7065">_xlfn.IFS(
 AND(K7065&gt;=89,K7065&lt;=92),"3개월",
 AND(K7065&gt;=58,K7065&lt;=62),"2개월",
 AND(K7065&gt;=28,K7065&lt;=32),"1개월",
 AND(K7065=0),"당월",
 TRUE,"그외"
)</f>
        <v>2개월</v>
      </c>
    </row>
    <row r="7066" spans="1:12" x14ac:dyDescent="0.3">
      <c r="A7066" s="5">
        <v>45809</v>
      </c>
      <c r="B7066" s="6" t="s">
        <v>40</v>
      </c>
      <c r="C7066" s="6" t="s">
        <v>91</v>
      </c>
      <c r="D7066" s="5">
        <v>45748</v>
      </c>
      <c r="E7066" s="6" t="s">
        <v>15</v>
      </c>
      <c r="F7066" s="7">
        <v>257</v>
      </c>
      <c r="G7066" s="7">
        <v>106477.9883268483</v>
      </c>
      <c r="H7066" s="7">
        <v>27364843</v>
      </c>
      <c r="I7066" s="7">
        <v>5310900</v>
      </c>
      <c r="J7066" s="7">
        <v>0</v>
      </c>
      <c r="K7066">
        <f t="shared" si="110"/>
        <v>61</v>
      </c>
      <c r="L7066" s="8" t="str" cm="1">
        <f t="array" ref="L7066">_xlfn.IFS(
 AND(K7066&gt;=89,K7066&lt;=92),"3개월",
 AND(K7066&gt;=58,K7066&lt;=62),"2개월",
 AND(K7066&gt;=28,K7066&lt;=32),"1개월",
 AND(K7066=0),"당월",
 TRUE,"그외"
)</f>
        <v>2개월</v>
      </c>
    </row>
    <row r="7067" spans="1:12" x14ac:dyDescent="0.3">
      <c r="A7067" s="5">
        <v>45809</v>
      </c>
      <c r="B7067" s="6" t="s">
        <v>40</v>
      </c>
      <c r="C7067" s="6" t="s">
        <v>91</v>
      </c>
      <c r="D7067" s="5">
        <v>45778</v>
      </c>
      <c r="E7067" s="6" t="s">
        <v>14</v>
      </c>
      <c r="F7067" s="7">
        <v>101</v>
      </c>
      <c r="G7067" s="7">
        <v>72096.732673267325</v>
      </c>
      <c r="H7067" s="7">
        <v>7281770</v>
      </c>
      <c r="I7067" s="7">
        <v>4278918</v>
      </c>
      <c r="J7067" s="7">
        <v>0</v>
      </c>
      <c r="K7067">
        <f t="shared" si="110"/>
        <v>31</v>
      </c>
      <c r="L7067" s="8" t="str" cm="1">
        <f t="array" ref="L7067">_xlfn.IFS(
 AND(K7067&gt;=89,K7067&lt;=92),"3개월",
 AND(K7067&gt;=58,K7067&lt;=62),"2개월",
 AND(K7067&gt;=28,K7067&lt;=32),"1개월",
 AND(K7067=0),"당월",
 TRUE,"그외"
)</f>
        <v>1개월</v>
      </c>
    </row>
    <row r="7068" spans="1:12" x14ac:dyDescent="0.3">
      <c r="A7068" s="5">
        <v>45809</v>
      </c>
      <c r="B7068" s="6" t="s">
        <v>40</v>
      </c>
      <c r="C7068" s="6" t="s">
        <v>91</v>
      </c>
      <c r="D7068" s="5">
        <v>45778</v>
      </c>
      <c r="E7068" s="6" t="s">
        <v>15</v>
      </c>
      <c r="F7068" s="7">
        <v>167</v>
      </c>
      <c r="G7068" s="7">
        <v>87685.610778443108</v>
      </c>
      <c r="H7068" s="7">
        <v>14643497</v>
      </c>
      <c r="I7068" s="7">
        <v>1702625</v>
      </c>
      <c r="J7068" s="7">
        <v>0</v>
      </c>
      <c r="K7068">
        <f t="shared" si="110"/>
        <v>31</v>
      </c>
      <c r="L7068" s="8" t="str" cm="1">
        <f t="array" ref="L7068">_xlfn.IFS(
 AND(K7068&gt;=89,K7068&lt;=92),"3개월",
 AND(K7068&gt;=58,K7068&lt;=62),"2개월",
 AND(K7068&gt;=28,K7068&lt;=32),"1개월",
 AND(K7068=0),"당월",
 TRUE,"그외"
)</f>
        <v>1개월</v>
      </c>
    </row>
    <row r="7069" spans="1:12" x14ac:dyDescent="0.3">
      <c r="A7069" s="5">
        <v>45809</v>
      </c>
      <c r="B7069" s="6" t="s">
        <v>40</v>
      </c>
      <c r="C7069" s="6" t="s">
        <v>122</v>
      </c>
      <c r="D7069" s="5">
        <v>45717</v>
      </c>
      <c r="E7069" s="6" t="s">
        <v>14</v>
      </c>
      <c r="F7069" s="7">
        <v>1</v>
      </c>
      <c r="G7069" s="7">
        <v>93100</v>
      </c>
      <c r="H7069" s="7">
        <v>93100</v>
      </c>
      <c r="I7069" s="7">
        <v>23100</v>
      </c>
      <c r="J7069" s="7">
        <v>0</v>
      </c>
      <c r="K7069">
        <f t="shared" si="110"/>
        <v>92</v>
      </c>
      <c r="L7069" s="8" t="str" cm="1">
        <f t="array" ref="L7069">_xlfn.IFS(
 AND(K7069&gt;=89,K7069&lt;=92),"3개월",
 AND(K7069&gt;=58,K7069&lt;=62),"2개월",
 AND(K7069&gt;=28,K7069&lt;=32),"1개월",
 AND(K7069=0),"당월",
 TRUE,"그외"
)</f>
        <v>3개월</v>
      </c>
    </row>
    <row r="7070" spans="1:12" x14ac:dyDescent="0.3">
      <c r="A7070" s="5">
        <v>45809</v>
      </c>
      <c r="B7070" s="6" t="s">
        <v>40</v>
      </c>
      <c r="C7070" s="6" t="s">
        <v>122</v>
      </c>
      <c r="D7070" s="5">
        <v>45717</v>
      </c>
      <c r="E7070" s="6" t="s">
        <v>15</v>
      </c>
      <c r="F7070" s="7">
        <v>8</v>
      </c>
      <c r="G7070" s="7">
        <v>133100</v>
      </c>
      <c r="H7070" s="7">
        <v>1064800</v>
      </c>
      <c r="I7070" s="7">
        <v>184800</v>
      </c>
      <c r="J7070" s="7">
        <v>0</v>
      </c>
      <c r="K7070">
        <f t="shared" si="110"/>
        <v>92</v>
      </c>
      <c r="L7070" s="8" t="str" cm="1">
        <f t="array" ref="L7070">_xlfn.IFS(
 AND(K7070&gt;=89,K7070&lt;=92),"3개월",
 AND(K7070&gt;=58,K7070&lt;=62),"2개월",
 AND(K7070&gt;=28,K7070&lt;=32),"1개월",
 AND(K7070=0),"당월",
 TRUE,"그외"
)</f>
        <v>3개월</v>
      </c>
    </row>
    <row r="7071" spans="1:12" x14ac:dyDescent="0.3">
      <c r="A7071" s="5">
        <v>45809</v>
      </c>
      <c r="B7071" s="6" t="s">
        <v>40</v>
      </c>
      <c r="C7071" s="6" t="s">
        <v>122</v>
      </c>
      <c r="D7071" s="5">
        <v>45748</v>
      </c>
      <c r="E7071" s="6" t="s">
        <v>14</v>
      </c>
      <c r="F7071" s="7">
        <v>31</v>
      </c>
      <c r="G7071" s="7">
        <v>87690.709677419349</v>
      </c>
      <c r="H7071" s="7">
        <v>2718412</v>
      </c>
      <c r="I7071" s="7">
        <v>598736</v>
      </c>
      <c r="J7071" s="7">
        <v>0</v>
      </c>
      <c r="K7071">
        <f t="shared" si="110"/>
        <v>61</v>
      </c>
      <c r="L7071" s="8" t="str" cm="1">
        <f t="array" ref="L7071">_xlfn.IFS(
 AND(K7071&gt;=89,K7071&lt;=92),"3개월",
 AND(K7071&gt;=58,K7071&lt;=62),"2개월",
 AND(K7071&gt;=28,K7071&lt;=32),"1개월",
 AND(K7071=0),"당월",
 TRUE,"그외"
)</f>
        <v>2개월</v>
      </c>
    </row>
    <row r="7072" spans="1:12" x14ac:dyDescent="0.3">
      <c r="A7072" s="5">
        <v>45809</v>
      </c>
      <c r="B7072" s="6" t="s">
        <v>40</v>
      </c>
      <c r="C7072" s="6" t="s">
        <v>122</v>
      </c>
      <c r="D7072" s="5">
        <v>45748</v>
      </c>
      <c r="E7072" s="6" t="s">
        <v>15</v>
      </c>
      <c r="F7072" s="7">
        <v>2</v>
      </c>
      <c r="G7072" s="7">
        <v>107849</v>
      </c>
      <c r="H7072" s="7">
        <v>215698</v>
      </c>
      <c r="I7072" s="7">
        <v>34800</v>
      </c>
      <c r="J7072" s="7">
        <v>0</v>
      </c>
      <c r="K7072">
        <f t="shared" si="110"/>
        <v>61</v>
      </c>
      <c r="L7072" s="8" t="str" cm="1">
        <f t="array" ref="L7072">_xlfn.IFS(
 AND(K7072&gt;=89,K7072&lt;=92),"3개월",
 AND(K7072&gt;=58,K7072&lt;=62),"2개월",
 AND(K7072&gt;=28,K7072&lt;=32),"1개월",
 AND(K7072=0),"당월",
 TRUE,"그외"
)</f>
        <v>2개월</v>
      </c>
    </row>
    <row r="7073" spans="1:12" x14ac:dyDescent="0.3">
      <c r="A7073" s="5">
        <v>45809</v>
      </c>
      <c r="B7073" s="6" t="s">
        <v>40</v>
      </c>
      <c r="C7073" s="6" t="s">
        <v>122</v>
      </c>
      <c r="D7073" s="5">
        <v>45778</v>
      </c>
      <c r="E7073" s="6" t="s">
        <v>14</v>
      </c>
      <c r="F7073" s="7">
        <v>14</v>
      </c>
      <c r="G7073" s="7">
        <v>92148.857142857145</v>
      </c>
      <c r="H7073" s="7">
        <v>1290084</v>
      </c>
      <c r="I7073" s="7">
        <v>763128</v>
      </c>
      <c r="J7073" s="7">
        <v>0</v>
      </c>
      <c r="K7073">
        <f t="shared" si="110"/>
        <v>31</v>
      </c>
      <c r="L7073" s="8" t="str" cm="1">
        <f t="array" ref="L7073">_xlfn.IFS(
 AND(K7073&gt;=89,K7073&lt;=92),"3개월",
 AND(K7073&gt;=58,K7073&lt;=62),"2개월",
 AND(K7073&gt;=28,K7073&lt;=32),"1개월",
 AND(K7073=0),"당월",
 TRUE,"그외"
)</f>
        <v>1개월</v>
      </c>
    </row>
    <row r="7074" spans="1:12" x14ac:dyDescent="0.3">
      <c r="A7074" s="5">
        <v>45809</v>
      </c>
      <c r="B7074" s="6" t="s">
        <v>40</v>
      </c>
      <c r="C7074" s="6" t="s">
        <v>41</v>
      </c>
      <c r="D7074" s="5">
        <v>45658</v>
      </c>
      <c r="E7074" s="6" t="s">
        <v>15</v>
      </c>
      <c r="F7074" s="7">
        <v>5</v>
      </c>
      <c r="G7074" s="7">
        <v>139700</v>
      </c>
      <c r="H7074" s="7">
        <v>698500</v>
      </c>
      <c r="I7074" s="7">
        <v>98500</v>
      </c>
      <c r="J7074" s="7">
        <v>0</v>
      </c>
      <c r="K7074">
        <f t="shared" si="110"/>
        <v>151</v>
      </c>
      <c r="L7074" s="8" t="str" cm="1">
        <f t="array" ref="L7074">_xlfn.IFS(
 AND(K7074&gt;=89,K7074&lt;=92),"3개월",
 AND(K7074&gt;=58,K7074&lt;=62),"2개월",
 AND(K7074&gt;=28,K7074&lt;=32),"1개월",
 AND(K7074=0),"당월",
 TRUE,"그외"
)</f>
        <v>그외</v>
      </c>
    </row>
    <row r="7075" spans="1:12" x14ac:dyDescent="0.3">
      <c r="A7075" s="5">
        <v>45809</v>
      </c>
      <c r="B7075" s="6" t="s">
        <v>40</v>
      </c>
      <c r="C7075" s="6" t="s">
        <v>41</v>
      </c>
      <c r="D7075" s="5">
        <v>45689</v>
      </c>
      <c r="E7075" s="6" t="s">
        <v>15</v>
      </c>
      <c r="F7075" s="7">
        <v>28</v>
      </c>
      <c r="G7075" s="7">
        <v>116512.2142857143</v>
      </c>
      <c r="H7075" s="7">
        <v>3262342</v>
      </c>
      <c r="I7075" s="7">
        <v>627981</v>
      </c>
      <c r="J7075" s="7">
        <v>0</v>
      </c>
      <c r="K7075">
        <f t="shared" si="110"/>
        <v>120</v>
      </c>
      <c r="L7075" s="8" t="str" cm="1">
        <f t="array" ref="L7075">_xlfn.IFS(
 AND(K7075&gt;=89,K7075&lt;=92),"3개월",
 AND(K7075&gt;=58,K7075&lt;=62),"2개월",
 AND(K7075&gt;=28,K7075&lt;=32),"1개월",
 AND(K7075=0),"당월",
 TRUE,"그외"
)</f>
        <v>그외</v>
      </c>
    </row>
    <row r="7076" spans="1:12" x14ac:dyDescent="0.3">
      <c r="A7076" s="5">
        <v>45809</v>
      </c>
      <c r="B7076" s="6" t="s">
        <v>40</v>
      </c>
      <c r="C7076" s="6" t="s">
        <v>41</v>
      </c>
      <c r="D7076" s="5">
        <v>45717</v>
      </c>
      <c r="E7076" s="6" t="s">
        <v>14</v>
      </c>
      <c r="F7076" s="7">
        <v>26</v>
      </c>
      <c r="G7076" s="7">
        <v>81235.346153846156</v>
      </c>
      <c r="H7076" s="7">
        <v>2112119</v>
      </c>
      <c r="I7076" s="7">
        <v>711644</v>
      </c>
      <c r="J7076" s="7">
        <v>0</v>
      </c>
      <c r="K7076">
        <f t="shared" si="110"/>
        <v>92</v>
      </c>
      <c r="L7076" s="8" t="str" cm="1">
        <f t="array" ref="L7076">_xlfn.IFS(
 AND(K7076&gt;=89,K7076&lt;=92),"3개월",
 AND(K7076&gt;=58,K7076&lt;=62),"2개월",
 AND(K7076&gt;=28,K7076&lt;=32),"1개월",
 AND(K7076=0),"당월",
 TRUE,"그외"
)</f>
        <v>3개월</v>
      </c>
    </row>
    <row r="7077" spans="1:12" x14ac:dyDescent="0.3">
      <c r="A7077" s="5">
        <v>45809</v>
      </c>
      <c r="B7077" s="6" t="s">
        <v>40</v>
      </c>
      <c r="C7077" s="6" t="s">
        <v>41</v>
      </c>
      <c r="D7077" s="5">
        <v>45717</v>
      </c>
      <c r="E7077" s="6" t="s">
        <v>15</v>
      </c>
      <c r="F7077" s="7">
        <v>49</v>
      </c>
      <c r="G7077" s="7">
        <v>117486.612244898</v>
      </c>
      <c r="H7077" s="7">
        <v>5756844</v>
      </c>
      <c r="I7077" s="7">
        <v>1570799</v>
      </c>
      <c r="J7077" s="7">
        <v>0</v>
      </c>
      <c r="K7077">
        <f t="shared" si="110"/>
        <v>92</v>
      </c>
      <c r="L7077" s="8" t="str" cm="1">
        <f t="array" ref="L7077">_xlfn.IFS(
 AND(K7077&gt;=89,K7077&lt;=92),"3개월",
 AND(K7077&gt;=58,K7077&lt;=62),"2개월",
 AND(K7077&gt;=28,K7077&lt;=32),"1개월",
 AND(K7077=0),"당월",
 TRUE,"그외"
)</f>
        <v>3개월</v>
      </c>
    </row>
    <row r="7078" spans="1:12" x14ac:dyDescent="0.3">
      <c r="A7078" s="5">
        <v>45809</v>
      </c>
      <c r="B7078" s="6" t="s">
        <v>40</v>
      </c>
      <c r="C7078" s="6" t="s">
        <v>41</v>
      </c>
      <c r="D7078" s="5">
        <v>45748</v>
      </c>
      <c r="E7078" s="6" t="s">
        <v>14</v>
      </c>
      <c r="F7078" s="7">
        <v>312</v>
      </c>
      <c r="G7078" s="7">
        <v>73311.830128205125</v>
      </c>
      <c r="H7078" s="7">
        <v>22873291</v>
      </c>
      <c r="I7078" s="7">
        <v>9104249</v>
      </c>
      <c r="J7078" s="7">
        <v>0</v>
      </c>
      <c r="K7078">
        <f t="shared" si="110"/>
        <v>61</v>
      </c>
      <c r="L7078" s="8" t="str" cm="1">
        <f t="array" ref="L7078">_xlfn.IFS(
 AND(K7078&gt;=89,K7078&lt;=92),"3개월",
 AND(K7078&gt;=58,K7078&lt;=62),"2개월",
 AND(K7078&gt;=28,K7078&lt;=32),"1개월",
 AND(K7078=0),"당월",
 TRUE,"그외"
)</f>
        <v>2개월</v>
      </c>
    </row>
    <row r="7079" spans="1:12" x14ac:dyDescent="0.3">
      <c r="A7079" s="5">
        <v>45809</v>
      </c>
      <c r="B7079" s="6" t="s">
        <v>40</v>
      </c>
      <c r="C7079" s="6" t="s">
        <v>41</v>
      </c>
      <c r="D7079" s="5">
        <v>45748</v>
      </c>
      <c r="E7079" s="6" t="s">
        <v>15</v>
      </c>
      <c r="F7079" s="7">
        <v>110</v>
      </c>
      <c r="G7079" s="7">
        <v>56855.027272727268</v>
      </c>
      <c r="H7079" s="7">
        <v>6254053</v>
      </c>
      <c r="I7079" s="7">
        <v>1068536</v>
      </c>
      <c r="J7079" s="7">
        <v>0</v>
      </c>
      <c r="K7079">
        <f t="shared" si="110"/>
        <v>61</v>
      </c>
      <c r="L7079" s="8" t="str" cm="1">
        <f t="array" ref="L7079">_xlfn.IFS(
 AND(K7079&gt;=89,K7079&lt;=92),"3개월",
 AND(K7079&gt;=58,K7079&lt;=62),"2개월",
 AND(K7079&gt;=28,K7079&lt;=32),"1개월",
 AND(K7079=0),"당월",
 TRUE,"그외"
)</f>
        <v>2개월</v>
      </c>
    </row>
    <row r="7080" spans="1:12" x14ac:dyDescent="0.3">
      <c r="A7080" s="5">
        <v>45809</v>
      </c>
      <c r="B7080" s="6" t="s">
        <v>40</v>
      </c>
      <c r="C7080" s="6" t="s">
        <v>41</v>
      </c>
      <c r="D7080" s="5">
        <v>45778</v>
      </c>
      <c r="E7080" s="6" t="s">
        <v>14</v>
      </c>
      <c r="F7080" s="7">
        <v>87</v>
      </c>
      <c r="G7080" s="7">
        <v>78693.402298850575</v>
      </c>
      <c r="H7080" s="7">
        <v>6846326</v>
      </c>
      <c r="I7080" s="7">
        <v>3629198</v>
      </c>
      <c r="J7080" s="7">
        <v>0</v>
      </c>
      <c r="K7080">
        <f t="shared" si="110"/>
        <v>31</v>
      </c>
      <c r="L7080" s="8" t="str" cm="1">
        <f t="array" ref="L7080">_xlfn.IFS(
 AND(K7080&gt;=89,K7080&lt;=92),"3개월",
 AND(K7080&gt;=58,K7080&lt;=62),"2개월",
 AND(K7080&gt;=28,K7080&lt;=32),"1개월",
 AND(K7080=0),"당월",
 TRUE,"그외"
)</f>
        <v>1개월</v>
      </c>
    </row>
    <row r="7081" spans="1:12" x14ac:dyDescent="0.3">
      <c r="A7081" s="5">
        <v>45809</v>
      </c>
      <c r="B7081" s="6" t="s">
        <v>40</v>
      </c>
      <c r="C7081" s="6" t="s">
        <v>41</v>
      </c>
      <c r="D7081" s="5">
        <v>45778</v>
      </c>
      <c r="E7081" s="6" t="s">
        <v>15</v>
      </c>
      <c r="F7081" s="7">
        <v>41</v>
      </c>
      <c r="G7081" s="7">
        <v>103154.4878048781</v>
      </c>
      <c r="H7081" s="7">
        <v>4229334</v>
      </c>
      <c r="I7081" s="7">
        <v>722748</v>
      </c>
      <c r="J7081" s="7">
        <v>0</v>
      </c>
      <c r="K7081">
        <f t="shared" si="110"/>
        <v>31</v>
      </c>
      <c r="L7081" s="8" t="str" cm="1">
        <f t="array" ref="L7081">_xlfn.IFS(
 AND(K7081&gt;=89,K7081&lt;=92),"3개월",
 AND(K7081&gt;=58,K7081&lt;=62),"2개월",
 AND(K7081&gt;=28,K7081&lt;=32),"1개월",
 AND(K7081=0),"당월",
 TRUE,"그외"
)</f>
        <v>1개월</v>
      </c>
    </row>
    <row r="7082" spans="1:12" x14ac:dyDescent="0.3">
      <c r="A7082" s="5">
        <v>45809</v>
      </c>
      <c r="B7082" s="6" t="s">
        <v>40</v>
      </c>
      <c r="C7082" s="6" t="s">
        <v>42</v>
      </c>
      <c r="D7082" s="5">
        <v>45717</v>
      </c>
      <c r="E7082" s="6" t="s">
        <v>14</v>
      </c>
      <c r="F7082" s="7">
        <v>13</v>
      </c>
      <c r="G7082" s="7">
        <v>183100</v>
      </c>
      <c r="H7082" s="7">
        <v>2380300</v>
      </c>
      <c r="I7082" s="7">
        <v>300300</v>
      </c>
      <c r="J7082" s="7">
        <v>0</v>
      </c>
      <c r="K7082">
        <f t="shared" si="110"/>
        <v>92</v>
      </c>
      <c r="L7082" s="8" t="str" cm="1">
        <f t="array" ref="L7082">_xlfn.IFS(
 AND(K7082&gt;=89,K7082&lt;=92),"3개월",
 AND(K7082&gt;=58,K7082&lt;=62),"2개월",
 AND(K7082&gt;=28,K7082&lt;=32),"1개월",
 AND(K7082=0),"당월",
 TRUE,"그외"
)</f>
        <v>3개월</v>
      </c>
    </row>
    <row r="7083" spans="1:12" x14ac:dyDescent="0.3">
      <c r="A7083" s="5">
        <v>45809</v>
      </c>
      <c r="B7083" s="6" t="s">
        <v>40</v>
      </c>
      <c r="C7083" s="6" t="s">
        <v>42</v>
      </c>
      <c r="D7083" s="5">
        <v>45748</v>
      </c>
      <c r="E7083" s="6" t="s">
        <v>14</v>
      </c>
      <c r="F7083" s="7">
        <v>14</v>
      </c>
      <c r="G7083" s="7">
        <v>175971.42857142861</v>
      </c>
      <c r="H7083" s="7">
        <v>2463600</v>
      </c>
      <c r="I7083" s="7">
        <v>243600</v>
      </c>
      <c r="J7083" s="7">
        <v>0</v>
      </c>
      <c r="K7083">
        <f t="shared" si="110"/>
        <v>61</v>
      </c>
      <c r="L7083" s="8" t="str" cm="1">
        <f t="array" ref="L7083">_xlfn.IFS(
 AND(K7083&gt;=89,K7083&lt;=92),"3개월",
 AND(K7083&gt;=58,K7083&lt;=62),"2개월",
 AND(K7083&gt;=28,K7083&lt;=32),"1개월",
 AND(K7083=0),"당월",
 TRUE,"그외"
)</f>
        <v>2개월</v>
      </c>
    </row>
    <row r="7084" spans="1:12" x14ac:dyDescent="0.3">
      <c r="A7084" s="5">
        <v>45809</v>
      </c>
      <c r="B7084" s="6" t="s">
        <v>40</v>
      </c>
      <c r="C7084" s="6" t="s">
        <v>42</v>
      </c>
      <c r="D7084" s="5">
        <v>45778</v>
      </c>
      <c r="E7084" s="6" t="s">
        <v>14</v>
      </c>
      <c r="F7084" s="7">
        <v>4</v>
      </c>
      <c r="G7084" s="7">
        <v>175600</v>
      </c>
      <c r="H7084" s="7">
        <v>702400</v>
      </c>
      <c r="I7084" s="7">
        <v>58400</v>
      </c>
      <c r="J7084" s="7">
        <v>0</v>
      </c>
      <c r="K7084">
        <f t="shared" si="110"/>
        <v>31</v>
      </c>
      <c r="L7084" s="8" t="str" cm="1">
        <f t="array" ref="L7084">_xlfn.IFS(
 AND(K7084&gt;=89,K7084&lt;=92),"3개월",
 AND(K7084&gt;=58,K7084&lt;=62),"2개월",
 AND(K7084&gt;=28,K7084&lt;=32),"1개월",
 AND(K7084=0),"당월",
 TRUE,"그외"
)</f>
        <v>1개월</v>
      </c>
    </row>
    <row r="7085" spans="1:12" x14ac:dyDescent="0.3">
      <c r="A7085" s="5">
        <v>45809</v>
      </c>
      <c r="B7085" s="6" t="s">
        <v>40</v>
      </c>
      <c r="C7085" s="6" t="s">
        <v>92</v>
      </c>
      <c r="D7085" s="5">
        <v>45658</v>
      </c>
      <c r="E7085" s="6" t="s">
        <v>14</v>
      </c>
      <c r="F7085" s="7">
        <v>98</v>
      </c>
      <c r="G7085" s="7">
        <v>156851.02040816331</v>
      </c>
      <c r="H7085" s="7">
        <v>15371400</v>
      </c>
      <c r="I7085" s="7">
        <v>1107400</v>
      </c>
      <c r="J7085" s="7">
        <v>0</v>
      </c>
      <c r="K7085">
        <f t="shared" si="110"/>
        <v>151</v>
      </c>
      <c r="L7085" s="8" t="str" cm="1">
        <f t="array" ref="L7085">_xlfn.IFS(
 AND(K7085&gt;=89,K7085&lt;=92),"3개월",
 AND(K7085&gt;=58,K7085&lt;=62),"2개월",
 AND(K7085&gt;=28,K7085&lt;=32),"1개월",
 AND(K7085=0),"당월",
 TRUE,"그외"
)</f>
        <v>그외</v>
      </c>
    </row>
    <row r="7086" spans="1:12" x14ac:dyDescent="0.3">
      <c r="A7086" s="5">
        <v>45809</v>
      </c>
      <c r="B7086" s="6" t="s">
        <v>40</v>
      </c>
      <c r="C7086" s="6" t="s">
        <v>92</v>
      </c>
      <c r="D7086" s="5">
        <v>45689</v>
      </c>
      <c r="E7086" s="6" t="s">
        <v>14</v>
      </c>
      <c r="F7086" s="7">
        <v>443</v>
      </c>
      <c r="G7086" s="7">
        <v>147072.46049661399</v>
      </c>
      <c r="H7086" s="7">
        <v>65153100</v>
      </c>
      <c r="I7086" s="7">
        <v>5183100</v>
      </c>
      <c r="J7086" s="7">
        <v>0</v>
      </c>
      <c r="K7086">
        <f t="shared" si="110"/>
        <v>120</v>
      </c>
      <c r="L7086" s="8" t="str" cm="1">
        <f t="array" ref="L7086">_xlfn.IFS(
 AND(K7086&gt;=89,K7086&lt;=92),"3개월",
 AND(K7086&gt;=58,K7086&lt;=62),"2개월",
 AND(K7086&gt;=28,K7086&lt;=32),"1개월",
 AND(K7086=0),"당월",
 TRUE,"그외"
)</f>
        <v>그외</v>
      </c>
    </row>
    <row r="7087" spans="1:12" x14ac:dyDescent="0.3">
      <c r="A7087" s="5">
        <v>45809</v>
      </c>
      <c r="B7087" s="6" t="s">
        <v>40</v>
      </c>
      <c r="C7087" s="6" t="s">
        <v>92</v>
      </c>
      <c r="D7087" s="5">
        <v>45717</v>
      </c>
      <c r="E7087" s="6" t="s">
        <v>14</v>
      </c>
      <c r="F7087" s="7">
        <v>12</v>
      </c>
      <c r="G7087" s="7">
        <v>158750</v>
      </c>
      <c r="H7087" s="7">
        <v>1905000</v>
      </c>
      <c r="I7087" s="7">
        <v>143000</v>
      </c>
      <c r="J7087" s="7">
        <v>0</v>
      </c>
      <c r="K7087">
        <f t="shared" si="110"/>
        <v>92</v>
      </c>
      <c r="L7087" s="8" t="str" cm="1">
        <f t="array" ref="L7087">_xlfn.IFS(
 AND(K7087&gt;=89,K7087&lt;=92),"3개월",
 AND(K7087&gt;=58,K7087&lt;=62),"2개월",
 AND(K7087&gt;=28,K7087&lt;=32),"1개월",
 AND(K7087=0),"당월",
 TRUE,"그외"
)</f>
        <v>3개월</v>
      </c>
    </row>
    <row r="7088" spans="1:12" x14ac:dyDescent="0.3">
      <c r="A7088" s="5">
        <v>45809</v>
      </c>
      <c r="B7088" s="6" t="s">
        <v>40</v>
      </c>
      <c r="C7088" s="6" t="s">
        <v>92</v>
      </c>
      <c r="D7088" s="5">
        <v>45717</v>
      </c>
      <c r="E7088" s="6" t="s">
        <v>15</v>
      </c>
      <c r="F7088" s="7">
        <v>5</v>
      </c>
      <c r="G7088" s="7">
        <v>205483.6</v>
      </c>
      <c r="H7088" s="7">
        <v>1027418</v>
      </c>
      <c r="I7088" s="7">
        <v>97897</v>
      </c>
      <c r="J7088" s="7">
        <v>0</v>
      </c>
      <c r="K7088">
        <f t="shared" si="110"/>
        <v>92</v>
      </c>
      <c r="L7088" s="8" t="str" cm="1">
        <f t="array" ref="L7088">_xlfn.IFS(
 AND(K7088&gt;=89,K7088&lt;=92),"3개월",
 AND(K7088&gt;=58,K7088&lt;=62),"2개월",
 AND(K7088&gt;=28,K7088&lt;=32),"1개월",
 AND(K7088=0),"당월",
 TRUE,"그외"
)</f>
        <v>3개월</v>
      </c>
    </row>
    <row r="7089" spans="1:12" x14ac:dyDescent="0.3">
      <c r="A7089" s="5">
        <v>45809</v>
      </c>
      <c r="B7089" s="6" t="s">
        <v>40</v>
      </c>
      <c r="C7089" s="6" t="s">
        <v>92</v>
      </c>
      <c r="D7089" s="5">
        <v>45748</v>
      </c>
      <c r="E7089" s="6" t="s">
        <v>14</v>
      </c>
      <c r="F7089" s="7">
        <v>104</v>
      </c>
      <c r="G7089" s="7">
        <v>138092.30769230769</v>
      </c>
      <c r="H7089" s="7">
        <v>14361600</v>
      </c>
      <c r="I7089" s="7">
        <v>1053600</v>
      </c>
      <c r="J7089" s="7">
        <v>0</v>
      </c>
      <c r="K7089">
        <f t="shared" si="110"/>
        <v>61</v>
      </c>
      <c r="L7089" s="8" t="str" cm="1">
        <f t="array" ref="L7089">_xlfn.IFS(
 AND(K7089&gt;=89,K7089&lt;=92),"3개월",
 AND(K7089&gt;=58,K7089&lt;=62),"2개월",
 AND(K7089&gt;=28,K7089&lt;=32),"1개월",
 AND(K7089=0),"당월",
 TRUE,"그외"
)</f>
        <v>2개월</v>
      </c>
    </row>
    <row r="7090" spans="1:12" x14ac:dyDescent="0.3">
      <c r="A7090" s="5">
        <v>45809</v>
      </c>
      <c r="B7090" s="6" t="s">
        <v>40</v>
      </c>
      <c r="C7090" s="6" t="s">
        <v>92</v>
      </c>
      <c r="D7090" s="5">
        <v>45748</v>
      </c>
      <c r="E7090" s="6" t="s">
        <v>15</v>
      </c>
      <c r="F7090" s="7">
        <v>11</v>
      </c>
      <c r="G7090" s="7">
        <v>228281.81818181821</v>
      </c>
      <c r="H7090" s="7">
        <v>2511100</v>
      </c>
      <c r="I7090" s="7">
        <v>111100</v>
      </c>
      <c r="J7090" s="7">
        <v>0</v>
      </c>
      <c r="K7090">
        <f t="shared" si="110"/>
        <v>61</v>
      </c>
      <c r="L7090" s="8" t="str" cm="1">
        <f t="array" ref="L7090">_xlfn.IFS(
 AND(K7090&gt;=89,K7090&lt;=92),"3개월",
 AND(K7090&gt;=58,K7090&lt;=62),"2개월",
 AND(K7090&gt;=28,K7090&lt;=32),"1개월",
 AND(K7090=0),"당월",
 TRUE,"그외"
)</f>
        <v>2개월</v>
      </c>
    </row>
    <row r="7091" spans="1:12" x14ac:dyDescent="0.3">
      <c r="A7091" s="5">
        <v>45809</v>
      </c>
      <c r="B7091" s="6" t="s">
        <v>40</v>
      </c>
      <c r="C7091" s="6" t="s">
        <v>92</v>
      </c>
      <c r="D7091" s="5">
        <v>45778</v>
      </c>
      <c r="E7091" s="6" t="s">
        <v>14</v>
      </c>
      <c r="F7091" s="7">
        <v>4</v>
      </c>
      <c r="G7091" s="7">
        <v>167300</v>
      </c>
      <c r="H7091" s="7">
        <v>669200</v>
      </c>
      <c r="I7091" s="7">
        <v>29200</v>
      </c>
      <c r="J7091" s="7">
        <v>0</v>
      </c>
      <c r="K7091">
        <f t="shared" si="110"/>
        <v>31</v>
      </c>
      <c r="L7091" s="8" t="str" cm="1">
        <f t="array" ref="L7091">_xlfn.IFS(
 AND(K7091&gt;=89,K7091&lt;=92),"3개월",
 AND(K7091&gt;=58,K7091&lt;=62),"2개월",
 AND(K7091&gt;=28,K7091&lt;=32),"1개월",
 AND(K7091=0),"당월",
 TRUE,"그외"
)</f>
        <v>1개월</v>
      </c>
    </row>
    <row r="7092" spans="1:12" x14ac:dyDescent="0.3">
      <c r="A7092" s="5">
        <v>45809</v>
      </c>
      <c r="B7092" s="6" t="s">
        <v>40</v>
      </c>
      <c r="C7092" s="6" t="s">
        <v>93</v>
      </c>
      <c r="D7092" s="5">
        <v>45689</v>
      </c>
      <c r="E7092" s="6" t="s">
        <v>14</v>
      </c>
      <c r="F7092" s="7">
        <v>69</v>
      </c>
      <c r="G7092" s="7">
        <v>107482.6086956522</v>
      </c>
      <c r="H7092" s="7">
        <v>7416300</v>
      </c>
      <c r="I7092" s="7">
        <v>807300</v>
      </c>
      <c r="J7092" s="7">
        <v>0</v>
      </c>
      <c r="K7092">
        <f t="shared" si="110"/>
        <v>120</v>
      </c>
      <c r="L7092" s="8" t="str" cm="1">
        <f t="array" ref="L7092">_xlfn.IFS(
 AND(K7092&gt;=89,K7092&lt;=92),"3개월",
 AND(K7092&gt;=58,K7092&lt;=62),"2개월",
 AND(K7092&gt;=28,K7092&lt;=32),"1개월",
 AND(K7092=0),"당월",
 TRUE,"그외"
)</f>
        <v>그외</v>
      </c>
    </row>
    <row r="7093" spans="1:12" x14ac:dyDescent="0.3">
      <c r="A7093" s="5">
        <v>45809</v>
      </c>
      <c r="B7093" s="6" t="s">
        <v>40</v>
      </c>
      <c r="C7093" s="6" t="s">
        <v>93</v>
      </c>
      <c r="D7093" s="5">
        <v>45689</v>
      </c>
      <c r="E7093" s="6" t="s">
        <v>15</v>
      </c>
      <c r="F7093" s="7">
        <v>46</v>
      </c>
      <c r="G7093" s="7">
        <v>211789.13043478259</v>
      </c>
      <c r="H7093" s="7">
        <v>9742300</v>
      </c>
      <c r="I7093" s="7">
        <v>682300</v>
      </c>
      <c r="J7093" s="7">
        <v>0</v>
      </c>
      <c r="K7093">
        <f t="shared" si="110"/>
        <v>120</v>
      </c>
      <c r="L7093" s="8" t="str" cm="1">
        <f t="array" ref="L7093">_xlfn.IFS(
 AND(K7093&gt;=89,K7093&lt;=92),"3개월",
 AND(K7093&gt;=58,K7093&lt;=62),"2개월",
 AND(K7093&gt;=28,K7093&lt;=32),"1개월",
 AND(K7093=0),"당월",
 TRUE,"그외"
)</f>
        <v>그외</v>
      </c>
    </row>
    <row r="7094" spans="1:12" x14ac:dyDescent="0.3">
      <c r="A7094" s="5">
        <v>45809</v>
      </c>
      <c r="B7094" s="6" t="s">
        <v>40</v>
      </c>
      <c r="C7094" s="6" t="s">
        <v>93</v>
      </c>
      <c r="D7094" s="5">
        <v>45717</v>
      </c>
      <c r="E7094" s="6" t="s">
        <v>14</v>
      </c>
      <c r="F7094" s="7">
        <v>25</v>
      </c>
      <c r="G7094" s="7">
        <v>133000</v>
      </c>
      <c r="H7094" s="7">
        <v>3325000</v>
      </c>
      <c r="I7094" s="7">
        <v>325000</v>
      </c>
      <c r="J7094" s="7">
        <v>0</v>
      </c>
      <c r="K7094">
        <f t="shared" si="110"/>
        <v>92</v>
      </c>
      <c r="L7094" s="8" t="str" cm="1">
        <f t="array" ref="L7094">_xlfn.IFS(
 AND(K7094&gt;=89,K7094&lt;=92),"3개월",
 AND(K7094&gt;=58,K7094&lt;=62),"2개월",
 AND(K7094&gt;=28,K7094&lt;=32),"1개월",
 AND(K7094=0),"당월",
 TRUE,"그외"
)</f>
        <v>3개월</v>
      </c>
    </row>
    <row r="7095" spans="1:12" x14ac:dyDescent="0.3">
      <c r="A7095" s="5">
        <v>45809</v>
      </c>
      <c r="B7095" s="6" t="s">
        <v>40</v>
      </c>
      <c r="C7095" s="6" t="s">
        <v>93</v>
      </c>
      <c r="D7095" s="5">
        <v>45717</v>
      </c>
      <c r="E7095" s="6" t="s">
        <v>15</v>
      </c>
      <c r="F7095" s="7">
        <v>28</v>
      </c>
      <c r="G7095" s="7">
        <v>192333.53571428571</v>
      </c>
      <c r="H7095" s="7">
        <v>5385339</v>
      </c>
      <c r="I7095" s="7">
        <v>627833</v>
      </c>
      <c r="J7095" s="7">
        <v>0</v>
      </c>
      <c r="K7095">
        <f t="shared" si="110"/>
        <v>92</v>
      </c>
      <c r="L7095" s="8" t="str" cm="1">
        <f t="array" ref="L7095">_xlfn.IFS(
 AND(K7095&gt;=89,K7095&lt;=92),"3개월",
 AND(K7095&gt;=58,K7095&lt;=62),"2개월",
 AND(K7095&gt;=28,K7095&lt;=32),"1개월",
 AND(K7095=0),"당월",
 TRUE,"그외"
)</f>
        <v>3개월</v>
      </c>
    </row>
    <row r="7096" spans="1:12" x14ac:dyDescent="0.3">
      <c r="A7096" s="5">
        <v>45809</v>
      </c>
      <c r="B7096" s="6" t="s">
        <v>40</v>
      </c>
      <c r="C7096" s="6" t="s">
        <v>93</v>
      </c>
      <c r="D7096" s="5">
        <v>45748</v>
      </c>
      <c r="E7096" s="6" t="s">
        <v>14</v>
      </c>
      <c r="F7096" s="7">
        <v>12</v>
      </c>
      <c r="G7096" s="7">
        <v>115533.3333333333</v>
      </c>
      <c r="H7096" s="7">
        <v>1386400</v>
      </c>
      <c r="I7096" s="7">
        <v>124400</v>
      </c>
      <c r="J7096" s="7">
        <v>0</v>
      </c>
      <c r="K7096">
        <f t="shared" si="110"/>
        <v>61</v>
      </c>
      <c r="L7096" s="8" t="str" cm="1">
        <f t="array" ref="L7096">_xlfn.IFS(
 AND(K7096&gt;=89,K7096&lt;=92),"3개월",
 AND(K7096&gt;=58,K7096&lt;=62),"2개월",
 AND(K7096&gt;=28,K7096&lt;=32),"1개월",
 AND(K7096=0),"당월",
 TRUE,"그외"
)</f>
        <v>2개월</v>
      </c>
    </row>
    <row r="7097" spans="1:12" x14ac:dyDescent="0.3">
      <c r="A7097" s="5">
        <v>45809</v>
      </c>
      <c r="B7097" s="6" t="s">
        <v>40</v>
      </c>
      <c r="C7097" s="6" t="s">
        <v>93</v>
      </c>
      <c r="D7097" s="5">
        <v>45748</v>
      </c>
      <c r="E7097" s="6" t="s">
        <v>15</v>
      </c>
      <c r="F7097" s="7">
        <v>16</v>
      </c>
      <c r="G7097" s="7">
        <v>169383.625</v>
      </c>
      <c r="H7097" s="7">
        <v>2710138</v>
      </c>
      <c r="I7097" s="7">
        <v>227460</v>
      </c>
      <c r="J7097" s="7">
        <v>0</v>
      </c>
      <c r="K7097">
        <f t="shared" si="110"/>
        <v>61</v>
      </c>
      <c r="L7097" s="8" t="str" cm="1">
        <f t="array" ref="L7097">_xlfn.IFS(
 AND(K7097&gt;=89,K7097&lt;=92),"3개월",
 AND(K7097&gt;=58,K7097&lt;=62),"2개월",
 AND(K7097&gt;=28,K7097&lt;=32),"1개월",
 AND(K7097=0),"당월",
 TRUE,"그외"
)</f>
        <v>2개월</v>
      </c>
    </row>
    <row r="7098" spans="1:12" x14ac:dyDescent="0.3">
      <c r="A7098" s="5">
        <v>45809</v>
      </c>
      <c r="B7098" s="6" t="s">
        <v>40</v>
      </c>
      <c r="C7098" s="6" t="s">
        <v>93</v>
      </c>
      <c r="D7098" s="5">
        <v>45778</v>
      </c>
      <c r="E7098" s="6" t="s">
        <v>15</v>
      </c>
      <c r="F7098" s="7">
        <v>3</v>
      </c>
      <c r="G7098" s="7">
        <v>119166.6666666667</v>
      </c>
      <c r="H7098" s="7">
        <v>357500</v>
      </c>
      <c r="I7098" s="7">
        <v>27500</v>
      </c>
      <c r="J7098" s="7">
        <v>0</v>
      </c>
      <c r="K7098">
        <f t="shared" si="110"/>
        <v>31</v>
      </c>
      <c r="L7098" s="8" t="str" cm="1">
        <f t="array" ref="L7098">_xlfn.IFS(
 AND(K7098&gt;=89,K7098&lt;=92),"3개월",
 AND(K7098&gt;=58,K7098&lt;=62),"2개월",
 AND(K7098&gt;=28,K7098&lt;=32),"1개월",
 AND(K7098=0),"당월",
 TRUE,"그외"
)</f>
        <v>1개월</v>
      </c>
    </row>
    <row r="7099" spans="1:12" x14ac:dyDescent="0.3">
      <c r="A7099" s="5">
        <v>45809</v>
      </c>
      <c r="B7099" s="6" t="s">
        <v>40</v>
      </c>
      <c r="C7099" s="6" t="s">
        <v>47</v>
      </c>
      <c r="D7099" s="5">
        <v>45689</v>
      </c>
      <c r="E7099" s="6" t="s">
        <v>15</v>
      </c>
      <c r="F7099" s="7">
        <v>148</v>
      </c>
      <c r="G7099" s="7">
        <v>108482.08108108109</v>
      </c>
      <c r="H7099" s="7">
        <v>16055348</v>
      </c>
      <c r="I7099" s="7">
        <v>3923299</v>
      </c>
      <c r="J7099" s="7">
        <v>0</v>
      </c>
      <c r="K7099">
        <f t="shared" si="110"/>
        <v>120</v>
      </c>
      <c r="L7099" s="8" t="str" cm="1">
        <f t="array" ref="L7099">_xlfn.IFS(
 AND(K7099&gt;=89,K7099&lt;=92),"3개월",
 AND(K7099&gt;=58,K7099&lt;=62),"2개월",
 AND(K7099&gt;=28,K7099&lt;=32),"1개월",
 AND(K7099=0),"당월",
 TRUE,"그외"
)</f>
        <v>그외</v>
      </c>
    </row>
    <row r="7100" spans="1:12" x14ac:dyDescent="0.3">
      <c r="A7100" s="5">
        <v>45809</v>
      </c>
      <c r="B7100" s="6" t="s">
        <v>40</v>
      </c>
      <c r="C7100" s="6" t="s">
        <v>47</v>
      </c>
      <c r="D7100" s="5">
        <v>45717</v>
      </c>
      <c r="E7100" s="6" t="s">
        <v>14</v>
      </c>
      <c r="F7100" s="7">
        <v>10</v>
      </c>
      <c r="G7100" s="7">
        <v>68900</v>
      </c>
      <c r="H7100" s="7">
        <v>689000</v>
      </c>
      <c r="I7100" s="7">
        <v>289000</v>
      </c>
      <c r="J7100" s="7">
        <v>0</v>
      </c>
      <c r="K7100">
        <f t="shared" si="110"/>
        <v>92</v>
      </c>
      <c r="L7100" s="8" t="str" cm="1">
        <f t="array" ref="L7100">_xlfn.IFS(
 AND(K7100&gt;=89,K7100&lt;=92),"3개월",
 AND(K7100&gt;=58,K7100&lt;=62),"2개월",
 AND(K7100&gt;=28,K7100&lt;=32),"1개월",
 AND(K7100=0),"당월",
 TRUE,"그외"
)</f>
        <v>3개월</v>
      </c>
    </row>
    <row r="7101" spans="1:12" x14ac:dyDescent="0.3">
      <c r="A7101" s="5">
        <v>45809</v>
      </c>
      <c r="B7101" s="6" t="s">
        <v>40</v>
      </c>
      <c r="C7101" s="6" t="s">
        <v>47</v>
      </c>
      <c r="D7101" s="5">
        <v>45717</v>
      </c>
      <c r="E7101" s="6" t="s">
        <v>15</v>
      </c>
      <c r="F7101" s="7">
        <v>487</v>
      </c>
      <c r="G7101" s="7">
        <v>118243.06160164269</v>
      </c>
      <c r="H7101" s="7">
        <v>57584371</v>
      </c>
      <c r="I7101" s="7">
        <v>14427861</v>
      </c>
      <c r="J7101" s="7">
        <v>0</v>
      </c>
      <c r="K7101">
        <f t="shared" si="110"/>
        <v>92</v>
      </c>
      <c r="L7101" s="8" t="str" cm="1">
        <f t="array" ref="L7101">_xlfn.IFS(
 AND(K7101&gt;=89,K7101&lt;=92),"3개월",
 AND(K7101&gt;=58,K7101&lt;=62),"2개월",
 AND(K7101&gt;=28,K7101&lt;=32),"1개월",
 AND(K7101=0),"당월",
 TRUE,"그외"
)</f>
        <v>3개월</v>
      </c>
    </row>
    <row r="7102" spans="1:12" x14ac:dyDescent="0.3">
      <c r="A7102" s="5">
        <v>45809</v>
      </c>
      <c r="B7102" s="6" t="s">
        <v>40</v>
      </c>
      <c r="C7102" s="6" t="s">
        <v>47</v>
      </c>
      <c r="D7102" s="5">
        <v>45748</v>
      </c>
      <c r="E7102" s="6" t="s">
        <v>14</v>
      </c>
      <c r="F7102" s="7">
        <v>122</v>
      </c>
      <c r="G7102" s="7">
        <v>68732.786885245907</v>
      </c>
      <c r="H7102" s="7">
        <v>8385400</v>
      </c>
      <c r="I7102" s="7">
        <v>2647400</v>
      </c>
      <c r="J7102" s="7">
        <v>0</v>
      </c>
      <c r="K7102">
        <f t="shared" si="110"/>
        <v>61</v>
      </c>
      <c r="L7102" s="8" t="str" cm="1">
        <f t="array" ref="L7102">_xlfn.IFS(
 AND(K7102&gt;=89,K7102&lt;=92),"3개월",
 AND(K7102&gt;=58,K7102&lt;=62),"2개월",
 AND(K7102&gt;=28,K7102&lt;=32),"1개월",
 AND(K7102=0),"당월",
 TRUE,"그외"
)</f>
        <v>2개월</v>
      </c>
    </row>
    <row r="7103" spans="1:12" x14ac:dyDescent="0.3">
      <c r="A7103" s="5">
        <v>45809</v>
      </c>
      <c r="B7103" s="6" t="s">
        <v>40</v>
      </c>
      <c r="C7103" s="6" t="s">
        <v>47</v>
      </c>
      <c r="D7103" s="5">
        <v>45748</v>
      </c>
      <c r="E7103" s="6" t="s">
        <v>15</v>
      </c>
      <c r="F7103" s="7">
        <v>1250</v>
      </c>
      <c r="G7103" s="7">
        <v>113436.5776</v>
      </c>
      <c r="H7103" s="7">
        <v>141795722</v>
      </c>
      <c r="I7103" s="7">
        <v>31920538</v>
      </c>
      <c r="J7103" s="7">
        <v>0</v>
      </c>
      <c r="K7103">
        <f t="shared" si="110"/>
        <v>61</v>
      </c>
      <c r="L7103" s="8" t="str" cm="1">
        <f t="array" ref="L7103">_xlfn.IFS(
 AND(K7103&gt;=89,K7103&lt;=92),"3개월",
 AND(K7103&gt;=58,K7103&lt;=62),"2개월",
 AND(K7103&gt;=28,K7103&lt;=32),"1개월",
 AND(K7103=0),"당월",
 TRUE,"그외"
)</f>
        <v>2개월</v>
      </c>
    </row>
    <row r="7104" spans="1:12" x14ac:dyDescent="0.3">
      <c r="A7104" s="5">
        <v>45809</v>
      </c>
      <c r="B7104" s="6" t="s">
        <v>40</v>
      </c>
      <c r="C7104" s="6" t="s">
        <v>47</v>
      </c>
      <c r="D7104" s="5">
        <v>45778</v>
      </c>
      <c r="E7104" s="6" t="s">
        <v>15</v>
      </c>
      <c r="F7104" s="7">
        <v>851</v>
      </c>
      <c r="G7104" s="7">
        <v>108368.8989424207</v>
      </c>
      <c r="H7104" s="7">
        <v>92221933</v>
      </c>
      <c r="I7104" s="7">
        <v>19306477</v>
      </c>
      <c r="J7104" s="7">
        <v>0</v>
      </c>
      <c r="K7104">
        <f t="shared" si="110"/>
        <v>31</v>
      </c>
      <c r="L7104" s="8" t="str" cm="1">
        <f t="array" ref="L7104">_xlfn.IFS(
 AND(K7104&gt;=89,K7104&lt;=92),"3개월",
 AND(K7104&gt;=58,K7104&lt;=62),"2개월",
 AND(K7104&gt;=28,K7104&lt;=32),"1개월",
 AND(K7104=0),"당월",
 TRUE,"그외"
)</f>
        <v>1개월</v>
      </c>
    </row>
    <row r="7105" spans="1:12" x14ac:dyDescent="0.3">
      <c r="A7105" s="5">
        <v>45809</v>
      </c>
      <c r="B7105" s="6" t="s">
        <v>50</v>
      </c>
      <c r="C7105" s="6" t="s">
        <v>51</v>
      </c>
      <c r="D7105" s="5">
        <v>45658</v>
      </c>
      <c r="E7105" s="6" t="s">
        <v>15</v>
      </c>
      <c r="F7105" s="7">
        <v>53</v>
      </c>
      <c r="G7105" s="7">
        <v>150158.43396226419</v>
      </c>
      <c r="H7105" s="7">
        <v>7958397</v>
      </c>
      <c r="I7105" s="7">
        <v>1383120</v>
      </c>
      <c r="J7105" s="7">
        <v>0</v>
      </c>
      <c r="K7105">
        <f t="shared" si="110"/>
        <v>151</v>
      </c>
      <c r="L7105" s="8" t="str" cm="1">
        <f t="array" ref="L7105">_xlfn.IFS(
 AND(K7105&gt;=89,K7105&lt;=92),"3개월",
 AND(K7105&gt;=58,K7105&lt;=62),"2개월",
 AND(K7105&gt;=28,K7105&lt;=32),"1개월",
 AND(K7105=0),"당월",
 TRUE,"그외"
)</f>
        <v>그외</v>
      </c>
    </row>
    <row r="7106" spans="1:12" x14ac:dyDescent="0.3">
      <c r="A7106" s="5">
        <v>45809</v>
      </c>
      <c r="B7106" s="6" t="s">
        <v>50</v>
      </c>
      <c r="C7106" s="6" t="s">
        <v>51</v>
      </c>
      <c r="D7106" s="5">
        <v>45689</v>
      </c>
      <c r="E7106" s="6" t="s">
        <v>15</v>
      </c>
      <c r="F7106" s="7">
        <v>285</v>
      </c>
      <c r="G7106" s="7">
        <v>166635.91578947371</v>
      </c>
      <c r="H7106" s="7">
        <v>47491236</v>
      </c>
      <c r="I7106" s="7">
        <v>8278440</v>
      </c>
      <c r="J7106" s="7">
        <v>0</v>
      </c>
      <c r="K7106">
        <f t="shared" si="110"/>
        <v>120</v>
      </c>
      <c r="L7106" s="8" t="str" cm="1">
        <f t="array" ref="L7106">_xlfn.IFS(
 AND(K7106&gt;=89,K7106&lt;=92),"3개월",
 AND(K7106&gt;=58,K7106&lt;=62),"2개월",
 AND(K7106&gt;=28,K7106&lt;=32),"1개월",
 AND(K7106=0),"당월",
 TRUE,"그외"
)</f>
        <v>그외</v>
      </c>
    </row>
    <row r="7107" spans="1:12" x14ac:dyDescent="0.3">
      <c r="A7107" s="5">
        <v>45809</v>
      </c>
      <c r="B7107" s="6" t="s">
        <v>50</v>
      </c>
      <c r="C7107" s="6" t="s">
        <v>51</v>
      </c>
      <c r="D7107" s="5">
        <v>45717</v>
      </c>
      <c r="E7107" s="6" t="s">
        <v>15</v>
      </c>
      <c r="F7107" s="7">
        <v>277</v>
      </c>
      <c r="G7107" s="7">
        <v>180125.64259927801</v>
      </c>
      <c r="H7107" s="7">
        <v>49894803</v>
      </c>
      <c r="I7107" s="7">
        <v>8351448</v>
      </c>
      <c r="J7107" s="7">
        <v>0</v>
      </c>
      <c r="K7107">
        <f t="shared" si="110"/>
        <v>92</v>
      </c>
      <c r="L7107" s="8" t="str" cm="1">
        <f t="array" ref="L7107">_xlfn.IFS(
 AND(K7107&gt;=89,K7107&lt;=92),"3개월",
 AND(K7107&gt;=58,K7107&lt;=62),"2개월",
 AND(K7107&gt;=28,K7107&lt;=32),"1개월",
 AND(K7107=0),"당월",
 TRUE,"그외"
)</f>
        <v>3개월</v>
      </c>
    </row>
    <row r="7108" spans="1:12" x14ac:dyDescent="0.3">
      <c r="A7108" s="5">
        <v>45809</v>
      </c>
      <c r="B7108" s="6" t="s">
        <v>50</v>
      </c>
      <c r="C7108" s="6" t="s">
        <v>51</v>
      </c>
      <c r="D7108" s="5">
        <v>45748</v>
      </c>
      <c r="E7108" s="6" t="s">
        <v>14</v>
      </c>
      <c r="F7108" s="7">
        <v>57</v>
      </c>
      <c r="G7108" s="7">
        <v>152284.63157894739</v>
      </c>
      <c r="H7108" s="7">
        <v>8680224</v>
      </c>
      <c r="I7108" s="7">
        <v>2275824</v>
      </c>
      <c r="J7108" s="7">
        <v>0</v>
      </c>
      <c r="K7108">
        <f t="shared" si="110"/>
        <v>61</v>
      </c>
      <c r="L7108" s="8" t="str" cm="1">
        <f t="array" ref="L7108">_xlfn.IFS(
 AND(K7108&gt;=89,K7108&lt;=92),"3개월",
 AND(K7108&gt;=58,K7108&lt;=62),"2개월",
 AND(K7108&gt;=28,K7108&lt;=32),"1개월",
 AND(K7108=0),"당월",
 TRUE,"그외"
)</f>
        <v>2개월</v>
      </c>
    </row>
    <row r="7109" spans="1:12" x14ac:dyDescent="0.3">
      <c r="A7109" s="5">
        <v>45809</v>
      </c>
      <c r="B7109" s="6" t="s">
        <v>50</v>
      </c>
      <c r="C7109" s="6" t="s">
        <v>51</v>
      </c>
      <c r="D7109" s="5">
        <v>45748</v>
      </c>
      <c r="E7109" s="6" t="s">
        <v>15</v>
      </c>
      <c r="F7109" s="7">
        <v>1039</v>
      </c>
      <c r="G7109" s="7">
        <v>159058.57170356109</v>
      </c>
      <c r="H7109" s="7">
        <v>165261856</v>
      </c>
      <c r="I7109" s="7">
        <v>28460415</v>
      </c>
      <c r="J7109" s="7">
        <v>0</v>
      </c>
      <c r="K7109">
        <f t="shared" si="110"/>
        <v>61</v>
      </c>
      <c r="L7109" s="8" t="str" cm="1">
        <f t="array" ref="L7109">_xlfn.IFS(
 AND(K7109&gt;=89,K7109&lt;=92),"3개월",
 AND(K7109&gt;=58,K7109&lt;=62),"2개월",
 AND(K7109&gt;=28,K7109&lt;=32),"1개월",
 AND(K7109=0),"당월",
 TRUE,"그외"
)</f>
        <v>2개월</v>
      </c>
    </row>
    <row r="7110" spans="1:12" x14ac:dyDescent="0.3">
      <c r="A7110" s="5">
        <v>45809</v>
      </c>
      <c r="B7110" s="6" t="s">
        <v>50</v>
      </c>
      <c r="C7110" s="6" t="s">
        <v>51</v>
      </c>
      <c r="D7110" s="5">
        <v>45778</v>
      </c>
      <c r="E7110" s="6" t="s">
        <v>15</v>
      </c>
      <c r="F7110" s="7">
        <v>831</v>
      </c>
      <c r="G7110" s="7">
        <v>146927.93742478939</v>
      </c>
      <c r="H7110" s="7">
        <v>122097116</v>
      </c>
      <c r="I7110" s="7">
        <v>22707790</v>
      </c>
      <c r="J7110" s="7">
        <v>0</v>
      </c>
      <c r="K7110">
        <f t="shared" si="110"/>
        <v>31</v>
      </c>
      <c r="L7110" s="8" t="str" cm="1">
        <f t="array" ref="L7110">_xlfn.IFS(
 AND(K7110&gt;=89,K7110&lt;=92),"3개월",
 AND(K7110&gt;=58,K7110&lt;=62),"2개월",
 AND(K7110&gt;=28,K7110&lt;=32),"1개월",
 AND(K7110=0),"당월",
 TRUE,"그외"
)</f>
        <v>1개월</v>
      </c>
    </row>
    <row r="7111" spans="1:12" x14ac:dyDescent="0.3">
      <c r="A7111" s="5">
        <v>45809</v>
      </c>
      <c r="B7111" s="6" t="s">
        <v>50</v>
      </c>
      <c r="C7111" s="6" t="s">
        <v>52</v>
      </c>
      <c r="D7111" s="5">
        <v>45658</v>
      </c>
      <c r="E7111" s="6" t="s">
        <v>15</v>
      </c>
      <c r="F7111" s="7">
        <v>171</v>
      </c>
      <c r="G7111" s="7">
        <v>107486.081871345</v>
      </c>
      <c r="H7111" s="7">
        <v>18380120</v>
      </c>
      <c r="I7111" s="7">
        <v>4616216</v>
      </c>
      <c r="J7111" s="7">
        <v>0</v>
      </c>
      <c r="K7111">
        <f t="shared" si="110"/>
        <v>151</v>
      </c>
      <c r="L7111" s="8" t="str" cm="1">
        <f t="array" ref="L7111">_xlfn.IFS(
 AND(K7111&gt;=89,K7111&lt;=92),"3개월",
 AND(K7111&gt;=58,K7111&lt;=62),"2개월",
 AND(K7111&gt;=28,K7111&lt;=32),"1개월",
 AND(K7111=0),"당월",
 TRUE,"그외"
)</f>
        <v>그외</v>
      </c>
    </row>
    <row r="7112" spans="1:12" x14ac:dyDescent="0.3">
      <c r="A7112" s="5">
        <v>45809</v>
      </c>
      <c r="B7112" s="6" t="s">
        <v>50</v>
      </c>
      <c r="C7112" s="6" t="s">
        <v>52</v>
      </c>
      <c r="D7112" s="5">
        <v>45689</v>
      </c>
      <c r="E7112" s="6" t="s">
        <v>15</v>
      </c>
      <c r="F7112" s="7">
        <v>350</v>
      </c>
      <c r="G7112" s="7">
        <v>113385.12285714289</v>
      </c>
      <c r="H7112" s="7">
        <v>39684793</v>
      </c>
      <c r="I7112" s="7">
        <v>11425803</v>
      </c>
      <c r="J7112" s="7">
        <v>0</v>
      </c>
      <c r="K7112">
        <f t="shared" si="110"/>
        <v>120</v>
      </c>
      <c r="L7112" s="8" t="str" cm="1">
        <f t="array" ref="L7112">_xlfn.IFS(
 AND(K7112&gt;=89,K7112&lt;=92),"3개월",
 AND(K7112&gt;=58,K7112&lt;=62),"2개월",
 AND(K7112&gt;=28,K7112&lt;=32),"1개월",
 AND(K7112=0),"당월",
 TRUE,"그외"
)</f>
        <v>그외</v>
      </c>
    </row>
    <row r="7113" spans="1:12" x14ac:dyDescent="0.3">
      <c r="A7113" s="5">
        <v>45809</v>
      </c>
      <c r="B7113" s="6" t="s">
        <v>50</v>
      </c>
      <c r="C7113" s="6" t="s">
        <v>52</v>
      </c>
      <c r="D7113" s="5">
        <v>45717</v>
      </c>
      <c r="E7113" s="6" t="s">
        <v>14</v>
      </c>
      <c r="F7113" s="7">
        <v>8</v>
      </c>
      <c r="G7113" s="7">
        <v>106680</v>
      </c>
      <c r="H7113" s="7">
        <v>853440</v>
      </c>
      <c r="I7113" s="7">
        <v>320040</v>
      </c>
      <c r="J7113" s="7">
        <v>0</v>
      </c>
      <c r="K7113">
        <f t="shared" si="110"/>
        <v>92</v>
      </c>
      <c r="L7113" s="8" t="str" cm="1">
        <f t="array" ref="L7113">_xlfn.IFS(
 AND(K7113&gt;=89,K7113&lt;=92),"3개월",
 AND(K7113&gt;=58,K7113&lt;=62),"2개월",
 AND(K7113&gt;=28,K7113&lt;=32),"1개월",
 AND(K7113=0),"당월",
 TRUE,"그외"
)</f>
        <v>3개월</v>
      </c>
    </row>
    <row r="7114" spans="1:12" x14ac:dyDescent="0.3">
      <c r="A7114" s="5">
        <v>45809</v>
      </c>
      <c r="B7114" s="6" t="s">
        <v>50</v>
      </c>
      <c r="C7114" s="6" t="s">
        <v>52</v>
      </c>
      <c r="D7114" s="5">
        <v>45717</v>
      </c>
      <c r="E7114" s="6" t="s">
        <v>15</v>
      </c>
      <c r="F7114" s="7">
        <v>661</v>
      </c>
      <c r="G7114" s="7">
        <v>115492.6142208775</v>
      </c>
      <c r="H7114" s="7">
        <v>76340618</v>
      </c>
      <c r="I7114" s="7">
        <v>21163459</v>
      </c>
      <c r="J7114" s="7">
        <v>0</v>
      </c>
      <c r="K7114">
        <f t="shared" ref="K7114:K7177" si="111">A7114-D7114</f>
        <v>92</v>
      </c>
      <c r="L7114" s="8" t="str" cm="1">
        <f t="array" ref="L7114">_xlfn.IFS(
 AND(K7114&gt;=89,K7114&lt;=92),"3개월",
 AND(K7114&gt;=58,K7114&lt;=62),"2개월",
 AND(K7114&gt;=28,K7114&lt;=32),"1개월",
 AND(K7114=0),"당월",
 TRUE,"그외"
)</f>
        <v>3개월</v>
      </c>
    </row>
    <row r="7115" spans="1:12" x14ac:dyDescent="0.3">
      <c r="A7115" s="5">
        <v>45809</v>
      </c>
      <c r="B7115" s="6" t="s">
        <v>50</v>
      </c>
      <c r="C7115" s="6" t="s">
        <v>52</v>
      </c>
      <c r="D7115" s="5">
        <v>45748</v>
      </c>
      <c r="E7115" s="6" t="s">
        <v>15</v>
      </c>
      <c r="F7115" s="7">
        <v>1242</v>
      </c>
      <c r="G7115" s="7">
        <v>100380.4855072464</v>
      </c>
      <c r="H7115" s="7">
        <v>124672563</v>
      </c>
      <c r="I7115" s="7">
        <v>34579227</v>
      </c>
      <c r="J7115" s="7">
        <v>0</v>
      </c>
      <c r="K7115">
        <f t="shared" si="111"/>
        <v>61</v>
      </c>
      <c r="L7115" s="8" t="str" cm="1">
        <f t="array" ref="L7115">_xlfn.IFS(
 AND(K7115&gt;=89,K7115&lt;=92),"3개월",
 AND(K7115&gt;=58,K7115&lt;=62),"2개월",
 AND(K7115&gt;=28,K7115&lt;=32),"1개월",
 AND(K7115=0),"당월",
 TRUE,"그외"
)</f>
        <v>2개월</v>
      </c>
    </row>
    <row r="7116" spans="1:12" x14ac:dyDescent="0.3">
      <c r="A7116" s="5">
        <v>45809</v>
      </c>
      <c r="B7116" s="6" t="s">
        <v>50</v>
      </c>
      <c r="C7116" s="6" t="s">
        <v>52</v>
      </c>
      <c r="D7116" s="5">
        <v>45778</v>
      </c>
      <c r="E7116" s="6" t="s">
        <v>15</v>
      </c>
      <c r="F7116" s="7">
        <v>339</v>
      </c>
      <c r="G7116" s="7">
        <v>94191.979351032453</v>
      </c>
      <c r="H7116" s="7">
        <v>31931081</v>
      </c>
      <c r="I7116" s="7">
        <v>9486752</v>
      </c>
      <c r="J7116" s="7">
        <v>0</v>
      </c>
      <c r="K7116">
        <f t="shared" si="111"/>
        <v>31</v>
      </c>
      <c r="L7116" s="8" t="str" cm="1">
        <f t="array" ref="L7116">_xlfn.IFS(
 AND(K7116&gt;=89,K7116&lt;=92),"3개월",
 AND(K7116&gt;=58,K7116&lt;=62),"2개월",
 AND(K7116&gt;=28,K7116&lt;=32),"1개월",
 AND(K7116=0),"당월",
 TRUE,"그외"
)</f>
        <v>1개월</v>
      </c>
    </row>
    <row r="7117" spans="1:12" x14ac:dyDescent="0.3">
      <c r="A7117" s="5">
        <v>45809</v>
      </c>
      <c r="B7117" s="6" t="s">
        <v>50</v>
      </c>
      <c r="C7117" s="6" t="s">
        <v>53</v>
      </c>
      <c r="D7117" s="5">
        <v>45627</v>
      </c>
      <c r="E7117" s="6" t="s">
        <v>15</v>
      </c>
      <c r="F7117" s="7">
        <v>5</v>
      </c>
      <c r="G7117" s="7">
        <v>304400</v>
      </c>
      <c r="H7117" s="7">
        <v>1522000</v>
      </c>
      <c r="I7117" s="7">
        <v>97000</v>
      </c>
      <c r="J7117" s="7">
        <v>0</v>
      </c>
      <c r="K7117">
        <f t="shared" si="111"/>
        <v>182</v>
      </c>
      <c r="L7117" s="8" t="str" cm="1">
        <f t="array" ref="L7117">_xlfn.IFS(
 AND(K7117&gt;=89,K7117&lt;=92),"3개월",
 AND(K7117&gt;=58,K7117&lt;=62),"2개월",
 AND(K7117&gt;=28,K7117&lt;=32),"1개월",
 AND(K7117=0),"당월",
 TRUE,"그외"
)</f>
        <v>그외</v>
      </c>
    </row>
    <row r="7118" spans="1:12" x14ac:dyDescent="0.3">
      <c r="A7118" s="5">
        <v>45809</v>
      </c>
      <c r="B7118" s="6" t="s">
        <v>50</v>
      </c>
      <c r="C7118" s="6" t="s">
        <v>53</v>
      </c>
      <c r="D7118" s="5">
        <v>45658</v>
      </c>
      <c r="E7118" s="6" t="s">
        <v>15</v>
      </c>
      <c r="F7118" s="7">
        <v>526</v>
      </c>
      <c r="G7118" s="7">
        <v>137781.43155893541</v>
      </c>
      <c r="H7118" s="7">
        <v>72473033</v>
      </c>
      <c r="I7118" s="7">
        <v>15685550</v>
      </c>
      <c r="J7118" s="7">
        <v>0</v>
      </c>
      <c r="K7118">
        <f t="shared" si="111"/>
        <v>151</v>
      </c>
      <c r="L7118" s="8" t="str" cm="1">
        <f t="array" ref="L7118">_xlfn.IFS(
 AND(K7118&gt;=89,K7118&lt;=92),"3개월",
 AND(K7118&gt;=58,K7118&lt;=62),"2개월",
 AND(K7118&gt;=28,K7118&lt;=32),"1개월",
 AND(K7118=0),"당월",
 TRUE,"그외"
)</f>
        <v>그외</v>
      </c>
    </row>
    <row r="7119" spans="1:12" x14ac:dyDescent="0.3">
      <c r="A7119" s="5">
        <v>45809</v>
      </c>
      <c r="B7119" s="6" t="s">
        <v>50</v>
      </c>
      <c r="C7119" s="6" t="s">
        <v>53</v>
      </c>
      <c r="D7119" s="5">
        <v>45689</v>
      </c>
      <c r="E7119" s="6" t="s">
        <v>14</v>
      </c>
      <c r="F7119" s="7">
        <v>20</v>
      </c>
      <c r="G7119" s="7">
        <v>145652.4</v>
      </c>
      <c r="H7119" s="7">
        <v>2913048</v>
      </c>
      <c r="I7119" s="7">
        <v>794448</v>
      </c>
      <c r="J7119" s="7">
        <v>0</v>
      </c>
      <c r="K7119">
        <f t="shared" si="111"/>
        <v>120</v>
      </c>
      <c r="L7119" s="8" t="str" cm="1">
        <f t="array" ref="L7119">_xlfn.IFS(
 AND(K7119&gt;=89,K7119&lt;=92),"3개월",
 AND(K7119&gt;=58,K7119&lt;=62),"2개월",
 AND(K7119&gt;=28,K7119&lt;=32),"1개월",
 AND(K7119=0),"당월",
 TRUE,"그외"
)</f>
        <v>그외</v>
      </c>
    </row>
    <row r="7120" spans="1:12" x14ac:dyDescent="0.3">
      <c r="A7120" s="5">
        <v>45809</v>
      </c>
      <c r="B7120" s="6" t="s">
        <v>50</v>
      </c>
      <c r="C7120" s="6" t="s">
        <v>53</v>
      </c>
      <c r="D7120" s="5">
        <v>45689</v>
      </c>
      <c r="E7120" s="6" t="s">
        <v>15</v>
      </c>
      <c r="F7120" s="7">
        <v>1265</v>
      </c>
      <c r="G7120" s="7">
        <v>156685.06166007911</v>
      </c>
      <c r="H7120" s="7">
        <v>198206603</v>
      </c>
      <c r="I7120" s="7">
        <v>40704470</v>
      </c>
      <c r="J7120" s="7">
        <v>0</v>
      </c>
      <c r="K7120">
        <f t="shared" si="111"/>
        <v>120</v>
      </c>
      <c r="L7120" s="8" t="str" cm="1">
        <f t="array" ref="L7120">_xlfn.IFS(
 AND(K7120&gt;=89,K7120&lt;=92),"3개월",
 AND(K7120&gt;=58,K7120&lt;=62),"2개월",
 AND(K7120&gt;=28,K7120&lt;=32),"1개월",
 AND(K7120=0),"당월",
 TRUE,"그외"
)</f>
        <v>그외</v>
      </c>
    </row>
    <row r="7121" spans="1:12" x14ac:dyDescent="0.3">
      <c r="A7121" s="5">
        <v>45809</v>
      </c>
      <c r="B7121" s="6" t="s">
        <v>50</v>
      </c>
      <c r="C7121" s="6" t="s">
        <v>53</v>
      </c>
      <c r="D7121" s="5">
        <v>45717</v>
      </c>
      <c r="E7121" s="6" t="s">
        <v>14</v>
      </c>
      <c r="F7121" s="7">
        <v>184</v>
      </c>
      <c r="G7121" s="7">
        <v>123350.6956521739</v>
      </c>
      <c r="H7121" s="7">
        <v>22696528</v>
      </c>
      <c r="I7121" s="7">
        <v>7320096</v>
      </c>
      <c r="J7121" s="7">
        <v>0</v>
      </c>
      <c r="K7121">
        <f t="shared" si="111"/>
        <v>92</v>
      </c>
      <c r="L7121" s="8" t="str" cm="1">
        <f t="array" ref="L7121">_xlfn.IFS(
 AND(K7121&gt;=89,K7121&lt;=92),"3개월",
 AND(K7121&gt;=58,K7121&lt;=62),"2개월",
 AND(K7121&gt;=28,K7121&lt;=32),"1개월",
 AND(K7121=0),"당월",
 TRUE,"그외"
)</f>
        <v>3개월</v>
      </c>
    </row>
    <row r="7122" spans="1:12" x14ac:dyDescent="0.3">
      <c r="A7122" s="5">
        <v>45809</v>
      </c>
      <c r="B7122" s="6" t="s">
        <v>50</v>
      </c>
      <c r="C7122" s="6" t="s">
        <v>53</v>
      </c>
      <c r="D7122" s="5">
        <v>45717</v>
      </c>
      <c r="E7122" s="6" t="s">
        <v>15</v>
      </c>
      <c r="F7122" s="7">
        <v>654</v>
      </c>
      <c r="G7122" s="7">
        <v>200923.23394495409</v>
      </c>
      <c r="H7122" s="7">
        <v>131403795</v>
      </c>
      <c r="I7122" s="7">
        <v>22296336</v>
      </c>
      <c r="J7122" s="7">
        <v>0</v>
      </c>
      <c r="K7122">
        <f t="shared" si="111"/>
        <v>92</v>
      </c>
      <c r="L7122" s="8" t="str" cm="1">
        <f t="array" ref="L7122">_xlfn.IFS(
 AND(K7122&gt;=89,K7122&lt;=92),"3개월",
 AND(K7122&gt;=58,K7122&lt;=62),"2개월",
 AND(K7122&gt;=28,K7122&lt;=32),"1개월",
 AND(K7122=0),"당월",
 TRUE,"그외"
)</f>
        <v>3개월</v>
      </c>
    </row>
    <row r="7123" spans="1:12" x14ac:dyDescent="0.3">
      <c r="A7123" s="5">
        <v>45809</v>
      </c>
      <c r="B7123" s="6" t="s">
        <v>50</v>
      </c>
      <c r="C7123" s="6" t="s">
        <v>53</v>
      </c>
      <c r="D7123" s="5">
        <v>45748</v>
      </c>
      <c r="E7123" s="6" t="s">
        <v>14</v>
      </c>
      <c r="F7123" s="7">
        <v>119</v>
      </c>
      <c r="G7123" s="7">
        <v>134686.68067226891</v>
      </c>
      <c r="H7123" s="7">
        <v>16027715</v>
      </c>
      <c r="I7123" s="7">
        <v>4504500</v>
      </c>
      <c r="J7123" s="7">
        <v>0</v>
      </c>
      <c r="K7123">
        <f t="shared" si="111"/>
        <v>61</v>
      </c>
      <c r="L7123" s="8" t="str" cm="1">
        <f t="array" ref="L7123">_xlfn.IFS(
 AND(K7123&gt;=89,K7123&lt;=92),"3개월",
 AND(K7123&gt;=58,K7123&lt;=62),"2개월",
 AND(K7123&gt;=28,K7123&lt;=32),"1개월",
 AND(K7123=0),"당월",
 TRUE,"그외"
)</f>
        <v>2개월</v>
      </c>
    </row>
    <row r="7124" spans="1:12" x14ac:dyDescent="0.3">
      <c r="A7124" s="5">
        <v>45809</v>
      </c>
      <c r="B7124" s="6" t="s">
        <v>50</v>
      </c>
      <c r="C7124" s="6" t="s">
        <v>53</v>
      </c>
      <c r="D7124" s="5">
        <v>45748</v>
      </c>
      <c r="E7124" s="6" t="s">
        <v>15</v>
      </c>
      <c r="F7124" s="7">
        <v>683</v>
      </c>
      <c r="G7124" s="7">
        <v>190785.40263543191</v>
      </c>
      <c r="H7124" s="7">
        <v>130306430</v>
      </c>
      <c r="I7124" s="7">
        <v>19019519</v>
      </c>
      <c r="J7124" s="7">
        <v>0</v>
      </c>
      <c r="K7124">
        <f t="shared" si="111"/>
        <v>61</v>
      </c>
      <c r="L7124" s="8" t="str" cm="1">
        <f t="array" ref="L7124">_xlfn.IFS(
 AND(K7124&gt;=89,K7124&lt;=92),"3개월",
 AND(K7124&gt;=58,K7124&lt;=62),"2개월",
 AND(K7124&gt;=28,K7124&lt;=32),"1개월",
 AND(K7124=0),"당월",
 TRUE,"그외"
)</f>
        <v>2개월</v>
      </c>
    </row>
    <row r="7125" spans="1:12" x14ac:dyDescent="0.3">
      <c r="A7125" s="5">
        <v>45809</v>
      </c>
      <c r="B7125" s="6" t="s">
        <v>50</v>
      </c>
      <c r="C7125" s="6" t="s">
        <v>53</v>
      </c>
      <c r="D7125" s="5">
        <v>45778</v>
      </c>
      <c r="E7125" s="6" t="s">
        <v>15</v>
      </c>
      <c r="F7125" s="7">
        <v>154</v>
      </c>
      <c r="G7125" s="7">
        <v>219226.07792207791</v>
      </c>
      <c r="H7125" s="7">
        <v>33760816</v>
      </c>
      <c r="I7125" s="7">
        <v>4430908</v>
      </c>
      <c r="J7125" s="7">
        <v>0</v>
      </c>
      <c r="K7125">
        <f t="shared" si="111"/>
        <v>31</v>
      </c>
      <c r="L7125" s="8" t="str" cm="1">
        <f t="array" ref="L7125">_xlfn.IFS(
 AND(K7125&gt;=89,K7125&lt;=92),"3개월",
 AND(K7125&gt;=58,K7125&lt;=62),"2개월",
 AND(K7125&gt;=28,K7125&lt;=32),"1개월",
 AND(K7125=0),"당월",
 TRUE,"그외"
)</f>
        <v>1개월</v>
      </c>
    </row>
    <row r="7126" spans="1:12" x14ac:dyDescent="0.3">
      <c r="A7126" s="5">
        <v>45809</v>
      </c>
      <c r="B7126" s="6" t="s">
        <v>50</v>
      </c>
      <c r="C7126" s="6" t="s">
        <v>54</v>
      </c>
      <c r="D7126" s="5">
        <v>45658</v>
      </c>
      <c r="E7126" s="6" t="s">
        <v>14</v>
      </c>
      <c r="F7126" s="7">
        <v>2</v>
      </c>
      <c r="G7126" s="7">
        <v>129108</v>
      </c>
      <c r="H7126" s="7">
        <v>258216</v>
      </c>
      <c r="I7126" s="7">
        <v>80136</v>
      </c>
      <c r="J7126" s="7">
        <v>0</v>
      </c>
      <c r="K7126">
        <f t="shared" si="111"/>
        <v>151</v>
      </c>
      <c r="L7126" s="8" t="str" cm="1">
        <f t="array" ref="L7126">_xlfn.IFS(
 AND(K7126&gt;=89,K7126&lt;=92),"3개월",
 AND(K7126&gt;=58,K7126&lt;=62),"2개월",
 AND(K7126&gt;=28,K7126&lt;=32),"1개월",
 AND(K7126=0),"당월",
 TRUE,"그외"
)</f>
        <v>그외</v>
      </c>
    </row>
    <row r="7127" spans="1:12" x14ac:dyDescent="0.3">
      <c r="A7127" s="5">
        <v>45809</v>
      </c>
      <c r="B7127" s="6" t="s">
        <v>50</v>
      </c>
      <c r="C7127" s="6" t="s">
        <v>54</v>
      </c>
      <c r="D7127" s="5">
        <v>45658</v>
      </c>
      <c r="E7127" s="6" t="s">
        <v>15</v>
      </c>
      <c r="F7127" s="7">
        <v>122</v>
      </c>
      <c r="G7127" s="7">
        <v>123464.40983606561</v>
      </c>
      <c r="H7127" s="7">
        <v>15062658</v>
      </c>
      <c r="I7127" s="7">
        <v>3347583</v>
      </c>
      <c r="J7127" s="7">
        <v>0</v>
      </c>
      <c r="K7127">
        <f t="shared" si="111"/>
        <v>151</v>
      </c>
      <c r="L7127" s="8" t="str" cm="1">
        <f t="array" ref="L7127">_xlfn.IFS(
 AND(K7127&gt;=89,K7127&lt;=92),"3개월",
 AND(K7127&gt;=58,K7127&lt;=62),"2개월",
 AND(K7127&gt;=28,K7127&lt;=32),"1개월",
 AND(K7127=0),"당월",
 TRUE,"그외"
)</f>
        <v>그외</v>
      </c>
    </row>
    <row r="7128" spans="1:12" x14ac:dyDescent="0.3">
      <c r="A7128" s="5">
        <v>45809</v>
      </c>
      <c r="B7128" s="6" t="s">
        <v>50</v>
      </c>
      <c r="C7128" s="6" t="s">
        <v>54</v>
      </c>
      <c r="D7128" s="5">
        <v>45689</v>
      </c>
      <c r="E7128" s="6" t="s">
        <v>14</v>
      </c>
      <c r="F7128" s="7">
        <v>2</v>
      </c>
      <c r="G7128" s="7">
        <v>127890</v>
      </c>
      <c r="H7128" s="7">
        <v>255780</v>
      </c>
      <c r="I7128" s="7">
        <v>79380</v>
      </c>
      <c r="J7128" s="7">
        <v>0</v>
      </c>
      <c r="K7128">
        <f t="shared" si="111"/>
        <v>120</v>
      </c>
      <c r="L7128" s="8" t="str" cm="1">
        <f t="array" ref="L7128">_xlfn.IFS(
 AND(K7128&gt;=89,K7128&lt;=92),"3개월",
 AND(K7128&gt;=58,K7128&lt;=62),"2개월",
 AND(K7128&gt;=28,K7128&lt;=32),"1개월",
 AND(K7128=0),"당월",
 TRUE,"그외"
)</f>
        <v>그외</v>
      </c>
    </row>
    <row r="7129" spans="1:12" x14ac:dyDescent="0.3">
      <c r="A7129" s="5">
        <v>45809</v>
      </c>
      <c r="B7129" s="6" t="s">
        <v>50</v>
      </c>
      <c r="C7129" s="6" t="s">
        <v>54</v>
      </c>
      <c r="D7129" s="5">
        <v>45689</v>
      </c>
      <c r="E7129" s="6" t="s">
        <v>15</v>
      </c>
      <c r="F7129" s="7">
        <v>338</v>
      </c>
      <c r="G7129" s="7">
        <v>132003.44674556211</v>
      </c>
      <c r="H7129" s="7">
        <v>44617165</v>
      </c>
      <c r="I7129" s="7">
        <v>11171283</v>
      </c>
      <c r="J7129" s="7">
        <v>0</v>
      </c>
      <c r="K7129">
        <f t="shared" si="111"/>
        <v>120</v>
      </c>
      <c r="L7129" s="8" t="str" cm="1">
        <f t="array" ref="L7129">_xlfn.IFS(
 AND(K7129&gt;=89,K7129&lt;=92),"3개월",
 AND(K7129&gt;=58,K7129&lt;=62),"2개월",
 AND(K7129&gt;=28,K7129&lt;=32),"1개월",
 AND(K7129=0),"당월",
 TRUE,"그외"
)</f>
        <v>그외</v>
      </c>
    </row>
    <row r="7130" spans="1:12" x14ac:dyDescent="0.3">
      <c r="A7130" s="5">
        <v>45809</v>
      </c>
      <c r="B7130" s="6" t="s">
        <v>50</v>
      </c>
      <c r="C7130" s="6" t="s">
        <v>54</v>
      </c>
      <c r="D7130" s="5">
        <v>45717</v>
      </c>
      <c r="E7130" s="6" t="s">
        <v>14</v>
      </c>
      <c r="F7130" s="7">
        <v>8</v>
      </c>
      <c r="G7130" s="7">
        <v>94100</v>
      </c>
      <c r="H7130" s="7">
        <v>752800</v>
      </c>
      <c r="I7130" s="7">
        <v>184800</v>
      </c>
      <c r="J7130" s="7">
        <v>0</v>
      </c>
      <c r="K7130">
        <f t="shared" si="111"/>
        <v>92</v>
      </c>
      <c r="L7130" s="8" t="str" cm="1">
        <f t="array" ref="L7130">_xlfn.IFS(
 AND(K7130&gt;=89,K7130&lt;=92),"3개월",
 AND(K7130&gt;=58,K7130&lt;=62),"2개월",
 AND(K7130&gt;=28,K7130&lt;=32),"1개월",
 AND(K7130=0),"당월",
 TRUE,"그외"
)</f>
        <v>3개월</v>
      </c>
    </row>
    <row r="7131" spans="1:12" x14ac:dyDescent="0.3">
      <c r="A7131" s="5">
        <v>45809</v>
      </c>
      <c r="B7131" s="6" t="s">
        <v>50</v>
      </c>
      <c r="C7131" s="6" t="s">
        <v>54</v>
      </c>
      <c r="D7131" s="5">
        <v>45717</v>
      </c>
      <c r="E7131" s="6" t="s">
        <v>15</v>
      </c>
      <c r="F7131" s="7">
        <v>385</v>
      </c>
      <c r="G7131" s="7">
        <v>162777.00259740261</v>
      </c>
      <c r="H7131" s="7">
        <v>62669146</v>
      </c>
      <c r="I7131" s="7">
        <v>12856782</v>
      </c>
      <c r="J7131" s="7">
        <v>0</v>
      </c>
      <c r="K7131">
        <f t="shared" si="111"/>
        <v>92</v>
      </c>
      <c r="L7131" s="8" t="str" cm="1">
        <f t="array" ref="L7131">_xlfn.IFS(
 AND(K7131&gt;=89,K7131&lt;=92),"3개월",
 AND(K7131&gt;=58,K7131&lt;=62),"2개월",
 AND(K7131&gt;=28,K7131&lt;=32),"1개월",
 AND(K7131=0),"당월",
 TRUE,"그외"
)</f>
        <v>3개월</v>
      </c>
    </row>
    <row r="7132" spans="1:12" x14ac:dyDescent="0.3">
      <c r="A7132" s="5">
        <v>45809</v>
      </c>
      <c r="B7132" s="6" t="s">
        <v>50</v>
      </c>
      <c r="C7132" s="6" t="s">
        <v>54</v>
      </c>
      <c r="D7132" s="5">
        <v>45748</v>
      </c>
      <c r="E7132" s="6" t="s">
        <v>14</v>
      </c>
      <c r="F7132" s="7">
        <v>84</v>
      </c>
      <c r="G7132" s="7">
        <v>88742.773809523816</v>
      </c>
      <c r="H7132" s="7">
        <v>7454393</v>
      </c>
      <c r="I7132" s="7">
        <v>1974981</v>
      </c>
      <c r="J7132" s="7">
        <v>0</v>
      </c>
      <c r="K7132">
        <f t="shared" si="111"/>
        <v>61</v>
      </c>
      <c r="L7132" s="8" t="str" cm="1">
        <f t="array" ref="L7132">_xlfn.IFS(
 AND(K7132&gt;=89,K7132&lt;=92),"3개월",
 AND(K7132&gt;=58,K7132&lt;=62),"2개월",
 AND(K7132&gt;=28,K7132&lt;=32),"1개월",
 AND(K7132=0),"당월",
 TRUE,"그외"
)</f>
        <v>2개월</v>
      </c>
    </row>
    <row r="7133" spans="1:12" x14ac:dyDescent="0.3">
      <c r="A7133" s="5">
        <v>45809</v>
      </c>
      <c r="B7133" s="6" t="s">
        <v>50</v>
      </c>
      <c r="C7133" s="6" t="s">
        <v>54</v>
      </c>
      <c r="D7133" s="5">
        <v>45748</v>
      </c>
      <c r="E7133" s="6" t="s">
        <v>15</v>
      </c>
      <c r="F7133" s="7">
        <v>1342</v>
      </c>
      <c r="G7133" s="7">
        <v>127874.9441132638</v>
      </c>
      <c r="H7133" s="7">
        <v>171608175</v>
      </c>
      <c r="I7133" s="7">
        <v>37951197</v>
      </c>
      <c r="J7133" s="7">
        <v>0</v>
      </c>
      <c r="K7133">
        <f t="shared" si="111"/>
        <v>61</v>
      </c>
      <c r="L7133" s="8" t="str" cm="1">
        <f t="array" ref="L7133">_xlfn.IFS(
 AND(K7133&gt;=89,K7133&lt;=92),"3개월",
 AND(K7133&gt;=58,K7133&lt;=62),"2개월",
 AND(K7133&gt;=28,K7133&lt;=32),"1개월",
 AND(K7133=0),"당월",
 TRUE,"그외"
)</f>
        <v>2개월</v>
      </c>
    </row>
    <row r="7134" spans="1:12" x14ac:dyDescent="0.3">
      <c r="A7134" s="5">
        <v>45809</v>
      </c>
      <c r="B7134" s="6" t="s">
        <v>50</v>
      </c>
      <c r="C7134" s="6" t="s">
        <v>54</v>
      </c>
      <c r="D7134" s="5">
        <v>45778</v>
      </c>
      <c r="E7134" s="6" t="s">
        <v>14</v>
      </c>
      <c r="F7134" s="7">
        <v>161</v>
      </c>
      <c r="G7134" s="7">
        <v>102331.5403726708</v>
      </c>
      <c r="H7134" s="7">
        <v>16475378</v>
      </c>
      <c r="I7134" s="7">
        <v>6436458</v>
      </c>
      <c r="J7134" s="7">
        <v>0</v>
      </c>
      <c r="K7134">
        <f t="shared" si="111"/>
        <v>31</v>
      </c>
      <c r="L7134" s="8" t="str" cm="1">
        <f t="array" ref="L7134">_xlfn.IFS(
 AND(K7134&gt;=89,K7134&lt;=92),"3개월",
 AND(K7134&gt;=58,K7134&lt;=62),"2개월",
 AND(K7134&gt;=28,K7134&lt;=32),"1개월",
 AND(K7134=0),"당월",
 TRUE,"그외"
)</f>
        <v>1개월</v>
      </c>
    </row>
    <row r="7135" spans="1:12" x14ac:dyDescent="0.3">
      <c r="A7135" s="5">
        <v>45809</v>
      </c>
      <c r="B7135" s="6" t="s">
        <v>50</v>
      </c>
      <c r="C7135" s="6" t="s">
        <v>54</v>
      </c>
      <c r="D7135" s="5">
        <v>45778</v>
      </c>
      <c r="E7135" s="6" t="s">
        <v>15</v>
      </c>
      <c r="F7135" s="7">
        <v>617</v>
      </c>
      <c r="G7135" s="7">
        <v>118904.82009724469</v>
      </c>
      <c r="H7135" s="7">
        <v>73364274</v>
      </c>
      <c r="I7135" s="7">
        <v>20437018</v>
      </c>
      <c r="J7135" s="7">
        <v>0</v>
      </c>
      <c r="K7135">
        <f t="shared" si="111"/>
        <v>31</v>
      </c>
      <c r="L7135" s="8" t="str" cm="1">
        <f t="array" ref="L7135">_xlfn.IFS(
 AND(K7135&gt;=89,K7135&lt;=92),"3개월",
 AND(K7135&gt;=58,K7135&lt;=62),"2개월",
 AND(K7135&gt;=28,K7135&lt;=32),"1개월",
 AND(K7135=0),"당월",
 TRUE,"그외"
)</f>
        <v>1개월</v>
      </c>
    </row>
    <row r="7136" spans="1:12" x14ac:dyDescent="0.3">
      <c r="A7136" s="5">
        <v>45809</v>
      </c>
      <c r="B7136" s="6" t="s">
        <v>50</v>
      </c>
      <c r="C7136" s="6" t="s">
        <v>56</v>
      </c>
      <c r="D7136" s="5">
        <v>45658</v>
      </c>
      <c r="E7136" s="6" t="s">
        <v>15</v>
      </c>
      <c r="F7136" s="7">
        <v>109</v>
      </c>
      <c r="G7136" s="7">
        <v>130201.7064220184</v>
      </c>
      <c r="H7136" s="7">
        <v>14191986</v>
      </c>
      <c r="I7136" s="7">
        <v>3027157</v>
      </c>
      <c r="J7136" s="7">
        <v>0</v>
      </c>
      <c r="K7136">
        <f t="shared" si="111"/>
        <v>151</v>
      </c>
      <c r="L7136" s="8" t="str" cm="1">
        <f t="array" ref="L7136">_xlfn.IFS(
 AND(K7136&gt;=89,K7136&lt;=92),"3개월",
 AND(K7136&gt;=58,K7136&lt;=62),"2개월",
 AND(K7136&gt;=28,K7136&lt;=32),"1개월",
 AND(K7136=0),"당월",
 TRUE,"그외"
)</f>
        <v>그외</v>
      </c>
    </row>
    <row r="7137" spans="1:12" x14ac:dyDescent="0.3">
      <c r="A7137" s="5">
        <v>45809</v>
      </c>
      <c r="B7137" s="6" t="s">
        <v>50</v>
      </c>
      <c r="C7137" s="6" t="s">
        <v>56</v>
      </c>
      <c r="D7137" s="5">
        <v>45689</v>
      </c>
      <c r="E7137" s="6" t="s">
        <v>15</v>
      </c>
      <c r="F7137" s="7">
        <v>266</v>
      </c>
      <c r="G7137" s="7">
        <v>151448.62406015041</v>
      </c>
      <c r="H7137" s="7">
        <v>40285334</v>
      </c>
      <c r="I7137" s="7">
        <v>8471817</v>
      </c>
      <c r="J7137" s="7">
        <v>0</v>
      </c>
      <c r="K7137">
        <f t="shared" si="111"/>
        <v>120</v>
      </c>
      <c r="L7137" s="8" t="str" cm="1">
        <f t="array" ref="L7137">_xlfn.IFS(
 AND(K7137&gt;=89,K7137&lt;=92),"3개월",
 AND(K7137&gt;=58,K7137&lt;=62),"2개월",
 AND(K7137&gt;=28,K7137&lt;=32),"1개월",
 AND(K7137=0),"당월",
 TRUE,"그외"
)</f>
        <v>그외</v>
      </c>
    </row>
    <row r="7138" spans="1:12" x14ac:dyDescent="0.3">
      <c r="A7138" s="5">
        <v>45809</v>
      </c>
      <c r="B7138" s="6" t="s">
        <v>50</v>
      </c>
      <c r="C7138" s="6" t="s">
        <v>56</v>
      </c>
      <c r="D7138" s="5">
        <v>45717</v>
      </c>
      <c r="E7138" s="6" t="s">
        <v>15</v>
      </c>
      <c r="F7138" s="7">
        <v>210</v>
      </c>
      <c r="G7138" s="7">
        <v>171017.55714285711</v>
      </c>
      <c r="H7138" s="7">
        <v>35913687</v>
      </c>
      <c r="I7138" s="7">
        <v>6738786</v>
      </c>
      <c r="J7138" s="7">
        <v>0</v>
      </c>
      <c r="K7138">
        <f t="shared" si="111"/>
        <v>92</v>
      </c>
      <c r="L7138" s="8" t="str" cm="1">
        <f t="array" ref="L7138">_xlfn.IFS(
 AND(K7138&gt;=89,K7138&lt;=92),"3개월",
 AND(K7138&gt;=58,K7138&lt;=62),"2개월",
 AND(K7138&gt;=28,K7138&lt;=32),"1개월",
 AND(K7138=0),"당월",
 TRUE,"그외"
)</f>
        <v>3개월</v>
      </c>
    </row>
    <row r="7139" spans="1:12" x14ac:dyDescent="0.3">
      <c r="A7139" s="5">
        <v>45809</v>
      </c>
      <c r="B7139" s="6" t="s">
        <v>50</v>
      </c>
      <c r="C7139" s="6" t="s">
        <v>56</v>
      </c>
      <c r="D7139" s="5">
        <v>45748</v>
      </c>
      <c r="E7139" s="6" t="s">
        <v>15</v>
      </c>
      <c r="F7139" s="7">
        <v>1272</v>
      </c>
      <c r="G7139" s="7">
        <v>123656.14779874209</v>
      </c>
      <c r="H7139" s="7">
        <v>157290620</v>
      </c>
      <c r="I7139" s="7">
        <v>35208333</v>
      </c>
      <c r="J7139" s="7">
        <v>0</v>
      </c>
      <c r="K7139">
        <f t="shared" si="111"/>
        <v>61</v>
      </c>
      <c r="L7139" s="8" t="str" cm="1">
        <f t="array" ref="L7139">_xlfn.IFS(
 AND(K7139&gt;=89,K7139&lt;=92),"3개월",
 AND(K7139&gt;=58,K7139&lt;=62),"2개월",
 AND(K7139&gt;=28,K7139&lt;=32),"1개월",
 AND(K7139=0),"당월",
 TRUE,"그외"
)</f>
        <v>2개월</v>
      </c>
    </row>
    <row r="7140" spans="1:12" x14ac:dyDescent="0.3">
      <c r="A7140" s="5">
        <v>45809</v>
      </c>
      <c r="B7140" s="6" t="s">
        <v>50</v>
      </c>
      <c r="C7140" s="6" t="s">
        <v>56</v>
      </c>
      <c r="D7140" s="5">
        <v>45778</v>
      </c>
      <c r="E7140" s="6" t="s">
        <v>14</v>
      </c>
      <c r="F7140" s="7">
        <v>46</v>
      </c>
      <c r="G7140" s="7">
        <v>106608</v>
      </c>
      <c r="H7140" s="7">
        <v>4903968</v>
      </c>
      <c r="I7140" s="7">
        <v>1838988</v>
      </c>
      <c r="J7140" s="7">
        <v>0</v>
      </c>
      <c r="K7140">
        <f t="shared" si="111"/>
        <v>31</v>
      </c>
      <c r="L7140" s="8" t="str" cm="1">
        <f t="array" ref="L7140">_xlfn.IFS(
 AND(K7140&gt;=89,K7140&lt;=92),"3개월",
 AND(K7140&gt;=58,K7140&lt;=62),"2개월",
 AND(K7140&gt;=28,K7140&lt;=32),"1개월",
 AND(K7140=0),"당월",
 TRUE,"그외"
)</f>
        <v>1개월</v>
      </c>
    </row>
    <row r="7141" spans="1:12" x14ac:dyDescent="0.3">
      <c r="A7141" s="5">
        <v>45809</v>
      </c>
      <c r="B7141" s="6" t="s">
        <v>50</v>
      </c>
      <c r="C7141" s="6" t="s">
        <v>56</v>
      </c>
      <c r="D7141" s="5">
        <v>45778</v>
      </c>
      <c r="E7141" s="6" t="s">
        <v>15</v>
      </c>
      <c r="F7141" s="7">
        <v>870</v>
      </c>
      <c r="G7141" s="7">
        <v>97768.244827586212</v>
      </c>
      <c r="H7141" s="7">
        <v>85058373</v>
      </c>
      <c r="I7141" s="7">
        <v>26844388</v>
      </c>
      <c r="J7141" s="7">
        <v>0</v>
      </c>
      <c r="K7141">
        <f t="shared" si="111"/>
        <v>31</v>
      </c>
      <c r="L7141" s="8" t="str" cm="1">
        <f t="array" ref="L7141">_xlfn.IFS(
 AND(K7141&gt;=89,K7141&lt;=92),"3개월",
 AND(K7141&gt;=58,K7141&lt;=62),"2개월",
 AND(K7141&gt;=28,K7141&lt;=32),"1개월",
 AND(K7141=0),"당월",
 TRUE,"그외"
)</f>
        <v>1개월</v>
      </c>
    </row>
    <row r="7142" spans="1:12" x14ac:dyDescent="0.3">
      <c r="A7142" s="5">
        <v>45809</v>
      </c>
      <c r="B7142" s="6" t="s">
        <v>50</v>
      </c>
      <c r="C7142" s="6" t="s">
        <v>57</v>
      </c>
      <c r="D7142" s="5">
        <v>45689</v>
      </c>
      <c r="E7142" s="6" t="s">
        <v>15</v>
      </c>
      <c r="F7142" s="7">
        <v>686</v>
      </c>
      <c r="G7142" s="7">
        <v>120671.2113702624</v>
      </c>
      <c r="H7142" s="7">
        <v>82780451</v>
      </c>
      <c r="I7142" s="7">
        <v>20291126</v>
      </c>
      <c r="J7142" s="7">
        <v>0</v>
      </c>
      <c r="K7142">
        <f t="shared" si="111"/>
        <v>120</v>
      </c>
      <c r="L7142" s="8" t="str" cm="1">
        <f t="array" ref="L7142">_xlfn.IFS(
 AND(K7142&gt;=89,K7142&lt;=92),"3개월",
 AND(K7142&gt;=58,K7142&lt;=62),"2개월",
 AND(K7142&gt;=28,K7142&lt;=32),"1개월",
 AND(K7142=0),"당월",
 TRUE,"그외"
)</f>
        <v>그외</v>
      </c>
    </row>
    <row r="7143" spans="1:12" x14ac:dyDescent="0.3">
      <c r="A7143" s="5">
        <v>45809</v>
      </c>
      <c r="B7143" s="6" t="s">
        <v>50</v>
      </c>
      <c r="C7143" s="6" t="s">
        <v>57</v>
      </c>
      <c r="D7143" s="5">
        <v>45717</v>
      </c>
      <c r="E7143" s="6" t="s">
        <v>15</v>
      </c>
      <c r="F7143" s="7">
        <v>642</v>
      </c>
      <c r="G7143" s="7">
        <v>139502.5981308411</v>
      </c>
      <c r="H7143" s="7">
        <v>89560668</v>
      </c>
      <c r="I7143" s="7">
        <v>19108153</v>
      </c>
      <c r="J7143" s="7">
        <v>0</v>
      </c>
      <c r="K7143">
        <f t="shared" si="111"/>
        <v>92</v>
      </c>
      <c r="L7143" s="8" t="str" cm="1">
        <f t="array" ref="L7143">_xlfn.IFS(
 AND(K7143&gt;=89,K7143&lt;=92),"3개월",
 AND(K7143&gt;=58,K7143&lt;=62),"2개월",
 AND(K7143&gt;=28,K7143&lt;=32),"1개월",
 AND(K7143=0),"당월",
 TRUE,"그외"
)</f>
        <v>3개월</v>
      </c>
    </row>
    <row r="7144" spans="1:12" x14ac:dyDescent="0.3">
      <c r="A7144" s="5">
        <v>45809</v>
      </c>
      <c r="B7144" s="6" t="s">
        <v>50</v>
      </c>
      <c r="C7144" s="6" t="s">
        <v>57</v>
      </c>
      <c r="D7144" s="5">
        <v>45748</v>
      </c>
      <c r="E7144" s="6" t="s">
        <v>14</v>
      </c>
      <c r="F7144" s="7">
        <v>39</v>
      </c>
      <c r="G7144" s="7">
        <v>115194.8717948718</v>
      </c>
      <c r="H7144" s="7">
        <v>4492600</v>
      </c>
      <c r="I7144" s="7">
        <v>678600</v>
      </c>
      <c r="J7144" s="7">
        <v>0</v>
      </c>
      <c r="K7144">
        <f t="shared" si="111"/>
        <v>61</v>
      </c>
      <c r="L7144" s="8" t="str" cm="1">
        <f t="array" ref="L7144">_xlfn.IFS(
 AND(K7144&gt;=89,K7144&lt;=92),"3개월",
 AND(K7144&gt;=58,K7144&lt;=62),"2개월",
 AND(K7144&gt;=28,K7144&lt;=32),"1개월",
 AND(K7144=0),"당월",
 TRUE,"그외"
)</f>
        <v>2개월</v>
      </c>
    </row>
    <row r="7145" spans="1:12" x14ac:dyDescent="0.3">
      <c r="A7145" s="5">
        <v>45809</v>
      </c>
      <c r="B7145" s="6" t="s">
        <v>50</v>
      </c>
      <c r="C7145" s="6" t="s">
        <v>57</v>
      </c>
      <c r="D7145" s="5">
        <v>45748</v>
      </c>
      <c r="E7145" s="6" t="s">
        <v>15</v>
      </c>
      <c r="F7145" s="7">
        <v>1578</v>
      </c>
      <c r="G7145" s="7">
        <v>123600.43472750321</v>
      </c>
      <c r="H7145" s="7">
        <v>195041486</v>
      </c>
      <c r="I7145" s="7">
        <v>42140938</v>
      </c>
      <c r="J7145" s="7">
        <v>0</v>
      </c>
      <c r="K7145">
        <f t="shared" si="111"/>
        <v>61</v>
      </c>
      <c r="L7145" s="8" t="str" cm="1">
        <f t="array" ref="L7145">_xlfn.IFS(
 AND(K7145&gt;=89,K7145&lt;=92),"3개월",
 AND(K7145&gt;=58,K7145&lt;=62),"2개월",
 AND(K7145&gt;=28,K7145&lt;=32),"1개월",
 AND(K7145=0),"당월",
 TRUE,"그외"
)</f>
        <v>2개월</v>
      </c>
    </row>
    <row r="7146" spans="1:12" x14ac:dyDescent="0.3">
      <c r="A7146" s="5">
        <v>45809</v>
      </c>
      <c r="B7146" s="6" t="s">
        <v>50</v>
      </c>
      <c r="C7146" s="6" t="s">
        <v>57</v>
      </c>
      <c r="D7146" s="5">
        <v>45778</v>
      </c>
      <c r="E7146" s="6" t="s">
        <v>15</v>
      </c>
      <c r="F7146" s="7">
        <v>787</v>
      </c>
      <c r="G7146" s="7">
        <v>106566.0381194409</v>
      </c>
      <c r="H7146" s="7">
        <v>83867472</v>
      </c>
      <c r="I7146" s="7">
        <v>21203664</v>
      </c>
      <c r="J7146" s="7">
        <v>0</v>
      </c>
      <c r="K7146">
        <f t="shared" si="111"/>
        <v>31</v>
      </c>
      <c r="L7146" s="8" t="str" cm="1">
        <f t="array" ref="L7146">_xlfn.IFS(
 AND(K7146&gt;=89,K7146&lt;=92),"3개월",
 AND(K7146&gt;=58,K7146&lt;=62),"2개월",
 AND(K7146&gt;=28,K7146&lt;=32),"1개월",
 AND(K7146=0),"당월",
 TRUE,"그외"
)</f>
        <v>1개월</v>
      </c>
    </row>
    <row r="7147" spans="1:12" x14ac:dyDescent="0.3">
      <c r="A7147" s="5">
        <v>45809</v>
      </c>
      <c r="B7147" s="6" t="s">
        <v>50</v>
      </c>
      <c r="C7147" s="6" t="s">
        <v>59</v>
      </c>
      <c r="D7147" s="5">
        <v>45717</v>
      </c>
      <c r="E7147" s="6" t="s">
        <v>15</v>
      </c>
      <c r="F7147" s="7">
        <v>975</v>
      </c>
      <c r="G7147" s="7">
        <v>142966.22256410259</v>
      </c>
      <c r="H7147" s="7">
        <v>139392067</v>
      </c>
      <c r="I7147" s="7">
        <v>34740126</v>
      </c>
      <c r="J7147" s="7">
        <v>0</v>
      </c>
      <c r="K7147">
        <f t="shared" si="111"/>
        <v>92</v>
      </c>
      <c r="L7147" s="8" t="str" cm="1">
        <f t="array" ref="L7147">_xlfn.IFS(
 AND(K7147&gt;=89,K7147&lt;=92),"3개월",
 AND(K7147&gt;=58,K7147&lt;=62),"2개월",
 AND(K7147&gt;=28,K7147&lt;=32),"1개월",
 AND(K7147=0),"당월",
 TRUE,"그외"
)</f>
        <v>3개월</v>
      </c>
    </row>
    <row r="7148" spans="1:12" x14ac:dyDescent="0.3">
      <c r="A7148" s="5">
        <v>45809</v>
      </c>
      <c r="B7148" s="6" t="s">
        <v>50</v>
      </c>
      <c r="C7148" s="6" t="s">
        <v>59</v>
      </c>
      <c r="D7148" s="5">
        <v>45748</v>
      </c>
      <c r="E7148" s="6" t="s">
        <v>14</v>
      </c>
      <c r="F7148" s="7">
        <v>122</v>
      </c>
      <c r="G7148" s="7">
        <v>122454</v>
      </c>
      <c r="H7148" s="7">
        <v>14939388</v>
      </c>
      <c r="I7148" s="7">
        <v>4858866</v>
      </c>
      <c r="J7148" s="7">
        <v>0</v>
      </c>
      <c r="K7148">
        <f t="shared" si="111"/>
        <v>61</v>
      </c>
      <c r="L7148" s="8" t="str" cm="1">
        <f t="array" ref="L7148">_xlfn.IFS(
 AND(K7148&gt;=89,K7148&lt;=92),"3개월",
 AND(K7148&gt;=58,K7148&lt;=62),"2개월",
 AND(K7148&gt;=28,K7148&lt;=32),"1개월",
 AND(K7148=0),"당월",
 TRUE,"그외"
)</f>
        <v>2개월</v>
      </c>
    </row>
    <row r="7149" spans="1:12" x14ac:dyDescent="0.3">
      <c r="A7149" s="5">
        <v>45809</v>
      </c>
      <c r="B7149" s="6" t="s">
        <v>50</v>
      </c>
      <c r="C7149" s="6" t="s">
        <v>59</v>
      </c>
      <c r="D7149" s="5">
        <v>45748</v>
      </c>
      <c r="E7149" s="6" t="s">
        <v>15</v>
      </c>
      <c r="F7149" s="7">
        <v>509</v>
      </c>
      <c r="G7149" s="7">
        <v>195303.34774066799</v>
      </c>
      <c r="H7149" s="7">
        <v>99409404</v>
      </c>
      <c r="I7149" s="7">
        <v>16467978</v>
      </c>
      <c r="J7149" s="7">
        <v>0</v>
      </c>
      <c r="K7149">
        <f t="shared" si="111"/>
        <v>61</v>
      </c>
      <c r="L7149" s="8" t="str" cm="1">
        <f t="array" ref="L7149">_xlfn.IFS(
 AND(K7149&gt;=89,K7149&lt;=92),"3개월",
 AND(K7149&gt;=58,K7149&lt;=62),"2개월",
 AND(K7149&gt;=28,K7149&lt;=32),"1개월",
 AND(K7149=0),"당월",
 TRUE,"그외"
)</f>
        <v>2개월</v>
      </c>
    </row>
    <row r="7150" spans="1:12" x14ac:dyDescent="0.3">
      <c r="A7150" s="5">
        <v>45809</v>
      </c>
      <c r="B7150" s="6" t="s">
        <v>50</v>
      </c>
      <c r="C7150" s="6" t="s">
        <v>59</v>
      </c>
      <c r="D7150" s="5">
        <v>45778</v>
      </c>
      <c r="E7150" s="6" t="s">
        <v>14</v>
      </c>
      <c r="F7150" s="7">
        <v>25</v>
      </c>
      <c r="G7150" s="7">
        <v>151028</v>
      </c>
      <c r="H7150" s="7">
        <v>3775700</v>
      </c>
      <c r="I7150" s="7">
        <v>999450</v>
      </c>
      <c r="J7150" s="7">
        <v>0</v>
      </c>
      <c r="K7150">
        <f t="shared" si="111"/>
        <v>31</v>
      </c>
      <c r="L7150" s="8" t="str" cm="1">
        <f t="array" ref="L7150">_xlfn.IFS(
 AND(K7150&gt;=89,K7150&lt;=92),"3개월",
 AND(K7150&gt;=58,K7150&lt;=62),"2개월",
 AND(K7150&gt;=28,K7150&lt;=32),"1개월",
 AND(K7150=0),"당월",
 TRUE,"그외"
)</f>
        <v>1개월</v>
      </c>
    </row>
    <row r="7151" spans="1:12" x14ac:dyDescent="0.3">
      <c r="A7151" s="5">
        <v>45809</v>
      </c>
      <c r="B7151" s="6" t="s">
        <v>50</v>
      </c>
      <c r="C7151" s="6" t="s">
        <v>59</v>
      </c>
      <c r="D7151" s="5">
        <v>45778</v>
      </c>
      <c r="E7151" s="6" t="s">
        <v>15</v>
      </c>
      <c r="F7151" s="7">
        <v>106</v>
      </c>
      <c r="G7151" s="7">
        <v>203480.33018867919</v>
      </c>
      <c r="H7151" s="7">
        <v>21568915</v>
      </c>
      <c r="I7151" s="7">
        <v>3061902</v>
      </c>
      <c r="J7151" s="7">
        <v>0</v>
      </c>
      <c r="K7151">
        <f t="shared" si="111"/>
        <v>31</v>
      </c>
      <c r="L7151" s="8" t="str" cm="1">
        <f t="array" ref="L7151">_xlfn.IFS(
 AND(K7151&gt;=89,K7151&lt;=92),"3개월",
 AND(K7151&gt;=58,K7151&lt;=62),"2개월",
 AND(K7151&gt;=28,K7151&lt;=32),"1개월",
 AND(K7151=0),"당월",
 TRUE,"그외"
)</f>
        <v>1개월</v>
      </c>
    </row>
    <row r="7152" spans="1:12" x14ac:dyDescent="0.3">
      <c r="A7152" s="5">
        <v>45809</v>
      </c>
      <c r="B7152" s="6" t="s">
        <v>60</v>
      </c>
      <c r="C7152" s="6" t="s">
        <v>61</v>
      </c>
      <c r="D7152" s="5">
        <v>45627</v>
      </c>
      <c r="E7152" s="6" t="s">
        <v>15</v>
      </c>
      <c r="F7152" s="7">
        <v>1</v>
      </c>
      <c r="G7152" s="7">
        <v>120500</v>
      </c>
      <c r="H7152" s="7">
        <v>120500</v>
      </c>
      <c r="I7152" s="7">
        <v>30500</v>
      </c>
      <c r="J7152" s="7">
        <v>0</v>
      </c>
      <c r="K7152">
        <f t="shared" si="111"/>
        <v>182</v>
      </c>
      <c r="L7152" s="8" t="str" cm="1">
        <f t="array" ref="L7152">_xlfn.IFS(
 AND(K7152&gt;=89,K7152&lt;=92),"3개월",
 AND(K7152&gt;=58,K7152&lt;=62),"2개월",
 AND(K7152&gt;=28,K7152&lt;=32),"1개월",
 AND(K7152=0),"당월",
 TRUE,"그외"
)</f>
        <v>그외</v>
      </c>
    </row>
    <row r="7153" spans="1:12" x14ac:dyDescent="0.3">
      <c r="A7153" s="5">
        <v>45809</v>
      </c>
      <c r="B7153" s="6" t="s">
        <v>60</v>
      </c>
      <c r="C7153" s="6" t="s">
        <v>61</v>
      </c>
      <c r="D7153" s="5">
        <v>45658</v>
      </c>
      <c r="E7153" s="6" t="s">
        <v>15</v>
      </c>
      <c r="F7153" s="7">
        <v>125</v>
      </c>
      <c r="G7153" s="7">
        <v>156618.28</v>
      </c>
      <c r="H7153" s="7">
        <v>19577285</v>
      </c>
      <c r="I7153" s="7">
        <v>4691263</v>
      </c>
      <c r="J7153" s="7">
        <v>0</v>
      </c>
      <c r="K7153">
        <f t="shared" si="111"/>
        <v>151</v>
      </c>
      <c r="L7153" s="8" t="str" cm="1">
        <f t="array" ref="L7153">_xlfn.IFS(
 AND(K7153&gt;=89,K7153&lt;=92),"3개월",
 AND(K7153&gt;=58,K7153&lt;=62),"2개월",
 AND(K7153&gt;=28,K7153&lt;=32),"1개월",
 AND(K7153=0),"당월",
 TRUE,"그외"
)</f>
        <v>그외</v>
      </c>
    </row>
    <row r="7154" spans="1:12" x14ac:dyDescent="0.3">
      <c r="A7154" s="5">
        <v>45809</v>
      </c>
      <c r="B7154" s="6" t="s">
        <v>60</v>
      </c>
      <c r="C7154" s="6" t="s">
        <v>61</v>
      </c>
      <c r="D7154" s="5">
        <v>45689</v>
      </c>
      <c r="E7154" s="6" t="s">
        <v>14</v>
      </c>
      <c r="F7154" s="7">
        <v>14</v>
      </c>
      <c r="G7154" s="7">
        <v>121671.42857142859</v>
      </c>
      <c r="H7154" s="7">
        <v>1703400</v>
      </c>
      <c r="I7154" s="7">
        <v>449400</v>
      </c>
      <c r="J7154" s="7">
        <v>0</v>
      </c>
      <c r="K7154">
        <f t="shared" si="111"/>
        <v>120</v>
      </c>
      <c r="L7154" s="8" t="str" cm="1">
        <f t="array" ref="L7154">_xlfn.IFS(
 AND(K7154&gt;=89,K7154&lt;=92),"3개월",
 AND(K7154&gt;=58,K7154&lt;=62),"2개월",
 AND(K7154&gt;=28,K7154&lt;=32),"1개월",
 AND(K7154=0),"당월",
 TRUE,"그외"
)</f>
        <v>그외</v>
      </c>
    </row>
    <row r="7155" spans="1:12" x14ac:dyDescent="0.3">
      <c r="A7155" s="5">
        <v>45809</v>
      </c>
      <c r="B7155" s="6" t="s">
        <v>60</v>
      </c>
      <c r="C7155" s="6" t="s">
        <v>61</v>
      </c>
      <c r="D7155" s="5">
        <v>45689</v>
      </c>
      <c r="E7155" s="6" t="s">
        <v>15</v>
      </c>
      <c r="F7155" s="7">
        <v>286</v>
      </c>
      <c r="G7155" s="7">
        <v>147682.15384615379</v>
      </c>
      <c r="H7155" s="7">
        <v>42237096</v>
      </c>
      <c r="I7155" s="7">
        <v>10214600</v>
      </c>
      <c r="J7155" s="7">
        <v>0</v>
      </c>
      <c r="K7155">
        <f t="shared" si="111"/>
        <v>120</v>
      </c>
      <c r="L7155" s="8" t="str" cm="1">
        <f t="array" ref="L7155">_xlfn.IFS(
 AND(K7155&gt;=89,K7155&lt;=92),"3개월",
 AND(K7155&gt;=58,K7155&lt;=62),"2개월",
 AND(K7155&gt;=28,K7155&lt;=32),"1개월",
 AND(K7155=0),"당월",
 TRUE,"그외"
)</f>
        <v>그외</v>
      </c>
    </row>
    <row r="7156" spans="1:12" x14ac:dyDescent="0.3">
      <c r="A7156" s="5">
        <v>45809</v>
      </c>
      <c r="B7156" s="6" t="s">
        <v>60</v>
      </c>
      <c r="C7156" s="6" t="s">
        <v>61</v>
      </c>
      <c r="D7156" s="5">
        <v>45717</v>
      </c>
      <c r="E7156" s="6" t="s">
        <v>14</v>
      </c>
      <c r="F7156" s="7">
        <v>98</v>
      </c>
      <c r="G7156" s="7">
        <v>118538.7755102041</v>
      </c>
      <c r="H7156" s="7">
        <v>11616800</v>
      </c>
      <c r="I7156" s="7">
        <v>3684800</v>
      </c>
      <c r="J7156" s="7">
        <v>0</v>
      </c>
      <c r="K7156">
        <f t="shared" si="111"/>
        <v>92</v>
      </c>
      <c r="L7156" s="8" t="str" cm="1">
        <f t="array" ref="L7156">_xlfn.IFS(
 AND(K7156&gt;=89,K7156&lt;=92),"3개월",
 AND(K7156&gt;=58,K7156&lt;=62),"2개월",
 AND(K7156&gt;=28,K7156&lt;=32),"1개월",
 AND(K7156=0),"당월",
 TRUE,"그외"
)</f>
        <v>3개월</v>
      </c>
    </row>
    <row r="7157" spans="1:12" x14ac:dyDescent="0.3">
      <c r="A7157" s="5">
        <v>45809</v>
      </c>
      <c r="B7157" s="6" t="s">
        <v>60</v>
      </c>
      <c r="C7157" s="6" t="s">
        <v>61</v>
      </c>
      <c r="D7157" s="5">
        <v>45717</v>
      </c>
      <c r="E7157" s="6" t="s">
        <v>15</v>
      </c>
      <c r="F7157" s="7">
        <v>533</v>
      </c>
      <c r="G7157" s="7">
        <v>161125.7467166979</v>
      </c>
      <c r="H7157" s="7">
        <v>85880023</v>
      </c>
      <c r="I7157" s="7">
        <v>24011790</v>
      </c>
      <c r="J7157" s="7">
        <v>0</v>
      </c>
      <c r="K7157">
        <f t="shared" si="111"/>
        <v>92</v>
      </c>
      <c r="L7157" s="8" t="str" cm="1">
        <f t="array" ref="L7157">_xlfn.IFS(
 AND(K7157&gt;=89,K7157&lt;=92),"3개월",
 AND(K7157&gt;=58,K7157&lt;=62),"2개월",
 AND(K7157&gt;=28,K7157&lt;=32),"1개월",
 AND(K7157=0),"당월",
 TRUE,"그외"
)</f>
        <v>3개월</v>
      </c>
    </row>
    <row r="7158" spans="1:12" x14ac:dyDescent="0.3">
      <c r="A7158" s="5">
        <v>45809</v>
      </c>
      <c r="B7158" s="6" t="s">
        <v>60</v>
      </c>
      <c r="C7158" s="6" t="s">
        <v>61</v>
      </c>
      <c r="D7158" s="5">
        <v>45748</v>
      </c>
      <c r="E7158" s="6" t="s">
        <v>14</v>
      </c>
      <c r="F7158" s="7">
        <v>415</v>
      </c>
      <c r="G7158" s="7">
        <v>85109.638554216872</v>
      </c>
      <c r="H7158" s="7">
        <v>35320500</v>
      </c>
      <c r="I7158" s="7">
        <v>11412500</v>
      </c>
      <c r="J7158" s="7">
        <v>0</v>
      </c>
      <c r="K7158">
        <f t="shared" si="111"/>
        <v>61</v>
      </c>
      <c r="L7158" s="8" t="str" cm="1">
        <f t="array" ref="L7158">_xlfn.IFS(
 AND(K7158&gt;=89,K7158&lt;=92),"3개월",
 AND(K7158&gt;=58,K7158&lt;=62),"2개월",
 AND(K7158&gt;=28,K7158&lt;=32),"1개월",
 AND(K7158=0),"당월",
 TRUE,"그외"
)</f>
        <v>2개월</v>
      </c>
    </row>
    <row r="7159" spans="1:12" x14ac:dyDescent="0.3">
      <c r="A7159" s="5">
        <v>45809</v>
      </c>
      <c r="B7159" s="6" t="s">
        <v>60</v>
      </c>
      <c r="C7159" s="6" t="s">
        <v>61</v>
      </c>
      <c r="D7159" s="5">
        <v>45748</v>
      </c>
      <c r="E7159" s="6" t="s">
        <v>15</v>
      </c>
      <c r="F7159" s="7">
        <v>1402</v>
      </c>
      <c r="G7159" s="7">
        <v>151970.22467903001</v>
      </c>
      <c r="H7159" s="7">
        <v>213062255</v>
      </c>
      <c r="I7159" s="7">
        <v>51344926</v>
      </c>
      <c r="J7159" s="7">
        <v>0</v>
      </c>
      <c r="K7159">
        <f t="shared" si="111"/>
        <v>61</v>
      </c>
      <c r="L7159" s="8" t="str" cm="1">
        <f t="array" ref="L7159">_xlfn.IFS(
 AND(K7159&gt;=89,K7159&lt;=92),"3개월",
 AND(K7159&gt;=58,K7159&lt;=62),"2개월",
 AND(K7159&gt;=28,K7159&lt;=32),"1개월",
 AND(K7159=0),"당월",
 TRUE,"그외"
)</f>
        <v>2개월</v>
      </c>
    </row>
    <row r="7160" spans="1:12" x14ac:dyDescent="0.3">
      <c r="A7160" s="5">
        <v>45809</v>
      </c>
      <c r="B7160" s="6" t="s">
        <v>60</v>
      </c>
      <c r="C7160" s="6" t="s">
        <v>61</v>
      </c>
      <c r="D7160" s="5">
        <v>45778</v>
      </c>
      <c r="E7160" s="6" t="s">
        <v>14</v>
      </c>
      <c r="F7160" s="7">
        <v>247</v>
      </c>
      <c r="G7160" s="7">
        <v>90381.781376518222</v>
      </c>
      <c r="H7160" s="7">
        <v>22324300</v>
      </c>
      <c r="I7160" s="7">
        <v>5409300</v>
      </c>
      <c r="J7160" s="7">
        <v>0</v>
      </c>
      <c r="K7160">
        <f t="shared" si="111"/>
        <v>31</v>
      </c>
      <c r="L7160" s="8" t="str" cm="1">
        <f t="array" ref="L7160">_xlfn.IFS(
 AND(K7160&gt;=89,K7160&lt;=92),"3개월",
 AND(K7160&gt;=58,K7160&lt;=62),"2개월",
 AND(K7160&gt;=28,K7160&lt;=32),"1개월",
 AND(K7160=0),"당월",
 TRUE,"그외"
)</f>
        <v>1개월</v>
      </c>
    </row>
    <row r="7161" spans="1:12" x14ac:dyDescent="0.3">
      <c r="A7161" s="5">
        <v>45809</v>
      </c>
      <c r="B7161" s="6" t="s">
        <v>60</v>
      </c>
      <c r="C7161" s="6" t="s">
        <v>61</v>
      </c>
      <c r="D7161" s="5">
        <v>45778</v>
      </c>
      <c r="E7161" s="6" t="s">
        <v>15</v>
      </c>
      <c r="F7161" s="7">
        <v>534</v>
      </c>
      <c r="G7161" s="7">
        <v>152305.4438202247</v>
      </c>
      <c r="H7161" s="7">
        <v>81331107</v>
      </c>
      <c r="I7161" s="7">
        <v>19570868</v>
      </c>
      <c r="J7161" s="7">
        <v>0</v>
      </c>
      <c r="K7161">
        <f t="shared" si="111"/>
        <v>31</v>
      </c>
      <c r="L7161" s="8" t="str" cm="1">
        <f t="array" ref="L7161">_xlfn.IFS(
 AND(K7161&gt;=89,K7161&lt;=92),"3개월",
 AND(K7161&gt;=58,K7161&lt;=62),"2개월",
 AND(K7161&gt;=28,K7161&lt;=32),"1개월",
 AND(K7161=0),"당월",
 TRUE,"그외"
)</f>
        <v>1개월</v>
      </c>
    </row>
    <row r="7162" spans="1:12" x14ac:dyDescent="0.3">
      <c r="A7162" s="5">
        <v>45809</v>
      </c>
      <c r="B7162" s="6" t="s">
        <v>60</v>
      </c>
      <c r="C7162" s="6" t="s">
        <v>104</v>
      </c>
      <c r="D7162" s="5">
        <v>45627</v>
      </c>
      <c r="E7162" s="6" t="s">
        <v>15</v>
      </c>
      <c r="F7162" s="7">
        <v>34</v>
      </c>
      <c r="G7162" s="7">
        <v>231676.4705882353</v>
      </c>
      <c r="H7162" s="7">
        <v>7877000</v>
      </c>
      <c r="I7162" s="7">
        <v>1037000</v>
      </c>
      <c r="J7162" s="7">
        <v>0</v>
      </c>
      <c r="K7162">
        <f t="shared" si="111"/>
        <v>182</v>
      </c>
      <c r="L7162" s="8" t="str" cm="1">
        <f t="array" ref="L7162">_xlfn.IFS(
 AND(K7162&gt;=89,K7162&lt;=92),"3개월",
 AND(K7162&gt;=58,K7162&lt;=62),"2개월",
 AND(K7162&gt;=28,K7162&lt;=32),"1개월",
 AND(K7162=0),"당월",
 TRUE,"그외"
)</f>
        <v>그외</v>
      </c>
    </row>
    <row r="7163" spans="1:12" x14ac:dyDescent="0.3">
      <c r="A7163" s="5">
        <v>45809</v>
      </c>
      <c r="B7163" s="6" t="s">
        <v>60</v>
      </c>
      <c r="C7163" s="6" t="s">
        <v>104</v>
      </c>
      <c r="D7163" s="5">
        <v>45658</v>
      </c>
      <c r="E7163" s="6" t="s">
        <v>15</v>
      </c>
      <c r="F7163" s="7">
        <v>76</v>
      </c>
      <c r="G7163" s="7">
        <v>230122.55263157899</v>
      </c>
      <c r="H7163" s="7">
        <v>17489314</v>
      </c>
      <c r="I7163" s="7">
        <v>2455139</v>
      </c>
      <c r="J7163" s="7">
        <v>0</v>
      </c>
      <c r="K7163">
        <f t="shared" si="111"/>
        <v>151</v>
      </c>
      <c r="L7163" s="8" t="str" cm="1">
        <f t="array" ref="L7163">_xlfn.IFS(
 AND(K7163&gt;=89,K7163&lt;=92),"3개월",
 AND(K7163&gt;=58,K7163&lt;=62),"2개월",
 AND(K7163&gt;=28,K7163&lt;=32),"1개월",
 AND(K7163=0),"당월",
 TRUE,"그외"
)</f>
        <v>그외</v>
      </c>
    </row>
    <row r="7164" spans="1:12" x14ac:dyDescent="0.3">
      <c r="A7164" s="5">
        <v>45809</v>
      </c>
      <c r="B7164" s="6" t="s">
        <v>60</v>
      </c>
      <c r="C7164" s="6" t="s">
        <v>104</v>
      </c>
      <c r="D7164" s="5">
        <v>45689</v>
      </c>
      <c r="E7164" s="6" t="s">
        <v>14</v>
      </c>
      <c r="F7164" s="7">
        <v>4</v>
      </c>
      <c r="G7164" s="7">
        <v>123100</v>
      </c>
      <c r="H7164" s="7">
        <v>492400</v>
      </c>
      <c r="I7164" s="7">
        <v>128400</v>
      </c>
      <c r="J7164" s="7">
        <v>0</v>
      </c>
      <c r="K7164">
        <f t="shared" si="111"/>
        <v>120</v>
      </c>
      <c r="L7164" s="8" t="str" cm="1">
        <f t="array" ref="L7164">_xlfn.IFS(
 AND(K7164&gt;=89,K7164&lt;=92),"3개월",
 AND(K7164&gt;=58,K7164&lt;=62),"2개월",
 AND(K7164&gt;=28,K7164&lt;=32),"1개월",
 AND(K7164=0),"당월",
 TRUE,"그외"
)</f>
        <v>그외</v>
      </c>
    </row>
    <row r="7165" spans="1:12" x14ac:dyDescent="0.3">
      <c r="A7165" s="5">
        <v>45809</v>
      </c>
      <c r="B7165" s="6" t="s">
        <v>60</v>
      </c>
      <c r="C7165" s="6" t="s">
        <v>104</v>
      </c>
      <c r="D7165" s="5">
        <v>45689</v>
      </c>
      <c r="E7165" s="6" t="s">
        <v>15</v>
      </c>
      <c r="F7165" s="7">
        <v>71</v>
      </c>
      <c r="G7165" s="7">
        <v>245021.15492957749</v>
      </c>
      <c r="H7165" s="7">
        <v>17396502</v>
      </c>
      <c r="I7165" s="7">
        <v>2375560</v>
      </c>
      <c r="J7165" s="7">
        <v>0</v>
      </c>
      <c r="K7165">
        <f t="shared" si="111"/>
        <v>120</v>
      </c>
      <c r="L7165" s="8" t="str" cm="1">
        <f t="array" ref="L7165">_xlfn.IFS(
 AND(K7165&gt;=89,K7165&lt;=92),"3개월",
 AND(K7165&gt;=58,K7165&lt;=62),"2개월",
 AND(K7165&gt;=28,K7165&lt;=32),"1개월",
 AND(K7165=0),"당월",
 TRUE,"그외"
)</f>
        <v>그외</v>
      </c>
    </row>
    <row r="7166" spans="1:12" x14ac:dyDescent="0.3">
      <c r="A7166" s="5">
        <v>45809</v>
      </c>
      <c r="B7166" s="6" t="s">
        <v>60</v>
      </c>
      <c r="C7166" s="6" t="s">
        <v>104</v>
      </c>
      <c r="D7166" s="5">
        <v>45717</v>
      </c>
      <c r="E7166" s="6" t="s">
        <v>15</v>
      </c>
      <c r="F7166" s="7">
        <v>284</v>
      </c>
      <c r="G7166" s="7">
        <v>199260.99295774649</v>
      </c>
      <c r="H7166" s="7">
        <v>56590122</v>
      </c>
      <c r="I7166" s="7">
        <v>11702485</v>
      </c>
      <c r="J7166" s="7">
        <v>0</v>
      </c>
      <c r="K7166">
        <f t="shared" si="111"/>
        <v>92</v>
      </c>
      <c r="L7166" s="8" t="str" cm="1">
        <f t="array" ref="L7166">_xlfn.IFS(
 AND(K7166&gt;=89,K7166&lt;=92),"3개월",
 AND(K7166&gt;=58,K7166&lt;=62),"2개월",
 AND(K7166&gt;=28,K7166&lt;=32),"1개월",
 AND(K7166=0),"당월",
 TRUE,"그외"
)</f>
        <v>3개월</v>
      </c>
    </row>
    <row r="7167" spans="1:12" x14ac:dyDescent="0.3">
      <c r="A7167" s="5">
        <v>45809</v>
      </c>
      <c r="B7167" s="6" t="s">
        <v>60</v>
      </c>
      <c r="C7167" s="6" t="s">
        <v>104</v>
      </c>
      <c r="D7167" s="5">
        <v>45748</v>
      </c>
      <c r="E7167" s="6" t="s">
        <v>14</v>
      </c>
      <c r="F7167" s="7">
        <v>6</v>
      </c>
      <c r="G7167" s="7">
        <v>107500</v>
      </c>
      <c r="H7167" s="7">
        <v>645000</v>
      </c>
      <c r="I7167" s="7">
        <v>165000</v>
      </c>
      <c r="J7167" s="7">
        <v>0</v>
      </c>
      <c r="K7167">
        <f t="shared" si="111"/>
        <v>61</v>
      </c>
      <c r="L7167" s="8" t="str" cm="1">
        <f t="array" ref="L7167">_xlfn.IFS(
 AND(K7167&gt;=89,K7167&lt;=92),"3개월",
 AND(K7167&gt;=58,K7167&lt;=62),"2개월",
 AND(K7167&gt;=28,K7167&lt;=32),"1개월",
 AND(K7167=0),"당월",
 TRUE,"그외"
)</f>
        <v>2개월</v>
      </c>
    </row>
    <row r="7168" spans="1:12" x14ac:dyDescent="0.3">
      <c r="A7168" s="5">
        <v>45809</v>
      </c>
      <c r="B7168" s="6" t="s">
        <v>60</v>
      </c>
      <c r="C7168" s="6" t="s">
        <v>104</v>
      </c>
      <c r="D7168" s="5">
        <v>45748</v>
      </c>
      <c r="E7168" s="6" t="s">
        <v>15</v>
      </c>
      <c r="F7168" s="7">
        <v>956</v>
      </c>
      <c r="G7168" s="7">
        <v>131646.49686192471</v>
      </c>
      <c r="H7168" s="7">
        <v>125854051</v>
      </c>
      <c r="I7168" s="7">
        <v>29010104</v>
      </c>
      <c r="J7168" s="7">
        <v>0</v>
      </c>
      <c r="K7168">
        <f t="shared" si="111"/>
        <v>61</v>
      </c>
      <c r="L7168" s="8" t="str" cm="1">
        <f t="array" ref="L7168">_xlfn.IFS(
 AND(K7168&gt;=89,K7168&lt;=92),"3개월",
 AND(K7168&gt;=58,K7168&lt;=62),"2개월",
 AND(K7168&gt;=28,K7168&lt;=32),"1개월",
 AND(K7168=0),"당월",
 TRUE,"그외"
)</f>
        <v>2개월</v>
      </c>
    </row>
    <row r="7169" spans="1:12" x14ac:dyDescent="0.3">
      <c r="A7169" s="5">
        <v>45809</v>
      </c>
      <c r="B7169" s="6" t="s">
        <v>60</v>
      </c>
      <c r="C7169" s="6" t="s">
        <v>104</v>
      </c>
      <c r="D7169" s="5">
        <v>45778</v>
      </c>
      <c r="E7169" s="6" t="s">
        <v>14</v>
      </c>
      <c r="F7169" s="7">
        <v>14</v>
      </c>
      <c r="G7169" s="7">
        <v>101900</v>
      </c>
      <c r="H7169" s="7">
        <v>1426600</v>
      </c>
      <c r="I7169" s="7">
        <v>306600</v>
      </c>
      <c r="J7169" s="7">
        <v>0</v>
      </c>
      <c r="K7169">
        <f t="shared" si="111"/>
        <v>31</v>
      </c>
      <c r="L7169" s="8" t="str" cm="1">
        <f t="array" ref="L7169">_xlfn.IFS(
 AND(K7169&gt;=89,K7169&lt;=92),"3개월",
 AND(K7169&gt;=58,K7169&lt;=62),"2개월",
 AND(K7169&gt;=28,K7169&lt;=32),"1개월",
 AND(K7169=0),"당월",
 TRUE,"그외"
)</f>
        <v>1개월</v>
      </c>
    </row>
    <row r="7170" spans="1:12" x14ac:dyDescent="0.3">
      <c r="A7170" s="5">
        <v>45809</v>
      </c>
      <c r="B7170" s="6" t="s">
        <v>60</v>
      </c>
      <c r="C7170" s="6" t="s">
        <v>104</v>
      </c>
      <c r="D7170" s="5">
        <v>45778</v>
      </c>
      <c r="E7170" s="6" t="s">
        <v>15</v>
      </c>
      <c r="F7170" s="7">
        <v>424</v>
      </c>
      <c r="G7170" s="7">
        <v>109623.4339622642</v>
      </c>
      <c r="H7170" s="7">
        <v>46480336</v>
      </c>
      <c r="I7170" s="7">
        <v>11598391</v>
      </c>
      <c r="J7170" s="7">
        <v>0</v>
      </c>
      <c r="K7170">
        <f t="shared" si="111"/>
        <v>31</v>
      </c>
      <c r="L7170" s="8" t="str" cm="1">
        <f t="array" ref="L7170">_xlfn.IFS(
 AND(K7170&gt;=89,K7170&lt;=92),"3개월",
 AND(K7170&gt;=58,K7170&lt;=62),"2개월",
 AND(K7170&gt;=28,K7170&lt;=32),"1개월",
 AND(K7170=0),"당월",
 TRUE,"그외"
)</f>
        <v>1개월</v>
      </c>
    </row>
    <row r="7171" spans="1:12" x14ac:dyDescent="0.3">
      <c r="A7171" s="5">
        <v>45809</v>
      </c>
      <c r="B7171" s="6" t="s">
        <v>60</v>
      </c>
      <c r="C7171" s="6" t="s">
        <v>62</v>
      </c>
      <c r="D7171" s="5">
        <v>45627</v>
      </c>
      <c r="E7171" s="6" t="s">
        <v>15</v>
      </c>
      <c r="F7171" s="7">
        <v>77</v>
      </c>
      <c r="G7171" s="7">
        <v>242349.90909090909</v>
      </c>
      <c r="H7171" s="7">
        <v>18660943</v>
      </c>
      <c r="I7171" s="7">
        <v>3714642</v>
      </c>
      <c r="J7171" s="7">
        <v>0</v>
      </c>
      <c r="K7171">
        <f t="shared" si="111"/>
        <v>182</v>
      </c>
      <c r="L7171" s="8" t="str" cm="1">
        <f t="array" ref="L7171">_xlfn.IFS(
 AND(K7171&gt;=89,K7171&lt;=92),"3개월",
 AND(K7171&gt;=58,K7171&lt;=62),"2개월",
 AND(K7171&gt;=28,K7171&lt;=32),"1개월",
 AND(K7171=0),"당월",
 TRUE,"그외"
)</f>
        <v>그외</v>
      </c>
    </row>
    <row r="7172" spans="1:12" x14ac:dyDescent="0.3">
      <c r="A7172" s="5">
        <v>45809</v>
      </c>
      <c r="B7172" s="6" t="s">
        <v>60</v>
      </c>
      <c r="C7172" s="6" t="s">
        <v>62</v>
      </c>
      <c r="D7172" s="5">
        <v>45658</v>
      </c>
      <c r="E7172" s="6" t="s">
        <v>15</v>
      </c>
      <c r="F7172" s="7">
        <v>442</v>
      </c>
      <c r="G7172" s="7">
        <v>223214.94343891399</v>
      </c>
      <c r="H7172" s="7">
        <v>98661005</v>
      </c>
      <c r="I7172" s="7">
        <v>19530956</v>
      </c>
      <c r="J7172" s="7">
        <v>0</v>
      </c>
      <c r="K7172">
        <f t="shared" si="111"/>
        <v>151</v>
      </c>
      <c r="L7172" s="8" t="str" cm="1">
        <f t="array" ref="L7172">_xlfn.IFS(
 AND(K7172&gt;=89,K7172&lt;=92),"3개월",
 AND(K7172&gt;=58,K7172&lt;=62),"2개월",
 AND(K7172&gt;=28,K7172&lt;=32),"1개월",
 AND(K7172=0),"당월",
 TRUE,"그외"
)</f>
        <v>그외</v>
      </c>
    </row>
    <row r="7173" spans="1:12" x14ac:dyDescent="0.3">
      <c r="A7173" s="5">
        <v>45809</v>
      </c>
      <c r="B7173" s="6" t="s">
        <v>60</v>
      </c>
      <c r="C7173" s="6" t="s">
        <v>62</v>
      </c>
      <c r="D7173" s="5">
        <v>45689</v>
      </c>
      <c r="E7173" s="6" t="s">
        <v>15</v>
      </c>
      <c r="F7173" s="7">
        <v>875</v>
      </c>
      <c r="G7173" s="7">
        <v>224133.59657142861</v>
      </c>
      <c r="H7173" s="7">
        <v>196116897</v>
      </c>
      <c r="I7173" s="7">
        <v>40376615</v>
      </c>
      <c r="J7173" s="7">
        <v>0</v>
      </c>
      <c r="K7173">
        <f t="shared" si="111"/>
        <v>120</v>
      </c>
      <c r="L7173" s="8" t="str" cm="1">
        <f t="array" ref="L7173">_xlfn.IFS(
 AND(K7173&gt;=89,K7173&lt;=92),"3개월",
 AND(K7173&gt;=58,K7173&lt;=62),"2개월",
 AND(K7173&gt;=28,K7173&lt;=32),"1개월",
 AND(K7173=0),"당월",
 TRUE,"그외"
)</f>
        <v>그외</v>
      </c>
    </row>
    <row r="7174" spans="1:12" x14ac:dyDescent="0.3">
      <c r="A7174" s="5">
        <v>45809</v>
      </c>
      <c r="B7174" s="6" t="s">
        <v>60</v>
      </c>
      <c r="C7174" s="6" t="s">
        <v>62</v>
      </c>
      <c r="D7174" s="5">
        <v>45717</v>
      </c>
      <c r="E7174" s="6" t="s">
        <v>14</v>
      </c>
      <c r="F7174" s="7">
        <v>154</v>
      </c>
      <c r="G7174" s="7">
        <v>123525.97402597401</v>
      </c>
      <c r="H7174" s="7">
        <v>19023000</v>
      </c>
      <c r="I7174" s="7">
        <v>6237000</v>
      </c>
      <c r="J7174" s="7">
        <v>0</v>
      </c>
      <c r="K7174">
        <f t="shared" si="111"/>
        <v>92</v>
      </c>
      <c r="L7174" s="8" t="str" cm="1">
        <f t="array" ref="L7174">_xlfn.IFS(
 AND(K7174&gt;=89,K7174&lt;=92),"3개월",
 AND(K7174&gt;=58,K7174&lt;=62),"2개월",
 AND(K7174&gt;=28,K7174&lt;=32),"1개월",
 AND(K7174=0),"당월",
 TRUE,"그외"
)</f>
        <v>3개월</v>
      </c>
    </row>
    <row r="7175" spans="1:12" x14ac:dyDescent="0.3">
      <c r="A7175" s="5">
        <v>45809</v>
      </c>
      <c r="B7175" s="6" t="s">
        <v>60</v>
      </c>
      <c r="C7175" s="6" t="s">
        <v>62</v>
      </c>
      <c r="D7175" s="5">
        <v>45717</v>
      </c>
      <c r="E7175" s="6" t="s">
        <v>15</v>
      </c>
      <c r="F7175" s="7">
        <v>3176</v>
      </c>
      <c r="G7175" s="7">
        <v>180338.4820528967</v>
      </c>
      <c r="H7175" s="7">
        <v>572755019</v>
      </c>
      <c r="I7175" s="7">
        <v>150757025</v>
      </c>
      <c r="J7175" s="7">
        <v>0</v>
      </c>
      <c r="K7175">
        <f t="shared" si="111"/>
        <v>92</v>
      </c>
      <c r="L7175" s="8" t="str" cm="1">
        <f t="array" ref="L7175">_xlfn.IFS(
 AND(K7175&gt;=89,K7175&lt;=92),"3개월",
 AND(K7175&gt;=58,K7175&lt;=62),"2개월",
 AND(K7175&gt;=28,K7175&lt;=32),"1개월",
 AND(K7175=0),"당월",
 TRUE,"그외"
)</f>
        <v>3개월</v>
      </c>
    </row>
    <row r="7176" spans="1:12" x14ac:dyDescent="0.3">
      <c r="A7176" s="5">
        <v>45809</v>
      </c>
      <c r="B7176" s="6" t="s">
        <v>60</v>
      </c>
      <c r="C7176" s="6" t="s">
        <v>62</v>
      </c>
      <c r="D7176" s="5">
        <v>45748</v>
      </c>
      <c r="E7176" s="6" t="s">
        <v>14</v>
      </c>
      <c r="F7176" s="7">
        <v>402</v>
      </c>
      <c r="G7176" s="7">
        <v>131078.55721393041</v>
      </c>
      <c r="H7176" s="7">
        <v>52693580</v>
      </c>
      <c r="I7176" s="7">
        <v>12386970</v>
      </c>
      <c r="J7176" s="7">
        <v>0</v>
      </c>
      <c r="K7176">
        <f t="shared" si="111"/>
        <v>61</v>
      </c>
      <c r="L7176" s="8" t="str" cm="1">
        <f t="array" ref="L7176">_xlfn.IFS(
 AND(K7176&gt;=89,K7176&lt;=92),"3개월",
 AND(K7176&gt;=58,K7176&lt;=62),"2개월",
 AND(K7176&gt;=28,K7176&lt;=32),"1개월",
 AND(K7176=0),"당월",
 TRUE,"그외"
)</f>
        <v>2개월</v>
      </c>
    </row>
    <row r="7177" spans="1:12" x14ac:dyDescent="0.3">
      <c r="A7177" s="5">
        <v>45809</v>
      </c>
      <c r="B7177" s="6" t="s">
        <v>60</v>
      </c>
      <c r="C7177" s="6" t="s">
        <v>62</v>
      </c>
      <c r="D7177" s="5">
        <v>45748</v>
      </c>
      <c r="E7177" s="6" t="s">
        <v>15</v>
      </c>
      <c r="F7177" s="7">
        <v>4713</v>
      </c>
      <c r="G7177" s="7">
        <v>178483.34712497349</v>
      </c>
      <c r="H7177" s="7">
        <v>841192015</v>
      </c>
      <c r="I7177" s="7">
        <v>194146565</v>
      </c>
      <c r="J7177" s="7">
        <v>0</v>
      </c>
      <c r="K7177">
        <f t="shared" si="111"/>
        <v>61</v>
      </c>
      <c r="L7177" s="8" t="str" cm="1">
        <f t="array" ref="L7177">_xlfn.IFS(
 AND(K7177&gt;=89,K7177&lt;=92),"3개월",
 AND(K7177&gt;=58,K7177&lt;=62),"2개월",
 AND(K7177&gt;=28,K7177&lt;=32),"1개월",
 AND(K7177=0),"당월",
 TRUE,"그외"
)</f>
        <v>2개월</v>
      </c>
    </row>
    <row r="7178" spans="1:12" x14ac:dyDescent="0.3">
      <c r="A7178" s="5">
        <v>45809</v>
      </c>
      <c r="B7178" s="6" t="s">
        <v>60</v>
      </c>
      <c r="C7178" s="6" t="s">
        <v>62</v>
      </c>
      <c r="D7178" s="5">
        <v>45778</v>
      </c>
      <c r="E7178" s="6" t="s">
        <v>14</v>
      </c>
      <c r="F7178" s="7">
        <v>385</v>
      </c>
      <c r="G7178" s="7">
        <v>132459.8805194805</v>
      </c>
      <c r="H7178" s="7">
        <v>50997054</v>
      </c>
      <c r="I7178" s="7">
        <v>9607212</v>
      </c>
      <c r="J7178" s="7">
        <v>0</v>
      </c>
      <c r="K7178">
        <f t="shared" ref="K7178:K7241" si="112">A7178-D7178</f>
        <v>31</v>
      </c>
      <c r="L7178" s="8" t="str" cm="1">
        <f t="array" ref="L7178">_xlfn.IFS(
 AND(K7178&gt;=89,K7178&lt;=92),"3개월",
 AND(K7178&gt;=58,K7178&lt;=62),"2개월",
 AND(K7178&gt;=28,K7178&lt;=32),"1개월",
 AND(K7178=0),"당월",
 TRUE,"그외"
)</f>
        <v>1개월</v>
      </c>
    </row>
    <row r="7179" spans="1:12" x14ac:dyDescent="0.3">
      <c r="A7179" s="5">
        <v>45809</v>
      </c>
      <c r="B7179" s="6" t="s">
        <v>60</v>
      </c>
      <c r="C7179" s="6" t="s">
        <v>62</v>
      </c>
      <c r="D7179" s="5">
        <v>45778</v>
      </c>
      <c r="E7179" s="6" t="s">
        <v>15</v>
      </c>
      <c r="F7179" s="7">
        <v>1546</v>
      </c>
      <c r="G7179" s="7">
        <v>190106.9133247089</v>
      </c>
      <c r="H7179" s="7">
        <v>293905288</v>
      </c>
      <c r="I7179" s="7">
        <v>60206102</v>
      </c>
      <c r="J7179" s="7">
        <v>0</v>
      </c>
      <c r="K7179">
        <f t="shared" si="112"/>
        <v>31</v>
      </c>
      <c r="L7179" s="8" t="str" cm="1">
        <f t="array" ref="L7179">_xlfn.IFS(
 AND(K7179&gt;=89,K7179&lt;=92),"3개월",
 AND(K7179&gt;=58,K7179&lt;=62),"2개월",
 AND(K7179&gt;=28,K7179&lt;=32),"1개월",
 AND(K7179=0),"당월",
 TRUE,"그외"
)</f>
        <v>1개월</v>
      </c>
    </row>
    <row r="7180" spans="1:12" x14ac:dyDescent="0.3">
      <c r="A7180" s="5">
        <v>45809</v>
      </c>
      <c r="B7180" s="6" t="s">
        <v>60</v>
      </c>
      <c r="C7180" s="6" t="s">
        <v>64</v>
      </c>
      <c r="D7180" s="5">
        <v>45658</v>
      </c>
      <c r="E7180" s="6" t="s">
        <v>15</v>
      </c>
      <c r="F7180" s="7">
        <v>3</v>
      </c>
      <c r="G7180" s="7">
        <v>191998</v>
      </c>
      <c r="H7180" s="7">
        <v>575994</v>
      </c>
      <c r="I7180" s="7">
        <v>129339</v>
      </c>
      <c r="J7180" s="7">
        <v>0</v>
      </c>
      <c r="K7180">
        <f t="shared" si="112"/>
        <v>151</v>
      </c>
      <c r="L7180" s="8" t="str" cm="1">
        <f t="array" ref="L7180">_xlfn.IFS(
 AND(K7180&gt;=89,K7180&lt;=92),"3개월",
 AND(K7180&gt;=58,K7180&lt;=62),"2개월",
 AND(K7180&gt;=28,K7180&lt;=32),"1개월",
 AND(K7180=0),"당월",
 TRUE,"그외"
)</f>
        <v>그외</v>
      </c>
    </row>
    <row r="7181" spans="1:12" x14ac:dyDescent="0.3">
      <c r="A7181" s="5">
        <v>45809</v>
      </c>
      <c r="B7181" s="6" t="s">
        <v>60</v>
      </c>
      <c r="C7181" s="6" t="s">
        <v>64</v>
      </c>
      <c r="D7181" s="5">
        <v>45689</v>
      </c>
      <c r="E7181" s="6" t="s">
        <v>14</v>
      </c>
      <c r="F7181" s="7">
        <v>10</v>
      </c>
      <c r="G7181" s="7">
        <v>234700</v>
      </c>
      <c r="H7181" s="7">
        <v>2347000</v>
      </c>
      <c r="I7181" s="7">
        <v>321000</v>
      </c>
      <c r="J7181" s="7">
        <v>0</v>
      </c>
      <c r="K7181">
        <f t="shared" si="112"/>
        <v>120</v>
      </c>
      <c r="L7181" s="8" t="str" cm="1">
        <f t="array" ref="L7181">_xlfn.IFS(
 AND(K7181&gt;=89,K7181&lt;=92),"3개월",
 AND(K7181&gt;=58,K7181&lt;=62),"2개월",
 AND(K7181&gt;=28,K7181&lt;=32),"1개월",
 AND(K7181=0),"당월",
 TRUE,"그외"
)</f>
        <v>그외</v>
      </c>
    </row>
    <row r="7182" spans="1:12" x14ac:dyDescent="0.3">
      <c r="A7182" s="5">
        <v>45809</v>
      </c>
      <c r="B7182" s="6" t="s">
        <v>60</v>
      </c>
      <c r="C7182" s="6" t="s">
        <v>64</v>
      </c>
      <c r="D7182" s="5">
        <v>45689</v>
      </c>
      <c r="E7182" s="6" t="s">
        <v>15</v>
      </c>
      <c r="F7182" s="7">
        <v>210</v>
      </c>
      <c r="G7182" s="7">
        <v>217247.0333333333</v>
      </c>
      <c r="H7182" s="7">
        <v>45621877</v>
      </c>
      <c r="I7182" s="7">
        <v>6754649</v>
      </c>
      <c r="J7182" s="7">
        <v>0</v>
      </c>
      <c r="K7182">
        <f t="shared" si="112"/>
        <v>120</v>
      </c>
      <c r="L7182" s="8" t="str" cm="1">
        <f t="array" ref="L7182">_xlfn.IFS(
 AND(K7182&gt;=89,K7182&lt;=92),"3개월",
 AND(K7182&gt;=58,K7182&lt;=62),"2개월",
 AND(K7182&gt;=28,K7182&lt;=32),"1개월",
 AND(K7182=0),"당월",
 TRUE,"그외"
)</f>
        <v>그외</v>
      </c>
    </row>
    <row r="7183" spans="1:12" x14ac:dyDescent="0.3">
      <c r="A7183" s="5">
        <v>45809</v>
      </c>
      <c r="B7183" s="6" t="s">
        <v>60</v>
      </c>
      <c r="C7183" s="6" t="s">
        <v>64</v>
      </c>
      <c r="D7183" s="5">
        <v>45717</v>
      </c>
      <c r="E7183" s="6" t="s">
        <v>14</v>
      </c>
      <c r="F7183" s="7">
        <v>293</v>
      </c>
      <c r="G7183" s="7">
        <v>146958.361774744</v>
      </c>
      <c r="H7183" s="7">
        <v>43058800</v>
      </c>
      <c r="I7183" s="7">
        <v>10906800</v>
      </c>
      <c r="J7183" s="7">
        <v>0</v>
      </c>
      <c r="K7183">
        <f t="shared" si="112"/>
        <v>92</v>
      </c>
      <c r="L7183" s="8" t="str" cm="1">
        <f t="array" ref="L7183">_xlfn.IFS(
 AND(K7183&gt;=89,K7183&lt;=92),"3개월",
 AND(K7183&gt;=58,K7183&lt;=62),"2개월",
 AND(K7183&gt;=28,K7183&lt;=32),"1개월",
 AND(K7183=0),"당월",
 TRUE,"그외"
)</f>
        <v>3개월</v>
      </c>
    </row>
    <row r="7184" spans="1:12" x14ac:dyDescent="0.3">
      <c r="A7184" s="5">
        <v>45809</v>
      </c>
      <c r="B7184" s="6" t="s">
        <v>60</v>
      </c>
      <c r="C7184" s="6" t="s">
        <v>64</v>
      </c>
      <c r="D7184" s="5">
        <v>45717</v>
      </c>
      <c r="E7184" s="6" t="s">
        <v>15</v>
      </c>
      <c r="F7184" s="7">
        <v>623</v>
      </c>
      <c r="G7184" s="7">
        <v>189994.92295345111</v>
      </c>
      <c r="H7184" s="7">
        <v>118366837</v>
      </c>
      <c r="I7184" s="7">
        <v>22189707</v>
      </c>
      <c r="J7184" s="7">
        <v>0</v>
      </c>
      <c r="K7184">
        <f t="shared" si="112"/>
        <v>92</v>
      </c>
      <c r="L7184" s="8" t="str" cm="1">
        <f t="array" ref="L7184">_xlfn.IFS(
 AND(K7184&gt;=89,K7184&lt;=92),"3개월",
 AND(K7184&gt;=58,K7184&lt;=62),"2개월",
 AND(K7184&gt;=28,K7184&lt;=32),"1개월",
 AND(K7184=0),"당월",
 TRUE,"그외"
)</f>
        <v>3개월</v>
      </c>
    </row>
    <row r="7185" spans="1:12" x14ac:dyDescent="0.3">
      <c r="A7185" s="5">
        <v>45809</v>
      </c>
      <c r="B7185" s="6" t="s">
        <v>60</v>
      </c>
      <c r="C7185" s="6" t="s">
        <v>64</v>
      </c>
      <c r="D7185" s="5">
        <v>45748</v>
      </c>
      <c r="E7185" s="6" t="s">
        <v>14</v>
      </c>
      <c r="F7185" s="7">
        <v>266</v>
      </c>
      <c r="G7185" s="7">
        <v>114977.44360902251</v>
      </c>
      <c r="H7185" s="7">
        <v>30584000</v>
      </c>
      <c r="I7185" s="7">
        <v>7517000</v>
      </c>
      <c r="J7185" s="7">
        <v>0</v>
      </c>
      <c r="K7185">
        <f t="shared" si="112"/>
        <v>61</v>
      </c>
      <c r="L7185" s="8" t="str" cm="1">
        <f t="array" ref="L7185">_xlfn.IFS(
 AND(K7185&gt;=89,K7185&lt;=92),"3개월",
 AND(K7185&gt;=58,K7185&lt;=62),"2개월",
 AND(K7185&gt;=28,K7185&lt;=32),"1개월",
 AND(K7185=0),"당월",
 TRUE,"그외"
)</f>
        <v>2개월</v>
      </c>
    </row>
    <row r="7186" spans="1:12" x14ac:dyDescent="0.3">
      <c r="A7186" s="5">
        <v>45809</v>
      </c>
      <c r="B7186" s="6" t="s">
        <v>60</v>
      </c>
      <c r="C7186" s="6" t="s">
        <v>64</v>
      </c>
      <c r="D7186" s="5">
        <v>45748</v>
      </c>
      <c r="E7186" s="6" t="s">
        <v>15</v>
      </c>
      <c r="F7186" s="7">
        <v>3421</v>
      </c>
      <c r="G7186" s="7">
        <v>126098.2280035077</v>
      </c>
      <c r="H7186" s="7">
        <v>431382038</v>
      </c>
      <c r="I7186" s="7">
        <v>97766445</v>
      </c>
      <c r="J7186" s="7">
        <v>0</v>
      </c>
      <c r="K7186">
        <f t="shared" si="112"/>
        <v>61</v>
      </c>
      <c r="L7186" s="8" t="str" cm="1">
        <f t="array" ref="L7186">_xlfn.IFS(
 AND(K7186&gt;=89,K7186&lt;=92),"3개월",
 AND(K7186&gt;=58,K7186&lt;=62),"2개월",
 AND(K7186&gt;=28,K7186&lt;=32),"1개월",
 AND(K7186=0),"당월",
 TRUE,"그외"
)</f>
        <v>2개월</v>
      </c>
    </row>
    <row r="7187" spans="1:12" x14ac:dyDescent="0.3">
      <c r="A7187" s="5">
        <v>45809</v>
      </c>
      <c r="B7187" s="6" t="s">
        <v>60</v>
      </c>
      <c r="C7187" s="6" t="s">
        <v>64</v>
      </c>
      <c r="D7187" s="5">
        <v>45778</v>
      </c>
      <c r="E7187" s="6" t="s">
        <v>14</v>
      </c>
      <c r="F7187" s="7">
        <v>216</v>
      </c>
      <c r="G7187" s="7">
        <v>77358.333333333328</v>
      </c>
      <c r="H7187" s="7">
        <v>16709400</v>
      </c>
      <c r="I7187" s="7">
        <v>4730400</v>
      </c>
      <c r="J7187" s="7">
        <v>0</v>
      </c>
      <c r="K7187">
        <f t="shared" si="112"/>
        <v>31</v>
      </c>
      <c r="L7187" s="8" t="str" cm="1">
        <f t="array" ref="L7187">_xlfn.IFS(
 AND(K7187&gt;=89,K7187&lt;=92),"3개월",
 AND(K7187&gt;=58,K7187&lt;=62),"2개월",
 AND(K7187&gt;=28,K7187&lt;=32),"1개월",
 AND(K7187=0),"당월",
 TRUE,"그외"
)</f>
        <v>1개월</v>
      </c>
    </row>
    <row r="7188" spans="1:12" x14ac:dyDescent="0.3">
      <c r="A7188" s="5">
        <v>45809</v>
      </c>
      <c r="B7188" s="6" t="s">
        <v>60</v>
      </c>
      <c r="C7188" s="6" t="s">
        <v>64</v>
      </c>
      <c r="D7188" s="5">
        <v>45778</v>
      </c>
      <c r="E7188" s="6" t="s">
        <v>15</v>
      </c>
      <c r="F7188" s="7">
        <v>836</v>
      </c>
      <c r="G7188" s="7">
        <v>144696.68540669861</v>
      </c>
      <c r="H7188" s="7">
        <v>120966429</v>
      </c>
      <c r="I7188" s="7">
        <v>19616582</v>
      </c>
      <c r="J7188" s="7">
        <v>0</v>
      </c>
      <c r="K7188">
        <f t="shared" si="112"/>
        <v>31</v>
      </c>
      <c r="L7188" s="8" t="str" cm="1">
        <f t="array" ref="L7188">_xlfn.IFS(
 AND(K7188&gt;=89,K7188&lt;=92),"3개월",
 AND(K7188&gt;=58,K7188&lt;=62),"2개월",
 AND(K7188&gt;=28,K7188&lt;=32),"1개월",
 AND(K7188=0),"당월",
 TRUE,"그외"
)</f>
        <v>1개월</v>
      </c>
    </row>
    <row r="7189" spans="1:12" x14ac:dyDescent="0.3">
      <c r="A7189" s="5">
        <v>45809</v>
      </c>
      <c r="B7189" s="6" t="s">
        <v>60</v>
      </c>
      <c r="C7189" s="6" t="s">
        <v>65</v>
      </c>
      <c r="D7189" s="5">
        <v>45689</v>
      </c>
      <c r="E7189" s="6" t="s">
        <v>15</v>
      </c>
      <c r="F7189" s="7">
        <v>30</v>
      </c>
      <c r="G7189" s="7">
        <v>296256.66666666669</v>
      </c>
      <c r="H7189" s="7">
        <v>8887700</v>
      </c>
      <c r="I7189" s="7">
        <v>963000</v>
      </c>
      <c r="J7189" s="7">
        <v>0</v>
      </c>
      <c r="K7189">
        <f t="shared" si="112"/>
        <v>120</v>
      </c>
      <c r="L7189" s="8" t="str" cm="1">
        <f t="array" ref="L7189">_xlfn.IFS(
 AND(K7189&gt;=89,K7189&lt;=92),"3개월",
 AND(K7189&gt;=58,K7189&lt;=62),"2개월",
 AND(K7189&gt;=28,K7189&lt;=32),"1개월",
 AND(K7189=0),"당월",
 TRUE,"그외"
)</f>
        <v>그외</v>
      </c>
    </row>
    <row r="7190" spans="1:12" x14ac:dyDescent="0.3">
      <c r="A7190" s="5">
        <v>45809</v>
      </c>
      <c r="B7190" s="6" t="s">
        <v>60</v>
      </c>
      <c r="C7190" s="6" t="s">
        <v>65</v>
      </c>
      <c r="D7190" s="5">
        <v>45717</v>
      </c>
      <c r="E7190" s="6" t="s">
        <v>15</v>
      </c>
      <c r="F7190" s="7">
        <v>99</v>
      </c>
      <c r="G7190" s="7">
        <v>234280.80808080811</v>
      </c>
      <c r="H7190" s="7">
        <v>23193800</v>
      </c>
      <c r="I7190" s="7">
        <v>3722400</v>
      </c>
      <c r="J7190" s="7">
        <v>0</v>
      </c>
      <c r="K7190">
        <f t="shared" si="112"/>
        <v>92</v>
      </c>
      <c r="L7190" s="8" t="str" cm="1">
        <f t="array" ref="L7190">_xlfn.IFS(
 AND(K7190&gt;=89,K7190&lt;=92),"3개월",
 AND(K7190&gt;=58,K7190&lt;=62),"2개월",
 AND(K7190&gt;=28,K7190&lt;=32),"1개월",
 AND(K7190=0),"당월",
 TRUE,"그외"
)</f>
        <v>3개월</v>
      </c>
    </row>
    <row r="7191" spans="1:12" x14ac:dyDescent="0.3">
      <c r="A7191" s="5">
        <v>45809</v>
      </c>
      <c r="B7191" s="6" t="s">
        <v>60</v>
      </c>
      <c r="C7191" s="6" t="s">
        <v>65</v>
      </c>
      <c r="D7191" s="5">
        <v>45748</v>
      </c>
      <c r="E7191" s="6" t="s">
        <v>14</v>
      </c>
      <c r="F7191" s="7">
        <v>60</v>
      </c>
      <c r="G7191" s="7">
        <v>222633.33333333331</v>
      </c>
      <c r="H7191" s="7">
        <v>13358000</v>
      </c>
      <c r="I7191" s="7">
        <v>1650000</v>
      </c>
      <c r="J7191" s="7">
        <v>0</v>
      </c>
      <c r="K7191">
        <f t="shared" si="112"/>
        <v>61</v>
      </c>
      <c r="L7191" s="8" t="str" cm="1">
        <f t="array" ref="L7191">_xlfn.IFS(
 AND(K7191&gt;=89,K7191&lt;=92),"3개월",
 AND(K7191&gt;=58,K7191&lt;=62),"2개월",
 AND(K7191&gt;=28,K7191&lt;=32),"1개월",
 AND(K7191=0),"당월",
 TRUE,"그외"
)</f>
        <v>2개월</v>
      </c>
    </row>
    <row r="7192" spans="1:12" x14ac:dyDescent="0.3">
      <c r="A7192" s="5">
        <v>45809</v>
      </c>
      <c r="B7192" s="6" t="s">
        <v>60</v>
      </c>
      <c r="C7192" s="6" t="s">
        <v>65</v>
      </c>
      <c r="D7192" s="5">
        <v>45748</v>
      </c>
      <c r="E7192" s="6" t="s">
        <v>15</v>
      </c>
      <c r="F7192" s="7">
        <v>318</v>
      </c>
      <c r="G7192" s="7">
        <v>155291.98113207551</v>
      </c>
      <c r="H7192" s="7">
        <v>49382850</v>
      </c>
      <c r="I7192" s="7">
        <v>8747800</v>
      </c>
      <c r="J7192" s="7">
        <v>0</v>
      </c>
      <c r="K7192">
        <f t="shared" si="112"/>
        <v>61</v>
      </c>
      <c r="L7192" s="8" t="str" cm="1">
        <f t="array" ref="L7192">_xlfn.IFS(
 AND(K7192&gt;=89,K7192&lt;=92),"3개월",
 AND(K7192&gt;=58,K7192&lt;=62),"2개월",
 AND(K7192&gt;=28,K7192&lt;=32),"1개월",
 AND(K7192=0),"당월",
 TRUE,"그외"
)</f>
        <v>2개월</v>
      </c>
    </row>
    <row r="7193" spans="1:12" x14ac:dyDescent="0.3">
      <c r="A7193" s="5">
        <v>45809</v>
      </c>
      <c r="B7193" s="6" t="s">
        <v>60</v>
      </c>
      <c r="C7193" s="6" t="s">
        <v>65</v>
      </c>
      <c r="D7193" s="5">
        <v>45778</v>
      </c>
      <c r="E7193" s="6" t="s">
        <v>14</v>
      </c>
      <c r="F7193" s="7">
        <v>41</v>
      </c>
      <c r="G7193" s="7">
        <v>135095.12195121951</v>
      </c>
      <c r="H7193" s="7">
        <v>5538900</v>
      </c>
      <c r="I7193" s="7">
        <v>897900</v>
      </c>
      <c r="J7193" s="7">
        <v>0</v>
      </c>
      <c r="K7193">
        <f t="shared" si="112"/>
        <v>31</v>
      </c>
      <c r="L7193" s="8" t="str" cm="1">
        <f t="array" ref="L7193">_xlfn.IFS(
 AND(K7193&gt;=89,K7193&lt;=92),"3개월",
 AND(K7193&gt;=58,K7193&lt;=62),"2개월",
 AND(K7193&gt;=28,K7193&lt;=32),"1개월",
 AND(K7193=0),"당월",
 TRUE,"그외"
)</f>
        <v>1개월</v>
      </c>
    </row>
    <row r="7194" spans="1:12" x14ac:dyDescent="0.3">
      <c r="A7194" s="5">
        <v>45809</v>
      </c>
      <c r="B7194" s="6" t="s">
        <v>60</v>
      </c>
      <c r="C7194" s="6" t="s">
        <v>65</v>
      </c>
      <c r="D7194" s="5">
        <v>45778</v>
      </c>
      <c r="E7194" s="6" t="s">
        <v>15</v>
      </c>
      <c r="F7194" s="7">
        <v>201</v>
      </c>
      <c r="G7194" s="7">
        <v>163689.55223880601</v>
      </c>
      <c r="H7194" s="7">
        <v>32901600</v>
      </c>
      <c r="I7194" s="7">
        <v>4314300</v>
      </c>
      <c r="J7194" s="7">
        <v>0</v>
      </c>
      <c r="K7194">
        <f t="shared" si="112"/>
        <v>31</v>
      </c>
      <c r="L7194" s="8" t="str" cm="1">
        <f t="array" ref="L7194">_xlfn.IFS(
 AND(K7194&gt;=89,K7194&lt;=92),"3개월",
 AND(K7194&gt;=58,K7194&lt;=62),"2개월",
 AND(K7194&gt;=28,K7194&lt;=32),"1개월",
 AND(K7194=0),"당월",
 TRUE,"그외"
)</f>
        <v>1개월</v>
      </c>
    </row>
    <row r="7195" spans="1:12" x14ac:dyDescent="0.3">
      <c r="A7195" s="5">
        <v>45809</v>
      </c>
      <c r="B7195" s="6" t="s">
        <v>60</v>
      </c>
      <c r="C7195" s="6" t="s">
        <v>66</v>
      </c>
      <c r="D7195" s="5">
        <v>45717</v>
      </c>
      <c r="E7195" s="6" t="s">
        <v>15</v>
      </c>
      <c r="F7195" s="7">
        <v>2</v>
      </c>
      <c r="G7195" s="7">
        <v>123400</v>
      </c>
      <c r="H7195" s="7">
        <v>246800</v>
      </c>
      <c r="I7195" s="7">
        <v>75200</v>
      </c>
      <c r="J7195" s="7">
        <v>0</v>
      </c>
      <c r="K7195">
        <f t="shared" si="112"/>
        <v>92</v>
      </c>
      <c r="L7195" s="8" t="str" cm="1">
        <f t="array" ref="L7195">_xlfn.IFS(
 AND(K7195&gt;=89,K7195&lt;=92),"3개월",
 AND(K7195&gt;=58,K7195&lt;=62),"2개월",
 AND(K7195&gt;=28,K7195&lt;=32),"1개월",
 AND(K7195=0),"당월",
 TRUE,"그외"
)</f>
        <v>3개월</v>
      </c>
    </row>
    <row r="7196" spans="1:12" x14ac:dyDescent="0.3">
      <c r="A7196" s="5">
        <v>45809</v>
      </c>
      <c r="B7196" s="6" t="s">
        <v>60</v>
      </c>
      <c r="C7196" s="6" t="s">
        <v>66</v>
      </c>
      <c r="D7196" s="5">
        <v>45748</v>
      </c>
      <c r="E7196" s="6" t="s">
        <v>14</v>
      </c>
      <c r="F7196" s="7">
        <v>209</v>
      </c>
      <c r="G7196" s="7">
        <v>224533.01435406701</v>
      </c>
      <c r="H7196" s="7">
        <v>46927400</v>
      </c>
      <c r="I7196" s="7">
        <v>6839400</v>
      </c>
      <c r="J7196" s="7">
        <v>0</v>
      </c>
      <c r="K7196">
        <f t="shared" si="112"/>
        <v>61</v>
      </c>
      <c r="L7196" s="8" t="str" cm="1">
        <f t="array" ref="L7196">_xlfn.IFS(
 AND(K7196&gt;=89,K7196&lt;=92),"3개월",
 AND(K7196&gt;=58,K7196&lt;=62),"2개월",
 AND(K7196&gt;=28,K7196&lt;=32),"1개월",
 AND(K7196=0),"당월",
 TRUE,"그외"
)</f>
        <v>2개월</v>
      </c>
    </row>
    <row r="7197" spans="1:12" x14ac:dyDescent="0.3">
      <c r="A7197" s="5">
        <v>45809</v>
      </c>
      <c r="B7197" s="6" t="s">
        <v>60</v>
      </c>
      <c r="C7197" s="6" t="s">
        <v>66</v>
      </c>
      <c r="D7197" s="5">
        <v>45748</v>
      </c>
      <c r="E7197" s="6" t="s">
        <v>15</v>
      </c>
      <c r="F7197" s="7">
        <v>1150</v>
      </c>
      <c r="G7197" s="7">
        <v>170456.06956521739</v>
      </c>
      <c r="H7197" s="7">
        <v>196024480</v>
      </c>
      <c r="I7197" s="7">
        <v>33925740</v>
      </c>
      <c r="J7197" s="7">
        <v>0</v>
      </c>
      <c r="K7197">
        <f t="shared" si="112"/>
        <v>61</v>
      </c>
      <c r="L7197" s="8" t="str" cm="1">
        <f t="array" ref="L7197">_xlfn.IFS(
 AND(K7197&gt;=89,K7197&lt;=92),"3개월",
 AND(K7197&gt;=58,K7197&lt;=62),"2개월",
 AND(K7197&gt;=28,K7197&lt;=32),"1개월",
 AND(K7197=0),"당월",
 TRUE,"그외"
)</f>
        <v>2개월</v>
      </c>
    </row>
    <row r="7198" spans="1:12" x14ac:dyDescent="0.3">
      <c r="A7198" s="5">
        <v>45809</v>
      </c>
      <c r="B7198" s="6" t="s">
        <v>60</v>
      </c>
      <c r="C7198" s="6" t="s">
        <v>66</v>
      </c>
      <c r="D7198" s="5">
        <v>45778</v>
      </c>
      <c r="E7198" s="6" t="s">
        <v>14</v>
      </c>
      <c r="F7198" s="7">
        <v>28</v>
      </c>
      <c r="G7198" s="7">
        <v>222900</v>
      </c>
      <c r="H7198" s="7">
        <v>6241200</v>
      </c>
      <c r="I7198" s="7">
        <v>613200</v>
      </c>
      <c r="J7198" s="7">
        <v>0</v>
      </c>
      <c r="K7198">
        <f t="shared" si="112"/>
        <v>31</v>
      </c>
      <c r="L7198" s="8" t="str" cm="1">
        <f t="array" ref="L7198">_xlfn.IFS(
 AND(K7198&gt;=89,K7198&lt;=92),"3개월",
 AND(K7198&gt;=58,K7198&lt;=62),"2개월",
 AND(K7198&gt;=28,K7198&lt;=32),"1개월",
 AND(K7198=0),"당월",
 TRUE,"그외"
)</f>
        <v>1개월</v>
      </c>
    </row>
    <row r="7199" spans="1:12" x14ac:dyDescent="0.3">
      <c r="A7199" s="5">
        <v>45809</v>
      </c>
      <c r="B7199" s="6" t="s">
        <v>60</v>
      </c>
      <c r="C7199" s="6" t="s">
        <v>66</v>
      </c>
      <c r="D7199" s="5">
        <v>45778</v>
      </c>
      <c r="E7199" s="6" t="s">
        <v>15</v>
      </c>
      <c r="F7199" s="7">
        <v>357</v>
      </c>
      <c r="G7199" s="7">
        <v>114806.6862745098</v>
      </c>
      <c r="H7199" s="7">
        <v>40985987</v>
      </c>
      <c r="I7199" s="7">
        <v>8025542</v>
      </c>
      <c r="J7199" s="7">
        <v>0</v>
      </c>
      <c r="K7199">
        <f t="shared" si="112"/>
        <v>31</v>
      </c>
      <c r="L7199" s="8" t="str" cm="1">
        <f t="array" ref="L7199">_xlfn.IFS(
 AND(K7199&gt;=89,K7199&lt;=92),"3개월",
 AND(K7199&gt;=58,K7199&lt;=62),"2개월",
 AND(K7199&gt;=28,K7199&lt;=32),"1개월",
 AND(K7199=0),"당월",
 TRUE,"그외"
)</f>
        <v>1개월</v>
      </c>
    </row>
    <row r="7200" spans="1:12" x14ac:dyDescent="0.3">
      <c r="A7200" s="5">
        <v>45809</v>
      </c>
      <c r="B7200" s="6" t="s">
        <v>60</v>
      </c>
      <c r="C7200" s="6" t="s">
        <v>67</v>
      </c>
      <c r="D7200" s="5">
        <v>45658</v>
      </c>
      <c r="E7200" s="6" t="s">
        <v>15</v>
      </c>
      <c r="F7200" s="7">
        <v>269</v>
      </c>
      <c r="G7200" s="7">
        <v>171499.34572490709</v>
      </c>
      <c r="H7200" s="7">
        <v>46133324</v>
      </c>
      <c r="I7200" s="7">
        <v>8382013</v>
      </c>
      <c r="J7200" s="7">
        <v>0</v>
      </c>
      <c r="K7200">
        <f t="shared" si="112"/>
        <v>151</v>
      </c>
      <c r="L7200" s="8" t="str" cm="1">
        <f t="array" ref="L7200">_xlfn.IFS(
 AND(K7200&gt;=89,K7200&lt;=92),"3개월",
 AND(K7200&gt;=58,K7200&lt;=62),"2개월",
 AND(K7200&gt;=28,K7200&lt;=32),"1개월",
 AND(K7200=0),"당월",
 TRUE,"그외"
)</f>
        <v>그외</v>
      </c>
    </row>
    <row r="7201" spans="1:12" x14ac:dyDescent="0.3">
      <c r="A7201" s="5">
        <v>45809</v>
      </c>
      <c r="B7201" s="6" t="s">
        <v>60</v>
      </c>
      <c r="C7201" s="6" t="s">
        <v>67</v>
      </c>
      <c r="D7201" s="5">
        <v>45689</v>
      </c>
      <c r="E7201" s="6" t="s">
        <v>14</v>
      </c>
      <c r="F7201" s="7">
        <v>130</v>
      </c>
      <c r="G7201" s="7">
        <v>134038.4615384615</v>
      </c>
      <c r="H7201" s="7">
        <v>17425000</v>
      </c>
      <c r="I7201" s="7">
        <v>4173000</v>
      </c>
      <c r="J7201" s="7">
        <v>0</v>
      </c>
      <c r="K7201">
        <f t="shared" si="112"/>
        <v>120</v>
      </c>
      <c r="L7201" s="8" t="str" cm="1">
        <f t="array" ref="L7201">_xlfn.IFS(
 AND(K7201&gt;=89,K7201&lt;=92),"3개월",
 AND(K7201&gt;=58,K7201&lt;=62),"2개월",
 AND(K7201&gt;=28,K7201&lt;=32),"1개월",
 AND(K7201=0),"당월",
 TRUE,"그외"
)</f>
        <v>그외</v>
      </c>
    </row>
    <row r="7202" spans="1:12" x14ac:dyDescent="0.3">
      <c r="A7202" s="5">
        <v>45809</v>
      </c>
      <c r="B7202" s="6" t="s">
        <v>60</v>
      </c>
      <c r="C7202" s="6" t="s">
        <v>67</v>
      </c>
      <c r="D7202" s="5">
        <v>45689</v>
      </c>
      <c r="E7202" s="6" t="s">
        <v>15</v>
      </c>
      <c r="F7202" s="7">
        <v>536</v>
      </c>
      <c r="G7202" s="7">
        <v>199844.6473880597</v>
      </c>
      <c r="H7202" s="7">
        <v>107116731</v>
      </c>
      <c r="I7202" s="7">
        <v>17477726</v>
      </c>
      <c r="J7202" s="7">
        <v>0</v>
      </c>
      <c r="K7202">
        <f t="shared" si="112"/>
        <v>120</v>
      </c>
      <c r="L7202" s="8" t="str" cm="1">
        <f t="array" ref="L7202">_xlfn.IFS(
 AND(K7202&gt;=89,K7202&lt;=92),"3개월",
 AND(K7202&gt;=58,K7202&lt;=62),"2개월",
 AND(K7202&gt;=28,K7202&lt;=32),"1개월",
 AND(K7202=0),"당월",
 TRUE,"그외"
)</f>
        <v>그외</v>
      </c>
    </row>
    <row r="7203" spans="1:12" x14ac:dyDescent="0.3">
      <c r="A7203" s="5">
        <v>45809</v>
      </c>
      <c r="B7203" s="6" t="s">
        <v>60</v>
      </c>
      <c r="C7203" s="6" t="s">
        <v>67</v>
      </c>
      <c r="D7203" s="5">
        <v>45717</v>
      </c>
      <c r="E7203" s="6" t="s">
        <v>14</v>
      </c>
      <c r="F7203" s="7">
        <v>36</v>
      </c>
      <c r="G7203" s="7">
        <v>148211.11111111109</v>
      </c>
      <c r="H7203" s="7">
        <v>5335600</v>
      </c>
      <c r="I7203" s="7">
        <v>1353600</v>
      </c>
      <c r="J7203" s="7">
        <v>0</v>
      </c>
      <c r="K7203">
        <f t="shared" si="112"/>
        <v>92</v>
      </c>
      <c r="L7203" s="8" t="str" cm="1">
        <f t="array" ref="L7203">_xlfn.IFS(
 AND(K7203&gt;=89,K7203&lt;=92),"3개월",
 AND(K7203&gt;=58,K7203&lt;=62),"2개월",
 AND(K7203&gt;=28,K7203&lt;=32),"1개월",
 AND(K7203=0),"당월",
 TRUE,"그외"
)</f>
        <v>3개월</v>
      </c>
    </row>
    <row r="7204" spans="1:12" x14ac:dyDescent="0.3">
      <c r="A7204" s="5">
        <v>45809</v>
      </c>
      <c r="B7204" s="6" t="s">
        <v>60</v>
      </c>
      <c r="C7204" s="6" t="s">
        <v>67</v>
      </c>
      <c r="D7204" s="5">
        <v>45717</v>
      </c>
      <c r="E7204" s="6" t="s">
        <v>15</v>
      </c>
      <c r="F7204" s="7">
        <v>195</v>
      </c>
      <c r="G7204" s="7">
        <v>182459.8769230769</v>
      </c>
      <c r="H7204" s="7">
        <v>35579676</v>
      </c>
      <c r="I7204" s="7">
        <v>7372453</v>
      </c>
      <c r="J7204" s="7">
        <v>0</v>
      </c>
      <c r="K7204">
        <f t="shared" si="112"/>
        <v>92</v>
      </c>
      <c r="L7204" s="8" t="str" cm="1">
        <f t="array" ref="L7204">_xlfn.IFS(
 AND(K7204&gt;=89,K7204&lt;=92),"3개월",
 AND(K7204&gt;=58,K7204&lt;=62),"2개월",
 AND(K7204&gt;=28,K7204&lt;=32),"1개월",
 AND(K7204=0),"당월",
 TRUE,"그외"
)</f>
        <v>3개월</v>
      </c>
    </row>
    <row r="7205" spans="1:12" x14ac:dyDescent="0.3">
      <c r="A7205" s="5">
        <v>45809</v>
      </c>
      <c r="B7205" s="6" t="s">
        <v>60</v>
      </c>
      <c r="C7205" s="6" t="s">
        <v>67</v>
      </c>
      <c r="D7205" s="5">
        <v>45748</v>
      </c>
      <c r="E7205" s="6" t="s">
        <v>14</v>
      </c>
      <c r="F7205" s="7">
        <v>840</v>
      </c>
      <c r="G7205" s="7">
        <v>112038.09523809519</v>
      </c>
      <c r="H7205" s="7">
        <v>94112000</v>
      </c>
      <c r="I7205" s="7">
        <v>23100000</v>
      </c>
      <c r="J7205" s="7">
        <v>0</v>
      </c>
      <c r="K7205">
        <f t="shared" si="112"/>
        <v>61</v>
      </c>
      <c r="L7205" s="8" t="str" cm="1">
        <f t="array" ref="L7205">_xlfn.IFS(
 AND(K7205&gt;=89,K7205&lt;=92),"3개월",
 AND(K7205&gt;=58,K7205&lt;=62),"2개월",
 AND(K7205&gt;=28,K7205&lt;=32),"1개월",
 AND(K7205=0),"당월",
 TRUE,"그외"
)</f>
        <v>2개월</v>
      </c>
    </row>
    <row r="7206" spans="1:12" x14ac:dyDescent="0.3">
      <c r="A7206" s="5">
        <v>45809</v>
      </c>
      <c r="B7206" s="6" t="s">
        <v>60</v>
      </c>
      <c r="C7206" s="6" t="s">
        <v>67</v>
      </c>
      <c r="D7206" s="5">
        <v>45748</v>
      </c>
      <c r="E7206" s="6" t="s">
        <v>15</v>
      </c>
      <c r="F7206" s="7">
        <v>709</v>
      </c>
      <c r="G7206" s="7">
        <v>158681.48801128351</v>
      </c>
      <c r="H7206" s="7">
        <v>112505175</v>
      </c>
      <c r="I7206" s="7">
        <v>19810292</v>
      </c>
      <c r="J7206" s="7">
        <v>0</v>
      </c>
      <c r="K7206">
        <f t="shared" si="112"/>
        <v>61</v>
      </c>
      <c r="L7206" s="8" t="str" cm="1">
        <f t="array" ref="L7206">_xlfn.IFS(
 AND(K7206&gt;=89,K7206&lt;=92),"3개월",
 AND(K7206&gt;=58,K7206&lt;=62),"2개월",
 AND(K7206&gt;=28,K7206&lt;=32),"1개월",
 AND(K7206=0),"당월",
 TRUE,"그외"
)</f>
        <v>2개월</v>
      </c>
    </row>
    <row r="7207" spans="1:12" x14ac:dyDescent="0.3">
      <c r="A7207" s="5">
        <v>45809</v>
      </c>
      <c r="B7207" s="6" t="s">
        <v>60</v>
      </c>
      <c r="C7207" s="6" t="s">
        <v>67</v>
      </c>
      <c r="D7207" s="5">
        <v>45778</v>
      </c>
      <c r="E7207" s="6" t="s">
        <v>14</v>
      </c>
      <c r="F7207" s="7">
        <v>228</v>
      </c>
      <c r="G7207" s="7">
        <v>81742.105263157893</v>
      </c>
      <c r="H7207" s="7">
        <v>18637200</v>
      </c>
      <c r="I7207" s="7">
        <v>4993200</v>
      </c>
      <c r="J7207" s="7">
        <v>0</v>
      </c>
      <c r="K7207">
        <f t="shared" si="112"/>
        <v>31</v>
      </c>
      <c r="L7207" s="8" t="str" cm="1">
        <f t="array" ref="L7207">_xlfn.IFS(
 AND(K7207&gt;=89,K7207&lt;=92),"3개월",
 AND(K7207&gt;=58,K7207&lt;=62),"2개월",
 AND(K7207&gt;=28,K7207&lt;=32),"1개월",
 AND(K7207=0),"당월",
 TRUE,"그외"
)</f>
        <v>1개월</v>
      </c>
    </row>
    <row r="7208" spans="1:12" x14ac:dyDescent="0.3">
      <c r="A7208" s="5">
        <v>45809</v>
      </c>
      <c r="B7208" s="6" t="s">
        <v>60</v>
      </c>
      <c r="C7208" s="6" t="s">
        <v>67</v>
      </c>
      <c r="D7208" s="5">
        <v>45778</v>
      </c>
      <c r="E7208" s="6" t="s">
        <v>15</v>
      </c>
      <c r="F7208" s="7">
        <v>378</v>
      </c>
      <c r="G7208" s="7">
        <v>136323.14021164019</v>
      </c>
      <c r="H7208" s="7">
        <v>51530147</v>
      </c>
      <c r="I7208" s="7">
        <v>8734225</v>
      </c>
      <c r="J7208" s="7">
        <v>0</v>
      </c>
      <c r="K7208">
        <f t="shared" si="112"/>
        <v>31</v>
      </c>
      <c r="L7208" s="8" t="str" cm="1">
        <f t="array" ref="L7208">_xlfn.IFS(
 AND(K7208&gt;=89,K7208&lt;=92),"3개월",
 AND(K7208&gt;=58,K7208&lt;=62),"2개월",
 AND(K7208&gt;=28,K7208&lt;=32),"1개월",
 AND(K7208=0),"당월",
 TRUE,"그외"
)</f>
        <v>1개월</v>
      </c>
    </row>
    <row r="7209" spans="1:12" x14ac:dyDescent="0.3">
      <c r="A7209" s="5">
        <v>45809</v>
      </c>
      <c r="B7209" s="6" t="s">
        <v>60</v>
      </c>
      <c r="C7209" s="6" t="s">
        <v>68</v>
      </c>
      <c r="D7209" s="5">
        <v>45689</v>
      </c>
      <c r="E7209" s="6" t="s">
        <v>15</v>
      </c>
      <c r="F7209" s="7">
        <v>4</v>
      </c>
      <c r="G7209" s="7">
        <v>160900</v>
      </c>
      <c r="H7209" s="7">
        <v>643600</v>
      </c>
      <c r="I7209" s="7">
        <v>128400</v>
      </c>
      <c r="J7209" s="7">
        <v>0</v>
      </c>
      <c r="K7209">
        <f t="shared" si="112"/>
        <v>120</v>
      </c>
      <c r="L7209" s="8" t="str" cm="1">
        <f t="array" ref="L7209">_xlfn.IFS(
 AND(K7209&gt;=89,K7209&lt;=92),"3개월",
 AND(K7209&gt;=58,K7209&lt;=62),"2개월",
 AND(K7209&gt;=28,K7209&lt;=32),"1개월",
 AND(K7209=0),"당월",
 TRUE,"그외"
)</f>
        <v>그외</v>
      </c>
    </row>
    <row r="7210" spans="1:12" x14ac:dyDescent="0.3">
      <c r="A7210" s="5">
        <v>45809</v>
      </c>
      <c r="B7210" s="6" t="s">
        <v>60</v>
      </c>
      <c r="C7210" s="6" t="s">
        <v>68</v>
      </c>
      <c r="D7210" s="5">
        <v>45717</v>
      </c>
      <c r="E7210" s="6" t="s">
        <v>15</v>
      </c>
      <c r="F7210" s="7">
        <v>47</v>
      </c>
      <c r="G7210" s="7">
        <v>173442.55319148939</v>
      </c>
      <c r="H7210" s="7">
        <v>8151800</v>
      </c>
      <c r="I7210" s="7">
        <v>1577600</v>
      </c>
      <c r="J7210" s="7">
        <v>0</v>
      </c>
      <c r="K7210">
        <f t="shared" si="112"/>
        <v>92</v>
      </c>
      <c r="L7210" s="8" t="str" cm="1">
        <f t="array" ref="L7210">_xlfn.IFS(
 AND(K7210&gt;=89,K7210&lt;=92),"3개월",
 AND(K7210&gt;=58,K7210&lt;=62),"2개월",
 AND(K7210&gt;=28,K7210&lt;=32),"1개월",
 AND(K7210=0),"당월",
 TRUE,"그외"
)</f>
        <v>3개월</v>
      </c>
    </row>
    <row r="7211" spans="1:12" x14ac:dyDescent="0.3">
      <c r="A7211" s="5">
        <v>45809</v>
      </c>
      <c r="B7211" s="6" t="s">
        <v>60</v>
      </c>
      <c r="C7211" s="6" t="s">
        <v>68</v>
      </c>
      <c r="D7211" s="5">
        <v>45748</v>
      </c>
      <c r="E7211" s="6" t="s">
        <v>14</v>
      </c>
      <c r="F7211" s="7">
        <v>51</v>
      </c>
      <c r="G7211" s="7">
        <v>187323.5294117647</v>
      </c>
      <c r="H7211" s="7">
        <v>9553500</v>
      </c>
      <c r="I7211" s="7">
        <v>1402500</v>
      </c>
      <c r="J7211" s="7">
        <v>0</v>
      </c>
      <c r="K7211">
        <f t="shared" si="112"/>
        <v>61</v>
      </c>
      <c r="L7211" s="8" t="str" cm="1">
        <f t="array" ref="L7211">_xlfn.IFS(
 AND(K7211&gt;=89,K7211&lt;=92),"3개월",
 AND(K7211&gt;=58,K7211&lt;=62),"2개월",
 AND(K7211&gt;=28,K7211&lt;=32),"1개월",
 AND(K7211=0),"당월",
 TRUE,"그외"
)</f>
        <v>2개월</v>
      </c>
    </row>
    <row r="7212" spans="1:12" x14ac:dyDescent="0.3">
      <c r="A7212" s="5">
        <v>45809</v>
      </c>
      <c r="B7212" s="6" t="s">
        <v>60</v>
      </c>
      <c r="C7212" s="6" t="s">
        <v>68</v>
      </c>
      <c r="D7212" s="5">
        <v>45748</v>
      </c>
      <c r="E7212" s="6" t="s">
        <v>15</v>
      </c>
      <c r="F7212" s="7">
        <v>61</v>
      </c>
      <c r="G7212" s="7">
        <v>184604.9180327869</v>
      </c>
      <c r="H7212" s="7">
        <v>11260900</v>
      </c>
      <c r="I7212" s="7">
        <v>1677500</v>
      </c>
      <c r="J7212" s="7">
        <v>0</v>
      </c>
      <c r="K7212">
        <f t="shared" si="112"/>
        <v>61</v>
      </c>
      <c r="L7212" s="8" t="str" cm="1">
        <f t="array" ref="L7212">_xlfn.IFS(
 AND(K7212&gt;=89,K7212&lt;=92),"3개월",
 AND(K7212&gt;=58,K7212&lt;=62),"2개월",
 AND(K7212&gt;=28,K7212&lt;=32),"1개월",
 AND(K7212=0),"당월",
 TRUE,"그외"
)</f>
        <v>2개월</v>
      </c>
    </row>
    <row r="7213" spans="1:12" x14ac:dyDescent="0.3">
      <c r="A7213" s="5">
        <v>45809</v>
      </c>
      <c r="B7213" s="6" t="s">
        <v>60</v>
      </c>
      <c r="C7213" s="6" t="s">
        <v>68</v>
      </c>
      <c r="D7213" s="5">
        <v>45778</v>
      </c>
      <c r="E7213" s="6" t="s">
        <v>15</v>
      </c>
      <c r="F7213" s="7">
        <v>18</v>
      </c>
      <c r="G7213" s="7">
        <v>194555.55555555559</v>
      </c>
      <c r="H7213" s="7">
        <v>3502000</v>
      </c>
      <c r="I7213" s="7">
        <v>457000</v>
      </c>
      <c r="J7213" s="7">
        <v>0</v>
      </c>
      <c r="K7213">
        <f t="shared" si="112"/>
        <v>31</v>
      </c>
      <c r="L7213" s="8" t="str" cm="1">
        <f t="array" ref="L7213">_xlfn.IFS(
 AND(K7213&gt;=89,K7213&lt;=92),"3개월",
 AND(K7213&gt;=58,K7213&lt;=62),"2개월",
 AND(K7213&gt;=28,K7213&lt;=32),"1개월",
 AND(K7213=0),"당월",
 TRUE,"그외"
)</f>
        <v>1개월</v>
      </c>
    </row>
    <row r="7214" spans="1:12" x14ac:dyDescent="0.3">
      <c r="A7214" s="5">
        <v>45809</v>
      </c>
      <c r="B7214" s="6" t="s">
        <v>60</v>
      </c>
      <c r="C7214" s="6" t="s">
        <v>69</v>
      </c>
      <c r="D7214" s="5">
        <v>45717</v>
      </c>
      <c r="E7214" s="6" t="s">
        <v>14</v>
      </c>
      <c r="F7214" s="7">
        <v>7</v>
      </c>
      <c r="G7214" s="7">
        <v>133100</v>
      </c>
      <c r="H7214" s="7">
        <v>931700</v>
      </c>
      <c r="I7214" s="7">
        <v>224700</v>
      </c>
      <c r="J7214" s="7">
        <v>0</v>
      </c>
      <c r="K7214">
        <f t="shared" si="112"/>
        <v>92</v>
      </c>
      <c r="L7214" s="8" t="str" cm="1">
        <f t="array" ref="L7214">_xlfn.IFS(
 AND(K7214&gt;=89,K7214&lt;=92),"3개월",
 AND(K7214&gt;=58,K7214&lt;=62),"2개월",
 AND(K7214&gt;=28,K7214&lt;=32),"1개월",
 AND(K7214=0),"당월",
 TRUE,"그외"
)</f>
        <v>3개월</v>
      </c>
    </row>
    <row r="7215" spans="1:12" x14ac:dyDescent="0.3">
      <c r="A7215" s="5">
        <v>45809</v>
      </c>
      <c r="B7215" s="6" t="s">
        <v>60</v>
      </c>
      <c r="C7215" s="6" t="s">
        <v>69</v>
      </c>
      <c r="D7215" s="5">
        <v>45717</v>
      </c>
      <c r="E7215" s="6" t="s">
        <v>15</v>
      </c>
      <c r="F7215" s="7">
        <v>3</v>
      </c>
      <c r="G7215" s="7">
        <v>174677.33333333331</v>
      </c>
      <c r="H7215" s="7">
        <v>524032</v>
      </c>
      <c r="I7215" s="7">
        <v>119207</v>
      </c>
      <c r="J7215" s="7">
        <v>0</v>
      </c>
      <c r="K7215">
        <f t="shared" si="112"/>
        <v>92</v>
      </c>
      <c r="L7215" s="8" t="str" cm="1">
        <f t="array" ref="L7215">_xlfn.IFS(
 AND(K7215&gt;=89,K7215&lt;=92),"3개월",
 AND(K7215&gt;=58,K7215&lt;=62),"2개월",
 AND(K7215&gt;=28,K7215&lt;=32),"1개월",
 AND(K7215=0),"당월",
 TRUE,"그외"
)</f>
        <v>3개월</v>
      </c>
    </row>
    <row r="7216" spans="1:12" x14ac:dyDescent="0.3">
      <c r="A7216" s="5">
        <v>45809</v>
      </c>
      <c r="B7216" s="6" t="s">
        <v>60</v>
      </c>
      <c r="C7216" s="6" t="s">
        <v>69</v>
      </c>
      <c r="D7216" s="5">
        <v>45748</v>
      </c>
      <c r="E7216" s="6" t="s">
        <v>14</v>
      </c>
      <c r="F7216" s="7">
        <v>7</v>
      </c>
      <c r="G7216" s="7">
        <v>128928.57142857141</v>
      </c>
      <c r="H7216" s="7">
        <v>902500</v>
      </c>
      <c r="I7216" s="7">
        <v>192500</v>
      </c>
      <c r="J7216" s="7">
        <v>0</v>
      </c>
      <c r="K7216">
        <f t="shared" si="112"/>
        <v>61</v>
      </c>
      <c r="L7216" s="8" t="str" cm="1">
        <f t="array" ref="L7216">_xlfn.IFS(
 AND(K7216&gt;=89,K7216&lt;=92),"3개월",
 AND(K7216&gt;=58,K7216&lt;=62),"2개월",
 AND(K7216&gt;=28,K7216&lt;=32),"1개월",
 AND(K7216=0),"당월",
 TRUE,"그외"
)</f>
        <v>2개월</v>
      </c>
    </row>
    <row r="7217" spans="1:12" x14ac:dyDescent="0.3">
      <c r="A7217" s="5">
        <v>45809</v>
      </c>
      <c r="B7217" s="6" t="s">
        <v>60</v>
      </c>
      <c r="C7217" s="6" t="s">
        <v>69</v>
      </c>
      <c r="D7217" s="5">
        <v>45748</v>
      </c>
      <c r="E7217" s="6" t="s">
        <v>15</v>
      </c>
      <c r="F7217" s="7">
        <v>109</v>
      </c>
      <c r="G7217" s="7">
        <v>141010.73394495409</v>
      </c>
      <c r="H7217" s="7">
        <v>15370170</v>
      </c>
      <c r="I7217" s="7">
        <v>3129754</v>
      </c>
      <c r="J7217" s="7">
        <v>0</v>
      </c>
      <c r="K7217">
        <f t="shared" si="112"/>
        <v>61</v>
      </c>
      <c r="L7217" s="8" t="str" cm="1">
        <f t="array" ref="L7217">_xlfn.IFS(
 AND(K7217&gt;=89,K7217&lt;=92),"3개월",
 AND(K7217&gt;=58,K7217&lt;=62),"2개월",
 AND(K7217&gt;=28,K7217&lt;=32),"1개월",
 AND(K7217=0),"당월",
 TRUE,"그외"
)</f>
        <v>2개월</v>
      </c>
    </row>
    <row r="7218" spans="1:12" x14ac:dyDescent="0.3">
      <c r="A7218" s="5">
        <v>45809</v>
      </c>
      <c r="B7218" s="6" t="s">
        <v>60</v>
      </c>
      <c r="C7218" s="6" t="s">
        <v>69</v>
      </c>
      <c r="D7218" s="5">
        <v>45778</v>
      </c>
      <c r="E7218" s="6" t="s">
        <v>15</v>
      </c>
      <c r="F7218" s="7">
        <v>17</v>
      </c>
      <c r="G7218" s="7">
        <v>112919.29411764711</v>
      </c>
      <c r="H7218" s="7">
        <v>1919628</v>
      </c>
      <c r="I7218" s="7">
        <v>442114</v>
      </c>
      <c r="J7218" s="7">
        <v>0</v>
      </c>
      <c r="K7218">
        <f t="shared" si="112"/>
        <v>31</v>
      </c>
      <c r="L7218" s="8" t="str" cm="1">
        <f t="array" ref="L7218">_xlfn.IFS(
 AND(K7218&gt;=89,K7218&lt;=92),"3개월",
 AND(K7218&gt;=58,K7218&lt;=62),"2개월",
 AND(K7218&gt;=28,K7218&lt;=32),"1개월",
 AND(K7218=0),"당월",
 TRUE,"그외"
)</f>
        <v>1개월</v>
      </c>
    </row>
    <row r="7219" spans="1:12" x14ac:dyDescent="0.3">
      <c r="A7219" s="5">
        <v>45809</v>
      </c>
      <c r="B7219" s="6" t="s">
        <v>60</v>
      </c>
      <c r="C7219" s="6" t="s">
        <v>112</v>
      </c>
      <c r="D7219" s="5">
        <v>45627</v>
      </c>
      <c r="E7219" s="6" t="s">
        <v>15</v>
      </c>
      <c r="F7219" s="7">
        <v>26</v>
      </c>
      <c r="G7219" s="7">
        <v>180628.5384615385</v>
      </c>
      <c r="H7219" s="7">
        <v>4696342</v>
      </c>
      <c r="I7219" s="7">
        <v>1672186</v>
      </c>
      <c r="J7219" s="7">
        <v>0</v>
      </c>
      <c r="K7219">
        <f t="shared" si="112"/>
        <v>182</v>
      </c>
      <c r="L7219" s="8" t="str" cm="1">
        <f t="array" ref="L7219">_xlfn.IFS(
 AND(K7219&gt;=89,K7219&lt;=92),"3개월",
 AND(K7219&gt;=58,K7219&lt;=62),"2개월",
 AND(K7219&gt;=28,K7219&lt;=32),"1개월",
 AND(K7219=0),"당월",
 TRUE,"그외"
)</f>
        <v>그외</v>
      </c>
    </row>
    <row r="7220" spans="1:12" x14ac:dyDescent="0.3">
      <c r="A7220" s="5">
        <v>45809</v>
      </c>
      <c r="B7220" s="6" t="s">
        <v>60</v>
      </c>
      <c r="C7220" s="6" t="s">
        <v>112</v>
      </c>
      <c r="D7220" s="5">
        <v>45658</v>
      </c>
      <c r="E7220" s="6" t="s">
        <v>15</v>
      </c>
      <c r="F7220" s="7">
        <v>166</v>
      </c>
      <c r="G7220" s="7">
        <v>150124.68674698801</v>
      </c>
      <c r="H7220" s="7">
        <v>24920698</v>
      </c>
      <c r="I7220" s="7">
        <v>6177308</v>
      </c>
      <c r="J7220" s="7">
        <v>0</v>
      </c>
      <c r="K7220">
        <f t="shared" si="112"/>
        <v>151</v>
      </c>
      <c r="L7220" s="8" t="str" cm="1">
        <f t="array" ref="L7220">_xlfn.IFS(
 AND(K7220&gt;=89,K7220&lt;=92),"3개월",
 AND(K7220&gt;=58,K7220&lt;=62),"2개월",
 AND(K7220&gt;=28,K7220&lt;=32),"1개월",
 AND(K7220=0),"당월",
 TRUE,"그외"
)</f>
        <v>그외</v>
      </c>
    </row>
    <row r="7221" spans="1:12" x14ac:dyDescent="0.3">
      <c r="A7221" s="5">
        <v>45809</v>
      </c>
      <c r="B7221" s="6" t="s">
        <v>60</v>
      </c>
      <c r="C7221" s="6" t="s">
        <v>112</v>
      </c>
      <c r="D7221" s="5">
        <v>45689</v>
      </c>
      <c r="E7221" s="6" t="s">
        <v>14</v>
      </c>
      <c r="F7221" s="7">
        <v>52</v>
      </c>
      <c r="G7221" s="7">
        <v>225519.23076923081</v>
      </c>
      <c r="H7221" s="7">
        <v>11727000</v>
      </c>
      <c r="I7221" s="7">
        <v>1605000</v>
      </c>
      <c r="J7221" s="7">
        <v>0</v>
      </c>
      <c r="K7221">
        <f t="shared" si="112"/>
        <v>120</v>
      </c>
      <c r="L7221" s="8" t="str" cm="1">
        <f t="array" ref="L7221">_xlfn.IFS(
 AND(K7221&gt;=89,K7221&lt;=92),"3개월",
 AND(K7221&gt;=58,K7221&lt;=62),"2개월",
 AND(K7221&gt;=28,K7221&lt;=32),"1개월",
 AND(K7221=0),"당월",
 TRUE,"그외"
)</f>
        <v>그외</v>
      </c>
    </row>
    <row r="7222" spans="1:12" x14ac:dyDescent="0.3">
      <c r="A7222" s="5">
        <v>45809</v>
      </c>
      <c r="B7222" s="6" t="s">
        <v>60</v>
      </c>
      <c r="C7222" s="6" t="s">
        <v>112</v>
      </c>
      <c r="D7222" s="5">
        <v>45689</v>
      </c>
      <c r="E7222" s="6" t="s">
        <v>15</v>
      </c>
      <c r="F7222" s="7">
        <v>386</v>
      </c>
      <c r="G7222" s="7">
        <v>157063.6528497409</v>
      </c>
      <c r="H7222" s="7">
        <v>60626570</v>
      </c>
      <c r="I7222" s="7">
        <v>13076191</v>
      </c>
      <c r="J7222" s="7">
        <v>0</v>
      </c>
      <c r="K7222">
        <f t="shared" si="112"/>
        <v>120</v>
      </c>
      <c r="L7222" s="8" t="str" cm="1">
        <f t="array" ref="L7222">_xlfn.IFS(
 AND(K7222&gt;=89,K7222&lt;=92),"3개월",
 AND(K7222&gt;=58,K7222&lt;=62),"2개월",
 AND(K7222&gt;=28,K7222&lt;=32),"1개월",
 AND(K7222=0),"당월",
 TRUE,"그외"
)</f>
        <v>그외</v>
      </c>
    </row>
    <row r="7223" spans="1:12" x14ac:dyDescent="0.3">
      <c r="A7223" s="5">
        <v>45809</v>
      </c>
      <c r="B7223" s="6" t="s">
        <v>60</v>
      </c>
      <c r="C7223" s="6" t="s">
        <v>112</v>
      </c>
      <c r="D7223" s="5">
        <v>45717</v>
      </c>
      <c r="E7223" s="6" t="s">
        <v>14</v>
      </c>
      <c r="F7223" s="7">
        <v>81</v>
      </c>
      <c r="G7223" s="7">
        <v>98155.555555555562</v>
      </c>
      <c r="H7223" s="7">
        <v>7950600</v>
      </c>
      <c r="I7223" s="7">
        <v>3045600</v>
      </c>
      <c r="J7223" s="7">
        <v>0</v>
      </c>
      <c r="K7223">
        <f t="shared" si="112"/>
        <v>92</v>
      </c>
      <c r="L7223" s="8" t="str" cm="1">
        <f t="array" ref="L7223">_xlfn.IFS(
 AND(K7223&gt;=89,K7223&lt;=92),"3개월",
 AND(K7223&gt;=58,K7223&lt;=62),"2개월",
 AND(K7223&gt;=28,K7223&lt;=32),"1개월",
 AND(K7223=0),"당월",
 TRUE,"그외"
)</f>
        <v>3개월</v>
      </c>
    </row>
    <row r="7224" spans="1:12" x14ac:dyDescent="0.3">
      <c r="A7224" s="5">
        <v>45809</v>
      </c>
      <c r="B7224" s="6" t="s">
        <v>60</v>
      </c>
      <c r="C7224" s="6" t="s">
        <v>112</v>
      </c>
      <c r="D7224" s="5">
        <v>45717</v>
      </c>
      <c r="E7224" s="6" t="s">
        <v>15</v>
      </c>
      <c r="F7224" s="7">
        <v>588</v>
      </c>
      <c r="G7224" s="7">
        <v>147146.15476190479</v>
      </c>
      <c r="H7224" s="7">
        <v>86521939</v>
      </c>
      <c r="I7224" s="7">
        <v>24609216</v>
      </c>
      <c r="J7224" s="7">
        <v>0</v>
      </c>
      <c r="K7224">
        <f t="shared" si="112"/>
        <v>92</v>
      </c>
      <c r="L7224" s="8" t="str" cm="1">
        <f t="array" ref="L7224">_xlfn.IFS(
 AND(K7224&gt;=89,K7224&lt;=92),"3개월",
 AND(K7224&gt;=58,K7224&lt;=62),"2개월",
 AND(K7224&gt;=28,K7224&lt;=32),"1개월",
 AND(K7224=0),"당월",
 TRUE,"그외"
)</f>
        <v>3개월</v>
      </c>
    </row>
    <row r="7225" spans="1:12" x14ac:dyDescent="0.3">
      <c r="A7225" s="5">
        <v>45809</v>
      </c>
      <c r="B7225" s="6" t="s">
        <v>60</v>
      </c>
      <c r="C7225" s="6" t="s">
        <v>112</v>
      </c>
      <c r="D7225" s="5">
        <v>45748</v>
      </c>
      <c r="E7225" s="6" t="s">
        <v>14</v>
      </c>
      <c r="F7225" s="7">
        <v>947</v>
      </c>
      <c r="G7225" s="7">
        <v>109504.1351636748</v>
      </c>
      <c r="H7225" s="7">
        <v>103700416</v>
      </c>
      <c r="I7225" s="7">
        <v>27755978</v>
      </c>
      <c r="J7225" s="7">
        <v>0</v>
      </c>
      <c r="K7225">
        <f t="shared" si="112"/>
        <v>61</v>
      </c>
      <c r="L7225" s="8" t="str" cm="1">
        <f t="array" ref="L7225">_xlfn.IFS(
 AND(K7225&gt;=89,K7225&lt;=92),"3개월",
 AND(K7225&gt;=58,K7225&lt;=62),"2개월",
 AND(K7225&gt;=28,K7225&lt;=32),"1개월",
 AND(K7225=0),"당월",
 TRUE,"그외"
)</f>
        <v>2개월</v>
      </c>
    </row>
    <row r="7226" spans="1:12" x14ac:dyDescent="0.3">
      <c r="A7226" s="5">
        <v>45809</v>
      </c>
      <c r="B7226" s="6" t="s">
        <v>60</v>
      </c>
      <c r="C7226" s="6" t="s">
        <v>112</v>
      </c>
      <c r="D7226" s="5">
        <v>45748</v>
      </c>
      <c r="E7226" s="6" t="s">
        <v>15</v>
      </c>
      <c r="F7226" s="7">
        <v>1642</v>
      </c>
      <c r="G7226" s="7">
        <v>108124.5962241169</v>
      </c>
      <c r="H7226" s="7">
        <v>177540587</v>
      </c>
      <c r="I7226" s="7">
        <v>49497112</v>
      </c>
      <c r="J7226" s="7">
        <v>0</v>
      </c>
      <c r="K7226">
        <f t="shared" si="112"/>
        <v>61</v>
      </c>
      <c r="L7226" s="8" t="str" cm="1">
        <f t="array" ref="L7226">_xlfn.IFS(
 AND(K7226&gt;=89,K7226&lt;=92),"3개월",
 AND(K7226&gt;=58,K7226&lt;=62),"2개월",
 AND(K7226&gt;=28,K7226&lt;=32),"1개월",
 AND(K7226=0),"당월",
 TRUE,"그외"
)</f>
        <v>2개월</v>
      </c>
    </row>
    <row r="7227" spans="1:12" x14ac:dyDescent="0.3">
      <c r="A7227" s="5">
        <v>45809</v>
      </c>
      <c r="B7227" s="6" t="s">
        <v>60</v>
      </c>
      <c r="C7227" s="6" t="s">
        <v>112</v>
      </c>
      <c r="D7227" s="5">
        <v>45778</v>
      </c>
      <c r="E7227" s="6" t="s">
        <v>14</v>
      </c>
      <c r="F7227" s="7">
        <v>106</v>
      </c>
      <c r="G7227" s="7">
        <v>108552.8301886792</v>
      </c>
      <c r="H7227" s="7">
        <v>11506600</v>
      </c>
      <c r="I7227" s="7">
        <v>2332600</v>
      </c>
      <c r="J7227" s="7">
        <v>0</v>
      </c>
      <c r="K7227">
        <f t="shared" si="112"/>
        <v>31</v>
      </c>
      <c r="L7227" s="8" t="str" cm="1">
        <f t="array" ref="L7227">_xlfn.IFS(
 AND(K7227&gt;=89,K7227&lt;=92),"3개월",
 AND(K7227&gt;=58,K7227&lt;=62),"2개월",
 AND(K7227&gt;=28,K7227&lt;=32),"1개월",
 AND(K7227=0),"당월",
 TRUE,"그외"
)</f>
        <v>1개월</v>
      </c>
    </row>
    <row r="7228" spans="1:12" x14ac:dyDescent="0.3">
      <c r="A7228" s="5">
        <v>45809</v>
      </c>
      <c r="B7228" s="6" t="s">
        <v>60</v>
      </c>
      <c r="C7228" s="6" t="s">
        <v>112</v>
      </c>
      <c r="D7228" s="5">
        <v>45778</v>
      </c>
      <c r="E7228" s="6" t="s">
        <v>15</v>
      </c>
      <c r="F7228" s="7">
        <v>511</v>
      </c>
      <c r="G7228" s="7">
        <v>106158.14481409</v>
      </c>
      <c r="H7228" s="7">
        <v>54246812</v>
      </c>
      <c r="I7228" s="7">
        <v>12959738</v>
      </c>
      <c r="J7228" s="7">
        <v>0</v>
      </c>
      <c r="K7228">
        <f t="shared" si="112"/>
        <v>31</v>
      </c>
      <c r="L7228" s="8" t="str" cm="1">
        <f t="array" ref="L7228">_xlfn.IFS(
 AND(K7228&gt;=89,K7228&lt;=92),"3개월",
 AND(K7228&gt;=58,K7228&lt;=62),"2개월",
 AND(K7228&gt;=28,K7228&lt;=32),"1개월",
 AND(K7228=0),"당월",
 TRUE,"그외"
)</f>
        <v>1개월</v>
      </c>
    </row>
    <row r="7229" spans="1:12" x14ac:dyDescent="0.3">
      <c r="A7229" s="5">
        <v>45809</v>
      </c>
      <c r="B7229" s="6" t="s">
        <v>60</v>
      </c>
      <c r="C7229" s="6" t="s">
        <v>72</v>
      </c>
      <c r="D7229" s="5">
        <v>45627</v>
      </c>
      <c r="E7229" s="6" t="s">
        <v>15</v>
      </c>
      <c r="F7229" s="7">
        <v>20</v>
      </c>
      <c r="G7229" s="7">
        <v>188000</v>
      </c>
      <c r="H7229" s="7">
        <v>3760000</v>
      </c>
      <c r="I7229" s="7">
        <v>470000</v>
      </c>
      <c r="J7229" s="7">
        <v>0</v>
      </c>
      <c r="K7229">
        <f t="shared" si="112"/>
        <v>182</v>
      </c>
      <c r="L7229" s="8" t="str" cm="1">
        <f t="array" ref="L7229">_xlfn.IFS(
 AND(K7229&gt;=89,K7229&lt;=92),"3개월",
 AND(K7229&gt;=58,K7229&lt;=62),"2개월",
 AND(K7229&gt;=28,K7229&lt;=32),"1개월",
 AND(K7229=0),"당월",
 TRUE,"그외"
)</f>
        <v>그외</v>
      </c>
    </row>
    <row r="7230" spans="1:12" x14ac:dyDescent="0.3">
      <c r="A7230" s="5">
        <v>45809</v>
      </c>
      <c r="B7230" s="6" t="s">
        <v>60</v>
      </c>
      <c r="C7230" s="6" t="s">
        <v>72</v>
      </c>
      <c r="D7230" s="5">
        <v>45658</v>
      </c>
      <c r="E7230" s="6" t="s">
        <v>15</v>
      </c>
      <c r="F7230" s="7">
        <v>148</v>
      </c>
      <c r="G7230" s="7">
        <v>171135.67567567571</v>
      </c>
      <c r="H7230" s="7">
        <v>25328080</v>
      </c>
      <c r="I7230" s="7">
        <v>3514078</v>
      </c>
      <c r="J7230" s="7">
        <v>0</v>
      </c>
      <c r="K7230">
        <f t="shared" si="112"/>
        <v>151</v>
      </c>
      <c r="L7230" s="8" t="str" cm="1">
        <f t="array" ref="L7230">_xlfn.IFS(
 AND(K7230&gt;=89,K7230&lt;=92),"3개월",
 AND(K7230&gt;=58,K7230&lt;=62),"2개월",
 AND(K7230&gt;=28,K7230&lt;=32),"1개월",
 AND(K7230=0),"당월",
 TRUE,"그외"
)</f>
        <v>그외</v>
      </c>
    </row>
    <row r="7231" spans="1:12" x14ac:dyDescent="0.3">
      <c r="A7231" s="5">
        <v>45809</v>
      </c>
      <c r="B7231" s="6" t="s">
        <v>60</v>
      </c>
      <c r="C7231" s="6" t="s">
        <v>72</v>
      </c>
      <c r="D7231" s="5">
        <v>45689</v>
      </c>
      <c r="E7231" s="6" t="s">
        <v>14</v>
      </c>
      <c r="F7231" s="7">
        <v>21</v>
      </c>
      <c r="G7231" s="7">
        <v>175800</v>
      </c>
      <c r="H7231" s="7">
        <v>3691800</v>
      </c>
      <c r="I7231" s="7">
        <v>520800</v>
      </c>
      <c r="J7231" s="7">
        <v>0</v>
      </c>
      <c r="K7231">
        <f t="shared" si="112"/>
        <v>120</v>
      </c>
      <c r="L7231" s="8" t="str" cm="1">
        <f t="array" ref="L7231">_xlfn.IFS(
 AND(K7231&gt;=89,K7231&lt;=92),"3개월",
 AND(K7231&gt;=58,K7231&lt;=62),"2개월",
 AND(K7231&gt;=28,K7231&lt;=32),"1개월",
 AND(K7231=0),"당월",
 TRUE,"그외"
)</f>
        <v>그외</v>
      </c>
    </row>
    <row r="7232" spans="1:12" x14ac:dyDescent="0.3">
      <c r="A7232" s="5">
        <v>45809</v>
      </c>
      <c r="B7232" s="6" t="s">
        <v>60</v>
      </c>
      <c r="C7232" s="6" t="s">
        <v>72</v>
      </c>
      <c r="D7232" s="5">
        <v>45689</v>
      </c>
      <c r="E7232" s="6" t="s">
        <v>15</v>
      </c>
      <c r="F7232" s="7">
        <v>370</v>
      </c>
      <c r="G7232" s="7">
        <v>171865.04324324321</v>
      </c>
      <c r="H7232" s="7">
        <v>63590066</v>
      </c>
      <c r="I7232" s="7">
        <v>9134532</v>
      </c>
      <c r="J7232" s="7">
        <v>0</v>
      </c>
      <c r="K7232">
        <f t="shared" si="112"/>
        <v>120</v>
      </c>
      <c r="L7232" s="8" t="str" cm="1">
        <f t="array" ref="L7232">_xlfn.IFS(
 AND(K7232&gt;=89,K7232&lt;=92),"3개월",
 AND(K7232&gt;=58,K7232&lt;=62),"2개월",
 AND(K7232&gt;=28,K7232&lt;=32),"1개월",
 AND(K7232=0),"당월",
 TRUE,"그외"
)</f>
        <v>그외</v>
      </c>
    </row>
    <row r="7233" spans="1:12" x14ac:dyDescent="0.3">
      <c r="A7233" s="5">
        <v>45809</v>
      </c>
      <c r="B7233" s="6" t="s">
        <v>60</v>
      </c>
      <c r="C7233" s="6" t="s">
        <v>72</v>
      </c>
      <c r="D7233" s="5">
        <v>45717</v>
      </c>
      <c r="E7233" s="6" t="s">
        <v>14</v>
      </c>
      <c r="F7233" s="7">
        <v>28</v>
      </c>
      <c r="G7233" s="7">
        <v>244900</v>
      </c>
      <c r="H7233" s="7">
        <v>6857200</v>
      </c>
      <c r="I7233" s="7">
        <v>809200</v>
      </c>
      <c r="J7233" s="7">
        <v>0</v>
      </c>
      <c r="K7233">
        <f t="shared" si="112"/>
        <v>92</v>
      </c>
      <c r="L7233" s="8" t="str" cm="1">
        <f t="array" ref="L7233">_xlfn.IFS(
 AND(K7233&gt;=89,K7233&lt;=92),"3개월",
 AND(K7233&gt;=58,K7233&lt;=62),"2개월",
 AND(K7233&gt;=28,K7233&lt;=32),"1개월",
 AND(K7233=0),"당월",
 TRUE,"그외"
)</f>
        <v>3개월</v>
      </c>
    </row>
    <row r="7234" spans="1:12" x14ac:dyDescent="0.3">
      <c r="A7234" s="5">
        <v>45809</v>
      </c>
      <c r="B7234" s="6" t="s">
        <v>60</v>
      </c>
      <c r="C7234" s="6" t="s">
        <v>72</v>
      </c>
      <c r="D7234" s="5">
        <v>45717</v>
      </c>
      <c r="E7234" s="6" t="s">
        <v>15</v>
      </c>
      <c r="F7234" s="7">
        <v>770</v>
      </c>
      <c r="G7234" s="7">
        <v>189350.19220779219</v>
      </c>
      <c r="H7234" s="7">
        <v>145799648</v>
      </c>
      <c r="I7234" s="7">
        <v>22124359</v>
      </c>
      <c r="J7234" s="7">
        <v>0</v>
      </c>
      <c r="K7234">
        <f t="shared" si="112"/>
        <v>92</v>
      </c>
      <c r="L7234" s="8" t="str" cm="1">
        <f t="array" ref="L7234">_xlfn.IFS(
 AND(K7234&gt;=89,K7234&lt;=92),"3개월",
 AND(K7234&gt;=58,K7234&lt;=62),"2개월",
 AND(K7234&gt;=28,K7234&lt;=32),"1개월",
 AND(K7234=0),"당월",
 TRUE,"그외"
)</f>
        <v>3개월</v>
      </c>
    </row>
    <row r="7235" spans="1:12" x14ac:dyDescent="0.3">
      <c r="A7235" s="5">
        <v>45809</v>
      </c>
      <c r="B7235" s="6" t="s">
        <v>60</v>
      </c>
      <c r="C7235" s="6" t="s">
        <v>72</v>
      </c>
      <c r="D7235" s="5">
        <v>45748</v>
      </c>
      <c r="E7235" s="6" t="s">
        <v>14</v>
      </c>
      <c r="F7235" s="7">
        <v>491</v>
      </c>
      <c r="G7235" s="7">
        <v>154184.72505091649</v>
      </c>
      <c r="H7235" s="7">
        <v>75704700</v>
      </c>
      <c r="I7235" s="7">
        <v>10654700</v>
      </c>
      <c r="J7235" s="7">
        <v>0</v>
      </c>
      <c r="K7235">
        <f t="shared" si="112"/>
        <v>61</v>
      </c>
      <c r="L7235" s="8" t="str" cm="1">
        <f t="array" ref="L7235">_xlfn.IFS(
 AND(K7235&gt;=89,K7235&lt;=92),"3개월",
 AND(K7235&gt;=58,K7235&lt;=62),"2개월",
 AND(K7235&gt;=28,K7235&lt;=32),"1개월",
 AND(K7235=0),"당월",
 TRUE,"그외"
)</f>
        <v>2개월</v>
      </c>
    </row>
    <row r="7236" spans="1:12" x14ac:dyDescent="0.3">
      <c r="A7236" s="5">
        <v>45809</v>
      </c>
      <c r="B7236" s="6" t="s">
        <v>60</v>
      </c>
      <c r="C7236" s="6" t="s">
        <v>72</v>
      </c>
      <c r="D7236" s="5">
        <v>45748</v>
      </c>
      <c r="E7236" s="6" t="s">
        <v>15</v>
      </c>
      <c r="F7236" s="7">
        <v>1536</v>
      </c>
      <c r="G7236" s="7">
        <v>163867.64713541669</v>
      </c>
      <c r="H7236" s="7">
        <v>251700706</v>
      </c>
      <c r="I7236" s="7">
        <v>32948538</v>
      </c>
      <c r="J7236" s="7">
        <v>0</v>
      </c>
      <c r="K7236">
        <f t="shared" si="112"/>
        <v>61</v>
      </c>
      <c r="L7236" s="8" t="str" cm="1">
        <f t="array" ref="L7236">_xlfn.IFS(
 AND(K7236&gt;=89,K7236&lt;=92),"3개월",
 AND(K7236&gt;=58,K7236&lt;=62),"2개월",
 AND(K7236&gt;=28,K7236&lt;=32),"1개월",
 AND(K7236=0),"당월",
 TRUE,"그외"
)</f>
        <v>2개월</v>
      </c>
    </row>
    <row r="7237" spans="1:12" x14ac:dyDescent="0.3">
      <c r="A7237" s="5">
        <v>45809</v>
      </c>
      <c r="B7237" s="6" t="s">
        <v>60</v>
      </c>
      <c r="C7237" s="6" t="s">
        <v>72</v>
      </c>
      <c r="D7237" s="5">
        <v>45778</v>
      </c>
      <c r="E7237" s="6" t="s">
        <v>14</v>
      </c>
      <c r="F7237" s="7">
        <v>169</v>
      </c>
      <c r="G7237" s="7">
        <v>106304.7337278107</v>
      </c>
      <c r="H7237" s="7">
        <v>17965500</v>
      </c>
      <c r="I7237" s="7">
        <v>2957500</v>
      </c>
      <c r="J7237" s="7">
        <v>0</v>
      </c>
      <c r="K7237">
        <f t="shared" si="112"/>
        <v>31</v>
      </c>
      <c r="L7237" s="8" t="str" cm="1">
        <f t="array" ref="L7237">_xlfn.IFS(
 AND(K7237&gt;=89,K7237&lt;=92),"3개월",
 AND(K7237&gt;=58,K7237&lt;=62),"2개월",
 AND(K7237&gt;=28,K7237&lt;=32),"1개월",
 AND(K7237=0),"당월",
 TRUE,"그외"
)</f>
        <v>1개월</v>
      </c>
    </row>
    <row r="7238" spans="1:12" x14ac:dyDescent="0.3">
      <c r="A7238" s="5">
        <v>45809</v>
      </c>
      <c r="B7238" s="6" t="s">
        <v>60</v>
      </c>
      <c r="C7238" s="6" t="s">
        <v>72</v>
      </c>
      <c r="D7238" s="5">
        <v>45778</v>
      </c>
      <c r="E7238" s="6" t="s">
        <v>15</v>
      </c>
      <c r="F7238" s="7">
        <v>380</v>
      </c>
      <c r="G7238" s="7">
        <v>146134.68947368421</v>
      </c>
      <c r="H7238" s="7">
        <v>55531182</v>
      </c>
      <c r="I7238" s="7">
        <v>6648383</v>
      </c>
      <c r="J7238" s="7">
        <v>0</v>
      </c>
      <c r="K7238">
        <f t="shared" si="112"/>
        <v>31</v>
      </c>
      <c r="L7238" s="8" t="str" cm="1">
        <f t="array" ref="L7238">_xlfn.IFS(
 AND(K7238&gt;=89,K7238&lt;=92),"3개월",
 AND(K7238&gt;=58,K7238&lt;=62),"2개월",
 AND(K7238&gt;=28,K7238&lt;=32),"1개월",
 AND(K7238=0),"당월",
 TRUE,"그외"
)</f>
        <v>1개월</v>
      </c>
    </row>
    <row r="7239" spans="1:12" x14ac:dyDescent="0.3">
      <c r="A7239" s="5">
        <v>45809</v>
      </c>
      <c r="B7239" s="6" t="s">
        <v>75</v>
      </c>
      <c r="C7239" s="6" t="s">
        <v>124</v>
      </c>
      <c r="D7239" s="5">
        <v>45627</v>
      </c>
      <c r="E7239" s="6" t="s">
        <v>15</v>
      </c>
      <c r="F7239" s="7">
        <v>34</v>
      </c>
      <c r="G7239" s="7">
        <v>160647.0588235294</v>
      </c>
      <c r="H7239" s="7">
        <v>5462000</v>
      </c>
      <c r="I7239" s="7">
        <v>1037000</v>
      </c>
      <c r="J7239" s="7">
        <v>0</v>
      </c>
      <c r="K7239">
        <f t="shared" si="112"/>
        <v>182</v>
      </c>
      <c r="L7239" s="8" t="str" cm="1">
        <f t="array" ref="L7239">_xlfn.IFS(
 AND(K7239&gt;=89,K7239&lt;=92),"3개월",
 AND(K7239&gt;=58,K7239&lt;=62),"2개월",
 AND(K7239&gt;=28,K7239&lt;=32),"1개월",
 AND(K7239=0),"당월",
 TRUE,"그외"
)</f>
        <v>그외</v>
      </c>
    </row>
    <row r="7240" spans="1:12" x14ac:dyDescent="0.3">
      <c r="A7240" s="5">
        <v>45809</v>
      </c>
      <c r="B7240" s="6" t="s">
        <v>75</v>
      </c>
      <c r="C7240" s="6" t="s">
        <v>124</v>
      </c>
      <c r="D7240" s="5">
        <v>45658</v>
      </c>
      <c r="E7240" s="6" t="s">
        <v>15</v>
      </c>
      <c r="F7240" s="7">
        <v>90</v>
      </c>
      <c r="G7240" s="7">
        <v>174191.1777777778</v>
      </c>
      <c r="H7240" s="7">
        <v>15677206</v>
      </c>
      <c r="I7240" s="7">
        <v>3086428</v>
      </c>
      <c r="J7240" s="7">
        <v>0</v>
      </c>
      <c r="K7240">
        <f t="shared" si="112"/>
        <v>151</v>
      </c>
      <c r="L7240" s="8" t="str" cm="1">
        <f t="array" ref="L7240">_xlfn.IFS(
 AND(K7240&gt;=89,K7240&lt;=92),"3개월",
 AND(K7240&gt;=58,K7240&lt;=62),"2개월",
 AND(K7240&gt;=28,K7240&lt;=32),"1개월",
 AND(K7240=0),"당월",
 TRUE,"그외"
)</f>
        <v>그외</v>
      </c>
    </row>
    <row r="7241" spans="1:12" x14ac:dyDescent="0.3">
      <c r="A7241" s="5">
        <v>45809</v>
      </c>
      <c r="B7241" s="6" t="s">
        <v>75</v>
      </c>
      <c r="C7241" s="6" t="s">
        <v>124</v>
      </c>
      <c r="D7241" s="5">
        <v>45689</v>
      </c>
      <c r="E7241" s="6" t="s">
        <v>14</v>
      </c>
      <c r="F7241" s="7">
        <v>214</v>
      </c>
      <c r="G7241" s="7">
        <v>154333.6448598131</v>
      </c>
      <c r="H7241" s="7">
        <v>33027400</v>
      </c>
      <c r="I7241" s="7">
        <v>6869400</v>
      </c>
      <c r="J7241" s="7">
        <v>0</v>
      </c>
      <c r="K7241">
        <f t="shared" si="112"/>
        <v>120</v>
      </c>
      <c r="L7241" s="8" t="str" cm="1">
        <f t="array" ref="L7241">_xlfn.IFS(
 AND(K7241&gt;=89,K7241&lt;=92),"3개월",
 AND(K7241&gt;=58,K7241&lt;=62),"2개월",
 AND(K7241&gt;=28,K7241&lt;=32),"1개월",
 AND(K7241=0),"당월",
 TRUE,"그외"
)</f>
        <v>그외</v>
      </c>
    </row>
    <row r="7242" spans="1:12" x14ac:dyDescent="0.3">
      <c r="A7242" s="5">
        <v>45809</v>
      </c>
      <c r="B7242" s="6" t="s">
        <v>75</v>
      </c>
      <c r="C7242" s="6" t="s">
        <v>124</v>
      </c>
      <c r="D7242" s="5">
        <v>45689</v>
      </c>
      <c r="E7242" s="6" t="s">
        <v>15</v>
      </c>
      <c r="F7242" s="7">
        <v>168</v>
      </c>
      <c r="G7242" s="7">
        <v>173583.30357142861</v>
      </c>
      <c r="H7242" s="7">
        <v>29161995</v>
      </c>
      <c r="I7242" s="7">
        <v>5822519</v>
      </c>
      <c r="J7242" s="7">
        <v>0</v>
      </c>
      <c r="K7242">
        <f t="shared" ref="K7242:K7305" si="113">A7242-D7242</f>
        <v>120</v>
      </c>
      <c r="L7242" s="8" t="str" cm="1">
        <f t="array" ref="L7242">_xlfn.IFS(
 AND(K7242&gt;=89,K7242&lt;=92),"3개월",
 AND(K7242&gt;=58,K7242&lt;=62),"2개월",
 AND(K7242&gt;=28,K7242&lt;=32),"1개월",
 AND(K7242=0),"당월",
 TRUE,"그외"
)</f>
        <v>그외</v>
      </c>
    </row>
    <row r="7243" spans="1:12" x14ac:dyDescent="0.3">
      <c r="A7243" s="5">
        <v>45809</v>
      </c>
      <c r="B7243" s="6" t="s">
        <v>75</v>
      </c>
      <c r="C7243" s="6" t="s">
        <v>124</v>
      </c>
      <c r="D7243" s="5">
        <v>45717</v>
      </c>
      <c r="E7243" s="6" t="s">
        <v>14</v>
      </c>
      <c r="F7243" s="7">
        <v>34</v>
      </c>
      <c r="G7243" s="7">
        <v>132805.8823529412</v>
      </c>
      <c r="H7243" s="7">
        <v>4515400</v>
      </c>
      <c r="I7243" s="7">
        <v>1267400</v>
      </c>
      <c r="J7243" s="7">
        <v>0</v>
      </c>
      <c r="K7243">
        <f t="shared" si="113"/>
        <v>92</v>
      </c>
      <c r="L7243" s="8" t="str" cm="1">
        <f t="array" ref="L7243">_xlfn.IFS(
 AND(K7243&gt;=89,K7243&lt;=92),"3개월",
 AND(K7243&gt;=58,K7243&lt;=62),"2개월",
 AND(K7243&gt;=28,K7243&lt;=32),"1개월",
 AND(K7243=0),"당월",
 TRUE,"그외"
)</f>
        <v>3개월</v>
      </c>
    </row>
    <row r="7244" spans="1:12" x14ac:dyDescent="0.3">
      <c r="A7244" s="5">
        <v>45809</v>
      </c>
      <c r="B7244" s="6" t="s">
        <v>75</v>
      </c>
      <c r="C7244" s="6" t="s">
        <v>124</v>
      </c>
      <c r="D7244" s="5">
        <v>45717</v>
      </c>
      <c r="E7244" s="6" t="s">
        <v>15</v>
      </c>
      <c r="F7244" s="7">
        <v>160</v>
      </c>
      <c r="G7244" s="7">
        <v>206701.22500000001</v>
      </c>
      <c r="H7244" s="7">
        <v>33072196</v>
      </c>
      <c r="I7244" s="7">
        <v>5986570</v>
      </c>
      <c r="J7244" s="7">
        <v>0</v>
      </c>
      <c r="K7244">
        <f t="shared" si="113"/>
        <v>92</v>
      </c>
      <c r="L7244" s="8" t="str" cm="1">
        <f t="array" ref="L7244">_xlfn.IFS(
 AND(K7244&gt;=89,K7244&lt;=92),"3개월",
 AND(K7244&gt;=58,K7244&lt;=62),"2개월",
 AND(K7244&gt;=28,K7244&lt;=32),"1개월",
 AND(K7244=0),"당월",
 TRUE,"그외"
)</f>
        <v>3개월</v>
      </c>
    </row>
    <row r="7245" spans="1:12" x14ac:dyDescent="0.3">
      <c r="A7245" s="5">
        <v>45809</v>
      </c>
      <c r="B7245" s="6" t="s">
        <v>75</v>
      </c>
      <c r="C7245" s="6" t="s">
        <v>124</v>
      </c>
      <c r="D7245" s="5">
        <v>45748</v>
      </c>
      <c r="E7245" s="6" t="s">
        <v>14</v>
      </c>
      <c r="F7245" s="7">
        <v>504</v>
      </c>
      <c r="G7245" s="7">
        <v>93208.333333333328</v>
      </c>
      <c r="H7245" s="7">
        <v>46977000</v>
      </c>
      <c r="I7245" s="7">
        <v>13860000</v>
      </c>
      <c r="J7245" s="7">
        <v>0</v>
      </c>
      <c r="K7245">
        <f t="shared" si="113"/>
        <v>61</v>
      </c>
      <c r="L7245" s="8" t="str" cm="1">
        <f t="array" ref="L7245">_xlfn.IFS(
 AND(K7245&gt;=89,K7245&lt;=92),"3개월",
 AND(K7245&gt;=58,K7245&lt;=62),"2개월",
 AND(K7245&gt;=28,K7245&lt;=32),"1개월",
 AND(K7245=0),"당월",
 TRUE,"그외"
)</f>
        <v>2개월</v>
      </c>
    </row>
    <row r="7246" spans="1:12" x14ac:dyDescent="0.3">
      <c r="A7246" s="5">
        <v>45809</v>
      </c>
      <c r="B7246" s="6" t="s">
        <v>75</v>
      </c>
      <c r="C7246" s="6" t="s">
        <v>124</v>
      </c>
      <c r="D7246" s="5">
        <v>45748</v>
      </c>
      <c r="E7246" s="6" t="s">
        <v>15</v>
      </c>
      <c r="F7246" s="7">
        <v>414</v>
      </c>
      <c r="G7246" s="7">
        <v>180228.24879227049</v>
      </c>
      <c r="H7246" s="7">
        <v>74614495</v>
      </c>
      <c r="I7246" s="7">
        <v>12170803</v>
      </c>
      <c r="J7246" s="7">
        <v>0</v>
      </c>
      <c r="K7246">
        <f t="shared" si="113"/>
        <v>61</v>
      </c>
      <c r="L7246" s="8" t="str" cm="1">
        <f t="array" ref="L7246">_xlfn.IFS(
 AND(K7246&gt;=89,K7246&lt;=92),"3개월",
 AND(K7246&gt;=58,K7246&lt;=62),"2개월",
 AND(K7246&gt;=28,K7246&lt;=32),"1개월",
 AND(K7246=0),"당월",
 TRUE,"그외"
)</f>
        <v>2개월</v>
      </c>
    </row>
    <row r="7247" spans="1:12" x14ac:dyDescent="0.3">
      <c r="A7247" s="5">
        <v>45809</v>
      </c>
      <c r="B7247" s="6" t="s">
        <v>75</v>
      </c>
      <c r="C7247" s="6" t="s">
        <v>124</v>
      </c>
      <c r="D7247" s="5">
        <v>45778</v>
      </c>
      <c r="E7247" s="6" t="s">
        <v>14</v>
      </c>
      <c r="F7247" s="7">
        <v>63</v>
      </c>
      <c r="G7247" s="7">
        <v>81685.71428571429</v>
      </c>
      <c r="H7247" s="7">
        <v>5146200</v>
      </c>
      <c r="I7247" s="7">
        <v>1379700</v>
      </c>
      <c r="J7247" s="7">
        <v>0</v>
      </c>
      <c r="K7247">
        <f t="shared" si="113"/>
        <v>31</v>
      </c>
      <c r="L7247" s="8" t="str" cm="1">
        <f t="array" ref="L7247">_xlfn.IFS(
 AND(K7247&gt;=89,K7247&lt;=92),"3개월",
 AND(K7247&gt;=58,K7247&lt;=62),"2개월",
 AND(K7247&gt;=28,K7247&lt;=32),"1개월",
 AND(K7247=0),"당월",
 TRUE,"그외"
)</f>
        <v>1개월</v>
      </c>
    </row>
    <row r="7248" spans="1:12" x14ac:dyDescent="0.3">
      <c r="A7248" s="5">
        <v>45809</v>
      </c>
      <c r="B7248" s="6" t="s">
        <v>75</v>
      </c>
      <c r="C7248" s="6" t="s">
        <v>124</v>
      </c>
      <c r="D7248" s="5">
        <v>45778</v>
      </c>
      <c r="E7248" s="6" t="s">
        <v>15</v>
      </c>
      <c r="F7248" s="7">
        <v>387</v>
      </c>
      <c r="G7248" s="7">
        <v>136371.2971576227</v>
      </c>
      <c r="H7248" s="7">
        <v>52775692</v>
      </c>
      <c r="I7248" s="7">
        <v>9106940</v>
      </c>
      <c r="J7248" s="7">
        <v>0</v>
      </c>
      <c r="K7248">
        <f t="shared" si="113"/>
        <v>31</v>
      </c>
      <c r="L7248" s="8" t="str" cm="1">
        <f t="array" ref="L7248">_xlfn.IFS(
 AND(K7248&gt;=89,K7248&lt;=92),"3개월",
 AND(K7248&gt;=58,K7248&lt;=62),"2개월",
 AND(K7248&gt;=28,K7248&lt;=32),"1개월",
 AND(K7248=0),"당월",
 TRUE,"그외"
)</f>
        <v>1개월</v>
      </c>
    </row>
    <row r="7249" spans="1:12" x14ac:dyDescent="0.3">
      <c r="A7249" s="5">
        <v>45809</v>
      </c>
      <c r="B7249" s="6" t="s">
        <v>75</v>
      </c>
      <c r="C7249" s="6" t="s">
        <v>79</v>
      </c>
      <c r="D7249" s="5">
        <v>45658</v>
      </c>
      <c r="E7249" s="6" t="s">
        <v>15</v>
      </c>
      <c r="F7249" s="7">
        <v>42</v>
      </c>
      <c r="G7249" s="7">
        <v>127709.40476190481</v>
      </c>
      <c r="H7249" s="7">
        <v>5363795</v>
      </c>
      <c r="I7249" s="7">
        <v>1451022</v>
      </c>
      <c r="J7249" s="7">
        <v>0</v>
      </c>
      <c r="K7249">
        <f t="shared" si="113"/>
        <v>151</v>
      </c>
      <c r="L7249" s="8" t="str" cm="1">
        <f t="array" ref="L7249">_xlfn.IFS(
 AND(K7249&gt;=89,K7249&lt;=92),"3개월",
 AND(K7249&gt;=58,K7249&lt;=62),"2개월",
 AND(K7249&gt;=28,K7249&lt;=32),"1개월",
 AND(K7249=0),"당월",
 TRUE,"그외"
)</f>
        <v>그외</v>
      </c>
    </row>
    <row r="7250" spans="1:12" x14ac:dyDescent="0.3">
      <c r="A7250" s="5">
        <v>45809</v>
      </c>
      <c r="B7250" s="6" t="s">
        <v>75</v>
      </c>
      <c r="C7250" s="6" t="s">
        <v>79</v>
      </c>
      <c r="D7250" s="5">
        <v>45689</v>
      </c>
      <c r="E7250" s="6" t="s">
        <v>14</v>
      </c>
      <c r="F7250" s="7">
        <v>65</v>
      </c>
      <c r="G7250" s="7">
        <v>126946.1538461538</v>
      </c>
      <c r="H7250" s="7">
        <v>8251500</v>
      </c>
      <c r="I7250" s="7">
        <v>2086500</v>
      </c>
      <c r="J7250" s="7">
        <v>0</v>
      </c>
      <c r="K7250">
        <f t="shared" si="113"/>
        <v>120</v>
      </c>
      <c r="L7250" s="8" t="str" cm="1">
        <f t="array" ref="L7250">_xlfn.IFS(
 AND(K7250&gt;=89,K7250&lt;=92),"3개월",
 AND(K7250&gt;=58,K7250&lt;=62),"2개월",
 AND(K7250&gt;=28,K7250&lt;=32),"1개월",
 AND(K7250=0),"당월",
 TRUE,"그외"
)</f>
        <v>그외</v>
      </c>
    </row>
    <row r="7251" spans="1:12" x14ac:dyDescent="0.3">
      <c r="A7251" s="5">
        <v>45809</v>
      </c>
      <c r="B7251" s="6" t="s">
        <v>75</v>
      </c>
      <c r="C7251" s="6" t="s">
        <v>79</v>
      </c>
      <c r="D7251" s="5">
        <v>45689</v>
      </c>
      <c r="E7251" s="6" t="s">
        <v>15</v>
      </c>
      <c r="F7251" s="7">
        <v>95</v>
      </c>
      <c r="G7251" s="7">
        <v>189365.62105263161</v>
      </c>
      <c r="H7251" s="7">
        <v>17989734</v>
      </c>
      <c r="I7251" s="7">
        <v>3286135</v>
      </c>
      <c r="J7251" s="7">
        <v>0</v>
      </c>
      <c r="K7251">
        <f t="shared" si="113"/>
        <v>120</v>
      </c>
      <c r="L7251" s="8" t="str" cm="1">
        <f t="array" ref="L7251">_xlfn.IFS(
 AND(K7251&gt;=89,K7251&lt;=92),"3개월",
 AND(K7251&gt;=58,K7251&lt;=62),"2개월",
 AND(K7251&gt;=28,K7251&lt;=32),"1개월",
 AND(K7251=0),"당월",
 TRUE,"그외"
)</f>
        <v>그외</v>
      </c>
    </row>
    <row r="7252" spans="1:12" x14ac:dyDescent="0.3">
      <c r="A7252" s="5">
        <v>45809</v>
      </c>
      <c r="B7252" s="6" t="s">
        <v>75</v>
      </c>
      <c r="C7252" s="6" t="s">
        <v>79</v>
      </c>
      <c r="D7252" s="5">
        <v>45717</v>
      </c>
      <c r="E7252" s="6" t="s">
        <v>14</v>
      </c>
      <c r="F7252" s="7">
        <v>29</v>
      </c>
      <c r="G7252" s="7">
        <v>177393.10344827591</v>
      </c>
      <c r="H7252" s="7">
        <v>5144400</v>
      </c>
      <c r="I7252" s="7">
        <v>1090400</v>
      </c>
      <c r="J7252" s="7">
        <v>0</v>
      </c>
      <c r="K7252">
        <f t="shared" si="113"/>
        <v>92</v>
      </c>
      <c r="L7252" s="8" t="str" cm="1">
        <f t="array" ref="L7252">_xlfn.IFS(
 AND(K7252&gt;=89,K7252&lt;=92),"3개월",
 AND(K7252&gt;=58,K7252&lt;=62),"2개월",
 AND(K7252&gt;=28,K7252&lt;=32),"1개월",
 AND(K7252=0),"당월",
 TRUE,"그외"
)</f>
        <v>3개월</v>
      </c>
    </row>
    <row r="7253" spans="1:12" x14ac:dyDescent="0.3">
      <c r="A7253" s="5">
        <v>45809</v>
      </c>
      <c r="B7253" s="6" t="s">
        <v>75</v>
      </c>
      <c r="C7253" s="6" t="s">
        <v>79</v>
      </c>
      <c r="D7253" s="5">
        <v>45717</v>
      </c>
      <c r="E7253" s="6" t="s">
        <v>15</v>
      </c>
      <c r="F7253" s="7">
        <v>78</v>
      </c>
      <c r="G7253" s="7">
        <v>183372.93589743591</v>
      </c>
      <c r="H7253" s="7">
        <v>14303089</v>
      </c>
      <c r="I7253" s="7">
        <v>3311716</v>
      </c>
      <c r="J7253" s="7">
        <v>0</v>
      </c>
      <c r="K7253">
        <f t="shared" si="113"/>
        <v>92</v>
      </c>
      <c r="L7253" s="8" t="str" cm="1">
        <f t="array" ref="L7253">_xlfn.IFS(
 AND(K7253&gt;=89,K7253&lt;=92),"3개월",
 AND(K7253&gt;=58,K7253&lt;=62),"2개월",
 AND(K7253&gt;=28,K7253&lt;=32),"1개월",
 AND(K7253=0),"당월",
 TRUE,"그외"
)</f>
        <v>3개월</v>
      </c>
    </row>
    <row r="7254" spans="1:12" x14ac:dyDescent="0.3">
      <c r="A7254" s="5">
        <v>45809</v>
      </c>
      <c r="B7254" s="6" t="s">
        <v>75</v>
      </c>
      <c r="C7254" s="6" t="s">
        <v>79</v>
      </c>
      <c r="D7254" s="5">
        <v>45748</v>
      </c>
      <c r="E7254" s="6" t="s">
        <v>14</v>
      </c>
      <c r="F7254" s="7">
        <v>819</v>
      </c>
      <c r="G7254" s="7">
        <v>74978.021978021978</v>
      </c>
      <c r="H7254" s="7">
        <v>61407000</v>
      </c>
      <c r="I7254" s="7">
        <v>22522500</v>
      </c>
      <c r="J7254" s="7">
        <v>0</v>
      </c>
      <c r="K7254">
        <f t="shared" si="113"/>
        <v>61</v>
      </c>
      <c r="L7254" s="8" t="str" cm="1">
        <f t="array" ref="L7254">_xlfn.IFS(
 AND(K7254&gt;=89,K7254&lt;=92),"3개월",
 AND(K7254&gt;=58,K7254&lt;=62),"2개월",
 AND(K7254&gt;=28,K7254&lt;=32),"1개월",
 AND(K7254=0),"당월",
 TRUE,"그외"
)</f>
        <v>2개월</v>
      </c>
    </row>
    <row r="7255" spans="1:12" x14ac:dyDescent="0.3">
      <c r="A7255" s="5">
        <v>45809</v>
      </c>
      <c r="B7255" s="6" t="s">
        <v>75</v>
      </c>
      <c r="C7255" s="6" t="s">
        <v>79</v>
      </c>
      <c r="D7255" s="5">
        <v>45748</v>
      </c>
      <c r="E7255" s="6" t="s">
        <v>15</v>
      </c>
      <c r="F7255" s="7">
        <v>397</v>
      </c>
      <c r="G7255" s="7">
        <v>181646.92695214099</v>
      </c>
      <c r="H7255" s="7">
        <v>72113830</v>
      </c>
      <c r="I7255" s="7">
        <v>15621433</v>
      </c>
      <c r="J7255" s="7">
        <v>0</v>
      </c>
      <c r="K7255">
        <f t="shared" si="113"/>
        <v>61</v>
      </c>
      <c r="L7255" s="8" t="str" cm="1">
        <f t="array" ref="L7255">_xlfn.IFS(
 AND(K7255&gt;=89,K7255&lt;=92),"3개월",
 AND(K7255&gt;=58,K7255&lt;=62),"2개월",
 AND(K7255&gt;=28,K7255&lt;=32),"1개월",
 AND(K7255=0),"당월",
 TRUE,"그외"
)</f>
        <v>2개월</v>
      </c>
    </row>
    <row r="7256" spans="1:12" x14ac:dyDescent="0.3">
      <c r="A7256" s="5">
        <v>45809</v>
      </c>
      <c r="B7256" s="6" t="s">
        <v>75</v>
      </c>
      <c r="C7256" s="6" t="s">
        <v>79</v>
      </c>
      <c r="D7256" s="5">
        <v>45778</v>
      </c>
      <c r="E7256" s="6" t="s">
        <v>14</v>
      </c>
      <c r="F7256" s="7">
        <v>10</v>
      </c>
      <c r="G7256" s="7">
        <v>69150</v>
      </c>
      <c r="H7256" s="7">
        <v>691500</v>
      </c>
      <c r="I7256" s="7">
        <v>219000</v>
      </c>
      <c r="J7256" s="7">
        <v>0</v>
      </c>
      <c r="K7256">
        <f t="shared" si="113"/>
        <v>31</v>
      </c>
      <c r="L7256" s="8" t="str" cm="1">
        <f t="array" ref="L7256">_xlfn.IFS(
 AND(K7256&gt;=89,K7256&lt;=92),"3개월",
 AND(K7256&gt;=58,K7256&lt;=62),"2개월",
 AND(K7256&gt;=28,K7256&lt;=32),"1개월",
 AND(K7256=0),"당월",
 TRUE,"그외"
)</f>
        <v>1개월</v>
      </c>
    </row>
    <row r="7257" spans="1:12" x14ac:dyDescent="0.3">
      <c r="A7257" s="5">
        <v>45809</v>
      </c>
      <c r="B7257" s="6" t="s">
        <v>75</v>
      </c>
      <c r="C7257" s="6" t="s">
        <v>79</v>
      </c>
      <c r="D7257" s="5">
        <v>45778</v>
      </c>
      <c r="E7257" s="6" t="s">
        <v>15</v>
      </c>
      <c r="F7257" s="7">
        <v>63</v>
      </c>
      <c r="G7257" s="7">
        <v>192422.76190476189</v>
      </c>
      <c r="H7257" s="7">
        <v>12122634</v>
      </c>
      <c r="I7257" s="7">
        <v>2555398</v>
      </c>
      <c r="J7257" s="7">
        <v>0</v>
      </c>
      <c r="K7257">
        <f t="shared" si="113"/>
        <v>31</v>
      </c>
      <c r="L7257" s="8" t="str" cm="1">
        <f t="array" ref="L7257">_xlfn.IFS(
 AND(K7257&gt;=89,K7257&lt;=92),"3개월",
 AND(K7257&gt;=58,K7257&lt;=62),"2개월",
 AND(K7257&gt;=28,K7257&lt;=32),"1개월",
 AND(K7257=0),"당월",
 TRUE,"그외"
)</f>
        <v>1개월</v>
      </c>
    </row>
    <row r="7258" spans="1:12" x14ac:dyDescent="0.3">
      <c r="A7258" s="5">
        <v>45809</v>
      </c>
      <c r="B7258" s="6" t="s">
        <v>75</v>
      </c>
      <c r="C7258" s="6" t="s">
        <v>80</v>
      </c>
      <c r="D7258" s="5">
        <v>45627</v>
      </c>
      <c r="E7258" s="6" t="s">
        <v>15</v>
      </c>
      <c r="F7258" s="7">
        <v>10</v>
      </c>
      <c r="G7258" s="7">
        <v>308828.3</v>
      </c>
      <c r="H7258" s="7">
        <v>3088283</v>
      </c>
      <c r="I7258" s="7">
        <v>586645</v>
      </c>
      <c r="J7258" s="7">
        <v>0</v>
      </c>
      <c r="K7258">
        <f t="shared" si="113"/>
        <v>182</v>
      </c>
      <c r="L7258" s="8" t="str" cm="1">
        <f t="array" ref="L7258">_xlfn.IFS(
 AND(K7258&gt;=89,K7258&lt;=92),"3개월",
 AND(K7258&gt;=58,K7258&lt;=62),"2개월",
 AND(K7258&gt;=28,K7258&lt;=32),"1개월",
 AND(K7258=0),"당월",
 TRUE,"그외"
)</f>
        <v>그외</v>
      </c>
    </row>
    <row r="7259" spans="1:12" x14ac:dyDescent="0.3">
      <c r="A7259" s="5">
        <v>45809</v>
      </c>
      <c r="B7259" s="6" t="s">
        <v>75</v>
      </c>
      <c r="C7259" s="6" t="s">
        <v>80</v>
      </c>
      <c r="D7259" s="5">
        <v>45658</v>
      </c>
      <c r="E7259" s="6" t="s">
        <v>15</v>
      </c>
      <c r="F7259" s="7">
        <v>79</v>
      </c>
      <c r="G7259" s="7">
        <v>347887.69620253157</v>
      </c>
      <c r="H7259" s="7">
        <v>27483128</v>
      </c>
      <c r="I7259" s="7">
        <v>1527780</v>
      </c>
      <c r="J7259" s="7">
        <v>0</v>
      </c>
      <c r="K7259">
        <f t="shared" si="113"/>
        <v>151</v>
      </c>
      <c r="L7259" s="8" t="str" cm="1">
        <f t="array" ref="L7259">_xlfn.IFS(
 AND(K7259&gt;=89,K7259&lt;=92),"3개월",
 AND(K7259&gt;=58,K7259&lt;=62),"2개월",
 AND(K7259&gt;=28,K7259&lt;=32),"1개월",
 AND(K7259=0),"당월",
 TRUE,"그외"
)</f>
        <v>그외</v>
      </c>
    </row>
    <row r="7260" spans="1:12" x14ac:dyDescent="0.3">
      <c r="A7260" s="5">
        <v>45809</v>
      </c>
      <c r="B7260" s="6" t="s">
        <v>75</v>
      </c>
      <c r="C7260" s="6" t="s">
        <v>80</v>
      </c>
      <c r="D7260" s="5">
        <v>45689</v>
      </c>
      <c r="E7260" s="6" t="s">
        <v>15</v>
      </c>
      <c r="F7260" s="7">
        <v>182</v>
      </c>
      <c r="G7260" s="7">
        <v>365899.42307692312</v>
      </c>
      <c r="H7260" s="7">
        <v>66593695</v>
      </c>
      <c r="I7260" s="7">
        <v>5858236</v>
      </c>
      <c r="J7260" s="7">
        <v>0</v>
      </c>
      <c r="K7260">
        <f t="shared" si="113"/>
        <v>120</v>
      </c>
      <c r="L7260" s="8" t="str" cm="1">
        <f t="array" ref="L7260">_xlfn.IFS(
 AND(K7260&gt;=89,K7260&lt;=92),"3개월",
 AND(K7260&gt;=58,K7260&lt;=62),"2개월",
 AND(K7260&gt;=28,K7260&lt;=32),"1개월",
 AND(K7260=0),"당월",
 TRUE,"그외"
)</f>
        <v>그외</v>
      </c>
    </row>
    <row r="7261" spans="1:12" x14ac:dyDescent="0.3">
      <c r="A7261" s="5">
        <v>45809</v>
      </c>
      <c r="B7261" s="6" t="s">
        <v>75</v>
      </c>
      <c r="C7261" s="6" t="s">
        <v>80</v>
      </c>
      <c r="D7261" s="5">
        <v>45717</v>
      </c>
      <c r="E7261" s="6" t="s">
        <v>15</v>
      </c>
      <c r="F7261" s="7">
        <v>284</v>
      </c>
      <c r="G7261" s="7">
        <v>393736.34859154932</v>
      </c>
      <c r="H7261" s="7">
        <v>111821123</v>
      </c>
      <c r="I7261" s="7">
        <v>8899590</v>
      </c>
      <c r="J7261" s="7">
        <v>0</v>
      </c>
      <c r="K7261">
        <f t="shared" si="113"/>
        <v>92</v>
      </c>
      <c r="L7261" s="8" t="str" cm="1">
        <f t="array" ref="L7261">_xlfn.IFS(
 AND(K7261&gt;=89,K7261&lt;=92),"3개월",
 AND(K7261&gt;=58,K7261&lt;=62),"2개월",
 AND(K7261&gt;=28,K7261&lt;=32),"1개월",
 AND(K7261=0),"당월",
 TRUE,"그외"
)</f>
        <v>3개월</v>
      </c>
    </row>
    <row r="7262" spans="1:12" x14ac:dyDescent="0.3">
      <c r="A7262" s="5">
        <v>45809</v>
      </c>
      <c r="B7262" s="6" t="s">
        <v>75</v>
      </c>
      <c r="C7262" s="6" t="s">
        <v>80</v>
      </c>
      <c r="D7262" s="5">
        <v>45748</v>
      </c>
      <c r="E7262" s="6" t="s">
        <v>14</v>
      </c>
      <c r="F7262" s="7">
        <v>123</v>
      </c>
      <c r="G7262" s="7">
        <v>420357.72357723583</v>
      </c>
      <c r="H7262" s="7">
        <v>51704000</v>
      </c>
      <c r="I7262" s="7">
        <v>7992000</v>
      </c>
      <c r="J7262" s="7">
        <v>0</v>
      </c>
      <c r="K7262">
        <f t="shared" si="113"/>
        <v>61</v>
      </c>
      <c r="L7262" s="8" t="str" cm="1">
        <f t="array" ref="L7262">_xlfn.IFS(
 AND(K7262&gt;=89,K7262&lt;=92),"3개월",
 AND(K7262&gt;=58,K7262&lt;=62),"2개월",
 AND(K7262&gt;=28,K7262&lt;=32),"1개월",
 AND(K7262=0),"당월",
 TRUE,"그외"
)</f>
        <v>2개월</v>
      </c>
    </row>
    <row r="7263" spans="1:12" x14ac:dyDescent="0.3">
      <c r="A7263" s="5">
        <v>45809</v>
      </c>
      <c r="B7263" s="6" t="s">
        <v>75</v>
      </c>
      <c r="C7263" s="6" t="s">
        <v>80</v>
      </c>
      <c r="D7263" s="5">
        <v>45748</v>
      </c>
      <c r="E7263" s="6" t="s">
        <v>15</v>
      </c>
      <c r="F7263" s="7">
        <v>851</v>
      </c>
      <c r="G7263" s="7">
        <v>298357.93184488837</v>
      </c>
      <c r="H7263" s="7">
        <v>253902600</v>
      </c>
      <c r="I7263" s="7">
        <v>20724525</v>
      </c>
      <c r="J7263" s="7">
        <v>0</v>
      </c>
      <c r="K7263">
        <f t="shared" si="113"/>
        <v>61</v>
      </c>
      <c r="L7263" s="8" t="str" cm="1">
        <f t="array" ref="L7263">_xlfn.IFS(
 AND(K7263&gt;=89,K7263&lt;=92),"3개월",
 AND(K7263&gt;=58,K7263&lt;=62),"2개월",
 AND(K7263&gt;=28,K7263&lt;=32),"1개월",
 AND(K7263=0),"당월",
 TRUE,"그외"
)</f>
        <v>2개월</v>
      </c>
    </row>
    <row r="7264" spans="1:12" x14ac:dyDescent="0.3">
      <c r="A7264" s="5">
        <v>45809</v>
      </c>
      <c r="B7264" s="6" t="s">
        <v>75</v>
      </c>
      <c r="C7264" s="6" t="s">
        <v>80</v>
      </c>
      <c r="D7264" s="5">
        <v>45778</v>
      </c>
      <c r="E7264" s="6" t="s">
        <v>15</v>
      </c>
      <c r="F7264" s="7">
        <v>535</v>
      </c>
      <c r="G7264" s="7">
        <v>278101.41121495329</v>
      </c>
      <c r="H7264" s="7">
        <v>148784255</v>
      </c>
      <c r="I7264" s="7">
        <v>13519014</v>
      </c>
      <c r="J7264" s="7">
        <v>0</v>
      </c>
      <c r="K7264">
        <f t="shared" si="113"/>
        <v>31</v>
      </c>
      <c r="L7264" s="8" t="str" cm="1">
        <f t="array" ref="L7264">_xlfn.IFS(
 AND(K7264&gt;=89,K7264&lt;=92),"3개월",
 AND(K7264&gt;=58,K7264&lt;=62),"2개월",
 AND(K7264&gt;=28,K7264&lt;=32),"1개월",
 AND(K7264=0),"당월",
 TRUE,"그외"
)</f>
        <v>1개월</v>
      </c>
    </row>
    <row r="7265" spans="1:12" x14ac:dyDescent="0.3">
      <c r="A7265" s="5">
        <v>45809</v>
      </c>
      <c r="B7265" s="6" t="s">
        <v>81</v>
      </c>
      <c r="C7265" s="6" t="s">
        <v>96</v>
      </c>
      <c r="D7265" s="5">
        <v>45658</v>
      </c>
      <c r="E7265" s="6" t="s">
        <v>15</v>
      </c>
      <c r="F7265" s="7">
        <v>322</v>
      </c>
      <c r="G7265" s="7">
        <v>203100.00310559009</v>
      </c>
      <c r="H7265" s="7">
        <v>65398201</v>
      </c>
      <c r="I7265" s="7">
        <v>7960666</v>
      </c>
      <c r="J7265" s="7">
        <v>0</v>
      </c>
      <c r="K7265">
        <f t="shared" si="113"/>
        <v>151</v>
      </c>
      <c r="L7265" s="8" t="str" cm="1">
        <f t="array" ref="L7265">_xlfn.IFS(
 AND(K7265&gt;=89,K7265&lt;=92),"3개월",
 AND(K7265&gt;=58,K7265&lt;=62),"2개월",
 AND(K7265&gt;=28,K7265&lt;=32),"1개월",
 AND(K7265=0),"당월",
 TRUE,"그외"
)</f>
        <v>그외</v>
      </c>
    </row>
    <row r="7266" spans="1:12" x14ac:dyDescent="0.3">
      <c r="A7266" s="5">
        <v>45809</v>
      </c>
      <c r="B7266" s="6" t="s">
        <v>81</v>
      </c>
      <c r="C7266" s="6" t="s">
        <v>96</v>
      </c>
      <c r="D7266" s="5">
        <v>45689</v>
      </c>
      <c r="E7266" s="6" t="s">
        <v>15</v>
      </c>
      <c r="F7266" s="7">
        <v>675</v>
      </c>
      <c r="G7266" s="7">
        <v>192855.37925925929</v>
      </c>
      <c r="H7266" s="7">
        <v>130177381</v>
      </c>
      <c r="I7266" s="7">
        <v>17471308</v>
      </c>
      <c r="J7266" s="7">
        <v>0</v>
      </c>
      <c r="K7266">
        <f t="shared" si="113"/>
        <v>120</v>
      </c>
      <c r="L7266" s="8" t="str" cm="1">
        <f t="array" ref="L7266">_xlfn.IFS(
 AND(K7266&gt;=89,K7266&lt;=92),"3개월",
 AND(K7266&gt;=58,K7266&lt;=62),"2개월",
 AND(K7266&gt;=28,K7266&lt;=32),"1개월",
 AND(K7266=0),"당월",
 TRUE,"그외"
)</f>
        <v>그외</v>
      </c>
    </row>
    <row r="7267" spans="1:12" x14ac:dyDescent="0.3">
      <c r="A7267" s="5">
        <v>45809</v>
      </c>
      <c r="B7267" s="6" t="s">
        <v>81</v>
      </c>
      <c r="C7267" s="6" t="s">
        <v>96</v>
      </c>
      <c r="D7267" s="5">
        <v>45717</v>
      </c>
      <c r="E7267" s="6" t="s">
        <v>14</v>
      </c>
      <c r="F7267" s="7">
        <v>1063</v>
      </c>
      <c r="G7267" s="7">
        <v>196328.97460018811</v>
      </c>
      <c r="H7267" s="7">
        <v>208697700</v>
      </c>
      <c r="I7267" s="7">
        <v>30720700</v>
      </c>
      <c r="J7267" s="7">
        <v>0</v>
      </c>
      <c r="K7267">
        <f t="shared" si="113"/>
        <v>92</v>
      </c>
      <c r="L7267" s="8" t="str" cm="1">
        <f t="array" ref="L7267">_xlfn.IFS(
 AND(K7267&gt;=89,K7267&lt;=92),"3개월",
 AND(K7267&gt;=58,K7267&lt;=62),"2개월",
 AND(K7267&gt;=28,K7267&lt;=32),"1개월",
 AND(K7267=0),"당월",
 TRUE,"그외"
)</f>
        <v>3개월</v>
      </c>
    </row>
    <row r="7268" spans="1:12" x14ac:dyDescent="0.3">
      <c r="A7268" s="5">
        <v>45809</v>
      </c>
      <c r="B7268" s="6" t="s">
        <v>81</v>
      </c>
      <c r="C7268" s="6" t="s">
        <v>96</v>
      </c>
      <c r="D7268" s="5">
        <v>45717</v>
      </c>
      <c r="E7268" s="6" t="s">
        <v>15</v>
      </c>
      <c r="F7268" s="7">
        <v>805</v>
      </c>
      <c r="G7268" s="7">
        <v>219948.96273291929</v>
      </c>
      <c r="H7268" s="7">
        <v>177058915</v>
      </c>
      <c r="I7268" s="7">
        <v>23807735</v>
      </c>
      <c r="J7268" s="7">
        <v>0</v>
      </c>
      <c r="K7268">
        <f t="shared" si="113"/>
        <v>92</v>
      </c>
      <c r="L7268" s="8" t="str" cm="1">
        <f t="array" ref="L7268">_xlfn.IFS(
 AND(K7268&gt;=89,K7268&lt;=92),"3개월",
 AND(K7268&gt;=58,K7268&lt;=62),"2개월",
 AND(K7268&gt;=28,K7268&lt;=32),"1개월",
 AND(K7268=0),"당월",
 TRUE,"그외"
)</f>
        <v>3개월</v>
      </c>
    </row>
    <row r="7269" spans="1:12" x14ac:dyDescent="0.3">
      <c r="A7269" s="5">
        <v>45809</v>
      </c>
      <c r="B7269" s="6" t="s">
        <v>81</v>
      </c>
      <c r="C7269" s="6" t="s">
        <v>96</v>
      </c>
      <c r="D7269" s="5">
        <v>45748</v>
      </c>
      <c r="E7269" s="6" t="s">
        <v>14</v>
      </c>
      <c r="F7269" s="7">
        <v>2891</v>
      </c>
      <c r="G7269" s="7">
        <v>192181.14839156001</v>
      </c>
      <c r="H7269" s="7">
        <v>555595700</v>
      </c>
      <c r="I7269" s="7">
        <v>62734700</v>
      </c>
      <c r="J7269" s="7">
        <v>0</v>
      </c>
      <c r="K7269">
        <f t="shared" si="113"/>
        <v>61</v>
      </c>
      <c r="L7269" s="8" t="str" cm="1">
        <f t="array" ref="L7269">_xlfn.IFS(
 AND(K7269&gt;=89,K7269&lt;=92),"3개월",
 AND(K7269&gt;=58,K7269&lt;=62),"2개월",
 AND(K7269&gt;=28,K7269&lt;=32),"1개월",
 AND(K7269=0),"당월",
 TRUE,"그외"
)</f>
        <v>2개월</v>
      </c>
    </row>
    <row r="7270" spans="1:12" x14ac:dyDescent="0.3">
      <c r="A7270" s="5">
        <v>45809</v>
      </c>
      <c r="B7270" s="6" t="s">
        <v>81</v>
      </c>
      <c r="C7270" s="6" t="s">
        <v>96</v>
      </c>
      <c r="D7270" s="5">
        <v>45748</v>
      </c>
      <c r="E7270" s="6" t="s">
        <v>15</v>
      </c>
      <c r="F7270" s="7">
        <v>849</v>
      </c>
      <c r="G7270" s="7">
        <v>248313.47820965841</v>
      </c>
      <c r="H7270" s="7">
        <v>210818143</v>
      </c>
      <c r="I7270" s="7">
        <v>20234923</v>
      </c>
      <c r="J7270" s="7">
        <v>0</v>
      </c>
      <c r="K7270">
        <f t="shared" si="113"/>
        <v>61</v>
      </c>
      <c r="L7270" s="8" t="str" cm="1">
        <f t="array" ref="L7270">_xlfn.IFS(
 AND(K7270&gt;=89,K7270&lt;=92),"3개월",
 AND(K7270&gt;=58,K7270&lt;=62),"2개월",
 AND(K7270&gt;=28,K7270&lt;=32),"1개월",
 AND(K7270=0),"당월",
 TRUE,"그외"
)</f>
        <v>2개월</v>
      </c>
    </row>
    <row r="7271" spans="1:12" x14ac:dyDescent="0.3">
      <c r="A7271" s="5">
        <v>45809</v>
      </c>
      <c r="B7271" s="6" t="s">
        <v>81</v>
      </c>
      <c r="C7271" s="6" t="s">
        <v>96</v>
      </c>
      <c r="D7271" s="5">
        <v>45778</v>
      </c>
      <c r="E7271" s="6" t="s">
        <v>14</v>
      </c>
      <c r="F7271" s="7">
        <v>8</v>
      </c>
      <c r="G7271" s="7">
        <v>177500</v>
      </c>
      <c r="H7271" s="7">
        <v>1420000</v>
      </c>
      <c r="I7271" s="7">
        <v>140000</v>
      </c>
      <c r="J7271" s="7">
        <v>0</v>
      </c>
      <c r="K7271">
        <f t="shared" si="113"/>
        <v>31</v>
      </c>
      <c r="L7271" s="8" t="str" cm="1">
        <f t="array" ref="L7271">_xlfn.IFS(
 AND(K7271&gt;=89,K7271&lt;=92),"3개월",
 AND(K7271&gt;=58,K7271&lt;=62),"2개월",
 AND(K7271&gt;=28,K7271&lt;=32),"1개월",
 AND(K7271=0),"당월",
 TRUE,"그외"
)</f>
        <v>1개월</v>
      </c>
    </row>
    <row r="7272" spans="1:12" x14ac:dyDescent="0.3">
      <c r="A7272" s="5">
        <v>45809</v>
      </c>
      <c r="B7272" s="6" t="s">
        <v>81</v>
      </c>
      <c r="C7272" s="6" t="s">
        <v>96</v>
      </c>
      <c r="D7272" s="5">
        <v>45778</v>
      </c>
      <c r="E7272" s="6" t="s">
        <v>15</v>
      </c>
      <c r="F7272" s="7">
        <v>274</v>
      </c>
      <c r="G7272" s="7">
        <v>274110.45985401463</v>
      </c>
      <c r="H7272" s="7">
        <v>75106266</v>
      </c>
      <c r="I7272" s="7">
        <v>5794492</v>
      </c>
      <c r="J7272" s="7">
        <v>0</v>
      </c>
      <c r="K7272">
        <f t="shared" si="113"/>
        <v>31</v>
      </c>
      <c r="L7272" s="8" t="str" cm="1">
        <f t="array" ref="L7272">_xlfn.IFS(
 AND(K7272&gt;=89,K7272&lt;=92),"3개월",
 AND(K7272&gt;=58,K7272&lt;=62),"2개월",
 AND(K7272&gt;=28,K7272&lt;=32),"1개월",
 AND(K7272=0),"당월",
 TRUE,"그외"
)</f>
        <v>1개월</v>
      </c>
    </row>
    <row r="7273" spans="1:12" x14ac:dyDescent="0.3">
      <c r="A7273" s="5">
        <v>45809</v>
      </c>
      <c r="B7273" s="6" t="s">
        <v>81</v>
      </c>
      <c r="C7273" s="6" t="s">
        <v>82</v>
      </c>
      <c r="D7273" s="5">
        <v>45658</v>
      </c>
      <c r="E7273" s="6" t="s">
        <v>15</v>
      </c>
      <c r="F7273" s="7">
        <v>38</v>
      </c>
      <c r="G7273" s="7">
        <v>156584.31578947371</v>
      </c>
      <c r="H7273" s="7">
        <v>5950204</v>
      </c>
      <c r="I7273" s="7">
        <v>1067287</v>
      </c>
      <c r="J7273" s="7">
        <v>0</v>
      </c>
      <c r="K7273">
        <f t="shared" si="113"/>
        <v>151</v>
      </c>
      <c r="L7273" s="8" t="str" cm="1">
        <f t="array" ref="L7273">_xlfn.IFS(
 AND(K7273&gt;=89,K7273&lt;=92),"3개월",
 AND(K7273&gt;=58,K7273&lt;=62),"2개월",
 AND(K7273&gt;=28,K7273&lt;=32),"1개월",
 AND(K7273=0),"당월",
 TRUE,"그외"
)</f>
        <v>그외</v>
      </c>
    </row>
    <row r="7274" spans="1:12" x14ac:dyDescent="0.3">
      <c r="A7274" s="5">
        <v>45809</v>
      </c>
      <c r="B7274" s="6" t="s">
        <v>81</v>
      </c>
      <c r="C7274" s="6" t="s">
        <v>82</v>
      </c>
      <c r="D7274" s="5">
        <v>45689</v>
      </c>
      <c r="E7274" s="6" t="s">
        <v>14</v>
      </c>
      <c r="F7274" s="7">
        <v>192</v>
      </c>
      <c r="G7274" s="7">
        <v>193081.25</v>
      </c>
      <c r="H7274" s="7">
        <v>37071600</v>
      </c>
      <c r="I7274" s="7">
        <v>4761600</v>
      </c>
      <c r="J7274" s="7">
        <v>0</v>
      </c>
      <c r="K7274">
        <f t="shared" si="113"/>
        <v>120</v>
      </c>
      <c r="L7274" s="8" t="str" cm="1">
        <f t="array" ref="L7274">_xlfn.IFS(
 AND(K7274&gt;=89,K7274&lt;=92),"3개월",
 AND(K7274&gt;=58,K7274&lt;=62),"2개월",
 AND(K7274&gt;=28,K7274&lt;=32),"1개월",
 AND(K7274=0),"당월",
 TRUE,"그외"
)</f>
        <v>그외</v>
      </c>
    </row>
    <row r="7275" spans="1:12" x14ac:dyDescent="0.3">
      <c r="A7275" s="5">
        <v>45809</v>
      </c>
      <c r="B7275" s="6" t="s">
        <v>81</v>
      </c>
      <c r="C7275" s="6" t="s">
        <v>82</v>
      </c>
      <c r="D7275" s="5">
        <v>45689</v>
      </c>
      <c r="E7275" s="6" t="s">
        <v>15</v>
      </c>
      <c r="F7275" s="7">
        <v>253</v>
      </c>
      <c r="G7275" s="7">
        <v>145742.81818181821</v>
      </c>
      <c r="H7275" s="7">
        <v>36872933</v>
      </c>
      <c r="I7275" s="7">
        <v>6882489</v>
      </c>
      <c r="J7275" s="7">
        <v>0</v>
      </c>
      <c r="K7275">
        <f t="shared" si="113"/>
        <v>120</v>
      </c>
      <c r="L7275" s="8" t="str" cm="1">
        <f t="array" ref="L7275">_xlfn.IFS(
 AND(K7275&gt;=89,K7275&lt;=92),"3개월",
 AND(K7275&gt;=58,K7275&lt;=62),"2개월",
 AND(K7275&gt;=28,K7275&lt;=32),"1개월",
 AND(K7275=0),"당월",
 TRUE,"그외"
)</f>
        <v>그외</v>
      </c>
    </row>
    <row r="7276" spans="1:12" x14ac:dyDescent="0.3">
      <c r="A7276" s="5">
        <v>45809</v>
      </c>
      <c r="B7276" s="6" t="s">
        <v>81</v>
      </c>
      <c r="C7276" s="6" t="s">
        <v>82</v>
      </c>
      <c r="D7276" s="5">
        <v>45717</v>
      </c>
      <c r="E7276" s="6" t="s">
        <v>14</v>
      </c>
      <c r="F7276" s="7">
        <v>56</v>
      </c>
      <c r="G7276" s="7">
        <v>186864.28571428571</v>
      </c>
      <c r="H7276" s="7">
        <v>10464400</v>
      </c>
      <c r="I7276" s="7">
        <v>1618400</v>
      </c>
      <c r="J7276" s="7">
        <v>0</v>
      </c>
      <c r="K7276">
        <f t="shared" si="113"/>
        <v>92</v>
      </c>
      <c r="L7276" s="8" t="str" cm="1">
        <f t="array" ref="L7276">_xlfn.IFS(
 AND(K7276&gt;=89,K7276&lt;=92),"3개월",
 AND(K7276&gt;=58,K7276&lt;=62),"2개월",
 AND(K7276&gt;=28,K7276&lt;=32),"1개월",
 AND(K7276=0),"당월",
 TRUE,"그외"
)</f>
        <v>3개월</v>
      </c>
    </row>
    <row r="7277" spans="1:12" x14ac:dyDescent="0.3">
      <c r="A7277" s="5">
        <v>45809</v>
      </c>
      <c r="B7277" s="6" t="s">
        <v>81</v>
      </c>
      <c r="C7277" s="6" t="s">
        <v>82</v>
      </c>
      <c r="D7277" s="5">
        <v>45717</v>
      </c>
      <c r="E7277" s="6" t="s">
        <v>15</v>
      </c>
      <c r="F7277" s="7">
        <v>361</v>
      </c>
      <c r="G7277" s="7">
        <v>159018.93351800551</v>
      </c>
      <c r="H7277" s="7">
        <v>57405835</v>
      </c>
      <c r="I7277" s="7">
        <v>10527245</v>
      </c>
      <c r="J7277" s="7">
        <v>0</v>
      </c>
      <c r="K7277">
        <f t="shared" si="113"/>
        <v>92</v>
      </c>
      <c r="L7277" s="8" t="str" cm="1">
        <f t="array" ref="L7277">_xlfn.IFS(
 AND(K7277&gt;=89,K7277&lt;=92),"3개월",
 AND(K7277&gt;=58,K7277&lt;=62),"2개월",
 AND(K7277&gt;=28,K7277&lt;=32),"1개월",
 AND(K7277=0),"당월",
 TRUE,"그외"
)</f>
        <v>3개월</v>
      </c>
    </row>
    <row r="7278" spans="1:12" x14ac:dyDescent="0.3">
      <c r="A7278" s="5">
        <v>45809</v>
      </c>
      <c r="B7278" s="6" t="s">
        <v>81</v>
      </c>
      <c r="C7278" s="6" t="s">
        <v>82</v>
      </c>
      <c r="D7278" s="5">
        <v>45748</v>
      </c>
      <c r="E7278" s="6" t="s">
        <v>14</v>
      </c>
      <c r="F7278" s="7">
        <v>128</v>
      </c>
      <c r="G7278" s="7">
        <v>187282.8125</v>
      </c>
      <c r="H7278" s="7">
        <v>23972200</v>
      </c>
      <c r="I7278" s="7">
        <v>2890200</v>
      </c>
      <c r="J7278" s="7">
        <v>0</v>
      </c>
      <c r="K7278">
        <f t="shared" si="113"/>
        <v>61</v>
      </c>
      <c r="L7278" s="8" t="str" cm="1">
        <f t="array" ref="L7278">_xlfn.IFS(
 AND(K7278&gt;=89,K7278&lt;=92),"3개월",
 AND(K7278&gt;=58,K7278&lt;=62),"2개월",
 AND(K7278&gt;=28,K7278&lt;=32),"1개월",
 AND(K7278=0),"당월",
 TRUE,"그외"
)</f>
        <v>2개월</v>
      </c>
    </row>
    <row r="7279" spans="1:12" x14ac:dyDescent="0.3">
      <c r="A7279" s="5">
        <v>45809</v>
      </c>
      <c r="B7279" s="6" t="s">
        <v>81</v>
      </c>
      <c r="C7279" s="6" t="s">
        <v>82</v>
      </c>
      <c r="D7279" s="5">
        <v>45748</v>
      </c>
      <c r="E7279" s="6" t="s">
        <v>15</v>
      </c>
      <c r="F7279" s="7">
        <v>282</v>
      </c>
      <c r="G7279" s="7">
        <v>142246.03900709219</v>
      </c>
      <c r="H7279" s="7">
        <v>40113383</v>
      </c>
      <c r="I7279" s="7">
        <v>5587161</v>
      </c>
      <c r="J7279" s="7">
        <v>0</v>
      </c>
      <c r="K7279">
        <f t="shared" si="113"/>
        <v>61</v>
      </c>
      <c r="L7279" s="8" t="str" cm="1">
        <f t="array" ref="L7279">_xlfn.IFS(
 AND(K7279&gt;=89,K7279&lt;=92),"3개월",
 AND(K7279&gt;=58,K7279&lt;=62),"2개월",
 AND(K7279&gt;=28,K7279&lt;=32),"1개월",
 AND(K7279=0),"당월",
 TRUE,"그외"
)</f>
        <v>2개월</v>
      </c>
    </row>
    <row r="7280" spans="1:12" x14ac:dyDescent="0.3">
      <c r="A7280" s="5">
        <v>45809</v>
      </c>
      <c r="B7280" s="6" t="s">
        <v>81</v>
      </c>
      <c r="C7280" s="6" t="s">
        <v>82</v>
      </c>
      <c r="D7280" s="5">
        <v>45778</v>
      </c>
      <c r="E7280" s="6" t="s">
        <v>15</v>
      </c>
      <c r="F7280" s="7">
        <v>40</v>
      </c>
      <c r="G7280" s="7">
        <v>163076.07500000001</v>
      </c>
      <c r="H7280" s="7">
        <v>6523043</v>
      </c>
      <c r="I7280" s="7">
        <v>891524</v>
      </c>
      <c r="J7280" s="7">
        <v>0</v>
      </c>
      <c r="K7280">
        <f t="shared" si="113"/>
        <v>31</v>
      </c>
      <c r="L7280" s="8" t="str" cm="1">
        <f t="array" ref="L7280">_xlfn.IFS(
 AND(K7280&gt;=89,K7280&lt;=92),"3개월",
 AND(K7280&gt;=58,K7280&lt;=62),"2개월",
 AND(K7280&gt;=28,K7280&lt;=32),"1개월",
 AND(K7280=0),"당월",
 TRUE,"그외"
)</f>
        <v>1개월</v>
      </c>
    </row>
    <row r="7281" spans="1:12" x14ac:dyDescent="0.3">
      <c r="A7281" s="5">
        <v>45809</v>
      </c>
      <c r="B7281" s="6" t="s">
        <v>81</v>
      </c>
      <c r="C7281" s="6" t="s">
        <v>83</v>
      </c>
      <c r="D7281" s="5">
        <v>45717</v>
      </c>
      <c r="E7281" s="6" t="s">
        <v>15</v>
      </c>
      <c r="F7281" s="7">
        <v>14</v>
      </c>
      <c r="G7281" s="7">
        <v>158571.42857142861</v>
      </c>
      <c r="H7281" s="7">
        <v>2220000</v>
      </c>
      <c r="I7281" s="7">
        <v>404600</v>
      </c>
      <c r="J7281" s="7">
        <v>0</v>
      </c>
      <c r="K7281">
        <f t="shared" si="113"/>
        <v>92</v>
      </c>
      <c r="L7281" s="8" t="str" cm="1">
        <f t="array" ref="L7281">_xlfn.IFS(
 AND(K7281&gt;=89,K7281&lt;=92),"3개월",
 AND(K7281&gt;=58,K7281&lt;=62),"2개월",
 AND(K7281&gt;=28,K7281&lt;=32),"1개월",
 AND(K7281=0),"당월",
 TRUE,"그외"
)</f>
        <v>3개월</v>
      </c>
    </row>
    <row r="7282" spans="1:12" x14ac:dyDescent="0.3">
      <c r="A7282" s="5">
        <v>45809</v>
      </c>
      <c r="B7282" s="6" t="s">
        <v>81</v>
      </c>
      <c r="C7282" s="6" t="s">
        <v>83</v>
      </c>
      <c r="D7282" s="5">
        <v>45748</v>
      </c>
      <c r="E7282" s="6" t="s">
        <v>14</v>
      </c>
      <c r="F7282" s="7">
        <v>59</v>
      </c>
      <c r="G7282" s="7">
        <v>162869.49152542371</v>
      </c>
      <c r="H7282" s="7">
        <v>9609300</v>
      </c>
      <c r="I7282" s="7">
        <v>1280300</v>
      </c>
      <c r="J7282" s="7">
        <v>0</v>
      </c>
      <c r="K7282">
        <f t="shared" si="113"/>
        <v>61</v>
      </c>
      <c r="L7282" s="8" t="str" cm="1">
        <f t="array" ref="L7282">_xlfn.IFS(
 AND(K7282&gt;=89,K7282&lt;=92),"3개월",
 AND(K7282&gt;=58,K7282&lt;=62),"2개월",
 AND(K7282&gt;=28,K7282&lt;=32),"1개월",
 AND(K7282=0),"당월",
 TRUE,"그외"
)</f>
        <v>2개월</v>
      </c>
    </row>
    <row r="7283" spans="1:12" x14ac:dyDescent="0.3">
      <c r="A7283" s="5">
        <v>45809</v>
      </c>
      <c r="B7283" s="6" t="s">
        <v>81</v>
      </c>
      <c r="C7283" s="6" t="s">
        <v>83</v>
      </c>
      <c r="D7283" s="5">
        <v>45748</v>
      </c>
      <c r="E7283" s="6" t="s">
        <v>15</v>
      </c>
      <c r="F7283" s="7">
        <v>22</v>
      </c>
      <c r="G7283" s="7">
        <v>196660.81818181821</v>
      </c>
      <c r="H7283" s="7">
        <v>4326538</v>
      </c>
      <c r="I7283" s="7">
        <v>687871</v>
      </c>
      <c r="J7283" s="7">
        <v>0</v>
      </c>
      <c r="K7283">
        <f t="shared" si="113"/>
        <v>61</v>
      </c>
      <c r="L7283" s="8" t="str" cm="1">
        <f t="array" ref="L7283">_xlfn.IFS(
 AND(K7283&gt;=89,K7283&lt;=92),"3개월",
 AND(K7283&gt;=58,K7283&lt;=62),"2개월",
 AND(K7283&gt;=28,K7283&lt;=32),"1개월",
 AND(K7283=0),"당월",
 TRUE,"그외"
)</f>
        <v>2개월</v>
      </c>
    </row>
    <row r="7284" spans="1:12" x14ac:dyDescent="0.3">
      <c r="A7284" s="5">
        <v>45809</v>
      </c>
      <c r="B7284" s="6" t="s">
        <v>81</v>
      </c>
      <c r="C7284" s="6" t="s">
        <v>83</v>
      </c>
      <c r="D7284" s="5">
        <v>45778</v>
      </c>
      <c r="E7284" s="6" t="s">
        <v>15</v>
      </c>
      <c r="F7284" s="7">
        <v>17</v>
      </c>
      <c r="G7284" s="7">
        <v>142823.5294117647</v>
      </c>
      <c r="H7284" s="7">
        <v>2428000</v>
      </c>
      <c r="I7284" s="7">
        <v>227500</v>
      </c>
      <c r="J7284" s="7">
        <v>0</v>
      </c>
      <c r="K7284">
        <f t="shared" si="113"/>
        <v>31</v>
      </c>
      <c r="L7284" s="8" t="str" cm="1">
        <f t="array" ref="L7284">_xlfn.IFS(
 AND(K7284&gt;=89,K7284&lt;=92),"3개월",
 AND(K7284&gt;=58,K7284&lt;=62),"2개월",
 AND(K7284&gt;=28,K7284&lt;=32),"1개월",
 AND(K7284=0),"당월",
 TRUE,"그외"
)</f>
        <v>1개월</v>
      </c>
    </row>
    <row r="7285" spans="1:12" x14ac:dyDescent="0.3">
      <c r="A7285" s="5">
        <v>45809</v>
      </c>
      <c r="B7285" s="6" t="s">
        <v>81</v>
      </c>
      <c r="C7285" s="6" t="s">
        <v>125</v>
      </c>
      <c r="D7285" s="5">
        <v>45658</v>
      </c>
      <c r="E7285" s="6" t="s">
        <v>15</v>
      </c>
      <c r="F7285" s="7">
        <v>49</v>
      </c>
      <c r="G7285" s="7">
        <v>390663.81632653059</v>
      </c>
      <c r="H7285" s="7">
        <v>19142527</v>
      </c>
      <c r="I7285" s="7">
        <v>1926325</v>
      </c>
      <c r="J7285" s="7">
        <v>0</v>
      </c>
      <c r="K7285">
        <f t="shared" si="113"/>
        <v>151</v>
      </c>
      <c r="L7285" s="8" t="str" cm="1">
        <f t="array" ref="L7285">_xlfn.IFS(
 AND(K7285&gt;=89,K7285&lt;=92),"3개월",
 AND(K7285&gt;=58,K7285&lt;=62),"2개월",
 AND(K7285&gt;=28,K7285&lt;=32),"1개월",
 AND(K7285=0),"당월",
 TRUE,"그외"
)</f>
        <v>그외</v>
      </c>
    </row>
    <row r="7286" spans="1:12" x14ac:dyDescent="0.3">
      <c r="A7286" s="5">
        <v>45809</v>
      </c>
      <c r="B7286" s="6" t="s">
        <v>81</v>
      </c>
      <c r="C7286" s="6" t="s">
        <v>125</v>
      </c>
      <c r="D7286" s="5">
        <v>45689</v>
      </c>
      <c r="E7286" s="6" t="s">
        <v>15</v>
      </c>
      <c r="F7286" s="7">
        <v>255</v>
      </c>
      <c r="G7286" s="7">
        <v>396990.3019607843</v>
      </c>
      <c r="H7286" s="7">
        <v>101232527</v>
      </c>
      <c r="I7286" s="7">
        <v>9563290</v>
      </c>
      <c r="J7286" s="7">
        <v>0</v>
      </c>
      <c r="K7286">
        <f t="shared" si="113"/>
        <v>120</v>
      </c>
      <c r="L7286" s="8" t="str" cm="1">
        <f t="array" ref="L7286">_xlfn.IFS(
 AND(K7286&gt;=89,K7286&lt;=92),"3개월",
 AND(K7286&gt;=58,K7286&lt;=62),"2개월",
 AND(K7286&gt;=28,K7286&lt;=32),"1개월",
 AND(K7286=0),"당월",
 TRUE,"그외"
)</f>
        <v>그외</v>
      </c>
    </row>
    <row r="7287" spans="1:12" x14ac:dyDescent="0.3">
      <c r="A7287" s="5">
        <v>45809</v>
      </c>
      <c r="B7287" s="6" t="s">
        <v>81</v>
      </c>
      <c r="C7287" s="6" t="s">
        <v>125</v>
      </c>
      <c r="D7287" s="5">
        <v>45717</v>
      </c>
      <c r="E7287" s="6" t="s">
        <v>14</v>
      </c>
      <c r="F7287" s="7">
        <v>62</v>
      </c>
      <c r="G7287" s="7">
        <v>440126.3548387097</v>
      </c>
      <c r="H7287" s="7">
        <v>27287834</v>
      </c>
      <c r="I7287" s="7">
        <v>3459630</v>
      </c>
      <c r="J7287" s="7">
        <v>0</v>
      </c>
      <c r="K7287">
        <f t="shared" si="113"/>
        <v>92</v>
      </c>
      <c r="L7287" s="8" t="str" cm="1">
        <f t="array" ref="L7287">_xlfn.IFS(
 AND(K7287&gt;=89,K7287&lt;=92),"3개월",
 AND(K7287&gt;=58,K7287&lt;=62),"2개월",
 AND(K7287&gt;=28,K7287&lt;=32),"1개월",
 AND(K7287=0),"당월",
 TRUE,"그외"
)</f>
        <v>3개월</v>
      </c>
    </row>
    <row r="7288" spans="1:12" x14ac:dyDescent="0.3">
      <c r="A7288" s="5">
        <v>45809</v>
      </c>
      <c r="B7288" s="6" t="s">
        <v>81</v>
      </c>
      <c r="C7288" s="6" t="s">
        <v>125</v>
      </c>
      <c r="D7288" s="5">
        <v>45717</v>
      </c>
      <c r="E7288" s="6" t="s">
        <v>15</v>
      </c>
      <c r="F7288" s="7">
        <v>327</v>
      </c>
      <c r="G7288" s="7">
        <v>426222.11009174312</v>
      </c>
      <c r="H7288" s="7">
        <v>139374630</v>
      </c>
      <c r="I7288" s="7">
        <v>13868182</v>
      </c>
      <c r="J7288" s="7">
        <v>0</v>
      </c>
      <c r="K7288">
        <f t="shared" si="113"/>
        <v>92</v>
      </c>
      <c r="L7288" s="8" t="str" cm="1">
        <f t="array" ref="L7288">_xlfn.IFS(
 AND(K7288&gt;=89,K7288&lt;=92),"3개월",
 AND(K7288&gt;=58,K7288&lt;=62),"2개월",
 AND(K7288&gt;=28,K7288&lt;=32),"1개월",
 AND(K7288=0),"당월",
 TRUE,"그외"
)</f>
        <v>3개월</v>
      </c>
    </row>
    <row r="7289" spans="1:12" x14ac:dyDescent="0.3">
      <c r="A7289" s="5">
        <v>45809</v>
      </c>
      <c r="B7289" s="6" t="s">
        <v>81</v>
      </c>
      <c r="C7289" s="6" t="s">
        <v>125</v>
      </c>
      <c r="D7289" s="5">
        <v>45748</v>
      </c>
      <c r="E7289" s="6" t="s">
        <v>14</v>
      </c>
      <c r="F7289" s="7">
        <v>44</v>
      </c>
      <c r="G7289" s="7">
        <v>410031.25</v>
      </c>
      <c r="H7289" s="7">
        <v>18041375</v>
      </c>
      <c r="I7289" s="7">
        <v>1846625</v>
      </c>
      <c r="J7289" s="7">
        <v>0</v>
      </c>
      <c r="K7289">
        <f t="shared" si="113"/>
        <v>61</v>
      </c>
      <c r="L7289" s="8" t="str" cm="1">
        <f t="array" ref="L7289">_xlfn.IFS(
 AND(K7289&gt;=89,K7289&lt;=92),"3개월",
 AND(K7289&gt;=58,K7289&lt;=62),"2개월",
 AND(K7289&gt;=28,K7289&lt;=32),"1개월",
 AND(K7289=0),"당월",
 TRUE,"그외"
)</f>
        <v>2개월</v>
      </c>
    </row>
    <row r="7290" spans="1:12" x14ac:dyDescent="0.3">
      <c r="A7290" s="5">
        <v>45809</v>
      </c>
      <c r="B7290" s="6" t="s">
        <v>81</v>
      </c>
      <c r="C7290" s="6" t="s">
        <v>125</v>
      </c>
      <c r="D7290" s="5">
        <v>45748</v>
      </c>
      <c r="E7290" s="6" t="s">
        <v>15</v>
      </c>
      <c r="F7290" s="7">
        <v>326</v>
      </c>
      <c r="G7290" s="7">
        <v>427240.03374233132</v>
      </c>
      <c r="H7290" s="7">
        <v>139280251</v>
      </c>
      <c r="I7290" s="7">
        <v>12114638</v>
      </c>
      <c r="J7290" s="7">
        <v>0</v>
      </c>
      <c r="K7290">
        <f t="shared" si="113"/>
        <v>61</v>
      </c>
      <c r="L7290" s="8" t="str" cm="1">
        <f t="array" ref="L7290">_xlfn.IFS(
 AND(K7290&gt;=89,K7290&lt;=92),"3개월",
 AND(K7290&gt;=58,K7290&lt;=62),"2개월",
 AND(K7290&gt;=28,K7290&lt;=32),"1개월",
 AND(K7290=0),"당월",
 TRUE,"그외"
)</f>
        <v>2개월</v>
      </c>
    </row>
    <row r="7291" spans="1:12" x14ac:dyDescent="0.3">
      <c r="A7291" s="5">
        <v>45809</v>
      </c>
      <c r="B7291" s="6" t="s">
        <v>81</v>
      </c>
      <c r="C7291" s="6" t="s">
        <v>125</v>
      </c>
      <c r="D7291" s="5">
        <v>45778</v>
      </c>
      <c r="E7291" s="6" t="s">
        <v>14</v>
      </c>
      <c r="F7291" s="7">
        <v>13</v>
      </c>
      <c r="G7291" s="7">
        <v>440776.15384615387</v>
      </c>
      <c r="H7291" s="7">
        <v>5730090</v>
      </c>
      <c r="I7291" s="7">
        <v>601670</v>
      </c>
      <c r="J7291" s="7">
        <v>0</v>
      </c>
      <c r="K7291">
        <f t="shared" si="113"/>
        <v>31</v>
      </c>
      <c r="L7291" s="8" t="str" cm="1">
        <f t="array" ref="L7291">_xlfn.IFS(
 AND(K7291&gt;=89,K7291&lt;=92),"3개월",
 AND(K7291&gt;=58,K7291&lt;=62),"2개월",
 AND(K7291&gt;=28,K7291&lt;=32),"1개월",
 AND(K7291=0),"당월",
 TRUE,"그외"
)</f>
        <v>1개월</v>
      </c>
    </row>
    <row r="7292" spans="1:12" x14ac:dyDescent="0.3">
      <c r="A7292" s="5">
        <v>45809</v>
      </c>
      <c r="B7292" s="6" t="s">
        <v>81</v>
      </c>
      <c r="C7292" s="6" t="s">
        <v>125</v>
      </c>
      <c r="D7292" s="5">
        <v>45778</v>
      </c>
      <c r="E7292" s="6" t="s">
        <v>15</v>
      </c>
      <c r="F7292" s="7">
        <v>49</v>
      </c>
      <c r="G7292" s="7">
        <v>419186.14285714278</v>
      </c>
      <c r="H7292" s="7">
        <v>20540121</v>
      </c>
      <c r="I7292" s="7">
        <v>1640853</v>
      </c>
      <c r="J7292" s="7">
        <v>0</v>
      </c>
      <c r="K7292">
        <f t="shared" si="113"/>
        <v>31</v>
      </c>
      <c r="L7292" s="8" t="str" cm="1">
        <f t="array" ref="L7292">_xlfn.IFS(
 AND(K7292&gt;=89,K7292&lt;=92),"3개월",
 AND(K7292&gt;=58,K7292&lt;=62),"2개월",
 AND(K7292&gt;=28,K7292&lt;=32),"1개월",
 AND(K7292=0),"당월",
 TRUE,"그외"
)</f>
        <v>1개월</v>
      </c>
    </row>
    <row r="7293" spans="1:12" x14ac:dyDescent="0.3">
      <c r="A7293" s="5">
        <v>45809</v>
      </c>
      <c r="B7293" s="6" t="s">
        <v>81</v>
      </c>
      <c r="C7293" s="6" t="s">
        <v>118</v>
      </c>
      <c r="D7293" s="5">
        <v>45717</v>
      </c>
      <c r="E7293" s="6" t="s">
        <v>15</v>
      </c>
      <c r="F7293" s="7">
        <v>18</v>
      </c>
      <c r="G7293" s="7">
        <v>377650.44444444438</v>
      </c>
      <c r="H7293" s="7">
        <v>6797708</v>
      </c>
      <c r="I7293" s="7">
        <v>730542</v>
      </c>
      <c r="J7293" s="7">
        <v>0</v>
      </c>
      <c r="K7293">
        <f t="shared" si="113"/>
        <v>92</v>
      </c>
      <c r="L7293" s="8" t="str" cm="1">
        <f t="array" ref="L7293">_xlfn.IFS(
 AND(K7293&gt;=89,K7293&lt;=92),"3개월",
 AND(K7293&gt;=58,K7293&lt;=62),"2개월",
 AND(K7293&gt;=28,K7293&lt;=32),"1개월",
 AND(K7293=0),"당월",
 TRUE,"그외"
)</f>
        <v>3개월</v>
      </c>
    </row>
    <row r="7294" spans="1:12" x14ac:dyDescent="0.3">
      <c r="A7294" s="5">
        <v>45809</v>
      </c>
      <c r="B7294" s="6" t="s">
        <v>81</v>
      </c>
      <c r="C7294" s="6" t="s">
        <v>118</v>
      </c>
      <c r="D7294" s="5">
        <v>45748</v>
      </c>
      <c r="E7294" s="6" t="s">
        <v>14</v>
      </c>
      <c r="F7294" s="7">
        <v>33</v>
      </c>
      <c r="G7294" s="7">
        <v>295318.39393939392</v>
      </c>
      <c r="H7294" s="7">
        <v>9745507</v>
      </c>
      <c r="I7294" s="7">
        <v>1014332</v>
      </c>
      <c r="J7294" s="7">
        <v>0</v>
      </c>
      <c r="K7294">
        <f t="shared" si="113"/>
        <v>61</v>
      </c>
      <c r="L7294" s="8" t="str" cm="1">
        <f t="array" ref="L7294">_xlfn.IFS(
 AND(K7294&gt;=89,K7294&lt;=92),"3개월",
 AND(K7294&gt;=58,K7294&lt;=62),"2개월",
 AND(K7294&gt;=28,K7294&lt;=32),"1개월",
 AND(K7294=0),"당월",
 TRUE,"그외"
)</f>
        <v>2개월</v>
      </c>
    </row>
    <row r="7295" spans="1:12" x14ac:dyDescent="0.3">
      <c r="A7295" s="5">
        <v>45809</v>
      </c>
      <c r="B7295" s="6" t="s">
        <v>81</v>
      </c>
      <c r="C7295" s="6" t="s">
        <v>118</v>
      </c>
      <c r="D7295" s="5">
        <v>45748</v>
      </c>
      <c r="E7295" s="6" t="s">
        <v>15</v>
      </c>
      <c r="F7295" s="7">
        <v>957</v>
      </c>
      <c r="G7295" s="7">
        <v>321453.08777429472</v>
      </c>
      <c r="H7295" s="7">
        <v>307630605</v>
      </c>
      <c r="I7295" s="7">
        <v>27997806</v>
      </c>
      <c r="J7295" s="7">
        <v>0</v>
      </c>
      <c r="K7295">
        <f t="shared" si="113"/>
        <v>61</v>
      </c>
      <c r="L7295" s="8" t="str" cm="1">
        <f t="array" ref="L7295">_xlfn.IFS(
 AND(K7295&gt;=89,K7295&lt;=92),"3개월",
 AND(K7295&gt;=58,K7295&lt;=62),"2개월",
 AND(K7295&gt;=28,K7295&lt;=32),"1개월",
 AND(K7295=0),"당월",
 TRUE,"그외"
)</f>
        <v>2개월</v>
      </c>
    </row>
    <row r="7296" spans="1:12" x14ac:dyDescent="0.3">
      <c r="A7296" s="5">
        <v>45809</v>
      </c>
      <c r="B7296" s="6" t="s">
        <v>81</v>
      </c>
      <c r="C7296" s="6" t="s">
        <v>118</v>
      </c>
      <c r="D7296" s="5">
        <v>45778</v>
      </c>
      <c r="E7296" s="6" t="s">
        <v>14</v>
      </c>
      <c r="F7296" s="7">
        <v>66</v>
      </c>
      <c r="G7296" s="7">
        <v>279604.84848484851</v>
      </c>
      <c r="H7296" s="7">
        <v>18453920</v>
      </c>
      <c r="I7296" s="7">
        <v>1646650</v>
      </c>
      <c r="J7296" s="7">
        <v>0</v>
      </c>
      <c r="K7296">
        <f t="shared" si="113"/>
        <v>31</v>
      </c>
      <c r="L7296" s="8" t="str" cm="1">
        <f t="array" ref="L7296">_xlfn.IFS(
 AND(K7296&gt;=89,K7296&lt;=92),"3개월",
 AND(K7296&gt;=58,K7296&lt;=62),"2개월",
 AND(K7296&gt;=28,K7296&lt;=32),"1개월",
 AND(K7296=0),"당월",
 TRUE,"그외"
)</f>
        <v>1개월</v>
      </c>
    </row>
    <row r="7297" spans="1:12" x14ac:dyDescent="0.3">
      <c r="A7297" s="5">
        <v>45809</v>
      </c>
      <c r="B7297" s="6" t="s">
        <v>81</v>
      </c>
      <c r="C7297" s="6" t="s">
        <v>118</v>
      </c>
      <c r="D7297" s="5">
        <v>45778</v>
      </c>
      <c r="E7297" s="6" t="s">
        <v>15</v>
      </c>
      <c r="F7297" s="7">
        <v>219</v>
      </c>
      <c r="G7297" s="7">
        <v>323361.99543379003</v>
      </c>
      <c r="H7297" s="7">
        <v>70816277</v>
      </c>
      <c r="I7297" s="7">
        <v>5669546</v>
      </c>
      <c r="J7297" s="7">
        <v>0</v>
      </c>
      <c r="K7297">
        <f t="shared" si="113"/>
        <v>31</v>
      </c>
      <c r="L7297" s="8" t="str" cm="1">
        <f t="array" ref="L7297">_xlfn.IFS(
 AND(K7297&gt;=89,K7297&lt;=92),"3개월",
 AND(K7297&gt;=58,K7297&lt;=62),"2개월",
 AND(K7297&gt;=28,K7297&lt;=32),"1개월",
 AND(K7297=0),"당월",
 TRUE,"그외"
)</f>
        <v>1개월</v>
      </c>
    </row>
    <row r="7298" spans="1:12" x14ac:dyDescent="0.3">
      <c r="A7298" s="5">
        <v>45809</v>
      </c>
      <c r="B7298" s="6" t="s">
        <v>84</v>
      </c>
      <c r="C7298" s="6" t="s">
        <v>97</v>
      </c>
      <c r="D7298" s="5">
        <v>45627</v>
      </c>
      <c r="E7298" s="6" t="s">
        <v>15</v>
      </c>
      <c r="F7298" s="7">
        <v>2</v>
      </c>
      <c r="G7298" s="7">
        <v>474005</v>
      </c>
      <c r="H7298" s="7">
        <v>948010</v>
      </c>
      <c r="I7298" s="7">
        <v>272554</v>
      </c>
      <c r="J7298" s="7">
        <v>0</v>
      </c>
      <c r="K7298">
        <f t="shared" si="113"/>
        <v>182</v>
      </c>
      <c r="L7298" s="8" t="str" cm="1">
        <f t="array" ref="L7298">_xlfn.IFS(
 AND(K7298&gt;=89,K7298&lt;=92),"3개월",
 AND(K7298&gt;=58,K7298&lt;=62),"2개월",
 AND(K7298&gt;=28,K7298&lt;=32),"1개월",
 AND(K7298=0),"당월",
 TRUE,"그외"
)</f>
        <v>그외</v>
      </c>
    </row>
    <row r="7299" spans="1:12" x14ac:dyDescent="0.3">
      <c r="A7299" s="5">
        <v>45809</v>
      </c>
      <c r="B7299" s="6" t="s">
        <v>84</v>
      </c>
      <c r="C7299" s="6" t="s">
        <v>97</v>
      </c>
      <c r="D7299" s="5">
        <v>45658</v>
      </c>
      <c r="E7299" s="6" t="s">
        <v>15</v>
      </c>
      <c r="F7299" s="7">
        <v>40</v>
      </c>
      <c r="G7299" s="7">
        <v>508661.55</v>
      </c>
      <c r="H7299" s="7">
        <v>20346462</v>
      </c>
      <c r="I7299" s="7">
        <v>4371053</v>
      </c>
      <c r="J7299" s="7">
        <v>0</v>
      </c>
      <c r="K7299">
        <f t="shared" si="113"/>
        <v>151</v>
      </c>
      <c r="L7299" s="8" t="str" cm="1">
        <f t="array" ref="L7299">_xlfn.IFS(
 AND(K7299&gt;=89,K7299&lt;=92),"3개월",
 AND(K7299&gt;=58,K7299&lt;=62),"2개월",
 AND(K7299&gt;=28,K7299&lt;=32),"1개월",
 AND(K7299=0),"당월",
 TRUE,"그외"
)</f>
        <v>그외</v>
      </c>
    </row>
    <row r="7300" spans="1:12" x14ac:dyDescent="0.3">
      <c r="A7300" s="5">
        <v>45809</v>
      </c>
      <c r="B7300" s="6" t="s">
        <v>84</v>
      </c>
      <c r="C7300" s="6" t="s">
        <v>97</v>
      </c>
      <c r="D7300" s="5">
        <v>45689</v>
      </c>
      <c r="E7300" s="6" t="s">
        <v>15</v>
      </c>
      <c r="F7300" s="7">
        <v>84</v>
      </c>
      <c r="G7300" s="7">
        <v>424276.45238095243</v>
      </c>
      <c r="H7300" s="7">
        <v>35639222</v>
      </c>
      <c r="I7300" s="7">
        <v>8852584</v>
      </c>
      <c r="J7300" s="7">
        <v>0</v>
      </c>
      <c r="K7300">
        <f t="shared" si="113"/>
        <v>120</v>
      </c>
      <c r="L7300" s="8" t="str" cm="1">
        <f t="array" ref="L7300">_xlfn.IFS(
 AND(K7300&gt;=89,K7300&lt;=92),"3개월",
 AND(K7300&gt;=58,K7300&lt;=62),"2개월",
 AND(K7300&gt;=28,K7300&lt;=32),"1개월",
 AND(K7300=0),"당월",
 TRUE,"그외"
)</f>
        <v>그외</v>
      </c>
    </row>
    <row r="7301" spans="1:12" x14ac:dyDescent="0.3">
      <c r="A7301" s="5">
        <v>45809</v>
      </c>
      <c r="B7301" s="6" t="s">
        <v>84</v>
      </c>
      <c r="C7301" s="6" t="s">
        <v>97</v>
      </c>
      <c r="D7301" s="5">
        <v>45717</v>
      </c>
      <c r="E7301" s="6" t="s">
        <v>15</v>
      </c>
      <c r="F7301" s="7">
        <v>435</v>
      </c>
      <c r="G7301" s="7">
        <v>501602.11724137928</v>
      </c>
      <c r="H7301" s="7">
        <v>218196921</v>
      </c>
      <c r="I7301" s="7">
        <v>38819557</v>
      </c>
      <c r="J7301" s="7">
        <v>0</v>
      </c>
      <c r="K7301">
        <f t="shared" si="113"/>
        <v>92</v>
      </c>
      <c r="L7301" s="8" t="str" cm="1">
        <f t="array" ref="L7301">_xlfn.IFS(
 AND(K7301&gt;=89,K7301&lt;=92),"3개월",
 AND(K7301&gt;=58,K7301&lt;=62),"2개월",
 AND(K7301&gt;=28,K7301&lt;=32),"1개월",
 AND(K7301=0),"당월",
 TRUE,"그외"
)</f>
        <v>3개월</v>
      </c>
    </row>
    <row r="7302" spans="1:12" x14ac:dyDescent="0.3">
      <c r="A7302" s="5">
        <v>45809</v>
      </c>
      <c r="B7302" s="6" t="s">
        <v>84</v>
      </c>
      <c r="C7302" s="6" t="s">
        <v>97</v>
      </c>
      <c r="D7302" s="5">
        <v>45748</v>
      </c>
      <c r="E7302" s="6" t="s">
        <v>15</v>
      </c>
      <c r="F7302" s="7">
        <v>344</v>
      </c>
      <c r="G7302" s="7">
        <v>466435.97383720928</v>
      </c>
      <c r="H7302" s="7">
        <v>160453975</v>
      </c>
      <c r="I7302" s="7">
        <v>29468820</v>
      </c>
      <c r="J7302" s="7">
        <v>0</v>
      </c>
      <c r="K7302">
        <f t="shared" si="113"/>
        <v>61</v>
      </c>
      <c r="L7302" s="8" t="str" cm="1">
        <f t="array" ref="L7302">_xlfn.IFS(
 AND(K7302&gt;=89,K7302&lt;=92),"3개월",
 AND(K7302&gt;=58,K7302&lt;=62),"2개월",
 AND(K7302&gt;=28,K7302&lt;=32),"1개월",
 AND(K7302=0),"당월",
 TRUE,"그외"
)</f>
        <v>2개월</v>
      </c>
    </row>
    <row r="7303" spans="1:12" x14ac:dyDescent="0.3">
      <c r="A7303" s="5">
        <v>45809</v>
      </c>
      <c r="B7303" s="6" t="s">
        <v>84</v>
      </c>
      <c r="C7303" s="6" t="s">
        <v>97</v>
      </c>
      <c r="D7303" s="5">
        <v>45778</v>
      </c>
      <c r="E7303" s="6" t="s">
        <v>15</v>
      </c>
      <c r="F7303" s="7">
        <v>83</v>
      </c>
      <c r="G7303" s="7">
        <v>439381.0843373494</v>
      </c>
      <c r="H7303" s="7">
        <v>36468630</v>
      </c>
      <c r="I7303" s="7">
        <v>5548762</v>
      </c>
      <c r="J7303" s="7">
        <v>0</v>
      </c>
      <c r="K7303">
        <f t="shared" si="113"/>
        <v>31</v>
      </c>
      <c r="L7303" s="8" t="str" cm="1">
        <f t="array" ref="L7303">_xlfn.IFS(
 AND(K7303&gt;=89,K7303&lt;=92),"3개월",
 AND(K7303&gt;=58,K7303&lt;=62),"2개월",
 AND(K7303&gt;=28,K7303&lt;=32),"1개월",
 AND(K7303=0),"당월",
 TRUE,"그외"
)</f>
        <v>1개월</v>
      </c>
    </row>
    <row r="7304" spans="1:12" x14ac:dyDescent="0.3">
      <c r="A7304" s="5">
        <v>45809</v>
      </c>
      <c r="B7304" s="6" t="s">
        <v>84</v>
      </c>
      <c r="C7304" s="6" t="s">
        <v>85</v>
      </c>
      <c r="D7304" s="5">
        <v>45566</v>
      </c>
      <c r="E7304" s="6" t="s">
        <v>15</v>
      </c>
      <c r="F7304" s="7">
        <v>26</v>
      </c>
      <c r="G7304" s="7">
        <v>821813.07692307688</v>
      </c>
      <c r="H7304" s="7">
        <v>21367140</v>
      </c>
      <c r="I7304" s="7">
        <v>2180786</v>
      </c>
      <c r="J7304" s="7">
        <v>0</v>
      </c>
      <c r="K7304">
        <f t="shared" si="113"/>
        <v>243</v>
      </c>
      <c r="L7304" s="8" t="str" cm="1">
        <f t="array" ref="L7304">_xlfn.IFS(
 AND(K7304&gt;=89,K7304&lt;=92),"3개월",
 AND(K7304&gt;=58,K7304&lt;=62),"2개월",
 AND(K7304&gt;=28,K7304&lt;=32),"1개월",
 AND(K7304=0),"당월",
 TRUE,"그외"
)</f>
        <v>그외</v>
      </c>
    </row>
    <row r="7305" spans="1:12" x14ac:dyDescent="0.3">
      <c r="A7305" s="5">
        <v>45809</v>
      </c>
      <c r="B7305" s="6" t="s">
        <v>84</v>
      </c>
      <c r="C7305" s="6" t="s">
        <v>85</v>
      </c>
      <c r="D7305" s="5">
        <v>45597</v>
      </c>
      <c r="E7305" s="6" t="s">
        <v>15</v>
      </c>
      <c r="F7305" s="7">
        <v>221</v>
      </c>
      <c r="G7305" s="7">
        <v>897627.20814479643</v>
      </c>
      <c r="H7305" s="7">
        <v>198375613</v>
      </c>
      <c r="I7305" s="7">
        <v>19213204</v>
      </c>
      <c r="J7305" s="7">
        <v>0</v>
      </c>
      <c r="K7305">
        <f t="shared" si="113"/>
        <v>212</v>
      </c>
      <c r="L7305" s="8" t="str" cm="1">
        <f t="array" ref="L7305">_xlfn.IFS(
 AND(K7305&gt;=89,K7305&lt;=92),"3개월",
 AND(K7305&gt;=58,K7305&lt;=62),"2개월",
 AND(K7305&gt;=28,K7305&lt;=32),"1개월",
 AND(K7305=0),"당월",
 TRUE,"그외"
)</f>
        <v>그외</v>
      </c>
    </row>
    <row r="7306" spans="1:12" x14ac:dyDescent="0.3">
      <c r="A7306" s="5">
        <v>45809</v>
      </c>
      <c r="B7306" s="6" t="s">
        <v>84</v>
      </c>
      <c r="C7306" s="6" t="s">
        <v>85</v>
      </c>
      <c r="D7306" s="5">
        <v>45627</v>
      </c>
      <c r="E7306" s="6" t="s">
        <v>15</v>
      </c>
      <c r="F7306" s="7">
        <v>220</v>
      </c>
      <c r="G7306" s="7">
        <v>807832.80909090908</v>
      </c>
      <c r="H7306" s="7">
        <v>177723218</v>
      </c>
      <c r="I7306" s="7">
        <v>19846636</v>
      </c>
      <c r="J7306" s="7">
        <v>0</v>
      </c>
      <c r="K7306">
        <f t="shared" ref="K7306:K7346" si="114">A7306-D7306</f>
        <v>182</v>
      </c>
      <c r="L7306" s="8" t="str" cm="1">
        <f t="array" ref="L7306">_xlfn.IFS(
 AND(K7306&gt;=89,K7306&lt;=92),"3개월",
 AND(K7306&gt;=58,K7306&lt;=62),"2개월",
 AND(K7306&gt;=28,K7306&lt;=32),"1개월",
 AND(K7306=0),"당월",
 TRUE,"그외"
)</f>
        <v>그외</v>
      </c>
    </row>
    <row r="7307" spans="1:12" x14ac:dyDescent="0.3">
      <c r="A7307" s="5">
        <v>45809</v>
      </c>
      <c r="B7307" s="6" t="s">
        <v>84</v>
      </c>
      <c r="C7307" s="6" t="s">
        <v>85</v>
      </c>
      <c r="D7307" s="5">
        <v>45658</v>
      </c>
      <c r="E7307" s="6" t="s">
        <v>15</v>
      </c>
      <c r="F7307" s="7">
        <v>248</v>
      </c>
      <c r="G7307" s="7">
        <v>783374.76209677418</v>
      </c>
      <c r="H7307" s="7">
        <v>194276941</v>
      </c>
      <c r="I7307" s="7">
        <v>23221163</v>
      </c>
      <c r="J7307" s="7">
        <v>0</v>
      </c>
      <c r="K7307">
        <f t="shared" si="114"/>
        <v>151</v>
      </c>
      <c r="L7307" s="8" t="str" cm="1">
        <f t="array" ref="L7307">_xlfn.IFS(
 AND(K7307&gt;=89,K7307&lt;=92),"3개월",
 AND(K7307&gt;=58,K7307&lt;=62),"2개월",
 AND(K7307&gt;=28,K7307&lt;=32),"1개월",
 AND(K7307=0),"당월",
 TRUE,"그외"
)</f>
        <v>그외</v>
      </c>
    </row>
    <row r="7308" spans="1:12" x14ac:dyDescent="0.3">
      <c r="A7308" s="5">
        <v>45809</v>
      </c>
      <c r="B7308" s="6" t="s">
        <v>84</v>
      </c>
      <c r="C7308" s="6" t="s">
        <v>85</v>
      </c>
      <c r="D7308" s="5">
        <v>45689</v>
      </c>
      <c r="E7308" s="6" t="s">
        <v>15</v>
      </c>
      <c r="F7308" s="7">
        <v>603</v>
      </c>
      <c r="G7308" s="7">
        <v>722774.3034825871</v>
      </c>
      <c r="H7308" s="7">
        <v>435832905</v>
      </c>
      <c r="I7308" s="7">
        <v>56699985</v>
      </c>
      <c r="J7308" s="7">
        <v>0</v>
      </c>
      <c r="K7308">
        <f t="shared" si="114"/>
        <v>120</v>
      </c>
      <c r="L7308" s="8" t="str" cm="1">
        <f t="array" ref="L7308">_xlfn.IFS(
 AND(K7308&gt;=89,K7308&lt;=92),"3개월",
 AND(K7308&gt;=58,K7308&lt;=62),"2개월",
 AND(K7308&gt;=28,K7308&lt;=32),"1개월",
 AND(K7308=0),"당월",
 TRUE,"그외"
)</f>
        <v>그외</v>
      </c>
    </row>
    <row r="7309" spans="1:12" x14ac:dyDescent="0.3">
      <c r="A7309" s="5">
        <v>45809</v>
      </c>
      <c r="B7309" s="6" t="s">
        <v>84</v>
      </c>
      <c r="C7309" s="6" t="s">
        <v>85</v>
      </c>
      <c r="D7309" s="5">
        <v>45717</v>
      </c>
      <c r="E7309" s="6" t="s">
        <v>15</v>
      </c>
      <c r="F7309" s="7">
        <v>901</v>
      </c>
      <c r="G7309" s="7">
        <v>777269.55604883458</v>
      </c>
      <c r="H7309" s="7">
        <v>700319870</v>
      </c>
      <c r="I7309" s="7">
        <v>89857108</v>
      </c>
      <c r="J7309" s="7">
        <v>0</v>
      </c>
      <c r="K7309">
        <f t="shared" si="114"/>
        <v>92</v>
      </c>
      <c r="L7309" s="8" t="str" cm="1">
        <f t="array" ref="L7309">_xlfn.IFS(
 AND(K7309&gt;=89,K7309&lt;=92),"3개월",
 AND(K7309&gt;=58,K7309&lt;=62),"2개월",
 AND(K7309&gt;=28,K7309&lt;=32),"1개월",
 AND(K7309=0),"당월",
 TRUE,"그외"
)</f>
        <v>3개월</v>
      </c>
    </row>
    <row r="7310" spans="1:12" x14ac:dyDescent="0.3">
      <c r="A7310" s="5">
        <v>45809</v>
      </c>
      <c r="B7310" s="6" t="s">
        <v>84</v>
      </c>
      <c r="C7310" s="6" t="s">
        <v>85</v>
      </c>
      <c r="D7310" s="5">
        <v>45748</v>
      </c>
      <c r="E7310" s="6" t="s">
        <v>14</v>
      </c>
      <c r="F7310" s="7">
        <v>6</v>
      </c>
      <c r="G7310" s="7">
        <v>650000</v>
      </c>
      <c r="H7310" s="7">
        <v>3900000</v>
      </c>
      <c r="I7310" s="7">
        <v>0</v>
      </c>
      <c r="J7310" s="7">
        <v>0</v>
      </c>
      <c r="K7310">
        <f t="shared" si="114"/>
        <v>61</v>
      </c>
      <c r="L7310" s="8" t="str" cm="1">
        <f t="array" ref="L7310">_xlfn.IFS(
 AND(K7310&gt;=89,K7310&lt;=92),"3개월",
 AND(K7310&gt;=58,K7310&lt;=62),"2개월",
 AND(K7310&gt;=28,K7310&lt;=32),"1개월",
 AND(K7310=0),"당월",
 TRUE,"그외"
)</f>
        <v>2개월</v>
      </c>
    </row>
    <row r="7311" spans="1:12" x14ac:dyDescent="0.3">
      <c r="A7311" s="5">
        <v>45809</v>
      </c>
      <c r="B7311" s="6" t="s">
        <v>84</v>
      </c>
      <c r="C7311" s="6" t="s">
        <v>85</v>
      </c>
      <c r="D7311" s="5">
        <v>45748</v>
      </c>
      <c r="E7311" s="6" t="s">
        <v>15</v>
      </c>
      <c r="F7311" s="7">
        <v>1115</v>
      </c>
      <c r="G7311" s="7">
        <v>738708.19192825106</v>
      </c>
      <c r="H7311" s="7">
        <v>823659634</v>
      </c>
      <c r="I7311" s="7">
        <v>92921781</v>
      </c>
      <c r="J7311" s="7">
        <v>0</v>
      </c>
      <c r="K7311">
        <f t="shared" si="114"/>
        <v>61</v>
      </c>
      <c r="L7311" s="8" t="str" cm="1">
        <f t="array" ref="L7311">_xlfn.IFS(
 AND(K7311&gt;=89,K7311&lt;=92),"3개월",
 AND(K7311&gt;=58,K7311&lt;=62),"2개월",
 AND(K7311&gt;=28,K7311&lt;=32),"1개월",
 AND(K7311=0),"당월",
 TRUE,"그외"
)</f>
        <v>2개월</v>
      </c>
    </row>
    <row r="7312" spans="1:12" x14ac:dyDescent="0.3">
      <c r="A7312" s="5">
        <v>45809</v>
      </c>
      <c r="B7312" s="6" t="s">
        <v>84</v>
      </c>
      <c r="C7312" s="6" t="s">
        <v>85</v>
      </c>
      <c r="D7312" s="5">
        <v>45778</v>
      </c>
      <c r="E7312" s="6" t="s">
        <v>15</v>
      </c>
      <c r="F7312" s="7">
        <v>255</v>
      </c>
      <c r="G7312" s="7">
        <v>686786.89019607846</v>
      </c>
      <c r="H7312" s="7">
        <v>175130657</v>
      </c>
      <c r="I7312" s="7">
        <v>18230903</v>
      </c>
      <c r="J7312" s="7">
        <v>0</v>
      </c>
      <c r="K7312">
        <f t="shared" si="114"/>
        <v>31</v>
      </c>
      <c r="L7312" s="8" t="str" cm="1">
        <f t="array" ref="L7312">_xlfn.IFS(
 AND(K7312&gt;=89,K7312&lt;=92),"3개월",
 AND(K7312&gt;=58,K7312&lt;=62),"2개월",
 AND(K7312&gt;=28,K7312&lt;=32),"1개월",
 AND(K7312=0),"당월",
 TRUE,"그외"
)</f>
        <v>1개월</v>
      </c>
    </row>
    <row r="7313" spans="1:12" x14ac:dyDescent="0.3">
      <c r="A7313" s="5">
        <v>45809</v>
      </c>
      <c r="B7313" s="6" t="s">
        <v>84</v>
      </c>
      <c r="C7313" s="6" t="s">
        <v>86</v>
      </c>
      <c r="D7313" s="5">
        <v>45566</v>
      </c>
      <c r="E7313" s="6" t="s">
        <v>15</v>
      </c>
      <c r="F7313" s="7">
        <v>49</v>
      </c>
      <c r="G7313" s="7">
        <v>573257.02040816331</v>
      </c>
      <c r="H7313" s="7">
        <v>28089594</v>
      </c>
      <c r="I7313" s="7">
        <v>3886179</v>
      </c>
      <c r="J7313" s="7">
        <v>0</v>
      </c>
      <c r="K7313">
        <f t="shared" si="114"/>
        <v>243</v>
      </c>
      <c r="L7313" s="8" t="str" cm="1">
        <f t="array" ref="L7313">_xlfn.IFS(
 AND(K7313&gt;=89,K7313&lt;=92),"3개월",
 AND(K7313&gt;=58,K7313&lt;=62),"2개월",
 AND(K7313&gt;=28,K7313&lt;=32),"1개월",
 AND(K7313=0),"당월",
 TRUE,"그외"
)</f>
        <v>그외</v>
      </c>
    </row>
    <row r="7314" spans="1:12" x14ac:dyDescent="0.3">
      <c r="A7314" s="5">
        <v>45809</v>
      </c>
      <c r="B7314" s="6" t="s">
        <v>84</v>
      </c>
      <c r="C7314" s="6" t="s">
        <v>86</v>
      </c>
      <c r="D7314" s="5">
        <v>45597</v>
      </c>
      <c r="E7314" s="6" t="s">
        <v>15</v>
      </c>
      <c r="F7314" s="7">
        <v>504</v>
      </c>
      <c r="G7314" s="7">
        <v>618223.92063492059</v>
      </c>
      <c r="H7314" s="7">
        <v>311584856</v>
      </c>
      <c r="I7314" s="7">
        <v>38576721</v>
      </c>
      <c r="J7314" s="7">
        <v>0</v>
      </c>
      <c r="K7314">
        <f t="shared" si="114"/>
        <v>212</v>
      </c>
      <c r="L7314" s="8" t="str" cm="1">
        <f t="array" ref="L7314">_xlfn.IFS(
 AND(K7314&gt;=89,K7314&lt;=92),"3개월",
 AND(K7314&gt;=58,K7314&lt;=62),"2개월",
 AND(K7314&gt;=28,K7314&lt;=32),"1개월",
 AND(K7314=0),"당월",
 TRUE,"그외"
)</f>
        <v>그외</v>
      </c>
    </row>
    <row r="7315" spans="1:12" x14ac:dyDescent="0.3">
      <c r="A7315" s="5">
        <v>45809</v>
      </c>
      <c r="B7315" s="6" t="s">
        <v>84</v>
      </c>
      <c r="C7315" s="6" t="s">
        <v>86</v>
      </c>
      <c r="D7315" s="5">
        <v>45627</v>
      </c>
      <c r="E7315" s="6" t="s">
        <v>15</v>
      </c>
      <c r="F7315" s="7">
        <v>485</v>
      </c>
      <c r="G7315" s="7">
        <v>656639.82474226807</v>
      </c>
      <c r="H7315" s="7">
        <v>318470315</v>
      </c>
      <c r="I7315" s="7">
        <v>43160381</v>
      </c>
      <c r="J7315" s="7">
        <v>0</v>
      </c>
      <c r="K7315">
        <f t="shared" si="114"/>
        <v>182</v>
      </c>
      <c r="L7315" s="8" t="str" cm="1">
        <f t="array" ref="L7315">_xlfn.IFS(
 AND(K7315&gt;=89,K7315&lt;=92),"3개월",
 AND(K7315&gt;=58,K7315&lt;=62),"2개월",
 AND(K7315&gt;=28,K7315&lt;=32),"1개월",
 AND(K7315=0),"당월",
 TRUE,"그외"
)</f>
        <v>그외</v>
      </c>
    </row>
    <row r="7316" spans="1:12" x14ac:dyDescent="0.3">
      <c r="A7316" s="5">
        <v>45809</v>
      </c>
      <c r="B7316" s="6" t="s">
        <v>84</v>
      </c>
      <c r="C7316" s="6" t="s">
        <v>86</v>
      </c>
      <c r="D7316" s="5">
        <v>45658</v>
      </c>
      <c r="E7316" s="6" t="s">
        <v>15</v>
      </c>
      <c r="F7316" s="7">
        <v>833</v>
      </c>
      <c r="G7316" s="7">
        <v>604429.67466986796</v>
      </c>
      <c r="H7316" s="7">
        <v>503489919</v>
      </c>
      <c r="I7316" s="7">
        <v>73192941</v>
      </c>
      <c r="J7316" s="7">
        <v>0</v>
      </c>
      <c r="K7316">
        <f t="shared" si="114"/>
        <v>151</v>
      </c>
      <c r="L7316" s="8" t="str" cm="1">
        <f t="array" ref="L7316">_xlfn.IFS(
 AND(K7316&gt;=89,K7316&lt;=92),"3개월",
 AND(K7316&gt;=58,K7316&lt;=62),"2개월",
 AND(K7316&gt;=28,K7316&lt;=32),"1개월",
 AND(K7316=0),"당월",
 TRUE,"그외"
)</f>
        <v>그외</v>
      </c>
    </row>
    <row r="7317" spans="1:12" x14ac:dyDescent="0.3">
      <c r="A7317" s="5">
        <v>45809</v>
      </c>
      <c r="B7317" s="6" t="s">
        <v>84</v>
      </c>
      <c r="C7317" s="6" t="s">
        <v>86</v>
      </c>
      <c r="D7317" s="5">
        <v>45689</v>
      </c>
      <c r="E7317" s="6" t="s">
        <v>15</v>
      </c>
      <c r="F7317" s="7">
        <v>1299</v>
      </c>
      <c r="G7317" s="7">
        <v>636224.97536566586</v>
      </c>
      <c r="H7317" s="7">
        <v>826456243</v>
      </c>
      <c r="I7317" s="7">
        <v>115708268</v>
      </c>
      <c r="J7317" s="7">
        <v>0</v>
      </c>
      <c r="K7317">
        <f t="shared" si="114"/>
        <v>120</v>
      </c>
      <c r="L7317" s="8" t="str" cm="1">
        <f t="array" ref="L7317">_xlfn.IFS(
 AND(K7317&gt;=89,K7317&lt;=92),"3개월",
 AND(K7317&gt;=58,K7317&lt;=62),"2개월",
 AND(K7317&gt;=28,K7317&lt;=32),"1개월",
 AND(K7317=0),"당월",
 TRUE,"그외"
)</f>
        <v>그외</v>
      </c>
    </row>
    <row r="7318" spans="1:12" x14ac:dyDescent="0.3">
      <c r="A7318" s="5">
        <v>45809</v>
      </c>
      <c r="B7318" s="6" t="s">
        <v>84</v>
      </c>
      <c r="C7318" s="6" t="s">
        <v>86</v>
      </c>
      <c r="D7318" s="5">
        <v>45717</v>
      </c>
      <c r="E7318" s="6" t="s">
        <v>15</v>
      </c>
      <c r="F7318" s="7">
        <v>1366</v>
      </c>
      <c r="G7318" s="7">
        <v>704126.81551976572</v>
      </c>
      <c r="H7318" s="7">
        <v>961837230</v>
      </c>
      <c r="I7318" s="7">
        <v>131068309</v>
      </c>
      <c r="J7318" s="7">
        <v>0</v>
      </c>
      <c r="K7318">
        <f t="shared" si="114"/>
        <v>92</v>
      </c>
      <c r="L7318" s="8" t="str" cm="1">
        <f t="array" ref="L7318">_xlfn.IFS(
 AND(K7318&gt;=89,K7318&lt;=92),"3개월",
 AND(K7318&gt;=58,K7318&lt;=62),"2개월",
 AND(K7318&gt;=28,K7318&lt;=32),"1개월",
 AND(K7318=0),"당월",
 TRUE,"그외"
)</f>
        <v>3개월</v>
      </c>
    </row>
    <row r="7319" spans="1:12" x14ac:dyDescent="0.3">
      <c r="A7319" s="5">
        <v>45809</v>
      </c>
      <c r="B7319" s="6" t="s">
        <v>84</v>
      </c>
      <c r="C7319" s="6" t="s">
        <v>86</v>
      </c>
      <c r="D7319" s="5">
        <v>45748</v>
      </c>
      <c r="E7319" s="6" t="s">
        <v>14</v>
      </c>
      <c r="F7319" s="7">
        <v>27</v>
      </c>
      <c r="G7319" s="7">
        <v>456361</v>
      </c>
      <c r="H7319" s="7">
        <v>12321747</v>
      </c>
      <c r="I7319" s="7">
        <v>1798200</v>
      </c>
      <c r="J7319" s="7">
        <v>0</v>
      </c>
      <c r="K7319">
        <f t="shared" si="114"/>
        <v>61</v>
      </c>
      <c r="L7319" s="8" t="str" cm="1">
        <f t="array" ref="L7319">_xlfn.IFS(
 AND(K7319&gt;=89,K7319&lt;=92),"3개월",
 AND(K7319&gt;=58,K7319&lt;=62),"2개월",
 AND(K7319&gt;=28,K7319&lt;=32),"1개월",
 AND(K7319=0),"당월",
 TRUE,"그외"
)</f>
        <v>2개월</v>
      </c>
    </row>
    <row r="7320" spans="1:12" x14ac:dyDescent="0.3">
      <c r="A7320" s="5">
        <v>45809</v>
      </c>
      <c r="B7320" s="6" t="s">
        <v>84</v>
      </c>
      <c r="C7320" s="6" t="s">
        <v>86</v>
      </c>
      <c r="D7320" s="5">
        <v>45748</v>
      </c>
      <c r="E7320" s="6" t="s">
        <v>15</v>
      </c>
      <c r="F7320" s="7">
        <v>1478</v>
      </c>
      <c r="G7320" s="7">
        <v>692582.4648173207</v>
      </c>
      <c r="H7320" s="7">
        <v>1023636883</v>
      </c>
      <c r="I7320" s="7">
        <v>114535709</v>
      </c>
      <c r="J7320" s="7">
        <v>0</v>
      </c>
      <c r="K7320">
        <f t="shared" si="114"/>
        <v>61</v>
      </c>
      <c r="L7320" s="8" t="str" cm="1">
        <f t="array" ref="L7320">_xlfn.IFS(
 AND(K7320&gt;=89,K7320&lt;=92),"3개월",
 AND(K7320&gt;=58,K7320&lt;=62),"2개월",
 AND(K7320&gt;=28,K7320&lt;=32),"1개월",
 AND(K7320=0),"당월",
 TRUE,"그외"
)</f>
        <v>2개월</v>
      </c>
    </row>
    <row r="7321" spans="1:12" x14ac:dyDescent="0.3">
      <c r="A7321" s="5">
        <v>45809</v>
      </c>
      <c r="B7321" s="6" t="s">
        <v>84</v>
      </c>
      <c r="C7321" s="6" t="s">
        <v>86</v>
      </c>
      <c r="D7321" s="5">
        <v>45778</v>
      </c>
      <c r="E7321" s="6" t="s">
        <v>14</v>
      </c>
      <c r="F7321" s="7">
        <v>4</v>
      </c>
      <c r="G7321" s="7">
        <v>553900</v>
      </c>
      <c r="H7321" s="7">
        <v>2215600</v>
      </c>
      <c r="I7321" s="7">
        <v>215600</v>
      </c>
      <c r="J7321" s="7">
        <v>0</v>
      </c>
      <c r="K7321">
        <f t="shared" si="114"/>
        <v>31</v>
      </c>
      <c r="L7321" s="8" t="str" cm="1">
        <f t="array" ref="L7321">_xlfn.IFS(
 AND(K7321&gt;=89,K7321&lt;=92),"3개월",
 AND(K7321&gt;=58,K7321&lt;=62),"2개월",
 AND(K7321&gt;=28,K7321&lt;=32),"1개월",
 AND(K7321=0),"당월",
 TRUE,"그외"
)</f>
        <v>1개월</v>
      </c>
    </row>
    <row r="7322" spans="1:12" x14ac:dyDescent="0.3">
      <c r="A7322" s="5">
        <v>45809</v>
      </c>
      <c r="B7322" s="6" t="s">
        <v>84</v>
      </c>
      <c r="C7322" s="6" t="s">
        <v>86</v>
      </c>
      <c r="D7322" s="5">
        <v>45778</v>
      </c>
      <c r="E7322" s="6" t="s">
        <v>15</v>
      </c>
      <c r="F7322" s="7">
        <v>341</v>
      </c>
      <c r="G7322" s="7">
        <v>728792.92375366564</v>
      </c>
      <c r="H7322" s="7">
        <v>248518387</v>
      </c>
      <c r="I7322" s="7">
        <v>24673317</v>
      </c>
      <c r="J7322" s="7">
        <v>0</v>
      </c>
      <c r="K7322">
        <f t="shared" si="114"/>
        <v>31</v>
      </c>
      <c r="L7322" s="8" t="str" cm="1">
        <f t="array" ref="L7322">_xlfn.IFS(
 AND(K7322&gt;=89,K7322&lt;=92),"3개월",
 AND(K7322&gt;=58,K7322&lt;=62),"2개월",
 AND(K7322&gt;=28,K7322&lt;=32),"1개월",
 AND(K7322=0),"당월",
 TRUE,"그외"
)</f>
        <v>1개월</v>
      </c>
    </row>
    <row r="7323" spans="1:12" x14ac:dyDescent="0.3">
      <c r="A7323" s="5">
        <v>45809</v>
      </c>
      <c r="B7323" s="6" t="s">
        <v>84</v>
      </c>
      <c r="C7323" s="6" t="s">
        <v>87</v>
      </c>
      <c r="D7323" s="5">
        <v>45566</v>
      </c>
      <c r="E7323" s="6" t="s">
        <v>15</v>
      </c>
      <c r="F7323" s="7">
        <v>4</v>
      </c>
      <c r="G7323" s="7">
        <v>391450</v>
      </c>
      <c r="H7323" s="7">
        <v>1565800</v>
      </c>
      <c r="I7323" s="7">
        <v>246000</v>
      </c>
      <c r="J7323" s="7">
        <v>0</v>
      </c>
      <c r="K7323">
        <f t="shared" si="114"/>
        <v>243</v>
      </c>
      <c r="L7323" s="8" t="str" cm="1">
        <f t="array" ref="L7323">_xlfn.IFS(
 AND(K7323&gt;=89,K7323&lt;=92),"3개월",
 AND(K7323&gt;=58,K7323&lt;=62),"2개월",
 AND(K7323&gt;=28,K7323&lt;=32),"1개월",
 AND(K7323=0),"당월",
 TRUE,"그외"
)</f>
        <v>그외</v>
      </c>
    </row>
    <row r="7324" spans="1:12" x14ac:dyDescent="0.3">
      <c r="A7324" s="5">
        <v>45809</v>
      </c>
      <c r="B7324" s="6" t="s">
        <v>84</v>
      </c>
      <c r="C7324" s="6" t="s">
        <v>87</v>
      </c>
      <c r="D7324" s="5">
        <v>45597</v>
      </c>
      <c r="E7324" s="6" t="s">
        <v>15</v>
      </c>
      <c r="F7324" s="7">
        <v>74</v>
      </c>
      <c r="G7324" s="7">
        <v>640110.13513513515</v>
      </c>
      <c r="H7324" s="7">
        <v>47368150</v>
      </c>
      <c r="I7324" s="7">
        <v>5125101</v>
      </c>
      <c r="J7324" s="7">
        <v>0</v>
      </c>
      <c r="K7324">
        <f t="shared" si="114"/>
        <v>212</v>
      </c>
      <c r="L7324" s="8" t="str" cm="1">
        <f t="array" ref="L7324">_xlfn.IFS(
 AND(K7324&gt;=89,K7324&lt;=92),"3개월",
 AND(K7324&gt;=58,K7324&lt;=62),"2개월",
 AND(K7324&gt;=28,K7324&lt;=32),"1개월",
 AND(K7324=0),"당월",
 TRUE,"그외"
)</f>
        <v>그외</v>
      </c>
    </row>
    <row r="7325" spans="1:12" x14ac:dyDescent="0.3">
      <c r="A7325" s="5">
        <v>45809</v>
      </c>
      <c r="B7325" s="6" t="s">
        <v>84</v>
      </c>
      <c r="C7325" s="6" t="s">
        <v>87</v>
      </c>
      <c r="D7325" s="5">
        <v>45627</v>
      </c>
      <c r="E7325" s="6" t="s">
        <v>15</v>
      </c>
      <c r="F7325" s="7">
        <v>189</v>
      </c>
      <c r="G7325" s="7">
        <v>407318.44444444438</v>
      </c>
      <c r="H7325" s="7">
        <v>76983186</v>
      </c>
      <c r="I7325" s="7">
        <v>16458676</v>
      </c>
      <c r="J7325" s="7">
        <v>0</v>
      </c>
      <c r="K7325">
        <f t="shared" si="114"/>
        <v>182</v>
      </c>
      <c r="L7325" s="8" t="str" cm="1">
        <f t="array" ref="L7325">_xlfn.IFS(
 AND(K7325&gt;=89,K7325&lt;=92),"3개월",
 AND(K7325&gt;=58,K7325&lt;=62),"2개월",
 AND(K7325&gt;=28,K7325&lt;=32),"1개월",
 AND(K7325=0),"당월",
 TRUE,"그외"
)</f>
        <v>그외</v>
      </c>
    </row>
    <row r="7326" spans="1:12" x14ac:dyDescent="0.3">
      <c r="A7326" s="5">
        <v>45809</v>
      </c>
      <c r="B7326" s="6" t="s">
        <v>84</v>
      </c>
      <c r="C7326" s="6" t="s">
        <v>87</v>
      </c>
      <c r="D7326" s="5">
        <v>45658</v>
      </c>
      <c r="E7326" s="6" t="s">
        <v>15</v>
      </c>
      <c r="F7326" s="7">
        <v>254</v>
      </c>
      <c r="G7326" s="7">
        <v>482021.19685039372</v>
      </c>
      <c r="H7326" s="7">
        <v>122433384</v>
      </c>
      <c r="I7326" s="7">
        <v>23735522</v>
      </c>
      <c r="J7326" s="7">
        <v>0</v>
      </c>
      <c r="K7326">
        <f t="shared" si="114"/>
        <v>151</v>
      </c>
      <c r="L7326" s="8" t="str" cm="1">
        <f t="array" ref="L7326">_xlfn.IFS(
 AND(K7326&gt;=89,K7326&lt;=92),"3개월",
 AND(K7326&gt;=58,K7326&lt;=62),"2개월",
 AND(K7326&gt;=28,K7326&lt;=32),"1개월",
 AND(K7326=0),"당월",
 TRUE,"그외"
)</f>
        <v>그외</v>
      </c>
    </row>
    <row r="7327" spans="1:12" x14ac:dyDescent="0.3">
      <c r="A7327" s="5">
        <v>45809</v>
      </c>
      <c r="B7327" s="6" t="s">
        <v>84</v>
      </c>
      <c r="C7327" s="6" t="s">
        <v>87</v>
      </c>
      <c r="D7327" s="5">
        <v>45689</v>
      </c>
      <c r="E7327" s="6" t="s">
        <v>15</v>
      </c>
      <c r="F7327" s="7">
        <v>612</v>
      </c>
      <c r="G7327" s="7">
        <v>470259.15359477123</v>
      </c>
      <c r="H7327" s="7">
        <v>287798602</v>
      </c>
      <c r="I7327" s="7">
        <v>58588982</v>
      </c>
      <c r="J7327" s="7">
        <v>0</v>
      </c>
      <c r="K7327">
        <f t="shared" si="114"/>
        <v>120</v>
      </c>
      <c r="L7327" s="8" t="str" cm="1">
        <f t="array" ref="L7327">_xlfn.IFS(
 AND(K7327&gt;=89,K7327&lt;=92),"3개월",
 AND(K7327&gt;=58,K7327&lt;=62),"2개월",
 AND(K7327&gt;=28,K7327&lt;=32),"1개월",
 AND(K7327=0),"당월",
 TRUE,"그외"
)</f>
        <v>그외</v>
      </c>
    </row>
    <row r="7328" spans="1:12" x14ac:dyDescent="0.3">
      <c r="A7328" s="5">
        <v>45809</v>
      </c>
      <c r="B7328" s="6" t="s">
        <v>84</v>
      </c>
      <c r="C7328" s="6" t="s">
        <v>87</v>
      </c>
      <c r="D7328" s="5">
        <v>45717</v>
      </c>
      <c r="E7328" s="6" t="s">
        <v>15</v>
      </c>
      <c r="F7328" s="7">
        <v>989</v>
      </c>
      <c r="G7328" s="7">
        <v>494663.06268958538</v>
      </c>
      <c r="H7328" s="7">
        <v>489221769</v>
      </c>
      <c r="I7328" s="7">
        <v>105810647</v>
      </c>
      <c r="J7328" s="7">
        <v>0</v>
      </c>
      <c r="K7328">
        <f t="shared" si="114"/>
        <v>92</v>
      </c>
      <c r="L7328" s="8" t="str" cm="1">
        <f t="array" ref="L7328">_xlfn.IFS(
 AND(K7328&gt;=89,K7328&lt;=92),"3개월",
 AND(K7328&gt;=58,K7328&lt;=62),"2개월",
 AND(K7328&gt;=28,K7328&lt;=32),"1개월",
 AND(K7328=0),"당월",
 TRUE,"그외"
)</f>
        <v>3개월</v>
      </c>
    </row>
    <row r="7329" spans="1:12" x14ac:dyDescent="0.3">
      <c r="A7329" s="5">
        <v>45809</v>
      </c>
      <c r="B7329" s="6" t="s">
        <v>84</v>
      </c>
      <c r="C7329" s="6" t="s">
        <v>87</v>
      </c>
      <c r="D7329" s="5">
        <v>45748</v>
      </c>
      <c r="E7329" s="6" t="s">
        <v>15</v>
      </c>
      <c r="F7329" s="7">
        <v>1691</v>
      </c>
      <c r="G7329" s="7">
        <v>473317.36309875821</v>
      </c>
      <c r="H7329" s="7">
        <v>800379661</v>
      </c>
      <c r="I7329" s="7">
        <v>150461204</v>
      </c>
      <c r="J7329" s="7">
        <v>0</v>
      </c>
      <c r="K7329">
        <f t="shared" si="114"/>
        <v>61</v>
      </c>
      <c r="L7329" s="8" t="str" cm="1">
        <f t="array" ref="L7329">_xlfn.IFS(
 AND(K7329&gt;=89,K7329&lt;=92),"3개월",
 AND(K7329&gt;=58,K7329&lt;=62),"2개월",
 AND(K7329&gt;=28,K7329&lt;=32),"1개월",
 AND(K7329=0),"당월",
 TRUE,"그외"
)</f>
        <v>2개월</v>
      </c>
    </row>
    <row r="7330" spans="1:12" x14ac:dyDescent="0.3">
      <c r="A7330" s="5">
        <v>45809</v>
      </c>
      <c r="B7330" s="6" t="s">
        <v>84</v>
      </c>
      <c r="C7330" s="6" t="s">
        <v>87</v>
      </c>
      <c r="D7330" s="5">
        <v>45778</v>
      </c>
      <c r="E7330" s="6" t="s">
        <v>15</v>
      </c>
      <c r="F7330" s="7">
        <v>325</v>
      </c>
      <c r="G7330" s="7">
        <v>477164.76307692309</v>
      </c>
      <c r="H7330" s="7">
        <v>155078548</v>
      </c>
      <c r="I7330" s="7">
        <v>27664728</v>
      </c>
      <c r="J7330" s="7">
        <v>0</v>
      </c>
      <c r="K7330">
        <f t="shared" si="114"/>
        <v>31</v>
      </c>
      <c r="L7330" s="8" t="str" cm="1">
        <f t="array" ref="L7330">_xlfn.IFS(
 AND(K7330&gt;=89,K7330&lt;=92),"3개월",
 AND(K7330&gt;=58,K7330&lt;=62),"2개월",
 AND(K7330&gt;=28,K7330&lt;=32),"1개월",
 AND(K7330=0),"당월",
 TRUE,"그외"
)</f>
        <v>1개월</v>
      </c>
    </row>
    <row r="7331" spans="1:12" x14ac:dyDescent="0.3">
      <c r="A7331" s="5">
        <v>45809</v>
      </c>
      <c r="B7331" s="6" t="s">
        <v>84</v>
      </c>
      <c r="C7331" s="6" t="s">
        <v>88</v>
      </c>
      <c r="D7331" s="5">
        <v>45566</v>
      </c>
      <c r="E7331" s="6" t="s">
        <v>15</v>
      </c>
      <c r="F7331" s="7">
        <v>24</v>
      </c>
      <c r="G7331" s="7">
        <v>496448</v>
      </c>
      <c r="H7331" s="7">
        <v>11914752</v>
      </c>
      <c r="I7331" s="7">
        <v>1839080</v>
      </c>
      <c r="J7331" s="7">
        <v>0</v>
      </c>
      <c r="K7331">
        <f t="shared" si="114"/>
        <v>243</v>
      </c>
      <c r="L7331" s="8" t="str" cm="1">
        <f t="array" ref="L7331">_xlfn.IFS(
 AND(K7331&gt;=89,K7331&lt;=92),"3개월",
 AND(K7331&gt;=58,K7331&lt;=62),"2개월",
 AND(K7331&gt;=28,K7331&lt;=32),"1개월",
 AND(K7331=0),"당월",
 TRUE,"그외"
)</f>
        <v>그외</v>
      </c>
    </row>
    <row r="7332" spans="1:12" x14ac:dyDescent="0.3">
      <c r="A7332" s="5">
        <v>45809</v>
      </c>
      <c r="B7332" s="6" t="s">
        <v>84</v>
      </c>
      <c r="C7332" s="6" t="s">
        <v>88</v>
      </c>
      <c r="D7332" s="5">
        <v>45597</v>
      </c>
      <c r="E7332" s="6" t="s">
        <v>15</v>
      </c>
      <c r="F7332" s="7">
        <v>365</v>
      </c>
      <c r="G7332" s="7">
        <v>580420.53698630142</v>
      </c>
      <c r="H7332" s="7">
        <v>211853496</v>
      </c>
      <c r="I7332" s="7">
        <v>25873171</v>
      </c>
      <c r="J7332" s="7">
        <v>0</v>
      </c>
      <c r="K7332">
        <f t="shared" si="114"/>
        <v>212</v>
      </c>
      <c r="L7332" s="8" t="str" cm="1">
        <f t="array" ref="L7332">_xlfn.IFS(
 AND(K7332&gt;=89,K7332&lt;=92),"3개월",
 AND(K7332&gt;=58,K7332&lt;=62),"2개월",
 AND(K7332&gt;=28,K7332&lt;=32),"1개월",
 AND(K7332=0),"당월",
 TRUE,"그외"
)</f>
        <v>그외</v>
      </c>
    </row>
    <row r="7333" spans="1:12" x14ac:dyDescent="0.3">
      <c r="A7333" s="5">
        <v>45809</v>
      </c>
      <c r="B7333" s="6" t="s">
        <v>84</v>
      </c>
      <c r="C7333" s="6" t="s">
        <v>88</v>
      </c>
      <c r="D7333" s="5">
        <v>45627</v>
      </c>
      <c r="E7333" s="6" t="s">
        <v>15</v>
      </c>
      <c r="F7333" s="7">
        <v>396</v>
      </c>
      <c r="G7333" s="7">
        <v>570285.69949494954</v>
      </c>
      <c r="H7333" s="7">
        <v>225833137</v>
      </c>
      <c r="I7333" s="7">
        <v>35561393</v>
      </c>
      <c r="J7333" s="7">
        <v>0</v>
      </c>
      <c r="K7333">
        <f t="shared" si="114"/>
        <v>182</v>
      </c>
      <c r="L7333" s="8" t="str" cm="1">
        <f t="array" ref="L7333">_xlfn.IFS(
 AND(K7333&gt;=89,K7333&lt;=92),"3개월",
 AND(K7333&gt;=58,K7333&lt;=62),"2개월",
 AND(K7333&gt;=28,K7333&lt;=32),"1개월",
 AND(K7333=0),"당월",
 TRUE,"그외"
)</f>
        <v>그외</v>
      </c>
    </row>
    <row r="7334" spans="1:12" x14ac:dyDescent="0.3">
      <c r="A7334" s="5">
        <v>45809</v>
      </c>
      <c r="B7334" s="6" t="s">
        <v>84</v>
      </c>
      <c r="C7334" s="6" t="s">
        <v>88</v>
      </c>
      <c r="D7334" s="5">
        <v>45658</v>
      </c>
      <c r="E7334" s="6" t="s">
        <v>15</v>
      </c>
      <c r="F7334" s="7">
        <v>488</v>
      </c>
      <c r="G7334" s="7">
        <v>546253.32786885242</v>
      </c>
      <c r="H7334" s="7">
        <v>266571624</v>
      </c>
      <c r="I7334" s="7">
        <v>46002333</v>
      </c>
      <c r="J7334" s="7">
        <v>0</v>
      </c>
      <c r="K7334">
        <f t="shared" si="114"/>
        <v>151</v>
      </c>
      <c r="L7334" s="8" t="str" cm="1">
        <f t="array" ref="L7334">_xlfn.IFS(
 AND(K7334&gt;=89,K7334&lt;=92),"3개월",
 AND(K7334&gt;=58,K7334&lt;=62),"2개월",
 AND(K7334&gt;=28,K7334&lt;=32),"1개월",
 AND(K7334=0),"당월",
 TRUE,"그외"
)</f>
        <v>그외</v>
      </c>
    </row>
    <row r="7335" spans="1:12" x14ac:dyDescent="0.3">
      <c r="A7335" s="5">
        <v>45809</v>
      </c>
      <c r="B7335" s="6" t="s">
        <v>84</v>
      </c>
      <c r="C7335" s="6" t="s">
        <v>88</v>
      </c>
      <c r="D7335" s="5">
        <v>45689</v>
      </c>
      <c r="E7335" s="6" t="s">
        <v>15</v>
      </c>
      <c r="F7335" s="7">
        <v>1003</v>
      </c>
      <c r="G7335" s="7">
        <v>537866.18444665999</v>
      </c>
      <c r="H7335" s="7">
        <v>539479783</v>
      </c>
      <c r="I7335" s="7">
        <v>94490586</v>
      </c>
      <c r="J7335" s="7">
        <v>0</v>
      </c>
      <c r="K7335">
        <f t="shared" si="114"/>
        <v>120</v>
      </c>
      <c r="L7335" s="8" t="str" cm="1">
        <f t="array" ref="L7335">_xlfn.IFS(
 AND(K7335&gt;=89,K7335&lt;=92),"3개월",
 AND(K7335&gt;=58,K7335&lt;=62),"2개월",
 AND(K7335&gt;=28,K7335&lt;=32),"1개월",
 AND(K7335=0),"당월",
 TRUE,"그외"
)</f>
        <v>그외</v>
      </c>
    </row>
    <row r="7336" spans="1:12" x14ac:dyDescent="0.3">
      <c r="A7336" s="5">
        <v>45809</v>
      </c>
      <c r="B7336" s="6" t="s">
        <v>84</v>
      </c>
      <c r="C7336" s="6" t="s">
        <v>88</v>
      </c>
      <c r="D7336" s="5">
        <v>45717</v>
      </c>
      <c r="E7336" s="6" t="s">
        <v>15</v>
      </c>
      <c r="F7336" s="7">
        <v>1038</v>
      </c>
      <c r="G7336" s="7">
        <v>586574.45761079004</v>
      </c>
      <c r="H7336" s="7">
        <v>608864287</v>
      </c>
      <c r="I7336" s="7">
        <v>101986729</v>
      </c>
      <c r="J7336" s="7">
        <v>0</v>
      </c>
      <c r="K7336">
        <f t="shared" si="114"/>
        <v>92</v>
      </c>
      <c r="L7336" s="8" t="str" cm="1">
        <f t="array" ref="L7336">_xlfn.IFS(
 AND(K7336&gt;=89,K7336&lt;=92),"3개월",
 AND(K7336&gt;=58,K7336&lt;=62),"2개월",
 AND(K7336&gt;=28,K7336&lt;=32),"1개월",
 AND(K7336=0),"당월",
 TRUE,"그외"
)</f>
        <v>3개월</v>
      </c>
    </row>
    <row r="7337" spans="1:12" x14ac:dyDescent="0.3">
      <c r="A7337" s="5">
        <v>45809</v>
      </c>
      <c r="B7337" s="6" t="s">
        <v>84</v>
      </c>
      <c r="C7337" s="6" t="s">
        <v>88</v>
      </c>
      <c r="D7337" s="5">
        <v>45748</v>
      </c>
      <c r="E7337" s="6" t="s">
        <v>15</v>
      </c>
      <c r="F7337" s="7">
        <v>1103</v>
      </c>
      <c r="G7337" s="7">
        <v>755238.47234814148</v>
      </c>
      <c r="H7337" s="7">
        <v>833028035</v>
      </c>
      <c r="I7337" s="7">
        <v>90617501</v>
      </c>
      <c r="J7337" s="7">
        <v>0</v>
      </c>
      <c r="K7337">
        <f t="shared" si="114"/>
        <v>61</v>
      </c>
      <c r="L7337" s="8" t="str" cm="1">
        <f t="array" ref="L7337">_xlfn.IFS(
 AND(K7337&gt;=89,K7337&lt;=92),"3개월",
 AND(K7337&gt;=58,K7337&lt;=62),"2개월",
 AND(K7337&gt;=28,K7337&lt;=32),"1개월",
 AND(K7337=0),"당월",
 TRUE,"그외"
)</f>
        <v>2개월</v>
      </c>
    </row>
    <row r="7338" spans="1:12" x14ac:dyDescent="0.3">
      <c r="A7338" s="5">
        <v>45809</v>
      </c>
      <c r="B7338" s="6" t="s">
        <v>84</v>
      </c>
      <c r="C7338" s="6" t="s">
        <v>88</v>
      </c>
      <c r="D7338" s="5">
        <v>45778</v>
      </c>
      <c r="E7338" s="6" t="s">
        <v>14</v>
      </c>
      <c r="F7338" s="7">
        <v>68</v>
      </c>
      <c r="G7338" s="7">
        <v>441515.4705882353</v>
      </c>
      <c r="H7338" s="7">
        <v>30023052</v>
      </c>
      <c r="I7338" s="7">
        <v>3665200</v>
      </c>
      <c r="J7338" s="7">
        <v>0</v>
      </c>
      <c r="K7338">
        <f t="shared" si="114"/>
        <v>31</v>
      </c>
      <c r="L7338" s="8" t="str" cm="1">
        <f t="array" ref="L7338">_xlfn.IFS(
 AND(K7338&gt;=89,K7338&lt;=92),"3개월",
 AND(K7338&gt;=58,K7338&lt;=62),"2개월",
 AND(K7338&gt;=28,K7338&lt;=32),"1개월",
 AND(K7338=0),"당월",
 TRUE,"그외"
)</f>
        <v>1개월</v>
      </c>
    </row>
    <row r="7339" spans="1:12" x14ac:dyDescent="0.3">
      <c r="A7339" s="5">
        <v>45809</v>
      </c>
      <c r="B7339" s="6" t="s">
        <v>84</v>
      </c>
      <c r="C7339" s="6" t="s">
        <v>88</v>
      </c>
      <c r="D7339" s="5">
        <v>45778</v>
      </c>
      <c r="E7339" s="6" t="s">
        <v>15</v>
      </c>
      <c r="F7339" s="7">
        <v>268</v>
      </c>
      <c r="G7339" s="7">
        <v>834451.88432835822</v>
      </c>
      <c r="H7339" s="7">
        <v>223633105</v>
      </c>
      <c r="I7339" s="7">
        <v>19480060</v>
      </c>
      <c r="J7339" s="7">
        <v>0</v>
      </c>
      <c r="K7339">
        <f t="shared" si="114"/>
        <v>31</v>
      </c>
      <c r="L7339" s="8" t="str" cm="1">
        <f t="array" ref="L7339">_xlfn.IFS(
 AND(K7339&gt;=89,K7339&lt;=92),"3개월",
 AND(K7339&gt;=58,K7339&lt;=62),"2개월",
 AND(K7339&gt;=28,K7339&lt;=32),"1개월",
 AND(K7339=0),"당월",
 TRUE,"그외"
)</f>
        <v>1개월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방진호</dc:creator>
  <cp:lastModifiedBy>방진호</cp:lastModifiedBy>
  <dcterms:created xsi:type="dcterms:W3CDTF">2026-05-08T01:42:20Z</dcterms:created>
  <dcterms:modified xsi:type="dcterms:W3CDTF">2026-05-08T01:42:33Z</dcterms:modified>
</cp:coreProperties>
</file>